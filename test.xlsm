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bra-my.sharepoint.com/personal/juan_perez_quorumsoftware_com/Documents/Documents/PS/Ecopetrol/Reservas/Automatization/"/>
    </mc:Choice>
  </mc:AlternateContent>
  <xr:revisionPtr revIDLastSave="6784" documentId="13_ncr:1_{C2EB1305-F4C9-4419-B766-57672B2FF3EA}" xr6:coauthVersionLast="47" xr6:coauthVersionMax="47" xr10:uidLastSave="{82DB0498-CEEF-4A62-89DF-80F4569E9E38}"/>
  <bookViews>
    <workbookView xWindow="-96" yWindow="0" windowWidth="8772" windowHeight="12336"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2" l="1"/>
  <c r="NQ31" i="2"/>
  <c r="ME31" i="2"/>
  <c r="KS31" i="2"/>
  <c r="HU31" i="2"/>
  <c r="GI31" i="2"/>
  <c r="EW31" i="2"/>
  <c r="NQ30" i="2"/>
  <c r="ME30" i="2"/>
  <c r="KS30" i="2"/>
  <c r="HU30" i="2"/>
  <c r="GI30" i="2"/>
  <c r="EW30" i="2"/>
  <c r="NQ28" i="2"/>
  <c r="ME28" i="2"/>
  <c r="KS28" i="2"/>
  <c r="HU28" i="2"/>
  <c r="GI28" i="2"/>
  <c r="EW28" i="2"/>
  <c r="NQ27" i="2"/>
  <c r="ME27" i="2"/>
  <c r="KS27" i="2"/>
  <c r="HU27" i="2"/>
  <c r="GI27" i="2"/>
  <c r="EW27" i="2"/>
  <c r="NQ25" i="2"/>
  <c r="ME25" i="2"/>
  <c r="KS25" i="2"/>
  <c r="HU25" i="2"/>
  <c r="GI25" i="2"/>
  <c r="EW25" i="2"/>
  <c r="NQ24" i="2"/>
  <c r="ME24" i="2"/>
  <c r="KS24" i="2"/>
  <c r="HU24" i="2"/>
  <c r="GI24" i="2"/>
  <c r="EW24" i="2"/>
  <c r="NQ22" i="2"/>
  <c r="ME22" i="2"/>
  <c r="KS22" i="2"/>
  <c r="HU22" i="2"/>
  <c r="GI22" i="2"/>
  <c r="EW22" i="2"/>
  <c r="NQ21" i="2"/>
  <c r="ME21" i="2"/>
  <c r="KS21" i="2"/>
  <c r="HU21" i="2"/>
  <c r="GI21" i="2"/>
  <c r="EW21" i="2"/>
  <c r="NQ19" i="2"/>
  <c r="ME19" i="2"/>
  <c r="KS19" i="2"/>
  <c r="HU19" i="2"/>
  <c r="GI19" i="2"/>
  <c r="EW19" i="2"/>
  <c r="NQ18" i="2"/>
  <c r="ME18" i="2"/>
  <c r="KS18" i="2"/>
  <c r="HU18" i="2"/>
  <c r="GI18" i="2"/>
  <c r="EW18" i="2"/>
  <c r="NQ16" i="2"/>
  <c r="ME16" i="2"/>
  <c r="KS16" i="2"/>
  <c r="HU16" i="2"/>
  <c r="GI16" i="2"/>
  <c r="EW16" i="2"/>
  <c r="NQ15" i="2"/>
  <c r="ME15" i="2"/>
  <c r="KS15" i="2"/>
  <c r="HU15" i="2"/>
  <c r="GI15" i="2"/>
  <c r="EW15" i="2"/>
  <c r="NQ13" i="2"/>
  <c r="ME13" i="2"/>
  <c r="KS13" i="2"/>
  <c r="HU13" i="2"/>
  <c r="GI13" i="2"/>
  <c r="EW13" i="2"/>
  <c r="NQ12" i="2"/>
  <c r="ME12" i="2"/>
  <c r="KS12" i="2"/>
  <c r="HU12" i="2"/>
  <c r="GI12" i="2"/>
  <c r="EW12" i="2"/>
  <c r="NQ10" i="2"/>
  <c r="ME10" i="2"/>
  <c r="KS10" i="2"/>
  <c r="HU10" i="2"/>
  <c r="GI10" i="2"/>
  <c r="EW10" i="2"/>
  <c r="NQ9" i="2"/>
  <c r="ME9" i="2"/>
  <c r="KS9" i="2"/>
  <c r="HU9" i="2"/>
  <c r="GI9" i="2"/>
  <c r="EW9" i="2"/>
  <c r="NQ7" i="2"/>
  <c r="ME7" i="2"/>
  <c r="KS7" i="2"/>
  <c r="HU7" i="2"/>
  <c r="GI7" i="2"/>
  <c r="EW7" i="2"/>
  <c r="NQ6" i="2"/>
  <c r="ME6" i="2"/>
  <c r="KS6" i="2"/>
  <c r="HU6" i="2"/>
  <c r="GI6" i="2"/>
  <c r="EW6" i="2"/>
  <c r="NQ4" i="2"/>
  <c r="ME4" i="2"/>
  <c r="KS4" i="2"/>
  <c r="HU4" i="2"/>
  <c r="GI4" i="2"/>
  <c r="EW4" i="2"/>
  <c r="PC3" i="2"/>
  <c r="NQ3" i="2"/>
  <c r="ME3" i="2"/>
  <c r="KS3" i="2"/>
  <c r="JG3" i="2"/>
  <c r="HU3" i="2"/>
  <c r="GI3" i="2"/>
  <c r="EW3" i="2"/>
  <c r="DK3" i="2"/>
  <c r="BY3" i="2"/>
  <c r="AM3" i="2"/>
  <c r="NR36" i="2"/>
  <c r="MF36" i="2"/>
  <c r="KT36" i="2"/>
  <c r="JH36" i="2"/>
  <c r="HV36" i="2"/>
  <c r="GJ36" i="2"/>
  <c r="EX36" i="2"/>
  <c r="DL36" i="2"/>
  <c r="BZ36" i="2"/>
  <c r="AN36" i="2"/>
  <c r="B36" i="2"/>
  <c r="NR33" i="2"/>
  <c r="MF33" i="2"/>
  <c r="KT33" i="2"/>
  <c r="JH33" i="2"/>
  <c r="HV33" i="2"/>
  <c r="GJ33" i="2"/>
  <c r="EX33" i="2"/>
  <c r="DL33" i="2"/>
  <c r="BZ33" i="2"/>
  <c r="AN33" i="2"/>
  <c r="B33"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C18" i="2" s="1"/>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JG18" i="2" s="1"/>
  <c r="HV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DK18" i="2" s="1"/>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BY18" i="2" s="1"/>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AM18" i="2" s="1"/>
  <c r="E18" i="2"/>
  <c r="D18" i="2"/>
  <c r="C18" i="2"/>
  <c r="B18"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PC30" i="2" s="1"/>
  <c r="NU30" i="2"/>
  <c r="NT30" i="2"/>
  <c r="NS30" i="2"/>
  <c r="NR30"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G30" i="2" s="1"/>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DK30" i="2" s="1"/>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BY30" i="2" s="1"/>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AM30" i="2" s="1"/>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C27" i="2" s="1"/>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G27" i="2" s="1"/>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DK27" i="2" s="1"/>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BY27" i="2" s="1"/>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M27" i="2" s="1"/>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C24" i="2" s="1"/>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JG24" i="2" s="1"/>
  <c r="IB24" i="2"/>
  <c r="IA24" i="2"/>
  <c r="HZ24" i="2"/>
  <c r="HY24" i="2"/>
  <c r="HX24" i="2"/>
  <c r="HW24" i="2"/>
  <c r="HV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DK24" i="2" s="1"/>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BY24" i="2" s="1"/>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M24" i="2" s="1"/>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C21" i="2" s="1"/>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G21" i="2" s="1"/>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DK21" i="2" s="1"/>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BY21" i="2" s="1"/>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AM21" i="2" s="1"/>
  <c r="D21" i="2"/>
  <c r="C21" i="2"/>
  <c r="B21"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PC15" i="2" s="1"/>
  <c r="NU15" i="2"/>
  <c r="NT15" i="2"/>
  <c r="NS15" i="2"/>
  <c r="NR15"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G15" i="2" s="1"/>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DK15" i="2" s="1"/>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BY15" i="2" s="1"/>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M15" i="2" s="1"/>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PC12" i="2" s="1"/>
  <c r="NV12" i="2"/>
  <c r="NU12" i="2"/>
  <c r="NT12" i="2"/>
  <c r="NS12" i="2"/>
  <c r="NR12"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G12" i="2" s="1"/>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DK12" i="2" s="1"/>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BY12" i="2" s="1"/>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AM12" i="2" s="1"/>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C9" i="2" s="1"/>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G9" i="2" s="1"/>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DK9" i="2" s="1"/>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BY9" i="2" s="1"/>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AM9" i="2" s="1"/>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C6" i="2" s="1"/>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G6" i="2" s="1"/>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DK6" i="2" s="1"/>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BY6" i="2" s="1"/>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AM6" i="2" s="1"/>
  <c r="L6" i="2"/>
  <c r="K6" i="2"/>
  <c r="J6" i="2"/>
  <c r="I6" i="2"/>
  <c r="H6" i="2"/>
  <c r="G6" i="2"/>
  <c r="F6" i="2"/>
  <c r="E6" i="2"/>
  <c r="D6" i="2"/>
  <c r="C6" i="2"/>
  <c r="B6" i="2"/>
  <c r="L48" i="2" l="1"/>
  <c r="J48" i="2"/>
  <c r="H48" i="2"/>
  <c r="E48" i="2"/>
  <c r="C48" i="2"/>
  <c r="NR37" i="2"/>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F49" i="2" s="1"/>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AM22" i="2" s="1"/>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BY25" i="2" l="1"/>
  <c r="JG13" i="2"/>
  <c r="AM10" i="2"/>
  <c r="DK4" i="2"/>
  <c r="PC28" i="2"/>
  <c r="BY28" i="2"/>
  <c r="AM16" i="2"/>
  <c r="JG25" i="2"/>
  <c r="BY31" i="2"/>
  <c r="PC4" i="2"/>
  <c r="DK7" i="2"/>
  <c r="DK10" i="2"/>
  <c r="PC7" i="2"/>
  <c r="DK13" i="2"/>
  <c r="AM25" i="2"/>
  <c r="I49" i="2"/>
  <c r="JG28" i="2"/>
  <c r="BY4" i="2"/>
  <c r="PC19" i="2"/>
  <c r="AM13" i="2"/>
  <c r="PC10" i="2"/>
  <c r="DK16" i="2"/>
  <c r="DK22" i="2"/>
  <c r="AM28" i="2"/>
  <c r="J49" i="2"/>
  <c r="JG31" i="2"/>
  <c r="BY19" i="2"/>
  <c r="BY7" i="2"/>
  <c r="BY10" i="2"/>
  <c r="PC13" i="2"/>
  <c r="DK25" i="2"/>
  <c r="K49" i="2"/>
  <c r="AM31" i="2"/>
  <c r="JG4" i="2"/>
  <c r="JG16" i="2"/>
  <c r="JG22" i="2"/>
  <c r="PC31" i="2"/>
  <c r="DK19" i="2"/>
  <c r="JG7" i="2"/>
  <c r="BY13" i="2"/>
  <c r="PC16" i="2"/>
  <c r="PC22" i="2"/>
  <c r="DK28" i="2"/>
  <c r="AM4" i="2"/>
  <c r="JG19" i="2"/>
  <c r="AM7" i="2"/>
  <c r="JG10" i="2"/>
  <c r="BY16" i="2"/>
  <c r="BY22" i="2"/>
  <c r="PC25" i="2"/>
  <c r="M49" i="2"/>
  <c r="DK31" i="2"/>
  <c r="AM19" i="2"/>
  <c r="L49" i="2"/>
  <c r="L51" i="2" s="1"/>
  <c r="G49" i="2"/>
  <c r="H49" i="2"/>
  <c r="H51" i="2" s="1"/>
  <c r="M48" i="2"/>
  <c r="B48" i="2"/>
  <c r="D48" i="2"/>
  <c r="B49" i="2"/>
  <c r="B41" i="2"/>
  <c r="F48" i="2"/>
  <c r="F51" i="2" s="1"/>
  <c r="C49" i="2"/>
  <c r="C51" i="2" s="1"/>
  <c r="G48" i="2"/>
  <c r="D49" i="2"/>
  <c r="E49" i="2"/>
  <c r="E51" i="2" s="1"/>
  <c r="I48" i="2"/>
  <c r="J51" i="2"/>
  <c r="K48" i="2"/>
  <c r="K51" i="2" s="1"/>
  <c r="PE3" i="2"/>
  <c r="PG3" i="2" s="1"/>
  <c r="H44" i="2"/>
  <c r="I44" i="2"/>
  <c r="G41" i="2"/>
  <c r="F41" i="2"/>
  <c r="E41" i="2"/>
  <c r="D41" i="2"/>
  <c r="C41" i="2"/>
  <c r="L44" i="2"/>
  <c r="K44" i="2"/>
  <c r="J44" i="2"/>
  <c r="G44" i="2"/>
  <c r="F44" i="2"/>
  <c r="E44" i="2"/>
  <c r="D44" i="2"/>
  <c r="C44" i="2"/>
  <c r="L41" i="2"/>
  <c r="K41" i="2"/>
  <c r="J41" i="2"/>
  <c r="I41" i="2"/>
  <c r="H41" i="2"/>
  <c r="I51" i="2" l="1"/>
  <c r="PE4" i="2"/>
  <c r="PG4" i="2" s="1"/>
  <c r="G51" i="2"/>
  <c r="B51" i="2"/>
  <c r="PG5" i="2"/>
  <c r="D51" i="2"/>
  <c r="B44" i="2"/>
  <c r="L45" i="2"/>
  <c r="I45" i="2"/>
  <c r="H45" i="2"/>
  <c r="G45" i="2"/>
  <c r="F45" i="2"/>
  <c r="E45" i="2"/>
  <c r="C45" i="2"/>
  <c r="L42" i="2"/>
  <c r="K42" i="2"/>
  <c r="J42" i="2"/>
  <c r="H42" i="2"/>
  <c r="F42" i="2"/>
  <c r="E42" i="2"/>
  <c r="C42" i="2" l="1"/>
  <c r="J45" i="2"/>
  <c r="D42" i="2"/>
  <c r="K45" i="2"/>
  <c r="G42" i="2"/>
  <c r="B45" i="2"/>
  <c r="I42" i="2"/>
  <c r="D45" i="2"/>
  <c r="B42" i="2"/>
  <c r="PE33" i="2"/>
  <c r="AW40" i="2" l="1"/>
  <c r="PE5" i="2" l="1"/>
  <c r="HV35" i="2"/>
  <c r="AN35" i="2"/>
  <c r="H3688" i="10"/>
  <c r="H3689" i="10" s="1"/>
  <c r="H3650" i="10"/>
  <c r="H3651" i="10" s="1"/>
  <c r="H3652" i="10" s="1"/>
  <c r="H3612" i="10"/>
  <c r="H3613" i="10" s="1"/>
  <c r="H3536" i="10"/>
  <c r="H3537" i="10" s="1"/>
  <c r="H3498" i="10"/>
  <c r="H3499" i="10" s="1"/>
  <c r="H3500"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82" i="10" s="1"/>
  <c r="H3483" i="10" s="1"/>
  <c r="H3484" i="10" s="1"/>
  <c r="H3485" i="10" s="1"/>
  <c r="H3486" i="10" s="1"/>
  <c r="H3487" i="10" s="1"/>
  <c r="H3488" i="10" s="1"/>
  <c r="H3489" i="10" s="1"/>
  <c r="H3490" i="10" s="1"/>
  <c r="H3491" i="10" s="1"/>
  <c r="H3492" i="10" s="1"/>
  <c r="H3493" i="10" s="1"/>
  <c r="H3494" i="10" s="1"/>
  <c r="H3495" i="10" s="1"/>
  <c r="H3496" i="10" s="1"/>
  <c r="PE34" i="2" l="1"/>
  <c r="PE35" i="2" s="1"/>
  <c r="NR35" i="2"/>
  <c r="AW41" i="2"/>
  <c r="H3690" i="10"/>
  <c r="H3653" i="10"/>
  <c r="H3614" i="10"/>
  <c r="H3538" i="10"/>
  <c r="H3501" i="10"/>
  <c r="AX40" i="2" l="1"/>
  <c r="AW43" i="2"/>
  <c r="H3691" i="10"/>
  <c r="H3654" i="10"/>
  <c r="H3615" i="10"/>
  <c r="H3539" i="10"/>
  <c r="H3502" i="10"/>
  <c r="NR5" i="2"/>
  <c r="NS5" i="2"/>
  <c r="NT5" i="2"/>
  <c r="H3692" i="10" l="1"/>
  <c r="H3655" i="10"/>
  <c r="H3616" i="10"/>
  <c r="H3540" i="10"/>
  <c r="H3503" i="10"/>
  <c r="PC5" i="2"/>
  <c r="PC8" i="2"/>
  <c r="BZ38" i="2"/>
  <c r="HV38" i="2"/>
  <c r="H3693" i="10" l="1"/>
  <c r="H3656" i="10"/>
  <c r="H3617" i="10"/>
  <c r="H3541" i="10"/>
  <c r="H3504" i="10"/>
  <c r="NI20" i="2"/>
  <c r="HM26" i="2"/>
  <c r="MA8" i="2"/>
  <c r="GA8" i="2"/>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H3694" i="10" l="1"/>
  <c r="H3657" i="10"/>
  <c r="H3618" i="10"/>
  <c r="H3542" i="10"/>
  <c r="H3505" i="10"/>
  <c r="EL8" i="2"/>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H3695" i="10" l="1"/>
  <c r="H3658" i="10"/>
  <c r="H3619" i="10"/>
  <c r="H3543" i="10"/>
  <c r="H3506" i="10"/>
  <c r="Z8" i="2"/>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I3481" i="10" s="1"/>
  <c r="E3482" i="10"/>
  <c r="F3482" i="10" s="1"/>
  <c r="I3482" i="10" s="1"/>
  <c r="E3483" i="10"/>
  <c r="F3483" i="10" s="1"/>
  <c r="I3483" i="10" s="1"/>
  <c r="E3484" i="10"/>
  <c r="F3484" i="10" s="1"/>
  <c r="I3484" i="10" s="1"/>
  <c r="E3485" i="10"/>
  <c r="F3485" i="10" s="1"/>
  <c r="I3485" i="10" s="1"/>
  <c r="E3486" i="10"/>
  <c r="F3486" i="10" s="1"/>
  <c r="I3486" i="10" s="1"/>
  <c r="E3487" i="10"/>
  <c r="F3487" i="10" s="1"/>
  <c r="I3487" i="10" s="1"/>
  <c r="E3488" i="10"/>
  <c r="F3488" i="10" s="1"/>
  <c r="I3488" i="10" s="1"/>
  <c r="E3489" i="10"/>
  <c r="F3489" i="10" s="1"/>
  <c r="I3489" i="10" s="1"/>
  <c r="E3490" i="10"/>
  <c r="F3490" i="10" s="1"/>
  <c r="I3490" i="10" s="1"/>
  <c r="E3491" i="10"/>
  <c r="F3491" i="10" s="1"/>
  <c r="I3491" i="10" s="1"/>
  <c r="E3492" i="10"/>
  <c r="F3492" i="10" s="1"/>
  <c r="I3492" i="10" s="1"/>
  <c r="E3493" i="10"/>
  <c r="F3493" i="10" s="1"/>
  <c r="I3493" i="10" s="1"/>
  <c r="E3494" i="10"/>
  <c r="F3494" i="10" s="1"/>
  <c r="I3494" i="10" s="1"/>
  <c r="E3495" i="10"/>
  <c r="F3495" i="10" s="1"/>
  <c r="I3495" i="10" s="1"/>
  <c r="E3496" i="10"/>
  <c r="F3496" i="10" s="1"/>
  <c r="I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E2494" i="10"/>
  <c r="F2494" i="10" s="1"/>
  <c r="E2495" i="10"/>
  <c r="F2495" i="10" s="1"/>
  <c r="E2496" i="10"/>
  <c r="F2496" i="10" s="1"/>
  <c r="E2497" i="10"/>
  <c r="F2497" i="10" s="1"/>
  <c r="E2498" i="10"/>
  <c r="F2498" i="10" s="1"/>
  <c r="E2499" i="10"/>
  <c r="F2499" i="10" s="1"/>
  <c r="E2500" i="10"/>
  <c r="F2500" i="10" s="1"/>
  <c r="E2501" i="10"/>
  <c r="F2501" i="10" s="1"/>
  <c r="E2502" i="10"/>
  <c r="F2502" i="10" s="1"/>
  <c r="E2503" i="10"/>
  <c r="F2503" i="10" s="1"/>
  <c r="E2504" i="10"/>
  <c r="F2504" i="10" s="1"/>
  <c r="E2505" i="10"/>
  <c r="F2505" i="10" s="1"/>
  <c r="E2506" i="10"/>
  <c r="F2506" i="10" s="1"/>
  <c r="E2507" i="10"/>
  <c r="F2507" i="10" s="1"/>
  <c r="E2508" i="10"/>
  <c r="F2508" i="10" s="1"/>
  <c r="F2455" i="10"/>
  <c r="F2456" i="10"/>
  <c r="F2457" i="10"/>
  <c r="F2458" i="10"/>
  <c r="F2459" i="10"/>
  <c r="F2460" i="10"/>
  <c r="F2461" i="10"/>
  <c r="F2462" i="10"/>
  <c r="F2463" i="10"/>
  <c r="F2464" i="10"/>
  <c r="F2465" i="10"/>
  <c r="F2466" i="10"/>
  <c r="F2467" i="10"/>
  <c r="F2468" i="10"/>
  <c r="F2469" i="10"/>
  <c r="F2470" i="10"/>
  <c r="F2417" i="10"/>
  <c r="F2418" i="10"/>
  <c r="F2419" i="10"/>
  <c r="F2420" i="10"/>
  <c r="F2421" i="10"/>
  <c r="F2422" i="10"/>
  <c r="F2423" i="10"/>
  <c r="F2424" i="10"/>
  <c r="F2425" i="10"/>
  <c r="F2426" i="10"/>
  <c r="F2427" i="10"/>
  <c r="F2428" i="10"/>
  <c r="F2429" i="10"/>
  <c r="F2430" i="10"/>
  <c r="F2431" i="10"/>
  <c r="F2432" i="10"/>
  <c r="F2379" i="10"/>
  <c r="F2380" i="10"/>
  <c r="F2381" i="10"/>
  <c r="F2382" i="10"/>
  <c r="F2383" i="10"/>
  <c r="F2384" i="10"/>
  <c r="F2385" i="10"/>
  <c r="F2386" i="10"/>
  <c r="F2387" i="10"/>
  <c r="F2388" i="10"/>
  <c r="F2389" i="10"/>
  <c r="F2390" i="10"/>
  <c r="F2391" i="10"/>
  <c r="F2392" i="10"/>
  <c r="F2393" i="10"/>
  <c r="F2394" i="10"/>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H3696" i="10" l="1"/>
  <c r="H3659" i="10"/>
  <c r="H3620" i="10"/>
  <c r="H3544" i="10"/>
  <c r="H3507" i="10"/>
  <c r="IS26" i="2"/>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F4190" i="1" s="1"/>
  <c r="E4189" i="1"/>
  <c r="F4189" i="1" s="1"/>
  <c r="E4188" i="1"/>
  <c r="F4188" i="1" s="1"/>
  <c r="E4187" i="1"/>
  <c r="E4186" i="1"/>
  <c r="F4186" i="1" s="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H3697" i="10" l="1"/>
  <c r="H3660" i="10"/>
  <c r="H3621" i="10"/>
  <c r="H3545" i="10"/>
  <c r="H3508" i="10"/>
  <c r="ES26" i="2"/>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H3698" i="10" l="1"/>
  <c r="H3661" i="10"/>
  <c r="H3622" i="10"/>
  <c r="H3546" i="10"/>
  <c r="H3509" i="10"/>
  <c r="JC8" i="2"/>
  <c r="JC14" i="2"/>
  <c r="JG20" i="2"/>
  <c r="JC23" i="2"/>
  <c r="IU26" i="2"/>
  <c r="JC17" i="2"/>
  <c r="IX20" i="2"/>
  <c r="IY23" i="2"/>
  <c r="IV29" i="2"/>
  <c r="JC29" i="2"/>
  <c r="I4189" i="1"/>
  <c r="BZ20" i="2"/>
  <c r="B20" i="2"/>
  <c r="KT20" i="2"/>
  <c r="AN20" i="2"/>
  <c r="MF20" i="2"/>
  <c r="GJ20" i="2"/>
  <c r="EX20" i="2"/>
  <c r="DL20" i="2"/>
  <c r="H3699" i="10" l="1"/>
  <c r="H3662" i="10"/>
  <c r="H3623" i="10"/>
  <c r="H3547" i="10"/>
  <c r="H3510" i="10"/>
  <c r="I4190" i="1"/>
  <c r="NR20" i="2"/>
  <c r="JH20" i="2"/>
  <c r="HV20" i="2"/>
  <c r="CB20" i="2"/>
  <c r="KV20" i="2"/>
  <c r="EY20" i="2"/>
  <c r="MG20" i="2"/>
  <c r="DM20" i="2"/>
  <c r="JJ20" i="2"/>
  <c r="EZ20" i="2"/>
  <c r="JI20" i="2"/>
  <c r="GL20" i="2"/>
  <c r="AP20" i="2"/>
  <c r="CA20" i="2"/>
  <c r="DN20" i="2"/>
  <c r="AO20" i="2"/>
  <c r="MH20" i="2"/>
  <c r="KU20" i="2"/>
  <c r="C20" i="2"/>
  <c r="GK20" i="2"/>
  <c r="D20" i="2"/>
  <c r="H3700" i="10" l="1"/>
  <c r="H3663" i="10"/>
  <c r="H3624" i="10"/>
  <c r="H3548" i="10"/>
  <c r="H3511" i="10"/>
  <c r="I4192" i="1"/>
  <c r="NT20" i="2"/>
  <c r="HW20" i="2"/>
  <c r="HX20" i="2"/>
  <c r="NS20" i="2"/>
  <c r="AQ20" i="2"/>
  <c r="MI20" i="2"/>
  <c r="FA20" i="2"/>
  <c r="E20" i="2"/>
  <c r="JK20" i="2"/>
  <c r="CC20" i="2"/>
  <c r="GM20" i="2"/>
  <c r="DO20" i="2"/>
  <c r="KW20" i="2"/>
  <c r="H3701" i="10" l="1"/>
  <c r="H3664" i="10"/>
  <c r="H3625" i="10"/>
  <c r="H3549" i="10"/>
  <c r="H3512" i="10"/>
  <c r="I4194" i="1"/>
  <c r="I4193" i="1"/>
  <c r="NU20" i="2"/>
  <c r="HY20" i="2"/>
  <c r="CD20" i="2"/>
  <c r="AR20" i="2"/>
  <c r="KX20" i="2"/>
  <c r="JL20" i="2"/>
  <c r="GN20" i="2"/>
  <c r="FB20" i="2"/>
  <c r="MJ20" i="2"/>
  <c r="F20" i="2"/>
  <c r="DP20" i="2"/>
  <c r="H3702" i="10" l="1"/>
  <c r="H3665" i="10"/>
  <c r="H3626" i="10"/>
  <c r="H3550" i="10"/>
  <c r="H3513" i="10"/>
  <c r="HZ20" i="2"/>
  <c r="NV20" i="2"/>
  <c r="G20" i="2"/>
  <c r="AS20" i="2"/>
  <c r="MK20" i="2"/>
  <c r="FC20" i="2"/>
  <c r="GO20" i="2"/>
  <c r="JM20" i="2"/>
  <c r="CE20" i="2"/>
  <c r="KY20" i="2"/>
  <c r="DQ20" i="2"/>
  <c r="H3703" i="10" l="1"/>
  <c r="H3666" i="10"/>
  <c r="H3627" i="10"/>
  <c r="H3551" i="10"/>
  <c r="H3514" i="10"/>
  <c r="IA20" i="2"/>
  <c r="NW20" i="2"/>
  <c r="KZ20" i="2"/>
  <c r="JN20" i="2"/>
  <c r="CF20" i="2"/>
  <c r="DR20" i="2"/>
  <c r="ML20" i="2"/>
  <c r="AT20" i="2"/>
  <c r="FD20" i="2"/>
  <c r="H20" i="2"/>
  <c r="GP20" i="2"/>
  <c r="H3704" i="10" l="1"/>
  <c r="H3667" i="10"/>
  <c r="H3628" i="10"/>
  <c r="H3552" i="10"/>
  <c r="H3515" i="10"/>
  <c r="NX20" i="2"/>
  <c r="IB20" i="2"/>
  <c r="LA20" i="2"/>
  <c r="AU20" i="2"/>
  <c r="DS20" i="2"/>
  <c r="JO20" i="2"/>
  <c r="I20" i="2"/>
  <c r="MM20" i="2"/>
  <c r="CG20" i="2"/>
  <c r="GQ20" i="2"/>
  <c r="FE20" i="2"/>
  <c r="H3705" i="10" l="1"/>
  <c r="H3668" i="10"/>
  <c r="H3629" i="10"/>
  <c r="H3553" i="10"/>
  <c r="H3516" i="10"/>
  <c r="IC20" i="2"/>
  <c r="NY20" i="2"/>
  <c r="MN20" i="2"/>
  <c r="J20" i="2"/>
  <c r="FF20" i="2"/>
  <c r="AV20" i="2"/>
  <c r="GR20" i="2"/>
  <c r="JP20" i="2"/>
  <c r="DT20" i="2"/>
  <c r="CH20" i="2"/>
  <c r="LB20" i="2"/>
  <c r="H3706" i="10" l="1"/>
  <c r="H3669" i="10"/>
  <c r="H3630" i="10"/>
  <c r="H3554" i="10"/>
  <c r="H3517" i="10"/>
  <c r="ID20" i="2"/>
  <c r="NZ20" i="2"/>
  <c r="FG20" i="2"/>
  <c r="AW20" i="2"/>
  <c r="MO20" i="2"/>
  <c r="CI20" i="2"/>
  <c r="K20" i="2"/>
  <c r="DU20" i="2"/>
  <c r="LC20" i="2"/>
  <c r="GS20" i="2"/>
  <c r="H3707" i="10" l="1"/>
  <c r="H3670" i="10"/>
  <c r="H3631" i="10"/>
  <c r="H3555" i="10"/>
  <c r="H3518" i="10"/>
  <c r="OA20" i="2"/>
  <c r="JQ20" i="2"/>
  <c r="IE20" i="2"/>
  <c r="AX20" i="2"/>
  <c r="MP20" i="2"/>
  <c r="L20" i="2"/>
  <c r="CJ20" i="2"/>
  <c r="FH20" i="2"/>
  <c r="LD20" i="2"/>
  <c r="GT20" i="2"/>
  <c r="JR20" i="2"/>
  <c r="DV20" i="2"/>
  <c r="H3708" i="10" l="1"/>
  <c r="H3671" i="10"/>
  <c r="H3632" i="10"/>
  <c r="H3556" i="10"/>
  <c r="H3519" i="10"/>
  <c r="IF20" i="2"/>
  <c r="OB20" i="2"/>
  <c r="FI20" i="2"/>
  <c r="M20" i="2"/>
  <c r="JS20" i="2"/>
  <c r="AY20" i="2"/>
  <c r="LE20" i="2"/>
  <c r="MQ20" i="2"/>
  <c r="GU20" i="2"/>
  <c r="CK20" i="2"/>
  <c r="H3709" i="10" l="1"/>
  <c r="I3671" i="10"/>
  <c r="H3672" i="10"/>
  <c r="H3633" i="10"/>
  <c r="H3557" i="10"/>
  <c r="H3520" i="10"/>
  <c r="I3519" i="10"/>
  <c r="IG20" i="2"/>
  <c r="DW20" i="2"/>
  <c r="OC20" i="2"/>
  <c r="LF20" i="2"/>
  <c r="CL20" i="2"/>
  <c r="N20" i="2"/>
  <c r="DX20" i="2"/>
  <c r="GV20" i="2"/>
  <c r="JT20" i="2"/>
  <c r="MR20" i="2"/>
  <c r="AZ20" i="2"/>
  <c r="FJ20" i="2"/>
  <c r="I3709" i="10" l="1"/>
  <c r="H3710" i="10"/>
  <c r="I3672" i="10"/>
  <c r="H3673" i="10"/>
  <c r="H3634" i="10"/>
  <c r="I3633" i="10"/>
  <c r="H3558" i="10"/>
  <c r="I3557" i="10"/>
  <c r="H3521" i="10"/>
  <c r="I3520" i="10"/>
  <c r="IH20" i="2"/>
  <c r="OD20" i="2"/>
  <c r="O20" i="2"/>
  <c r="LG20" i="2"/>
  <c r="DY20" i="2"/>
  <c r="BA20" i="2"/>
  <c r="GW20" i="2"/>
  <c r="JU20" i="2"/>
  <c r="MS20" i="2"/>
  <c r="CM20" i="2"/>
  <c r="FK20" i="2"/>
  <c r="H3711" i="10" l="1"/>
  <c r="I3710" i="10"/>
  <c r="H3674" i="10"/>
  <c r="I3673" i="10"/>
  <c r="H3635" i="10"/>
  <c r="I3634" i="10"/>
  <c r="H3559" i="10"/>
  <c r="I3558" i="10"/>
  <c r="H3522" i="10"/>
  <c r="I3521" i="10"/>
  <c r="OE20" i="2"/>
  <c r="II20" i="2"/>
  <c r="BB20" i="2"/>
  <c r="GX20" i="2"/>
  <c r="FL20" i="2"/>
  <c r="JV20" i="2"/>
  <c r="MT20" i="2"/>
  <c r="LH20" i="2"/>
  <c r="CN20" i="2"/>
  <c r="P20" i="2"/>
  <c r="DZ20" i="2"/>
  <c r="H3712" i="10" l="1"/>
  <c r="I3711" i="10"/>
  <c r="I3674" i="10"/>
  <c r="H3675" i="10"/>
  <c r="I3635" i="10"/>
  <c r="H3636" i="10"/>
  <c r="H3560" i="10"/>
  <c r="I3559" i="10"/>
  <c r="H3523" i="10"/>
  <c r="I3522" i="10"/>
  <c r="OF20" i="2"/>
  <c r="IJ20" i="2"/>
  <c r="Q20" i="2"/>
  <c r="CO20" i="2"/>
  <c r="BC20" i="2"/>
  <c r="LI20" i="2"/>
  <c r="FM20" i="2"/>
  <c r="GY20" i="2"/>
  <c r="EA20" i="2"/>
  <c r="MU20" i="2"/>
  <c r="I3712" i="10" l="1"/>
  <c r="H3713" i="10"/>
  <c r="H3676" i="10"/>
  <c r="I3675" i="10"/>
  <c r="I3636" i="10"/>
  <c r="H3637" i="10"/>
  <c r="I3560" i="10"/>
  <c r="H3561" i="10"/>
  <c r="H3524" i="10"/>
  <c r="I3523" i="10"/>
  <c r="OG20" i="2"/>
  <c r="JW20" i="2"/>
  <c r="IK20" i="2"/>
  <c r="R20" i="2"/>
  <c r="BD20" i="2"/>
  <c r="GZ20" i="2"/>
  <c r="EB20" i="2"/>
  <c r="CP20" i="2"/>
  <c r="LJ20" i="2"/>
  <c r="FN20" i="2"/>
  <c r="MV20" i="2"/>
  <c r="I3713" i="10" l="1"/>
  <c r="H3714" i="10"/>
  <c r="H3677" i="10"/>
  <c r="I3676" i="10"/>
  <c r="H3638" i="10"/>
  <c r="I3637" i="10"/>
  <c r="H3562" i="10"/>
  <c r="I3561" i="10"/>
  <c r="H3525" i="10"/>
  <c r="I3524" i="10"/>
  <c r="OH20" i="2"/>
  <c r="JX20" i="2"/>
  <c r="IL20" i="2"/>
  <c r="FO20" i="2"/>
  <c r="CQ20" i="2"/>
  <c r="JY20" i="2"/>
  <c r="EC20" i="2"/>
  <c r="LK20" i="2"/>
  <c r="MW20" i="2"/>
  <c r="S20" i="2"/>
  <c r="HA20" i="2"/>
  <c r="BE20" i="2"/>
  <c r="H3715" i="10" l="1"/>
  <c r="I3714" i="10"/>
  <c r="H3678" i="10"/>
  <c r="I3677" i="10"/>
  <c r="H3639" i="10"/>
  <c r="I3638" i="10"/>
  <c r="H3563" i="10"/>
  <c r="I3562" i="10"/>
  <c r="H3526" i="10"/>
  <c r="I3525" i="10"/>
  <c r="OI20" i="2"/>
  <c r="IM20" i="2"/>
  <c r="LL20" i="2"/>
  <c r="JZ20" i="2"/>
  <c r="CR20" i="2"/>
  <c r="FP20" i="2"/>
  <c r="MX20" i="2"/>
  <c r="HB20" i="2"/>
  <c r="BF20" i="2"/>
  <c r="T20" i="2"/>
  <c r="H3716" i="10" l="1"/>
  <c r="I3715" i="10"/>
  <c r="I3678" i="10"/>
  <c r="H3679" i="10"/>
  <c r="I3639" i="10"/>
  <c r="H3640" i="10"/>
  <c r="H3564" i="10"/>
  <c r="I3563" i="10"/>
  <c r="I3526" i="10"/>
  <c r="H3527" i="10"/>
  <c r="IN20" i="2"/>
  <c r="ED20" i="2"/>
  <c r="OJ20" i="2"/>
  <c r="MY20" i="2"/>
  <c r="U20" i="2"/>
  <c r="CS20" i="2"/>
  <c r="LM20" i="2"/>
  <c r="BG20" i="2"/>
  <c r="HC20" i="2"/>
  <c r="FQ20" i="2"/>
  <c r="EE20" i="2"/>
  <c r="KA20" i="2"/>
  <c r="I3716" i="10" l="1"/>
  <c r="H3717" i="10"/>
  <c r="I3679" i="10"/>
  <c r="H3680" i="10"/>
  <c r="H3641" i="10"/>
  <c r="I3640" i="10"/>
  <c r="I3564" i="10"/>
  <c r="H3565" i="10"/>
  <c r="H3528" i="10"/>
  <c r="I3527" i="10"/>
  <c r="OK20" i="2"/>
  <c r="IO20" i="2"/>
  <c r="BH20" i="2"/>
  <c r="HD20" i="2"/>
  <c r="MZ20" i="2"/>
  <c r="LN20" i="2"/>
  <c r="CT20" i="2"/>
  <c r="EF20" i="2"/>
  <c r="V20" i="2"/>
  <c r="KB20" i="2"/>
  <c r="FR20" i="2"/>
  <c r="H3718" i="10" l="1"/>
  <c r="I3717" i="10"/>
  <c r="H3681" i="10"/>
  <c r="I3680" i="10"/>
  <c r="H3642" i="10"/>
  <c r="I3641" i="10"/>
  <c r="I3565" i="10"/>
  <c r="H3566" i="10"/>
  <c r="H3529" i="10"/>
  <c r="I3528" i="10"/>
  <c r="OL20" i="2"/>
  <c r="IP20" i="2"/>
  <c r="EG20" i="2"/>
  <c r="NA20" i="2"/>
  <c r="LO20" i="2"/>
  <c r="BI20" i="2"/>
  <c r="KC20" i="2"/>
  <c r="CU20" i="2"/>
  <c r="HE20" i="2"/>
  <c r="FS20" i="2"/>
  <c r="W20" i="2"/>
  <c r="H3719" i="10" l="1"/>
  <c r="I3718" i="10"/>
  <c r="H3682" i="10"/>
  <c r="I3681" i="10"/>
  <c r="H3643" i="10"/>
  <c r="I3642" i="10"/>
  <c r="H3567" i="10"/>
  <c r="I3566" i="10"/>
  <c r="H3530" i="10"/>
  <c r="I3529" i="10"/>
  <c r="OM20" i="2"/>
  <c r="IQ20" i="2"/>
  <c r="EH20" i="2"/>
  <c r="X20" i="2"/>
  <c r="CV20" i="2"/>
  <c r="KD20" i="2"/>
  <c r="FT20" i="2"/>
  <c r="HF20" i="2"/>
  <c r="NB20" i="2"/>
  <c r="LP20" i="2"/>
  <c r="H3720" i="10" l="1"/>
  <c r="I3719" i="10"/>
  <c r="I3682" i="10"/>
  <c r="H3683" i="10"/>
  <c r="I3643" i="10"/>
  <c r="H3644" i="10"/>
  <c r="H3568" i="10"/>
  <c r="I3567" i="10"/>
  <c r="I3530" i="10"/>
  <c r="H3531" i="10"/>
  <c r="ON20" i="2"/>
  <c r="IR20" i="2"/>
  <c r="I3720" i="10" l="1"/>
  <c r="H3721" i="10"/>
  <c r="H3684" i="10"/>
  <c r="I3683" i="10"/>
  <c r="H3645" i="10"/>
  <c r="I3644" i="10"/>
  <c r="I3568" i="10"/>
  <c r="H3569" i="10"/>
  <c r="H3532" i="10"/>
  <c r="I3531" i="10"/>
  <c r="H4193" i="10"/>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157" i="10"/>
  <c r="H3005" i="10"/>
  <c r="H3006" i="10" s="1"/>
  <c r="H2967" i="10"/>
  <c r="H2968" i="10" s="1"/>
  <c r="H2969" i="10" s="1"/>
  <c r="H2929" i="10"/>
  <c r="H2930" i="10" s="1"/>
  <c r="H2891" i="10"/>
  <c r="H2892" i="10" s="1"/>
  <c r="H2739" i="10"/>
  <c r="H2740" i="10" s="1"/>
  <c r="H2587" i="10"/>
  <c r="H2588" i="10" s="1"/>
  <c r="H2549" i="10"/>
  <c r="H2550" i="10" s="1"/>
  <c r="H2511" i="10"/>
  <c r="H2512" i="10" s="1"/>
  <c r="H2513" i="10" s="1"/>
  <c r="F2454" i="10"/>
  <c r="F2453" i="10"/>
  <c r="F2452" i="10"/>
  <c r="F2451" i="10"/>
  <c r="F2450" i="10"/>
  <c r="F2449" i="10"/>
  <c r="F2448" i="10"/>
  <c r="F2447" i="10"/>
  <c r="F2446" i="10"/>
  <c r="F2445" i="10"/>
  <c r="F2444" i="10"/>
  <c r="F2443" i="10"/>
  <c r="F2442" i="10"/>
  <c r="F2441" i="10"/>
  <c r="F2440" i="10"/>
  <c r="F2439" i="10"/>
  <c r="F2438" i="10"/>
  <c r="F2437" i="10"/>
  <c r="F2436" i="10"/>
  <c r="F2435" i="10"/>
  <c r="F2434" i="10"/>
  <c r="F2416" i="10"/>
  <c r="F2415" i="10"/>
  <c r="F2414" i="10"/>
  <c r="F2413" i="10"/>
  <c r="F2412" i="10"/>
  <c r="F2411" i="10"/>
  <c r="F2410" i="10"/>
  <c r="F2409" i="10"/>
  <c r="F2408" i="10"/>
  <c r="F2407" i="10"/>
  <c r="F2406" i="10"/>
  <c r="F2405" i="10"/>
  <c r="F2404" i="10"/>
  <c r="F2403" i="10"/>
  <c r="F2402" i="10"/>
  <c r="F2401" i="10"/>
  <c r="F2400" i="10"/>
  <c r="F2399" i="10"/>
  <c r="F2398" i="10"/>
  <c r="F2397" i="10"/>
  <c r="F2396" i="10"/>
  <c r="F2378" i="10"/>
  <c r="F2377" i="10"/>
  <c r="F2376" i="10"/>
  <c r="F2375" i="10"/>
  <c r="F2374" i="10"/>
  <c r="F2373" i="10"/>
  <c r="F2372" i="10"/>
  <c r="F2371" i="10"/>
  <c r="F2370" i="10"/>
  <c r="F2369" i="10"/>
  <c r="F2368" i="10"/>
  <c r="F2367" i="10"/>
  <c r="F2366" i="10"/>
  <c r="F2365" i="10"/>
  <c r="F2364" i="10"/>
  <c r="F2363" i="10"/>
  <c r="F2362" i="10"/>
  <c r="F2361" i="10"/>
  <c r="F2360" i="10"/>
  <c r="F2359" i="10"/>
  <c r="F2358" i="10"/>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1903" i="10"/>
  <c r="H1904" i="10" s="1"/>
  <c r="H1751" i="10"/>
  <c r="H1752" i="10" s="1"/>
  <c r="H1753" i="10" s="1"/>
  <c r="H1713" i="10"/>
  <c r="H1714" i="10" s="1"/>
  <c r="H1675" i="10"/>
  <c r="H4145" i="10"/>
  <c r="H4146" i="10" s="1"/>
  <c r="H4147" i="10" s="1"/>
  <c r="H4148" i="10" s="1"/>
  <c r="H3993" i="10"/>
  <c r="H3994"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3722" i="10" l="1"/>
  <c r="I3721" i="10"/>
  <c r="H3685" i="10"/>
  <c r="I3684" i="10"/>
  <c r="H3646" i="10"/>
  <c r="I3645" i="10"/>
  <c r="I3569" i="10"/>
  <c r="H3570" i="10"/>
  <c r="H3533" i="10"/>
  <c r="I3532" i="10"/>
  <c r="H2494" i="10"/>
  <c r="I2493" i="10"/>
  <c r="H2342" i="10"/>
  <c r="I2341" i="10"/>
  <c r="H2190" i="10"/>
  <c r="I2189" i="10"/>
  <c r="H2152" i="10"/>
  <c r="I2151" i="10"/>
  <c r="H2114" i="10"/>
  <c r="I2113" i="10"/>
  <c r="H1658" i="10"/>
  <c r="I1657" i="10"/>
  <c r="H1506" i="10"/>
  <c r="I1505" i="10"/>
  <c r="H1354" i="10"/>
  <c r="I1353" i="10"/>
  <c r="H1316" i="10"/>
  <c r="I1315" i="10"/>
  <c r="H1278" i="10"/>
  <c r="I1277" i="10"/>
  <c r="H1240" i="10"/>
  <c r="I1239" i="10"/>
  <c r="H1088" i="10"/>
  <c r="I1087" i="10"/>
  <c r="H936" i="10"/>
  <c r="I935" i="10"/>
  <c r="H898" i="10"/>
  <c r="I897" i="10"/>
  <c r="H860" i="10"/>
  <c r="I859" i="10"/>
  <c r="H822" i="10"/>
  <c r="I821" i="10"/>
  <c r="H670" i="10"/>
  <c r="I669" i="10"/>
  <c r="I4194" i="10"/>
  <c r="I4193" i="10"/>
  <c r="I4182" i="10"/>
  <c r="I4183" i="10"/>
  <c r="H3158" i="10"/>
  <c r="H2970" i="10"/>
  <c r="H3007" i="10"/>
  <c r="H3311" i="10"/>
  <c r="H2931" i="10"/>
  <c r="H2741" i="10"/>
  <c r="H2514" i="10"/>
  <c r="H2589" i="10"/>
  <c r="H2551" i="10"/>
  <c r="H2893" i="10"/>
  <c r="H1676" i="10"/>
  <c r="H1677" i="10" s="1"/>
  <c r="H1678" i="10" s="1"/>
  <c r="H1679" i="10" s="1"/>
  <c r="H1715" i="10"/>
  <c r="H1905" i="10"/>
  <c r="H1754" i="10"/>
  <c r="H2059" i="10"/>
  <c r="H3995" i="10"/>
  <c r="H3768" i="10"/>
  <c r="H3845" i="10"/>
  <c r="H3805" i="10"/>
  <c r="H4149" i="10"/>
  <c r="H3723" i="10" l="1"/>
  <c r="I3722" i="10"/>
  <c r="H3686" i="10"/>
  <c r="I3686" i="10" s="1"/>
  <c r="I3685" i="10"/>
  <c r="H3647" i="10"/>
  <c r="I3646" i="10"/>
  <c r="H3571" i="10"/>
  <c r="I3570" i="10"/>
  <c r="H3534" i="10"/>
  <c r="I3534" i="10" s="1"/>
  <c r="I3533" i="10"/>
  <c r="H2495" i="10"/>
  <c r="I2494" i="10"/>
  <c r="H2343" i="10"/>
  <c r="I2342" i="10"/>
  <c r="H2191" i="10"/>
  <c r="I2190" i="10"/>
  <c r="H2153" i="10"/>
  <c r="I2152" i="10"/>
  <c r="H2115" i="10"/>
  <c r="I2114" i="10"/>
  <c r="H1659" i="10"/>
  <c r="I1658" i="10"/>
  <c r="H1507" i="10"/>
  <c r="I1506" i="10"/>
  <c r="I1354" i="10"/>
  <c r="H1355" i="10"/>
  <c r="H1317" i="10"/>
  <c r="I1316" i="10"/>
  <c r="H1279" i="10"/>
  <c r="I1278" i="10"/>
  <c r="H1241" i="10"/>
  <c r="I1240" i="10"/>
  <c r="H1089" i="10"/>
  <c r="I1088" i="10"/>
  <c r="H937" i="10"/>
  <c r="I936" i="10"/>
  <c r="H899" i="10"/>
  <c r="I898" i="10"/>
  <c r="H861" i="10"/>
  <c r="I860" i="10"/>
  <c r="H823" i="10"/>
  <c r="I822" i="10"/>
  <c r="H671" i="10"/>
  <c r="I670" i="10"/>
  <c r="H2971" i="10"/>
  <c r="H3008" i="10"/>
  <c r="H3159" i="10"/>
  <c r="H2932" i="10"/>
  <c r="H3312" i="10"/>
  <c r="H2590" i="10"/>
  <c r="H2894" i="10"/>
  <c r="H2515" i="10"/>
  <c r="H2552" i="10"/>
  <c r="H2742" i="10"/>
  <c r="H1906" i="10"/>
  <c r="H2060" i="10"/>
  <c r="H1755" i="10"/>
  <c r="H1680" i="10"/>
  <c r="H1716" i="10"/>
  <c r="H3846" i="10"/>
  <c r="H4150" i="10"/>
  <c r="H3769" i="10"/>
  <c r="H3806" i="10"/>
  <c r="H3996" i="10"/>
  <c r="H3724" i="10" l="1"/>
  <c r="I3724" i="10" s="1"/>
  <c r="I3723" i="10"/>
  <c r="H3648" i="10"/>
  <c r="I3648" i="10" s="1"/>
  <c r="I3647" i="10"/>
  <c r="H3572" i="10"/>
  <c r="I3572" i="10" s="1"/>
  <c r="I3571" i="10"/>
  <c r="H2496" i="10"/>
  <c r="I2495" i="10"/>
  <c r="H2344" i="10"/>
  <c r="I2343" i="10"/>
  <c r="H2192" i="10"/>
  <c r="I2191" i="10"/>
  <c r="H2154" i="10"/>
  <c r="I2153" i="10"/>
  <c r="H2116" i="10"/>
  <c r="I2115" i="10"/>
  <c r="H1660" i="10"/>
  <c r="I1659" i="10"/>
  <c r="H1508" i="10"/>
  <c r="I1507" i="10"/>
  <c r="H1356" i="10"/>
  <c r="I1355" i="10"/>
  <c r="H1318" i="10"/>
  <c r="I1317" i="10"/>
  <c r="H1280" i="10"/>
  <c r="I1279" i="10"/>
  <c r="H1242" i="10"/>
  <c r="I1241" i="10"/>
  <c r="H1090" i="10"/>
  <c r="I1089" i="10"/>
  <c r="H938" i="10"/>
  <c r="I937" i="10"/>
  <c r="H900" i="10"/>
  <c r="I899" i="10"/>
  <c r="H862" i="10"/>
  <c r="I861" i="10"/>
  <c r="H824" i="10"/>
  <c r="I823" i="10"/>
  <c r="H672" i="10"/>
  <c r="I671" i="10"/>
  <c r="H3009" i="10"/>
  <c r="H2933" i="10"/>
  <c r="H2972" i="10"/>
  <c r="H3160" i="10"/>
  <c r="H3313" i="10"/>
  <c r="H2895" i="10"/>
  <c r="H2743" i="10"/>
  <c r="H2591" i="10"/>
  <c r="H2516" i="10"/>
  <c r="H2553" i="10"/>
  <c r="H1907" i="10"/>
  <c r="H1717" i="10"/>
  <c r="H1681" i="10"/>
  <c r="H1756" i="10"/>
  <c r="H2061" i="10"/>
  <c r="H3997" i="10"/>
  <c r="H3807" i="10"/>
  <c r="H4151" i="10"/>
  <c r="H3770" i="10"/>
  <c r="H3847" i="10"/>
  <c r="H2497" i="10" l="1"/>
  <c r="I2496" i="10"/>
  <c r="H2345" i="10"/>
  <c r="I2344" i="10"/>
  <c r="H2193" i="10"/>
  <c r="I2192" i="10"/>
  <c r="I2154" i="10"/>
  <c r="H2155" i="10"/>
  <c r="H2117" i="10"/>
  <c r="I2116" i="10"/>
  <c r="H1661" i="10"/>
  <c r="I1660" i="10"/>
  <c r="H1509" i="10"/>
  <c r="I1508" i="10"/>
  <c r="H1357" i="10"/>
  <c r="I1356" i="10"/>
  <c r="H1319" i="10"/>
  <c r="I1318" i="10"/>
  <c r="H1281" i="10"/>
  <c r="I1280" i="10"/>
  <c r="H1243" i="10"/>
  <c r="I1242" i="10"/>
  <c r="I1090" i="10"/>
  <c r="H1091" i="10"/>
  <c r="I938" i="10"/>
  <c r="H939" i="10"/>
  <c r="H901" i="10"/>
  <c r="I900" i="10"/>
  <c r="H863" i="10"/>
  <c r="I862" i="10"/>
  <c r="H825" i="10"/>
  <c r="I824" i="10"/>
  <c r="H673" i="10"/>
  <c r="I672" i="10"/>
  <c r="H2973" i="10"/>
  <c r="H2934" i="10"/>
  <c r="H3161" i="10"/>
  <c r="H3314" i="10"/>
  <c r="H3010" i="10"/>
  <c r="H2592" i="10"/>
  <c r="H2554" i="10"/>
  <c r="H2896" i="10"/>
  <c r="H2744" i="10"/>
  <c r="H2517" i="10"/>
  <c r="H1757" i="10"/>
  <c r="H2062" i="10"/>
  <c r="H1718" i="10"/>
  <c r="H1908" i="10"/>
  <c r="H1682" i="10"/>
  <c r="H3998" i="10"/>
  <c r="H3848" i="10"/>
  <c r="H3808" i="10"/>
  <c r="H3771" i="10"/>
  <c r="H4152" i="10"/>
  <c r="H2498" i="10" l="1"/>
  <c r="I2497" i="10"/>
  <c r="H2346" i="10"/>
  <c r="I2345" i="10"/>
  <c r="H2194" i="10"/>
  <c r="I2193" i="10"/>
  <c r="H2156" i="10"/>
  <c r="I2155" i="10"/>
  <c r="H2118" i="10"/>
  <c r="I2117" i="10"/>
  <c r="H1662" i="10"/>
  <c r="I1661" i="10"/>
  <c r="H1510" i="10"/>
  <c r="I1509" i="10"/>
  <c r="H1358" i="10"/>
  <c r="I1357" i="10"/>
  <c r="H1320" i="10"/>
  <c r="I1319" i="10"/>
  <c r="H1282" i="10"/>
  <c r="I1281" i="10"/>
  <c r="H1244" i="10"/>
  <c r="I1243" i="10"/>
  <c r="H1092" i="10"/>
  <c r="I1091" i="10"/>
  <c r="H940" i="10"/>
  <c r="I939" i="10"/>
  <c r="H902" i="10"/>
  <c r="I901" i="10"/>
  <c r="H864" i="10"/>
  <c r="I863" i="10"/>
  <c r="H826" i="10"/>
  <c r="I825" i="10"/>
  <c r="H674" i="10"/>
  <c r="I673" i="10"/>
  <c r="H2935" i="10"/>
  <c r="H2974" i="10"/>
  <c r="H3011" i="10"/>
  <c r="H3315" i="10"/>
  <c r="H3162" i="10"/>
  <c r="H2745" i="10"/>
  <c r="H2897" i="10"/>
  <c r="H2518" i="10"/>
  <c r="H2593" i="10"/>
  <c r="H2555" i="10"/>
  <c r="H1758" i="10"/>
  <c r="H1683" i="10"/>
  <c r="H1719" i="10"/>
  <c r="H1909" i="10"/>
  <c r="H2063" i="10"/>
  <c r="H3999" i="10"/>
  <c r="H3772" i="10"/>
  <c r="H4153" i="10"/>
  <c r="H3849" i="10"/>
  <c r="H3809" i="10"/>
  <c r="H2499" i="10" l="1"/>
  <c r="I2498" i="10"/>
  <c r="I2346" i="10"/>
  <c r="H2347" i="10"/>
  <c r="H2195" i="10"/>
  <c r="I2194" i="10"/>
  <c r="H2157" i="10"/>
  <c r="I2156" i="10"/>
  <c r="H2119" i="10"/>
  <c r="I2118" i="10"/>
  <c r="H1663" i="10"/>
  <c r="I1662" i="10"/>
  <c r="H1511" i="10"/>
  <c r="I1510" i="10"/>
  <c r="H1359" i="10"/>
  <c r="I1358" i="10"/>
  <c r="H1321" i="10"/>
  <c r="I1320" i="10"/>
  <c r="H1283" i="10"/>
  <c r="I1282" i="10"/>
  <c r="H1245" i="10"/>
  <c r="I1244" i="10"/>
  <c r="I1092" i="10"/>
  <c r="H1093" i="10"/>
  <c r="H941" i="10"/>
  <c r="I940" i="10"/>
  <c r="H903" i="10"/>
  <c r="I902" i="10"/>
  <c r="H865" i="10"/>
  <c r="I864" i="10"/>
  <c r="H827" i="10"/>
  <c r="I826" i="10"/>
  <c r="H675" i="10"/>
  <c r="I674" i="10"/>
  <c r="H3163" i="10"/>
  <c r="H2975" i="10"/>
  <c r="H3316" i="10"/>
  <c r="H3012" i="10"/>
  <c r="H2936" i="10"/>
  <c r="H2519" i="10"/>
  <c r="H2898" i="10"/>
  <c r="H2594" i="10"/>
  <c r="H2556" i="10"/>
  <c r="H2746" i="10"/>
  <c r="H2064" i="10"/>
  <c r="H1910" i="10"/>
  <c r="H1720" i="10"/>
  <c r="H1759" i="10"/>
  <c r="H1684" i="10"/>
  <c r="H3850" i="10"/>
  <c r="H4000" i="10"/>
  <c r="H3810" i="10"/>
  <c r="H4154" i="10"/>
  <c r="H3773" i="10"/>
  <c r="H2500" i="10" l="1"/>
  <c r="I2499" i="10"/>
  <c r="H2348" i="10"/>
  <c r="I2347" i="10"/>
  <c r="H2196" i="10"/>
  <c r="I2195" i="10"/>
  <c r="I2157" i="10"/>
  <c r="H2158" i="10"/>
  <c r="H2120" i="10"/>
  <c r="I2119" i="10"/>
  <c r="H1664" i="10"/>
  <c r="I1663" i="10"/>
  <c r="H1512" i="10"/>
  <c r="I1511" i="10"/>
  <c r="H1360" i="10"/>
  <c r="I1359" i="10"/>
  <c r="H1322" i="10"/>
  <c r="I1321" i="10"/>
  <c r="I1283" i="10"/>
  <c r="H1284" i="10"/>
  <c r="H1246" i="10"/>
  <c r="I1245" i="10"/>
  <c r="I1093" i="10"/>
  <c r="H1094" i="10"/>
  <c r="H942" i="10"/>
  <c r="I941" i="10"/>
  <c r="H904" i="10"/>
  <c r="I903" i="10"/>
  <c r="H866" i="10"/>
  <c r="I865" i="10"/>
  <c r="H828" i="10"/>
  <c r="I827" i="10"/>
  <c r="H676" i="10"/>
  <c r="I675" i="10"/>
  <c r="H2937" i="10"/>
  <c r="H3013" i="10"/>
  <c r="H2976" i="10"/>
  <c r="H3164" i="10"/>
  <c r="H3317" i="10"/>
  <c r="H2557" i="10"/>
  <c r="H2747" i="10"/>
  <c r="H2595" i="10"/>
  <c r="H2899" i="10"/>
  <c r="H2520" i="10"/>
  <c r="H1721" i="10"/>
  <c r="H1760" i="10"/>
  <c r="H1685" i="10"/>
  <c r="H2065" i="10"/>
  <c r="H1911" i="10"/>
  <c r="H4155" i="10"/>
  <c r="H3851" i="10"/>
  <c r="H4001" i="10"/>
  <c r="H3774" i="10"/>
  <c r="H3811" i="10"/>
  <c r="H2501" i="10" l="1"/>
  <c r="I2500" i="10"/>
  <c r="H2349" i="10"/>
  <c r="I2348" i="10"/>
  <c r="H2197" i="10"/>
  <c r="I2196" i="10"/>
  <c r="H2159" i="10"/>
  <c r="I2158" i="10"/>
  <c r="H2121" i="10"/>
  <c r="I2120" i="10"/>
  <c r="H1665" i="10"/>
  <c r="I1664" i="10"/>
  <c r="H1513" i="10"/>
  <c r="I1512" i="10"/>
  <c r="H1361" i="10"/>
  <c r="I1360" i="10"/>
  <c r="H1323" i="10"/>
  <c r="I1322" i="10"/>
  <c r="H1285" i="10"/>
  <c r="I1284" i="10"/>
  <c r="H1247" i="10"/>
  <c r="I1246" i="10"/>
  <c r="H1095" i="10"/>
  <c r="I1094" i="10"/>
  <c r="H943" i="10"/>
  <c r="I942" i="10"/>
  <c r="H905" i="10"/>
  <c r="I904" i="10"/>
  <c r="H867" i="10"/>
  <c r="I866" i="10"/>
  <c r="H829" i="10"/>
  <c r="I828" i="10"/>
  <c r="H677" i="10"/>
  <c r="I676" i="10"/>
  <c r="H2938" i="10"/>
  <c r="H3165" i="10"/>
  <c r="H3318" i="10"/>
  <c r="H3014" i="10"/>
  <c r="H2977" i="10"/>
  <c r="H2748" i="10"/>
  <c r="H2521" i="10"/>
  <c r="H2596" i="10"/>
  <c r="H2900" i="10"/>
  <c r="H2558" i="10"/>
  <c r="H1686" i="10"/>
  <c r="H1761" i="10"/>
  <c r="H2066" i="10"/>
  <c r="H1722" i="10"/>
  <c r="H1912" i="10"/>
  <c r="H4156" i="10"/>
  <c r="H3852" i="10"/>
  <c r="H3812" i="10"/>
  <c r="H4002" i="10"/>
  <c r="H3775" i="10"/>
  <c r="H2502" i="10" l="1"/>
  <c r="I2501" i="10"/>
  <c r="H2350" i="10"/>
  <c r="I2349" i="10"/>
  <c r="I2197" i="10"/>
  <c r="H2198" i="10"/>
  <c r="H2160" i="10"/>
  <c r="I2159" i="10"/>
  <c r="H2122" i="10"/>
  <c r="I2121" i="10"/>
  <c r="H1666" i="10"/>
  <c r="I1665" i="10"/>
  <c r="H1514" i="10"/>
  <c r="I1513" i="10"/>
  <c r="H1362" i="10"/>
  <c r="I1361" i="10"/>
  <c r="H1324" i="10"/>
  <c r="I1323" i="10"/>
  <c r="I1285" i="10"/>
  <c r="H1286" i="10"/>
  <c r="H1248" i="10"/>
  <c r="I1247" i="10"/>
  <c r="H1096" i="10"/>
  <c r="I1095" i="10"/>
  <c r="I943" i="10"/>
  <c r="H944" i="10"/>
  <c r="H906" i="10"/>
  <c r="I905" i="10"/>
  <c r="H868" i="10"/>
  <c r="I867" i="10"/>
  <c r="H830" i="10"/>
  <c r="I829" i="10"/>
  <c r="H678" i="10"/>
  <c r="I677" i="10"/>
  <c r="H3015" i="10"/>
  <c r="H3166" i="10"/>
  <c r="H2978" i="10"/>
  <c r="H3319" i="10"/>
  <c r="H2939" i="10"/>
  <c r="H2597" i="10"/>
  <c r="H2522" i="10"/>
  <c r="H2559" i="10"/>
  <c r="H2901" i="10"/>
  <c r="H2749" i="10"/>
  <c r="H1723" i="10"/>
  <c r="H1913" i="10"/>
  <c r="H2067" i="10"/>
  <c r="H1762" i="10"/>
  <c r="H1687" i="10"/>
  <c r="H3853" i="10"/>
  <c r="H4003" i="10"/>
  <c r="H3776" i="10"/>
  <c r="H4157" i="10"/>
  <c r="H3813" i="10"/>
  <c r="H2503" i="10" l="1"/>
  <c r="I2502" i="10"/>
  <c r="H2351" i="10"/>
  <c r="I2350" i="10"/>
  <c r="I2198" i="10"/>
  <c r="H2199" i="10"/>
  <c r="H2161" i="10"/>
  <c r="I2160" i="10"/>
  <c r="H2123" i="10"/>
  <c r="I2122" i="10"/>
  <c r="H1667" i="10"/>
  <c r="I1666" i="10"/>
  <c r="H1515" i="10"/>
  <c r="I1514" i="10"/>
  <c r="H1363" i="10"/>
  <c r="I1362" i="10"/>
  <c r="H1325" i="10"/>
  <c r="I1324" i="10"/>
  <c r="I1286" i="10"/>
  <c r="H1287" i="10"/>
  <c r="H1249" i="10"/>
  <c r="I1248" i="10"/>
  <c r="H1097" i="10"/>
  <c r="I1096" i="10"/>
  <c r="H945" i="10"/>
  <c r="I944" i="10"/>
  <c r="H907" i="10"/>
  <c r="I906" i="10"/>
  <c r="H869" i="10"/>
  <c r="I868" i="10"/>
  <c r="H831" i="10"/>
  <c r="I830" i="10"/>
  <c r="H679" i="10"/>
  <c r="I678" i="10"/>
  <c r="H3320" i="10"/>
  <c r="H3167" i="10"/>
  <c r="H2979" i="10"/>
  <c r="H2940" i="10"/>
  <c r="H3016" i="10"/>
  <c r="H2523" i="10"/>
  <c r="H2750" i="10"/>
  <c r="H2598" i="10"/>
  <c r="H2560" i="10"/>
  <c r="H2902" i="10"/>
  <c r="H1688" i="10"/>
  <c r="H1763" i="10"/>
  <c r="H1914" i="10"/>
  <c r="H2068" i="10"/>
  <c r="H1724" i="10"/>
  <c r="H3777" i="10"/>
  <c r="H4158" i="10"/>
  <c r="H3814" i="10"/>
  <c r="H4004" i="10"/>
  <c r="H3854" i="10"/>
  <c r="H2504" i="10" l="1"/>
  <c r="I2503" i="10"/>
  <c r="H2352" i="10"/>
  <c r="I2351" i="10"/>
  <c r="I2199" i="10"/>
  <c r="H2200" i="10"/>
  <c r="H2162" i="10"/>
  <c r="I2161" i="10"/>
  <c r="H2124" i="10"/>
  <c r="I2123" i="10"/>
  <c r="H1668" i="10"/>
  <c r="I1667" i="10"/>
  <c r="H1516" i="10"/>
  <c r="I1515" i="10"/>
  <c r="I1363" i="10"/>
  <c r="H1364" i="10"/>
  <c r="H1326" i="10"/>
  <c r="I1325" i="10"/>
  <c r="H1288" i="10"/>
  <c r="I1287" i="10"/>
  <c r="H1250" i="10"/>
  <c r="I1249" i="10"/>
  <c r="H1098" i="10"/>
  <c r="I1097" i="10"/>
  <c r="H946" i="10"/>
  <c r="I945" i="10"/>
  <c r="H908" i="10"/>
  <c r="I907" i="10"/>
  <c r="H870" i="10"/>
  <c r="I869" i="10"/>
  <c r="H832" i="10"/>
  <c r="I831" i="10"/>
  <c r="H680" i="10"/>
  <c r="I679" i="10"/>
  <c r="H2980" i="10"/>
  <c r="H3017" i="10"/>
  <c r="H2941" i="10"/>
  <c r="H3168" i="10"/>
  <c r="H3321" i="10"/>
  <c r="H2903" i="10"/>
  <c r="H2751" i="10"/>
  <c r="H2599" i="10"/>
  <c r="H2561" i="10"/>
  <c r="H2524" i="10"/>
  <c r="H2069" i="10"/>
  <c r="H1725" i="10"/>
  <c r="H1915" i="10"/>
  <c r="H1764" i="10"/>
  <c r="H1689" i="10"/>
  <c r="H3855" i="10"/>
  <c r="H4159" i="10"/>
  <c r="H3778" i="10"/>
  <c r="H3815" i="10"/>
  <c r="H4005" i="10"/>
  <c r="H2505" i="10" l="1"/>
  <c r="I2504" i="10"/>
  <c r="H2353" i="10"/>
  <c r="I2352" i="10"/>
  <c r="I2200" i="10"/>
  <c r="H2201" i="10"/>
  <c r="H2163" i="10"/>
  <c r="I2162" i="10"/>
  <c r="H2125" i="10"/>
  <c r="I2124" i="10"/>
  <c r="H1669" i="10"/>
  <c r="I1668" i="10"/>
  <c r="H1517" i="10"/>
  <c r="I1516" i="10"/>
  <c r="H1365" i="10"/>
  <c r="I1364" i="10"/>
  <c r="H1327" i="10"/>
  <c r="I1326" i="10"/>
  <c r="I1288" i="10"/>
  <c r="H1289" i="10"/>
  <c r="H1251" i="10"/>
  <c r="I1250" i="10"/>
  <c r="H1099" i="10"/>
  <c r="I1098" i="10"/>
  <c r="H947" i="10"/>
  <c r="I946" i="10"/>
  <c r="H909" i="10"/>
  <c r="I908" i="10"/>
  <c r="H871" i="10"/>
  <c r="I870" i="10"/>
  <c r="H833" i="10"/>
  <c r="I832" i="10"/>
  <c r="H681" i="10"/>
  <c r="I680" i="10"/>
  <c r="H3322" i="10"/>
  <c r="H3018" i="10"/>
  <c r="H3169" i="10"/>
  <c r="H2942" i="10"/>
  <c r="H2981" i="10"/>
  <c r="H2600" i="10"/>
  <c r="H2752" i="10"/>
  <c r="H2525" i="10"/>
  <c r="H2562" i="10"/>
  <c r="H2904" i="10"/>
  <c r="H1765" i="10"/>
  <c r="H1726" i="10"/>
  <c r="H2070" i="10"/>
  <c r="H1916" i="10"/>
  <c r="H1690" i="10"/>
  <c r="H4006" i="10"/>
  <c r="H4160" i="10"/>
  <c r="H3779" i="10"/>
  <c r="H3856" i="10"/>
  <c r="H3816" i="10"/>
  <c r="H2506" i="10" l="1"/>
  <c r="I2505" i="10"/>
  <c r="H2354" i="10"/>
  <c r="I2353" i="10"/>
  <c r="H2202" i="10"/>
  <c r="I2201" i="10"/>
  <c r="H2164" i="10"/>
  <c r="I2163" i="10"/>
  <c r="H2126" i="10"/>
  <c r="I2125" i="10"/>
  <c r="H1670" i="10"/>
  <c r="I1669" i="10"/>
  <c r="H1518" i="10"/>
  <c r="I1517" i="10"/>
  <c r="H1366" i="10"/>
  <c r="I1365" i="10"/>
  <c r="H1328" i="10"/>
  <c r="I1327" i="10"/>
  <c r="I1289" i="10"/>
  <c r="H1290" i="10"/>
  <c r="H1252" i="10"/>
  <c r="I1251" i="10"/>
  <c r="H1100" i="10"/>
  <c r="I1099" i="10"/>
  <c r="I947" i="10"/>
  <c r="H948" i="10"/>
  <c r="H910" i="10"/>
  <c r="I909" i="10"/>
  <c r="H872" i="10"/>
  <c r="I871" i="10"/>
  <c r="H834" i="10"/>
  <c r="I833" i="10"/>
  <c r="H682" i="10"/>
  <c r="I681" i="10"/>
  <c r="H2943" i="10"/>
  <c r="H2982" i="10"/>
  <c r="H3323" i="10"/>
  <c r="H3170" i="10"/>
  <c r="H3019" i="10"/>
  <c r="H2526" i="10"/>
  <c r="H2905" i="10"/>
  <c r="H2601" i="10"/>
  <c r="H2563" i="10"/>
  <c r="H2753" i="10"/>
  <c r="H1691" i="10"/>
  <c r="H1766" i="10"/>
  <c r="H1727" i="10"/>
  <c r="H2071" i="10"/>
  <c r="H1917" i="10"/>
  <c r="H3857" i="10"/>
  <c r="H3780" i="10"/>
  <c r="H4161" i="10"/>
  <c r="H3817" i="10"/>
  <c r="H4007" i="10"/>
  <c r="H2507" i="10" l="1"/>
  <c r="I2506" i="10"/>
  <c r="H2355" i="10"/>
  <c r="I2354" i="10"/>
  <c r="H2203" i="10"/>
  <c r="I2202" i="10"/>
  <c r="H2165" i="10"/>
  <c r="I2164" i="10"/>
  <c r="H2127" i="10"/>
  <c r="I2126" i="10"/>
  <c r="H1671" i="10"/>
  <c r="I1670" i="10"/>
  <c r="H1519" i="10"/>
  <c r="I1518" i="10"/>
  <c r="H1367" i="10"/>
  <c r="I1366" i="10"/>
  <c r="H1329" i="10"/>
  <c r="I1328" i="10"/>
  <c r="H1291" i="10"/>
  <c r="I1290" i="10"/>
  <c r="H1253" i="10"/>
  <c r="I1252" i="10"/>
  <c r="I1100" i="10"/>
  <c r="H1101" i="10"/>
  <c r="I948" i="10"/>
  <c r="H949" i="10"/>
  <c r="H911" i="10"/>
  <c r="I910" i="10"/>
  <c r="H873" i="10"/>
  <c r="I872" i="10"/>
  <c r="H835" i="10"/>
  <c r="I834" i="10"/>
  <c r="H683" i="10"/>
  <c r="I682" i="10"/>
  <c r="H2983" i="10"/>
  <c r="H3020" i="10"/>
  <c r="H2944" i="10"/>
  <c r="H3171" i="10"/>
  <c r="H3324" i="10"/>
  <c r="H2754" i="10"/>
  <c r="H2906" i="10"/>
  <c r="H2602" i="10"/>
  <c r="H2527" i="10"/>
  <c r="H2564" i="10"/>
  <c r="H1728" i="10"/>
  <c r="H1692" i="10"/>
  <c r="H1918" i="10"/>
  <c r="H2072" i="10"/>
  <c r="H1767" i="10"/>
  <c r="H3818" i="10"/>
  <c r="H4008" i="10"/>
  <c r="H3781" i="10"/>
  <c r="H4162" i="10"/>
  <c r="H3858" i="10"/>
  <c r="H2508" i="10" l="1"/>
  <c r="I2508" i="10" s="1"/>
  <c r="I2507" i="10"/>
  <c r="H2356" i="10"/>
  <c r="I2356" i="10" s="1"/>
  <c r="I2355" i="10"/>
  <c r="H2204" i="10"/>
  <c r="I2204" i="10" s="1"/>
  <c r="I2203" i="10"/>
  <c r="I2165" i="10"/>
  <c r="H2166" i="10"/>
  <c r="I2166" i="10" s="1"/>
  <c r="H2128" i="10"/>
  <c r="I2128" i="10" s="1"/>
  <c r="I2127" i="10"/>
  <c r="H1672" i="10"/>
  <c r="I1672" i="10" s="1"/>
  <c r="I1671" i="10"/>
  <c r="H1520" i="10"/>
  <c r="I1520" i="10" s="1"/>
  <c r="I1519" i="10"/>
  <c r="H1368" i="10"/>
  <c r="I1368" i="10" s="1"/>
  <c r="I1367" i="10"/>
  <c r="H1330" i="10"/>
  <c r="I1330" i="10" s="1"/>
  <c r="I1329" i="10"/>
  <c r="I1291" i="10"/>
  <c r="H1292" i="10"/>
  <c r="I1292" i="10" s="1"/>
  <c r="H1254" i="10"/>
  <c r="I1254" i="10" s="1"/>
  <c r="I1253" i="10"/>
  <c r="H1102" i="10"/>
  <c r="I1102" i="10" s="1"/>
  <c r="I1101" i="10"/>
  <c r="H950" i="10"/>
  <c r="I950" i="10" s="1"/>
  <c r="I949" i="10"/>
  <c r="H912" i="10"/>
  <c r="I912" i="10" s="1"/>
  <c r="I911" i="10"/>
  <c r="H874" i="10"/>
  <c r="I874" i="10" s="1"/>
  <c r="I873" i="10"/>
  <c r="H836" i="10"/>
  <c r="I836" i="10" s="1"/>
  <c r="I835" i="10"/>
  <c r="H684" i="10"/>
  <c r="I684" i="10" s="1"/>
  <c r="I683" i="10"/>
  <c r="H2984" i="10"/>
  <c r="H3172" i="10"/>
  <c r="H2945" i="10"/>
  <c r="H3325" i="10"/>
  <c r="H3021" i="10"/>
  <c r="H2565" i="10"/>
  <c r="H2907" i="10"/>
  <c r="H2528" i="10"/>
  <c r="H2603" i="10"/>
  <c r="H2755" i="10"/>
  <c r="H1768" i="10"/>
  <c r="H1919" i="10"/>
  <c r="H1729" i="10"/>
  <c r="H2073" i="10"/>
  <c r="H1693" i="10"/>
  <c r="H3859" i="10"/>
  <c r="H4009" i="10"/>
  <c r="H3782" i="10"/>
  <c r="H3819" i="10"/>
  <c r="H4163" i="10"/>
  <c r="H3326" i="10" l="1"/>
  <c r="H2985" i="10"/>
  <c r="H3173" i="10"/>
  <c r="H2946" i="10"/>
  <c r="H3022" i="10"/>
  <c r="H2908" i="10"/>
  <c r="H2529" i="10"/>
  <c r="H2566" i="10"/>
  <c r="H2756" i="10"/>
  <c r="H2604" i="10"/>
  <c r="H1920" i="10"/>
  <c r="H1769" i="10"/>
  <c r="H1694" i="10"/>
  <c r="H1695" i="10" s="1"/>
  <c r="H2074" i="10"/>
  <c r="H2075" i="10" s="1"/>
  <c r="H1730" i="10"/>
  <c r="H3783" i="10"/>
  <c r="H4164" i="10"/>
  <c r="H4165" i="10" s="1"/>
  <c r="H4010" i="10"/>
  <c r="H3860" i="10"/>
  <c r="H3861" i="10" s="1"/>
  <c r="H3820" i="10"/>
  <c r="H4166" i="10" l="1"/>
  <c r="I4165" i="10"/>
  <c r="H3862" i="10"/>
  <c r="I3861" i="10"/>
  <c r="H2076" i="10"/>
  <c r="I2075" i="10"/>
  <c r="H1696" i="10"/>
  <c r="I1695" i="10"/>
  <c r="H3174" i="10"/>
  <c r="H2947" i="10"/>
  <c r="H2986" i="10"/>
  <c r="H2987" i="10" s="1"/>
  <c r="H3023" i="10"/>
  <c r="H3327" i="10"/>
  <c r="H2909" i="10"/>
  <c r="H2757" i="10"/>
  <c r="H2530" i="10"/>
  <c r="H2531" i="10" s="1"/>
  <c r="H2567" i="10"/>
  <c r="H2605" i="10"/>
  <c r="H1731" i="10"/>
  <c r="H1770" i="10"/>
  <c r="H1771" i="10" s="1"/>
  <c r="H1921" i="10"/>
  <c r="H4011" i="10"/>
  <c r="H3821" i="10"/>
  <c r="H3784" i="10"/>
  <c r="H3785" i="10" s="1"/>
  <c r="H4167" i="10" l="1"/>
  <c r="I4166" i="10"/>
  <c r="H3863" i="10"/>
  <c r="I3862" i="10"/>
  <c r="H3786" i="10"/>
  <c r="I3785" i="10"/>
  <c r="H2988" i="10"/>
  <c r="I2987" i="10"/>
  <c r="H2532" i="10"/>
  <c r="I2531" i="10"/>
  <c r="I2076" i="10"/>
  <c r="H2077" i="10"/>
  <c r="H1772" i="10"/>
  <c r="I1771" i="10"/>
  <c r="H1697" i="10"/>
  <c r="I1696" i="10"/>
  <c r="H3175" i="10"/>
  <c r="H3328" i="10"/>
  <c r="H3329" i="10" s="1"/>
  <c r="H3024" i="10"/>
  <c r="H3025" i="10" s="1"/>
  <c r="H2948" i="10"/>
  <c r="H2949" i="10" s="1"/>
  <c r="H2568" i="10"/>
  <c r="H2569" i="10" s="1"/>
  <c r="H2910" i="10"/>
  <c r="H2911" i="10" s="1"/>
  <c r="H2606" i="10"/>
  <c r="H2607" i="10" s="1"/>
  <c r="H2758" i="10"/>
  <c r="H2759" i="10" s="1"/>
  <c r="H1732" i="10"/>
  <c r="H1733" i="10" s="1"/>
  <c r="H1922" i="10"/>
  <c r="H1923" i="10" s="1"/>
  <c r="H4012" i="10"/>
  <c r="H4013" i="10" s="1"/>
  <c r="H3822" i="10"/>
  <c r="H3823" i="10" s="1"/>
  <c r="H4168" i="10" l="1"/>
  <c r="I4167" i="10"/>
  <c r="H4014" i="10"/>
  <c r="I4013" i="10"/>
  <c r="H3864" i="10"/>
  <c r="I3863" i="10"/>
  <c r="H3824" i="10"/>
  <c r="I3823" i="10"/>
  <c r="H3787" i="10"/>
  <c r="I3786" i="10"/>
  <c r="H3330" i="10"/>
  <c r="I3329" i="10"/>
  <c r="H3026" i="10"/>
  <c r="I3025" i="10"/>
  <c r="H2989" i="10"/>
  <c r="I2988" i="10"/>
  <c r="H2950" i="10"/>
  <c r="I2949" i="10"/>
  <c r="H2912" i="10"/>
  <c r="I2911" i="10"/>
  <c r="H2760" i="10"/>
  <c r="I2759" i="10"/>
  <c r="H2608" i="10"/>
  <c r="I2607" i="10"/>
  <c r="H2570" i="10"/>
  <c r="I2569" i="10"/>
  <c r="H2533" i="10"/>
  <c r="I2532" i="10"/>
  <c r="H2078" i="10"/>
  <c r="I2077" i="10"/>
  <c r="H1924" i="10"/>
  <c r="I1923" i="10"/>
  <c r="H1773" i="10"/>
  <c r="I1772" i="10"/>
  <c r="H1734" i="10"/>
  <c r="I1733" i="10"/>
  <c r="H1698" i="10"/>
  <c r="I1697" i="10"/>
  <c r="H3176" i="10"/>
  <c r="H3177" i="10" s="1"/>
  <c r="H4169" i="10" l="1"/>
  <c r="I4168" i="10"/>
  <c r="H4015" i="10"/>
  <c r="I4014" i="10"/>
  <c r="H3865" i="10"/>
  <c r="I3864" i="10"/>
  <c r="H3825" i="10"/>
  <c r="I3824" i="10"/>
  <c r="H3788" i="10"/>
  <c r="I3787" i="10"/>
  <c r="H3331" i="10"/>
  <c r="I3330" i="10"/>
  <c r="H3178" i="10"/>
  <c r="I3177" i="10"/>
  <c r="H3027" i="10"/>
  <c r="I3026" i="10"/>
  <c r="H2990" i="10"/>
  <c r="I2989" i="10"/>
  <c r="H2951" i="10"/>
  <c r="I2950" i="10"/>
  <c r="H2913" i="10"/>
  <c r="I2912" i="10"/>
  <c r="H2761" i="10"/>
  <c r="I2760" i="10"/>
  <c r="H2609" i="10"/>
  <c r="I2608" i="10"/>
  <c r="H2571" i="10"/>
  <c r="I2570" i="10"/>
  <c r="H2534" i="10"/>
  <c r="I2533" i="10"/>
  <c r="H2079" i="10"/>
  <c r="I2078" i="10"/>
  <c r="H1925" i="10"/>
  <c r="I1924" i="10"/>
  <c r="H1774" i="10"/>
  <c r="I1773" i="10"/>
  <c r="H1735" i="10"/>
  <c r="I1734" i="10"/>
  <c r="H1699" i="10"/>
  <c r="I1698" i="10"/>
  <c r="H4170" i="10" l="1"/>
  <c r="I4169" i="10"/>
  <c r="H4016" i="10"/>
  <c r="I4015" i="10"/>
  <c r="H3866" i="10"/>
  <c r="I3865" i="10"/>
  <c r="H3826" i="10"/>
  <c r="I3825" i="10"/>
  <c r="H3789" i="10"/>
  <c r="I3788" i="10"/>
  <c r="H3332" i="10"/>
  <c r="I3331" i="10"/>
  <c r="H3179" i="10"/>
  <c r="I3178" i="10"/>
  <c r="H3028" i="10"/>
  <c r="I3027" i="10"/>
  <c r="I2990" i="10"/>
  <c r="H2991" i="10"/>
  <c r="H2952" i="10"/>
  <c r="I2951" i="10"/>
  <c r="H2914" i="10"/>
  <c r="I2913" i="10"/>
  <c r="H2762" i="10"/>
  <c r="I2761" i="10"/>
  <c r="H2610" i="10"/>
  <c r="I2609" i="10"/>
  <c r="H2572" i="10"/>
  <c r="I2571" i="10"/>
  <c r="H2535" i="10"/>
  <c r="I2534" i="10"/>
  <c r="H2080" i="10"/>
  <c r="I2079" i="10"/>
  <c r="H1926" i="10"/>
  <c r="I1925" i="10"/>
  <c r="H1775" i="10"/>
  <c r="I1774" i="10"/>
  <c r="H1736" i="10"/>
  <c r="I1735" i="10"/>
  <c r="H1700" i="10"/>
  <c r="I1699" i="10"/>
  <c r="H4171" i="10" l="1"/>
  <c r="I4170" i="10"/>
  <c r="H4017" i="10"/>
  <c r="I4016" i="10"/>
  <c r="H3867" i="10"/>
  <c r="I3866" i="10"/>
  <c r="H3827" i="10"/>
  <c r="I3826" i="10"/>
  <c r="H3790" i="10"/>
  <c r="I3789" i="10"/>
  <c r="H3333" i="10"/>
  <c r="I3332" i="10"/>
  <c r="H3180" i="10"/>
  <c r="I3179" i="10"/>
  <c r="H3029" i="10"/>
  <c r="I3028" i="10"/>
  <c r="H2992" i="10"/>
  <c r="I2991" i="10"/>
  <c r="H2953" i="10"/>
  <c r="I2952" i="10"/>
  <c r="H2915" i="10"/>
  <c r="I2914" i="10"/>
  <c r="H2763" i="10"/>
  <c r="I2762" i="10"/>
  <c r="H2611" i="10"/>
  <c r="I2610" i="10"/>
  <c r="H2573" i="10"/>
  <c r="I2572" i="10"/>
  <c r="H2536" i="10"/>
  <c r="I2535" i="10"/>
  <c r="H2081" i="10"/>
  <c r="I2080" i="10"/>
  <c r="H1927" i="10"/>
  <c r="I1926"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018" i="10"/>
  <c r="I4017" i="10"/>
  <c r="I3867" i="10"/>
  <c r="H3868" i="10"/>
  <c r="H3828" i="10"/>
  <c r="I3827" i="10"/>
  <c r="H3791" i="10"/>
  <c r="I3790" i="10"/>
  <c r="H3334" i="10"/>
  <c r="I3333" i="10"/>
  <c r="H3181" i="10"/>
  <c r="I3180" i="10"/>
  <c r="H3030" i="10"/>
  <c r="I3029" i="10"/>
  <c r="H2993" i="10"/>
  <c r="I2992" i="10"/>
  <c r="H2954" i="10"/>
  <c r="I2953" i="10"/>
  <c r="H2916" i="10"/>
  <c r="I2915" i="10"/>
  <c r="H2764" i="10"/>
  <c r="I2763" i="10"/>
  <c r="H2612" i="10"/>
  <c r="I2611" i="10"/>
  <c r="H2574" i="10"/>
  <c r="I2573" i="10"/>
  <c r="H2537" i="10"/>
  <c r="I2536" i="10"/>
  <c r="H2082" i="10"/>
  <c r="I2081" i="10"/>
  <c r="H1928" i="10"/>
  <c r="I1927" i="10"/>
  <c r="H1777" i="10"/>
  <c r="I1776" i="10"/>
  <c r="H1738" i="10"/>
  <c r="I1737" i="10"/>
  <c r="H1702" i="10"/>
  <c r="I1701" i="10"/>
  <c r="H518" i="10"/>
  <c r="I517" i="10"/>
  <c r="H480" i="10"/>
  <c r="I479" i="10"/>
  <c r="H442" i="10"/>
  <c r="I441" i="10"/>
  <c r="H404" i="10"/>
  <c r="I403" i="10"/>
  <c r="H252" i="10"/>
  <c r="I251"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E4125" i="10"/>
  <c r="F4125" i="10" s="1"/>
  <c r="E4124" i="10"/>
  <c r="F4124" i="10" s="1"/>
  <c r="E4123" i="10"/>
  <c r="F4123" i="10" s="1"/>
  <c r="E4122" i="10"/>
  <c r="F4122" i="10" s="1"/>
  <c r="E4121" i="10"/>
  <c r="F4121" i="10" s="1"/>
  <c r="E4120" i="10"/>
  <c r="F4120" i="10" s="1"/>
  <c r="E4119" i="10"/>
  <c r="F4119" i="10" s="1"/>
  <c r="E4118" i="10"/>
  <c r="F4118" i="10" s="1"/>
  <c r="E4117" i="10"/>
  <c r="F4117" i="10" s="1"/>
  <c r="E4116" i="10"/>
  <c r="F4116" i="10" s="1"/>
  <c r="E4115" i="10"/>
  <c r="F4115" i="10" s="1"/>
  <c r="E4114" i="10"/>
  <c r="F4114" i="10" s="1"/>
  <c r="E4113" i="10"/>
  <c r="F4113" i="10" s="1"/>
  <c r="E4112" i="10"/>
  <c r="F4112" i="10" s="1"/>
  <c r="E4111" i="10"/>
  <c r="F4111" i="10" s="1"/>
  <c r="E4110" i="10"/>
  <c r="F4110" i="10" s="1"/>
  <c r="E4109" i="10"/>
  <c r="F4109" i="10" s="1"/>
  <c r="E4108" i="10"/>
  <c r="F4108" i="10" s="1"/>
  <c r="E4107" i="10"/>
  <c r="F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E4088" i="10"/>
  <c r="F4088" i="10" s="1"/>
  <c r="E4087" i="10"/>
  <c r="F4087" i="10" s="1"/>
  <c r="E4086" i="10"/>
  <c r="F4086" i="10" s="1"/>
  <c r="E4085" i="10"/>
  <c r="F4085" i="10" s="1"/>
  <c r="E4084" i="10"/>
  <c r="F4084" i="10" s="1"/>
  <c r="E4083" i="10"/>
  <c r="F4083" i="10" s="1"/>
  <c r="E4082" i="10"/>
  <c r="F4082" i="10" s="1"/>
  <c r="E4081" i="10"/>
  <c r="F4081" i="10" s="1"/>
  <c r="E4080" i="10"/>
  <c r="F4080" i="10" s="1"/>
  <c r="E4079" i="10"/>
  <c r="F4079" i="10" s="1"/>
  <c r="E4078" i="10"/>
  <c r="F4078" i="10" s="1"/>
  <c r="E4077" i="10"/>
  <c r="F4077" i="10" s="1"/>
  <c r="E4076" i="10"/>
  <c r="F4076" i="10" s="1"/>
  <c r="E4075" i="10"/>
  <c r="F4075" i="10" s="1"/>
  <c r="E4074" i="10"/>
  <c r="F4074" i="10" s="1"/>
  <c r="E4073" i="10"/>
  <c r="F4073" i="10" s="1"/>
  <c r="E4072" i="10"/>
  <c r="F4072" i="10" s="1"/>
  <c r="E4071" i="10"/>
  <c r="F4071" i="10" s="1"/>
  <c r="E4070" i="10"/>
  <c r="F4070" i="10" s="1"/>
  <c r="E4069" i="10"/>
  <c r="F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E4050" i="10"/>
  <c r="F4050" i="10" s="1"/>
  <c r="E4049" i="10"/>
  <c r="F4049" i="10" s="1"/>
  <c r="E4048" i="10"/>
  <c r="F4048" i="10" s="1"/>
  <c r="E4047" i="10"/>
  <c r="F4047" i="10" s="1"/>
  <c r="E4046" i="10"/>
  <c r="F4046" i="10" s="1"/>
  <c r="E4045" i="10"/>
  <c r="F4045" i="10" s="1"/>
  <c r="E4044" i="10"/>
  <c r="F4044" i="10" s="1"/>
  <c r="E4043" i="10"/>
  <c r="F4043" i="10" s="1"/>
  <c r="E4042" i="10"/>
  <c r="F4042" i="10" s="1"/>
  <c r="E4041" i="10"/>
  <c r="F4041" i="10" s="1"/>
  <c r="E4040" i="10"/>
  <c r="F4040" i="10" s="1"/>
  <c r="E4039" i="10"/>
  <c r="F4039" i="10" s="1"/>
  <c r="E4038" i="10"/>
  <c r="F4038" i="10" s="1"/>
  <c r="E4037" i="10"/>
  <c r="F4037" i="10" s="1"/>
  <c r="E4036" i="10"/>
  <c r="F4036" i="10" s="1"/>
  <c r="E4035" i="10"/>
  <c r="F4035" i="10" s="1"/>
  <c r="E4034" i="10"/>
  <c r="F4034" i="10" s="1"/>
  <c r="E4033" i="10"/>
  <c r="F4033" i="10" s="1"/>
  <c r="E4032" i="10"/>
  <c r="F4032" i="10" s="1"/>
  <c r="E4031" i="10"/>
  <c r="F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E3973" i="10"/>
  <c r="F3973" i="10" s="1"/>
  <c r="E3972" i="10"/>
  <c r="F3972" i="10" s="1"/>
  <c r="E3971" i="10"/>
  <c r="F3971" i="10" s="1"/>
  <c r="E3970" i="10"/>
  <c r="F3970" i="10" s="1"/>
  <c r="E3969" i="10"/>
  <c r="F3969" i="10" s="1"/>
  <c r="E3968" i="10"/>
  <c r="F3968" i="10" s="1"/>
  <c r="E3967" i="10"/>
  <c r="F3967" i="10" s="1"/>
  <c r="E3966" i="10"/>
  <c r="F3966" i="10" s="1"/>
  <c r="E3965" i="10"/>
  <c r="F3965" i="10" s="1"/>
  <c r="E3964" i="10"/>
  <c r="F3964" i="10" s="1"/>
  <c r="E3963" i="10"/>
  <c r="F3963" i="10" s="1"/>
  <c r="E3962" i="10"/>
  <c r="F3962" i="10" s="1"/>
  <c r="E3961" i="10"/>
  <c r="F3961" i="10" s="1"/>
  <c r="E3960" i="10"/>
  <c r="F3960" i="10" s="1"/>
  <c r="E3959" i="10"/>
  <c r="F3959" i="10" s="1"/>
  <c r="E3958" i="10"/>
  <c r="F3958" i="10" s="1"/>
  <c r="E3957" i="10"/>
  <c r="F3957" i="10" s="1"/>
  <c r="E3956" i="10"/>
  <c r="F3956" i="10" s="1"/>
  <c r="E3955" i="10"/>
  <c r="F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E3936" i="10"/>
  <c r="F3936" i="10" s="1"/>
  <c r="E3935" i="10"/>
  <c r="F3935" i="10" s="1"/>
  <c r="E3934" i="10"/>
  <c r="F3934" i="10" s="1"/>
  <c r="E3933" i="10"/>
  <c r="F3933" i="10" s="1"/>
  <c r="E3932" i="10"/>
  <c r="F3932" i="10" s="1"/>
  <c r="E3931" i="10"/>
  <c r="F3931" i="10" s="1"/>
  <c r="E3930" i="10"/>
  <c r="F3930" i="10" s="1"/>
  <c r="E3929" i="10"/>
  <c r="F3929" i="10" s="1"/>
  <c r="E3928" i="10"/>
  <c r="F3928" i="10" s="1"/>
  <c r="E3927" i="10"/>
  <c r="F3927" i="10" s="1"/>
  <c r="E3926" i="10"/>
  <c r="F3926" i="10" s="1"/>
  <c r="E3925" i="10"/>
  <c r="F3925" i="10" s="1"/>
  <c r="E3924" i="10"/>
  <c r="F3924" i="10" s="1"/>
  <c r="E3923" i="10"/>
  <c r="F3923" i="10" s="1"/>
  <c r="E3922" i="10"/>
  <c r="F3922" i="10" s="1"/>
  <c r="E3921" i="10"/>
  <c r="F3921" i="10" s="1"/>
  <c r="E3920" i="10"/>
  <c r="F3920" i="10" s="1"/>
  <c r="E3919" i="10"/>
  <c r="F3919" i="10" s="1"/>
  <c r="E3918" i="10"/>
  <c r="F3918" i="10" s="1"/>
  <c r="E3917" i="10"/>
  <c r="F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E3898" i="10"/>
  <c r="F3898" i="10" s="1"/>
  <c r="E3897" i="10"/>
  <c r="F3897" i="10" s="1"/>
  <c r="E3896" i="10"/>
  <c r="F3896" i="10" s="1"/>
  <c r="E3895" i="10"/>
  <c r="F3895" i="10" s="1"/>
  <c r="E3894" i="10"/>
  <c r="F3894" i="10" s="1"/>
  <c r="E3893" i="10"/>
  <c r="F3893" i="10" s="1"/>
  <c r="E3892" i="10"/>
  <c r="F3892" i="10" s="1"/>
  <c r="E3891" i="10"/>
  <c r="F3891" i="10" s="1"/>
  <c r="E3890" i="10"/>
  <c r="F3890" i="10" s="1"/>
  <c r="E3889" i="10"/>
  <c r="F3889" i="10" s="1"/>
  <c r="E3888" i="10"/>
  <c r="F3888" i="10" s="1"/>
  <c r="E3887" i="10"/>
  <c r="F3887" i="10" s="1"/>
  <c r="E3886" i="10"/>
  <c r="F3886" i="10" s="1"/>
  <c r="E3885" i="10"/>
  <c r="F3885" i="10" s="1"/>
  <c r="E3884" i="10"/>
  <c r="F3884" i="10" s="1"/>
  <c r="E3883" i="10"/>
  <c r="F3883" i="10" s="1"/>
  <c r="E3882" i="10"/>
  <c r="F3882" i="10" s="1"/>
  <c r="E3881" i="10"/>
  <c r="F3881" i="10" s="1"/>
  <c r="E3880" i="10"/>
  <c r="F3880" i="10" s="1"/>
  <c r="E3879" i="10"/>
  <c r="F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I3708" i="10" s="1"/>
  <c r="E3707" i="10"/>
  <c r="F3707" i="10" s="1"/>
  <c r="I3707" i="10" s="1"/>
  <c r="E3706" i="10"/>
  <c r="F3706" i="10" s="1"/>
  <c r="I3706" i="10" s="1"/>
  <c r="E3705" i="10"/>
  <c r="F3705" i="10" s="1"/>
  <c r="I3705" i="10" s="1"/>
  <c r="E3704" i="10"/>
  <c r="F3704" i="10" s="1"/>
  <c r="I3704" i="10" s="1"/>
  <c r="E3703" i="10"/>
  <c r="F3703" i="10" s="1"/>
  <c r="I3703" i="10" s="1"/>
  <c r="E3702" i="10"/>
  <c r="F3702" i="10" s="1"/>
  <c r="I3702" i="10" s="1"/>
  <c r="E3701" i="10"/>
  <c r="F3701" i="10" s="1"/>
  <c r="I3701" i="10" s="1"/>
  <c r="E3700" i="10"/>
  <c r="F3700" i="10" s="1"/>
  <c r="I3700" i="10" s="1"/>
  <c r="E3699" i="10"/>
  <c r="F3699" i="10" s="1"/>
  <c r="I3699" i="10" s="1"/>
  <c r="E3698" i="10"/>
  <c r="F3698" i="10" s="1"/>
  <c r="I3698" i="10" s="1"/>
  <c r="E3697" i="10"/>
  <c r="F3697" i="10" s="1"/>
  <c r="I3697" i="10" s="1"/>
  <c r="E3696" i="10"/>
  <c r="F3696" i="10" s="1"/>
  <c r="I3696" i="10" s="1"/>
  <c r="E3695" i="10"/>
  <c r="F3695" i="10" s="1"/>
  <c r="I3695" i="10" s="1"/>
  <c r="E3694" i="10"/>
  <c r="F3694" i="10" s="1"/>
  <c r="I3694" i="10" s="1"/>
  <c r="E3693" i="10"/>
  <c r="F3693" i="10" s="1"/>
  <c r="I3693" i="10" s="1"/>
  <c r="E3692" i="10"/>
  <c r="F3692" i="10" s="1"/>
  <c r="I3692" i="10" s="1"/>
  <c r="E3691" i="10"/>
  <c r="F3691" i="10" s="1"/>
  <c r="I3691" i="10" s="1"/>
  <c r="E3690" i="10"/>
  <c r="F3690" i="10" s="1"/>
  <c r="I3690" i="10" s="1"/>
  <c r="E3689" i="10"/>
  <c r="F3689" i="10" s="1"/>
  <c r="I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I3688" i="10" s="1"/>
  <c r="E3670" i="10"/>
  <c r="F3670" i="10" s="1"/>
  <c r="I3670" i="10" s="1"/>
  <c r="E3669" i="10"/>
  <c r="F3669" i="10" s="1"/>
  <c r="I3669" i="10" s="1"/>
  <c r="E3668" i="10"/>
  <c r="F3668" i="10" s="1"/>
  <c r="I3668" i="10" s="1"/>
  <c r="E3667" i="10"/>
  <c r="F3667" i="10" s="1"/>
  <c r="I3667" i="10" s="1"/>
  <c r="E3666" i="10"/>
  <c r="F3666" i="10" s="1"/>
  <c r="I3666" i="10" s="1"/>
  <c r="E3665" i="10"/>
  <c r="F3665" i="10" s="1"/>
  <c r="I3665" i="10" s="1"/>
  <c r="E3664" i="10"/>
  <c r="F3664" i="10" s="1"/>
  <c r="I3664" i="10" s="1"/>
  <c r="E3663" i="10"/>
  <c r="F3663" i="10" s="1"/>
  <c r="I3663" i="10" s="1"/>
  <c r="E3662" i="10"/>
  <c r="F3662" i="10" s="1"/>
  <c r="I3662" i="10" s="1"/>
  <c r="E3661" i="10"/>
  <c r="F3661" i="10" s="1"/>
  <c r="I3661" i="10" s="1"/>
  <c r="E3660" i="10"/>
  <c r="F3660" i="10" s="1"/>
  <c r="I3660" i="10" s="1"/>
  <c r="E3659" i="10"/>
  <c r="F3659" i="10" s="1"/>
  <c r="I3659" i="10" s="1"/>
  <c r="E3658" i="10"/>
  <c r="F3658" i="10" s="1"/>
  <c r="I3658" i="10" s="1"/>
  <c r="E3657" i="10"/>
  <c r="F3657" i="10" s="1"/>
  <c r="I3657" i="10" s="1"/>
  <c r="E3656" i="10"/>
  <c r="F3656" i="10" s="1"/>
  <c r="I3656" i="10" s="1"/>
  <c r="E3655" i="10"/>
  <c r="F3655" i="10" s="1"/>
  <c r="I3655" i="10" s="1"/>
  <c r="E3654" i="10"/>
  <c r="F3654" i="10" s="1"/>
  <c r="I3654" i="10" s="1"/>
  <c r="E3653" i="10"/>
  <c r="F3653" i="10" s="1"/>
  <c r="I3653" i="10" s="1"/>
  <c r="E3652" i="10"/>
  <c r="F3652" i="10" s="1"/>
  <c r="I3652" i="10" s="1"/>
  <c r="E3651" i="10"/>
  <c r="F3651" i="10" s="1"/>
  <c r="I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I3650" i="10" s="1"/>
  <c r="E3632" i="10"/>
  <c r="F3632" i="10" s="1"/>
  <c r="I3632" i="10" s="1"/>
  <c r="E3631" i="10"/>
  <c r="F3631" i="10" s="1"/>
  <c r="I3631" i="10" s="1"/>
  <c r="E3630" i="10"/>
  <c r="F3630" i="10" s="1"/>
  <c r="I3630" i="10" s="1"/>
  <c r="E3629" i="10"/>
  <c r="F3629" i="10" s="1"/>
  <c r="I3629" i="10" s="1"/>
  <c r="E3628" i="10"/>
  <c r="F3628" i="10" s="1"/>
  <c r="I3628" i="10" s="1"/>
  <c r="E3627" i="10"/>
  <c r="F3627" i="10" s="1"/>
  <c r="I3627" i="10" s="1"/>
  <c r="E3626" i="10"/>
  <c r="F3626" i="10" s="1"/>
  <c r="I3626" i="10" s="1"/>
  <c r="E3625" i="10"/>
  <c r="F3625" i="10" s="1"/>
  <c r="I3625" i="10" s="1"/>
  <c r="E3624" i="10"/>
  <c r="F3624" i="10" s="1"/>
  <c r="I3624" i="10" s="1"/>
  <c r="E3623" i="10"/>
  <c r="F3623" i="10" s="1"/>
  <c r="I3623" i="10" s="1"/>
  <c r="E3622" i="10"/>
  <c r="F3622" i="10" s="1"/>
  <c r="I3622" i="10" s="1"/>
  <c r="E3621" i="10"/>
  <c r="F3621" i="10" s="1"/>
  <c r="I3621" i="10" s="1"/>
  <c r="E3620" i="10"/>
  <c r="F3620" i="10" s="1"/>
  <c r="I3620" i="10" s="1"/>
  <c r="E3619" i="10"/>
  <c r="F3619" i="10" s="1"/>
  <c r="I3619" i="10" s="1"/>
  <c r="E3618" i="10"/>
  <c r="F3618" i="10" s="1"/>
  <c r="I3618" i="10" s="1"/>
  <c r="E3617" i="10"/>
  <c r="F3617" i="10" s="1"/>
  <c r="I3617" i="10" s="1"/>
  <c r="E3616" i="10"/>
  <c r="F3616" i="10" s="1"/>
  <c r="I3616" i="10" s="1"/>
  <c r="E3615" i="10"/>
  <c r="F3615" i="10" s="1"/>
  <c r="I3615" i="10" s="1"/>
  <c r="E3614" i="10"/>
  <c r="F3614" i="10" s="1"/>
  <c r="I3614" i="10" s="1"/>
  <c r="E3613" i="10"/>
  <c r="F3613" i="10" s="1"/>
  <c r="I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I3612" i="10" s="1"/>
  <c r="E3594" i="10"/>
  <c r="F3594" i="10" s="1"/>
  <c r="E3593" i="10"/>
  <c r="F3593" i="10" s="1"/>
  <c r="E3592" i="10"/>
  <c r="F3592" i="10" s="1"/>
  <c r="E3591" i="10"/>
  <c r="F3591" i="10" s="1"/>
  <c r="E3590" i="10"/>
  <c r="F3590" i="10" s="1"/>
  <c r="E3589" i="10"/>
  <c r="F3589" i="10" s="1"/>
  <c r="E3588" i="10"/>
  <c r="F3588" i="10" s="1"/>
  <c r="E3587" i="10"/>
  <c r="F3587" i="10" s="1"/>
  <c r="E3586" i="10"/>
  <c r="F3586" i="10" s="1"/>
  <c r="E3585" i="10"/>
  <c r="F3585" i="10" s="1"/>
  <c r="E3584" i="10"/>
  <c r="F3584" i="10" s="1"/>
  <c r="E3583" i="10"/>
  <c r="F3583" i="10" s="1"/>
  <c r="E3582" i="10"/>
  <c r="F3582" i="10" s="1"/>
  <c r="E3581" i="10"/>
  <c r="F3581" i="10" s="1"/>
  <c r="E3580" i="10"/>
  <c r="F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I3556" i="10" s="1"/>
  <c r="E3555" i="10"/>
  <c r="F3555" i="10" s="1"/>
  <c r="I3555" i="10" s="1"/>
  <c r="E3554" i="10"/>
  <c r="F3554" i="10" s="1"/>
  <c r="I3554" i="10" s="1"/>
  <c r="E3553" i="10"/>
  <c r="F3553" i="10" s="1"/>
  <c r="I3553" i="10" s="1"/>
  <c r="E3552" i="10"/>
  <c r="F3552" i="10" s="1"/>
  <c r="I3552" i="10" s="1"/>
  <c r="E3551" i="10"/>
  <c r="F3551" i="10" s="1"/>
  <c r="I3551" i="10" s="1"/>
  <c r="E3550" i="10"/>
  <c r="F3550" i="10" s="1"/>
  <c r="I3550" i="10" s="1"/>
  <c r="E3549" i="10"/>
  <c r="F3549" i="10" s="1"/>
  <c r="I3549" i="10" s="1"/>
  <c r="E3548" i="10"/>
  <c r="F3548" i="10" s="1"/>
  <c r="I3548" i="10" s="1"/>
  <c r="E3547" i="10"/>
  <c r="F3547" i="10" s="1"/>
  <c r="I3547" i="10" s="1"/>
  <c r="E3546" i="10"/>
  <c r="F3546" i="10" s="1"/>
  <c r="I3546" i="10" s="1"/>
  <c r="E3545" i="10"/>
  <c r="F3545" i="10" s="1"/>
  <c r="I3545" i="10" s="1"/>
  <c r="E3544" i="10"/>
  <c r="F3544" i="10" s="1"/>
  <c r="I3544" i="10" s="1"/>
  <c r="E3543" i="10"/>
  <c r="F3543" i="10" s="1"/>
  <c r="I3543" i="10" s="1"/>
  <c r="E3542" i="10"/>
  <c r="F3542" i="10" s="1"/>
  <c r="I3542" i="10" s="1"/>
  <c r="E3541" i="10"/>
  <c r="F3541" i="10" s="1"/>
  <c r="I3541" i="10" s="1"/>
  <c r="E3540" i="10"/>
  <c r="F3540" i="10" s="1"/>
  <c r="I3540" i="10" s="1"/>
  <c r="E3539" i="10"/>
  <c r="F3539" i="10" s="1"/>
  <c r="I3539" i="10" s="1"/>
  <c r="E3538" i="10"/>
  <c r="F3538" i="10" s="1"/>
  <c r="I3538" i="10" s="1"/>
  <c r="E3537" i="10"/>
  <c r="F3537" i="10" s="1"/>
  <c r="I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I3536" i="10" s="1"/>
  <c r="E3518" i="10"/>
  <c r="F3518" i="10" s="1"/>
  <c r="I3518" i="10" s="1"/>
  <c r="E3517" i="10"/>
  <c r="F3517" i="10" s="1"/>
  <c r="I3517" i="10" s="1"/>
  <c r="E3516" i="10"/>
  <c r="F3516" i="10" s="1"/>
  <c r="I3516" i="10" s="1"/>
  <c r="E3515" i="10"/>
  <c r="F3515" i="10" s="1"/>
  <c r="I3515" i="10" s="1"/>
  <c r="E3514" i="10"/>
  <c r="F3514" i="10" s="1"/>
  <c r="I3514" i="10" s="1"/>
  <c r="E3513" i="10"/>
  <c r="F3513" i="10" s="1"/>
  <c r="I3513" i="10" s="1"/>
  <c r="E3512" i="10"/>
  <c r="F3512" i="10" s="1"/>
  <c r="I3512" i="10" s="1"/>
  <c r="E3511" i="10"/>
  <c r="F3511" i="10" s="1"/>
  <c r="I3511" i="10" s="1"/>
  <c r="E3510" i="10"/>
  <c r="F3510" i="10" s="1"/>
  <c r="I3510" i="10" s="1"/>
  <c r="E3509" i="10"/>
  <c r="F3509" i="10" s="1"/>
  <c r="I3509" i="10" s="1"/>
  <c r="E3508" i="10"/>
  <c r="F3508" i="10" s="1"/>
  <c r="I3508" i="10" s="1"/>
  <c r="E3507" i="10"/>
  <c r="F3507" i="10" s="1"/>
  <c r="I3507" i="10" s="1"/>
  <c r="E3506" i="10"/>
  <c r="F3506" i="10" s="1"/>
  <c r="I3506" i="10" s="1"/>
  <c r="E3505" i="10"/>
  <c r="F3505" i="10" s="1"/>
  <c r="I3505" i="10" s="1"/>
  <c r="E3504" i="10"/>
  <c r="F3504" i="10" s="1"/>
  <c r="I3504" i="10" s="1"/>
  <c r="E3503" i="10"/>
  <c r="F3503" i="10" s="1"/>
  <c r="I3503" i="10" s="1"/>
  <c r="E3502" i="10"/>
  <c r="F3502" i="10" s="1"/>
  <c r="I3502" i="10" s="1"/>
  <c r="E3501" i="10"/>
  <c r="F3501" i="10" s="1"/>
  <c r="I3501" i="10" s="1"/>
  <c r="E3500" i="10"/>
  <c r="F3500" i="10" s="1"/>
  <c r="I3500" i="10" s="1"/>
  <c r="E3499" i="10"/>
  <c r="F3499" i="10" s="1"/>
  <c r="I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I3498" i="10" s="1"/>
  <c r="E3480" i="10"/>
  <c r="F3480" i="10" s="1"/>
  <c r="I3480" i="10" s="1"/>
  <c r="E3479" i="10"/>
  <c r="F3479" i="10" s="1"/>
  <c r="I3479" i="10" s="1"/>
  <c r="E3478" i="10"/>
  <c r="F3478" i="10" s="1"/>
  <c r="I3478" i="10" s="1"/>
  <c r="E3477" i="10"/>
  <c r="F3477" i="10" s="1"/>
  <c r="I3477" i="10" s="1"/>
  <c r="E3476" i="10"/>
  <c r="F3476" i="10" s="1"/>
  <c r="I3476" i="10" s="1"/>
  <c r="E3475" i="10"/>
  <c r="F3475" i="10" s="1"/>
  <c r="I3475" i="10" s="1"/>
  <c r="E3474" i="10"/>
  <c r="F3474" i="10" s="1"/>
  <c r="I3474" i="10" s="1"/>
  <c r="E3473" i="10"/>
  <c r="F3473" i="10" s="1"/>
  <c r="I3473" i="10" s="1"/>
  <c r="E3472" i="10"/>
  <c r="F3472" i="10" s="1"/>
  <c r="I3472" i="10" s="1"/>
  <c r="E3471" i="10"/>
  <c r="F3471" i="10" s="1"/>
  <c r="I3471" i="10" s="1"/>
  <c r="E3470" i="10"/>
  <c r="F3470" i="10" s="1"/>
  <c r="I3470" i="10" s="1"/>
  <c r="E3469" i="10"/>
  <c r="F3469" i="10" s="1"/>
  <c r="I3469" i="10" s="1"/>
  <c r="E3468" i="10"/>
  <c r="F3468" i="10" s="1"/>
  <c r="I3468" i="10" s="1"/>
  <c r="E3467" i="10"/>
  <c r="F3467" i="10" s="1"/>
  <c r="I3467" i="10" s="1"/>
  <c r="E3466" i="10"/>
  <c r="F3466" i="10" s="1"/>
  <c r="I3466" i="10" s="1"/>
  <c r="E3465" i="10"/>
  <c r="F3465" i="10" s="1"/>
  <c r="I3465" i="10" s="1"/>
  <c r="E3464" i="10"/>
  <c r="F3464" i="10" s="1"/>
  <c r="I3464" i="10" s="1"/>
  <c r="E3463" i="10"/>
  <c r="F3463" i="10" s="1"/>
  <c r="I3463" i="10" s="1"/>
  <c r="E3462" i="10"/>
  <c r="F3462" i="10" s="1"/>
  <c r="I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I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E3289" i="10"/>
  <c r="F3289" i="10" s="1"/>
  <c r="E3288" i="10"/>
  <c r="F3288" i="10" s="1"/>
  <c r="E3287" i="10"/>
  <c r="F3287" i="10" s="1"/>
  <c r="E3286" i="10"/>
  <c r="F3286" i="10" s="1"/>
  <c r="E3285" i="10"/>
  <c r="F3285" i="10" s="1"/>
  <c r="E3284" i="10"/>
  <c r="F3284" i="10" s="1"/>
  <c r="E3283" i="10"/>
  <c r="F3283" i="10" s="1"/>
  <c r="E3282" i="10"/>
  <c r="F3282" i="10" s="1"/>
  <c r="E3281" i="10"/>
  <c r="F3281" i="10" s="1"/>
  <c r="E3280" i="10"/>
  <c r="F3280" i="10" s="1"/>
  <c r="E3279" i="10"/>
  <c r="F3279" i="10" s="1"/>
  <c r="E3278" i="10"/>
  <c r="F3278" i="10" s="1"/>
  <c r="E3277" i="10"/>
  <c r="F3277" i="10" s="1"/>
  <c r="E3276" i="10"/>
  <c r="F3276" i="10" s="1"/>
  <c r="E3275" i="10"/>
  <c r="F3275" i="10" s="1"/>
  <c r="E3274" i="10"/>
  <c r="F3274" i="10" s="1"/>
  <c r="E3273" i="10"/>
  <c r="F3273" i="10" s="1"/>
  <c r="E3272" i="10"/>
  <c r="F3272" i="10" s="1"/>
  <c r="E3271" i="10"/>
  <c r="F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E3269" i="10"/>
  <c r="E3252" i="10"/>
  <c r="F3252" i="10" s="1"/>
  <c r="E3251" i="10"/>
  <c r="F3251" i="10" s="1"/>
  <c r="E3250" i="10"/>
  <c r="F3250" i="10" s="1"/>
  <c r="E3249" i="10"/>
  <c r="F3249" i="10" s="1"/>
  <c r="E3248" i="10"/>
  <c r="F3248" i="10" s="1"/>
  <c r="E3247" i="10"/>
  <c r="F3247" i="10" s="1"/>
  <c r="E3246" i="10"/>
  <c r="F3246" i="10" s="1"/>
  <c r="E3245" i="10"/>
  <c r="F3245" i="10" s="1"/>
  <c r="E3244" i="10"/>
  <c r="F3244" i="10" s="1"/>
  <c r="E3243" i="10"/>
  <c r="F3243" i="10" s="1"/>
  <c r="E3242" i="10"/>
  <c r="F3242" i="10" s="1"/>
  <c r="E3241" i="10"/>
  <c r="F3241" i="10" s="1"/>
  <c r="E3240" i="10"/>
  <c r="F3240" i="10" s="1"/>
  <c r="E3239" i="10"/>
  <c r="F3239" i="10" s="1"/>
  <c r="E3238" i="10"/>
  <c r="F3238" i="10" s="1"/>
  <c r="E3237" i="10"/>
  <c r="F3237" i="10" s="1"/>
  <c r="E3236" i="10"/>
  <c r="F3236" i="10" s="1"/>
  <c r="E3235" i="10"/>
  <c r="F3235" i="10" s="1"/>
  <c r="E3234" i="10"/>
  <c r="F3234" i="10" s="1"/>
  <c r="E3233" i="10"/>
  <c r="F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E3231" i="10"/>
  <c r="E3214" i="10"/>
  <c r="F3214" i="10" s="1"/>
  <c r="E3213" i="10"/>
  <c r="F3213" i="10" s="1"/>
  <c r="E3212" i="10"/>
  <c r="F3212" i="10" s="1"/>
  <c r="E3211" i="10"/>
  <c r="F3211" i="10" s="1"/>
  <c r="E3210" i="10"/>
  <c r="F3210" i="10" s="1"/>
  <c r="E3209" i="10"/>
  <c r="F3209" i="10" s="1"/>
  <c r="E3208" i="10"/>
  <c r="F3208" i="10" s="1"/>
  <c r="E3207" i="10"/>
  <c r="F3207" i="10" s="1"/>
  <c r="E3206" i="10"/>
  <c r="F3206" i="10" s="1"/>
  <c r="E3205" i="10"/>
  <c r="F3205" i="10" s="1"/>
  <c r="E3204" i="10"/>
  <c r="F3204" i="10" s="1"/>
  <c r="E3203" i="10"/>
  <c r="F3203" i="10" s="1"/>
  <c r="E3202" i="10"/>
  <c r="F3202" i="10" s="1"/>
  <c r="E3201" i="10"/>
  <c r="F3201" i="10" s="1"/>
  <c r="E3200" i="10"/>
  <c r="F3200" i="10" s="1"/>
  <c r="E3199" i="10"/>
  <c r="F3199" i="10" s="1"/>
  <c r="E3198" i="10"/>
  <c r="F3198" i="10" s="1"/>
  <c r="E3197" i="10"/>
  <c r="F3197" i="10" s="1"/>
  <c r="E3196" i="10"/>
  <c r="F3196" i="10" s="1"/>
  <c r="E3195" i="10"/>
  <c r="F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E3137" i="10"/>
  <c r="F3137" i="10" s="1"/>
  <c r="E3136" i="10"/>
  <c r="F3136" i="10" s="1"/>
  <c r="E3135" i="10"/>
  <c r="F3135" i="10" s="1"/>
  <c r="E3134" i="10"/>
  <c r="F3134" i="10" s="1"/>
  <c r="E3133" i="10"/>
  <c r="F3133" i="10" s="1"/>
  <c r="E3132" i="10"/>
  <c r="F3132" i="10" s="1"/>
  <c r="E3131" i="10"/>
  <c r="F3131" i="10" s="1"/>
  <c r="E3130" i="10"/>
  <c r="F3130" i="10" s="1"/>
  <c r="E3129" i="10"/>
  <c r="F3129" i="10" s="1"/>
  <c r="E3128" i="10"/>
  <c r="F3128" i="10" s="1"/>
  <c r="E3127" i="10"/>
  <c r="F3127" i="10" s="1"/>
  <c r="E3126" i="10"/>
  <c r="F3126" i="10" s="1"/>
  <c r="E3125" i="10"/>
  <c r="F3125" i="10" s="1"/>
  <c r="E3124" i="10"/>
  <c r="F3124" i="10" s="1"/>
  <c r="E3123" i="10"/>
  <c r="F3123" i="10" s="1"/>
  <c r="E3122" i="10"/>
  <c r="F3122" i="10" s="1"/>
  <c r="E3121" i="10"/>
  <c r="F3121" i="10" s="1"/>
  <c r="E3120" i="10"/>
  <c r="F3120" i="10" s="1"/>
  <c r="E3119" i="10"/>
  <c r="F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E3100" i="10"/>
  <c r="F3100" i="10" s="1"/>
  <c r="E3099" i="10"/>
  <c r="F3099" i="10" s="1"/>
  <c r="E3098" i="10"/>
  <c r="F3098" i="10" s="1"/>
  <c r="E3097" i="10"/>
  <c r="F3097" i="10" s="1"/>
  <c r="E3096" i="10"/>
  <c r="F3096" i="10" s="1"/>
  <c r="E3095" i="10"/>
  <c r="F3095" i="10" s="1"/>
  <c r="E3094" i="10"/>
  <c r="F3094" i="10" s="1"/>
  <c r="E3093" i="10"/>
  <c r="F3093" i="10" s="1"/>
  <c r="E3092" i="10"/>
  <c r="F3092" i="10" s="1"/>
  <c r="E3091" i="10"/>
  <c r="F3091" i="10" s="1"/>
  <c r="E3090" i="10"/>
  <c r="F3090" i="10" s="1"/>
  <c r="E3089" i="10"/>
  <c r="F3089" i="10" s="1"/>
  <c r="E3088" i="10"/>
  <c r="F3088" i="10" s="1"/>
  <c r="E3087" i="10"/>
  <c r="F3087" i="10" s="1"/>
  <c r="E3086" i="10"/>
  <c r="F3086" i="10" s="1"/>
  <c r="E3085" i="10"/>
  <c r="F3085" i="10" s="1"/>
  <c r="E3084" i="10"/>
  <c r="F3084" i="10" s="1"/>
  <c r="E3083" i="10"/>
  <c r="F3083" i="10" s="1"/>
  <c r="E3082" i="10"/>
  <c r="F3082" i="10" s="1"/>
  <c r="E3081" i="10"/>
  <c r="F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E3062" i="10"/>
  <c r="F3062" i="10" s="1"/>
  <c r="E3061" i="10"/>
  <c r="F3061" i="10" s="1"/>
  <c r="E3060" i="10"/>
  <c r="F3060" i="10" s="1"/>
  <c r="E3059" i="10"/>
  <c r="F3059" i="10" s="1"/>
  <c r="E3058" i="10"/>
  <c r="F3058" i="10" s="1"/>
  <c r="E3057" i="10"/>
  <c r="F3057" i="10" s="1"/>
  <c r="E3056" i="10"/>
  <c r="F3056" i="10" s="1"/>
  <c r="E3055" i="10"/>
  <c r="F3055" i="10" s="1"/>
  <c r="E3054" i="10"/>
  <c r="F3054" i="10" s="1"/>
  <c r="E3053" i="10"/>
  <c r="F3053" i="10" s="1"/>
  <c r="E3052" i="10"/>
  <c r="F3052" i="10" s="1"/>
  <c r="E3051" i="10"/>
  <c r="F3051" i="10" s="1"/>
  <c r="E3050" i="10"/>
  <c r="F3050" i="10" s="1"/>
  <c r="E3049" i="10"/>
  <c r="F3049" i="10" s="1"/>
  <c r="E3048" i="10"/>
  <c r="F3048" i="10" s="1"/>
  <c r="E3047" i="10"/>
  <c r="F3047" i="10" s="1"/>
  <c r="E3046" i="10"/>
  <c r="F3046" i="10" s="1"/>
  <c r="E3045" i="10"/>
  <c r="F3045" i="10" s="1"/>
  <c r="E3044" i="10"/>
  <c r="F3044" i="10" s="1"/>
  <c r="E3043" i="10"/>
  <c r="F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E2871" i="10"/>
  <c r="F2871" i="10" s="1"/>
  <c r="E2870" i="10"/>
  <c r="F2870" i="10" s="1"/>
  <c r="E2869" i="10"/>
  <c r="F2869" i="10" s="1"/>
  <c r="E2868" i="10"/>
  <c r="F2868" i="10" s="1"/>
  <c r="E2867" i="10"/>
  <c r="F2867" i="10" s="1"/>
  <c r="E2866" i="10"/>
  <c r="F2866" i="10" s="1"/>
  <c r="E2865" i="10"/>
  <c r="F2865" i="10" s="1"/>
  <c r="E2864" i="10"/>
  <c r="F2864" i="10" s="1"/>
  <c r="E2863" i="10"/>
  <c r="F2863" i="10" s="1"/>
  <c r="E2862" i="10"/>
  <c r="F2862" i="10" s="1"/>
  <c r="E2861" i="10"/>
  <c r="F2861" i="10" s="1"/>
  <c r="E2860" i="10"/>
  <c r="F2860" i="10" s="1"/>
  <c r="E2859" i="10"/>
  <c r="F2859" i="10" s="1"/>
  <c r="E2858" i="10"/>
  <c r="F2858" i="10" s="1"/>
  <c r="E2857" i="10"/>
  <c r="F2857" i="10" s="1"/>
  <c r="E2856" i="10"/>
  <c r="F2856" i="10" s="1"/>
  <c r="E2855" i="10"/>
  <c r="F2855" i="10" s="1"/>
  <c r="E2854" i="10"/>
  <c r="F2854" i="10" s="1"/>
  <c r="E2853" i="10"/>
  <c r="F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E2834" i="10"/>
  <c r="F2834" i="10" s="1"/>
  <c r="E2833" i="10"/>
  <c r="F2833" i="10" s="1"/>
  <c r="E2832" i="10"/>
  <c r="F2832" i="10" s="1"/>
  <c r="E2831" i="10"/>
  <c r="F2831" i="10" s="1"/>
  <c r="E2830" i="10"/>
  <c r="F2830" i="10" s="1"/>
  <c r="E2829" i="10"/>
  <c r="F2829" i="10" s="1"/>
  <c r="E2828" i="10"/>
  <c r="F2828" i="10" s="1"/>
  <c r="E2827" i="10"/>
  <c r="F2827" i="10" s="1"/>
  <c r="E2826" i="10"/>
  <c r="F2826" i="10" s="1"/>
  <c r="E2825" i="10"/>
  <c r="F2825" i="10" s="1"/>
  <c r="E2824" i="10"/>
  <c r="F2824" i="10" s="1"/>
  <c r="E2823" i="10"/>
  <c r="F2823" i="10" s="1"/>
  <c r="E2822" i="10"/>
  <c r="F2822" i="10" s="1"/>
  <c r="E2821" i="10"/>
  <c r="F2821" i="10" s="1"/>
  <c r="E2820" i="10"/>
  <c r="F2820" i="10" s="1"/>
  <c r="E2819" i="10"/>
  <c r="F2819" i="10" s="1"/>
  <c r="E2818" i="10"/>
  <c r="F2818" i="10" s="1"/>
  <c r="E2817" i="10"/>
  <c r="F2817" i="10" s="1"/>
  <c r="E2816" i="10"/>
  <c r="F2816" i="10" s="1"/>
  <c r="E2815" i="10"/>
  <c r="F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E2796" i="10"/>
  <c r="F2796" i="10" s="1"/>
  <c r="E2795" i="10"/>
  <c r="F2795" i="10" s="1"/>
  <c r="E2794" i="10"/>
  <c r="F2794" i="10" s="1"/>
  <c r="E2793" i="10"/>
  <c r="F2793" i="10" s="1"/>
  <c r="E2792" i="10"/>
  <c r="F2792" i="10" s="1"/>
  <c r="E2791" i="10"/>
  <c r="F2791" i="10" s="1"/>
  <c r="E2790" i="10"/>
  <c r="F2790" i="10" s="1"/>
  <c r="E2789" i="10"/>
  <c r="F2789" i="10" s="1"/>
  <c r="E2788" i="10"/>
  <c r="F2788" i="10" s="1"/>
  <c r="E2787" i="10"/>
  <c r="F2787" i="10" s="1"/>
  <c r="E2786" i="10"/>
  <c r="F2786" i="10" s="1"/>
  <c r="E2785" i="10"/>
  <c r="F2785" i="10" s="1"/>
  <c r="E2784" i="10"/>
  <c r="F2784" i="10" s="1"/>
  <c r="E2783" i="10"/>
  <c r="F2783" i="10" s="1"/>
  <c r="E2782" i="10"/>
  <c r="F2782" i="10" s="1"/>
  <c r="E2781" i="10"/>
  <c r="F2781" i="10" s="1"/>
  <c r="E2780" i="10"/>
  <c r="F2780" i="10" s="1"/>
  <c r="E2779" i="10"/>
  <c r="F2779" i="10" s="1"/>
  <c r="E2778" i="10"/>
  <c r="F2778" i="10" s="1"/>
  <c r="E2777" i="10"/>
  <c r="F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E2719" i="10"/>
  <c r="F2719" i="10" s="1"/>
  <c r="E2718" i="10"/>
  <c r="F2718" i="10" s="1"/>
  <c r="E2717" i="10"/>
  <c r="F2717" i="10" s="1"/>
  <c r="E2716" i="10"/>
  <c r="F2716" i="10" s="1"/>
  <c r="E2715" i="10"/>
  <c r="F2715" i="10" s="1"/>
  <c r="E2714" i="10"/>
  <c r="F2714" i="10" s="1"/>
  <c r="E2713" i="10"/>
  <c r="F2713" i="10" s="1"/>
  <c r="E2712" i="10"/>
  <c r="F2712" i="10" s="1"/>
  <c r="E2711" i="10"/>
  <c r="F2711" i="10" s="1"/>
  <c r="E2710" i="10"/>
  <c r="F2710" i="10" s="1"/>
  <c r="E2709" i="10"/>
  <c r="F2709" i="10" s="1"/>
  <c r="E2708" i="10"/>
  <c r="F2708" i="10" s="1"/>
  <c r="E2707" i="10"/>
  <c r="F2707" i="10" s="1"/>
  <c r="E2706" i="10"/>
  <c r="F2706" i="10" s="1"/>
  <c r="E2705" i="10"/>
  <c r="F2705" i="10" s="1"/>
  <c r="E2704" i="10"/>
  <c r="F2704" i="10" s="1"/>
  <c r="E2703" i="10"/>
  <c r="F2703" i="10" s="1"/>
  <c r="E2702" i="10"/>
  <c r="F2702" i="10" s="1"/>
  <c r="E2701" i="10"/>
  <c r="F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E2682" i="10"/>
  <c r="F2682" i="10" s="1"/>
  <c r="E2681" i="10"/>
  <c r="F2681" i="10" s="1"/>
  <c r="E2680" i="10"/>
  <c r="F2680" i="10" s="1"/>
  <c r="E2679" i="10"/>
  <c r="F2679" i="10" s="1"/>
  <c r="E2678" i="10"/>
  <c r="F2678" i="10" s="1"/>
  <c r="E2677" i="10"/>
  <c r="F2677" i="10" s="1"/>
  <c r="E2676" i="10"/>
  <c r="F2676" i="10" s="1"/>
  <c r="E2675" i="10"/>
  <c r="F2675" i="10" s="1"/>
  <c r="E2674" i="10"/>
  <c r="F2674" i="10" s="1"/>
  <c r="E2673" i="10"/>
  <c r="F2673" i="10" s="1"/>
  <c r="E2672" i="10"/>
  <c r="F2672" i="10" s="1"/>
  <c r="E2671" i="10"/>
  <c r="F2671" i="10" s="1"/>
  <c r="E2670" i="10"/>
  <c r="F2670" i="10" s="1"/>
  <c r="E2669" i="10"/>
  <c r="F2669" i="10" s="1"/>
  <c r="E2668" i="10"/>
  <c r="F2668" i="10" s="1"/>
  <c r="E2667" i="10"/>
  <c r="F2667" i="10" s="1"/>
  <c r="E2666" i="10"/>
  <c r="F2666" i="10" s="1"/>
  <c r="E2665" i="10"/>
  <c r="F2665" i="10" s="1"/>
  <c r="E2664" i="10"/>
  <c r="F2664" i="10" s="1"/>
  <c r="E2663" i="10"/>
  <c r="F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E2644" i="10"/>
  <c r="F2644" i="10" s="1"/>
  <c r="E2643" i="10"/>
  <c r="F2643" i="10" s="1"/>
  <c r="E2642" i="10"/>
  <c r="F2642" i="10" s="1"/>
  <c r="E2641" i="10"/>
  <c r="F2641" i="10" s="1"/>
  <c r="E2640" i="10"/>
  <c r="F2640" i="10" s="1"/>
  <c r="E2639" i="10"/>
  <c r="F2639" i="10" s="1"/>
  <c r="E2638" i="10"/>
  <c r="F2638" i="10" s="1"/>
  <c r="E2637" i="10"/>
  <c r="F2637" i="10" s="1"/>
  <c r="E2636" i="10"/>
  <c r="F2636" i="10" s="1"/>
  <c r="E2635" i="10"/>
  <c r="F2635" i="10" s="1"/>
  <c r="E2634" i="10"/>
  <c r="F2634" i="10" s="1"/>
  <c r="E2633" i="10"/>
  <c r="F2633" i="10" s="1"/>
  <c r="E2632" i="10"/>
  <c r="F2632" i="10" s="1"/>
  <c r="E2631" i="10"/>
  <c r="F2631" i="10" s="1"/>
  <c r="E2630" i="10"/>
  <c r="F2630" i="10" s="1"/>
  <c r="E2629" i="10"/>
  <c r="F2629" i="10" s="1"/>
  <c r="E2628" i="10"/>
  <c r="F2628" i="10" s="1"/>
  <c r="E2627" i="10"/>
  <c r="F2627" i="10" s="1"/>
  <c r="E2626" i="10"/>
  <c r="F2626" i="10" s="1"/>
  <c r="E2625" i="10"/>
  <c r="F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E2301" i="10"/>
  <c r="F2301" i="10" s="1"/>
  <c r="E2300" i="10"/>
  <c r="F2300" i="10" s="1"/>
  <c r="E2299" i="10"/>
  <c r="F2299" i="10" s="1"/>
  <c r="E2298" i="10"/>
  <c r="F2298" i="10" s="1"/>
  <c r="E2297" i="10"/>
  <c r="F2297" i="10" s="1"/>
  <c r="E2296" i="10"/>
  <c r="F2296" i="10" s="1"/>
  <c r="E2295" i="10"/>
  <c r="F2295" i="10" s="1"/>
  <c r="E2294" i="10"/>
  <c r="F2294" i="10" s="1"/>
  <c r="E2293" i="10"/>
  <c r="F2293" i="10" s="1"/>
  <c r="E2292" i="10"/>
  <c r="F2292" i="10" s="1"/>
  <c r="E2291" i="10"/>
  <c r="F2291" i="10" s="1"/>
  <c r="E2290" i="10"/>
  <c r="F2290" i="10" s="1"/>
  <c r="E2289" i="10"/>
  <c r="F2289" i="10" s="1"/>
  <c r="E2288" i="10"/>
  <c r="F2288" i="10" s="1"/>
  <c r="E2287" i="10"/>
  <c r="F2287" i="10" s="1"/>
  <c r="E2286" i="10"/>
  <c r="F2286" i="10" s="1"/>
  <c r="E2285" i="10"/>
  <c r="F2285" i="10" s="1"/>
  <c r="E2284" i="10"/>
  <c r="F2284" i="10" s="1"/>
  <c r="E2283" i="10"/>
  <c r="F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E2264" i="10"/>
  <c r="F2264" i="10" s="1"/>
  <c r="E2263" i="10"/>
  <c r="F2263" i="10" s="1"/>
  <c r="E2262" i="10"/>
  <c r="F2262" i="10" s="1"/>
  <c r="E2261" i="10"/>
  <c r="F2261" i="10" s="1"/>
  <c r="E2260" i="10"/>
  <c r="F2260" i="10" s="1"/>
  <c r="E2259" i="10"/>
  <c r="F2259" i="10" s="1"/>
  <c r="E2258" i="10"/>
  <c r="F2258" i="10" s="1"/>
  <c r="E2257" i="10"/>
  <c r="F2257" i="10" s="1"/>
  <c r="E2256" i="10"/>
  <c r="F2256" i="10" s="1"/>
  <c r="E2255" i="10"/>
  <c r="F2255" i="10" s="1"/>
  <c r="E2254" i="10"/>
  <c r="F2254" i="10" s="1"/>
  <c r="E2253" i="10"/>
  <c r="F2253" i="10" s="1"/>
  <c r="E2252" i="10"/>
  <c r="F2252" i="10" s="1"/>
  <c r="E2251" i="10"/>
  <c r="F2251" i="10" s="1"/>
  <c r="E2250" i="10"/>
  <c r="F2250" i="10" s="1"/>
  <c r="E2249" i="10"/>
  <c r="F2249" i="10" s="1"/>
  <c r="E2248" i="10"/>
  <c r="F2248" i="10" s="1"/>
  <c r="E2247" i="10"/>
  <c r="F2247" i="10" s="1"/>
  <c r="E2246" i="10"/>
  <c r="F2246" i="10" s="1"/>
  <c r="E2245" i="10"/>
  <c r="F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E2226" i="10"/>
  <c r="F2226" i="10" s="1"/>
  <c r="E2225" i="10"/>
  <c r="F2225" i="10" s="1"/>
  <c r="E2224" i="10"/>
  <c r="F2224" i="10" s="1"/>
  <c r="E2223" i="10"/>
  <c r="F2223" i="10" s="1"/>
  <c r="E2222" i="10"/>
  <c r="F2222" i="10" s="1"/>
  <c r="E2221" i="10"/>
  <c r="F2221" i="10" s="1"/>
  <c r="E2220" i="10"/>
  <c r="F2220" i="10" s="1"/>
  <c r="E2219" i="10"/>
  <c r="F2219" i="10" s="1"/>
  <c r="E2218" i="10"/>
  <c r="F2218" i="10" s="1"/>
  <c r="E2217" i="10"/>
  <c r="F2217" i="10" s="1"/>
  <c r="E2216" i="10"/>
  <c r="F2216" i="10" s="1"/>
  <c r="E2215" i="10"/>
  <c r="F2215" i="10" s="1"/>
  <c r="E2214" i="10"/>
  <c r="F2214" i="10" s="1"/>
  <c r="E2213" i="10"/>
  <c r="F2213" i="10" s="1"/>
  <c r="E2212" i="10"/>
  <c r="F2212" i="10" s="1"/>
  <c r="E2211" i="10"/>
  <c r="F2211" i="10" s="1"/>
  <c r="E2210" i="10"/>
  <c r="F2210" i="10" s="1"/>
  <c r="E2209" i="10"/>
  <c r="F2209" i="10" s="1"/>
  <c r="E2208" i="10"/>
  <c r="F2208" i="10" s="1"/>
  <c r="E2207" i="10"/>
  <c r="F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E2035" i="10"/>
  <c r="F2035" i="10" s="1"/>
  <c r="E2034" i="10"/>
  <c r="F2034" i="10" s="1"/>
  <c r="E2033" i="10"/>
  <c r="F2033" i="10" s="1"/>
  <c r="E2032" i="10"/>
  <c r="F2032" i="10" s="1"/>
  <c r="E2031" i="10"/>
  <c r="F2031" i="10" s="1"/>
  <c r="E2030" i="10"/>
  <c r="F2030" i="10" s="1"/>
  <c r="E2029" i="10"/>
  <c r="F2029" i="10" s="1"/>
  <c r="E2028" i="10"/>
  <c r="F2028" i="10" s="1"/>
  <c r="E2027" i="10"/>
  <c r="F2027" i="10" s="1"/>
  <c r="E2026" i="10"/>
  <c r="F2026" i="10" s="1"/>
  <c r="E2025" i="10"/>
  <c r="F2025" i="10" s="1"/>
  <c r="E2024" i="10"/>
  <c r="F2024" i="10" s="1"/>
  <c r="E2023" i="10"/>
  <c r="F2023" i="10" s="1"/>
  <c r="E2022" i="10"/>
  <c r="F2022" i="10" s="1"/>
  <c r="E2021" i="10"/>
  <c r="F2021" i="10" s="1"/>
  <c r="E2020" i="10"/>
  <c r="F2020" i="10" s="1"/>
  <c r="E2019" i="10"/>
  <c r="F2019" i="10" s="1"/>
  <c r="E2018" i="10"/>
  <c r="F2018" i="10" s="1"/>
  <c r="E2017" i="10"/>
  <c r="F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E1998" i="10"/>
  <c r="F1998" i="10" s="1"/>
  <c r="E1997" i="10"/>
  <c r="F1997" i="10" s="1"/>
  <c r="E1996" i="10"/>
  <c r="F1996" i="10" s="1"/>
  <c r="E1995" i="10"/>
  <c r="F1995" i="10" s="1"/>
  <c r="E1994" i="10"/>
  <c r="F1994" i="10" s="1"/>
  <c r="E1993" i="10"/>
  <c r="F1993" i="10" s="1"/>
  <c r="E1992" i="10"/>
  <c r="F1992" i="10" s="1"/>
  <c r="E1991" i="10"/>
  <c r="F1991" i="10" s="1"/>
  <c r="E1990" i="10"/>
  <c r="F1990" i="10" s="1"/>
  <c r="E1989" i="10"/>
  <c r="F1989" i="10" s="1"/>
  <c r="E1988" i="10"/>
  <c r="F1988" i="10" s="1"/>
  <c r="E1987" i="10"/>
  <c r="F1987" i="10" s="1"/>
  <c r="E1986" i="10"/>
  <c r="F1986" i="10" s="1"/>
  <c r="E1985" i="10"/>
  <c r="F1985" i="10" s="1"/>
  <c r="E1984" i="10"/>
  <c r="F1984" i="10" s="1"/>
  <c r="E1983" i="10"/>
  <c r="F1983" i="10" s="1"/>
  <c r="E1982" i="10"/>
  <c r="F1982" i="10" s="1"/>
  <c r="E1981" i="10"/>
  <c r="F1981" i="10" s="1"/>
  <c r="E1980" i="10"/>
  <c r="F1980" i="10" s="1"/>
  <c r="E1979" i="10"/>
  <c r="F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E1960" i="10"/>
  <c r="F1960" i="10" s="1"/>
  <c r="E1959" i="10"/>
  <c r="F1959" i="10" s="1"/>
  <c r="E1958" i="10"/>
  <c r="F1958" i="10" s="1"/>
  <c r="E1957" i="10"/>
  <c r="F1957" i="10" s="1"/>
  <c r="E1956" i="10"/>
  <c r="F1956" i="10" s="1"/>
  <c r="E1955" i="10"/>
  <c r="F1955" i="10" s="1"/>
  <c r="E1954" i="10"/>
  <c r="F1954" i="10" s="1"/>
  <c r="E1953" i="10"/>
  <c r="F1953" i="10" s="1"/>
  <c r="E1952" i="10"/>
  <c r="F1952" i="10" s="1"/>
  <c r="E1951" i="10"/>
  <c r="F1951" i="10" s="1"/>
  <c r="E1950" i="10"/>
  <c r="F1950" i="10" s="1"/>
  <c r="E1949" i="10"/>
  <c r="F1949" i="10" s="1"/>
  <c r="E1948" i="10"/>
  <c r="F1948" i="10" s="1"/>
  <c r="E1947" i="10"/>
  <c r="F1947" i="10" s="1"/>
  <c r="E1946" i="10"/>
  <c r="F1946" i="10" s="1"/>
  <c r="E1945" i="10"/>
  <c r="F1945" i="10" s="1"/>
  <c r="E1944" i="10"/>
  <c r="F1944" i="10" s="1"/>
  <c r="E1943" i="10"/>
  <c r="F1943" i="10" s="1"/>
  <c r="E1942" i="10"/>
  <c r="F1942" i="10" s="1"/>
  <c r="E1941" i="10"/>
  <c r="F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E1883" i="10"/>
  <c r="F1883" i="10" s="1"/>
  <c r="E1882" i="10"/>
  <c r="F1882" i="10" s="1"/>
  <c r="E1881" i="10"/>
  <c r="F1881" i="10" s="1"/>
  <c r="E1880" i="10"/>
  <c r="F1880" i="10" s="1"/>
  <c r="E1879" i="10"/>
  <c r="F1879" i="10" s="1"/>
  <c r="E1878" i="10"/>
  <c r="F1878" i="10" s="1"/>
  <c r="E1877" i="10"/>
  <c r="F1877" i="10" s="1"/>
  <c r="E1876" i="10"/>
  <c r="F1876" i="10" s="1"/>
  <c r="E1875" i="10"/>
  <c r="F1875" i="10" s="1"/>
  <c r="E1874" i="10"/>
  <c r="F1874" i="10" s="1"/>
  <c r="E1873" i="10"/>
  <c r="F1873" i="10" s="1"/>
  <c r="E1872" i="10"/>
  <c r="F1872" i="10" s="1"/>
  <c r="E1871" i="10"/>
  <c r="F1871" i="10" s="1"/>
  <c r="E1870" i="10"/>
  <c r="F1870" i="10" s="1"/>
  <c r="E1869" i="10"/>
  <c r="F1869" i="10" s="1"/>
  <c r="E1868" i="10"/>
  <c r="F1868" i="10" s="1"/>
  <c r="E1867" i="10"/>
  <c r="F1867" i="10" s="1"/>
  <c r="E1866" i="10"/>
  <c r="F1866" i="10" s="1"/>
  <c r="E1865" i="10"/>
  <c r="F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E1846" i="10"/>
  <c r="F1846" i="10" s="1"/>
  <c r="E1845" i="10"/>
  <c r="F1845" i="10" s="1"/>
  <c r="E1844" i="10"/>
  <c r="F1844" i="10" s="1"/>
  <c r="E1843" i="10"/>
  <c r="F1843" i="10" s="1"/>
  <c r="E1842" i="10"/>
  <c r="F1842" i="10" s="1"/>
  <c r="E1841" i="10"/>
  <c r="F1841" i="10" s="1"/>
  <c r="E1840" i="10"/>
  <c r="F1840" i="10" s="1"/>
  <c r="E1839" i="10"/>
  <c r="F1839" i="10" s="1"/>
  <c r="E1838" i="10"/>
  <c r="F1838" i="10" s="1"/>
  <c r="E1837" i="10"/>
  <c r="F1837" i="10" s="1"/>
  <c r="E1836" i="10"/>
  <c r="F1836" i="10" s="1"/>
  <c r="E1835" i="10"/>
  <c r="F1835" i="10" s="1"/>
  <c r="E1834" i="10"/>
  <c r="F1834" i="10" s="1"/>
  <c r="E1833" i="10"/>
  <c r="F1833" i="10" s="1"/>
  <c r="E1832" i="10"/>
  <c r="F1832" i="10" s="1"/>
  <c r="E1831" i="10"/>
  <c r="F1831" i="10" s="1"/>
  <c r="E1830" i="10"/>
  <c r="F1830" i="10" s="1"/>
  <c r="E1829" i="10"/>
  <c r="F1829" i="10" s="1"/>
  <c r="E1828" i="10"/>
  <c r="F1828" i="10" s="1"/>
  <c r="E1827" i="10"/>
  <c r="F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E1808" i="10"/>
  <c r="F1808" i="10" s="1"/>
  <c r="E1807" i="10"/>
  <c r="F1807" i="10" s="1"/>
  <c r="E1806" i="10"/>
  <c r="F1806" i="10" s="1"/>
  <c r="E1805" i="10"/>
  <c r="F1805" i="10" s="1"/>
  <c r="E1804" i="10"/>
  <c r="F1804" i="10" s="1"/>
  <c r="E1803" i="10"/>
  <c r="F1803" i="10" s="1"/>
  <c r="E1802" i="10"/>
  <c r="F1802" i="10" s="1"/>
  <c r="E1801" i="10"/>
  <c r="F1801" i="10" s="1"/>
  <c r="E1800" i="10"/>
  <c r="F1800" i="10" s="1"/>
  <c r="E1799" i="10"/>
  <c r="F1799" i="10" s="1"/>
  <c r="E1798" i="10"/>
  <c r="F1798" i="10" s="1"/>
  <c r="E1797" i="10"/>
  <c r="F1797" i="10" s="1"/>
  <c r="E1796" i="10"/>
  <c r="F1796" i="10" s="1"/>
  <c r="E1795" i="10"/>
  <c r="F1795" i="10" s="1"/>
  <c r="E1794" i="10"/>
  <c r="F1794" i="10" s="1"/>
  <c r="E1793" i="10"/>
  <c r="F1793" i="10" s="1"/>
  <c r="E1792" i="10"/>
  <c r="F1792" i="10" s="1"/>
  <c r="E1791" i="10"/>
  <c r="F1791" i="10" s="1"/>
  <c r="E1790" i="10"/>
  <c r="F1790" i="10" s="1"/>
  <c r="E1789" i="10"/>
  <c r="F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E1617" i="10"/>
  <c r="F1617" i="10" s="1"/>
  <c r="E1616" i="10"/>
  <c r="F1616" i="10" s="1"/>
  <c r="E1615" i="10"/>
  <c r="F1615" i="10" s="1"/>
  <c r="E1614" i="10"/>
  <c r="F1614" i="10" s="1"/>
  <c r="E1613" i="10"/>
  <c r="F1613" i="10" s="1"/>
  <c r="E1612" i="10"/>
  <c r="F1612" i="10" s="1"/>
  <c r="E1611" i="10"/>
  <c r="F1611" i="10" s="1"/>
  <c r="E1610" i="10"/>
  <c r="F1610" i="10" s="1"/>
  <c r="E1609" i="10"/>
  <c r="F1609" i="10" s="1"/>
  <c r="E1608" i="10"/>
  <c r="F1608" i="10" s="1"/>
  <c r="E1607" i="10"/>
  <c r="F1607" i="10" s="1"/>
  <c r="E1606" i="10"/>
  <c r="F1606" i="10" s="1"/>
  <c r="E1605" i="10"/>
  <c r="F1605" i="10" s="1"/>
  <c r="E1604" i="10"/>
  <c r="F1604" i="10" s="1"/>
  <c r="E1603" i="10"/>
  <c r="F1603" i="10" s="1"/>
  <c r="E1602" i="10"/>
  <c r="F1602" i="10" s="1"/>
  <c r="E1601" i="10"/>
  <c r="F1601" i="10" s="1"/>
  <c r="E1600" i="10"/>
  <c r="F1600" i="10" s="1"/>
  <c r="E1599" i="10"/>
  <c r="F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E1580" i="10"/>
  <c r="F1580" i="10" s="1"/>
  <c r="E1579" i="10"/>
  <c r="F1579" i="10" s="1"/>
  <c r="E1578" i="10"/>
  <c r="F1578" i="10" s="1"/>
  <c r="E1577" i="10"/>
  <c r="F1577" i="10" s="1"/>
  <c r="E1576" i="10"/>
  <c r="F1576" i="10" s="1"/>
  <c r="E1575" i="10"/>
  <c r="F1575" i="10" s="1"/>
  <c r="E1574" i="10"/>
  <c r="F1574" i="10" s="1"/>
  <c r="E1573" i="10"/>
  <c r="F1573" i="10" s="1"/>
  <c r="E1572" i="10"/>
  <c r="F1572" i="10" s="1"/>
  <c r="E1571" i="10"/>
  <c r="F1571" i="10" s="1"/>
  <c r="E1570" i="10"/>
  <c r="F1570" i="10" s="1"/>
  <c r="E1569" i="10"/>
  <c r="F1569" i="10" s="1"/>
  <c r="E1568" i="10"/>
  <c r="F1568" i="10" s="1"/>
  <c r="E1567" i="10"/>
  <c r="F1567" i="10" s="1"/>
  <c r="E1566" i="10"/>
  <c r="F1566" i="10" s="1"/>
  <c r="E1565" i="10"/>
  <c r="F1565" i="10" s="1"/>
  <c r="E1564" i="10"/>
  <c r="F1564" i="10" s="1"/>
  <c r="E1563" i="10"/>
  <c r="F1563" i="10" s="1"/>
  <c r="E1562" i="10"/>
  <c r="F1562" i="10" s="1"/>
  <c r="E1561" i="10"/>
  <c r="F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E1542" i="10"/>
  <c r="F1542" i="10" s="1"/>
  <c r="E1541" i="10"/>
  <c r="F1541" i="10" s="1"/>
  <c r="E1540" i="10"/>
  <c r="F1540" i="10" s="1"/>
  <c r="E1539" i="10"/>
  <c r="F1539" i="10" s="1"/>
  <c r="E1538" i="10"/>
  <c r="F1538" i="10" s="1"/>
  <c r="E1537" i="10"/>
  <c r="F1537" i="10" s="1"/>
  <c r="E1536" i="10"/>
  <c r="F1536" i="10" s="1"/>
  <c r="E1535" i="10"/>
  <c r="F1535" i="10" s="1"/>
  <c r="E1534" i="10"/>
  <c r="F1534" i="10" s="1"/>
  <c r="E1533" i="10"/>
  <c r="F1533" i="10" s="1"/>
  <c r="E1532" i="10"/>
  <c r="F1532" i="10" s="1"/>
  <c r="E1531" i="10"/>
  <c r="F1531" i="10" s="1"/>
  <c r="E1530" i="10"/>
  <c r="F1530" i="10" s="1"/>
  <c r="E1529" i="10"/>
  <c r="F1529" i="10" s="1"/>
  <c r="E1528" i="10"/>
  <c r="F1528" i="10" s="1"/>
  <c r="E1527" i="10"/>
  <c r="F1527" i="10" s="1"/>
  <c r="E1526" i="10"/>
  <c r="F1526" i="10" s="1"/>
  <c r="E1525" i="10"/>
  <c r="F1525" i="10" s="1"/>
  <c r="E1524" i="10"/>
  <c r="F1524" i="10" s="1"/>
  <c r="E1523" i="10"/>
  <c r="F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E1465" i="10"/>
  <c r="F1465" i="10" s="1"/>
  <c r="E1464" i="10"/>
  <c r="F1464" i="10" s="1"/>
  <c r="E1463" i="10"/>
  <c r="F1463" i="10" s="1"/>
  <c r="E1462" i="10"/>
  <c r="F1462" i="10" s="1"/>
  <c r="E1461" i="10"/>
  <c r="F1461" i="10" s="1"/>
  <c r="E1460" i="10"/>
  <c r="F1460" i="10" s="1"/>
  <c r="E1459" i="10"/>
  <c r="F1459" i="10" s="1"/>
  <c r="E1458" i="10"/>
  <c r="F1458" i="10" s="1"/>
  <c r="E1457" i="10"/>
  <c r="F1457" i="10" s="1"/>
  <c r="E1456" i="10"/>
  <c r="F1456" i="10" s="1"/>
  <c r="E1455" i="10"/>
  <c r="F1455" i="10" s="1"/>
  <c r="E1454" i="10"/>
  <c r="F1454" i="10" s="1"/>
  <c r="E1453" i="10"/>
  <c r="F1453" i="10" s="1"/>
  <c r="E1452" i="10"/>
  <c r="F1452" i="10" s="1"/>
  <c r="E1451" i="10"/>
  <c r="F1451" i="10" s="1"/>
  <c r="E1450" i="10"/>
  <c r="F1450" i="10" s="1"/>
  <c r="E1449" i="10"/>
  <c r="F1449" i="10" s="1"/>
  <c r="E1448" i="10"/>
  <c r="F1448" i="10" s="1"/>
  <c r="E1447" i="10"/>
  <c r="F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E1428" i="10"/>
  <c r="F1428" i="10" s="1"/>
  <c r="E1427" i="10"/>
  <c r="F1427" i="10" s="1"/>
  <c r="E1426" i="10"/>
  <c r="F1426" i="10" s="1"/>
  <c r="E1425" i="10"/>
  <c r="F1425" i="10" s="1"/>
  <c r="E1424" i="10"/>
  <c r="F1424" i="10" s="1"/>
  <c r="E1423" i="10"/>
  <c r="F1423" i="10" s="1"/>
  <c r="E1422" i="10"/>
  <c r="F1422" i="10" s="1"/>
  <c r="E1421" i="10"/>
  <c r="F1421" i="10" s="1"/>
  <c r="E1420" i="10"/>
  <c r="F1420" i="10" s="1"/>
  <c r="E1419" i="10"/>
  <c r="F1419" i="10" s="1"/>
  <c r="E1418" i="10"/>
  <c r="F1418" i="10" s="1"/>
  <c r="E1417" i="10"/>
  <c r="F1417" i="10" s="1"/>
  <c r="E1416" i="10"/>
  <c r="F1416" i="10" s="1"/>
  <c r="E1415" i="10"/>
  <c r="F1415" i="10" s="1"/>
  <c r="E1414" i="10"/>
  <c r="F1414" i="10" s="1"/>
  <c r="E1413" i="10"/>
  <c r="F1413" i="10" s="1"/>
  <c r="E1412" i="10"/>
  <c r="F1412" i="10" s="1"/>
  <c r="E1411" i="10"/>
  <c r="F1411" i="10" s="1"/>
  <c r="E1410" i="10"/>
  <c r="F1410" i="10" s="1"/>
  <c r="E1409" i="10"/>
  <c r="F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E1390" i="10"/>
  <c r="F1390" i="10" s="1"/>
  <c r="E1389" i="10"/>
  <c r="F1389" i="10" s="1"/>
  <c r="E1388" i="10"/>
  <c r="F1388" i="10" s="1"/>
  <c r="E1387" i="10"/>
  <c r="F1387" i="10" s="1"/>
  <c r="E1386" i="10"/>
  <c r="F1386" i="10" s="1"/>
  <c r="E1385" i="10"/>
  <c r="F1385" i="10" s="1"/>
  <c r="E1384" i="10"/>
  <c r="F1384" i="10" s="1"/>
  <c r="E1383" i="10"/>
  <c r="F1383" i="10" s="1"/>
  <c r="E1382" i="10"/>
  <c r="F1382" i="10" s="1"/>
  <c r="E1381" i="10"/>
  <c r="F1381" i="10" s="1"/>
  <c r="E1380" i="10"/>
  <c r="F1380" i="10" s="1"/>
  <c r="E1379" i="10"/>
  <c r="F1379" i="10" s="1"/>
  <c r="E1378" i="10"/>
  <c r="F1378" i="10" s="1"/>
  <c r="E1377" i="10"/>
  <c r="F1377" i="10" s="1"/>
  <c r="E1376" i="10"/>
  <c r="F1376" i="10" s="1"/>
  <c r="E1375" i="10"/>
  <c r="F1375" i="10" s="1"/>
  <c r="E1374" i="10"/>
  <c r="F1374" i="10" s="1"/>
  <c r="E1373" i="10"/>
  <c r="F1373" i="10" s="1"/>
  <c r="E1372" i="10"/>
  <c r="F1372" i="10" s="1"/>
  <c r="E1371" i="10"/>
  <c r="F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E1199" i="10"/>
  <c r="F1199" i="10" s="1"/>
  <c r="E1198" i="10"/>
  <c r="F1198" i="10" s="1"/>
  <c r="E1197" i="10"/>
  <c r="F1197" i="10" s="1"/>
  <c r="E1196" i="10"/>
  <c r="F1196" i="10" s="1"/>
  <c r="E1195" i="10"/>
  <c r="F1195" i="10" s="1"/>
  <c r="E1194" i="10"/>
  <c r="F1194" i="10" s="1"/>
  <c r="E1193" i="10"/>
  <c r="F1193" i="10" s="1"/>
  <c r="E1192" i="10"/>
  <c r="F1192" i="10" s="1"/>
  <c r="E1191" i="10"/>
  <c r="F1191" i="10" s="1"/>
  <c r="E1190" i="10"/>
  <c r="F1190" i="10" s="1"/>
  <c r="E1189" i="10"/>
  <c r="F1189" i="10" s="1"/>
  <c r="E1188" i="10"/>
  <c r="F1188" i="10" s="1"/>
  <c r="E1187" i="10"/>
  <c r="F1187" i="10" s="1"/>
  <c r="E1186" i="10"/>
  <c r="F1186" i="10" s="1"/>
  <c r="E1185" i="10"/>
  <c r="F1185" i="10" s="1"/>
  <c r="E1184" i="10"/>
  <c r="F1184" i="10" s="1"/>
  <c r="E1183" i="10"/>
  <c r="F1183" i="10" s="1"/>
  <c r="E1182" i="10"/>
  <c r="F1182" i="10" s="1"/>
  <c r="E1181" i="10"/>
  <c r="F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E1162" i="10"/>
  <c r="F1162" i="10" s="1"/>
  <c r="E1161" i="10"/>
  <c r="F1161" i="10" s="1"/>
  <c r="E1160" i="10"/>
  <c r="F1160" i="10" s="1"/>
  <c r="E1159" i="10"/>
  <c r="F1159" i="10" s="1"/>
  <c r="E1158" i="10"/>
  <c r="F1158" i="10" s="1"/>
  <c r="E1157" i="10"/>
  <c r="F1157" i="10" s="1"/>
  <c r="E1156" i="10"/>
  <c r="F1156" i="10" s="1"/>
  <c r="E1155" i="10"/>
  <c r="F1155" i="10" s="1"/>
  <c r="E1154" i="10"/>
  <c r="F1154" i="10" s="1"/>
  <c r="E1153" i="10"/>
  <c r="F1153" i="10" s="1"/>
  <c r="E1152" i="10"/>
  <c r="F1152" i="10" s="1"/>
  <c r="E1151" i="10"/>
  <c r="F1151" i="10" s="1"/>
  <c r="E1150" i="10"/>
  <c r="F1150" i="10" s="1"/>
  <c r="E1149" i="10"/>
  <c r="F1149" i="10" s="1"/>
  <c r="E1148" i="10"/>
  <c r="F1148" i="10" s="1"/>
  <c r="E1147" i="10"/>
  <c r="F1147" i="10" s="1"/>
  <c r="E1146" i="10"/>
  <c r="F1146" i="10" s="1"/>
  <c r="E1145" i="10"/>
  <c r="F1145" i="10" s="1"/>
  <c r="E1144" i="10"/>
  <c r="F1144" i="10" s="1"/>
  <c r="E1143" i="10"/>
  <c r="F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E1124" i="10"/>
  <c r="F1124" i="10" s="1"/>
  <c r="E1123" i="10"/>
  <c r="F1123" i="10" s="1"/>
  <c r="E1122" i="10"/>
  <c r="F1122" i="10" s="1"/>
  <c r="E1121" i="10"/>
  <c r="F1121" i="10" s="1"/>
  <c r="E1120" i="10"/>
  <c r="F1120" i="10" s="1"/>
  <c r="E1119" i="10"/>
  <c r="F1119" i="10" s="1"/>
  <c r="E1118" i="10"/>
  <c r="F1118" i="10" s="1"/>
  <c r="E1117" i="10"/>
  <c r="F1117" i="10" s="1"/>
  <c r="E1116" i="10"/>
  <c r="F1116" i="10" s="1"/>
  <c r="E1115" i="10"/>
  <c r="F1115" i="10" s="1"/>
  <c r="E1114" i="10"/>
  <c r="F1114" i="10" s="1"/>
  <c r="E1113" i="10"/>
  <c r="F1113" i="10" s="1"/>
  <c r="E1112" i="10"/>
  <c r="F1112" i="10" s="1"/>
  <c r="E1111" i="10"/>
  <c r="F1111" i="10" s="1"/>
  <c r="E1110" i="10"/>
  <c r="F1110" i="10" s="1"/>
  <c r="E1109" i="10"/>
  <c r="F1109" i="10" s="1"/>
  <c r="E1108" i="10"/>
  <c r="F1108" i="10" s="1"/>
  <c r="E1107" i="10"/>
  <c r="F1107" i="10" s="1"/>
  <c r="E1106" i="10"/>
  <c r="F1106" i="10" s="1"/>
  <c r="E1105" i="10"/>
  <c r="F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E1047" i="10"/>
  <c r="F1047" i="10" s="1"/>
  <c r="E1046" i="10"/>
  <c r="F1046" i="10" s="1"/>
  <c r="E1045" i="10"/>
  <c r="F1045" i="10" s="1"/>
  <c r="E1044" i="10"/>
  <c r="F1044" i="10" s="1"/>
  <c r="E1043" i="10"/>
  <c r="F1043" i="10" s="1"/>
  <c r="E1042" i="10"/>
  <c r="F1042" i="10" s="1"/>
  <c r="E1041" i="10"/>
  <c r="F1041" i="10" s="1"/>
  <c r="E1040" i="10"/>
  <c r="F1040" i="10" s="1"/>
  <c r="E1039" i="10"/>
  <c r="F1039" i="10" s="1"/>
  <c r="E1038" i="10"/>
  <c r="F1038" i="10" s="1"/>
  <c r="E1037" i="10"/>
  <c r="F1037" i="10" s="1"/>
  <c r="E1036" i="10"/>
  <c r="F1036" i="10" s="1"/>
  <c r="E1035" i="10"/>
  <c r="F1035" i="10" s="1"/>
  <c r="E1034" i="10"/>
  <c r="F1034" i="10" s="1"/>
  <c r="E1033" i="10"/>
  <c r="F1033" i="10" s="1"/>
  <c r="E1032" i="10"/>
  <c r="F1032" i="10" s="1"/>
  <c r="E1031" i="10"/>
  <c r="F1031" i="10" s="1"/>
  <c r="E1030" i="10"/>
  <c r="F1030" i="10" s="1"/>
  <c r="E1029" i="10"/>
  <c r="F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E1010" i="10"/>
  <c r="F1010" i="10" s="1"/>
  <c r="E1009" i="10"/>
  <c r="F1009" i="10" s="1"/>
  <c r="E1008" i="10"/>
  <c r="F1008" i="10" s="1"/>
  <c r="E1007" i="10"/>
  <c r="F1007" i="10" s="1"/>
  <c r="E1006" i="10"/>
  <c r="F1006" i="10" s="1"/>
  <c r="E1005" i="10"/>
  <c r="F1005" i="10" s="1"/>
  <c r="E1004" i="10"/>
  <c r="F1004" i="10" s="1"/>
  <c r="E1003" i="10"/>
  <c r="F1003" i="10" s="1"/>
  <c r="E1002" i="10"/>
  <c r="F1002" i="10" s="1"/>
  <c r="E1001" i="10"/>
  <c r="F1001" i="10" s="1"/>
  <c r="E1000" i="10"/>
  <c r="F1000" i="10" s="1"/>
  <c r="E999" i="10"/>
  <c r="F999" i="10" s="1"/>
  <c r="E998" i="10"/>
  <c r="F998" i="10" s="1"/>
  <c r="E997" i="10"/>
  <c r="F997" i="10" s="1"/>
  <c r="E996" i="10"/>
  <c r="F996" i="10" s="1"/>
  <c r="E995" i="10"/>
  <c r="F995" i="10" s="1"/>
  <c r="E994" i="10"/>
  <c r="F994" i="10" s="1"/>
  <c r="E993" i="10"/>
  <c r="F993" i="10" s="1"/>
  <c r="E992" i="10"/>
  <c r="F992" i="10" s="1"/>
  <c r="E991" i="10"/>
  <c r="F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E972" i="10"/>
  <c r="F972" i="10" s="1"/>
  <c r="E971" i="10"/>
  <c r="F971" i="10" s="1"/>
  <c r="E970" i="10"/>
  <c r="F970" i="10" s="1"/>
  <c r="E969" i="10"/>
  <c r="F969" i="10" s="1"/>
  <c r="E968" i="10"/>
  <c r="F968" i="10" s="1"/>
  <c r="E967" i="10"/>
  <c r="F967" i="10" s="1"/>
  <c r="E966" i="10"/>
  <c r="F966" i="10" s="1"/>
  <c r="E965" i="10"/>
  <c r="F965" i="10" s="1"/>
  <c r="E964" i="10"/>
  <c r="F964" i="10" s="1"/>
  <c r="E963" i="10"/>
  <c r="F963" i="10" s="1"/>
  <c r="E962" i="10"/>
  <c r="F962" i="10" s="1"/>
  <c r="E961" i="10"/>
  <c r="F961" i="10" s="1"/>
  <c r="E960" i="10"/>
  <c r="F960" i="10" s="1"/>
  <c r="E959" i="10"/>
  <c r="F959" i="10" s="1"/>
  <c r="E958" i="10"/>
  <c r="F958" i="10" s="1"/>
  <c r="E957" i="10"/>
  <c r="F957" i="10" s="1"/>
  <c r="E956" i="10"/>
  <c r="F956" i="10" s="1"/>
  <c r="E955" i="10"/>
  <c r="F955" i="10" s="1"/>
  <c r="E954" i="10"/>
  <c r="F954" i="10" s="1"/>
  <c r="E953" i="10"/>
  <c r="F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E781" i="10"/>
  <c r="F781" i="10" s="1"/>
  <c r="E780" i="10"/>
  <c r="F780" i="10" s="1"/>
  <c r="E779" i="10"/>
  <c r="F779" i="10" s="1"/>
  <c r="E778" i="10"/>
  <c r="F778" i="10" s="1"/>
  <c r="E777" i="10"/>
  <c r="F777" i="10" s="1"/>
  <c r="E776" i="10"/>
  <c r="F776" i="10" s="1"/>
  <c r="E775" i="10"/>
  <c r="F775" i="10" s="1"/>
  <c r="E774" i="10"/>
  <c r="F774" i="10" s="1"/>
  <c r="E773" i="10"/>
  <c r="F773" i="10" s="1"/>
  <c r="E772" i="10"/>
  <c r="F772" i="10" s="1"/>
  <c r="E771" i="10"/>
  <c r="F771" i="10" s="1"/>
  <c r="E770" i="10"/>
  <c r="F770" i="10" s="1"/>
  <c r="E769" i="10"/>
  <c r="F769" i="10" s="1"/>
  <c r="E768" i="10"/>
  <c r="F768" i="10" s="1"/>
  <c r="E767" i="10"/>
  <c r="F767" i="10" s="1"/>
  <c r="E766" i="10"/>
  <c r="F766" i="10" s="1"/>
  <c r="E765" i="10"/>
  <c r="F765" i="10" s="1"/>
  <c r="E764" i="10"/>
  <c r="F764" i="10" s="1"/>
  <c r="E763" i="10"/>
  <c r="F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E744" i="10"/>
  <c r="F744" i="10" s="1"/>
  <c r="E743" i="10"/>
  <c r="F743" i="10" s="1"/>
  <c r="E742" i="10"/>
  <c r="F742" i="10" s="1"/>
  <c r="E741" i="10"/>
  <c r="F741" i="10" s="1"/>
  <c r="E740" i="10"/>
  <c r="F740" i="10" s="1"/>
  <c r="E739" i="10"/>
  <c r="F739" i="10" s="1"/>
  <c r="E738" i="10"/>
  <c r="F738" i="10" s="1"/>
  <c r="E737" i="10"/>
  <c r="F737" i="10" s="1"/>
  <c r="E736" i="10"/>
  <c r="F736" i="10" s="1"/>
  <c r="E735" i="10"/>
  <c r="F735" i="10" s="1"/>
  <c r="E734" i="10"/>
  <c r="F734" i="10" s="1"/>
  <c r="E733" i="10"/>
  <c r="F733" i="10" s="1"/>
  <c r="E732" i="10"/>
  <c r="F732" i="10" s="1"/>
  <c r="E731" i="10"/>
  <c r="F731" i="10" s="1"/>
  <c r="E730" i="10"/>
  <c r="F730" i="10" s="1"/>
  <c r="E729" i="10"/>
  <c r="F729" i="10" s="1"/>
  <c r="E728" i="10"/>
  <c r="F728" i="10" s="1"/>
  <c r="E727" i="10"/>
  <c r="F727" i="10" s="1"/>
  <c r="E726" i="10"/>
  <c r="F726" i="10" s="1"/>
  <c r="E725" i="10"/>
  <c r="F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E706" i="10"/>
  <c r="F706" i="10" s="1"/>
  <c r="E705" i="10"/>
  <c r="F705" i="10" s="1"/>
  <c r="E704" i="10"/>
  <c r="F704" i="10" s="1"/>
  <c r="E703" i="10"/>
  <c r="F703" i="10" s="1"/>
  <c r="E702" i="10"/>
  <c r="F702" i="10" s="1"/>
  <c r="E701" i="10"/>
  <c r="F701" i="10" s="1"/>
  <c r="E700" i="10"/>
  <c r="F700" i="10" s="1"/>
  <c r="E699" i="10"/>
  <c r="F699" i="10" s="1"/>
  <c r="E698" i="10"/>
  <c r="F698" i="10" s="1"/>
  <c r="E697" i="10"/>
  <c r="F697" i="10" s="1"/>
  <c r="E696" i="10"/>
  <c r="F696" i="10" s="1"/>
  <c r="E695" i="10"/>
  <c r="F695" i="10" s="1"/>
  <c r="E694" i="10"/>
  <c r="F694" i="10" s="1"/>
  <c r="E693" i="10"/>
  <c r="F693" i="10" s="1"/>
  <c r="E692" i="10"/>
  <c r="F692" i="10" s="1"/>
  <c r="E691" i="10"/>
  <c r="F691" i="10" s="1"/>
  <c r="E690" i="10"/>
  <c r="F690" i="10" s="1"/>
  <c r="E689" i="10"/>
  <c r="F689" i="10" s="1"/>
  <c r="E688" i="10"/>
  <c r="F688" i="10" s="1"/>
  <c r="E687" i="10"/>
  <c r="F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E629" i="10"/>
  <c r="F629" i="10" s="1"/>
  <c r="E628" i="10"/>
  <c r="F628" i="10" s="1"/>
  <c r="E627" i="10"/>
  <c r="F627" i="10" s="1"/>
  <c r="E626" i="10"/>
  <c r="F626" i="10" s="1"/>
  <c r="E625" i="10"/>
  <c r="F625" i="10" s="1"/>
  <c r="E624" i="10"/>
  <c r="F624" i="10" s="1"/>
  <c r="E623" i="10"/>
  <c r="F623" i="10" s="1"/>
  <c r="E622" i="10"/>
  <c r="F622" i="10" s="1"/>
  <c r="E621" i="10"/>
  <c r="F621" i="10" s="1"/>
  <c r="E620" i="10"/>
  <c r="F620" i="10" s="1"/>
  <c r="E619" i="10"/>
  <c r="F619" i="10" s="1"/>
  <c r="E618" i="10"/>
  <c r="F618" i="10" s="1"/>
  <c r="E617" i="10"/>
  <c r="F617" i="10" s="1"/>
  <c r="E616" i="10"/>
  <c r="F616" i="10" s="1"/>
  <c r="E615" i="10"/>
  <c r="F615" i="10" s="1"/>
  <c r="E614" i="10"/>
  <c r="F614" i="10" s="1"/>
  <c r="E613" i="10"/>
  <c r="F613" i="10" s="1"/>
  <c r="E612" i="10"/>
  <c r="F612" i="10" s="1"/>
  <c r="E611" i="10"/>
  <c r="F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E592" i="10"/>
  <c r="F592" i="10" s="1"/>
  <c r="E591" i="10"/>
  <c r="F591" i="10" s="1"/>
  <c r="E590" i="10"/>
  <c r="F590" i="10" s="1"/>
  <c r="E589" i="10"/>
  <c r="F589" i="10" s="1"/>
  <c r="E588" i="10"/>
  <c r="F588" i="10" s="1"/>
  <c r="E587" i="10"/>
  <c r="F587" i="10" s="1"/>
  <c r="E586" i="10"/>
  <c r="F586" i="10" s="1"/>
  <c r="E585" i="10"/>
  <c r="F585" i="10" s="1"/>
  <c r="E584" i="10"/>
  <c r="F584" i="10" s="1"/>
  <c r="E583" i="10"/>
  <c r="F583" i="10" s="1"/>
  <c r="E582" i="10"/>
  <c r="F582" i="10" s="1"/>
  <c r="E581" i="10"/>
  <c r="F581" i="10" s="1"/>
  <c r="E580" i="10"/>
  <c r="F580" i="10" s="1"/>
  <c r="E579" i="10"/>
  <c r="F579" i="10" s="1"/>
  <c r="E578" i="10"/>
  <c r="F578" i="10" s="1"/>
  <c r="E577" i="10"/>
  <c r="F577" i="10" s="1"/>
  <c r="E576" i="10"/>
  <c r="F576" i="10" s="1"/>
  <c r="E575" i="10"/>
  <c r="F575" i="10" s="1"/>
  <c r="E574" i="10"/>
  <c r="F574" i="10" s="1"/>
  <c r="E573" i="10"/>
  <c r="F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E554" i="10"/>
  <c r="F554" i="10" s="1"/>
  <c r="E553" i="10"/>
  <c r="F553" i="10" s="1"/>
  <c r="E552" i="10"/>
  <c r="F552" i="10" s="1"/>
  <c r="E551" i="10"/>
  <c r="F551" i="10" s="1"/>
  <c r="E550" i="10"/>
  <c r="F550" i="10" s="1"/>
  <c r="E549" i="10"/>
  <c r="F549" i="10" s="1"/>
  <c r="E548" i="10"/>
  <c r="F548" i="10" s="1"/>
  <c r="E547" i="10"/>
  <c r="F547" i="10" s="1"/>
  <c r="E546" i="10"/>
  <c r="F546" i="10" s="1"/>
  <c r="E545" i="10"/>
  <c r="F545" i="10" s="1"/>
  <c r="E544" i="10"/>
  <c r="F544" i="10" s="1"/>
  <c r="E543" i="10"/>
  <c r="F543" i="10" s="1"/>
  <c r="E542" i="10"/>
  <c r="F542" i="10" s="1"/>
  <c r="E541" i="10"/>
  <c r="F541" i="10" s="1"/>
  <c r="E540" i="10"/>
  <c r="F540" i="10" s="1"/>
  <c r="E539" i="10"/>
  <c r="F539" i="10" s="1"/>
  <c r="E538" i="10"/>
  <c r="F538" i="10" s="1"/>
  <c r="E537" i="10"/>
  <c r="F537" i="10" s="1"/>
  <c r="E536" i="10"/>
  <c r="F536" i="10" s="1"/>
  <c r="E535" i="10"/>
  <c r="F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E363" i="10"/>
  <c r="F363" i="10" s="1"/>
  <c r="E362" i="10"/>
  <c r="F362" i="10" s="1"/>
  <c r="E361" i="10"/>
  <c r="F361" i="10" s="1"/>
  <c r="E360" i="10"/>
  <c r="F360" i="10" s="1"/>
  <c r="E359" i="10"/>
  <c r="F359" i="10" s="1"/>
  <c r="E358" i="10"/>
  <c r="F358" i="10" s="1"/>
  <c r="E357" i="10"/>
  <c r="F357" i="10" s="1"/>
  <c r="E356" i="10"/>
  <c r="F356" i="10" s="1"/>
  <c r="E355" i="10"/>
  <c r="F355" i="10" s="1"/>
  <c r="E354" i="10"/>
  <c r="F354" i="10" s="1"/>
  <c r="E353" i="10"/>
  <c r="F353" i="10" s="1"/>
  <c r="E352" i="10"/>
  <c r="F352" i="10" s="1"/>
  <c r="E351" i="10"/>
  <c r="F351" i="10" s="1"/>
  <c r="E350" i="10"/>
  <c r="F350" i="10" s="1"/>
  <c r="E349" i="10"/>
  <c r="F349" i="10" s="1"/>
  <c r="E348" i="10"/>
  <c r="F348" i="10" s="1"/>
  <c r="E347" i="10"/>
  <c r="F347" i="10" s="1"/>
  <c r="E346" i="10"/>
  <c r="F346" i="10" s="1"/>
  <c r="E345" i="10"/>
  <c r="F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E326" i="10"/>
  <c r="F326" i="10" s="1"/>
  <c r="E325" i="10"/>
  <c r="F325" i="10" s="1"/>
  <c r="E324" i="10"/>
  <c r="F324" i="10" s="1"/>
  <c r="E323" i="10"/>
  <c r="F323" i="10" s="1"/>
  <c r="E322" i="10"/>
  <c r="F322" i="10" s="1"/>
  <c r="E321" i="10"/>
  <c r="F321" i="10" s="1"/>
  <c r="E320" i="10"/>
  <c r="F320" i="10" s="1"/>
  <c r="E319" i="10"/>
  <c r="F319" i="10" s="1"/>
  <c r="E318" i="10"/>
  <c r="F318" i="10" s="1"/>
  <c r="E317" i="10"/>
  <c r="F317" i="10" s="1"/>
  <c r="E316" i="10"/>
  <c r="F316" i="10" s="1"/>
  <c r="E315" i="10"/>
  <c r="F315" i="10" s="1"/>
  <c r="E314" i="10"/>
  <c r="F314" i="10" s="1"/>
  <c r="E313" i="10"/>
  <c r="F313" i="10" s="1"/>
  <c r="E312" i="10"/>
  <c r="F312" i="10" s="1"/>
  <c r="E311" i="10"/>
  <c r="F311" i="10" s="1"/>
  <c r="E310" i="10"/>
  <c r="F310" i="10" s="1"/>
  <c r="E309" i="10"/>
  <c r="F309" i="10" s="1"/>
  <c r="E308" i="10"/>
  <c r="F308" i="10" s="1"/>
  <c r="E307" i="10"/>
  <c r="F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E288" i="10"/>
  <c r="F288" i="10" s="1"/>
  <c r="E287" i="10"/>
  <c r="F287" i="10" s="1"/>
  <c r="E286" i="10"/>
  <c r="F286" i="10" s="1"/>
  <c r="E285" i="10"/>
  <c r="F285" i="10" s="1"/>
  <c r="E284" i="10"/>
  <c r="F284" i="10" s="1"/>
  <c r="E283" i="10"/>
  <c r="F283" i="10" s="1"/>
  <c r="E282" i="10"/>
  <c r="F282" i="10" s="1"/>
  <c r="E281" i="10"/>
  <c r="F281" i="10" s="1"/>
  <c r="E280" i="10"/>
  <c r="F280" i="10" s="1"/>
  <c r="E279" i="10"/>
  <c r="F279" i="10" s="1"/>
  <c r="E278" i="10"/>
  <c r="F278" i="10" s="1"/>
  <c r="E277" i="10"/>
  <c r="F277" i="10" s="1"/>
  <c r="E276" i="10"/>
  <c r="F276" i="10" s="1"/>
  <c r="E275" i="10"/>
  <c r="F275" i="10" s="1"/>
  <c r="E274" i="10"/>
  <c r="F274" i="10" s="1"/>
  <c r="E273" i="10"/>
  <c r="F273" i="10" s="1"/>
  <c r="E272" i="10"/>
  <c r="F272" i="10" s="1"/>
  <c r="E271" i="10"/>
  <c r="F271" i="10" s="1"/>
  <c r="E270" i="10"/>
  <c r="F270" i="10" s="1"/>
  <c r="E269" i="10"/>
  <c r="F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E211" i="10"/>
  <c r="F211" i="10" s="1"/>
  <c r="E210" i="10"/>
  <c r="F210" i="10" s="1"/>
  <c r="E209" i="10"/>
  <c r="F209" i="10" s="1"/>
  <c r="E208" i="10"/>
  <c r="F208" i="10" s="1"/>
  <c r="E207" i="10"/>
  <c r="F207" i="10" s="1"/>
  <c r="E206" i="10"/>
  <c r="F206" i="10" s="1"/>
  <c r="E205" i="10"/>
  <c r="F205" i="10" s="1"/>
  <c r="E204" i="10"/>
  <c r="F204" i="10" s="1"/>
  <c r="E203" i="10"/>
  <c r="F203" i="10" s="1"/>
  <c r="E202" i="10"/>
  <c r="F202" i="10" s="1"/>
  <c r="E201" i="10"/>
  <c r="F201" i="10" s="1"/>
  <c r="E200" i="10"/>
  <c r="F200" i="10" s="1"/>
  <c r="E199" i="10"/>
  <c r="F199" i="10" s="1"/>
  <c r="E198" i="10"/>
  <c r="F198" i="10" s="1"/>
  <c r="E197" i="10"/>
  <c r="F197" i="10" s="1"/>
  <c r="E196" i="10"/>
  <c r="F196" i="10" s="1"/>
  <c r="E195" i="10"/>
  <c r="F195" i="10" s="1"/>
  <c r="E194" i="10"/>
  <c r="F194" i="10" s="1"/>
  <c r="E193" i="10"/>
  <c r="F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E174" i="10"/>
  <c r="F174" i="10" s="1"/>
  <c r="E173" i="10"/>
  <c r="F173" i="10" s="1"/>
  <c r="E172" i="10"/>
  <c r="F172" i="10" s="1"/>
  <c r="E171" i="10"/>
  <c r="F171" i="10" s="1"/>
  <c r="E170" i="10"/>
  <c r="F170" i="10" s="1"/>
  <c r="E169" i="10"/>
  <c r="F169" i="10" s="1"/>
  <c r="E168" i="10"/>
  <c r="F168" i="10" s="1"/>
  <c r="E167" i="10"/>
  <c r="F167" i="10" s="1"/>
  <c r="E166" i="10"/>
  <c r="F166" i="10" s="1"/>
  <c r="E165" i="10"/>
  <c r="F165" i="10" s="1"/>
  <c r="E164" i="10"/>
  <c r="F164" i="10" s="1"/>
  <c r="E163" i="10"/>
  <c r="F163" i="10" s="1"/>
  <c r="E162" i="10"/>
  <c r="F162" i="10" s="1"/>
  <c r="E161" i="10"/>
  <c r="F161" i="10" s="1"/>
  <c r="E160" i="10"/>
  <c r="F160" i="10" s="1"/>
  <c r="E159" i="10"/>
  <c r="F159" i="10" s="1"/>
  <c r="E158" i="10"/>
  <c r="F158" i="10" s="1"/>
  <c r="E157" i="10"/>
  <c r="F157" i="10" s="1"/>
  <c r="E156" i="10"/>
  <c r="F156" i="10" s="1"/>
  <c r="E155" i="10"/>
  <c r="F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E136" i="10"/>
  <c r="F136" i="10" s="1"/>
  <c r="E135" i="10"/>
  <c r="F135" i="10" s="1"/>
  <c r="E134" i="10"/>
  <c r="F134" i="10" s="1"/>
  <c r="E133" i="10"/>
  <c r="F133" i="10" s="1"/>
  <c r="E132" i="10"/>
  <c r="F132" i="10" s="1"/>
  <c r="E131" i="10"/>
  <c r="F131" i="10" s="1"/>
  <c r="E130" i="10"/>
  <c r="F130" i="10" s="1"/>
  <c r="E129" i="10"/>
  <c r="F129" i="10" s="1"/>
  <c r="E128" i="10"/>
  <c r="F128" i="10" s="1"/>
  <c r="E127" i="10"/>
  <c r="F127" i="10" s="1"/>
  <c r="E126" i="10"/>
  <c r="F126" i="10" s="1"/>
  <c r="E125" i="10"/>
  <c r="F125" i="10" s="1"/>
  <c r="E124" i="10"/>
  <c r="F124" i="10" s="1"/>
  <c r="E123" i="10"/>
  <c r="F123" i="10" s="1"/>
  <c r="E122" i="10"/>
  <c r="F122" i="10" s="1"/>
  <c r="E121" i="10"/>
  <c r="F121" i="10" s="1"/>
  <c r="E120" i="10"/>
  <c r="F120" i="10" s="1"/>
  <c r="E119" i="10"/>
  <c r="F119" i="10" s="1"/>
  <c r="E118" i="10"/>
  <c r="F118" i="10" s="1"/>
  <c r="E117" i="10"/>
  <c r="F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I3580" i="10" l="1"/>
  <c r="I3588" i="10"/>
  <c r="H4173" i="10"/>
  <c r="I4172" i="10"/>
  <c r="H4019" i="10"/>
  <c r="I4018" i="10"/>
  <c r="I3868" i="10"/>
  <c r="H3869" i="10"/>
  <c r="H3829" i="10"/>
  <c r="I3828" i="10"/>
  <c r="H3792" i="10"/>
  <c r="I3791" i="10"/>
  <c r="H3748" i="10"/>
  <c r="I3747" i="10"/>
  <c r="I3728" i="10"/>
  <c r="I3736" i="10"/>
  <c r="I3744" i="10"/>
  <c r="H3596" i="10"/>
  <c r="I3595" i="10"/>
  <c r="H3335" i="10"/>
  <c r="I3334" i="10"/>
  <c r="H3182" i="10"/>
  <c r="I3181" i="10"/>
  <c r="H3031" i="10"/>
  <c r="I3030" i="10"/>
  <c r="I2993" i="10"/>
  <c r="H2994" i="10"/>
  <c r="H2955" i="10"/>
  <c r="I2954" i="10"/>
  <c r="H2917" i="10"/>
  <c r="I2916" i="10"/>
  <c r="H2765" i="10"/>
  <c r="I2764" i="10"/>
  <c r="H2613" i="10"/>
  <c r="I2612" i="10"/>
  <c r="H2575" i="10"/>
  <c r="I2574" i="10"/>
  <c r="H2538" i="10"/>
  <c r="I2537" i="10"/>
  <c r="I2082" i="10"/>
  <c r="H2083" i="10"/>
  <c r="I3730" i="10"/>
  <c r="I3738" i="10"/>
  <c r="H1929" i="10"/>
  <c r="I1928" i="10"/>
  <c r="H1778" i="10"/>
  <c r="I1777" i="10"/>
  <c r="H1739" i="10"/>
  <c r="I1738" i="10"/>
  <c r="H1703" i="10"/>
  <c r="I1702" i="10"/>
  <c r="H519" i="10"/>
  <c r="I518" i="10"/>
  <c r="H481" i="10"/>
  <c r="I480" i="10"/>
  <c r="H443" i="10"/>
  <c r="I442" i="10"/>
  <c r="H405" i="10"/>
  <c r="I404" i="10"/>
  <c r="I3727" i="10"/>
  <c r="I3735" i="10"/>
  <c r="H253" i="10"/>
  <c r="I252"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729" i="10"/>
  <c r="I3737" i="10"/>
  <c r="I3731" i="10"/>
  <c r="I3739" i="10"/>
  <c r="I3732" i="10"/>
  <c r="I3740" i="10"/>
  <c r="I3726" i="10"/>
  <c r="I3733" i="10"/>
  <c r="I3741" i="10"/>
  <c r="I3734" i="10"/>
  <c r="I3742" i="10"/>
  <c r="I3346" i="10"/>
  <c r="I3347" i="10"/>
  <c r="I3428" i="10"/>
  <c r="I648" i="10"/>
  <c r="I3348" i="10"/>
  <c r="I1066" i="10"/>
  <c r="I800" i="10"/>
  <c r="I3743" i="10"/>
  <c r="I1224" i="10"/>
  <c r="I3745" i="10"/>
  <c r="I876" i="10"/>
  <c r="I3746" i="10"/>
  <c r="I804"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020" i="10"/>
  <c r="I4019" i="10"/>
  <c r="I3869" i="10"/>
  <c r="H3870" i="10"/>
  <c r="H3830" i="10"/>
  <c r="I3829" i="10"/>
  <c r="H3793" i="10"/>
  <c r="I3792" i="10"/>
  <c r="H3749" i="10"/>
  <c r="I3748" i="10"/>
  <c r="H3597" i="10"/>
  <c r="I3596" i="10"/>
  <c r="H3336" i="10"/>
  <c r="I3335" i="10"/>
  <c r="H3183" i="10"/>
  <c r="I3182" i="10"/>
  <c r="H3032" i="10"/>
  <c r="I3031" i="10"/>
  <c r="I2994" i="10"/>
  <c r="H2995" i="10"/>
  <c r="H2956" i="10"/>
  <c r="I2955" i="10"/>
  <c r="H2918" i="10"/>
  <c r="I2917" i="10"/>
  <c r="H2766" i="10"/>
  <c r="I2765" i="10"/>
  <c r="H2614" i="10"/>
  <c r="I2613" i="10"/>
  <c r="H2576" i="10"/>
  <c r="I2575" i="10"/>
  <c r="H2539" i="10"/>
  <c r="I2538" i="10"/>
  <c r="H2084" i="10"/>
  <c r="I2083" i="10"/>
  <c r="I1929" i="10"/>
  <c r="H1930" i="10"/>
  <c r="H1779" i="10"/>
  <c r="I1778" i="10"/>
  <c r="I1739" i="10"/>
  <c r="H1740" i="10"/>
  <c r="H1704" i="10"/>
  <c r="I1703" i="10"/>
  <c r="H520" i="10"/>
  <c r="I519" i="10"/>
  <c r="H482" i="10"/>
  <c r="I481" i="10"/>
  <c r="H444" i="10"/>
  <c r="I443" i="10"/>
  <c r="H406" i="10"/>
  <c r="I405" i="10"/>
  <c r="H254" i="10"/>
  <c r="I253"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021" i="10"/>
  <c r="I4020" i="10"/>
  <c r="H3871" i="10"/>
  <c r="I3870" i="10"/>
  <c r="H3831" i="10"/>
  <c r="I3830" i="10"/>
  <c r="H3794" i="10"/>
  <c r="I3793" i="10"/>
  <c r="H3750" i="10"/>
  <c r="I3749" i="10"/>
  <c r="H3598" i="10"/>
  <c r="I3597" i="10"/>
  <c r="H3337" i="10"/>
  <c r="I3336" i="10"/>
  <c r="H3184" i="10"/>
  <c r="I3183" i="10"/>
  <c r="H3033" i="10"/>
  <c r="I3032" i="10"/>
  <c r="H2996" i="10"/>
  <c r="I2995" i="10"/>
  <c r="H2957" i="10"/>
  <c r="I2956" i="10"/>
  <c r="H2919" i="10"/>
  <c r="I2918" i="10"/>
  <c r="H2767" i="10"/>
  <c r="I2766" i="10"/>
  <c r="H2615" i="10"/>
  <c r="I2614" i="10"/>
  <c r="H2577" i="10"/>
  <c r="I2576" i="10"/>
  <c r="H2540" i="10"/>
  <c r="I2539" i="10"/>
  <c r="H2085" i="10"/>
  <c r="I2084" i="10"/>
  <c r="H1931" i="10"/>
  <c r="I1930" i="10"/>
  <c r="H1780" i="10"/>
  <c r="I1779" i="10"/>
  <c r="H1741" i="10"/>
  <c r="I1740" i="10"/>
  <c r="H1705" i="10"/>
  <c r="I1704" i="10"/>
  <c r="H521" i="10"/>
  <c r="I520" i="10"/>
  <c r="H483" i="10"/>
  <c r="I482" i="10"/>
  <c r="H445" i="10"/>
  <c r="I444" i="10"/>
  <c r="H407" i="10"/>
  <c r="I406" i="10"/>
  <c r="H255" i="10"/>
  <c r="I254"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022" i="10"/>
  <c r="I4021" i="10"/>
  <c r="H3872" i="10"/>
  <c r="I3871" i="10"/>
  <c r="H3832" i="10"/>
  <c r="I3831" i="10"/>
  <c r="H3795" i="10"/>
  <c r="I3794" i="10"/>
  <c r="H3751" i="10"/>
  <c r="I3750" i="10"/>
  <c r="H3599" i="10"/>
  <c r="I3598" i="10"/>
  <c r="H3338" i="10"/>
  <c r="I3337" i="10"/>
  <c r="H3185" i="10"/>
  <c r="I3184" i="10"/>
  <c r="H3034" i="10"/>
  <c r="I3033" i="10"/>
  <c r="I2996" i="10"/>
  <c r="H2997" i="10"/>
  <c r="H2958" i="10"/>
  <c r="I2957" i="10"/>
  <c r="H2920" i="10"/>
  <c r="I2919" i="10"/>
  <c r="H2768" i="10"/>
  <c r="I2767" i="10"/>
  <c r="H2616" i="10"/>
  <c r="I2615" i="10"/>
  <c r="H2578" i="10"/>
  <c r="I2577" i="10"/>
  <c r="H2541" i="10"/>
  <c r="I2540" i="10"/>
  <c r="H2086" i="10"/>
  <c r="I2085" i="10"/>
  <c r="H1932" i="10"/>
  <c r="I1931" i="10"/>
  <c r="H1781" i="10"/>
  <c r="I1780" i="10"/>
  <c r="I1741" i="10"/>
  <c r="H1742" i="10"/>
  <c r="H1706" i="10"/>
  <c r="I1705" i="10"/>
  <c r="H522" i="10"/>
  <c r="I521" i="10"/>
  <c r="H484" i="10"/>
  <c r="I483" i="10"/>
  <c r="H446" i="10"/>
  <c r="I445" i="10"/>
  <c r="H408" i="10"/>
  <c r="I407" i="10"/>
  <c r="H256" i="10"/>
  <c r="I255"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023" i="10"/>
  <c r="I4022" i="10"/>
  <c r="H3873" i="10"/>
  <c r="I3872" i="10"/>
  <c r="H3833" i="10"/>
  <c r="I3832" i="10"/>
  <c r="H3796" i="10"/>
  <c r="I3795" i="10"/>
  <c r="H3752" i="10"/>
  <c r="I3751" i="10"/>
  <c r="H3600" i="10"/>
  <c r="I3599" i="10"/>
  <c r="H3339" i="10"/>
  <c r="I3338" i="10"/>
  <c r="H3186" i="10"/>
  <c r="I3185" i="10"/>
  <c r="H3035" i="10"/>
  <c r="I3034" i="10"/>
  <c r="H2998" i="10"/>
  <c r="I2997" i="10"/>
  <c r="H2959" i="10"/>
  <c r="I2958" i="10"/>
  <c r="H2921" i="10"/>
  <c r="I2920" i="10"/>
  <c r="H2769" i="10"/>
  <c r="I2768" i="10"/>
  <c r="H2617" i="10"/>
  <c r="I2616" i="10"/>
  <c r="H2579" i="10"/>
  <c r="I2578" i="10"/>
  <c r="H2542" i="10"/>
  <c r="I2541" i="10"/>
  <c r="H2087" i="10"/>
  <c r="I2086" i="10"/>
  <c r="H1933" i="10"/>
  <c r="I1932" i="10"/>
  <c r="H1782" i="10"/>
  <c r="I1781" i="10"/>
  <c r="I1742" i="10"/>
  <c r="H1743" i="10"/>
  <c r="H1707" i="10"/>
  <c r="I1706" i="10"/>
  <c r="H523" i="10"/>
  <c r="I522" i="10"/>
  <c r="H485" i="10"/>
  <c r="I484" i="10"/>
  <c r="H447" i="10"/>
  <c r="I446" i="10"/>
  <c r="H409" i="10"/>
  <c r="I408" i="10"/>
  <c r="H257" i="10"/>
  <c r="I256"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024" i="10"/>
  <c r="I4023" i="10"/>
  <c r="I3873" i="10"/>
  <c r="H3874" i="10"/>
  <c r="H3834" i="10"/>
  <c r="I3833" i="10"/>
  <c r="H3797" i="10"/>
  <c r="I3796" i="10"/>
  <c r="H3753" i="10"/>
  <c r="I3752" i="10"/>
  <c r="H3601" i="10"/>
  <c r="I3600" i="10"/>
  <c r="H3340" i="10"/>
  <c r="I3339" i="10"/>
  <c r="H3187" i="10"/>
  <c r="I3186" i="10"/>
  <c r="H3036" i="10"/>
  <c r="I3035" i="10"/>
  <c r="H2999" i="10"/>
  <c r="I2998" i="10"/>
  <c r="H2960" i="10"/>
  <c r="I2959" i="10"/>
  <c r="H2922" i="10"/>
  <c r="I2921" i="10"/>
  <c r="H2770" i="10"/>
  <c r="I2769" i="10"/>
  <c r="H2618" i="10"/>
  <c r="I2617" i="10"/>
  <c r="H2580" i="10"/>
  <c r="I2579" i="10"/>
  <c r="H2543" i="10"/>
  <c r="I2542" i="10"/>
  <c r="H2088" i="10"/>
  <c r="I2087" i="10"/>
  <c r="H1934" i="10"/>
  <c r="I1933" i="10"/>
  <c r="H1783" i="10"/>
  <c r="I1782" i="10"/>
  <c r="H1744" i="10"/>
  <c r="I1743" i="10"/>
  <c r="H1708" i="10"/>
  <c r="I1707" i="10"/>
  <c r="H524" i="10"/>
  <c r="I523" i="10"/>
  <c r="H486" i="10"/>
  <c r="I485" i="10"/>
  <c r="I447" i="10"/>
  <c r="H448" i="10"/>
  <c r="H410" i="10"/>
  <c r="I409" i="10"/>
  <c r="H258" i="10"/>
  <c r="I257"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025" i="10"/>
  <c r="I4024" i="10"/>
  <c r="I3874" i="10"/>
  <c r="H3875" i="10"/>
  <c r="H3835" i="10"/>
  <c r="I3834" i="10"/>
  <c r="H3798" i="10"/>
  <c r="I3797" i="10"/>
  <c r="H3754" i="10"/>
  <c r="I3753" i="10"/>
  <c r="H3602" i="10"/>
  <c r="I3601" i="10"/>
  <c r="H3341" i="10"/>
  <c r="I3340" i="10"/>
  <c r="H3188" i="10"/>
  <c r="I3187" i="10"/>
  <c r="H3037" i="10"/>
  <c r="I3036" i="10"/>
  <c r="H3000" i="10"/>
  <c r="I2999" i="10"/>
  <c r="H2961" i="10"/>
  <c r="I2960" i="10"/>
  <c r="H2923" i="10"/>
  <c r="I2922" i="10"/>
  <c r="H2771" i="10"/>
  <c r="I2770" i="10"/>
  <c r="H2619" i="10"/>
  <c r="I2618" i="10"/>
  <c r="H2581" i="10"/>
  <c r="I2580" i="10"/>
  <c r="H2544" i="10"/>
  <c r="I2543" i="10"/>
  <c r="H2089" i="10"/>
  <c r="I2088" i="10"/>
  <c r="H1935" i="10"/>
  <c r="I1934" i="10"/>
  <c r="H1784" i="10"/>
  <c r="I1783" i="10"/>
  <c r="I1744" i="10"/>
  <c r="H1745" i="10"/>
  <c r="H1709" i="10"/>
  <c r="I1708" i="10"/>
  <c r="H525" i="10"/>
  <c r="I524" i="10"/>
  <c r="H487" i="10"/>
  <c r="I486" i="10"/>
  <c r="I448" i="10"/>
  <c r="H449" i="10"/>
  <c r="H411" i="10"/>
  <c r="I410" i="10"/>
  <c r="H259" i="10"/>
  <c r="I258"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H4026" i="10"/>
  <c r="I4025" i="10"/>
  <c r="H3876" i="10"/>
  <c r="I3876" i="10" s="1"/>
  <c r="I3875" i="10"/>
  <c r="H3836" i="10"/>
  <c r="I3835" i="10"/>
  <c r="H3799" i="10"/>
  <c r="I3798" i="10"/>
  <c r="H3755" i="10"/>
  <c r="I3754" i="10"/>
  <c r="H3603" i="10"/>
  <c r="I3602" i="10"/>
  <c r="H3342" i="10"/>
  <c r="I3341" i="10"/>
  <c r="H3189" i="10"/>
  <c r="I3188" i="10"/>
  <c r="H3038" i="10"/>
  <c r="I3037" i="10"/>
  <c r="H3001" i="10"/>
  <c r="I3000" i="10"/>
  <c r="H2962" i="10"/>
  <c r="I2961" i="10"/>
  <c r="H2924" i="10"/>
  <c r="I2923" i="10"/>
  <c r="H2772" i="10"/>
  <c r="I2771" i="10"/>
  <c r="H2620" i="10"/>
  <c r="I2619" i="10"/>
  <c r="H2582" i="10"/>
  <c r="I2581" i="10"/>
  <c r="H2545" i="10"/>
  <c r="I2544" i="10"/>
  <c r="H2090" i="10"/>
  <c r="I2090" i="10" s="1"/>
  <c r="I2089" i="10"/>
  <c r="H1936" i="10"/>
  <c r="I1935" i="10"/>
  <c r="H1785" i="10"/>
  <c r="I1784" i="10"/>
  <c r="H1746" i="10"/>
  <c r="I1745" i="10"/>
  <c r="H1710" i="10"/>
  <c r="I1710" i="10" s="1"/>
  <c r="I1709" i="10"/>
  <c r="H526" i="10"/>
  <c r="I525" i="10"/>
  <c r="H488" i="10"/>
  <c r="I487" i="10"/>
  <c r="H450" i="10"/>
  <c r="I449" i="10"/>
  <c r="H412" i="10"/>
  <c r="I411" i="10"/>
  <c r="H260" i="10"/>
  <c r="I259" i="10"/>
  <c r="H108" i="10"/>
  <c r="I107" i="10"/>
  <c r="H68" i="10"/>
  <c r="I67" i="10"/>
  <c r="H32" i="10"/>
  <c r="I31" i="10"/>
  <c r="I396" i="10"/>
  <c r="H3396" i="10"/>
  <c r="I3395" i="10"/>
  <c r="H3436" i="10"/>
  <c r="I3435" i="10"/>
  <c r="I928" i="10"/>
  <c r="I847" i="10"/>
  <c r="I57" i="10"/>
  <c r="I96" i="10"/>
  <c r="I889" i="10"/>
  <c r="I242" i="10"/>
  <c r="H3359" i="10"/>
  <c r="I3359" i="10" s="1"/>
  <c r="I1082" i="10"/>
  <c r="I1235" i="10"/>
  <c r="H4027" i="10" l="1"/>
  <c r="I4026" i="10"/>
  <c r="H3837" i="10"/>
  <c r="I3836" i="10"/>
  <c r="H3800" i="10"/>
  <c r="I3800" i="10" s="1"/>
  <c r="I3799" i="10"/>
  <c r="H3756" i="10"/>
  <c r="I3755" i="10"/>
  <c r="H3604" i="10"/>
  <c r="I3603" i="10"/>
  <c r="H3343" i="10"/>
  <c r="I3342" i="10"/>
  <c r="H3190" i="10"/>
  <c r="I3189" i="10"/>
  <c r="H3039" i="10"/>
  <c r="I3038" i="10"/>
  <c r="H3002" i="10"/>
  <c r="I3002" i="10" s="1"/>
  <c r="I3001" i="10"/>
  <c r="H2963" i="10"/>
  <c r="I2962" i="10"/>
  <c r="H2925" i="10"/>
  <c r="I2924" i="10"/>
  <c r="H2773" i="10"/>
  <c r="I2772" i="10"/>
  <c r="H2621" i="10"/>
  <c r="I2620" i="10"/>
  <c r="H2583" i="10"/>
  <c r="I2582" i="10"/>
  <c r="H2546" i="10"/>
  <c r="I2546" i="10" s="1"/>
  <c r="I2545" i="10"/>
  <c r="H1937" i="10"/>
  <c r="I1936" i="10"/>
  <c r="H1786" i="10"/>
  <c r="I1786" i="10" s="1"/>
  <c r="I1785" i="10"/>
  <c r="H1747" i="10"/>
  <c r="I1746" i="10"/>
  <c r="H527" i="10"/>
  <c r="I526" i="10"/>
  <c r="H489" i="10"/>
  <c r="I488" i="10"/>
  <c r="H451" i="10"/>
  <c r="I450" i="10"/>
  <c r="H413" i="10"/>
  <c r="I412" i="10"/>
  <c r="H261" i="10"/>
  <c r="I260" i="10"/>
  <c r="H109" i="10"/>
  <c r="I108" i="10"/>
  <c r="H69" i="10"/>
  <c r="I68" i="10"/>
  <c r="H33" i="10"/>
  <c r="I32" i="10"/>
  <c r="H3397" i="10"/>
  <c r="I3396" i="10"/>
  <c r="I397" i="10"/>
  <c r="H3360" i="10"/>
  <c r="I3360" i="10" s="1"/>
  <c r="I890" i="10"/>
  <c r="I97" i="10"/>
  <c r="I1236" i="10"/>
  <c r="I848" i="10"/>
  <c r="I929" i="10"/>
  <c r="I1083" i="10"/>
  <c r="I243" i="10"/>
  <c r="I58" i="10"/>
  <c r="H3437" i="10"/>
  <c r="I3436" i="10"/>
  <c r="H4028" i="10" l="1"/>
  <c r="I4028" i="10" s="1"/>
  <c r="I4027" i="10"/>
  <c r="H3838" i="10"/>
  <c r="I3838" i="10" s="1"/>
  <c r="I3837" i="10"/>
  <c r="H3757" i="10"/>
  <c r="I3756" i="10"/>
  <c r="H3605" i="10"/>
  <c r="I3604" i="10"/>
  <c r="H3344" i="10"/>
  <c r="I3344" i="10" s="1"/>
  <c r="I3343" i="10"/>
  <c r="H3191" i="10"/>
  <c r="I3190" i="10"/>
  <c r="H3040" i="10"/>
  <c r="I3040" i="10" s="1"/>
  <c r="I3039" i="10"/>
  <c r="H2964" i="10"/>
  <c r="I2964" i="10" s="1"/>
  <c r="I2963" i="10"/>
  <c r="H2926" i="10"/>
  <c r="I2926" i="10" s="1"/>
  <c r="I2925" i="10"/>
  <c r="H2774" i="10"/>
  <c r="I2774" i="10" s="1"/>
  <c r="I2773" i="10"/>
  <c r="H2622" i="10"/>
  <c r="I2622" i="10" s="1"/>
  <c r="I2621" i="10"/>
  <c r="H2584" i="10"/>
  <c r="I2584" i="10" s="1"/>
  <c r="I2583" i="10"/>
  <c r="H1938" i="10"/>
  <c r="I1938" i="10" s="1"/>
  <c r="I1937" i="10"/>
  <c r="H1748" i="10"/>
  <c r="I1748" i="10" s="1"/>
  <c r="I1747" i="10"/>
  <c r="H528" i="10"/>
  <c r="I527" i="10"/>
  <c r="H490" i="10"/>
  <c r="I489" i="10"/>
  <c r="I451" i="10"/>
  <c r="H452" i="10"/>
  <c r="H414" i="10"/>
  <c r="I413" i="10"/>
  <c r="H262" i="10"/>
  <c r="I261"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606" i="10"/>
  <c r="I3605" i="10"/>
  <c r="H3192" i="10"/>
  <c r="I3192" i="10" s="1"/>
  <c r="I3191" i="10"/>
  <c r="H529" i="10"/>
  <c r="I528" i="10"/>
  <c r="H491" i="10"/>
  <c r="I490" i="10"/>
  <c r="I452" i="10"/>
  <c r="H453" i="10"/>
  <c r="H415" i="10"/>
  <c r="I414" i="10"/>
  <c r="H263" i="10"/>
  <c r="I262"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607" i="10"/>
  <c r="I3606" i="10"/>
  <c r="H530" i="10"/>
  <c r="I529" i="10"/>
  <c r="H492" i="10"/>
  <c r="I491" i="10"/>
  <c r="I453" i="10"/>
  <c r="H454" i="10"/>
  <c r="H416" i="10"/>
  <c r="I415" i="10"/>
  <c r="H264" i="10"/>
  <c r="I263" i="10"/>
  <c r="H112" i="10"/>
  <c r="I111" i="10"/>
  <c r="H72" i="10"/>
  <c r="I71" i="10"/>
  <c r="H36" i="10"/>
  <c r="I35" i="10"/>
  <c r="I400" i="10"/>
  <c r="H3400" i="10"/>
  <c r="I3399" i="10"/>
  <c r="I246" i="10"/>
  <c r="I893" i="10"/>
  <c r="I932" i="10"/>
  <c r="I851" i="10"/>
  <c r="H3440" i="10"/>
  <c r="I3439" i="10"/>
  <c r="H3363" i="10"/>
  <c r="I3363" i="10" s="1"/>
  <c r="I1086" i="10"/>
  <c r="H3760" i="10" l="1"/>
  <c r="I3759" i="10"/>
  <c r="H3608" i="10"/>
  <c r="I3607" i="10"/>
  <c r="H531" i="10"/>
  <c r="I530" i="10"/>
  <c r="H493" i="10"/>
  <c r="I492" i="10"/>
  <c r="I454" i="10"/>
  <c r="H455" i="10"/>
  <c r="H417" i="10"/>
  <c r="I416" i="10"/>
  <c r="H265" i="10"/>
  <c r="I264" i="10"/>
  <c r="H113" i="10"/>
  <c r="I112" i="10"/>
  <c r="H73" i="10"/>
  <c r="I72" i="10"/>
  <c r="H37" i="10"/>
  <c r="I36" i="10"/>
  <c r="H3401" i="10"/>
  <c r="I3400" i="10"/>
  <c r="I401" i="10"/>
  <c r="I852" i="10"/>
  <c r="I247" i="10"/>
  <c r="I894" i="10"/>
  <c r="H3364" i="10"/>
  <c r="I3364" i="10" s="1"/>
  <c r="I933" i="10"/>
  <c r="H3441" i="10"/>
  <c r="I3440" i="10"/>
  <c r="H3761" i="10" l="1"/>
  <c r="I3760" i="10"/>
  <c r="H3609" i="10"/>
  <c r="I3608" i="10"/>
  <c r="H532" i="10"/>
  <c r="I532" i="10" s="1"/>
  <c r="I531" i="10"/>
  <c r="H494" i="10"/>
  <c r="I494" i="10" s="1"/>
  <c r="I493" i="10"/>
  <c r="I455" i="10"/>
  <c r="H456" i="10"/>
  <c r="I456" i="10" s="1"/>
  <c r="H418" i="10"/>
  <c r="I418" i="10" s="1"/>
  <c r="I417" i="10"/>
  <c r="H266" i="10"/>
  <c r="I266" i="10" s="1"/>
  <c r="I265"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610" i="10"/>
  <c r="I3610" i="10" s="1"/>
  <c r="I3609"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tc={B639EA58-7981-42E9-9E3D-4A31ABA20DC5}</author>
    <author>tc={AE73E385-1AAF-4AD3-ADBA-A9B823016565}</author>
    <author>tc={808AF26C-3735-47A3-8575-CBC3F7875DC2}</author>
    <author>tc={54032A5F-3797-4DFA-B87C-1F2F9959179C}</author>
    <author>tc={32126470-47D7-48ED-B0FF-B7F77579C2C6}</author>
    <author>tc={423665AA-0FB8-4A6B-8202-251CB6646F50}</author>
    <author>tc={7D1909C1-B4E8-40D2-99E6-5FB592612B41}</author>
    <author>tc={B3430717-75E4-41B6-A4B9-D686C7123710}</author>
    <author>tc={185F81EB-CC5A-4093-AE70-5930C863032A}</author>
    <author>tc={467CD750-35CE-43AC-AA7D-681BCCBA7745}</author>
    <author>tc={94BCC2B9-DCBC-4726-BB2E-D956437176EE}</author>
    <author>tc={E8D803B5-E683-4601-93EA-74C524A52051}</author>
    <author>tc={9221E3EE-8604-4768-BC8F-BBC4F367BD6E}</author>
    <author>tc={634F85C2-930C-44BD-BED6-02594E8B26A4}</author>
    <author>tc={CB47723D-2D30-4E73-AC4D-47C771B5F15D}</author>
    <author>tc={3420913B-1319-437F-997B-2BDBE447957F}</author>
    <author>tc={D2EF1578-8FD2-4105-A756-EF5644E63E57}</author>
    <author>tc={615D5276-06D5-4184-A900-D025B965B03A}</author>
    <author>tc={45F9C39A-B957-48EB-9BD4-86DB18A02654}</author>
    <author>tc={8B5C516B-4A5A-4B77-A6FA-070403A3BF80}</author>
    <author>tc={D9548883-15FD-4EC6-838C-1ED7A0B41A73}</author>
    <author>tc={090372CE-E3C3-4853-A4B8-E244E17983EB}</author>
    <author>tc={2BB79548-91B4-494E-9808-1D606380102D}</author>
    <author>tc={5D0AF4FF-BF6C-4463-A5FE-10FFFDCA342C}</author>
    <author>tc={98A8644C-2883-4750-B977-F46CA86E345D}</author>
    <author>tc={487AEDAE-9D59-4C2F-B0AC-8A483E702367}</author>
    <author>tc={41FB26E2-C7F0-4BE0-B8B4-4949551A9DCE}</author>
    <author>tc={1A396680-6D97-4E45-9CBF-A0DE43E16948}</author>
  </authors>
  <commentList>
    <comment ref="L4" authorId="0" shapeId="0" xr:uid="{B639EA58-7981-42E9-9E3D-4A31ABA20DC5}">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
      </text>
    </comment>
    <comment ref="AT4" authorId="1" shapeId="0" xr:uid="{AE73E385-1AAF-4AD3-ADBA-A9B823016565}">
      <text>
        <t>[Threaded comment]
Your version of Excel allows you to read this threaded comment; however, any edits to it will get removed if the file is opened in a newer version of Excel. Learn more: https://go.microsoft.com/fwlink/?linkid=870924
Comment:
    El auditor, al cortar antes la PDP, trae la cola de PDP a PNP. La metodología RSC que es la utilizada por PlanningSpace no hace moviento de colas entre wedges</t>
      </text>
    </comment>
    <comment ref="AV4" authorId="2" shapeId="0" xr:uid="{808AF26C-3735-47A3-8575-CBC3F7875DC2}">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t>
      </text>
    </comment>
    <comment ref="CG4" authorId="3" shapeId="0" xr:uid="{54032A5F-3797-4DFA-B87C-1F2F9959179C}">
      <text>
        <t>[Threaded comment]
Your version of Excel allows you to read this threaded comment; however, any edits to it will get removed if the file is opened in a newer version of Excel. Learn more: https://go.microsoft.com/fwlink/?linkid=870924
Comment:
    El auditor, al cortar antes la PDP y la PNP y trae las colas a la PND. La metodología RSC que es la utilizada por PlanningSpace no hace movimiento de colas entre wedges</t>
      </text>
    </comment>
    <comment ref="CJ4" authorId="4" shapeId="0" xr:uid="{32126470-47D7-48ED-B0FF-B7F77579C2C6}">
      <text>
        <t xml:space="preserve">[Threaded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
      </text>
    </comment>
    <comment ref="IE4" authorId="5" shapeId="0" xr:uid="{423665AA-0FB8-4A6B-8202-251CB6646F50}">
      <text>
        <t>[Threaded comment]
Your version of Excel allows you to read this threaded comment; however, any edits to it will get removed if the file is opened in a newer version of Excel. Learn more: https://go.microsoft.com/fwlink/?linkid=870924
Comment:
    El auditor corta las reservas de probadas en diciembre de 2031, por lo cual trae la cola a Probables desde enero de 2032. Como PlanningSpace corta más adelante, no trae dicha cola</t>
      </text>
    </comment>
    <comment ref="IF4" authorId="6" shapeId="0" xr:uid="{7D1909C1-B4E8-40D2-99E6-5FB592612B41}">
      <text>
        <t>[Threaded comment]
Your version of Excel allows you to read this threaded comment; however, any edits to it will get removed if the file is opened in a newer version of Excel. Learn more: https://go.microsoft.com/fwlink/?linkid=870924
Comment:
    PlanningSpace, al calcular el flujo de caja mensualizado, determina que el límite económico es julio de 2033. En cambio el auditor, al hacer el cálculo anualizado, corta en diciembre de 2032</t>
      </text>
    </comment>
    <comment ref="NZ4" authorId="7" shapeId="0" xr:uid="{B3430717-75E4-41B6-A4B9-D686C7123710}">
      <text>
        <t>[Threaded comment]
Your version of Excel allows you to read this threaded comment; however, any edits to it will get removed if the file is opened in a newer version of Excel. Learn more: https://go.microsoft.com/fwlink/?linkid=870924
Comment:
    El auditor no considera el cambio de WI en diciembre del 2031 (el 21 de diciembre) para el cálculo del WI de ese año</t>
      </text>
    </comment>
    <comment ref="OG4" authorId="8" shapeId="0" xr:uid="{185F81EB-CC5A-4093-AE70-5930C863032A}">
      <text>
        <t>[Threaded comment]
Your version of Excel allows you to read this threaded comment; however, any edits to it will get removed if the file is opened in a newer version of Excel. Learn more: https://go.microsoft.com/fwlink/?linkid=870924
Comment:
    El auditor cortó el EL de probadas en diciembre de 2038 y PS en octubre 2038, por lo cual el PS trae un mes adicional de colas</t>
      </text>
    </comment>
    <comment ref="OK4" authorId="9" shapeId="0" xr:uid="{467CD750-35CE-43AC-AA7D-681BCCBA7745}">
      <text>
        <t xml:space="preserve">[Threaded comment]
Your version of Excel allows you to read this threaded comment; however, any edits to it will get removed if the file is opened in a newer version of Excel. Learn more: https://go.microsoft.com/fwlink/?linkid=870924
Comment:
    El auditor hace el cálculo del límite económico tomando el flujo de caja anual, mientras que PlanningSpace lo hace mensualmente. Por esta razón el auditor corta en diciembre 2042 mientras que en PlanningSpace corta en mayo 2042
</t>
      </text>
    </comment>
    <comment ref="AN7" authorId="10" shapeId="0" xr:uid="{94BCC2B9-DCBC-4726-BB2E-D956437176EE}">
      <text>
        <t>[Threaded comment]
Your version of Excel allows you to read this threaded comment; however, any edits to it will get removed if the file is opened in a newer version of Excel. Learn more: https://go.microsoft.com/fwlink/?linkid=870924
Comment:
    Cambios importantes en la curva. El auditor toma el % de regalías promedio del año, y PlanningSpace calcula el % mes a mes y lo aplica</t>
      </text>
    </comment>
    <comment ref="NZ7" authorId="11" shapeId="0" xr:uid="{E8D803B5-E683-4601-93EA-74C524A52051}">
      <text>
        <t>[Threaded comment]
Your version of Excel allows you to read this threaded comment; however, any edits to it will get removed if the file is opened in a newer version of Excel. Learn more: https://go.microsoft.com/fwlink/?linkid=870924
Comment:
    El auditor no considera el pago de extension royalties los 10 días del mes de diciembre luego de la fecha de finalización del contrato</t>
      </text>
    </comment>
    <comment ref="B13" authorId="12" shapeId="0" xr:uid="{9221E3EE-8604-4768-BC8F-BBC4F367BD6E}">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3" authorId="13" shapeId="0" xr:uid="{634F85C2-930C-44BD-BED6-02594E8B26A4}">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3" authorId="14" shapeId="0" xr:uid="{CB47723D-2D30-4E73-AC4D-47C771B5F15D}">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3" authorId="15" shapeId="0" xr:uid="{3420913B-1319-437F-997B-2BDBE447957F}">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fijo a Probables. Como PS corta mucho después, no asigna OPEX fijo a probables</t>
      </text>
    </comment>
    <comment ref="B16" authorId="16" shapeId="0" xr:uid="{D2EF1578-8FD2-4105-A756-EF5644E63E57}">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6" authorId="17" shapeId="0" xr:uid="{615D5276-06D5-4184-A900-D025B965B03A}">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6" authorId="18" shapeId="0" xr:uid="{45F9C39A-B957-48EB-9BD4-86DB18A02654}">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6" authorId="19" shapeId="0" xr:uid="{8B5C516B-4A5A-4B77-A6FA-070403A3BF80}">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semifijo a Probables. Como PS corta mucho después, no asigna OPEX semifijo a probables</t>
      </text>
    </comment>
    <comment ref="B19" authorId="20" shapeId="0" xr:uid="{D9548883-15FD-4EC6-838C-1ED7A0B41A73}">
      <text>
        <t>[Threaded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
      </text>
    </comment>
    <comment ref="HV19" authorId="21" shapeId="0" xr:uid="{090372CE-E3C3-4853-A4B8-E244E17983EB}">
      <text>
        <t xml:space="preserve">[Threaded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
      </text>
    </comment>
    <comment ref="NR19" authorId="22" shapeId="0" xr:uid="{2BB79548-91B4-494E-9808-1D606380102D}">
      <text>
        <t>[Threaded comment]
Your version of Excel allows you to read this threaded comment; however, any edits to it will get removed if the file is opened in a newer version of Excel. Learn more: https://go.microsoft.com/fwlink/?linkid=870924
Comment:
    Difernecias en conteos de pozos. PS toma un promedio de 1.75 al año y el auditor toma 2. Esto ocurre en otros meses</t>
      </text>
    </comment>
    <comment ref="B22" authorId="23" shapeId="0" xr:uid="{5D0AF4FF-BF6C-4463-A5FE-10FFFDCA342C}">
      <text>
        <t>[Threaded comment]
Your version of Excel allows you to read this threaded comment; however, any edits to it will get removed if the file is opened in a newer version of Excel. Learn more: https://go.microsoft.com/fwlink/?linkid=870924
Comment:
    Diferencias se arrastran por explicaciones de puntos anteriores</t>
      </text>
    </comment>
    <comment ref="AN22" authorId="24" shapeId="0" xr:uid="{98A8644C-2883-4750-B977-F46CA86E345D}">
      <text>
        <t>[Threaded comment]
Your version of Excel allows you to read this threaded comment; however, any edits to it will get removed if the file is opened in a newer version of Excel. Learn more: https://go.microsoft.com/fwlink/?linkid=870924
Comment:
    Diferencias arrastradas de los comentarios anteriores</t>
      </text>
    </comment>
    <comment ref="HV22" authorId="25" shapeId="0" xr:uid="{487AEDAE-9D59-4C2F-B0AC-8A483E702367}">
      <text>
        <t>[Threaded comment]
Your version of Excel allows you to read this threaded comment; however, any edits to it will get removed if the file is opened in a newer version of Excel. Learn more: https://go.microsoft.com/fwlink/?linkid=870924
Comment:
    Diferencias arrastradas de lo antes explicado</t>
      </text>
    </comment>
    <comment ref="H31" authorId="26" shapeId="0" xr:uid="{41FB26E2-C7F0-4BE0-B8B4-4949551A9DCE}">
      <text>
        <t>[Threaded comment]
Your version of Excel allows you to read this threaded comment; however, any edits to it will get removed if the file is opened in a newer version of Excel. Learn more: https://go.microsoft.com/fwlink/?linkid=870924
Comment:
    Diferencias en la fecha de aplicación del abando por diferencias en las fechas de límite económico. Los abandonos están OK los montos</t>
      </text>
    </comment>
    <comment ref="IL31" authorId="27" shapeId="0" xr:uid="{1A396680-6D97-4E45-9CBF-A0DE43E16948}">
      <text>
        <t xml:space="preserve">[Threaded comment]
Your version of Excel allows you to read this threaded comment; however, any edits to it will get removed if the file is opened in a newer version of Excel. Learn more: https://go.microsoft.com/fwlink/?linkid=870924
Comment:
    El auditor aplica el 100% del Abandono en la fecha de EL, en cambio PS lo asigna 12 meses después por requerimiento de ECP
</t>
      </text>
    </comment>
  </commentList>
</comments>
</file>

<file path=xl/sharedStrings.xml><?xml version="1.0" encoding="utf-8"?>
<sst xmlns="http://schemas.openxmlformats.org/spreadsheetml/2006/main" count="37560" uniqueCount="4094">
  <si>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</si>
  <si>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</si>
  <si>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</si>
  <si>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</si>
  <si>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</si>
  <si>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</si>
  <si>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</si>
  <si>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</si>
  <si>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</si>
  <si>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</si>
  <si>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</si>
  <si>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</si>
  <si>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</si>
  <si>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</si>
  <si>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</si>
  <si>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</si>
  <si>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</si>
  <si>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</si>
  <si>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</si>
  <si>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</si>
  <si>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</si>
  <si>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</si>
  <si>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</si>
  <si>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</si>
  <si>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</si>
  <si>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</si>
  <si>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</si>
  <si>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</si>
  <si>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</si>
  <si>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</si>
  <si>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</si>
  <si>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</si>
  <si>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</si>
  <si>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</si>
  <si>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</si>
  <si>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</si>
  <si>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</si>
  <si>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</si>
  <si>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</si>
  <si>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</si>
  <si>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</si>
  <si>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</si>
  <si>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</si>
  <si>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</si>
  <si>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</si>
  <si>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</si>
  <si>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</si>
  <si>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</si>
  <si>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</si>
  <si>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</si>
  <si>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</si>
  <si>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</si>
  <si>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</si>
  <si>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</si>
  <si>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</si>
  <si>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</si>
  <si>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</si>
  <si>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</si>
  <si>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</si>
  <si>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</si>
  <si>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</si>
  <si>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</si>
  <si>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</si>
  <si>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</si>
  <si>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</si>
  <si>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</si>
  <si>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</si>
  <si>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</si>
  <si>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</si>
  <si>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</si>
  <si>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</si>
  <si>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</si>
  <si>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</si>
  <si>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</si>
  <si>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</si>
  <si>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</si>
  <si>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</si>
  <si>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</si>
  <si>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</si>
  <si>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</si>
  <si>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</si>
  <si>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</si>
  <si>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</si>
  <si>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</si>
  <si>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</si>
  <si>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</si>
  <si>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</si>
  <si>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</si>
  <si>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</si>
  <si>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</si>
  <si>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</si>
  <si>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</si>
  <si>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</si>
  <si>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</si>
  <si>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</si>
  <si>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</si>
  <si>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</si>
  <si>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</si>
  <si>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</si>
  <si>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</si>
  <si>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</si>
  <si>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</si>
  <si>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</si>
  <si>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</si>
  <si>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</si>
  <si>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</si>
  <si>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</si>
  <si>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</si>
  <si>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</si>
  <si>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</si>
  <si>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</si>
  <si>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</si>
  <si>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</si>
  <si>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</si>
  <si>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</si>
  <si>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</si>
  <si>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</si>
  <si>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</si>
  <si>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</si>
  <si>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</si>
  <si>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</si>
  <si>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</si>
  <si>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</si>
  <si>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</si>
  <si>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</si>
  <si>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</si>
  <si>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</si>
  <si>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</si>
  <si>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Jaime\QUIFA-CAJÚA\Cajua\[VAS_CAJUA_CF_SEC_20230125.xlsx]CF</t>
  </si>
  <si>
    <t>='C:\Users\jaime.benazar\Quorum Business Solutions\Ecopetrol Prometeo - Documents\Planning Space Implementation\3. Analysis &amp; Design\Design\FC22\DRR Jaime\QUIFA-CAJÚA\Cajua\[VAS_CAJUA_CF_SEC_20230125.xlsx]CF PDP'!$AY$36</t>
  </si>
  <si>
    <t>='C:\Users\jaime.benazar\Quorum Business Solutions\Ecopetrol Prometeo - Documents\Planning Space Implementation\3. Analysis &amp; Design\Design\FC22\DRR Jaime\QUIFA-CAJÚA\Cajua\[VAS_CAJUA_CF_SEC_20230125.xlsx]CF PDP'!$AY$37</t>
  </si>
  <si>
    <t>='C:\Users\jaime.benazar\Quorum Business Solutions\Ecopetrol Prometeo - Documents\Planning Space Implementation\3. Analysis &amp; Design\Design\FC22\DRR Jaime\QUIFA-CAJÚA\Cajua\[VAS_CAJUA_CF_SEC_20230125.xlsx]CF PDP'!$AY$38</t>
  </si>
  <si>
    <t>='C:\Users\jaime.benazar\Quorum Business Solutions\Ecopetrol Prometeo - Documents\Planning Space Implementation\3. Analysis &amp; Design\Design\FC22\DRR Jaime\QUIFA-CAJÚA\Cajua\[VAS_CAJUA_CF_SEC_20230125.xlsx]CF PDP'!$AY$39</t>
  </si>
  <si>
    <t>='C:\Users\jaime.benazar\Quorum Business Solutions\Ecopetrol Prometeo - Documents\Planning Space Implementation\3. Analysis &amp; Design\Design\FC22\DRR Jaime\QUIFA-CAJÚA\Cajua\[VAS_CAJUA_CF_SEC_20230125.xlsx]CF PDP'!$AY$40</t>
  </si>
  <si>
    <t>='C:\Users\jaime.benazar\Quorum Business Solutions\Ecopetrol Prometeo - Documents\Planning Space Implementation\3. Analysis &amp; Design\Design\FC22\DRR Jaime\QUIFA-CAJÚA\Cajua\[VAS_CAJUA_CF_SEC_20230125.xlsx]CF PDP'!$AY$41</t>
  </si>
  <si>
    <t>='C:\Users\jaime.benazar\Quorum Business Solutions\Ecopetrol Prometeo - Documents\Planning Space Implementation\3. Analysis &amp; Design\Design\FC22\DRR Jaime\QUIFA-CAJÚA\Cajua\[VAS_CAJUA_CF_SEC_20230125.xlsx]CF PDP'!$AY$42</t>
  </si>
  <si>
    <t>='C:\Users\jaime.benazar\Quorum Business Solutions\Ecopetrol Prometeo - Documents\Planning Space Implementation\3. Analysis &amp; Design\Design\FC22\DRR Jaime\QUIFA-CAJÚA\Cajua\[VAS_CAJUA_CF_SEC_20230125.xlsx]CF PDP'!$AY$43</t>
  </si>
  <si>
    <t>='C:\Users\jaime.benazar\Quorum Business Solutions\Ecopetrol Prometeo - Documents\Planning Space Implementation\3. Analysis &amp; Design\Design\FC22\DRR Jaime\QUIFA-CAJÚA\Cajua\[VAS_CAJUA_CF_SEC_20230125.xlsx]CF PDP'!$AY$44</t>
  </si>
  <si>
    <t>='C:\Users\jaime.benazar\Quorum Business Solutions\Ecopetrol Prometeo - Documents\Planning Space Implementation\3. Analysis &amp; Design\Design\FC22\DRR Jaime\QUIFA-CAJÚA\Cajua\[VAS_CAJUA_CF_SEC_20230125.xlsx]CF PDP'!$AY$45</t>
  </si>
  <si>
    <t>='C:\Users\jaime.benazar\Quorum Business Solutions\Ecopetrol Prometeo - Documents\Planning Space Implementation\3. Analysis &amp; Design\Design\FC22\DRR Jaime\QUIFA-CAJÚA\Cajua\[VAS_CAJUA_CF_SEC_20230125.xlsx]CF PDP'!$AY$46</t>
  </si>
  <si>
    <t>='C:\Users\jaime.benazar\Quorum Business Solutions\Ecopetrol Prometeo - Documents\Planning Space Implementation\3. Analysis &amp; Design\Design\FC22\DRR Jaime\QUIFA-CAJÚA\Cajua\[VAS_CAJUA_CF_SEC_20230125.xlsx]CF PDP'!$AY$47</t>
  </si>
  <si>
    <t>='C:\Users\jaime.benazar\Quorum Business Solutions\Ecopetrol Prometeo - Documents\Planning Space Implementation\3. Analysis &amp; Design\Design\FC22\DRR Jaime\QUIFA-CAJÚA\Cajua\[VAS_CAJUA_CF_SEC_20230125.xlsx]CF PDP'!$AY$48</t>
  </si>
  <si>
    <t>='C:\Users\jaime.benazar\Quorum Business Solutions\Ecopetrol Prometeo - Documents\Planning Space Implementation\3. Analysis &amp; Design\Design\FC22\DRR Jaime\QUIFA-CAJÚA\Cajua\[VAS_CAJUA_CF_SEC_20230125.xlsx]CF PDP'!$AY$49</t>
  </si>
  <si>
    <t>='C:\Users\jaime.benazar\Quorum Business Solutions\Ecopetrol Prometeo - Documents\Planning Space Implementation\3. Analysis &amp; Design\Design\FC22\DRR Jaime\QUIFA-CAJÚA\Cajua\[VAS_CAJUA_CF_SEC_20230125.xlsx]CF PDP'!$AY$50</t>
  </si>
  <si>
    <t>='C:\Users\jaime.benazar\Quorum Business Solutions\Ecopetrol Prometeo - Documents\Planning Space Implementation\3. Analysis &amp; Design\Design\FC22\DRR Jaime\QUIFA-CAJÚA\Cajua\[VAS_CAJUA_CF_SEC_20230125.xlsx]CF PDP'!$AY$51</t>
  </si>
  <si>
    <t>='C:\Users\jaime.benazar\Quorum Business Solutions\Ecopetrol Prometeo - Documents\Planning Space Implementation\3. Analysis &amp; Design\Design\FC22\DRR Jaime\QUIFA-CAJÚA\Cajua\[VAS_CAJUA_CF_SEC_20230125.xlsx]CF PDP'!$AY$52</t>
  </si>
  <si>
    <t>='C:\Users\jaime.benazar\Quorum Business Solutions\Ecopetrol Prometeo - Documents\Planning Space Implementation\3. Analysis &amp; Design\Design\FC22\DRR Jaime\QUIFA-CAJÚA\Cajua\[VAS_CAJUA_CF_SEC_20230125.xlsx]CF PDP'!$AY$53</t>
  </si>
  <si>
    <t>='C:\Users\jaime.benazar\Quorum Business Solutions\Ecopetrol Prometeo - Documents\Planning Space Implementation\3. Analysis &amp; Design\Design\FC22\DRR Jaime\QUIFA-CAJÚA\Cajua\[VAS_CAJUA_CF_SEC_20230125.xlsx]CF PDP'!$AY$54</t>
  </si>
  <si>
    <t>='C:\Users\jaime.benazar\Quorum Business Solutions\Ecopetrol Prometeo - Documents\Planning Space Implementation\3. Analysis &amp; Design\Design\FC22\DRR Jaime\QUIFA-CAJÚA\Cajua\[VAS_CAJUA_CF_SEC_20230125.xlsx]CF PDP'!$AY$55</t>
  </si>
  <si>
    <t>='C:\Users\jaime.benazar\Quorum Business Solutions\Ecopetrol Prometeo - Documents\Planning Space Implementation\3. Analysis &amp; Design\Design\FC22\DRR Jaime\QUIFA-CAJÚA\Cajua\[VAS_CAJUA_CF_SEC_20230125.xlsx]CF PDP'!$AY$56</t>
  </si>
  <si>
    <t>='C:\Users\jaime.benazar\Quorum Business Solutions\Ecopetrol Prometeo - Documents\Planning Space Implementation\3. Analysis &amp; Design\Design\FC22\DRR Jaime\QUIFA-CAJÚA\Cajua\[VAS_CAJUA_CF_SEC_20230125.xlsx]CF PDP'!$AY$57</t>
  </si>
  <si>
    <t>='C:\Users\jaime.benazar\Quorum Business Solutions\Ecopetrol Prometeo - Documents\Planning Space Implementation\3. Analysis &amp; Design\Design\FC22\DRR Jaime\QUIFA-CAJÚA\Cajua\[VAS_CAJUA_CF_SEC_20230125.xlsx]CF PDP'!$AY$58</t>
  </si>
  <si>
    <t>='C:\Users\jaime.benazar\Quorum Business Solutions\Ecopetrol Prometeo - Documents\Planning Space Implementation\3. Analysis &amp; Design\Design\FC22\DRR Jaime\QUIFA-CAJÚA\Cajua\[VAS_CAJUA_CF_SEC_20230125.xlsx]CF PDP'!$AY$59</t>
  </si>
  <si>
    <t>='C:\Users\jaime.benazar\Quorum Business Solutions\Ecopetrol Prometeo - Documents\Planning Space Implementation\3. Analysis &amp; Design\Design\FC22\DRR Jaime\QUIFA-CAJÚA\Cajua\[VAS_CAJUA_CF_SEC_20230125.xlsx]CF PDP'!$AY$60</t>
  </si>
  <si>
    <t>='C:\Users\jaime.benazar\Quorum Business Solutions\Ecopetrol Prometeo - Documents\Planning Space Implementation\3. Analysis &amp; Design\Design\FC22\DRR Jaime\QUIFA-CAJÚA\Cajua\[VAS_CAJUA_CF_SEC_20230125.xlsx]CF PDP'!$AY$61</t>
  </si>
  <si>
    <t>='C:\Users\jaime.benazar\Quorum Business Solutions\Ecopetrol Prometeo - Documents\Planning Space Implementation\3. Analysis &amp; Design\Design\FC22\DRR Jaime\QUIFA-CAJÚA\Cajua\[VAS_CAJUA_CF_SEC_20230125.xlsx]CF PDP'!$AY$62</t>
  </si>
  <si>
    <t>='C:\Users\jaime.benazar\Quorum Business Solutions\Ecopetrol Prometeo - Documents\Planning Space Implementation\3. Analysis &amp; Design\Design\FC22\DRR Jaime\QUIFA-CAJÚA\Cajua\[VAS_CAJUA_CF_SEC_20230125.xlsx]CF PDP'!$AY$63</t>
  </si>
  <si>
    <t>='C:\Users\jaime.benazar\Quorum Business Solutions\Ecopetrol Prometeo - Documents\Planning Space Implementation\3. Analysis &amp; Design\Design\FC22\DRR Jaime\QUIFA-CAJÚA\Cajua\[VAS_CAJUA_CF_SEC_20230125.xlsx]CF PDP'!$AY$64</t>
  </si>
  <si>
    <t>='C:\Users\jaime.benazar\Quorum Business Solutions\Ecopetrol Prometeo - Documents\Planning Space Implementation\3. Analysis &amp; Design\Design\FC22\DRR Jaime\QUIFA-CAJÚA\Cajua\[VAS_CAJUA_CF_SEC_20230125.xlsx]CF PDP'!$AY$65</t>
  </si>
  <si>
    <t>='C:\Users\jaime.benazar\Quorum Business Solutions\Ecopetrol Prometeo - Documents\Planning Space Implementation\3. Analysis &amp; Design\Design\FC22\DRR Jaime\QUIFA-CAJÚA\Cajua\[VAS_CAJUA_CF_SEC_20230125.xlsx]CF PDP'!$AY$66</t>
  </si>
  <si>
    <t>='C:\Users\jaime.benazar\Quorum Business Solutions\Ecopetrol Prometeo - Documents\Planning Space Implementation\3. Analysis &amp; Design\Design\FC22\DRR Jaime\QUIFA-CAJÚA\Cajua\[VAS_CAJUA_CF_SEC_20230125.xlsx]CF PDP'!$AY$67</t>
  </si>
  <si>
    <t>='C:\Users\jaime.benazar\Quorum Business Solutions\Ecopetrol Prometeo - Documents\Planning Space Implementation\3. Analysis &amp; Design\Design\FC22\DRR Jaime\QUIFA-CAJÚA\Cajua\[VAS_CAJUA_CF_SEC_20230125.xlsx]CF PDP'!$AY$68</t>
  </si>
  <si>
    <t>='C:\Users\jaime.benazar\Quorum Business Solutions\Ecopetrol Prometeo - Documents\Planning Space Implementation\3. Analysis &amp; Design\Design\FC22\DRR Jaime\QUIFA-CAJÚA\Cajua\[VAS_CAJUA_CF_SEC_20230125.xlsx]CF PDP'!$AY$69</t>
  </si>
  <si>
    <t>='C:\Users\jaime.benazar\Quorum Business Solutions\Ecopetrol Prometeo - Documents\Planning Space Implementation\3. Analysis &amp; Design\Design\FC22\DRR Jaime\QUIFA-CAJÚA\Cajua\[VAS_CAJUA_CF_SEC_20230125.xlsx]CF PDP'!$AY$70</t>
  </si>
  <si>
    <t>='C:\Users\jaime.benazar\Quorum Business Solutions\Ecopetrol Prometeo - Documents\Planning Space Implementation\3. Analysis &amp; Design\Design\FC22\DRR Jaime\QUIFA-CAJÚA\Cajua\[VAS_CAJUA_CF_SEC_20230125.xlsx]CF PDP'!$AY$71</t>
  </si>
  <si>
    <t>='C:\Users\jaime.benazar\Quorum Business Solutions\Ecopetrol Prometeo - Documents\Planning Space Implementation\3. Analysis &amp; Design\Design\FC22\DRR Jaime\QUIFA-CAJÚA\Cajua\[VAS_CAJUA_CF_SEC_20230125.xlsx]CF PDP'!$AY$72</t>
  </si>
  <si>
    <t>='C:\Users\jaime.benazar\Quorum Business Solutions\Ecopetrol Prometeo - Documents\Planning Space Implementation\3. Analysis &amp; Design\Design\FC22\DRR Jaime\QUIFA-CAJÚA\Cajua\[VAS_CAJUA_CF_SEC_20230125.xlsx]CF PNP'!$AY$36</t>
  </si>
  <si>
    <t>='C:\Users\jaime.benazar\Quorum Business Solutions\Ecopetrol Prometeo - Documents\Planning Space Implementation\3. Analysis &amp; Design\Design\FC22\DRR Jaime\QUIFA-CAJÚA\Cajua\[VAS_CAJUA_CF_SEC_20230125.xlsx]CF PNP'!$AY$37</t>
  </si>
  <si>
    <t>='C:\Users\jaime.benazar\Quorum Business Solutions\Ecopetrol Prometeo - Documents\Planning Space Implementation\3. Analysis &amp; Design\Design\FC22\DRR Jaime\QUIFA-CAJÚA\Cajua\[VAS_CAJUA_CF_SEC_20230125.xlsx]CF PNP'!$AY$38</t>
  </si>
  <si>
    <t>='C:\Users\jaime.benazar\Quorum Business Solutions\Ecopetrol Prometeo - Documents\Planning Space Implementation\3. Analysis &amp; Design\Design\FC22\DRR Jaime\QUIFA-CAJÚA\Cajua\[VAS_CAJUA_CF_SEC_20230125.xlsx]CF PNP'!$AY$39</t>
  </si>
  <si>
    <t>='C:\Users\jaime.benazar\Quorum Business Solutions\Ecopetrol Prometeo - Documents\Planning Space Implementation\3. Analysis &amp; Design\Design\FC22\DRR Jaime\QUIFA-CAJÚA\Cajua\[VAS_CAJUA_CF_SEC_20230125.xlsx]CF PNP'!$AY$40</t>
  </si>
  <si>
    <t>='C:\Users\jaime.benazar\Quorum Business Solutions\Ecopetrol Prometeo - Documents\Planning Space Implementation\3. Analysis &amp; Design\Design\FC22\DRR Jaime\QUIFA-CAJÚA\Cajua\[VAS_CAJUA_CF_SEC_20230125.xlsx]CF PNP'!$AY$41</t>
  </si>
  <si>
    <t>='C:\Users\jaime.benazar\Quorum Business Solutions\Ecopetrol Prometeo - Documents\Planning Space Implementation\3. Analysis &amp; Design\Design\FC22\DRR Jaime\QUIFA-CAJÚA\Cajua\[VAS_CAJUA_CF_SEC_20230125.xlsx]CF PNP'!$AY$42</t>
  </si>
  <si>
    <t>='C:\Users\jaime.benazar\Quorum Business Solutions\Ecopetrol Prometeo - Documents\Planning Space Implementation\3. Analysis &amp; Design\Design\FC22\DRR Jaime\QUIFA-CAJÚA\Cajua\[VAS_CAJUA_CF_SEC_20230125.xlsx]CF PNP'!$AY$43</t>
  </si>
  <si>
    <t>='C:\Users\jaime.benazar\Quorum Business Solutions\Ecopetrol Prometeo - Documents\Planning Space Implementation\3. Analysis &amp; Design\Design\FC22\DRR Jaime\QUIFA-CAJÚA\Cajua\[VAS_CAJUA_CF_SEC_20230125.xlsx]CF PNP'!$AY$44</t>
  </si>
  <si>
    <t>='C:\Users\jaime.benazar\Quorum Business Solutions\Ecopetrol Prometeo - Documents\Planning Space Implementation\3. Analysis &amp; Design\Design\FC22\DRR Jaime\QUIFA-CAJÚA\Cajua\[VAS_CAJUA_CF_SEC_20230125.xlsx]CF PNP'!$AY$45</t>
  </si>
  <si>
    <t>='C:\Users\jaime.benazar\Quorum Business Solutions\Ecopetrol Prometeo - Documents\Planning Space Implementation\3. Analysis &amp; Design\Design\FC22\DRR Jaime\QUIFA-CAJÚA\Cajua\[VAS_CAJUA_CF_SEC_20230125.xlsx]CF PNP'!$AY$46</t>
  </si>
  <si>
    <t>='C:\Users\jaime.benazar\Quorum Business Solutions\Ecopetrol Prometeo - Documents\Planning Space Implementation\3. Analysis &amp; Design\Design\FC22\DRR Jaime\QUIFA-CAJÚA\Cajua\[VAS_CAJUA_CF_SEC_20230125.xlsx]CF PNP'!$AY$47</t>
  </si>
  <si>
    <t>='C:\Users\jaime.benazar\Quorum Business Solutions\Ecopetrol Prometeo - Documents\Planning Space Implementation\3. Analysis &amp; Design\Design\FC22\DRR Jaime\QUIFA-CAJÚA\Cajua\[VAS_CAJUA_CF_SEC_20230125.xlsx]CF PNP'!$AY$48</t>
  </si>
  <si>
    <t>='C:\Users\jaime.benazar\Quorum Business Solutions\Ecopetrol Prometeo - Documents\Planning Space Implementation\3. Analysis &amp; Design\Design\FC22\DRR Jaime\QUIFA-CAJÚA\Cajua\[VAS_CAJUA_CF_SEC_20230125.xlsx]CF PNP'!$AY$49</t>
  </si>
  <si>
    <t>='C:\Users\jaime.benazar\Quorum Business Solutions\Ecopetrol Prometeo - Documents\Planning Space Implementation\3. Analysis &amp; Design\Design\FC22\DRR Jaime\QUIFA-CAJÚA\Cajua\[VAS_CAJUA_CF_SEC_20230125.xlsx]CF PNP'!$AY$50</t>
  </si>
  <si>
    <t>='C:\Users\jaime.benazar\Quorum Business Solutions\Ecopetrol Prometeo - Documents\Planning Space Implementation\3. Analysis &amp; Design\Design\FC22\DRR Jaime\QUIFA-CAJÚA\Cajua\[VAS_CAJUA_CF_SEC_20230125.xlsx]CF PNP'!$AY$51</t>
  </si>
  <si>
    <t>='C:\Users\jaime.benazar\Quorum Business Solutions\Ecopetrol Prometeo - Documents\Planning Space Implementation\3. Analysis &amp; Design\Design\FC22\DRR Jaime\QUIFA-CAJÚA\Cajua\[VAS_CAJUA_CF_SEC_20230125.xlsx]CF PNP'!$AY$52</t>
  </si>
  <si>
    <t>='C:\Users\jaime.benazar\Quorum Business Solutions\Ecopetrol Prometeo - Documents\Planning Space Implementation\3. Analysis &amp; Design\Design\FC22\DRR Jaime\QUIFA-CAJÚA\Cajua\[VAS_CAJUA_CF_SEC_20230125.xlsx]CF PNP'!$AY$53</t>
  </si>
  <si>
    <t>='C:\Users\jaime.benazar\Quorum Business Solutions\Ecopetrol Prometeo - Documents\Planning Space Implementation\3. Analysis &amp; Design\Design\FC22\DRR Jaime\QUIFA-CAJÚA\Cajua\[VAS_CAJUA_CF_SEC_20230125.xlsx]CF PNP'!$AY$54</t>
  </si>
  <si>
    <t>='C:\Users\jaime.benazar\Quorum Business Solutions\Ecopetrol Prometeo - Documents\Planning Space Implementation\3. Analysis &amp; Design\Design\FC22\DRR Jaime\QUIFA-CAJÚA\Cajua\[VAS_CAJUA_CF_SEC_20230125.xlsx]CF PNP'!$AY$55</t>
  </si>
  <si>
    <t>='C:\Users\jaime.benazar\Quorum Business Solutions\Ecopetrol Prometeo - Documents\Planning Space Implementation\3. Analysis &amp; Design\Design\FC22\DRR Jaime\QUIFA-CAJÚA\Cajua\[VAS_CAJUA_CF_SEC_20230125.xlsx]CF PNP'!$AY$56</t>
  </si>
  <si>
    <t>='C:\Users\jaime.benazar\Quorum Business Solutions\Ecopetrol Prometeo - Documents\Planning Space Implementation\3. Analysis &amp; Design\Design\FC22\DRR Jaime\QUIFA-CAJÚA\Cajua\[VAS_CAJUA_CF_SEC_20230125.xlsx]CF PNP'!$AY$57</t>
  </si>
  <si>
    <t>='C:\Users\jaime.benazar\Quorum Business Solutions\Ecopetrol Prometeo - Documents\Planning Space Implementation\3. Analysis &amp; Design\Design\FC22\DRR Jaime\QUIFA-CAJÚA\Cajua\[VAS_CAJUA_CF_SEC_20230125.xlsx]CF PNP'!$AY$58</t>
  </si>
  <si>
    <t>='C:\Users\jaime.benazar\Quorum Business Solutions\Ecopetrol Prometeo - Documents\Planning Space Implementation\3. Analysis &amp; Design\Design\FC22\DRR Jaime\QUIFA-CAJÚA\Cajua\[VAS_CAJUA_CF_SEC_20230125.xlsx]CF PNP'!$AY$59</t>
  </si>
  <si>
    <t>='C:\Users\jaime.benazar\Quorum Business Solutions\Ecopetrol Prometeo - Documents\Planning Space Implementation\3. Analysis &amp; Design\Design\FC22\DRR Jaime\QUIFA-CAJÚA\Cajua\[VAS_CAJUA_CF_SEC_20230125.xlsx]CF PNP'!$AY$60</t>
  </si>
  <si>
    <t>='C:\Users\jaime.benazar\Quorum Business Solutions\Ecopetrol Prometeo - Documents\Planning Space Implementation\3. Analysis &amp; Design\Design\FC22\DRR Jaime\QUIFA-CAJÚA\Cajua\[VAS_CAJUA_CF_SEC_20230125.xlsx]CF PNP'!$AY$61</t>
  </si>
  <si>
    <t>='C:\Users\jaime.benazar\Quorum Business Solutions\Ecopetrol Prometeo - Documents\Planning Space Implementation\3. Analysis &amp; Design\Design\FC22\DRR Jaime\QUIFA-CAJÚA\Cajua\[VAS_CAJUA_CF_SEC_20230125.xlsx]CF PNP'!$AY$62</t>
  </si>
  <si>
    <t>='C:\Users\jaime.benazar\Quorum Business Solutions\Ecopetrol Prometeo - Documents\Planning Space Implementation\3. Analysis &amp; Design\Design\FC22\DRR Jaime\QUIFA-CAJÚA\Cajua\[VAS_CAJUA_CF_SEC_20230125.xlsx]CF PNP'!$AY$63</t>
  </si>
  <si>
    <t>='C:\Users\jaime.benazar\Quorum Business Solutions\Ecopetrol Prometeo - Documents\Planning Space Implementation\3. Analysis &amp; Design\Design\FC22\DRR Jaime\QUIFA-CAJÚA\Cajua\[VAS_CAJUA_CF_SEC_20230125.xlsx]CF PNP'!$AY$64</t>
  </si>
  <si>
    <t>='C:\Users\jaime.benazar\Quorum Business Solutions\Ecopetrol Prometeo - Documents\Planning Space Implementation\3. Analysis &amp; Design\Design\FC22\DRR Jaime\QUIFA-CAJÚA\Cajua\[VAS_CAJUA_CF_SEC_20230125.xlsx]CF PNP'!$AY$65</t>
  </si>
  <si>
    <t>='C:\Users\jaime.benazar\Quorum Business Solutions\Ecopetrol Prometeo - Documents\Planning Space Implementation\3. Analysis &amp; Design\Design\FC22\DRR Jaime\QUIFA-CAJÚA\Cajua\[VAS_CAJUA_CF_SEC_20230125.xlsx]CF PNP'!$AY$66</t>
  </si>
  <si>
    <t>='C:\Users\jaime.benazar\Quorum Business Solutions\Ecopetrol Prometeo - Documents\Planning Space Implementation\3. Analysis &amp; Design\Design\FC22\DRR Jaime\QUIFA-CAJÚA\Cajua\[VAS_CAJUA_CF_SEC_20230125.xlsx]CF PNP'!$AY$67</t>
  </si>
  <si>
    <t>='C:\Users\jaime.benazar\Quorum Business Solutions\Ecopetrol Prometeo - Documents\Planning Space Implementation\3. Analysis &amp; Design\Design\FC22\DRR Jaime\QUIFA-CAJÚA\Cajua\[VAS_CAJUA_CF_SEC_20230125.xlsx]CF PNP'!$AY$68</t>
  </si>
  <si>
    <t>='C:\Users\jaime.benazar\Quorum Business Solutions\Ecopetrol Prometeo - Documents\Planning Space Implementation\3. Analysis &amp; Design\Design\FC22\DRR Jaime\QUIFA-CAJÚA\Cajua\[VAS_CAJUA_CF_SEC_20230125.xlsx]CF PNP'!$AY$69</t>
  </si>
  <si>
    <t>='C:\Users\jaime.benazar\Quorum Business Solutions\Ecopetrol Prometeo - Documents\Planning Space Implementation\3. Analysis &amp; Design\Design\FC22\DRR Jaime\QUIFA-CAJÚA\Cajua\[VAS_CAJUA_CF_SEC_20230125.xlsx]CF PNP'!$AY$70</t>
  </si>
  <si>
    <t>='C:\Users\jaime.benazar\Quorum Business Solutions\Ecopetrol Prometeo - Documents\Planning Space Implementation\3. Analysis &amp; Design\Design\FC22\DRR Jaime\QUIFA-CAJÚA\Cajua\[VAS_CAJUA_CF_SEC_20230125.xlsx]CF PNP'!$AY$71</t>
  </si>
  <si>
    <t>='C:\Users\jaime.benazar\Quorum Business Solutions\Ecopetrol Prometeo - Documents\Planning Space Implementation\3. Analysis &amp; Design\Design\FC22\DRR Jaime\QUIFA-CAJÚA\Cajua\[VAS_CAJUA_CF_SEC_20230125.xlsx]CF PNP'!$AY$72</t>
  </si>
  <si>
    <t>='C:\Users\jaime.benazar\Quorum Business Solutions\Ecopetrol Prometeo - Documents\Planning Space Implementation\3. Analysis &amp; Design\Design\FC22\DRR Jaime\QUIFA-CAJÚA\Cajua\[VAS_CAJUA_CF_SEC_20230125.xlsx]CF PND'!$AY$36</t>
  </si>
  <si>
    <t>='C:\Users\jaime.benazar\Quorum Business Solutions\Ecopetrol Prometeo - Documents\Planning Space Implementation\3. Analysis &amp; Design\Design\FC22\DRR Jaime\QUIFA-CAJÚA\Cajua\[VAS_CAJUA_CF_SEC_20230125.xlsx]CF PND'!$AY$37</t>
  </si>
  <si>
    <t>='C:\Users\jaime.benazar\Quorum Business Solutions\Ecopetrol Prometeo - Documents\Planning Space Implementation\3. Analysis &amp; Design\Design\FC22\DRR Jaime\QUIFA-CAJÚA\Cajua\[VAS_CAJUA_CF_SEC_20230125.xlsx]CF PND'!$AY$38</t>
  </si>
  <si>
    <t>='C:\Users\jaime.benazar\Quorum Business Solutions\Ecopetrol Prometeo - Documents\Planning Space Implementation\3. Analysis &amp; Design\Design\FC22\DRR Jaime\QUIFA-CAJÚA\Cajua\[VAS_CAJUA_CF_SEC_20230125.xlsx]CF PND'!$AY$39</t>
  </si>
  <si>
    <t>='C:\Users\jaime.benazar\Quorum Business Solutions\Ecopetrol Prometeo - Documents\Planning Space Implementation\3. Analysis &amp; Design\Design\FC22\DRR Jaime\QUIFA-CAJÚA\Cajua\[VAS_CAJUA_CF_SEC_20230125.xlsx]CF PND'!$AY$40</t>
  </si>
  <si>
    <t>='C:\Users\jaime.benazar\Quorum Business Solutions\Ecopetrol Prometeo - Documents\Planning Space Implementation\3. Analysis &amp; Design\Design\FC22\DRR Jaime\QUIFA-CAJÚA\Cajua\[VAS_CAJUA_CF_SEC_20230125.xlsx]CF PND'!$AY$41</t>
  </si>
  <si>
    <t>='C:\Users\jaime.benazar\Quorum Business Solutions\Ecopetrol Prometeo - Documents\Planning Space Implementation\3. Analysis &amp; Design\Design\FC22\DRR Jaime\QUIFA-CAJÚA\Cajua\[VAS_CAJUA_CF_SEC_20230125.xlsx]CF PND'!$AY$42</t>
  </si>
  <si>
    <t>='C:\Users\jaime.benazar\Quorum Business Solutions\Ecopetrol Prometeo - Documents\Planning Space Implementation\3. Analysis &amp; Design\Design\FC22\DRR Jaime\QUIFA-CAJÚA\Cajua\[VAS_CAJUA_CF_SEC_20230125.xlsx]CF PND'!$AY$43</t>
  </si>
  <si>
    <t>='C:\Users\jaime.benazar\Quorum Business Solutions\Ecopetrol Prometeo - Documents\Planning Space Implementation\3. Analysis &amp; Design\Design\FC22\DRR Jaime\QUIFA-CAJÚA\Cajua\[VAS_CAJUA_CF_SEC_20230125.xlsx]CF PND'!$AY$44</t>
  </si>
  <si>
    <t>='C:\Users\jaime.benazar\Quorum Business Solutions\Ecopetrol Prometeo - Documents\Planning Space Implementation\3. Analysis &amp; Design\Design\FC22\DRR Jaime\QUIFA-CAJÚA\Cajua\[VAS_CAJUA_CF_SEC_20230125.xlsx]CF PND'!$AY$45</t>
  </si>
  <si>
    <t>='C:\Users\jaime.benazar\Quorum Business Solutions\Ecopetrol Prometeo - Documents\Planning Space Implementation\3. Analysis &amp; Design\Design\FC22\DRR Jaime\QUIFA-CAJÚA\Cajua\[VAS_CAJUA_CF_SEC_20230125.xlsx]CF PND'!$AY$46</t>
  </si>
  <si>
    <t>='C:\Users\jaime.benazar\Quorum Business Solutions\Ecopetrol Prometeo - Documents\Planning Space Implementation\3. Analysis &amp; Design\Design\FC22\DRR Jaime\QUIFA-CAJÚA\Cajua\[VAS_CAJUA_CF_SEC_20230125.xlsx]CF PND'!$AY$47</t>
  </si>
  <si>
    <t>='C:\Users\jaime.benazar\Quorum Business Solutions\Ecopetrol Prometeo - Documents\Planning Space Implementation\3. Analysis &amp; Design\Design\FC22\DRR Jaime\QUIFA-CAJÚA\Cajua\[VAS_CAJUA_CF_SEC_20230125.xlsx]CF PND'!$AY$48</t>
  </si>
  <si>
    <t>='C:\Users\jaime.benazar\Quorum Business Solutions\Ecopetrol Prometeo - Documents\Planning Space Implementation\3. Analysis &amp; Design\Design\FC22\DRR Jaime\QUIFA-CAJÚA\Cajua\[VAS_CAJUA_CF_SEC_20230125.xlsx]CF PND'!$AY$49</t>
  </si>
  <si>
    <t>='C:\Users\jaime.benazar\Quorum Business Solutions\Ecopetrol Prometeo - Documents\Planning Space Implementation\3. Analysis &amp; Design\Design\FC22\DRR Jaime\QUIFA-CAJÚA\Cajua\[VAS_CAJUA_CF_SEC_20230125.xlsx]CF PND'!$AY$50</t>
  </si>
  <si>
    <t>='C:\Users\jaime.benazar\Quorum Business Solutions\Ecopetrol Prometeo - Documents\Planning Space Implementation\3. Analysis &amp; Design\Design\FC22\DRR Jaime\QUIFA-CAJÚA\Cajua\[VAS_CAJUA_CF_SEC_20230125.xlsx]CF PND'!$AY$51</t>
  </si>
  <si>
    <t>='C:\Users\jaime.benazar\Quorum Business Solutions\Ecopetrol Prometeo - Documents\Planning Space Implementation\3. Analysis &amp; Design\Design\FC22\DRR Jaime\QUIFA-CAJÚA\Cajua\[VAS_CAJUA_CF_SEC_20230125.xlsx]CF PND'!$AY$52</t>
  </si>
  <si>
    <t>='C:\Users\jaime.benazar\Quorum Business Solutions\Ecopetrol Prometeo - Documents\Planning Space Implementation\3. Analysis &amp; Design\Design\FC22\DRR Jaime\QUIFA-CAJÚA\Cajua\[VAS_CAJUA_CF_SEC_20230125.xlsx]CF PND'!$AY$53</t>
  </si>
  <si>
    <t>='C:\Users\jaime.benazar\Quorum Business Solutions\Ecopetrol Prometeo - Documents\Planning Space Implementation\3. Analysis &amp; Design\Design\FC22\DRR Jaime\QUIFA-CAJÚA\Cajua\[VAS_CAJUA_CF_SEC_20230125.xlsx]CF PND'!$AY$54</t>
  </si>
  <si>
    <t>='C:\Users\jaime.benazar\Quorum Business Solutions\Ecopetrol Prometeo - Documents\Planning Space Implementation\3. Analysis &amp; Design\Design\FC22\DRR Jaime\QUIFA-CAJÚA\Cajua\[VAS_CAJUA_CF_SEC_20230125.xlsx]CF PND'!$AY$55</t>
  </si>
  <si>
    <t>='C:\Users\jaime.benazar\Quorum Business Solutions\Ecopetrol Prometeo - Documents\Planning Space Implementation\3. Analysis &amp; Design\Design\FC22\DRR Jaime\QUIFA-CAJÚA\Cajua\[VAS_CAJUA_CF_SEC_20230125.xlsx]CF PND'!$AY$56</t>
  </si>
  <si>
    <t>='C:\Users\jaime.benazar\Quorum Business Solutions\Ecopetrol Prometeo - Documents\Planning Space Implementation\3. Analysis &amp; Design\Design\FC22\DRR Jaime\QUIFA-CAJÚA\Cajua\[VAS_CAJUA_CF_SEC_20230125.xlsx]CF PND'!$AY$57</t>
  </si>
  <si>
    <t>='C:\Users\jaime.benazar\Quorum Business Solutions\Ecopetrol Prometeo - Documents\Planning Space Implementation\3. Analysis &amp; Design\Design\FC22\DRR Jaime\QUIFA-CAJÚA\Cajua\[VAS_CAJUA_CF_SEC_20230125.xlsx]CF PND'!$AY$58</t>
  </si>
  <si>
    <t>='C:\Users\jaime.benazar\Quorum Business Solutions\Ecopetrol Prometeo - Documents\Planning Space Implementation\3. Analysis &amp; Design\Design\FC22\DRR Jaime\QUIFA-CAJÚA\Cajua\[VAS_CAJUA_CF_SEC_20230125.xlsx]CF PND'!$AY$59</t>
  </si>
  <si>
    <t>='C:\Users\jaime.benazar\Quorum Business Solutions\Ecopetrol Prometeo - Documents\Planning Space Implementation\3. Analysis &amp; Design\Design\FC22\DRR Jaime\QUIFA-CAJÚA\Cajua\[VAS_CAJUA_CF_SEC_20230125.xlsx]CF PND'!$AY$60</t>
  </si>
  <si>
    <t>='C:\Users\jaime.benazar\Quorum Business Solutions\Ecopetrol Prometeo - Documents\Planning Space Implementation\3. Analysis &amp; Design\Design\FC22\DRR Jaime\QUIFA-CAJÚA\Cajua\[VAS_CAJUA_CF_SEC_20230125.xlsx]CF PND'!$AY$61</t>
  </si>
  <si>
    <t>='C:\Users\jaime.benazar\Quorum Business Solutions\Ecopetrol Prometeo - Documents\Planning Space Implementation\3. Analysis &amp; Design\Design\FC22\DRR Jaime\QUIFA-CAJÚA\Cajua\[VAS_CAJUA_CF_SEC_20230125.xlsx]CF PND'!$AY$62</t>
  </si>
  <si>
    <t>='C:\Users\jaime.benazar\Quorum Business Solutions\Ecopetrol Prometeo - Documents\Planning Space Implementation\3. Analysis &amp; Design\Design\FC22\DRR Jaime\QUIFA-CAJÚA\Cajua\[VAS_CAJUA_CF_SEC_20230125.xlsx]CF PND'!$AY$63</t>
  </si>
  <si>
    <t>='C:\Users\jaime.benazar\Quorum Business Solutions\Ecopetrol Prometeo - Documents\Planning Space Implementation\3. Analysis &amp; Design\Design\FC22\DRR Jaime\QUIFA-CAJÚA\Cajua\[VAS_CAJUA_CF_SEC_20230125.xlsx]CF PND'!$AY$64</t>
  </si>
  <si>
    <t>='C:\Users\jaime.benazar\Quorum Business Solutions\Ecopetrol Prometeo - Documents\Planning Space Implementation\3. Analysis &amp; Design\Design\FC22\DRR Jaime\QUIFA-CAJÚA\Cajua\[VAS_CAJUA_CF_SEC_20230125.xlsx]CF PND'!$AY$65</t>
  </si>
  <si>
    <t>='C:\Users\jaime.benazar\Quorum Business Solutions\Ecopetrol Prometeo - Documents\Planning Space Implementation\3. Analysis &amp; Design\Design\FC22\DRR Jaime\QUIFA-CAJÚA\Cajua\[VAS_CAJUA_CF_SEC_20230125.xlsx]CF PND'!$AY$66</t>
  </si>
  <si>
    <t>='C:\Users\jaime.benazar\Quorum Business Solutions\Ecopetrol Prometeo - Documents\Planning Space Implementation\3. Analysis &amp; Design\Design\FC22\DRR Jaime\QUIFA-CAJÚA\Cajua\[VAS_CAJUA_CF_SEC_20230125.xlsx]CF PND'!$AY$67</t>
  </si>
  <si>
    <t>='C:\Users\jaime.benazar\Quorum Business Solutions\Ecopetrol Prometeo - Documents\Planning Space Implementation\3. Analysis &amp; Design\Design\FC22\DRR Jaime\QUIFA-CAJÚA\Cajua\[VAS_CAJUA_CF_SEC_20230125.xlsx]CF PND'!$AY$68</t>
  </si>
  <si>
    <t>='C:\Users\jaime.benazar\Quorum Business Solutions\Ecopetrol Prometeo - Documents\Planning Space Implementation\3. Analysis &amp; Design\Design\FC22\DRR Jaime\QUIFA-CAJÚA\Cajua\[VAS_CAJUA_CF_SEC_20230125.xlsx]CF PND'!$AY$69</t>
  </si>
  <si>
    <t>='C:\Users\jaime.benazar\Quorum Business Solutions\Ecopetrol Prometeo - Documents\Planning Space Implementation\3. Analysis &amp; Design\Design\FC22\DRR Jaime\QUIFA-CAJÚA\Cajua\[VAS_CAJUA_CF_SEC_20230125.xlsx]CF PND'!$AY$70</t>
  </si>
  <si>
    <t>='C:\Users\jaime.benazar\Quorum Business Solutions\Ecopetrol Prometeo - Documents\Planning Space Implementation\3. Analysis &amp; Design\Design\FC22\DRR Jaime\QUIFA-CAJÚA\Cajua\[VAS_CAJUA_CF_SEC_20230125.xlsx]CF PND'!$AY$71</t>
  </si>
  <si>
    <t>='C:\Users\jaime.benazar\Quorum Business Solutions\Ecopetrol Prometeo - Documents\Planning Space Implementation\3. Analysis &amp; Design\Design\FC22\DRR Jaime\QUIFA-CAJÚA\Cajua\[VAS_CAJUA_CF_SEC_20230125.xlsx]CF PND'!$AY$72</t>
  </si>
  <si>
    <t>='C:\Users\jaime.benazar\Quorum Business Solutions\Ecopetrol Prometeo - Documents\Planning Space Implementation\3. Analysis &amp; Design\Design\FC22\DRR Jaime\QUIFA-CAJÚA\Cajua\[VAS_CAJUA_CF_SEC_20230125.xlsx]CF PRB'!$AY$36</t>
  </si>
  <si>
    <t>='C:\Users\jaime.benazar\Quorum Business Solutions\Ecopetrol Prometeo - Documents\Planning Space Implementation\3. Analysis &amp; Design\Design\FC22\DRR Jaime\QUIFA-CAJÚA\Cajua\[VAS_CAJUA_CF_SEC_20230125.xlsx]CF PRB'!$AY$37</t>
  </si>
  <si>
    <t>='C:\Users\jaime.benazar\Quorum Business Solutions\Ecopetrol Prometeo - Documents\Planning Space Implementation\3. Analysis &amp; Design\Design\FC22\DRR Jaime\QUIFA-CAJÚA\Cajua\[VAS_CAJUA_CF_SEC_20230125.xlsx]CF PRB'!$AY$38</t>
  </si>
  <si>
    <t>='C:\Users\jaime.benazar\Quorum Business Solutions\Ecopetrol Prometeo - Documents\Planning Space Implementation\3. Analysis &amp; Design\Design\FC22\DRR Jaime\QUIFA-CAJÚA\Cajua\[VAS_CAJUA_CF_SEC_20230125.xlsx]CF PRB'!$AY$39</t>
  </si>
  <si>
    <t>='C:\Users\jaime.benazar\Quorum Business Solutions\Ecopetrol Prometeo - Documents\Planning Space Implementation\3. Analysis &amp; Design\Design\FC22\DRR Jaime\QUIFA-CAJÚA\Cajua\[VAS_CAJUA_CF_SEC_20230125.xlsx]CF PRB'!$AY$40</t>
  </si>
  <si>
    <t>='C:\Users\jaime.benazar\Quorum Business Solutions\Ecopetrol Prometeo - Documents\Planning Space Implementation\3. Analysis &amp; Design\Design\FC22\DRR Jaime\QUIFA-CAJÚA\Cajua\[VAS_CAJUA_CF_SEC_20230125.xlsx]CF PRB'!$AY$41</t>
  </si>
  <si>
    <t>='C:\Users\jaime.benazar\Quorum Business Solutions\Ecopetrol Prometeo - Documents\Planning Space Implementation\3. Analysis &amp; Design\Design\FC22\DRR Jaime\QUIFA-CAJÚA\Cajua\[VAS_CAJUA_CF_SEC_20230125.xlsx]CF PRB'!$AY$42</t>
  </si>
  <si>
    <t>='C:\Users\jaime.benazar\Quorum Business Solutions\Ecopetrol Prometeo - Documents\Planning Space Implementation\3. Analysis &amp; Design\Design\FC22\DRR Jaime\QUIFA-CAJÚA\Cajua\[VAS_CAJUA_CF_SEC_20230125.xlsx]CF PRB'!$AY$43</t>
  </si>
  <si>
    <t>='C:\Users\jaime.benazar\Quorum Business Solutions\Ecopetrol Prometeo - Documents\Planning Space Implementation\3. Analysis &amp; Design\Design\FC22\DRR Jaime\QUIFA-CAJÚA\Cajua\[VAS_CAJUA_CF_SEC_20230125.xlsx]CF PRB'!$AY$44</t>
  </si>
  <si>
    <t>='C:\Users\jaime.benazar\Quorum Business Solutions\Ecopetrol Prometeo - Documents\Planning Space Implementation\3. Analysis &amp; Design\Design\FC22\DRR Jaime\QUIFA-CAJÚA\Cajua\[VAS_CAJUA_CF_SEC_20230125.xlsx]CF PRB'!$AY$45</t>
  </si>
  <si>
    <t>='C:\Users\jaime.benazar\Quorum Business Solutions\Ecopetrol Prometeo - Documents\Planning Space Implementation\3. Analysis &amp; Design\Design\FC22\DRR Jaime\QUIFA-CAJÚA\Cajua\[VAS_CAJUA_CF_SEC_20230125.xlsx]CF PRB'!$AY$46</t>
  </si>
  <si>
    <t>='C:\Users\jaime.benazar\Quorum Business Solutions\Ecopetrol Prometeo - Documents\Planning Space Implementation\3. Analysis &amp; Design\Design\FC22\DRR Jaime\QUIFA-CAJÚA\Cajua\[VAS_CAJUA_CF_SEC_20230125.xlsx]CF PRB'!$AY$47</t>
  </si>
  <si>
    <t>='C:\Users\jaime.benazar\Quorum Business Solutions\Ecopetrol Prometeo - Documents\Planning Space Implementation\3. Analysis &amp; Design\Design\FC22\DRR Jaime\QUIFA-CAJÚA\Cajua\[VAS_CAJUA_CF_SEC_20230125.xlsx]CF PRB'!$AY$48</t>
  </si>
  <si>
    <t>='C:\Users\jaime.benazar\Quorum Business Solutions\Ecopetrol Prometeo - Documents\Planning Space Implementation\3. Analysis &amp; Design\Design\FC22\DRR Jaime\QUIFA-CAJÚA\Cajua\[VAS_CAJUA_CF_SEC_20230125.xlsx]CF PRB'!$AY$49</t>
  </si>
  <si>
    <t>='C:\Users\jaime.benazar\Quorum Business Solutions\Ecopetrol Prometeo - Documents\Planning Space Implementation\3. Analysis &amp; Design\Design\FC22\DRR Jaime\QUIFA-CAJÚA\Cajua\[VAS_CAJUA_CF_SEC_20230125.xlsx]CF PRB'!$AY$50</t>
  </si>
  <si>
    <t>='C:\Users\jaime.benazar\Quorum Business Solutions\Ecopetrol Prometeo - Documents\Planning Space Implementation\3. Analysis &amp; Design\Design\FC22\DRR Jaime\QUIFA-CAJÚA\Cajua\[VAS_CAJUA_CF_SEC_20230125.xlsx]CF PRB'!$AY$51</t>
  </si>
  <si>
    <t>='C:\Users\jaime.benazar\Quorum Business Solutions\Ecopetrol Prometeo - Documents\Planning Space Implementation\3. Analysis &amp; Design\Design\FC22\DRR Jaime\QUIFA-CAJÚA\Cajua\[VAS_CAJUA_CF_SEC_20230125.xlsx]CF PRB'!$AY$52</t>
  </si>
  <si>
    <t>='C:\Users\jaime.benazar\Quorum Business Solutions\Ecopetrol Prometeo - Documents\Planning Space Implementation\3. Analysis &amp; Design\Design\FC22\DRR Jaime\QUIFA-CAJÚA\Cajua\[VAS_CAJUA_CF_SEC_20230125.xlsx]CF PRB'!$AY$53</t>
  </si>
  <si>
    <t>='C:\Users\jaime.benazar\Quorum Business Solutions\Ecopetrol Prometeo - Documents\Planning Space Implementation\3. Analysis &amp; Design\Design\FC22\DRR Jaime\QUIFA-CAJÚA\Cajua\[VAS_CAJUA_CF_SEC_20230125.xlsx]CF PRB'!$AY$54</t>
  </si>
  <si>
    <t>='C:\Users\jaime.benazar\Quorum Business Solutions\Ecopetrol Prometeo - Documents\Planning Space Implementation\3. Analysis &amp; Design\Design\FC22\DRR Jaime\QUIFA-CAJÚA\Cajua\[VAS_CAJUA_CF_SEC_20230125.xlsx]CF PRB'!$AY$55</t>
  </si>
  <si>
    <t>='C:\Users\jaime.benazar\Quorum Business Solutions\Ecopetrol Prometeo - Documents\Planning Space Implementation\3. Analysis &amp; Design\Design\FC22\DRR Jaime\QUIFA-CAJÚA\Cajua\[VAS_CAJUA_CF_SEC_20230125.xlsx]CF PRB'!$AY$56</t>
  </si>
  <si>
    <t>='C:\Users\jaime.benazar\Quorum Business Solutions\Ecopetrol Prometeo - Documents\Planning Space Implementation\3. Analysis &amp; Design\Design\FC22\DRR Jaime\QUIFA-CAJÚA\Cajua\[VAS_CAJUA_CF_SEC_20230125.xlsx]CF PRB'!$AY$57</t>
  </si>
  <si>
    <t>='C:\Users\jaime.benazar\Quorum Business Solutions\Ecopetrol Prometeo - Documents\Planning Space Implementation\3. Analysis &amp; Design\Design\FC22\DRR Jaime\QUIFA-CAJÚA\Cajua\[VAS_CAJUA_CF_SEC_20230125.xlsx]CF PRB'!$AY$58</t>
  </si>
  <si>
    <t>='C:\Users\jaime.benazar\Quorum Business Solutions\Ecopetrol Prometeo - Documents\Planning Space Implementation\3. Analysis &amp; Design\Design\FC22\DRR Jaime\QUIFA-CAJÚA\Cajua\[VAS_CAJUA_CF_SEC_20230125.xlsx]CF PRB'!$AY$59</t>
  </si>
  <si>
    <t>='C:\Users\jaime.benazar\Quorum Business Solutions\Ecopetrol Prometeo - Documents\Planning Space Implementation\3. Analysis &amp; Design\Design\FC22\DRR Jaime\QUIFA-CAJÚA\Cajua\[VAS_CAJUA_CF_SEC_20230125.xlsx]CF PRB'!$AY$60</t>
  </si>
  <si>
    <t>='C:\Users\jaime.benazar\Quorum Business Solutions\Ecopetrol Prometeo - Documents\Planning Space Implementation\3. Analysis &amp; Design\Design\FC22\DRR Jaime\QUIFA-CAJÚA\Cajua\[VAS_CAJUA_CF_SEC_20230125.xlsx]CF PRB'!$AY$61</t>
  </si>
  <si>
    <t>='C:\Users\jaime.benazar\Quorum Business Solutions\Ecopetrol Prometeo - Documents\Planning Space Implementation\3. Analysis &amp; Design\Design\FC22\DRR Jaime\QUIFA-CAJÚA\Cajua\[VAS_CAJUA_CF_SEC_20230125.xlsx]CF PRB'!$AY$62</t>
  </si>
  <si>
    <t>='C:\Users\jaime.benazar\Quorum Business Solutions\Ecopetrol Prometeo - Documents\Planning Space Implementation\3. Analysis &amp; Design\Design\FC22\DRR Jaime\QUIFA-CAJÚA\Cajua\[VAS_CAJUA_CF_SEC_20230125.xlsx]CF PRB'!$AY$63</t>
  </si>
  <si>
    <t>='C:\Users\jaime.benazar\Quorum Business Solutions\Ecopetrol Prometeo - Documents\Planning Space Implementation\3. Analysis &amp; Design\Design\FC22\DRR Jaime\QUIFA-CAJÚA\Cajua\[VAS_CAJUA_CF_SEC_20230125.xlsx]CF PRB'!$AY$64</t>
  </si>
  <si>
    <t>='C:\Users\jaime.benazar\Quorum Business Solutions\Ecopetrol Prometeo - Documents\Planning Space Implementation\3. Analysis &amp; Design\Design\FC22\DRR Jaime\QUIFA-CAJÚA\Cajua\[VAS_CAJUA_CF_SEC_20230125.xlsx]CF PRB'!$AY$65</t>
  </si>
  <si>
    <t>='C:\Users\jaime.benazar\Quorum Business Solutions\Ecopetrol Prometeo - Documents\Planning Space Implementation\3. Analysis &amp; Design\Design\FC22\DRR Jaime\QUIFA-CAJÚA\Cajua\[VAS_CAJUA_CF_SEC_20230125.xlsx]CF PRB'!$AY$66</t>
  </si>
  <si>
    <t>='C:\Users\jaime.benazar\Quorum Business Solutions\Ecopetrol Prometeo - Documents\Planning Space Implementation\3. Analysis &amp; Design\Design\FC22\DRR Jaime\QUIFA-CAJÚA\Cajua\[VAS_CAJUA_CF_SEC_20230125.xlsx]CF PRB'!$AY$67</t>
  </si>
  <si>
    <t>='C:\Users\jaime.benazar\Quorum Business Solutions\Ecopetrol Prometeo - Documents\Planning Space Implementation\3. Analysis &amp; Design\Design\FC22\DRR Jaime\QUIFA-CAJÚA\Cajua\[VAS_CAJUA_CF_SEC_20230125.xlsx]CF PRB'!$AY$68</t>
  </si>
  <si>
    <t>='C:\Users\jaime.benazar\Quorum Business Solutions\Ecopetrol Prometeo - Documents\Planning Space Implementation\3. Analysis &amp; Design\Design\FC22\DRR Jaime\QUIFA-CAJÚA\Cajua\[VAS_CAJUA_CF_SEC_20230125.xlsx]CF PRB'!$AY$69</t>
  </si>
  <si>
    <t>='C:\Users\jaime.benazar\Quorum Business Solutions\Ecopetrol Prometeo - Documents\Planning Space Implementation\3. Analysis &amp; Design\Design\FC22\DRR Jaime\QUIFA-CAJÚA\Cajua\[VAS_CAJUA_CF_SEC_20230125.xlsx]CF PRB'!$AY$70</t>
  </si>
  <si>
    <t>='C:\Users\jaime.benazar\Quorum Business Solutions\Ecopetrol Prometeo - Documents\Planning Space Implementation\3. Analysis &amp; Design\Design\FC22\DRR Jaime\QUIFA-CAJÚA\Cajua\[VAS_CAJUA_CF_SEC_20230125.xlsx]CF PRB'!$AY$71</t>
  </si>
  <si>
    <t>='C:\Users\jaime.benazar\Quorum Business Solutions\Ecopetrol Prometeo - Documents\Planning Space Implementation\3. Analysis &amp; Design\Design\FC22\DRR Jaime\QUIFA-CAJÚA\Cajua\[VAS_CAJUA_CF_SEC_20230125.xlsx]CF PRB'!$AY$72</t>
  </si>
  <si>
    <t>='C:\Users\jaime.benazar\Quorum Business Solutions\Ecopetrol Prometeo - Documents\Planning Space Implementation\3. Analysis &amp; Design\Design\FC22\DRR Jaime\QUIFA-CAJÚA\Cajua\[VAS_CAJUA_CF_SEC_20230125.xlsx]CF PS'!$AY$36</t>
  </si>
  <si>
    <t>='C:\Users\jaime.benazar\Quorum Business Solutions\Ecopetrol Prometeo - Documents\Planning Space Implementation\3. Analysis &amp; Design\Design\FC22\DRR Jaime\QUIFA-CAJÚA\Cajua\[VAS_CAJUA_CF_SEC_20230125.xlsx]CF PS'!$AY$37</t>
  </si>
  <si>
    <t>='C:\Users\jaime.benazar\Quorum Business Solutions\Ecopetrol Prometeo - Documents\Planning Space Implementation\3. Analysis &amp; Design\Design\FC22\DRR Jaime\QUIFA-CAJÚA\Cajua\[VAS_CAJUA_CF_SEC_20230125.xlsx]CF PS'!$AY$38</t>
  </si>
  <si>
    <t>='C:\Users\jaime.benazar\Quorum Business Solutions\Ecopetrol Prometeo - Documents\Planning Space Implementation\3. Analysis &amp; Design\Design\FC22\DRR Jaime\QUIFA-CAJÚA\Cajua\[VAS_CAJUA_CF_SEC_20230125.xlsx]CF PS'!$AY$39</t>
  </si>
  <si>
    <t>='C:\Users\jaime.benazar\Quorum Business Solutions\Ecopetrol Prometeo - Documents\Planning Space Implementation\3. Analysis &amp; Design\Design\FC22\DRR Jaime\QUIFA-CAJÚA\Cajua\[VAS_CAJUA_CF_SEC_20230125.xlsx]CF PS'!$AY$40</t>
  </si>
  <si>
    <t>='C:\Users\jaime.benazar\Quorum Business Solutions\Ecopetrol Prometeo - Documents\Planning Space Implementation\3. Analysis &amp; Design\Design\FC22\DRR Jaime\QUIFA-CAJÚA\Cajua\[VAS_CAJUA_CF_SEC_20230125.xlsx]CF PS'!$AY$41</t>
  </si>
  <si>
    <t>='C:\Users\jaime.benazar\Quorum Business Solutions\Ecopetrol Prometeo - Documents\Planning Space Implementation\3. Analysis &amp; Design\Design\FC22\DRR Jaime\QUIFA-CAJÚA\Cajua\[VAS_CAJUA_CF_SEC_20230125.xlsx]CF PS'!$AY$42</t>
  </si>
  <si>
    <t>='C:\Users\jaime.benazar\Quorum Business Solutions\Ecopetrol Prometeo - Documents\Planning Space Implementation\3. Analysis &amp; Design\Design\FC22\DRR Jaime\QUIFA-CAJÚA\Cajua\[VAS_CAJUA_CF_SEC_20230125.xlsx]CF PS'!$AY$43</t>
  </si>
  <si>
    <t>='C:\Users\jaime.benazar\Quorum Business Solutions\Ecopetrol Prometeo - Documents\Planning Space Implementation\3. Analysis &amp; Design\Design\FC22\DRR Jaime\QUIFA-CAJÚA\Cajua\[VAS_CAJUA_CF_SEC_20230125.xlsx]CF PS'!$AY$44</t>
  </si>
  <si>
    <t>='C:\Users\jaime.benazar\Quorum Business Solutions\Ecopetrol Prometeo - Documents\Planning Space Implementation\3. Analysis &amp; Design\Design\FC22\DRR Jaime\QUIFA-CAJÚA\Cajua\[VAS_CAJUA_CF_SEC_20230125.xlsx]CF PS'!$AY$45</t>
  </si>
  <si>
    <t>='C:\Users\jaime.benazar\Quorum Business Solutions\Ecopetrol Prometeo - Documents\Planning Space Implementation\3. Analysis &amp; Design\Design\FC22\DRR Jaime\QUIFA-CAJÚA\Cajua\[VAS_CAJUA_CF_SEC_20230125.xlsx]CF PS'!$AY$46</t>
  </si>
  <si>
    <t>='C:\Users\jaime.benazar\Quorum Business Solutions\Ecopetrol Prometeo - Documents\Planning Space Implementation\3. Analysis &amp; Design\Design\FC22\DRR Jaime\QUIFA-CAJÚA\Cajua\[VAS_CAJUA_CF_SEC_20230125.xlsx]CF PS'!$AY$47</t>
  </si>
  <si>
    <t>='C:\Users\jaime.benazar\Quorum Business Solutions\Ecopetrol Prometeo - Documents\Planning Space Implementation\3. Analysis &amp; Design\Design\FC22\DRR Jaime\QUIFA-CAJÚA\Cajua\[VAS_CAJUA_CF_SEC_20230125.xlsx]CF PS'!$AY$48</t>
  </si>
  <si>
    <t>='C:\Users\jaime.benazar\Quorum Business Solutions\Ecopetrol Prometeo - Documents\Planning Space Implementation\3. Analysis &amp; Design\Design\FC22\DRR Jaime\QUIFA-CAJÚA\Cajua\[VAS_CAJUA_CF_SEC_20230125.xlsx]CF PS'!$AY$49</t>
  </si>
  <si>
    <t>='C:\Users\jaime.benazar\Quorum Business Solutions\Ecopetrol Prometeo - Documents\Planning Space Implementation\3. Analysis &amp; Design\Design\FC22\DRR Jaime\QUIFA-CAJÚA\Cajua\[VAS_CAJUA_CF_SEC_20230125.xlsx]CF PS'!$AY$50</t>
  </si>
  <si>
    <t>='C:\Users\jaime.benazar\Quorum Business Solutions\Ecopetrol Prometeo - Documents\Planning Space Implementation\3. Analysis &amp; Design\Design\FC22\DRR Jaime\QUIFA-CAJÚA\Cajua\[VAS_CAJUA_CF_SEC_20230125.xlsx]CF PS'!$AY$51</t>
  </si>
  <si>
    <t>='C:\Users\jaime.benazar\Quorum Business Solutions\Ecopetrol Prometeo - Documents\Planning Space Implementation\3. Analysis &amp; Design\Design\FC22\DRR Jaime\QUIFA-CAJÚA\Cajua\[VAS_CAJUA_CF_SEC_20230125.xlsx]CF PS'!$AY$52</t>
  </si>
  <si>
    <t>='C:\Users\jaime.benazar\Quorum Business Solutions\Ecopetrol Prometeo - Documents\Planning Space Implementation\3. Analysis &amp; Design\Design\FC22\DRR Jaime\QUIFA-CAJÚA\Cajua\[VAS_CAJUA_CF_SEC_20230125.xlsx]CF PS'!$AY$53</t>
  </si>
  <si>
    <t>='C:\Users\jaime.benazar\Quorum Business Solutions\Ecopetrol Prometeo - Documents\Planning Space Implementation\3. Analysis &amp; Design\Design\FC22\DRR Jaime\QUIFA-CAJÚA\Cajua\[VAS_CAJUA_CF_SEC_20230125.xlsx]CF PS'!$AY$54</t>
  </si>
  <si>
    <t>='C:\Users\jaime.benazar\Quorum Business Solutions\Ecopetrol Prometeo - Documents\Planning Space Implementation\3. Analysis &amp; Design\Design\FC22\DRR Jaime\QUIFA-CAJÚA\Cajua\[VAS_CAJUA_CF_SEC_20230125.xlsx]CF PS'!$AY$55</t>
  </si>
  <si>
    <t>='C:\Users\jaime.benazar\Quorum Business Solutions\Ecopetrol Prometeo - Documents\Planning Space Implementation\3. Analysis &amp; Design\Design\FC22\DRR Jaime\QUIFA-CAJÚA\Cajua\[VAS_CAJUA_CF_SEC_20230125.xlsx]CF PS'!$AY$56</t>
  </si>
  <si>
    <t>='C:\Users\jaime.benazar\Quorum Business Solutions\Ecopetrol Prometeo - Documents\Planning Space Implementation\3. Analysis &amp; Design\Design\FC22\DRR Jaime\QUIFA-CAJÚA\Cajua\[VAS_CAJUA_CF_SEC_20230125.xlsx]CF PS'!$AY$57</t>
  </si>
  <si>
    <t>='C:\Users\jaime.benazar\Quorum Business Solutions\Ecopetrol Prometeo - Documents\Planning Space Implementation\3. Analysis &amp; Design\Design\FC22\DRR Jaime\QUIFA-CAJÚA\Cajua\[VAS_CAJUA_CF_SEC_20230125.xlsx]CF PS'!$AY$58</t>
  </si>
  <si>
    <t>='C:\Users\jaime.benazar\Quorum Business Solutions\Ecopetrol Prometeo - Documents\Planning Space Implementation\3. Analysis &amp; Design\Design\FC22\DRR Jaime\QUIFA-CAJÚA\Cajua\[VAS_CAJUA_CF_SEC_20230125.xlsx]CF PS'!$AY$59</t>
  </si>
  <si>
    <t>='C:\Users\jaime.benazar\Quorum Business Solutions\Ecopetrol Prometeo - Documents\Planning Space Implementation\3. Analysis &amp; Design\Design\FC22\DRR Jaime\QUIFA-CAJÚA\Cajua\[VAS_CAJUA_CF_SEC_20230125.xlsx]CF PS'!$AY$60</t>
  </si>
  <si>
    <t>='C:\Users\jaime.benazar\Quorum Business Solutions\Ecopetrol Prometeo - Documents\Planning Space Implementation\3. Analysis &amp; Design\Design\FC22\DRR Jaime\QUIFA-CAJÚA\Cajua\[VAS_CAJUA_CF_SEC_20230125.xlsx]CF PS'!$AY$61</t>
  </si>
  <si>
    <t>='C:\Users\jaime.benazar\Quorum Business Solutions\Ecopetrol Prometeo - Documents\Planning Space Implementation\3. Analysis &amp; Design\Design\FC22\DRR Jaime\QUIFA-CAJÚA\Cajua\[VAS_CAJUA_CF_SEC_20230125.xlsx]CF PS'!$AY$62</t>
  </si>
  <si>
    <t>='C:\Users\jaime.benazar\Quorum Business Solutions\Ecopetrol Prometeo - Documents\Planning Space Implementation\3. Analysis &amp; Design\Design\FC22\DRR Jaime\QUIFA-CAJÚA\Cajua\[VAS_CAJUA_CF_SEC_20230125.xlsx]CF PS'!$AY$63</t>
  </si>
  <si>
    <t>='C:\Users\jaime.benazar\Quorum Business Solutions\Ecopetrol Prometeo - Documents\Planning Space Implementation\3. Analysis &amp; Design\Design\FC22\DRR Jaime\QUIFA-CAJÚA\Cajua\[VAS_CAJUA_CF_SEC_20230125.xlsx]CF PS'!$AY$64</t>
  </si>
  <si>
    <t>='C:\Users\jaime.benazar\Quorum Business Solutions\Ecopetrol Prometeo - Documents\Planning Space Implementation\3. Analysis &amp; Design\Design\FC22\DRR Jaime\QUIFA-CAJÚA\Cajua\[VAS_CAJUA_CF_SEC_20230125.xlsx]CF PS'!$AY$65</t>
  </si>
  <si>
    <t>='C:\Users\jaime.benazar\Quorum Business Solutions\Ecopetrol Prometeo - Documents\Planning Space Implementation\3. Analysis &amp; Design\Design\FC22\DRR Jaime\QUIFA-CAJÚA\Cajua\[VAS_CAJUA_CF_SEC_20230125.xlsx]CF PS'!$AY$66</t>
  </si>
  <si>
    <t>='C:\Users\jaime.benazar\Quorum Business Solutions\Ecopetrol Prometeo - Documents\Planning Space Implementation\3. Analysis &amp; Design\Design\FC22\DRR Jaime\QUIFA-CAJÚA\Cajua\[VAS_CAJUA_CF_SEC_20230125.xlsx]CF PS'!$AY$67</t>
  </si>
  <si>
    <t>='C:\Users\jaime.benazar\Quorum Business Solutions\Ecopetrol Prometeo - Documents\Planning Space Implementation\3. Analysis &amp; Design\Design\FC22\DRR Jaime\QUIFA-CAJÚA\Cajua\[VAS_CAJUA_CF_SEC_20230125.xlsx]CF PS'!$AY$68</t>
  </si>
  <si>
    <t>='C:\Users\jaime.benazar\Quorum Business Solutions\Ecopetrol Prometeo - Documents\Planning Space Implementation\3. Analysis &amp; Design\Design\FC22\DRR Jaime\QUIFA-CAJÚA\Cajua\[VAS_CAJUA_CF_SEC_20230125.xlsx]CF PS'!$AY$69</t>
  </si>
  <si>
    <t>='C:\Users\jaime.benazar\Quorum Business Solutions\Ecopetrol Prometeo - Documents\Planning Space Implementation\3. Analysis &amp; Design\Design\FC22\DRR Jaime\QUIFA-CAJÚA\Cajua\[VAS_CAJUA_CF_SEC_20230125.xlsx]CF PS'!$AY$70</t>
  </si>
  <si>
    <t>='C:\Users\jaime.benazar\Quorum Business Solutions\Ecopetrol Prometeo - Documents\Planning Space Implementation\3. Analysis &amp; Design\Design\FC22\DRR Jaime\QUIFA-CAJÚA\Cajua\[VAS_CAJUA_CF_SEC_20230125.xlsx]CF PS'!$AY$71</t>
  </si>
  <si>
    <t>='C:\Users\jaime.benazar\Quorum Business Solutions\Ecopetrol Prometeo - Documents\Planning Space Implementation\3. Analysis &amp; Design\Design\FC22\DRR Jaime\QUIFA-CAJÚA\Cajua\[VAS_CAJUA_CF_SEC_20230125.xlsx]CF PS'!$AY$72</t>
  </si>
  <si>
    <t>='C:\Users\jaime.benazar\Quorum Business Solutions\Ecopetrol Prometeo - Documents\Planning Space Implementation\3. Analysis &amp; Design\Design\FC22\DRR Jaime\QUIFA-CAJÚA\Cajua\[VAS_CAJUA_CF_SEC_20230125.xlsx]CF PDP'!$BT$36</t>
  </si>
  <si>
    <t>='C:\Users\jaime.benazar\Quorum Business Solutions\Ecopetrol Prometeo - Documents\Planning Space Implementation\3. Analysis &amp; Design\Design\FC22\DRR Jaime\QUIFA-CAJÚA\Cajua\[VAS_CAJUA_CF_SEC_20230125.xlsx]CF PDP'!$BT$37</t>
  </si>
  <si>
    <t>='C:\Users\jaime.benazar\Quorum Business Solutions\Ecopetrol Prometeo - Documents\Planning Space Implementation\3. Analysis &amp; Design\Design\FC22\DRR Jaime\QUIFA-CAJÚA\Cajua\[VAS_CAJUA_CF_SEC_20230125.xlsx]CF PDP'!$BT$38</t>
  </si>
  <si>
    <t>='C:\Users\jaime.benazar\Quorum Business Solutions\Ecopetrol Prometeo - Documents\Planning Space Implementation\3. Analysis &amp; Design\Design\FC22\DRR Jaime\QUIFA-CAJÚA\Cajua\[VAS_CAJUA_CF_SEC_20230125.xlsx]CF PDP'!$BT$39</t>
  </si>
  <si>
    <t>='C:\Users\jaime.benazar\Quorum Business Solutions\Ecopetrol Prometeo - Documents\Planning Space Implementation\3. Analysis &amp; Design\Design\FC22\DRR Jaime\QUIFA-CAJÚA\Cajua\[VAS_CAJUA_CF_SEC_20230125.xlsx]CF PDP'!$BT$40</t>
  </si>
  <si>
    <t>='C:\Users\jaime.benazar\Quorum Business Solutions\Ecopetrol Prometeo - Documents\Planning Space Implementation\3. Analysis &amp; Design\Design\FC22\DRR Jaime\QUIFA-CAJÚA\Cajua\[VAS_CAJUA_CF_SEC_20230125.xlsx]CF PDP'!$BT$41</t>
  </si>
  <si>
    <t>='C:\Users\jaime.benazar\Quorum Business Solutions\Ecopetrol Prometeo - Documents\Planning Space Implementation\3. Analysis &amp; Design\Design\FC22\DRR Jaime\QUIFA-CAJÚA\Cajua\[VAS_CAJUA_CF_SEC_20230125.xlsx]CF PDP'!$BT$42</t>
  </si>
  <si>
    <t>='C:\Users\jaime.benazar\Quorum Business Solutions\Ecopetrol Prometeo - Documents\Planning Space Implementation\3. Analysis &amp; Design\Design\FC22\DRR Jaime\QUIFA-CAJÚA\Cajua\[VAS_CAJUA_CF_SEC_20230125.xlsx]CF PDP'!$BT$43</t>
  </si>
  <si>
    <t>='C:\Users\jaime.benazar\Quorum Business Solutions\Ecopetrol Prometeo - Documents\Planning Space Implementation\3. Analysis &amp; Design\Design\FC22\DRR Jaime\QUIFA-CAJÚA\Cajua\[VAS_CAJUA_CF_SEC_20230125.xlsx]CF PDP'!$BT$44</t>
  </si>
  <si>
    <t>='C:\Users\jaime.benazar\Quorum Business Solutions\Ecopetrol Prometeo - Documents\Planning Space Implementation\3. Analysis &amp; Design\Design\FC22\DRR Jaime\QUIFA-CAJÚA\Cajua\[VAS_CAJUA_CF_SEC_20230125.xlsx]CF PDP'!$BT$45</t>
  </si>
  <si>
    <t>='C:\Users\jaime.benazar\Quorum Business Solutions\Ecopetrol Prometeo - Documents\Planning Space Implementation\3. Analysis &amp; Design\Design\FC22\DRR Jaime\QUIFA-CAJÚA\Cajua\[VAS_CAJUA_CF_SEC_20230125.xlsx]CF PDP'!$BT$46</t>
  </si>
  <si>
    <t>='C:\Users\jaime.benazar\Quorum Business Solutions\Ecopetrol Prometeo - Documents\Planning Space Implementation\3. Analysis &amp; Design\Design\FC22\DRR Jaime\QUIFA-CAJÚA\Cajua\[VAS_CAJUA_CF_SEC_20230125.xlsx]CF PDP'!$BT$47</t>
  </si>
  <si>
    <t>='C:\Users\jaime.benazar\Quorum Business Solutions\Ecopetrol Prometeo - Documents\Planning Space Implementation\3. Analysis &amp; Design\Design\FC22\DRR Jaime\QUIFA-CAJÚA\Cajua\[VAS_CAJUA_CF_SEC_20230125.xlsx]CF PDP'!$BT$48</t>
  </si>
  <si>
    <t>='C:\Users\jaime.benazar\Quorum Business Solutions\Ecopetrol Prometeo - Documents\Planning Space Implementation\3. Analysis &amp; Design\Design\FC22\DRR Jaime\QUIFA-CAJÚA\Cajua\[VAS_CAJUA_CF_SEC_20230125.xlsx]CF PDP'!$BT$49</t>
  </si>
  <si>
    <t>='C:\Users\jaime.benazar\Quorum Business Solutions\Ecopetrol Prometeo - Documents\Planning Space Implementation\3. Analysis &amp; Design\Design\FC22\DRR Jaime\QUIFA-CAJÚA\Cajua\[VAS_CAJUA_CF_SEC_20230125.xlsx]CF PDP'!$BT$50</t>
  </si>
  <si>
    <t>='C:\Users\jaime.benazar\Quorum Business Solutions\Ecopetrol Prometeo - Documents\Planning Space Implementation\3. Analysis &amp; Design\Design\FC22\DRR Jaime\QUIFA-CAJÚA\Cajua\[VAS_CAJUA_CF_SEC_20230125.xlsx]CF PDP'!$BT$51</t>
  </si>
  <si>
    <t>='C:\Users\jaime.benazar\Quorum Business Solutions\Ecopetrol Prometeo - Documents\Planning Space Implementation\3. Analysis &amp; Design\Design\FC22\DRR Jaime\QUIFA-CAJÚA\Cajua\[VAS_CAJUA_CF_SEC_20230125.xlsx]CF PDP'!$BT$52</t>
  </si>
  <si>
    <t>='C:\Users\jaime.benazar\Quorum Business Solutions\Ecopetrol Prometeo - Documents\Planning Space Implementation\3. Analysis &amp; Design\Design\FC22\DRR Jaime\QUIFA-CAJÚA\Cajua\[VAS_CAJUA_CF_SEC_20230125.xlsx]CF PDP'!$BT$53</t>
  </si>
  <si>
    <t>='C:\Users\jaime.benazar\Quorum Business Solutions\Ecopetrol Prometeo - Documents\Planning Space Implementation\3. Analysis &amp; Design\Design\FC22\DRR Jaime\QUIFA-CAJÚA\Cajua\[VAS_CAJUA_CF_SEC_20230125.xlsx]CF PDP'!$BT$54</t>
  </si>
  <si>
    <t>='C:\Users\jaime.benazar\Quorum Business Solutions\Ecopetrol Prometeo - Documents\Planning Space Implementation\3. Analysis &amp; Design\Design\FC22\DRR Jaime\QUIFA-CAJÚA\Cajua\[VAS_CAJUA_CF_SEC_20230125.xlsx]CF PDP'!$BT$55</t>
  </si>
  <si>
    <t>='C:\Users\jaime.benazar\Quorum Business Solutions\Ecopetrol Prometeo - Documents\Planning Space Implementation\3. Analysis &amp; Design\Design\FC22\DRR Jaime\QUIFA-CAJÚA\Cajua\[VAS_CAJUA_CF_SEC_20230125.xlsx]CF PDP'!$BT$56</t>
  </si>
  <si>
    <t>='C:\Users\jaime.benazar\Quorum Business Solutions\Ecopetrol Prometeo - Documents\Planning Space Implementation\3. Analysis &amp; Design\Design\FC22\DRR Jaime\QUIFA-CAJÚA\Cajua\[VAS_CAJUA_CF_SEC_20230125.xlsx]CF PDP'!$BT$57</t>
  </si>
  <si>
    <t>='C:\Users\jaime.benazar\Quorum Business Solutions\Ecopetrol Prometeo - Documents\Planning Space Implementation\3. Analysis &amp; Design\Design\FC22\DRR Jaime\QUIFA-CAJÚA\Cajua\[VAS_CAJUA_CF_SEC_20230125.xlsx]CF PDP'!$BT$58</t>
  </si>
  <si>
    <t>='C:\Users\jaime.benazar\Quorum Business Solutions\Ecopetrol Prometeo - Documents\Planning Space Implementation\3. Analysis &amp; Design\Design\FC22\DRR Jaime\QUIFA-CAJÚA\Cajua\[VAS_CAJUA_CF_SEC_20230125.xlsx]CF PDP'!$BT$59</t>
  </si>
  <si>
    <t>='C:\Users\jaime.benazar\Quorum Business Solutions\Ecopetrol Prometeo - Documents\Planning Space Implementation\3. Analysis &amp; Design\Design\FC22\DRR Jaime\QUIFA-CAJÚA\Cajua\[VAS_CAJUA_CF_SEC_20230125.xlsx]CF PDP'!$BT$60</t>
  </si>
  <si>
    <t>='C:\Users\jaime.benazar\Quorum Business Solutions\Ecopetrol Prometeo - Documents\Planning Space Implementation\3. Analysis &amp; Design\Design\FC22\DRR Jaime\QUIFA-CAJÚA\Cajua\[VAS_CAJUA_CF_SEC_20230125.xlsx]CF PDP'!$BT$61</t>
  </si>
  <si>
    <t>='C:\Users\jaime.benazar\Quorum Business Solutions\Ecopetrol Prometeo - Documents\Planning Space Implementation\3. Analysis &amp; Design\Design\FC22\DRR Jaime\QUIFA-CAJÚA\Cajua\[VAS_CAJUA_CF_SEC_20230125.xlsx]CF PDP'!$BT$62</t>
  </si>
  <si>
    <t>='C:\Users\jaime.benazar\Quorum Business Solutions\Ecopetrol Prometeo - Documents\Planning Space Implementation\3. Analysis &amp; Design\Design\FC22\DRR Jaime\QUIFA-CAJÚA\Cajua\[VAS_CAJUA_CF_SEC_20230125.xlsx]CF PDP'!$BT$63</t>
  </si>
  <si>
    <t>='C:\Users\jaime.benazar\Quorum Business Solutions\Ecopetrol Prometeo - Documents\Planning Space Implementation\3. Analysis &amp; Design\Design\FC22\DRR Jaime\QUIFA-CAJÚA\Cajua\[VAS_CAJUA_CF_SEC_20230125.xlsx]CF PDP'!$BT$64</t>
  </si>
  <si>
    <t>='C:\Users\jaime.benazar\Quorum Business Solutions\Ecopetrol Prometeo - Documents\Planning Space Implementation\3. Analysis &amp; Design\Design\FC22\DRR Jaime\QUIFA-CAJÚA\Cajua\[VAS_CAJUA_CF_SEC_20230125.xlsx]CF PDP'!$BT$65</t>
  </si>
  <si>
    <t>='C:\Users\jaime.benazar\Quorum Business Solutions\Ecopetrol Prometeo - Documents\Planning Space Implementation\3. Analysis &amp; Design\Design\FC22\DRR Jaime\QUIFA-CAJÚA\Cajua\[VAS_CAJUA_CF_SEC_20230125.xlsx]CF PDP'!$BT$66</t>
  </si>
  <si>
    <t>='C:\Users\jaime.benazar\Quorum Business Solutions\Ecopetrol Prometeo - Documents\Planning Space Implementation\3. Analysis &amp; Design\Design\FC22\DRR Jaime\QUIFA-CAJÚA\Cajua\[VAS_CAJUA_CF_SEC_20230125.xlsx]CF PDP'!$BT$67</t>
  </si>
  <si>
    <t>='C:\Users\jaime.benazar\Quorum Business Solutions\Ecopetrol Prometeo - Documents\Planning Space Implementation\3. Analysis &amp; Design\Design\FC22\DRR Jaime\QUIFA-CAJÚA\Cajua\[VAS_CAJUA_CF_SEC_20230125.xlsx]CF PDP'!$BT$68</t>
  </si>
  <si>
    <t>='C:\Users\jaime.benazar\Quorum Business Solutions\Ecopetrol Prometeo - Documents\Planning Space Implementation\3. Analysis &amp; Design\Design\FC22\DRR Jaime\QUIFA-CAJÚA\Cajua\[VAS_CAJUA_CF_SEC_20230125.xlsx]CF PDP'!$BT$69</t>
  </si>
  <si>
    <t>='C:\Users\jaime.benazar\Quorum Business Solutions\Ecopetrol Prometeo - Documents\Planning Space Implementation\3. Analysis &amp; Design\Design\FC22\DRR Jaime\QUIFA-CAJÚA\Cajua\[VAS_CAJUA_CF_SEC_20230125.xlsx]CF PDP'!$BT$70</t>
  </si>
  <si>
    <t>='C:\Users\jaime.benazar\Quorum Business Solutions\Ecopetrol Prometeo - Documents\Planning Space Implementation\3. Analysis &amp; Design\Design\FC22\DRR Jaime\QUIFA-CAJÚA\Cajua\[VAS_CAJUA_CF_SEC_20230125.xlsx]CF PDP'!$BT$71</t>
  </si>
  <si>
    <t>='C:\Users\jaime.benazar\Quorum Business Solutions\Ecopetrol Prometeo - Documents\Planning Space Implementation\3. Analysis &amp; Design\Design\FC22\DRR Jaime\QUIFA-CAJÚA\Cajua\[VAS_CAJUA_CF_SEC_20230125.xlsx]CF PDP'!$BT$72</t>
  </si>
  <si>
    <t>='C:\Users\jaime.benazar\Quorum Business Solutions\Ecopetrol Prometeo - Documents\Planning Space Implementation\3. Analysis &amp; Design\Design\FC22\DRR Jaime\QUIFA-CAJÚA\Cajua\[VAS_CAJUA_CF_SEC_20230125.xlsx]CF PNP'!$BT$36</t>
  </si>
  <si>
    <t>='C:\Users\jaime.benazar\Quorum Business Solutions\Ecopetrol Prometeo - Documents\Planning Space Implementation\3. Analysis &amp; Design\Design\FC22\DRR Jaime\QUIFA-CAJÚA\Cajua\[VAS_CAJUA_CF_SEC_20230125.xlsx]CF PNP'!$BT$37</t>
  </si>
  <si>
    <t>='C:\Users\jaime.benazar\Quorum Business Solutions\Ecopetrol Prometeo - Documents\Planning Space Implementation\3. Analysis &amp; Design\Design\FC22\DRR Jaime\QUIFA-CAJÚA\Cajua\[VAS_CAJUA_CF_SEC_20230125.xlsx]CF PNP'!$BT$38</t>
  </si>
  <si>
    <t>='C:\Users\jaime.benazar\Quorum Business Solutions\Ecopetrol Prometeo - Documents\Planning Space Implementation\3. Analysis &amp; Design\Design\FC22\DRR Jaime\QUIFA-CAJÚA\Cajua\[VAS_CAJUA_CF_SEC_20230125.xlsx]CF PNP'!$BT$39</t>
  </si>
  <si>
    <t>='C:\Users\jaime.benazar\Quorum Business Solutions\Ecopetrol Prometeo - Documents\Planning Space Implementation\3. Analysis &amp; Design\Design\FC22\DRR Jaime\QUIFA-CAJÚA\Cajua\[VAS_CAJUA_CF_SEC_20230125.xlsx]CF PNP'!$BT$40</t>
  </si>
  <si>
    <t>='C:\Users\jaime.benazar\Quorum Business Solutions\Ecopetrol Prometeo - Documents\Planning Space Implementation\3. Analysis &amp; Design\Design\FC22\DRR Jaime\QUIFA-CAJÚA\Cajua\[VAS_CAJUA_CF_SEC_20230125.xlsx]CF PNP'!$BT$41</t>
  </si>
  <si>
    <t>='C:\Users\jaime.benazar\Quorum Business Solutions\Ecopetrol Prometeo - Documents\Planning Space Implementation\3. Analysis &amp; Design\Design\FC22\DRR Jaime\QUIFA-CAJÚA\Cajua\[VAS_CAJUA_CF_SEC_20230125.xlsx]CF PNP'!$BT$42</t>
  </si>
  <si>
    <t>='C:\Users\jaime.benazar\Quorum Business Solutions\Ecopetrol Prometeo - Documents\Planning Space Implementation\3. Analysis &amp; Design\Design\FC22\DRR Jaime\QUIFA-CAJÚA\Cajua\[VAS_CAJUA_CF_SEC_20230125.xlsx]CF PNP'!$BT$43</t>
  </si>
  <si>
    <t>='C:\Users\jaime.benazar\Quorum Business Solutions\Ecopetrol Prometeo - Documents\Planning Space Implementation\3. Analysis &amp; Design\Design\FC22\DRR Jaime\QUIFA-CAJÚA\Cajua\[VAS_CAJUA_CF_SEC_20230125.xlsx]CF PNP'!$BT$44</t>
  </si>
  <si>
    <t>='C:\Users\jaime.benazar\Quorum Business Solutions\Ecopetrol Prometeo - Documents\Planning Space Implementation\3. Analysis &amp; Design\Design\FC22\DRR Jaime\QUIFA-CAJÚA\Cajua\[VAS_CAJUA_CF_SEC_20230125.xlsx]CF PNP'!$BT$45</t>
  </si>
  <si>
    <t>='C:\Users\jaime.benazar\Quorum Business Solutions\Ecopetrol Prometeo - Documents\Planning Space Implementation\3. Analysis &amp; Design\Design\FC22\DRR Jaime\QUIFA-CAJÚA\Cajua\[VAS_CAJUA_CF_SEC_20230125.xlsx]CF PNP'!$BT$46</t>
  </si>
  <si>
    <t>='C:\Users\jaime.benazar\Quorum Business Solutions\Ecopetrol Prometeo - Documents\Planning Space Implementation\3. Analysis &amp; Design\Design\FC22\DRR Jaime\QUIFA-CAJÚA\Cajua\[VAS_CAJUA_CF_SEC_20230125.xlsx]CF PNP'!$BT$47</t>
  </si>
  <si>
    <t>='C:\Users\jaime.benazar\Quorum Business Solutions\Ecopetrol Prometeo - Documents\Planning Space Implementation\3. Analysis &amp; Design\Design\FC22\DRR Jaime\QUIFA-CAJÚA\Cajua\[VAS_CAJUA_CF_SEC_20230125.xlsx]CF PNP'!$BT$48</t>
  </si>
  <si>
    <t>='C:\Users\jaime.benazar\Quorum Business Solutions\Ecopetrol Prometeo - Documents\Planning Space Implementation\3. Analysis &amp; Design\Design\FC22\DRR Jaime\QUIFA-CAJÚA\Cajua\[VAS_CAJUA_CF_SEC_20230125.xlsx]CF PNP'!$BT$49</t>
  </si>
  <si>
    <t>='C:\Users\jaime.benazar\Quorum Business Solutions\Ecopetrol Prometeo - Documents\Planning Space Implementation\3. Analysis &amp; Design\Design\FC22\DRR Jaime\QUIFA-CAJÚA\Cajua\[VAS_CAJUA_CF_SEC_20230125.xlsx]CF PNP'!$BT$50</t>
  </si>
  <si>
    <t>='C:\Users\jaime.benazar\Quorum Business Solutions\Ecopetrol Prometeo - Documents\Planning Space Implementation\3. Analysis &amp; Design\Design\FC22\DRR Jaime\QUIFA-CAJÚA\Cajua\[VAS_CAJUA_CF_SEC_20230125.xlsx]CF PNP'!$BT$51</t>
  </si>
  <si>
    <t>='C:\Users\jaime.benazar\Quorum Business Solutions\Ecopetrol Prometeo - Documents\Planning Space Implementation\3. Analysis &amp; Design\Design\FC22\DRR Jaime\QUIFA-CAJÚA\Cajua\[VAS_CAJUA_CF_SEC_20230125.xlsx]CF PNP'!$BT$52</t>
  </si>
  <si>
    <t>='C:\Users\jaime.benazar\Quorum Business Solutions\Ecopetrol Prometeo - Documents\Planning Space Implementation\3. Analysis &amp; Design\Design\FC22\DRR Jaime\QUIFA-CAJÚA\Cajua\[VAS_CAJUA_CF_SEC_20230125.xlsx]CF PNP'!$BT$53</t>
  </si>
  <si>
    <t>='C:\Users\jaime.benazar\Quorum Business Solutions\Ecopetrol Prometeo - Documents\Planning Space Implementation\3. Analysis &amp; Design\Design\FC22\DRR Jaime\QUIFA-CAJÚA\Cajua\[VAS_CAJUA_CF_SEC_20230125.xlsx]CF PNP'!$BT$54</t>
  </si>
  <si>
    <t>='C:\Users\jaime.benazar\Quorum Business Solutions\Ecopetrol Prometeo - Documents\Planning Space Implementation\3. Analysis &amp; Design\Design\FC22\DRR Jaime\QUIFA-CAJÚA\Cajua\[VAS_CAJUA_CF_SEC_20230125.xlsx]CF PNP'!$BT$55</t>
  </si>
  <si>
    <t>='C:\Users\jaime.benazar\Quorum Business Solutions\Ecopetrol Prometeo - Documents\Planning Space Implementation\3. Analysis &amp; Design\Design\FC22\DRR Jaime\QUIFA-CAJÚA\Cajua\[VAS_CAJUA_CF_SEC_20230125.xlsx]CF PNP'!$BT$56</t>
  </si>
  <si>
    <t>='C:\Users\jaime.benazar\Quorum Business Solutions\Ecopetrol Prometeo - Documents\Planning Space Implementation\3. Analysis &amp; Design\Design\FC22\DRR Jaime\QUIFA-CAJÚA\Cajua\[VAS_CAJUA_CF_SEC_20230125.xlsx]CF PNP'!$BT$57</t>
  </si>
  <si>
    <t>='C:\Users\jaime.benazar\Quorum Business Solutions\Ecopetrol Prometeo - Documents\Planning Space Implementation\3. Analysis &amp; Design\Design\FC22\DRR Jaime\QUIFA-CAJÚA\Cajua\[VAS_CAJUA_CF_SEC_20230125.xlsx]CF PNP'!$BT$58</t>
  </si>
  <si>
    <t>='C:\Users\jaime.benazar\Quorum Business Solutions\Ecopetrol Prometeo - Documents\Planning Space Implementation\3. Analysis &amp; Design\Design\FC22\DRR Jaime\QUIFA-CAJÚA\Cajua\[VAS_CAJUA_CF_SEC_20230125.xlsx]CF PNP'!$BT$59</t>
  </si>
  <si>
    <t>='C:\Users\jaime.benazar\Quorum Business Solutions\Ecopetrol Prometeo - Documents\Planning Space Implementation\3. Analysis &amp; Design\Design\FC22\DRR Jaime\QUIFA-CAJÚA\Cajua\[VAS_CAJUA_CF_SEC_20230125.xlsx]CF PNP'!$BT$60</t>
  </si>
  <si>
    <t>='C:\Users\jaime.benazar\Quorum Business Solutions\Ecopetrol Prometeo - Documents\Planning Space Implementation\3. Analysis &amp; Design\Design\FC22\DRR Jaime\QUIFA-CAJÚA\Cajua\[VAS_CAJUA_CF_SEC_20230125.xlsx]CF PNP'!$BT$61</t>
  </si>
  <si>
    <t>='C:\Users\jaime.benazar\Quorum Business Solutions\Ecopetrol Prometeo - Documents\Planning Space Implementation\3. Analysis &amp; Design\Design\FC22\DRR Jaime\QUIFA-CAJÚA\Cajua\[VAS_CAJUA_CF_SEC_20230125.xlsx]CF PNP'!$BT$62</t>
  </si>
  <si>
    <t>='C:\Users\jaime.benazar\Quorum Business Solutions\Ecopetrol Prometeo - Documents\Planning Space Implementation\3. Analysis &amp; Design\Design\FC22\DRR Jaime\QUIFA-CAJÚA\Cajua\[VAS_CAJUA_CF_SEC_20230125.xlsx]CF PNP'!$BT$63</t>
  </si>
  <si>
    <t>='C:\Users\jaime.benazar\Quorum Business Solutions\Ecopetrol Prometeo - Documents\Planning Space Implementation\3. Analysis &amp; Design\Design\FC22\DRR Jaime\QUIFA-CAJÚA\Cajua\[VAS_CAJUA_CF_SEC_20230125.xlsx]CF PNP'!$BT$64</t>
  </si>
  <si>
    <t>='C:\Users\jaime.benazar\Quorum Business Solutions\Ecopetrol Prometeo - Documents\Planning Space Implementation\3. Analysis &amp; Design\Design\FC22\DRR Jaime\QUIFA-CAJÚA\Cajua\[VAS_CAJUA_CF_SEC_20230125.xlsx]CF PNP'!$BT$65</t>
  </si>
  <si>
    <t>='C:\Users\jaime.benazar\Quorum Business Solutions\Ecopetrol Prometeo - Documents\Planning Space Implementation\3. Analysis &amp; Design\Design\FC22\DRR Jaime\QUIFA-CAJÚA\Cajua\[VAS_CAJUA_CF_SEC_20230125.xlsx]CF PNP'!$BT$66</t>
  </si>
  <si>
    <t>='C:\Users\jaime.benazar\Quorum Business Solutions\Ecopetrol Prometeo - Documents\Planning Space Implementation\3. Analysis &amp; Design\Design\FC22\DRR Jaime\QUIFA-CAJÚA\Cajua\[VAS_CAJUA_CF_SEC_20230125.xlsx]CF PNP'!$BT$67</t>
  </si>
  <si>
    <t>='C:\Users\jaime.benazar\Quorum Business Solutions\Ecopetrol Prometeo - Documents\Planning Space Implementation\3. Analysis &amp; Design\Design\FC22\DRR Jaime\QUIFA-CAJÚA\Cajua\[VAS_CAJUA_CF_SEC_20230125.xlsx]CF PNP'!$BT$68</t>
  </si>
  <si>
    <t>='C:\Users\jaime.benazar\Quorum Business Solutions\Ecopetrol Prometeo - Documents\Planning Space Implementation\3. Analysis &amp; Design\Design\FC22\DRR Jaime\QUIFA-CAJÚA\Cajua\[VAS_CAJUA_CF_SEC_20230125.xlsx]CF PNP'!$BT$69</t>
  </si>
  <si>
    <t>='C:\Users\jaime.benazar\Quorum Business Solutions\Ecopetrol Prometeo - Documents\Planning Space Implementation\3. Analysis &amp; Design\Design\FC22\DRR Jaime\QUIFA-CAJÚA\Cajua\[VAS_CAJUA_CF_SEC_20230125.xlsx]CF PNP'!$BT$70</t>
  </si>
  <si>
    <t>='C:\Users\jaime.benazar\Quorum Business Solutions\Ecopetrol Prometeo - Documents\Planning Space Implementation\3. Analysis &amp; Design\Design\FC22\DRR Jaime\QUIFA-CAJÚA\Cajua\[VAS_CAJUA_CF_SEC_20230125.xlsx]CF PNP'!$BT$71</t>
  </si>
  <si>
    <t>='C:\Users\jaime.benazar\Quorum Business Solutions\Ecopetrol Prometeo - Documents\Planning Space Implementation\3. Analysis &amp; Design\Design\FC22\DRR Jaime\QUIFA-CAJÚA\Cajua\[VAS_CAJUA_CF_SEC_20230125.xlsx]CF PNP'!$BT$72</t>
  </si>
  <si>
    <t>='C:\Users\jaime.benazar\Quorum Business Solutions\Ecopetrol Prometeo - Documents\Planning Space Implementation\3. Analysis &amp; Design\Design\FC22\DRR Jaime\QUIFA-CAJÚA\Cajua\[VAS_CAJUA_CF_SEC_20230125.xlsx]CF PND'!$BT$36</t>
  </si>
  <si>
    <t>='C:\Users\jaime.benazar\Quorum Business Solutions\Ecopetrol Prometeo - Documents\Planning Space Implementation\3. Analysis &amp; Design\Design\FC22\DRR Jaime\QUIFA-CAJÚA\Cajua\[VAS_CAJUA_CF_SEC_20230125.xlsx]CF PND'!$BT$37</t>
  </si>
  <si>
    <t>='C:\Users\jaime.benazar\Quorum Business Solutions\Ecopetrol Prometeo - Documents\Planning Space Implementation\3. Analysis &amp; Design\Design\FC22\DRR Jaime\QUIFA-CAJÚA\Cajua\[VAS_CAJUA_CF_SEC_20230125.xlsx]CF PND'!$BT$38</t>
  </si>
  <si>
    <t>='C:\Users\jaime.benazar\Quorum Business Solutions\Ecopetrol Prometeo - Documents\Planning Space Implementation\3. Analysis &amp; Design\Design\FC22\DRR Jaime\QUIFA-CAJÚA\Cajua\[VAS_CAJUA_CF_SEC_20230125.xlsx]CF PND'!$BT$39</t>
  </si>
  <si>
    <t>='C:\Users\jaime.benazar\Quorum Business Solutions\Ecopetrol Prometeo - Documents\Planning Space Implementation\3. Analysis &amp; Design\Design\FC22\DRR Jaime\QUIFA-CAJÚA\Cajua\[VAS_CAJUA_CF_SEC_20230125.xlsx]CF PND'!$BT$40</t>
  </si>
  <si>
    <t>='C:\Users\jaime.benazar\Quorum Business Solutions\Ecopetrol Prometeo - Documents\Planning Space Implementation\3. Analysis &amp; Design\Design\FC22\DRR Jaime\QUIFA-CAJÚA\Cajua\[VAS_CAJUA_CF_SEC_20230125.xlsx]CF PND'!$BT$41</t>
  </si>
  <si>
    <t>='C:\Users\jaime.benazar\Quorum Business Solutions\Ecopetrol Prometeo - Documents\Planning Space Implementation\3. Analysis &amp; Design\Design\FC22\DRR Jaime\QUIFA-CAJÚA\Cajua\[VAS_CAJUA_CF_SEC_20230125.xlsx]CF PND'!$BT$42</t>
  </si>
  <si>
    <t>='C:\Users\jaime.benazar\Quorum Business Solutions\Ecopetrol Prometeo - Documents\Planning Space Implementation\3. Analysis &amp; Design\Design\FC22\DRR Jaime\QUIFA-CAJÚA\Cajua\[VAS_CAJUA_CF_SEC_20230125.xlsx]CF PND'!$BT$43</t>
  </si>
  <si>
    <t>='C:\Users\jaime.benazar\Quorum Business Solutions\Ecopetrol Prometeo - Documents\Planning Space Implementation\3. Analysis &amp; Design\Design\FC22\DRR Jaime\QUIFA-CAJÚA\Cajua\[VAS_CAJUA_CF_SEC_20230125.xlsx]CF PND'!$BT$44</t>
  </si>
  <si>
    <t>='C:\Users\jaime.benazar\Quorum Business Solutions\Ecopetrol Prometeo - Documents\Planning Space Implementation\3. Analysis &amp; Design\Design\FC22\DRR Jaime\QUIFA-CAJÚA\Cajua\[VAS_CAJUA_CF_SEC_20230125.xlsx]CF PND'!$BT$45</t>
  </si>
  <si>
    <t>='C:\Users\jaime.benazar\Quorum Business Solutions\Ecopetrol Prometeo - Documents\Planning Space Implementation\3. Analysis &amp; Design\Design\FC22\DRR Jaime\QUIFA-CAJÚA\Cajua\[VAS_CAJUA_CF_SEC_20230125.xlsx]CF PND'!$BT$46</t>
  </si>
  <si>
    <t>='C:\Users\jaime.benazar\Quorum Business Solutions\Ecopetrol Prometeo - Documents\Planning Space Implementation\3. Analysis &amp; Design\Design\FC22\DRR Jaime\QUIFA-CAJÚA\Cajua\[VAS_CAJUA_CF_SEC_20230125.xlsx]CF PND'!$BT$47</t>
  </si>
  <si>
    <t>='C:\Users\jaime.benazar\Quorum Business Solutions\Ecopetrol Prometeo - Documents\Planning Space Implementation\3. Analysis &amp; Design\Design\FC22\DRR Jaime\QUIFA-CAJÚA\Cajua\[VAS_CAJUA_CF_SEC_20230125.xlsx]CF PND'!$BT$48</t>
  </si>
  <si>
    <t>='C:\Users\jaime.benazar\Quorum Business Solutions\Ecopetrol Prometeo - Documents\Planning Space Implementation\3. Analysis &amp; Design\Design\FC22\DRR Jaime\QUIFA-CAJÚA\Cajua\[VAS_CAJUA_CF_SEC_20230125.xlsx]CF PND'!$BT$49</t>
  </si>
  <si>
    <t>='C:\Users\jaime.benazar\Quorum Business Solutions\Ecopetrol Prometeo - Documents\Planning Space Implementation\3. Analysis &amp; Design\Design\FC22\DRR Jaime\QUIFA-CAJÚA\Cajua\[VAS_CAJUA_CF_SEC_20230125.xlsx]CF PND'!$BT$50</t>
  </si>
  <si>
    <t>='C:\Users\jaime.benazar\Quorum Business Solutions\Ecopetrol Prometeo - Documents\Planning Space Implementation\3. Analysis &amp; Design\Design\FC22\DRR Jaime\QUIFA-CAJÚA\Cajua\[VAS_CAJUA_CF_SEC_20230125.xlsx]CF PND'!$BT$51</t>
  </si>
  <si>
    <t>='C:\Users\jaime.benazar\Quorum Business Solutions\Ecopetrol Prometeo - Documents\Planning Space Implementation\3. Analysis &amp; Design\Design\FC22\DRR Jaime\QUIFA-CAJÚA\Cajua\[VAS_CAJUA_CF_SEC_20230125.xlsx]CF PND'!$BT$52</t>
  </si>
  <si>
    <t>='C:\Users\jaime.benazar\Quorum Business Solutions\Ecopetrol Prometeo - Documents\Planning Space Implementation\3. Analysis &amp; Design\Design\FC22\DRR Jaime\QUIFA-CAJÚA\Cajua\[VAS_CAJUA_CF_SEC_20230125.xlsx]CF PND'!$BT$53</t>
  </si>
  <si>
    <t>='C:\Users\jaime.benazar\Quorum Business Solutions\Ecopetrol Prometeo - Documents\Planning Space Implementation\3. Analysis &amp; Design\Design\FC22\DRR Jaime\QUIFA-CAJÚA\Cajua\[VAS_CAJUA_CF_SEC_20230125.xlsx]CF PND'!$BT$54</t>
  </si>
  <si>
    <t>='C:\Users\jaime.benazar\Quorum Business Solutions\Ecopetrol Prometeo - Documents\Planning Space Implementation\3. Analysis &amp; Design\Design\FC22\DRR Jaime\QUIFA-CAJÚA\Cajua\[VAS_CAJUA_CF_SEC_20230125.xlsx]CF PND'!$BT$55</t>
  </si>
  <si>
    <t>='C:\Users\jaime.benazar\Quorum Business Solutions\Ecopetrol Prometeo - Documents\Planning Space Implementation\3. Analysis &amp; Design\Design\FC22\DRR Jaime\QUIFA-CAJÚA\Cajua\[VAS_CAJUA_CF_SEC_20230125.xlsx]CF PND'!$BT$56</t>
  </si>
  <si>
    <t>='C:\Users\jaime.benazar\Quorum Business Solutions\Ecopetrol Prometeo - Documents\Planning Space Implementation\3. Analysis &amp; Design\Design\FC22\DRR Jaime\QUIFA-CAJÚA\Cajua\[VAS_CAJUA_CF_SEC_20230125.xlsx]CF PND'!$BT$57</t>
  </si>
  <si>
    <t>='C:\Users\jaime.benazar\Quorum Business Solutions\Ecopetrol Prometeo - Documents\Planning Space Implementation\3. Analysis &amp; Design\Design\FC22\DRR Jaime\QUIFA-CAJÚA\Cajua\[VAS_CAJUA_CF_SEC_20230125.xlsx]CF PND'!$BT$58</t>
  </si>
  <si>
    <t>='C:\Users\jaime.benazar\Quorum Business Solutions\Ecopetrol Prometeo - Documents\Planning Space Implementation\3. Analysis &amp; Design\Design\FC22\DRR Jaime\QUIFA-CAJÚA\Cajua\[VAS_CAJUA_CF_SEC_20230125.xlsx]CF PND'!$BT$59</t>
  </si>
  <si>
    <t>='C:\Users\jaime.benazar\Quorum Business Solutions\Ecopetrol Prometeo - Documents\Planning Space Implementation\3. Analysis &amp; Design\Design\FC22\DRR Jaime\QUIFA-CAJÚA\Cajua\[VAS_CAJUA_CF_SEC_20230125.xlsx]CF PND'!$BT$60</t>
  </si>
  <si>
    <t>='C:\Users\jaime.benazar\Quorum Business Solutions\Ecopetrol Prometeo - Documents\Planning Space Implementation\3. Analysis &amp; Design\Design\FC22\DRR Jaime\QUIFA-CAJÚA\Cajua\[VAS_CAJUA_CF_SEC_20230125.xlsx]CF PND'!$BT$61</t>
  </si>
  <si>
    <t>='C:\Users\jaime.benazar\Quorum Business Solutions\Ecopetrol Prometeo - Documents\Planning Space Implementation\3. Analysis &amp; Design\Design\FC22\DRR Jaime\QUIFA-CAJÚA\Cajua\[VAS_CAJUA_CF_SEC_20230125.xlsx]CF PND'!$BT$62</t>
  </si>
  <si>
    <t>='C:\Users\jaime.benazar\Quorum Business Solutions\Ecopetrol Prometeo - Documents\Planning Space Implementation\3. Analysis &amp; Design\Design\FC22\DRR Jaime\QUIFA-CAJÚA\Cajua\[VAS_CAJUA_CF_SEC_20230125.xlsx]CF PND'!$BT$63</t>
  </si>
  <si>
    <t>='C:\Users\jaime.benazar\Quorum Business Solutions\Ecopetrol Prometeo - Documents\Planning Space Implementation\3. Analysis &amp; Design\Design\FC22\DRR Jaime\QUIFA-CAJÚA\Cajua\[VAS_CAJUA_CF_SEC_20230125.xlsx]CF PND'!$BT$64</t>
  </si>
  <si>
    <t>='C:\Users\jaime.benazar\Quorum Business Solutions\Ecopetrol Prometeo - Documents\Planning Space Implementation\3. Analysis &amp; Design\Design\FC22\DRR Jaime\QUIFA-CAJÚA\Cajua\[VAS_CAJUA_CF_SEC_20230125.xlsx]CF PND'!$BT$65</t>
  </si>
  <si>
    <t>='C:\Users\jaime.benazar\Quorum Business Solutions\Ecopetrol Prometeo - Documents\Planning Space Implementation\3. Analysis &amp; Design\Design\FC22\DRR Jaime\QUIFA-CAJÚA\Cajua\[VAS_CAJUA_CF_SEC_20230125.xlsx]CF PND'!$BT$66</t>
  </si>
  <si>
    <t>='C:\Users\jaime.benazar\Quorum Business Solutions\Ecopetrol Prometeo - Documents\Planning Space Implementation\3. Analysis &amp; Design\Design\FC22\DRR Jaime\QUIFA-CAJÚA\Cajua\[VAS_CAJUA_CF_SEC_20230125.xlsx]CF PND'!$BT$67</t>
  </si>
  <si>
    <t>='C:\Users\jaime.benazar\Quorum Business Solutions\Ecopetrol Prometeo - Documents\Planning Space Implementation\3. Analysis &amp; Design\Design\FC22\DRR Jaime\QUIFA-CAJÚA\Cajua\[VAS_CAJUA_CF_SEC_20230125.xlsx]CF PND'!$BT$68</t>
  </si>
  <si>
    <t>='C:\Users\jaime.benazar\Quorum Business Solutions\Ecopetrol Prometeo - Documents\Planning Space Implementation\3. Analysis &amp; Design\Design\FC22\DRR Jaime\QUIFA-CAJÚA\Cajua\[VAS_CAJUA_CF_SEC_20230125.xlsx]CF PND'!$BT$69</t>
  </si>
  <si>
    <t>='C:\Users\jaime.benazar\Quorum Business Solutions\Ecopetrol Prometeo - Documents\Planning Space Implementation\3. Analysis &amp; Design\Design\FC22\DRR Jaime\QUIFA-CAJÚA\Cajua\[VAS_CAJUA_CF_SEC_20230125.xlsx]CF PND'!$BT$70</t>
  </si>
  <si>
    <t>='C:\Users\jaime.benazar\Quorum Business Solutions\Ecopetrol Prometeo - Documents\Planning Space Implementation\3. Analysis &amp; Design\Design\FC22\DRR Jaime\QUIFA-CAJÚA\Cajua\[VAS_CAJUA_CF_SEC_20230125.xlsx]CF PND'!$BT$71</t>
  </si>
  <si>
    <t>='C:\Users\jaime.benazar\Quorum Business Solutions\Ecopetrol Prometeo - Documents\Planning Space Implementation\3. Analysis &amp; Design\Design\FC22\DRR Jaime\QUIFA-CAJÚA\Cajua\[VAS_CAJUA_CF_SEC_20230125.xlsx]CF PND'!$BT$72</t>
  </si>
  <si>
    <t>='C:\Users\jaime.benazar\Quorum Business Solutions\Ecopetrol Prometeo - Documents\Planning Space Implementation\3. Analysis &amp; Design\Design\FC22\DRR Jaime\QUIFA-CAJÚA\Cajua\[VAS_CAJUA_CF_SEC_20230125.xlsx]CF PRB'!$BT$36</t>
  </si>
  <si>
    <t>='C:\Users\jaime.benazar\Quorum Business Solutions\Ecopetrol Prometeo - Documents\Planning Space Implementation\3. Analysis &amp; Design\Design\FC22\DRR Jaime\QUIFA-CAJÚA\Cajua\[VAS_CAJUA_CF_SEC_20230125.xlsx]CF PRB'!$BT$37</t>
  </si>
  <si>
    <t>='C:\Users\jaime.benazar\Quorum Business Solutions\Ecopetrol Prometeo - Documents\Planning Space Implementation\3. Analysis &amp; Design\Design\FC22\DRR Jaime\QUIFA-CAJÚA\Cajua\[VAS_CAJUA_CF_SEC_20230125.xlsx]CF PRB'!$BT$38</t>
  </si>
  <si>
    <t>='C:\Users\jaime.benazar\Quorum Business Solutions\Ecopetrol Prometeo - Documents\Planning Space Implementation\3. Analysis &amp; Design\Design\FC22\DRR Jaime\QUIFA-CAJÚA\Cajua\[VAS_CAJUA_CF_SEC_20230125.xlsx]CF PRB'!$BT$39</t>
  </si>
  <si>
    <t>='C:\Users\jaime.benazar\Quorum Business Solutions\Ecopetrol Prometeo - Documents\Planning Space Implementation\3. Analysis &amp; Design\Design\FC22\DRR Jaime\QUIFA-CAJÚA\Cajua\[VAS_CAJUA_CF_SEC_20230125.xlsx]CF PRB'!$BT$40</t>
  </si>
  <si>
    <t>='C:\Users\jaime.benazar\Quorum Business Solutions\Ecopetrol Prometeo - Documents\Planning Space Implementation\3. Analysis &amp; Design\Design\FC22\DRR Jaime\QUIFA-CAJÚA\Cajua\[VAS_CAJUA_CF_SEC_20230125.xlsx]CF PRB'!$BT$41</t>
  </si>
  <si>
    <t>='C:\Users\jaime.benazar\Quorum Business Solutions\Ecopetrol Prometeo - Documents\Planning Space Implementation\3. Analysis &amp; Design\Design\FC22\DRR Jaime\QUIFA-CAJÚA\Cajua\[VAS_CAJUA_CF_SEC_20230125.xlsx]CF PRB'!$BT$42</t>
  </si>
  <si>
    <t>='C:\Users\jaime.benazar\Quorum Business Solutions\Ecopetrol Prometeo - Documents\Planning Space Implementation\3. Analysis &amp; Design\Design\FC22\DRR Jaime\QUIFA-CAJÚA\Cajua\[VAS_CAJUA_CF_SEC_20230125.xlsx]CF PRB'!$BT$43</t>
  </si>
  <si>
    <t>='C:\Users\jaime.benazar\Quorum Business Solutions\Ecopetrol Prometeo - Documents\Planning Space Implementation\3. Analysis &amp; Design\Design\FC22\DRR Jaime\QUIFA-CAJÚA\Cajua\[VAS_CAJUA_CF_SEC_20230125.xlsx]CF PRB'!$BT$44</t>
  </si>
  <si>
    <t>='C:\Users\jaime.benazar\Quorum Business Solutions\Ecopetrol Prometeo - Documents\Planning Space Implementation\3. Analysis &amp; Design\Design\FC22\DRR Jaime\QUIFA-CAJÚA\Cajua\[VAS_CAJUA_CF_SEC_20230125.xlsx]CF PRB'!$BT$45</t>
  </si>
  <si>
    <t>='C:\Users\jaime.benazar\Quorum Business Solutions\Ecopetrol Prometeo - Documents\Planning Space Implementation\3. Analysis &amp; Design\Design\FC22\DRR Jaime\QUIFA-CAJÚA\Cajua\[VAS_CAJUA_CF_SEC_20230125.xlsx]CF PRB'!$BT$46</t>
  </si>
  <si>
    <t>='C:\Users\jaime.benazar\Quorum Business Solutions\Ecopetrol Prometeo - Documents\Planning Space Implementation\3. Analysis &amp; Design\Design\FC22\DRR Jaime\QUIFA-CAJÚA\Cajua\[VAS_CAJUA_CF_SEC_20230125.xlsx]CF PRB'!$BT$47</t>
  </si>
  <si>
    <t>='C:\Users\jaime.benazar\Quorum Business Solutions\Ecopetrol Prometeo - Documents\Planning Space Implementation\3. Analysis &amp; Design\Design\FC22\DRR Jaime\QUIFA-CAJÚA\Cajua\[VAS_CAJUA_CF_SEC_20230125.xlsx]CF PRB'!$BT$48</t>
  </si>
  <si>
    <t>='C:\Users\jaime.benazar\Quorum Business Solutions\Ecopetrol Prometeo - Documents\Planning Space Implementation\3. Analysis &amp; Design\Design\FC22\DRR Jaime\QUIFA-CAJÚA\Cajua\[VAS_CAJUA_CF_SEC_20230125.xlsx]CF PRB'!$BT$49</t>
  </si>
  <si>
    <t>='C:\Users\jaime.benazar\Quorum Business Solutions\Ecopetrol Prometeo - Documents\Planning Space Implementation\3. Analysis &amp; Design\Design\FC22\DRR Jaime\QUIFA-CAJÚA\Cajua\[VAS_CAJUA_CF_SEC_20230125.xlsx]CF PRB'!$BT$50</t>
  </si>
  <si>
    <t>='C:\Users\jaime.benazar\Quorum Business Solutions\Ecopetrol Prometeo - Documents\Planning Space Implementation\3. Analysis &amp; Design\Design\FC22\DRR Jaime\QUIFA-CAJÚA\Cajua\[VAS_CAJUA_CF_SEC_20230125.xlsx]CF PRB'!$BT$51</t>
  </si>
  <si>
    <t>='C:\Users\jaime.benazar\Quorum Business Solutions\Ecopetrol Prometeo - Documents\Planning Space Implementation\3. Analysis &amp; Design\Design\FC22\DRR Jaime\QUIFA-CAJÚA\Cajua\[VAS_CAJUA_CF_SEC_20230125.xlsx]CF PRB'!$BT$52</t>
  </si>
  <si>
    <t>='C:\Users\jaime.benazar\Quorum Business Solutions\Ecopetrol Prometeo - Documents\Planning Space Implementation\3. Analysis &amp; Design\Design\FC22\DRR Jaime\QUIFA-CAJÚA\Cajua\[VAS_CAJUA_CF_SEC_20230125.xlsx]CF PRB'!$BT$53</t>
  </si>
  <si>
    <t>='C:\Users\jaime.benazar\Quorum Business Solutions\Ecopetrol Prometeo - Documents\Planning Space Implementation\3. Analysis &amp; Design\Design\FC22\DRR Jaime\QUIFA-CAJÚA\Cajua\[VAS_CAJUA_CF_SEC_20230125.xlsx]CF PRB'!$BT$54</t>
  </si>
  <si>
    <t>='C:\Users\jaime.benazar\Quorum Business Solutions\Ecopetrol Prometeo - Documents\Planning Space Implementation\3. Analysis &amp; Design\Design\FC22\DRR Jaime\QUIFA-CAJÚA\Cajua\[VAS_CAJUA_CF_SEC_20230125.xlsx]CF PRB'!$BT$55</t>
  </si>
  <si>
    <t>='C:\Users\jaime.benazar\Quorum Business Solutions\Ecopetrol Prometeo - Documents\Planning Space Implementation\3. Analysis &amp; Design\Design\FC22\DRR Jaime\QUIFA-CAJÚA\Cajua\[VAS_CAJUA_CF_SEC_20230125.xlsx]CF PRB'!$BT$56</t>
  </si>
  <si>
    <t>='C:\Users\jaime.benazar\Quorum Business Solutions\Ecopetrol Prometeo - Documents\Planning Space Implementation\3. Analysis &amp; Design\Design\FC22\DRR Jaime\QUIFA-CAJÚA\Cajua\[VAS_CAJUA_CF_SEC_20230125.xlsx]CF PRB'!$BT$57</t>
  </si>
  <si>
    <t>='C:\Users\jaime.benazar\Quorum Business Solutions\Ecopetrol Prometeo - Documents\Planning Space Implementation\3. Analysis &amp; Design\Design\FC22\DRR Jaime\QUIFA-CAJÚA\Cajua\[VAS_CAJUA_CF_SEC_20230125.xlsx]CF PRB'!$BT$58</t>
  </si>
  <si>
    <t>='C:\Users\jaime.benazar\Quorum Business Solutions\Ecopetrol Prometeo - Documents\Planning Space Implementation\3. Analysis &amp; Design\Design\FC22\DRR Jaime\QUIFA-CAJÚA\Cajua\[VAS_CAJUA_CF_SEC_20230125.xlsx]CF PRB'!$BT$59</t>
  </si>
  <si>
    <t>='C:\Users\jaime.benazar\Quorum Business Solutions\Ecopetrol Prometeo - Documents\Planning Space Implementation\3. Analysis &amp; Design\Design\FC22\DRR Jaime\QUIFA-CAJÚA\Cajua\[VAS_CAJUA_CF_SEC_20230125.xlsx]CF PRB'!$BT$60</t>
  </si>
  <si>
    <t>='C:\Users\jaime.benazar\Quorum Business Solutions\Ecopetrol Prometeo - Documents\Planning Space Implementation\3. Analysis &amp; Design\Design\FC22\DRR Jaime\QUIFA-CAJÚA\Cajua\[VAS_CAJUA_CF_SEC_20230125.xlsx]CF PRB'!$BT$61</t>
  </si>
  <si>
    <t>='C:\Users\jaime.benazar\Quorum Business Solutions\Ecopetrol Prometeo - Documents\Planning Space Implementation\3. Analysis &amp; Design\Design\FC22\DRR Jaime\QUIFA-CAJÚA\Cajua\[VAS_CAJUA_CF_SEC_20230125.xlsx]CF PRB'!$BT$62</t>
  </si>
  <si>
    <t>='C:\Users\jaime.benazar\Quorum Business Solutions\Ecopetrol Prometeo - Documents\Planning Space Implementation\3. Analysis &amp; Design\Design\FC22\DRR Jaime\QUIFA-CAJÚA\Cajua\[VAS_CAJUA_CF_SEC_20230125.xlsx]CF PRB'!$BT$63</t>
  </si>
  <si>
    <t>='C:\Users\jaime.benazar\Quorum Business Solutions\Ecopetrol Prometeo - Documents\Planning Space Implementation\3. Analysis &amp; Design\Design\FC22\DRR Jaime\QUIFA-CAJÚA\Cajua\[VAS_CAJUA_CF_SEC_20230125.xlsx]CF PRB'!$BT$64</t>
  </si>
  <si>
    <t>='C:\Users\jaime.benazar\Quorum Business Solutions\Ecopetrol Prometeo - Documents\Planning Space Implementation\3. Analysis &amp; Design\Design\FC22\DRR Jaime\QUIFA-CAJÚA\Cajua\[VAS_CAJUA_CF_SEC_20230125.xlsx]CF PRB'!$BT$65</t>
  </si>
  <si>
    <t>='C:\Users\jaime.benazar\Quorum Business Solutions\Ecopetrol Prometeo - Documents\Planning Space Implementation\3. Analysis &amp; Design\Design\FC22\DRR Jaime\QUIFA-CAJÚA\Cajua\[VAS_CAJUA_CF_SEC_20230125.xlsx]CF PRB'!$BT$66</t>
  </si>
  <si>
    <t>='C:\Users\jaime.benazar\Quorum Business Solutions\Ecopetrol Prometeo - Documents\Planning Space Implementation\3. Analysis &amp; Design\Design\FC22\DRR Jaime\QUIFA-CAJÚA\Cajua\[VAS_CAJUA_CF_SEC_20230125.xlsx]CF PRB'!$BT$67</t>
  </si>
  <si>
    <t>='C:\Users\jaime.benazar\Quorum Business Solutions\Ecopetrol Prometeo - Documents\Planning Space Implementation\3. Analysis &amp; Design\Design\FC22\DRR Jaime\QUIFA-CAJÚA\Cajua\[VAS_CAJUA_CF_SEC_20230125.xlsx]CF PRB'!$BT$68</t>
  </si>
  <si>
    <t>='C:\Users\jaime.benazar\Quorum Business Solutions\Ecopetrol Prometeo - Documents\Planning Space Implementation\3. Analysis &amp; Design\Design\FC22\DRR Jaime\QUIFA-CAJÚA\Cajua\[VAS_CAJUA_CF_SEC_20230125.xlsx]CF PRB'!$BT$69</t>
  </si>
  <si>
    <t>='C:\Users\jaime.benazar\Quorum Business Solutions\Ecopetrol Prometeo - Documents\Planning Space Implementation\3. Analysis &amp; Design\Design\FC22\DRR Jaime\QUIFA-CAJÚA\Cajua\[VAS_CAJUA_CF_SEC_20230125.xlsx]CF PRB'!$BT$70</t>
  </si>
  <si>
    <t>='C:\Users\jaime.benazar\Quorum Business Solutions\Ecopetrol Prometeo - Documents\Planning Space Implementation\3. Analysis &amp; Design\Design\FC22\DRR Jaime\QUIFA-CAJÚA\Cajua\[VAS_CAJUA_CF_SEC_20230125.xlsx]CF PRB'!$BT$71</t>
  </si>
  <si>
    <t>='C:\Users\jaime.benazar\Quorum Business Solutions\Ecopetrol Prometeo - Documents\Planning Space Implementation\3. Analysis &amp; Design\Design\FC22\DRR Jaime\QUIFA-CAJÚA\Cajua\[VAS_CAJUA_CF_SEC_20230125.xlsx]CF PRB'!$BT$72</t>
  </si>
  <si>
    <t>='C:\Users\jaime.benazar\Quorum Business Solutions\Ecopetrol Prometeo - Documents\Planning Space Implementation\3. Analysis &amp; Design\Design\FC22\DRR Jaime\QUIFA-CAJÚA\Cajua\[VAS_CAJUA_CF_SEC_20230125.xlsx]CF PS'!$BT$36</t>
  </si>
  <si>
    <t>='C:\Users\jaime.benazar\Quorum Business Solutions\Ecopetrol Prometeo - Documents\Planning Space Implementation\3. Analysis &amp; Design\Design\FC22\DRR Jaime\QUIFA-CAJÚA\Cajua\[VAS_CAJUA_CF_SEC_20230125.xlsx]CF PS'!$BT$37</t>
  </si>
  <si>
    <t>='C:\Users\jaime.benazar\Quorum Business Solutions\Ecopetrol Prometeo - Documents\Planning Space Implementation\3. Analysis &amp; Design\Design\FC22\DRR Jaime\QUIFA-CAJÚA\Cajua\[VAS_CAJUA_CF_SEC_20230125.xlsx]CF PS'!$BT$38</t>
  </si>
  <si>
    <t>='C:\Users\jaime.benazar\Quorum Business Solutions\Ecopetrol Prometeo - Documents\Planning Space Implementation\3. Analysis &amp; Design\Design\FC22\DRR Jaime\QUIFA-CAJÚA\Cajua\[VAS_CAJUA_CF_SEC_20230125.xlsx]CF PS'!$BT$39</t>
  </si>
  <si>
    <t>='C:\Users\jaime.benazar\Quorum Business Solutions\Ecopetrol Prometeo - Documents\Planning Space Implementation\3. Analysis &amp; Design\Design\FC22\DRR Jaime\QUIFA-CAJÚA\Cajua\[VAS_CAJUA_CF_SEC_20230125.xlsx]CF PS'!$BT$40</t>
  </si>
  <si>
    <t>='C:\Users\jaime.benazar\Quorum Business Solutions\Ecopetrol Prometeo - Documents\Planning Space Implementation\3. Analysis &amp; Design\Design\FC22\DRR Jaime\QUIFA-CAJÚA\Cajua\[VAS_CAJUA_CF_SEC_20230125.xlsx]CF PS'!$BT$41</t>
  </si>
  <si>
    <t>='C:\Users\jaime.benazar\Quorum Business Solutions\Ecopetrol Prometeo - Documents\Planning Space Implementation\3. Analysis &amp; Design\Design\FC22\DRR Jaime\QUIFA-CAJÚA\Cajua\[VAS_CAJUA_CF_SEC_20230125.xlsx]CF PS'!$BT$42</t>
  </si>
  <si>
    <t>='C:\Users\jaime.benazar\Quorum Business Solutions\Ecopetrol Prometeo - Documents\Planning Space Implementation\3. Analysis &amp; Design\Design\FC22\DRR Jaime\QUIFA-CAJÚA\Cajua\[VAS_CAJUA_CF_SEC_20230125.xlsx]CF PS'!$BT$43</t>
  </si>
  <si>
    <t>='C:\Users\jaime.benazar\Quorum Business Solutions\Ecopetrol Prometeo - Documents\Planning Space Implementation\3. Analysis &amp; Design\Design\FC22\DRR Jaime\QUIFA-CAJÚA\Cajua\[VAS_CAJUA_CF_SEC_20230125.xlsx]CF PS'!$BT$44</t>
  </si>
  <si>
    <t>='C:\Users\jaime.benazar\Quorum Business Solutions\Ecopetrol Prometeo - Documents\Planning Space Implementation\3. Analysis &amp; Design\Design\FC22\DRR Jaime\QUIFA-CAJÚA\Cajua\[VAS_CAJUA_CF_SEC_20230125.xlsx]CF PS'!$BT$45</t>
  </si>
  <si>
    <t>='C:\Users\jaime.benazar\Quorum Business Solutions\Ecopetrol Prometeo - Documents\Planning Space Implementation\3. Analysis &amp; Design\Design\FC22\DRR Jaime\QUIFA-CAJÚA\Cajua\[VAS_CAJUA_CF_SEC_20230125.xlsx]CF PS'!$BT$46</t>
  </si>
  <si>
    <t>='C:\Users\jaime.benazar\Quorum Business Solutions\Ecopetrol Prometeo - Documents\Planning Space Implementation\3. Analysis &amp; Design\Design\FC22\DRR Jaime\QUIFA-CAJÚA\Cajua\[VAS_CAJUA_CF_SEC_20230125.xlsx]CF PS'!$BT$47</t>
  </si>
  <si>
    <t>='C:\Users\jaime.benazar\Quorum Business Solutions\Ecopetrol Prometeo - Documents\Planning Space Implementation\3. Analysis &amp; Design\Design\FC22\DRR Jaime\QUIFA-CAJÚA\Cajua\[VAS_CAJUA_CF_SEC_20230125.xlsx]CF PS'!$BT$48</t>
  </si>
  <si>
    <t>='C:\Users\jaime.benazar\Quorum Business Solutions\Ecopetrol Prometeo - Documents\Planning Space Implementation\3. Analysis &amp; Design\Design\FC22\DRR Jaime\QUIFA-CAJÚA\Cajua\[VAS_CAJUA_CF_SEC_20230125.xlsx]CF PS'!$BT$49</t>
  </si>
  <si>
    <t>='C:\Users\jaime.benazar\Quorum Business Solutions\Ecopetrol Prometeo - Documents\Planning Space Implementation\3. Analysis &amp; Design\Design\FC22\DRR Jaime\QUIFA-CAJÚA\Cajua\[VAS_CAJUA_CF_SEC_20230125.xlsx]CF PS'!$BT$50</t>
  </si>
  <si>
    <t>='C:\Users\jaime.benazar\Quorum Business Solutions\Ecopetrol Prometeo - Documents\Planning Space Implementation\3. Analysis &amp; Design\Design\FC22\DRR Jaime\QUIFA-CAJÚA\Cajua\[VAS_CAJUA_CF_SEC_20230125.xlsx]CF PS'!$BT$51</t>
  </si>
  <si>
    <t>='C:\Users\jaime.benazar\Quorum Business Solutions\Ecopetrol Prometeo - Documents\Planning Space Implementation\3. Analysis &amp; Design\Design\FC22\DRR Jaime\QUIFA-CAJÚA\Cajua\[VAS_CAJUA_CF_SEC_20230125.xlsx]CF PS'!$BT$52</t>
  </si>
  <si>
    <t>='C:\Users\jaime.benazar\Quorum Business Solutions\Ecopetrol Prometeo - Documents\Planning Space Implementation\3. Analysis &amp; Design\Design\FC22\DRR Jaime\QUIFA-CAJÚA\Cajua\[VAS_CAJUA_CF_SEC_20230125.xlsx]CF PS'!$BT$53</t>
  </si>
  <si>
    <t>='C:\Users\jaime.benazar\Quorum Business Solutions\Ecopetrol Prometeo - Documents\Planning Space Implementation\3. Analysis &amp; Design\Design\FC22\DRR Jaime\QUIFA-CAJÚA\Cajua\[VAS_CAJUA_CF_SEC_20230125.xlsx]CF PS'!$BT$54</t>
  </si>
  <si>
    <t>='C:\Users\jaime.benazar\Quorum Business Solutions\Ecopetrol Prometeo - Documents\Planning Space Implementation\3. Analysis &amp; Design\Design\FC22\DRR Jaime\QUIFA-CAJÚA\Cajua\[VAS_CAJUA_CF_SEC_20230125.xlsx]CF PS'!$BT$55</t>
  </si>
  <si>
    <t>='C:\Users\jaime.benazar\Quorum Business Solutions\Ecopetrol Prometeo - Documents\Planning Space Implementation\3. Analysis &amp; Design\Design\FC22\DRR Jaime\QUIFA-CAJÚA\Cajua\[VAS_CAJUA_CF_SEC_20230125.xlsx]CF PS'!$BT$56</t>
  </si>
  <si>
    <t>='C:\Users\jaime.benazar\Quorum Business Solutions\Ecopetrol Prometeo - Documents\Planning Space Implementation\3. Analysis &amp; Design\Design\FC22\DRR Jaime\QUIFA-CAJÚA\Cajua\[VAS_CAJUA_CF_SEC_20230125.xlsx]CF PS'!$BT$57</t>
  </si>
  <si>
    <t>='C:\Users\jaime.benazar\Quorum Business Solutions\Ecopetrol Prometeo - Documents\Planning Space Implementation\3. Analysis &amp; Design\Design\FC22\DRR Jaime\QUIFA-CAJÚA\Cajua\[VAS_CAJUA_CF_SEC_20230125.xlsx]CF PS'!$BT$58</t>
  </si>
  <si>
    <t>='C:\Users\jaime.benazar\Quorum Business Solutions\Ecopetrol Prometeo - Documents\Planning Space Implementation\3. Analysis &amp; Design\Design\FC22\DRR Jaime\QUIFA-CAJÚA\Cajua\[VAS_CAJUA_CF_SEC_20230125.xlsx]CF PS'!$BT$59</t>
  </si>
  <si>
    <t>='C:\Users\jaime.benazar\Quorum Business Solutions\Ecopetrol Prometeo - Documents\Planning Space Implementation\3. Analysis &amp; Design\Design\FC22\DRR Jaime\QUIFA-CAJÚA\Cajua\[VAS_CAJUA_CF_SEC_20230125.xlsx]CF PS'!$BT$60</t>
  </si>
  <si>
    <t>='C:\Users\jaime.benazar\Quorum Business Solutions\Ecopetrol Prometeo - Documents\Planning Space Implementation\3. Analysis &amp; Design\Design\FC22\DRR Jaime\QUIFA-CAJÚA\Cajua\[VAS_CAJUA_CF_SEC_20230125.xlsx]CF PS'!$BT$61</t>
  </si>
  <si>
    <t>='C:\Users\jaime.benazar\Quorum Business Solutions\Ecopetrol Prometeo - Documents\Planning Space Implementation\3. Analysis &amp; Design\Design\FC22\DRR Jaime\QUIFA-CAJÚA\Cajua\[VAS_CAJUA_CF_SEC_20230125.xlsx]CF PS'!$BT$62</t>
  </si>
  <si>
    <t>='C:\Users\jaime.benazar\Quorum Business Solutions\Ecopetrol Prometeo - Documents\Planning Space Implementation\3. Analysis &amp; Design\Design\FC22\DRR Jaime\QUIFA-CAJÚA\Cajua\[VAS_CAJUA_CF_SEC_20230125.xlsx]CF PS'!$BT$63</t>
  </si>
  <si>
    <t>='C:\Users\jaime.benazar\Quorum Business Solutions\Ecopetrol Prometeo - Documents\Planning Space Implementation\3. Analysis &amp; Design\Design\FC22\DRR Jaime\QUIFA-CAJÚA\Cajua\[VAS_CAJUA_CF_SEC_20230125.xlsx]CF PS'!$BT$64</t>
  </si>
  <si>
    <t>='C:\Users\jaime.benazar\Quorum Business Solutions\Ecopetrol Prometeo - Documents\Planning Space Implementation\3. Analysis &amp; Design\Design\FC22\DRR Jaime\QUIFA-CAJÚA\Cajua\[VAS_CAJUA_CF_SEC_20230125.xlsx]CF PS'!$BT$65</t>
  </si>
  <si>
    <t>='C:\Users\jaime.benazar\Quorum Business Solutions\Ecopetrol Prometeo - Documents\Planning Space Implementation\3. Analysis &amp; Design\Design\FC22\DRR Jaime\QUIFA-CAJÚA\Cajua\[VAS_CAJUA_CF_SEC_20230125.xlsx]CF PS'!$BT$66</t>
  </si>
  <si>
    <t>='C:\Users\jaime.benazar\Quorum Business Solutions\Ecopetrol Prometeo - Documents\Planning Space Implementation\3. Analysis &amp; Design\Design\FC22\DRR Jaime\QUIFA-CAJÚA\Cajua\[VAS_CAJUA_CF_SEC_20230125.xlsx]CF PS'!$BT$67</t>
  </si>
  <si>
    <t>='C:\Users\jaime.benazar\Quorum Business Solutions\Ecopetrol Prometeo - Documents\Planning Space Implementation\3. Analysis &amp; Design\Design\FC22\DRR Jaime\QUIFA-CAJÚA\Cajua\[VAS_CAJUA_CF_SEC_20230125.xlsx]CF PS'!$BT$68</t>
  </si>
  <si>
    <t>='C:\Users\jaime.benazar\Quorum Business Solutions\Ecopetrol Prometeo - Documents\Planning Space Implementation\3. Analysis &amp; Design\Design\FC22\DRR Jaime\QUIFA-CAJÚA\Cajua\[VAS_CAJUA_CF_SEC_20230125.xlsx]CF PS'!$BT$69</t>
  </si>
  <si>
    <t>='C:\Users\jaime.benazar\Quorum Business Solutions\Ecopetrol Prometeo - Documents\Planning Space Implementation\3. Analysis &amp; Design\Design\FC22\DRR Jaime\QUIFA-CAJÚA\Cajua\[VAS_CAJUA_CF_SEC_20230125.xlsx]CF PS'!$BT$70</t>
  </si>
  <si>
    <t>='C:\Users\jaime.benazar\Quorum Business Solutions\Ecopetrol Prometeo - Documents\Planning Space Implementation\3. Analysis &amp; Design\Design\FC22\DRR Jaime\QUIFA-CAJÚA\Cajua\[VAS_CAJUA_CF_SEC_20230125.xlsx]CF PS'!$BT$71</t>
  </si>
  <si>
    <t>='C:\Users\jaime.benazar\Quorum Business Solutions\Ecopetrol Prometeo - Documents\Planning Space Implementation\3. Analysis &amp; Design\Design\FC22\DRR Jaime\QUIFA-CAJÚA\Cajua\[VAS_CAJUA_CF_SEC_20230125.xlsx]CF PS'!$BT$72</t>
  </si>
  <si>
    <t>='C:\Users\jaime.benazar\Quorum Business Solutions\Ecopetrol Prometeo - Documents\Planning Space Implementation\3. Analysis &amp; Design\Design\FC22\DRR Jaime\QUIFA-CAJÚA\Cajua\[VAS_CAJUA_CF_SEC_20230125.xlsx]CF PDP'!$BW$36</t>
  </si>
  <si>
    <t>='C:\Users\jaime.benazar\Quorum Business Solutions\Ecopetrol Prometeo - Documents\Planning Space Implementation\3. Analysis &amp; Design\Design\FC22\DRR Jaime\QUIFA-CAJÚA\Cajua\[VAS_CAJUA_CF_SEC_20230125.xlsx]CF PDP'!$BW$37</t>
  </si>
  <si>
    <t>='C:\Users\jaime.benazar\Quorum Business Solutions\Ecopetrol Prometeo - Documents\Planning Space Implementation\3. Analysis &amp; Design\Design\FC22\DRR Jaime\QUIFA-CAJÚA\Cajua\[VAS_CAJUA_CF_SEC_20230125.xlsx]CF PDP'!$BW$38</t>
  </si>
  <si>
    <t>='C:\Users\jaime.benazar\Quorum Business Solutions\Ecopetrol Prometeo - Documents\Planning Space Implementation\3. Analysis &amp; Design\Design\FC22\DRR Jaime\QUIFA-CAJÚA\Cajua\[VAS_CAJUA_CF_SEC_20230125.xlsx]CF PDP'!$BW$39</t>
  </si>
  <si>
    <t>='C:\Users\jaime.benazar\Quorum Business Solutions\Ecopetrol Prometeo - Documents\Planning Space Implementation\3. Analysis &amp; Design\Design\FC22\DRR Jaime\QUIFA-CAJÚA\Cajua\[VAS_CAJUA_CF_SEC_20230125.xlsx]CF PDP'!$BW$40</t>
  </si>
  <si>
    <t>='C:\Users\jaime.benazar\Quorum Business Solutions\Ecopetrol Prometeo - Documents\Planning Space Implementation\3. Analysis &amp; Design\Design\FC22\DRR Jaime\QUIFA-CAJÚA\Cajua\[VAS_CAJUA_CF_SEC_20230125.xlsx]CF PDP'!$BW$41</t>
  </si>
  <si>
    <t>='C:\Users\jaime.benazar\Quorum Business Solutions\Ecopetrol Prometeo - Documents\Planning Space Implementation\3. Analysis &amp; Design\Design\FC22\DRR Jaime\QUIFA-CAJÚA\Cajua\[VAS_CAJUA_CF_SEC_20230125.xlsx]CF PDP'!$BW$42</t>
  </si>
  <si>
    <t>='C:\Users\jaime.benazar\Quorum Business Solutions\Ecopetrol Prometeo - Documents\Planning Space Implementation\3. Analysis &amp; Design\Design\FC22\DRR Jaime\QUIFA-CAJÚA\Cajua\[VAS_CAJUA_CF_SEC_20230125.xlsx]CF PDP'!$BW$43</t>
  </si>
  <si>
    <t>='C:\Users\jaime.benazar\Quorum Business Solutions\Ecopetrol Prometeo - Documents\Planning Space Implementation\3. Analysis &amp; Design\Design\FC22\DRR Jaime\QUIFA-CAJÚA\Cajua\[VAS_CAJUA_CF_SEC_20230125.xlsx]CF PDP'!$BW$44</t>
  </si>
  <si>
    <t>='C:\Users\jaime.benazar\Quorum Business Solutions\Ecopetrol Prometeo - Documents\Planning Space Implementation\3. Analysis &amp; Design\Design\FC22\DRR Jaime\QUIFA-CAJÚA\Cajua\[VAS_CAJUA_CF_SEC_20230125.xlsx]CF PDP'!$BW$45</t>
  </si>
  <si>
    <t>='C:\Users\jaime.benazar\Quorum Business Solutions\Ecopetrol Prometeo - Documents\Planning Space Implementation\3. Analysis &amp; Design\Design\FC22\DRR Jaime\QUIFA-CAJÚA\Cajua\[VAS_CAJUA_CF_SEC_20230125.xlsx]CF PDP'!$BW$46</t>
  </si>
  <si>
    <t>='C:\Users\jaime.benazar\Quorum Business Solutions\Ecopetrol Prometeo - Documents\Planning Space Implementation\3. Analysis &amp; Design\Design\FC22\DRR Jaime\QUIFA-CAJÚA\Cajua\[VAS_CAJUA_CF_SEC_20230125.xlsx]CF PDP'!$BW$47</t>
  </si>
  <si>
    <t>='C:\Users\jaime.benazar\Quorum Business Solutions\Ecopetrol Prometeo - Documents\Planning Space Implementation\3. Analysis &amp; Design\Design\FC22\DRR Jaime\QUIFA-CAJÚA\Cajua\[VAS_CAJUA_CF_SEC_20230125.xlsx]CF PDP'!$BW$48</t>
  </si>
  <si>
    <t>='C:\Users\jaime.benazar\Quorum Business Solutions\Ecopetrol Prometeo - Documents\Planning Space Implementation\3. Analysis &amp; Design\Design\FC22\DRR Jaime\QUIFA-CAJÚA\Cajua\[VAS_CAJUA_CF_SEC_20230125.xlsx]CF PDP'!$BW$49</t>
  </si>
  <si>
    <t>='C:\Users\jaime.benazar\Quorum Business Solutions\Ecopetrol Prometeo - Documents\Planning Space Implementation\3. Analysis &amp; Design\Design\FC22\DRR Jaime\QUIFA-CAJÚA\Cajua\[VAS_CAJUA_CF_SEC_20230125.xlsx]CF PDP'!$BW$50</t>
  </si>
  <si>
    <t>='C:\Users\jaime.benazar\Quorum Business Solutions\Ecopetrol Prometeo - Documents\Planning Space Implementation\3. Analysis &amp; Design\Design\FC22\DRR Jaime\QUIFA-CAJÚA\Cajua\[VAS_CAJUA_CF_SEC_20230125.xlsx]CF PDP'!$BW$51</t>
  </si>
  <si>
    <t>='C:\Users\jaime.benazar\Quorum Business Solutions\Ecopetrol Prometeo - Documents\Planning Space Implementation\3. Analysis &amp; Design\Design\FC22\DRR Jaime\QUIFA-CAJÚA\Cajua\[VAS_CAJUA_CF_SEC_20230125.xlsx]CF PDP'!$BW$52</t>
  </si>
  <si>
    <t>='C:\Users\jaime.benazar\Quorum Business Solutions\Ecopetrol Prometeo - Documents\Planning Space Implementation\3. Analysis &amp; Design\Design\FC22\DRR Jaime\QUIFA-CAJÚA\Cajua\[VAS_CAJUA_CF_SEC_20230125.xlsx]CF PDP'!$BW$53</t>
  </si>
  <si>
    <t>='C:\Users\jaime.benazar\Quorum Business Solutions\Ecopetrol Prometeo - Documents\Planning Space Implementation\3. Analysis &amp; Design\Design\FC22\DRR Jaime\QUIFA-CAJÚA\Cajua\[VAS_CAJUA_CF_SEC_20230125.xlsx]CF PDP'!$BW$54</t>
  </si>
  <si>
    <t>='C:\Users\jaime.benazar\Quorum Business Solutions\Ecopetrol Prometeo - Documents\Planning Space Implementation\3. Analysis &amp; Design\Design\FC22\DRR Jaime\QUIFA-CAJÚA\Cajua\[VAS_CAJUA_CF_SEC_20230125.xlsx]CF PDP'!$BW$55</t>
  </si>
  <si>
    <t>='C:\Users\jaime.benazar\Quorum Business Solutions\Ecopetrol Prometeo - Documents\Planning Space Implementation\3. Analysis &amp; Design\Design\FC22\DRR Jaime\QUIFA-CAJÚA\Cajua\[VAS_CAJUA_CF_SEC_20230125.xlsx]CF PDP'!$BW$56</t>
  </si>
  <si>
    <t>='C:\Users\jaime.benazar\Quorum Business Solutions\Ecopetrol Prometeo - Documents\Planning Space Implementation\3. Analysis &amp; Design\Design\FC22\DRR Jaime\QUIFA-CAJÚA\Cajua\[VAS_CAJUA_CF_SEC_20230125.xlsx]CF PDP'!$BW$57</t>
  </si>
  <si>
    <t>='C:\Users\jaime.benazar\Quorum Business Solutions\Ecopetrol Prometeo - Documents\Planning Space Implementation\3. Analysis &amp; Design\Design\FC22\DRR Jaime\QUIFA-CAJÚA\Cajua\[VAS_CAJUA_CF_SEC_20230125.xlsx]CF PDP'!$BW$58</t>
  </si>
  <si>
    <t>='C:\Users\jaime.benazar\Quorum Business Solutions\Ecopetrol Prometeo - Documents\Planning Space Implementation\3. Analysis &amp; Design\Design\FC22\DRR Jaime\QUIFA-CAJÚA\Cajua\[VAS_CAJUA_CF_SEC_20230125.xlsx]CF PDP'!$BW$59</t>
  </si>
  <si>
    <t>='C:\Users\jaime.benazar\Quorum Business Solutions\Ecopetrol Prometeo - Documents\Planning Space Implementation\3. Analysis &amp; Design\Design\FC22\DRR Jaime\QUIFA-CAJÚA\Cajua\[VAS_CAJUA_CF_SEC_20230125.xlsx]CF PDP'!$BW$60</t>
  </si>
  <si>
    <t>='C:\Users\jaime.benazar\Quorum Business Solutions\Ecopetrol Prometeo - Documents\Planning Space Implementation\3. Analysis &amp; Design\Design\FC22\DRR Jaime\QUIFA-CAJÚA\Cajua\[VAS_CAJUA_CF_SEC_20230125.xlsx]CF PDP'!$BW$61</t>
  </si>
  <si>
    <t>='C:\Users\jaime.benazar\Quorum Business Solutions\Ecopetrol Prometeo - Documents\Planning Space Implementation\3. Analysis &amp; Design\Design\FC22\DRR Jaime\QUIFA-CAJÚA\Cajua\[VAS_CAJUA_CF_SEC_20230125.xlsx]CF PDP'!$BW$62</t>
  </si>
  <si>
    <t>='C:\Users\jaime.benazar\Quorum Business Solutions\Ecopetrol Prometeo - Documents\Planning Space Implementation\3. Analysis &amp; Design\Design\FC22\DRR Jaime\QUIFA-CAJÚA\Cajua\[VAS_CAJUA_CF_SEC_20230125.xlsx]CF PDP'!$BW$63</t>
  </si>
  <si>
    <t>='C:\Users\jaime.benazar\Quorum Business Solutions\Ecopetrol Prometeo - Documents\Planning Space Implementation\3. Analysis &amp; Design\Design\FC22\DRR Jaime\QUIFA-CAJÚA\Cajua\[VAS_CAJUA_CF_SEC_20230125.xlsx]CF PDP'!$BW$64</t>
  </si>
  <si>
    <t>='C:\Users\jaime.benazar\Quorum Business Solutions\Ecopetrol Prometeo - Documents\Planning Space Implementation\3. Analysis &amp; Design\Design\FC22\DRR Jaime\QUIFA-CAJÚA\Cajua\[VAS_CAJUA_CF_SEC_20230125.xlsx]CF PDP'!$BW$65</t>
  </si>
  <si>
    <t>='C:\Users\jaime.benazar\Quorum Business Solutions\Ecopetrol Prometeo - Documents\Planning Space Implementation\3. Analysis &amp; Design\Design\FC22\DRR Jaime\QUIFA-CAJÚA\Cajua\[VAS_CAJUA_CF_SEC_20230125.xlsx]CF PDP'!$BW$66</t>
  </si>
  <si>
    <t>='C:\Users\jaime.benazar\Quorum Business Solutions\Ecopetrol Prometeo - Documents\Planning Space Implementation\3. Analysis &amp; Design\Design\FC22\DRR Jaime\QUIFA-CAJÚA\Cajua\[VAS_CAJUA_CF_SEC_20230125.xlsx]CF PDP'!$BW$67</t>
  </si>
  <si>
    <t>='C:\Users\jaime.benazar\Quorum Business Solutions\Ecopetrol Prometeo - Documents\Planning Space Implementation\3. Analysis &amp; Design\Design\FC22\DRR Jaime\QUIFA-CAJÚA\Cajua\[VAS_CAJUA_CF_SEC_20230125.xlsx]CF PDP'!$BW$68</t>
  </si>
  <si>
    <t>='C:\Users\jaime.benazar\Quorum Business Solutions\Ecopetrol Prometeo - Documents\Planning Space Implementation\3. Analysis &amp; Design\Design\FC22\DRR Jaime\QUIFA-CAJÚA\Cajua\[VAS_CAJUA_CF_SEC_20230125.xlsx]CF PDP'!$BW$69</t>
  </si>
  <si>
    <t>='C:\Users\jaime.benazar\Quorum Business Solutions\Ecopetrol Prometeo - Documents\Planning Space Implementation\3. Analysis &amp; Design\Design\FC22\DRR Jaime\QUIFA-CAJÚA\Cajua\[VAS_CAJUA_CF_SEC_20230125.xlsx]CF PDP'!$BW$70</t>
  </si>
  <si>
    <t>='C:\Users\jaime.benazar\Quorum Business Solutions\Ecopetrol Prometeo - Documents\Planning Space Implementation\3. Analysis &amp; Design\Design\FC22\DRR Jaime\QUIFA-CAJÚA\Cajua\[VAS_CAJUA_CF_SEC_20230125.xlsx]CF PDP'!$BW$71</t>
  </si>
  <si>
    <t>='C:\Users\jaime.benazar\Quorum Business Solutions\Ecopetrol Prometeo - Documents\Planning Space Implementation\3. Analysis &amp; Design\Design\FC22\DRR Jaime\QUIFA-CAJÚA\Cajua\[VAS_CAJUA_CF_SEC_20230125.xlsx]CF PDP'!$BW$72</t>
  </si>
  <si>
    <t>='C:\Users\jaime.benazar\Quorum Business Solutions\Ecopetrol Prometeo - Documents\Planning Space Implementation\3. Analysis &amp; Design\Design\FC22\DRR Jaime\QUIFA-CAJÚA\Cajua\[VAS_CAJUA_CF_SEC_20230125.xlsx]CF PNP'!$BW$36</t>
  </si>
  <si>
    <t>='C:\Users\jaime.benazar\Quorum Business Solutions\Ecopetrol Prometeo - Documents\Planning Space Implementation\3. Analysis &amp; Design\Design\FC22\DRR Jaime\QUIFA-CAJÚA\Cajua\[VAS_CAJUA_CF_SEC_20230125.xlsx]CF PNP'!$BW$37</t>
  </si>
  <si>
    <t>='C:\Users\jaime.benazar\Quorum Business Solutions\Ecopetrol Prometeo - Documents\Planning Space Implementation\3. Analysis &amp; Design\Design\FC22\DRR Jaime\QUIFA-CAJÚA\Cajua\[VAS_CAJUA_CF_SEC_20230125.xlsx]CF PNP'!$BW$38</t>
  </si>
  <si>
    <t>='C:\Users\jaime.benazar\Quorum Business Solutions\Ecopetrol Prometeo - Documents\Planning Space Implementation\3. Analysis &amp; Design\Design\FC22\DRR Jaime\QUIFA-CAJÚA\Cajua\[VAS_CAJUA_CF_SEC_20230125.xlsx]CF PNP'!$BW$39</t>
  </si>
  <si>
    <t>='C:\Users\jaime.benazar\Quorum Business Solutions\Ecopetrol Prometeo - Documents\Planning Space Implementation\3. Analysis &amp; Design\Design\FC22\DRR Jaime\QUIFA-CAJÚA\Cajua\[VAS_CAJUA_CF_SEC_20230125.xlsx]CF PNP'!$BW$40</t>
  </si>
  <si>
    <t>='C:\Users\jaime.benazar\Quorum Business Solutions\Ecopetrol Prometeo - Documents\Planning Space Implementation\3. Analysis &amp; Design\Design\FC22\DRR Jaime\QUIFA-CAJÚA\Cajua\[VAS_CAJUA_CF_SEC_20230125.xlsx]CF PNP'!$BW$41</t>
  </si>
  <si>
    <t>='C:\Users\jaime.benazar\Quorum Business Solutions\Ecopetrol Prometeo - Documents\Planning Space Implementation\3. Analysis &amp; Design\Design\FC22\DRR Jaime\QUIFA-CAJÚA\Cajua\[VAS_CAJUA_CF_SEC_20230125.xlsx]CF PNP'!$BW$42</t>
  </si>
  <si>
    <t>='C:\Users\jaime.benazar\Quorum Business Solutions\Ecopetrol Prometeo - Documents\Planning Space Implementation\3. Analysis &amp; Design\Design\FC22\DRR Jaime\QUIFA-CAJÚA\Cajua\[VAS_CAJUA_CF_SEC_20230125.xlsx]CF PNP'!$BW$43</t>
  </si>
  <si>
    <t>='C:\Users\jaime.benazar\Quorum Business Solutions\Ecopetrol Prometeo - Documents\Planning Space Implementation\3. Analysis &amp; Design\Design\FC22\DRR Jaime\QUIFA-CAJÚA\Cajua\[VAS_CAJUA_CF_SEC_20230125.xlsx]CF PNP'!$BW$44</t>
  </si>
  <si>
    <t>='C:\Users\jaime.benazar\Quorum Business Solutions\Ecopetrol Prometeo - Documents\Planning Space Implementation\3. Analysis &amp; Design\Design\FC22\DRR Jaime\QUIFA-CAJÚA\Cajua\[VAS_CAJUA_CF_SEC_20230125.xlsx]CF PNP'!$BW$45</t>
  </si>
  <si>
    <t>='C:\Users\jaime.benazar\Quorum Business Solutions\Ecopetrol Prometeo - Documents\Planning Space Implementation\3. Analysis &amp; Design\Design\FC22\DRR Jaime\QUIFA-CAJÚA\Cajua\[VAS_CAJUA_CF_SEC_20230125.xlsx]CF PNP'!$BW$46</t>
  </si>
  <si>
    <t>='C:\Users\jaime.benazar\Quorum Business Solutions\Ecopetrol Prometeo - Documents\Planning Space Implementation\3. Analysis &amp; Design\Design\FC22\DRR Jaime\QUIFA-CAJÚA\Cajua\[VAS_CAJUA_CF_SEC_20230125.xlsx]CF PNP'!$BW$47</t>
  </si>
  <si>
    <t>='C:\Users\jaime.benazar\Quorum Business Solutions\Ecopetrol Prometeo - Documents\Planning Space Implementation\3. Analysis &amp; Design\Design\FC22\DRR Jaime\QUIFA-CAJÚA\Cajua\[VAS_CAJUA_CF_SEC_20230125.xlsx]CF PNP'!$BW$48</t>
  </si>
  <si>
    <t>='C:\Users\jaime.benazar\Quorum Business Solutions\Ecopetrol Prometeo - Documents\Planning Space Implementation\3. Analysis &amp; Design\Design\FC22\DRR Jaime\QUIFA-CAJÚA\Cajua\[VAS_CAJUA_CF_SEC_20230125.xlsx]CF PNP'!$BW$49</t>
  </si>
  <si>
    <t>='C:\Users\jaime.benazar\Quorum Business Solutions\Ecopetrol Prometeo - Documents\Planning Space Implementation\3. Analysis &amp; Design\Design\FC22\DRR Jaime\QUIFA-CAJÚA\Cajua\[VAS_CAJUA_CF_SEC_20230125.xlsx]CF PNP'!$BW$50</t>
  </si>
  <si>
    <t>='C:\Users\jaime.benazar\Quorum Business Solutions\Ecopetrol Prometeo - Documents\Planning Space Implementation\3. Analysis &amp; Design\Design\FC22\DRR Jaime\QUIFA-CAJÚA\Cajua\[VAS_CAJUA_CF_SEC_20230125.xlsx]CF PNP'!$BW$51</t>
  </si>
  <si>
    <t>='C:\Users\jaime.benazar\Quorum Business Solutions\Ecopetrol Prometeo - Documents\Planning Space Implementation\3. Analysis &amp; Design\Design\FC22\DRR Jaime\QUIFA-CAJÚA\Cajua\[VAS_CAJUA_CF_SEC_20230125.xlsx]CF PNP'!$BW$52</t>
  </si>
  <si>
    <t>='C:\Users\jaime.benazar\Quorum Business Solutions\Ecopetrol Prometeo - Documents\Planning Space Implementation\3. Analysis &amp; Design\Design\FC22\DRR Jaime\QUIFA-CAJÚA\Cajua\[VAS_CAJUA_CF_SEC_20230125.xlsx]CF PNP'!$BW$53</t>
  </si>
  <si>
    <t>='C:\Users\jaime.benazar\Quorum Business Solutions\Ecopetrol Prometeo - Documents\Planning Space Implementation\3. Analysis &amp; Design\Design\FC22\DRR Jaime\QUIFA-CAJÚA\Cajua\[VAS_CAJUA_CF_SEC_20230125.xlsx]CF PNP'!$BW$54</t>
  </si>
  <si>
    <t>='C:\Users\jaime.benazar\Quorum Business Solutions\Ecopetrol Prometeo - Documents\Planning Space Implementation\3. Analysis &amp; Design\Design\FC22\DRR Jaime\QUIFA-CAJÚA\Cajua\[VAS_CAJUA_CF_SEC_20230125.xlsx]CF PNP'!$BW$55</t>
  </si>
  <si>
    <t>='C:\Users\jaime.benazar\Quorum Business Solutions\Ecopetrol Prometeo - Documents\Planning Space Implementation\3. Analysis &amp; Design\Design\FC22\DRR Jaime\QUIFA-CAJÚA\Cajua\[VAS_CAJUA_CF_SEC_20230125.xlsx]CF PNP'!$BW$56</t>
  </si>
  <si>
    <t>='C:\Users\jaime.benazar\Quorum Business Solutions\Ecopetrol Prometeo - Documents\Planning Space Implementation\3. Analysis &amp; Design\Design\FC22\DRR Jaime\QUIFA-CAJÚA\Cajua\[VAS_CAJUA_CF_SEC_20230125.xlsx]CF PNP'!$BW$57</t>
  </si>
  <si>
    <t>='C:\Users\jaime.benazar\Quorum Business Solutions\Ecopetrol Prometeo - Documents\Planning Space Implementation\3. Analysis &amp; Design\Design\FC22\DRR Jaime\QUIFA-CAJÚA\Cajua\[VAS_CAJUA_CF_SEC_20230125.xlsx]CF PNP'!$BW$58</t>
  </si>
  <si>
    <t>='C:\Users\jaime.benazar\Quorum Business Solutions\Ecopetrol Prometeo - Documents\Planning Space Implementation\3. Analysis &amp; Design\Design\FC22\DRR Jaime\QUIFA-CAJÚA\Cajua\[VAS_CAJUA_CF_SEC_20230125.xlsx]CF PNP'!$BW$59</t>
  </si>
  <si>
    <t>='C:\Users\jaime.benazar\Quorum Business Solutions\Ecopetrol Prometeo - Documents\Planning Space Implementation\3. Analysis &amp; Design\Design\FC22\DRR Jaime\QUIFA-CAJÚA\Cajua\[VAS_CAJUA_CF_SEC_20230125.xlsx]CF PNP'!$BW$60</t>
  </si>
  <si>
    <t>='C:\Users\jaime.benazar\Quorum Business Solutions\Ecopetrol Prometeo - Documents\Planning Space Implementation\3. Analysis &amp; Design\Design\FC22\DRR Jaime\QUIFA-CAJÚA\Cajua\[VAS_CAJUA_CF_SEC_20230125.xlsx]CF PNP'!$BW$61</t>
  </si>
  <si>
    <t>='C:\Users\jaime.benazar\Quorum Business Solutions\Ecopetrol Prometeo - Documents\Planning Space Implementation\3. Analysis &amp; Design\Design\FC22\DRR Jaime\QUIFA-CAJÚA\Cajua\[VAS_CAJUA_CF_SEC_20230125.xlsx]CF PNP'!$BW$62</t>
  </si>
  <si>
    <t>='C:\Users\jaime.benazar\Quorum Business Solutions\Ecopetrol Prometeo - Documents\Planning Space Implementation\3. Analysis &amp; Design\Design\FC22\DRR Jaime\QUIFA-CAJÚA\Cajua\[VAS_CAJUA_CF_SEC_20230125.xlsx]CF PNP'!$BW$63</t>
  </si>
  <si>
    <t>='C:\Users\jaime.benazar\Quorum Business Solutions\Ecopetrol Prometeo - Documents\Planning Space Implementation\3. Analysis &amp; Design\Design\FC22\DRR Jaime\QUIFA-CAJÚA\Cajua\[VAS_CAJUA_CF_SEC_20230125.xlsx]CF PNP'!$BW$64</t>
  </si>
  <si>
    <t>='C:\Users\jaime.benazar\Quorum Business Solutions\Ecopetrol Prometeo - Documents\Planning Space Implementation\3. Analysis &amp; Design\Design\FC22\DRR Jaime\QUIFA-CAJÚA\Cajua\[VAS_CAJUA_CF_SEC_20230125.xlsx]CF PNP'!$BW$65</t>
  </si>
  <si>
    <t>='C:\Users\jaime.benazar\Quorum Business Solutions\Ecopetrol Prometeo - Documents\Planning Space Implementation\3. Analysis &amp; Design\Design\FC22\DRR Jaime\QUIFA-CAJÚA\Cajua\[VAS_CAJUA_CF_SEC_20230125.xlsx]CF PNP'!$BW$66</t>
  </si>
  <si>
    <t>='C:\Users\jaime.benazar\Quorum Business Solutions\Ecopetrol Prometeo - Documents\Planning Space Implementation\3. Analysis &amp; Design\Design\FC22\DRR Jaime\QUIFA-CAJÚA\Cajua\[VAS_CAJUA_CF_SEC_20230125.xlsx]CF PNP'!$BW$67</t>
  </si>
  <si>
    <t>='C:\Users\jaime.benazar\Quorum Business Solutions\Ecopetrol Prometeo - Documents\Planning Space Implementation\3. Analysis &amp; Design\Design\FC22\DRR Jaime\QUIFA-CAJÚA\Cajua\[VAS_CAJUA_CF_SEC_20230125.xlsx]CF PNP'!$BW$68</t>
  </si>
  <si>
    <t>='C:\Users\jaime.benazar\Quorum Business Solutions\Ecopetrol Prometeo - Documents\Planning Space Implementation\3. Analysis &amp; Design\Design\FC22\DRR Jaime\QUIFA-CAJÚA\Cajua\[VAS_CAJUA_CF_SEC_20230125.xlsx]CF PNP'!$BW$69</t>
  </si>
  <si>
    <t>='C:\Users\jaime.benazar\Quorum Business Solutions\Ecopetrol Prometeo - Documents\Planning Space Implementation\3. Analysis &amp; Design\Design\FC22\DRR Jaime\QUIFA-CAJÚA\Cajua\[VAS_CAJUA_CF_SEC_20230125.xlsx]CF PNP'!$BW$70</t>
  </si>
  <si>
    <t>='C:\Users\jaime.benazar\Quorum Business Solutions\Ecopetrol Prometeo - Documents\Planning Space Implementation\3. Analysis &amp; Design\Design\FC22\DRR Jaime\QUIFA-CAJÚA\Cajua\[VAS_CAJUA_CF_SEC_20230125.xlsx]CF PNP'!$BW$71</t>
  </si>
  <si>
    <t>='C:\Users\jaime.benazar\Quorum Business Solutions\Ecopetrol Prometeo - Documents\Planning Space Implementation\3. Analysis &amp; Design\Design\FC22\DRR Jaime\QUIFA-CAJÚA\Cajua\[VAS_CAJUA_CF_SEC_20230125.xlsx]CF PNP'!$BW$72</t>
  </si>
  <si>
    <t>='C:\Users\jaime.benazar\Quorum Business Solutions\Ecopetrol Prometeo - Documents\Planning Space Implementation\3. Analysis &amp; Design\Design\FC22\DRR Jaime\QUIFA-CAJÚA\Cajua\[VAS_CAJUA_CF_SEC_20230125.xlsx]CF PND'!$BW$36</t>
  </si>
  <si>
    <t>='C:\Users\jaime.benazar\Quorum Business Solutions\Ecopetrol Prometeo - Documents\Planning Space Implementation\3. Analysis &amp; Design\Design\FC22\DRR Jaime\QUIFA-CAJÚA\Cajua\[VAS_CAJUA_CF_SEC_20230125.xlsx]CF PND'!$BW$37</t>
  </si>
  <si>
    <t>='C:\Users\jaime.benazar\Quorum Business Solutions\Ecopetrol Prometeo - Documents\Planning Space Implementation\3. Analysis &amp; Design\Design\FC22\DRR Jaime\QUIFA-CAJÚA\Cajua\[VAS_CAJUA_CF_SEC_20230125.xlsx]CF PND'!$BW$38</t>
  </si>
  <si>
    <t>='C:\Users\jaime.benazar\Quorum Business Solutions\Ecopetrol Prometeo - Documents\Planning Space Implementation\3. Analysis &amp; Design\Design\FC22\DRR Jaime\QUIFA-CAJÚA\Cajua\[VAS_CAJUA_CF_SEC_20230125.xlsx]CF PND'!$BW$39</t>
  </si>
  <si>
    <t>='C:\Users\jaime.benazar\Quorum Business Solutions\Ecopetrol Prometeo - Documents\Planning Space Implementation\3. Analysis &amp; Design\Design\FC22\DRR Jaime\QUIFA-CAJÚA\Cajua\[VAS_CAJUA_CF_SEC_20230125.xlsx]CF PND'!$BW$40</t>
  </si>
  <si>
    <t>='C:\Users\jaime.benazar\Quorum Business Solutions\Ecopetrol Prometeo - Documents\Planning Space Implementation\3. Analysis &amp; Design\Design\FC22\DRR Jaime\QUIFA-CAJÚA\Cajua\[VAS_CAJUA_CF_SEC_20230125.xlsx]CF PND'!$BW$41</t>
  </si>
  <si>
    <t>='C:\Users\jaime.benazar\Quorum Business Solutions\Ecopetrol Prometeo - Documents\Planning Space Implementation\3. Analysis &amp; Design\Design\FC22\DRR Jaime\QUIFA-CAJÚA\Cajua\[VAS_CAJUA_CF_SEC_20230125.xlsx]CF PND'!$BW$42</t>
  </si>
  <si>
    <t>='C:\Users\jaime.benazar\Quorum Business Solutions\Ecopetrol Prometeo - Documents\Planning Space Implementation\3. Analysis &amp; Design\Design\FC22\DRR Jaime\QUIFA-CAJÚA\Cajua\[VAS_CAJUA_CF_SEC_20230125.xlsx]CF PND'!$BW$43</t>
  </si>
  <si>
    <t>='C:\Users\jaime.benazar\Quorum Business Solutions\Ecopetrol Prometeo - Documents\Planning Space Implementation\3. Analysis &amp; Design\Design\FC22\DRR Jaime\QUIFA-CAJÚA\Cajua\[VAS_CAJUA_CF_SEC_20230125.xlsx]CF PND'!$BW$44</t>
  </si>
  <si>
    <t>='C:\Users\jaime.benazar\Quorum Business Solutions\Ecopetrol Prometeo - Documents\Planning Space Implementation\3. Analysis &amp; Design\Design\FC22\DRR Jaime\QUIFA-CAJÚA\Cajua\[VAS_CAJUA_CF_SEC_20230125.xlsx]CF PND'!$BW$45</t>
  </si>
  <si>
    <t>='C:\Users\jaime.benazar\Quorum Business Solutions\Ecopetrol Prometeo - Documents\Planning Space Implementation\3. Analysis &amp; Design\Design\FC22\DRR Jaime\QUIFA-CAJÚA\Cajua\[VAS_CAJUA_CF_SEC_20230125.xlsx]CF PND'!$BW$46</t>
  </si>
  <si>
    <t>='C:\Users\jaime.benazar\Quorum Business Solutions\Ecopetrol Prometeo - Documents\Planning Space Implementation\3. Analysis &amp; Design\Design\FC22\DRR Jaime\QUIFA-CAJÚA\Cajua\[VAS_CAJUA_CF_SEC_20230125.xlsx]CF PND'!$BW$47</t>
  </si>
  <si>
    <t>='C:\Users\jaime.benazar\Quorum Business Solutions\Ecopetrol Prometeo - Documents\Planning Space Implementation\3. Analysis &amp; Design\Design\FC22\DRR Jaime\QUIFA-CAJÚA\Cajua\[VAS_CAJUA_CF_SEC_20230125.xlsx]CF PND'!$BW$48</t>
  </si>
  <si>
    <t>='C:\Users\jaime.benazar\Quorum Business Solutions\Ecopetrol Prometeo - Documents\Planning Space Implementation\3. Analysis &amp; Design\Design\FC22\DRR Jaime\QUIFA-CAJÚA\Cajua\[VAS_CAJUA_CF_SEC_20230125.xlsx]CF PND'!$BW$49</t>
  </si>
  <si>
    <t>='C:\Users\jaime.benazar\Quorum Business Solutions\Ecopetrol Prometeo - Documents\Planning Space Implementation\3. Analysis &amp; Design\Design\FC22\DRR Jaime\QUIFA-CAJÚA\Cajua\[VAS_CAJUA_CF_SEC_20230125.xlsx]CF PND'!$BW$50</t>
  </si>
  <si>
    <t>='C:\Users\jaime.benazar\Quorum Business Solutions\Ecopetrol Prometeo - Documents\Planning Space Implementation\3. Analysis &amp; Design\Design\FC22\DRR Jaime\QUIFA-CAJÚA\Cajua\[VAS_CAJUA_CF_SEC_20230125.xlsx]CF PND'!$BW$51</t>
  </si>
  <si>
    <t>='C:\Users\jaime.benazar\Quorum Business Solutions\Ecopetrol Prometeo - Documents\Planning Space Implementation\3. Analysis &amp; Design\Design\FC22\DRR Jaime\QUIFA-CAJÚA\Cajua\[VAS_CAJUA_CF_SEC_20230125.xlsx]CF PND'!$BW$52</t>
  </si>
  <si>
    <t>='C:\Users\jaime.benazar\Quorum Business Solutions\Ecopetrol Prometeo - Documents\Planning Space Implementation\3. Analysis &amp; Design\Design\FC22\DRR Jaime\QUIFA-CAJÚA\Cajua\[VAS_CAJUA_CF_SEC_20230125.xlsx]CF PND'!$BW$53</t>
  </si>
  <si>
    <t>='C:\Users\jaime.benazar\Quorum Business Solutions\Ecopetrol Prometeo - Documents\Planning Space Implementation\3. Analysis &amp; Design\Design\FC22\DRR Jaime\QUIFA-CAJÚA\Cajua\[VAS_CAJUA_CF_SEC_20230125.xlsx]CF PND'!$BW$54</t>
  </si>
  <si>
    <t>='C:\Users\jaime.benazar\Quorum Business Solutions\Ecopetrol Prometeo - Documents\Planning Space Implementation\3. Analysis &amp; Design\Design\FC22\DRR Jaime\QUIFA-CAJÚA\Cajua\[VAS_CAJUA_CF_SEC_20230125.xlsx]CF PND'!$BW$55</t>
  </si>
  <si>
    <t>='C:\Users\jaime.benazar\Quorum Business Solutions\Ecopetrol Prometeo - Documents\Planning Space Implementation\3. Analysis &amp; Design\Design\FC22\DRR Jaime\QUIFA-CAJÚA\Cajua\[VAS_CAJUA_CF_SEC_20230125.xlsx]CF PND'!$BW$56</t>
  </si>
  <si>
    <t>='C:\Users\jaime.benazar\Quorum Business Solutions\Ecopetrol Prometeo - Documents\Planning Space Implementation\3. Analysis &amp; Design\Design\FC22\DRR Jaime\QUIFA-CAJÚA\Cajua\[VAS_CAJUA_CF_SEC_20230125.xlsx]CF PND'!$BW$57</t>
  </si>
  <si>
    <t>='C:\Users\jaime.benazar\Quorum Business Solutions\Ecopetrol Prometeo - Documents\Planning Space Implementation\3. Analysis &amp; Design\Design\FC22\DRR Jaime\QUIFA-CAJÚA\Cajua\[VAS_CAJUA_CF_SEC_20230125.xlsx]CF PND'!$BW$58</t>
  </si>
  <si>
    <t>='C:\Users\jaime.benazar\Quorum Business Solutions\Ecopetrol Prometeo - Documents\Planning Space Implementation\3. Analysis &amp; Design\Design\FC22\DRR Jaime\QUIFA-CAJÚA\Cajua\[VAS_CAJUA_CF_SEC_20230125.xlsx]CF PND'!$BW$59</t>
  </si>
  <si>
    <t>='C:\Users\jaime.benazar\Quorum Business Solutions\Ecopetrol Prometeo - Documents\Planning Space Implementation\3. Analysis &amp; Design\Design\FC22\DRR Jaime\QUIFA-CAJÚA\Cajua\[VAS_CAJUA_CF_SEC_20230125.xlsx]CF PND'!$BW$60</t>
  </si>
  <si>
    <t>='C:\Users\jaime.benazar\Quorum Business Solutions\Ecopetrol Prometeo - Documents\Planning Space Implementation\3. Analysis &amp; Design\Design\FC22\DRR Jaime\QUIFA-CAJÚA\Cajua\[VAS_CAJUA_CF_SEC_20230125.xlsx]CF PND'!$BW$61</t>
  </si>
  <si>
    <t>='C:\Users\jaime.benazar\Quorum Business Solutions\Ecopetrol Prometeo - Documents\Planning Space Implementation\3. Analysis &amp; Design\Design\FC22\DRR Jaime\QUIFA-CAJÚA\Cajua\[VAS_CAJUA_CF_SEC_20230125.xlsx]CF PND'!$BW$62</t>
  </si>
  <si>
    <t>='C:\Users\jaime.benazar\Quorum Business Solutions\Ecopetrol Prometeo - Documents\Planning Space Implementation\3. Analysis &amp; Design\Design\FC22\DRR Jaime\QUIFA-CAJÚA\Cajua\[VAS_CAJUA_CF_SEC_20230125.xlsx]CF PND'!$BW$63</t>
  </si>
  <si>
    <t>='C:\Users\jaime.benazar\Quorum Business Solutions\Ecopetrol Prometeo - Documents\Planning Space Implementation\3. Analysis &amp; Design\Design\FC22\DRR Jaime\QUIFA-CAJÚA\Cajua\[VAS_CAJUA_CF_SEC_20230125.xlsx]CF PND'!$BW$64</t>
  </si>
  <si>
    <t>='C:\Users\jaime.benazar\Quorum Business Solutions\Ecopetrol Prometeo - Documents\Planning Space Implementation\3. Analysis &amp; Design\Design\FC22\DRR Jaime\QUIFA-CAJÚA\Cajua\[VAS_CAJUA_CF_SEC_20230125.xlsx]CF PND'!$BW$65</t>
  </si>
  <si>
    <t>='C:\Users\jaime.benazar\Quorum Business Solutions\Ecopetrol Prometeo - Documents\Planning Space Implementation\3. Analysis &amp; Design\Design\FC22\DRR Jaime\QUIFA-CAJÚA\Cajua\[VAS_CAJUA_CF_SEC_20230125.xlsx]CF PND'!$BW$66</t>
  </si>
  <si>
    <t>='C:\Users\jaime.benazar\Quorum Business Solutions\Ecopetrol Prometeo - Documents\Planning Space Implementation\3. Analysis &amp; Design\Design\FC22\DRR Jaime\QUIFA-CAJÚA\Cajua\[VAS_CAJUA_CF_SEC_20230125.xlsx]CF PND'!$BW$67</t>
  </si>
  <si>
    <t>='C:\Users\jaime.benazar\Quorum Business Solutions\Ecopetrol Prometeo - Documents\Planning Space Implementation\3. Analysis &amp; Design\Design\FC22\DRR Jaime\QUIFA-CAJÚA\Cajua\[VAS_CAJUA_CF_SEC_20230125.xlsx]CF PND'!$BW$68</t>
  </si>
  <si>
    <t>='C:\Users\jaime.benazar\Quorum Business Solutions\Ecopetrol Prometeo - Documents\Planning Space Implementation\3. Analysis &amp; Design\Design\FC22\DRR Jaime\QUIFA-CAJÚA\Cajua\[VAS_CAJUA_CF_SEC_20230125.xlsx]CF PND'!$BW$69</t>
  </si>
  <si>
    <t>='C:\Users\jaime.benazar\Quorum Business Solutions\Ecopetrol Prometeo - Documents\Planning Space Implementation\3. Analysis &amp; Design\Design\FC22\DRR Jaime\QUIFA-CAJÚA\Cajua\[VAS_CAJUA_CF_SEC_20230125.xlsx]CF PND'!$BW$70</t>
  </si>
  <si>
    <t>='C:\Users\jaime.benazar\Quorum Business Solutions\Ecopetrol Prometeo - Documents\Planning Space Implementation\3. Analysis &amp; Design\Design\FC22\DRR Jaime\QUIFA-CAJÚA\Cajua\[VAS_CAJUA_CF_SEC_20230125.xlsx]CF PND'!$BW$71</t>
  </si>
  <si>
    <t>='C:\Users\jaime.benazar\Quorum Business Solutions\Ecopetrol Prometeo - Documents\Planning Space Implementation\3. Analysis &amp; Design\Design\FC22\DRR Jaime\QUIFA-CAJÚA\Cajua\[VAS_CAJUA_CF_SEC_20230125.xlsx]CF PND'!$BW$72</t>
  </si>
  <si>
    <t>='C:\Users\jaime.benazar\Quorum Business Solutions\Ecopetrol Prometeo - Documents\Planning Space Implementation\3. Analysis &amp; Design\Design\FC22\DRR Jaime\QUIFA-CAJÚA\Cajua\[VAS_CAJUA_CF_SEC_20230125.xlsx]CF PRB'!$BW$36</t>
  </si>
  <si>
    <t>='C:\Users\jaime.benazar\Quorum Business Solutions\Ecopetrol Prometeo - Documents\Planning Space Implementation\3. Analysis &amp; Design\Design\FC22\DRR Jaime\QUIFA-CAJÚA\Cajua\[VAS_CAJUA_CF_SEC_20230125.xlsx]CF PRB'!$BW$37</t>
  </si>
  <si>
    <t>='C:\Users\jaime.benazar\Quorum Business Solutions\Ecopetrol Prometeo - Documents\Planning Space Implementation\3. Analysis &amp; Design\Design\FC22\DRR Jaime\QUIFA-CAJÚA\Cajua\[VAS_CAJUA_CF_SEC_20230125.xlsx]CF PRB'!$BW$38</t>
  </si>
  <si>
    <t>='C:\Users\jaime.benazar\Quorum Business Solutions\Ecopetrol Prometeo - Documents\Planning Space Implementation\3. Analysis &amp; Design\Design\FC22\DRR Jaime\QUIFA-CAJÚA\Cajua\[VAS_CAJUA_CF_SEC_20230125.xlsx]CF PRB'!$BW$39</t>
  </si>
  <si>
    <t>='C:\Users\jaime.benazar\Quorum Business Solutions\Ecopetrol Prometeo - Documents\Planning Space Implementation\3. Analysis &amp; Design\Design\FC22\DRR Jaime\QUIFA-CAJÚA\Cajua\[VAS_CAJUA_CF_SEC_20230125.xlsx]CF PRB'!$BW$40</t>
  </si>
  <si>
    <t>='C:\Users\jaime.benazar\Quorum Business Solutions\Ecopetrol Prometeo - Documents\Planning Space Implementation\3. Analysis &amp; Design\Design\FC22\DRR Jaime\QUIFA-CAJÚA\Cajua\[VAS_CAJUA_CF_SEC_20230125.xlsx]CF PRB'!$BW$41</t>
  </si>
  <si>
    <t>='C:\Users\jaime.benazar\Quorum Business Solutions\Ecopetrol Prometeo - Documents\Planning Space Implementation\3. Analysis &amp; Design\Design\FC22\DRR Jaime\QUIFA-CAJÚA\Cajua\[VAS_CAJUA_CF_SEC_20230125.xlsx]CF PRB'!$BW$42</t>
  </si>
  <si>
    <t>='C:\Users\jaime.benazar\Quorum Business Solutions\Ecopetrol Prometeo - Documents\Planning Space Implementation\3. Analysis &amp; Design\Design\FC22\DRR Jaime\QUIFA-CAJÚA\Cajua\[VAS_CAJUA_CF_SEC_20230125.xlsx]CF PRB'!$BW$43</t>
  </si>
  <si>
    <t>='C:\Users\jaime.benazar\Quorum Business Solutions\Ecopetrol Prometeo - Documents\Planning Space Implementation\3. Analysis &amp; Design\Design\FC22\DRR Jaime\QUIFA-CAJÚA\Cajua\[VAS_CAJUA_CF_SEC_20230125.xlsx]CF PRB'!$BW$44</t>
  </si>
  <si>
    <t>='C:\Users\jaime.benazar\Quorum Business Solutions\Ecopetrol Prometeo - Documents\Planning Space Implementation\3. Analysis &amp; Design\Design\FC22\DRR Jaime\QUIFA-CAJÚA\Cajua\[VAS_CAJUA_CF_SEC_20230125.xlsx]CF PRB'!$BW$45</t>
  </si>
  <si>
    <t>='C:\Users\jaime.benazar\Quorum Business Solutions\Ecopetrol Prometeo - Documents\Planning Space Implementation\3. Analysis &amp; Design\Design\FC22\DRR Jaime\QUIFA-CAJÚA\Cajua\[VAS_CAJUA_CF_SEC_20230125.xlsx]CF PRB'!$BW$46</t>
  </si>
  <si>
    <t>='C:\Users\jaime.benazar\Quorum Business Solutions\Ecopetrol Prometeo - Documents\Planning Space Implementation\3. Analysis &amp; Design\Design\FC22\DRR Jaime\QUIFA-CAJÚA\Cajua\[VAS_CAJUA_CF_SEC_20230125.xlsx]CF PRB'!$BW$47</t>
  </si>
  <si>
    <t>='C:\Users\jaime.benazar\Quorum Business Solutions\Ecopetrol Prometeo - Documents\Planning Space Implementation\3. Analysis &amp; Design\Design\FC22\DRR Jaime\QUIFA-CAJÚA\Cajua\[VAS_CAJUA_CF_SEC_20230125.xlsx]CF PRB'!$BW$48</t>
  </si>
  <si>
    <t>='C:\Users\jaime.benazar\Quorum Business Solutions\Ecopetrol Prometeo - Documents\Planning Space Implementation\3. Analysis &amp; Design\Design\FC22\DRR Jaime\QUIFA-CAJÚA\Cajua\[VAS_CAJUA_CF_SEC_20230125.xlsx]CF PRB'!$BW$49</t>
  </si>
  <si>
    <t>='C:\Users\jaime.benazar\Quorum Business Solutions\Ecopetrol Prometeo - Documents\Planning Space Implementation\3. Analysis &amp; Design\Design\FC22\DRR Jaime\QUIFA-CAJÚA\Cajua\[VAS_CAJUA_CF_SEC_20230125.xlsx]CF PRB'!$BW$50</t>
  </si>
  <si>
    <t>='C:\Users\jaime.benazar\Quorum Business Solutions\Ecopetrol Prometeo - Documents\Planning Space Implementation\3. Analysis &amp; Design\Design\FC22\DRR Jaime\QUIFA-CAJÚA\Cajua\[VAS_CAJUA_CF_SEC_20230125.xlsx]CF PRB'!$BW$51</t>
  </si>
  <si>
    <t>='C:\Users\jaime.benazar\Quorum Business Solutions\Ecopetrol Prometeo - Documents\Planning Space Implementation\3. Analysis &amp; Design\Design\FC22\DRR Jaime\QUIFA-CAJÚA\Cajua\[VAS_CAJUA_CF_SEC_20230125.xlsx]CF PRB'!$BW$52</t>
  </si>
  <si>
    <t>='C:\Users\jaime.benazar\Quorum Business Solutions\Ecopetrol Prometeo - Documents\Planning Space Implementation\3. Analysis &amp; Design\Design\FC22\DRR Jaime\QUIFA-CAJÚA\Cajua\[VAS_CAJUA_CF_SEC_20230125.xlsx]CF PRB'!$BW$53</t>
  </si>
  <si>
    <t>='C:\Users\jaime.benazar\Quorum Business Solutions\Ecopetrol Prometeo - Documents\Planning Space Implementation\3. Analysis &amp; Design\Design\FC22\DRR Jaime\QUIFA-CAJÚA\Cajua\[VAS_CAJUA_CF_SEC_20230125.xlsx]CF PRB'!$BW$54</t>
  </si>
  <si>
    <t>='C:\Users\jaime.benazar\Quorum Business Solutions\Ecopetrol Prometeo - Documents\Planning Space Implementation\3. Analysis &amp; Design\Design\FC22\DRR Jaime\QUIFA-CAJÚA\Cajua\[VAS_CAJUA_CF_SEC_20230125.xlsx]CF PRB'!$BW$55</t>
  </si>
  <si>
    <t>='C:\Users\jaime.benazar\Quorum Business Solutions\Ecopetrol Prometeo - Documents\Planning Space Implementation\3. Analysis &amp; Design\Design\FC22\DRR Jaime\QUIFA-CAJÚA\Cajua\[VAS_CAJUA_CF_SEC_20230125.xlsx]CF PRB'!$BW$56</t>
  </si>
  <si>
    <t>='C:\Users\jaime.benazar\Quorum Business Solutions\Ecopetrol Prometeo - Documents\Planning Space Implementation\3. Analysis &amp; Design\Design\FC22\DRR Jaime\QUIFA-CAJÚA\Cajua\[VAS_CAJUA_CF_SEC_20230125.xlsx]CF PRB'!$BW$57</t>
  </si>
  <si>
    <t>='C:\Users\jaime.benazar\Quorum Business Solutions\Ecopetrol Prometeo - Documents\Planning Space Implementation\3. Analysis &amp; Design\Design\FC22\DRR Jaime\QUIFA-CAJÚA\Cajua\[VAS_CAJUA_CF_SEC_20230125.xlsx]CF PRB'!$BW$58</t>
  </si>
  <si>
    <t>='C:\Users\jaime.benazar\Quorum Business Solutions\Ecopetrol Prometeo - Documents\Planning Space Implementation\3. Analysis &amp; Design\Design\FC22\DRR Jaime\QUIFA-CAJÚA\Cajua\[VAS_CAJUA_CF_SEC_20230125.xlsx]CF PRB'!$BW$59</t>
  </si>
  <si>
    <t>='C:\Users\jaime.benazar\Quorum Business Solutions\Ecopetrol Prometeo - Documents\Planning Space Implementation\3. Analysis &amp; Design\Design\FC22\DRR Jaime\QUIFA-CAJÚA\Cajua\[VAS_CAJUA_CF_SEC_20230125.xlsx]CF PRB'!$BW$60</t>
  </si>
  <si>
    <t>='C:\Users\jaime.benazar\Quorum Business Solutions\Ecopetrol Prometeo - Documents\Planning Space Implementation\3. Analysis &amp; Design\Design\FC22\DRR Jaime\QUIFA-CAJÚA\Cajua\[VAS_CAJUA_CF_SEC_20230125.xlsx]CF PRB'!$BW$61</t>
  </si>
  <si>
    <t>='C:\Users\jaime.benazar\Quorum Business Solutions\Ecopetrol Prometeo - Documents\Planning Space Implementation\3. Analysis &amp; Design\Design\FC22\DRR Jaime\QUIFA-CAJÚA\Cajua\[VAS_CAJUA_CF_SEC_20230125.xlsx]CF PRB'!$BW$62</t>
  </si>
  <si>
    <t>='C:\Users\jaime.benazar\Quorum Business Solutions\Ecopetrol Prometeo - Documents\Planning Space Implementation\3. Analysis &amp; Design\Design\FC22\DRR Jaime\QUIFA-CAJÚA\Cajua\[VAS_CAJUA_CF_SEC_20230125.xlsx]CF PRB'!$BW$63</t>
  </si>
  <si>
    <t>='C:\Users\jaime.benazar\Quorum Business Solutions\Ecopetrol Prometeo - Documents\Planning Space Implementation\3. Analysis &amp; Design\Design\FC22\DRR Jaime\QUIFA-CAJÚA\Cajua\[VAS_CAJUA_CF_SEC_20230125.xlsx]CF PRB'!$BW$64</t>
  </si>
  <si>
    <t>='C:\Users\jaime.benazar\Quorum Business Solutions\Ecopetrol Prometeo - Documents\Planning Space Implementation\3. Analysis &amp; Design\Design\FC22\DRR Jaime\QUIFA-CAJÚA\Cajua\[VAS_CAJUA_CF_SEC_20230125.xlsx]CF PRB'!$BW$65</t>
  </si>
  <si>
    <t>='C:\Users\jaime.benazar\Quorum Business Solutions\Ecopetrol Prometeo - Documents\Planning Space Implementation\3. Analysis &amp; Design\Design\FC22\DRR Jaime\QUIFA-CAJÚA\Cajua\[VAS_CAJUA_CF_SEC_20230125.xlsx]CF PRB'!$BW$66</t>
  </si>
  <si>
    <t>='C:\Users\jaime.benazar\Quorum Business Solutions\Ecopetrol Prometeo - Documents\Planning Space Implementation\3. Analysis &amp; Design\Design\FC22\DRR Jaime\QUIFA-CAJÚA\Cajua\[VAS_CAJUA_CF_SEC_20230125.xlsx]CF PRB'!$BW$67</t>
  </si>
  <si>
    <t>='C:\Users\jaime.benazar\Quorum Business Solutions\Ecopetrol Prometeo - Documents\Planning Space Implementation\3. Analysis &amp; Design\Design\FC22\DRR Jaime\QUIFA-CAJÚA\Cajua\[VAS_CAJUA_CF_SEC_20230125.xlsx]CF PRB'!$BW$68</t>
  </si>
  <si>
    <t>='C:\Users\jaime.benazar\Quorum Business Solutions\Ecopetrol Prometeo - Documents\Planning Space Implementation\3. Analysis &amp; Design\Design\FC22\DRR Jaime\QUIFA-CAJÚA\Cajua\[VAS_CAJUA_CF_SEC_20230125.xlsx]CF PRB'!$BW$69</t>
  </si>
  <si>
    <t>='C:\Users\jaime.benazar\Quorum Business Solutions\Ecopetrol Prometeo - Documents\Planning Space Implementation\3. Analysis &amp; Design\Design\FC22\DRR Jaime\QUIFA-CAJÚA\Cajua\[VAS_CAJUA_CF_SEC_20230125.xlsx]CF PRB'!$BW$70</t>
  </si>
  <si>
    <t>='C:\Users\jaime.benazar\Quorum Business Solutions\Ecopetrol Prometeo - Documents\Planning Space Implementation\3. Analysis &amp; Design\Design\FC22\DRR Jaime\QUIFA-CAJÚA\Cajua\[VAS_CAJUA_CF_SEC_20230125.xlsx]CF PRB'!$BW$71</t>
  </si>
  <si>
    <t>='C:\Users\jaime.benazar\Quorum Business Solutions\Ecopetrol Prometeo - Documents\Planning Space Implementation\3. Analysis &amp; Design\Design\FC22\DRR Jaime\QUIFA-CAJÚA\Cajua\[VAS_CAJUA_CF_SEC_20230125.xlsx]CF PRB'!$BW$72</t>
  </si>
  <si>
    <t>='C:\Users\jaime.benazar\Quorum Business Solutions\Ecopetrol Prometeo - Documents\Planning Space Implementation\3. Analysis &amp; Design\Design\FC22\DRR Jaime\QUIFA-CAJÚA\Cajua\[VAS_CAJUA_CF_SEC_20230125.xlsx]CF PS'!$BW$36</t>
  </si>
  <si>
    <t>='C:\Users\jaime.benazar\Quorum Business Solutions\Ecopetrol Prometeo - Documents\Planning Space Implementation\3. Analysis &amp; Design\Design\FC22\DRR Jaime\QUIFA-CAJÚA\Cajua\[VAS_CAJUA_CF_SEC_20230125.xlsx]CF PS'!$BW$37</t>
  </si>
  <si>
    <t>='C:\Users\jaime.benazar\Quorum Business Solutions\Ecopetrol Prometeo - Documents\Planning Space Implementation\3. Analysis &amp; Design\Design\FC22\DRR Jaime\QUIFA-CAJÚA\Cajua\[VAS_CAJUA_CF_SEC_20230125.xlsx]CF PS'!$BW$38</t>
  </si>
  <si>
    <t>='C:\Users\jaime.benazar\Quorum Business Solutions\Ecopetrol Prometeo - Documents\Planning Space Implementation\3. Analysis &amp; Design\Design\FC22\DRR Jaime\QUIFA-CAJÚA\Cajua\[VAS_CAJUA_CF_SEC_20230125.xlsx]CF PS'!$BW$39</t>
  </si>
  <si>
    <t>='C:\Users\jaime.benazar\Quorum Business Solutions\Ecopetrol Prometeo - Documents\Planning Space Implementation\3. Analysis &amp; Design\Design\FC22\DRR Jaime\QUIFA-CAJÚA\Cajua\[VAS_CAJUA_CF_SEC_20230125.xlsx]CF PS'!$BW$40</t>
  </si>
  <si>
    <t>='C:\Users\jaime.benazar\Quorum Business Solutions\Ecopetrol Prometeo - Documents\Planning Space Implementation\3. Analysis &amp; Design\Design\FC22\DRR Jaime\QUIFA-CAJÚA\Cajua\[VAS_CAJUA_CF_SEC_20230125.xlsx]CF PS'!$BW$41</t>
  </si>
  <si>
    <t>='C:\Users\jaime.benazar\Quorum Business Solutions\Ecopetrol Prometeo - Documents\Planning Space Implementation\3. Analysis &amp; Design\Design\FC22\DRR Jaime\QUIFA-CAJÚA\Cajua\[VAS_CAJUA_CF_SEC_20230125.xlsx]CF PS'!$BW$42</t>
  </si>
  <si>
    <t>='C:\Users\jaime.benazar\Quorum Business Solutions\Ecopetrol Prometeo - Documents\Planning Space Implementation\3. Analysis &amp; Design\Design\FC22\DRR Jaime\QUIFA-CAJÚA\Cajua\[VAS_CAJUA_CF_SEC_20230125.xlsx]CF PS'!$BW$43</t>
  </si>
  <si>
    <t>='C:\Users\jaime.benazar\Quorum Business Solutions\Ecopetrol Prometeo - Documents\Planning Space Implementation\3. Analysis &amp; Design\Design\FC22\DRR Jaime\QUIFA-CAJÚA\Cajua\[VAS_CAJUA_CF_SEC_20230125.xlsx]CF PS'!$BW$44</t>
  </si>
  <si>
    <t>='C:\Users\jaime.benazar\Quorum Business Solutions\Ecopetrol Prometeo - Documents\Planning Space Implementation\3. Analysis &amp; Design\Design\FC22\DRR Jaime\QUIFA-CAJÚA\Cajua\[VAS_CAJUA_CF_SEC_20230125.xlsx]CF PS'!$BW$45</t>
  </si>
  <si>
    <t>='C:\Users\jaime.benazar\Quorum Business Solutions\Ecopetrol Prometeo - Documents\Planning Space Implementation\3. Analysis &amp; Design\Design\FC22\DRR Jaime\QUIFA-CAJÚA\Cajua\[VAS_CAJUA_CF_SEC_20230125.xlsx]CF PS'!$BW$46</t>
  </si>
  <si>
    <t>='C:\Users\jaime.benazar\Quorum Business Solutions\Ecopetrol Prometeo - Documents\Planning Space Implementation\3. Analysis &amp; Design\Design\FC22\DRR Jaime\QUIFA-CAJÚA\Cajua\[VAS_CAJUA_CF_SEC_20230125.xlsx]CF PS'!$BW$47</t>
  </si>
  <si>
    <t>='C:\Users\jaime.benazar\Quorum Business Solutions\Ecopetrol Prometeo - Documents\Planning Space Implementation\3. Analysis &amp; Design\Design\FC22\DRR Jaime\QUIFA-CAJÚA\Cajua\[VAS_CAJUA_CF_SEC_20230125.xlsx]CF PS'!$BW$48</t>
  </si>
  <si>
    <t>='C:\Users\jaime.benazar\Quorum Business Solutions\Ecopetrol Prometeo - Documents\Planning Space Implementation\3. Analysis &amp; Design\Design\FC22\DRR Jaime\QUIFA-CAJÚA\Cajua\[VAS_CAJUA_CF_SEC_20230125.xlsx]CF PS'!$BW$49</t>
  </si>
  <si>
    <t>='C:\Users\jaime.benazar\Quorum Business Solutions\Ecopetrol Prometeo - Documents\Planning Space Implementation\3. Analysis &amp; Design\Design\FC22\DRR Jaime\QUIFA-CAJÚA\Cajua\[VAS_CAJUA_CF_SEC_20230125.xlsx]CF PS'!$BW$50</t>
  </si>
  <si>
    <t>='C:\Users\jaime.benazar\Quorum Business Solutions\Ecopetrol Prometeo - Documents\Planning Space Implementation\3. Analysis &amp; Design\Design\FC22\DRR Jaime\QUIFA-CAJÚA\Cajua\[VAS_CAJUA_CF_SEC_20230125.xlsx]CF PS'!$BW$51</t>
  </si>
  <si>
    <t>='C:\Users\jaime.benazar\Quorum Business Solutions\Ecopetrol Prometeo - Documents\Planning Space Implementation\3. Analysis &amp; Design\Design\FC22\DRR Jaime\QUIFA-CAJÚA\Cajua\[VAS_CAJUA_CF_SEC_20230125.xlsx]CF PS'!$BW$52</t>
  </si>
  <si>
    <t>='C:\Users\jaime.benazar\Quorum Business Solutions\Ecopetrol Prometeo - Documents\Planning Space Implementation\3. Analysis &amp; Design\Design\FC22\DRR Jaime\QUIFA-CAJÚA\Cajua\[VAS_CAJUA_CF_SEC_20230125.xlsx]CF PS'!$BW$53</t>
  </si>
  <si>
    <t>='C:\Users\jaime.benazar\Quorum Business Solutions\Ecopetrol Prometeo - Documents\Planning Space Implementation\3. Analysis &amp; Design\Design\FC22\DRR Jaime\QUIFA-CAJÚA\Cajua\[VAS_CAJUA_CF_SEC_20230125.xlsx]CF PS'!$BW$54</t>
  </si>
  <si>
    <t>='C:\Users\jaime.benazar\Quorum Business Solutions\Ecopetrol Prometeo - Documents\Planning Space Implementation\3. Analysis &amp; Design\Design\FC22\DRR Jaime\QUIFA-CAJÚA\Cajua\[VAS_CAJUA_CF_SEC_20230125.xlsx]CF PS'!$BW$55</t>
  </si>
  <si>
    <t>='C:\Users\jaime.benazar\Quorum Business Solutions\Ecopetrol Prometeo - Documents\Planning Space Implementation\3. Analysis &amp; Design\Design\FC22\DRR Jaime\QUIFA-CAJÚA\Cajua\[VAS_CAJUA_CF_SEC_20230125.xlsx]CF PS'!$BW$56</t>
  </si>
  <si>
    <t>='C:\Users\jaime.benazar\Quorum Business Solutions\Ecopetrol Prometeo - Documents\Planning Space Implementation\3. Analysis &amp; Design\Design\FC22\DRR Jaime\QUIFA-CAJÚA\Cajua\[VAS_CAJUA_CF_SEC_20230125.xlsx]CF PS'!$BW$57</t>
  </si>
  <si>
    <t>='C:\Users\jaime.benazar\Quorum Business Solutions\Ecopetrol Prometeo - Documents\Planning Space Implementation\3. Analysis &amp; Design\Design\FC22\DRR Jaime\QUIFA-CAJÚA\Cajua\[VAS_CAJUA_CF_SEC_20230125.xlsx]CF PS'!$BW$58</t>
  </si>
  <si>
    <t>='C:\Users\jaime.benazar\Quorum Business Solutions\Ecopetrol Prometeo - Documents\Planning Space Implementation\3. Analysis &amp; Design\Design\FC22\DRR Jaime\QUIFA-CAJÚA\Cajua\[VAS_CAJUA_CF_SEC_20230125.xlsx]CF PS'!$BW$59</t>
  </si>
  <si>
    <t>='C:\Users\jaime.benazar\Quorum Business Solutions\Ecopetrol Prometeo - Documents\Planning Space Implementation\3. Analysis &amp; Design\Design\FC22\DRR Jaime\QUIFA-CAJÚA\Cajua\[VAS_CAJUA_CF_SEC_20230125.xlsx]CF PS'!$BW$60</t>
  </si>
  <si>
    <t>='C:\Users\jaime.benazar\Quorum Business Solutions\Ecopetrol Prometeo - Documents\Planning Space Implementation\3. Analysis &amp; Design\Design\FC22\DRR Jaime\QUIFA-CAJÚA\Cajua\[VAS_CAJUA_CF_SEC_20230125.xlsx]CF PS'!$BW$61</t>
  </si>
  <si>
    <t>='C:\Users\jaime.benazar\Quorum Business Solutions\Ecopetrol Prometeo - Documents\Planning Space Implementation\3. Analysis &amp; Design\Design\FC22\DRR Jaime\QUIFA-CAJÚA\Cajua\[VAS_CAJUA_CF_SEC_20230125.xlsx]CF PS'!$BW$62</t>
  </si>
  <si>
    <t>='C:\Users\jaime.benazar\Quorum Business Solutions\Ecopetrol Prometeo - Documents\Planning Space Implementation\3. Analysis &amp; Design\Design\FC22\DRR Jaime\QUIFA-CAJÚA\Cajua\[VAS_CAJUA_CF_SEC_20230125.xlsx]CF PS'!$BW$63</t>
  </si>
  <si>
    <t>='C:\Users\jaime.benazar\Quorum Business Solutions\Ecopetrol Prometeo - Documents\Planning Space Implementation\3. Analysis &amp; Design\Design\FC22\DRR Jaime\QUIFA-CAJÚA\Cajua\[VAS_CAJUA_CF_SEC_20230125.xlsx]CF PS'!$BW$64</t>
  </si>
  <si>
    <t>='C:\Users\jaime.benazar\Quorum Business Solutions\Ecopetrol Prometeo - Documents\Planning Space Implementation\3. Analysis &amp; Design\Design\FC22\DRR Jaime\QUIFA-CAJÚA\Cajua\[VAS_CAJUA_CF_SEC_20230125.xlsx]CF PS'!$BW$65</t>
  </si>
  <si>
    <t>='C:\Users\jaime.benazar\Quorum Business Solutions\Ecopetrol Prometeo - Documents\Planning Space Implementation\3. Analysis &amp; Design\Design\FC22\DRR Jaime\QUIFA-CAJÚA\Cajua\[VAS_CAJUA_CF_SEC_20230125.xlsx]CF PS'!$BW$66</t>
  </si>
  <si>
    <t>='C:\Users\jaime.benazar\Quorum Business Solutions\Ecopetrol Prometeo - Documents\Planning Space Implementation\3. Analysis &amp; Design\Design\FC22\DRR Jaime\QUIFA-CAJÚA\Cajua\[VAS_CAJUA_CF_SEC_20230125.xlsx]CF PS'!$BW$67</t>
  </si>
  <si>
    <t>='C:\Users\jaime.benazar\Quorum Business Solutions\Ecopetrol Prometeo - Documents\Planning Space Implementation\3. Analysis &amp; Design\Design\FC22\DRR Jaime\QUIFA-CAJÚA\Cajua\[VAS_CAJUA_CF_SEC_20230125.xlsx]CF PS'!$BW$68</t>
  </si>
  <si>
    <t>='C:\Users\jaime.benazar\Quorum Business Solutions\Ecopetrol Prometeo - Documents\Planning Space Implementation\3. Analysis &amp; Design\Design\FC22\DRR Jaime\QUIFA-CAJÚA\Cajua\[VAS_CAJUA_CF_SEC_20230125.xlsx]CF PS'!$BW$69</t>
  </si>
  <si>
    <t>='C:\Users\jaime.benazar\Quorum Business Solutions\Ecopetrol Prometeo - Documents\Planning Space Implementation\3. Analysis &amp; Design\Design\FC22\DRR Jaime\QUIFA-CAJÚA\Cajua\[VAS_CAJUA_CF_SEC_20230125.xlsx]CF PS'!$BW$70</t>
  </si>
  <si>
    <t>='C:\Users\jaime.benazar\Quorum Business Solutions\Ecopetrol Prometeo - Documents\Planning Space Implementation\3. Analysis &amp; Design\Design\FC22\DRR Jaime\QUIFA-CAJÚA\Cajua\[VAS_CAJUA_CF_SEC_20230125.xlsx]CF PS'!$BW$71</t>
  </si>
  <si>
    <t>='C:\Users\jaime.benazar\Quorum Business Solutions\Ecopetrol Prometeo - Documents\Planning Space Implementation\3. Analysis &amp; Design\Design\FC22\DRR Jaime\QUIFA-CAJÚA\Cajua\[VAS_CAJUA_CF_SEC_20230125.xlsx]CF PS'!$BW$72</t>
  </si>
  <si>
    <t>='C:\Users\jaime.benazar\Quorum Business Solutions\Ecopetrol Prometeo - Documents\Planning Space Implementation\3. Analysis &amp; Design\Design\FC22\DRR Jaime\QUIFA-CAJÚA\Cajua\[VAS_CAJUA_CF_SEC_20230125.xlsx]CF PDP'!$BX$36</t>
  </si>
  <si>
    <t>='C:\Users\jaime.benazar\Quorum Business Solutions\Ecopetrol Prometeo - Documents\Planning Space Implementation\3. Analysis &amp; Design\Design\FC22\DRR Jaime\QUIFA-CAJÚA\Cajua\[VAS_CAJUA_CF_SEC_20230125.xlsx]CF PDP'!$BX$37</t>
  </si>
  <si>
    <t>='C:\Users\jaime.benazar\Quorum Business Solutions\Ecopetrol Prometeo - Documents\Planning Space Implementation\3. Analysis &amp; Design\Design\FC22\DRR Jaime\QUIFA-CAJÚA\Cajua\[VAS_CAJUA_CF_SEC_20230125.xlsx]CF PDP'!$BX$38</t>
  </si>
  <si>
    <t>='C:\Users\jaime.benazar\Quorum Business Solutions\Ecopetrol Prometeo - Documents\Planning Space Implementation\3. Analysis &amp; Design\Design\FC22\DRR Jaime\QUIFA-CAJÚA\Cajua\[VAS_CAJUA_CF_SEC_20230125.xlsx]CF PDP'!$BX$39</t>
  </si>
  <si>
    <t>='C:\Users\jaime.benazar\Quorum Business Solutions\Ecopetrol Prometeo - Documents\Planning Space Implementation\3. Analysis &amp; Design\Design\FC22\DRR Jaime\QUIFA-CAJÚA\Cajua\[VAS_CAJUA_CF_SEC_20230125.xlsx]CF PDP'!$BX$40</t>
  </si>
  <si>
    <t>='C:\Users\jaime.benazar\Quorum Business Solutions\Ecopetrol Prometeo - Documents\Planning Space Implementation\3. Analysis &amp; Design\Design\FC22\DRR Jaime\QUIFA-CAJÚA\Cajua\[VAS_CAJUA_CF_SEC_20230125.xlsx]CF PDP'!$BX$41</t>
  </si>
  <si>
    <t>='C:\Users\jaime.benazar\Quorum Business Solutions\Ecopetrol Prometeo - Documents\Planning Space Implementation\3. Analysis &amp; Design\Design\FC22\DRR Jaime\QUIFA-CAJÚA\Cajua\[VAS_CAJUA_CF_SEC_20230125.xlsx]CF PDP'!$BX$42</t>
  </si>
  <si>
    <t>='C:\Users\jaime.benazar\Quorum Business Solutions\Ecopetrol Prometeo - Documents\Planning Space Implementation\3. Analysis &amp; Design\Design\FC22\DRR Jaime\QUIFA-CAJÚA\Cajua\[VAS_CAJUA_CF_SEC_20230125.xlsx]CF PDP'!$BX$43</t>
  </si>
  <si>
    <t>='C:\Users\jaime.benazar\Quorum Business Solutions\Ecopetrol Prometeo - Documents\Planning Space Implementation\3. Analysis &amp; Design\Design\FC22\DRR Jaime\QUIFA-CAJÚA\Cajua\[VAS_CAJUA_CF_SEC_20230125.xlsx]CF PDP'!$BX$44</t>
  </si>
  <si>
    <t>='C:\Users\jaime.benazar\Quorum Business Solutions\Ecopetrol Prometeo - Documents\Planning Space Implementation\3. Analysis &amp; Design\Design\FC22\DRR Jaime\QUIFA-CAJÚA\Cajua\[VAS_CAJUA_CF_SEC_20230125.xlsx]CF PDP'!$BX$45</t>
  </si>
  <si>
    <t>='C:\Users\jaime.benazar\Quorum Business Solutions\Ecopetrol Prometeo - Documents\Planning Space Implementation\3. Analysis &amp; Design\Design\FC22\DRR Jaime\QUIFA-CAJÚA\Cajua\[VAS_CAJUA_CF_SEC_20230125.xlsx]CF PDP'!$BX$46</t>
  </si>
  <si>
    <t>='C:\Users\jaime.benazar\Quorum Business Solutions\Ecopetrol Prometeo - Documents\Planning Space Implementation\3. Analysis &amp; Design\Design\FC22\DRR Jaime\QUIFA-CAJÚA\Cajua\[VAS_CAJUA_CF_SEC_20230125.xlsx]CF PDP'!$BX$47</t>
  </si>
  <si>
    <t>='C:\Users\jaime.benazar\Quorum Business Solutions\Ecopetrol Prometeo - Documents\Planning Space Implementation\3. Analysis &amp; Design\Design\FC22\DRR Jaime\QUIFA-CAJÚA\Cajua\[VAS_CAJUA_CF_SEC_20230125.xlsx]CF PDP'!$BX$48</t>
  </si>
  <si>
    <t>='C:\Users\jaime.benazar\Quorum Business Solutions\Ecopetrol Prometeo - Documents\Planning Space Implementation\3. Analysis &amp; Design\Design\FC22\DRR Jaime\QUIFA-CAJÚA\Cajua\[VAS_CAJUA_CF_SEC_20230125.xlsx]CF PDP'!$BX$49</t>
  </si>
  <si>
    <t>='C:\Users\jaime.benazar\Quorum Business Solutions\Ecopetrol Prometeo - Documents\Planning Space Implementation\3. Analysis &amp; Design\Design\FC22\DRR Jaime\QUIFA-CAJÚA\Cajua\[VAS_CAJUA_CF_SEC_20230125.xlsx]CF PDP'!$BX$50</t>
  </si>
  <si>
    <t>='C:\Users\jaime.benazar\Quorum Business Solutions\Ecopetrol Prometeo - Documents\Planning Space Implementation\3. Analysis &amp; Design\Design\FC22\DRR Jaime\QUIFA-CAJÚA\Cajua\[VAS_CAJUA_CF_SEC_20230125.xlsx]CF PDP'!$BX$51</t>
  </si>
  <si>
    <t>='C:\Users\jaime.benazar\Quorum Business Solutions\Ecopetrol Prometeo - Documents\Planning Space Implementation\3. Analysis &amp; Design\Design\FC22\DRR Jaime\QUIFA-CAJÚA\Cajua\[VAS_CAJUA_CF_SEC_20230125.xlsx]CF PDP'!$BX$52</t>
  </si>
  <si>
    <t>='C:\Users\jaime.benazar\Quorum Business Solutions\Ecopetrol Prometeo - Documents\Planning Space Implementation\3. Analysis &amp; Design\Design\FC22\DRR Jaime\QUIFA-CAJÚA\Cajua\[VAS_CAJUA_CF_SEC_20230125.xlsx]CF PDP'!$BX$53</t>
  </si>
  <si>
    <t>='C:\Users\jaime.benazar\Quorum Business Solutions\Ecopetrol Prometeo - Documents\Planning Space Implementation\3. Analysis &amp; Design\Design\FC22\DRR Jaime\QUIFA-CAJÚA\Cajua\[VAS_CAJUA_CF_SEC_20230125.xlsx]CF PDP'!$BX$54</t>
  </si>
  <si>
    <t>='C:\Users\jaime.benazar\Quorum Business Solutions\Ecopetrol Prometeo - Documents\Planning Space Implementation\3. Analysis &amp; Design\Design\FC22\DRR Jaime\QUIFA-CAJÚA\Cajua\[VAS_CAJUA_CF_SEC_20230125.xlsx]CF PDP'!$BX$55</t>
  </si>
  <si>
    <t>='C:\Users\jaime.benazar\Quorum Business Solutions\Ecopetrol Prometeo - Documents\Planning Space Implementation\3. Analysis &amp; Design\Design\FC22\DRR Jaime\QUIFA-CAJÚA\Cajua\[VAS_CAJUA_CF_SEC_20230125.xlsx]CF PDP'!$BX$56</t>
  </si>
  <si>
    <t>='C:\Users\jaime.benazar\Quorum Business Solutions\Ecopetrol Prometeo - Documents\Planning Space Implementation\3. Analysis &amp; Design\Design\FC22\DRR Jaime\QUIFA-CAJÚA\Cajua\[VAS_CAJUA_CF_SEC_20230125.xlsx]CF PDP'!$BX$57</t>
  </si>
  <si>
    <t>='C:\Users\jaime.benazar\Quorum Business Solutions\Ecopetrol Prometeo - Documents\Planning Space Implementation\3. Analysis &amp; Design\Design\FC22\DRR Jaime\QUIFA-CAJÚA\Cajua\[VAS_CAJUA_CF_SEC_20230125.xlsx]CF PDP'!$BX$58</t>
  </si>
  <si>
    <t>='C:\Users\jaime.benazar\Quorum Business Solutions\Ecopetrol Prometeo - Documents\Planning Space Implementation\3. Analysis &amp; Design\Design\FC22\DRR Jaime\QUIFA-CAJÚA\Cajua\[VAS_CAJUA_CF_SEC_20230125.xlsx]CF PDP'!$BX$59</t>
  </si>
  <si>
    <t>='C:\Users\jaime.benazar\Quorum Business Solutions\Ecopetrol Prometeo - Documents\Planning Space Implementation\3. Analysis &amp; Design\Design\FC22\DRR Jaime\QUIFA-CAJÚA\Cajua\[VAS_CAJUA_CF_SEC_20230125.xlsx]CF PDP'!$BX$60</t>
  </si>
  <si>
    <t>='C:\Users\jaime.benazar\Quorum Business Solutions\Ecopetrol Prometeo - Documents\Planning Space Implementation\3. Analysis &amp; Design\Design\FC22\DRR Jaime\QUIFA-CAJÚA\Cajua\[VAS_CAJUA_CF_SEC_20230125.xlsx]CF PDP'!$BX$61</t>
  </si>
  <si>
    <t>='C:\Users\jaime.benazar\Quorum Business Solutions\Ecopetrol Prometeo - Documents\Planning Space Implementation\3. Analysis &amp; Design\Design\FC22\DRR Jaime\QUIFA-CAJÚA\Cajua\[VAS_CAJUA_CF_SEC_20230125.xlsx]CF PDP'!$BX$62</t>
  </si>
  <si>
    <t>='C:\Users\jaime.benazar\Quorum Business Solutions\Ecopetrol Prometeo - Documents\Planning Space Implementation\3. Analysis &amp; Design\Design\FC22\DRR Jaime\QUIFA-CAJÚA\Cajua\[VAS_CAJUA_CF_SEC_20230125.xlsx]CF PDP'!$BX$63</t>
  </si>
  <si>
    <t>='C:\Users\jaime.benazar\Quorum Business Solutions\Ecopetrol Prometeo - Documents\Planning Space Implementation\3. Analysis &amp; Design\Design\FC22\DRR Jaime\QUIFA-CAJÚA\Cajua\[VAS_CAJUA_CF_SEC_20230125.xlsx]CF PDP'!$BX$64</t>
  </si>
  <si>
    <t>='C:\Users\jaime.benazar\Quorum Business Solutions\Ecopetrol Prometeo - Documents\Planning Space Implementation\3. Analysis &amp; Design\Design\FC22\DRR Jaime\QUIFA-CAJÚA\Cajua\[VAS_CAJUA_CF_SEC_20230125.xlsx]CF PDP'!$BX$65</t>
  </si>
  <si>
    <t>='C:\Users\jaime.benazar\Quorum Business Solutions\Ecopetrol Prometeo - Documents\Planning Space Implementation\3. Analysis &amp; Design\Design\FC22\DRR Jaime\QUIFA-CAJÚA\Cajua\[VAS_CAJUA_CF_SEC_20230125.xlsx]CF PDP'!$BX$66</t>
  </si>
  <si>
    <t>='C:\Users\jaime.benazar\Quorum Business Solutions\Ecopetrol Prometeo - Documents\Planning Space Implementation\3. Analysis &amp; Design\Design\FC22\DRR Jaime\QUIFA-CAJÚA\Cajua\[VAS_CAJUA_CF_SEC_20230125.xlsx]CF PDP'!$BX$67</t>
  </si>
  <si>
    <t>='C:\Users\jaime.benazar\Quorum Business Solutions\Ecopetrol Prometeo - Documents\Planning Space Implementation\3. Analysis &amp; Design\Design\FC22\DRR Jaime\QUIFA-CAJÚA\Cajua\[VAS_CAJUA_CF_SEC_20230125.xlsx]CF PDP'!$BX$68</t>
  </si>
  <si>
    <t>='C:\Users\jaime.benazar\Quorum Business Solutions\Ecopetrol Prometeo - Documents\Planning Space Implementation\3. Analysis &amp; Design\Design\FC22\DRR Jaime\QUIFA-CAJÚA\Cajua\[VAS_CAJUA_CF_SEC_20230125.xlsx]CF PDP'!$BX$69</t>
  </si>
  <si>
    <t>='C:\Users\jaime.benazar\Quorum Business Solutions\Ecopetrol Prometeo - Documents\Planning Space Implementation\3. Analysis &amp; Design\Design\FC22\DRR Jaime\QUIFA-CAJÚA\Cajua\[VAS_CAJUA_CF_SEC_20230125.xlsx]CF PDP'!$BX$70</t>
  </si>
  <si>
    <t>='C:\Users\jaime.benazar\Quorum Business Solutions\Ecopetrol Prometeo - Documents\Planning Space Implementation\3. Analysis &amp; Design\Design\FC22\DRR Jaime\QUIFA-CAJÚA\Cajua\[VAS_CAJUA_CF_SEC_20230125.xlsx]CF PDP'!$BX$71</t>
  </si>
  <si>
    <t>='C:\Users\jaime.benazar\Quorum Business Solutions\Ecopetrol Prometeo - Documents\Planning Space Implementation\3. Analysis &amp; Design\Design\FC22\DRR Jaime\QUIFA-CAJÚA\Cajua\[VAS_CAJUA_CF_SEC_20230125.xlsx]CF PDP'!$BX$72</t>
  </si>
  <si>
    <t>='C:\Users\jaime.benazar\Quorum Business Solutions\Ecopetrol Prometeo - Documents\Planning Space Implementation\3. Analysis &amp; Design\Design\FC22\DRR Jaime\QUIFA-CAJÚA\Cajua\[VAS_CAJUA_CF_SEC_20230125.xlsx]CF PNP'!$BX$36</t>
  </si>
  <si>
    <t>='C:\Users\jaime.benazar\Quorum Business Solutions\Ecopetrol Prometeo - Documents\Planning Space Implementation\3. Analysis &amp; Design\Design\FC22\DRR Jaime\QUIFA-CAJÚA\Cajua\[VAS_CAJUA_CF_SEC_20230125.xlsx]CF PNP'!$BX$37</t>
  </si>
  <si>
    <t>='C:\Users\jaime.benazar\Quorum Business Solutions\Ecopetrol Prometeo - Documents\Planning Space Implementation\3. Analysis &amp; Design\Design\FC22\DRR Jaime\QUIFA-CAJÚA\Cajua\[VAS_CAJUA_CF_SEC_20230125.xlsx]CF PNP'!$BX$38</t>
  </si>
  <si>
    <t>='C:\Users\jaime.benazar\Quorum Business Solutions\Ecopetrol Prometeo - Documents\Planning Space Implementation\3. Analysis &amp; Design\Design\FC22\DRR Jaime\QUIFA-CAJÚA\Cajua\[VAS_CAJUA_CF_SEC_20230125.xlsx]CF PNP'!$BX$39</t>
  </si>
  <si>
    <t>='C:\Users\jaime.benazar\Quorum Business Solutions\Ecopetrol Prometeo - Documents\Planning Space Implementation\3. Analysis &amp; Design\Design\FC22\DRR Jaime\QUIFA-CAJÚA\Cajua\[VAS_CAJUA_CF_SEC_20230125.xlsx]CF PNP'!$BX$40</t>
  </si>
  <si>
    <t>='C:\Users\jaime.benazar\Quorum Business Solutions\Ecopetrol Prometeo - Documents\Planning Space Implementation\3. Analysis &amp; Design\Design\FC22\DRR Jaime\QUIFA-CAJÚA\Cajua\[VAS_CAJUA_CF_SEC_20230125.xlsx]CF PNP'!$BX$41</t>
  </si>
  <si>
    <t>='C:\Users\jaime.benazar\Quorum Business Solutions\Ecopetrol Prometeo - Documents\Planning Space Implementation\3. Analysis &amp; Design\Design\FC22\DRR Jaime\QUIFA-CAJÚA\Cajua\[VAS_CAJUA_CF_SEC_20230125.xlsx]CF PNP'!$BX$42</t>
  </si>
  <si>
    <t>='C:\Users\jaime.benazar\Quorum Business Solutions\Ecopetrol Prometeo - Documents\Planning Space Implementation\3. Analysis &amp; Design\Design\FC22\DRR Jaime\QUIFA-CAJÚA\Cajua\[VAS_CAJUA_CF_SEC_20230125.xlsx]CF PNP'!$BX$43</t>
  </si>
  <si>
    <t>='C:\Users\jaime.benazar\Quorum Business Solutions\Ecopetrol Prometeo - Documents\Planning Space Implementation\3. Analysis &amp; Design\Design\FC22\DRR Jaime\QUIFA-CAJÚA\Cajua\[VAS_CAJUA_CF_SEC_20230125.xlsx]CF PNP'!$BX$44</t>
  </si>
  <si>
    <t>='C:\Users\jaime.benazar\Quorum Business Solutions\Ecopetrol Prometeo - Documents\Planning Space Implementation\3. Analysis &amp; Design\Design\FC22\DRR Jaime\QUIFA-CAJÚA\Cajua\[VAS_CAJUA_CF_SEC_20230125.xlsx]CF PNP'!$BX$45</t>
  </si>
  <si>
    <t>='C:\Users\jaime.benazar\Quorum Business Solutions\Ecopetrol Prometeo - Documents\Planning Space Implementation\3. Analysis &amp; Design\Design\FC22\DRR Jaime\QUIFA-CAJÚA\Cajua\[VAS_CAJUA_CF_SEC_20230125.xlsx]CF PNP'!$BX$46</t>
  </si>
  <si>
    <t>='C:\Users\jaime.benazar\Quorum Business Solutions\Ecopetrol Prometeo - Documents\Planning Space Implementation\3. Analysis &amp; Design\Design\FC22\DRR Jaime\QUIFA-CAJÚA\Cajua\[VAS_CAJUA_CF_SEC_20230125.xlsx]CF PNP'!$BX$47</t>
  </si>
  <si>
    <t>='C:\Users\jaime.benazar\Quorum Business Solutions\Ecopetrol Prometeo - Documents\Planning Space Implementation\3. Analysis &amp; Design\Design\FC22\DRR Jaime\QUIFA-CAJÚA\Cajua\[VAS_CAJUA_CF_SEC_20230125.xlsx]CF PNP'!$BX$48</t>
  </si>
  <si>
    <t>='C:\Users\jaime.benazar\Quorum Business Solutions\Ecopetrol Prometeo - Documents\Planning Space Implementation\3. Analysis &amp; Design\Design\FC22\DRR Jaime\QUIFA-CAJÚA\Cajua\[VAS_CAJUA_CF_SEC_20230125.xlsx]CF PNP'!$BX$49</t>
  </si>
  <si>
    <t>='C:\Users\jaime.benazar\Quorum Business Solutions\Ecopetrol Prometeo - Documents\Planning Space Implementation\3. Analysis &amp; Design\Design\FC22\DRR Jaime\QUIFA-CAJÚA\Cajua\[VAS_CAJUA_CF_SEC_20230125.xlsx]CF PNP'!$BX$50</t>
  </si>
  <si>
    <t>='C:\Users\jaime.benazar\Quorum Business Solutions\Ecopetrol Prometeo - Documents\Planning Space Implementation\3. Analysis &amp; Design\Design\FC22\DRR Jaime\QUIFA-CAJÚA\Cajua\[VAS_CAJUA_CF_SEC_20230125.xlsx]CF PNP'!$BX$51</t>
  </si>
  <si>
    <t>='C:\Users\jaime.benazar\Quorum Business Solutions\Ecopetrol Prometeo - Documents\Planning Space Implementation\3. Analysis &amp; Design\Design\FC22\DRR Jaime\QUIFA-CAJÚA\Cajua\[VAS_CAJUA_CF_SEC_20230125.xlsx]CF PNP'!$BX$52</t>
  </si>
  <si>
    <t>='C:\Users\jaime.benazar\Quorum Business Solutions\Ecopetrol Prometeo - Documents\Planning Space Implementation\3. Analysis &amp; Design\Design\FC22\DRR Jaime\QUIFA-CAJÚA\Cajua\[VAS_CAJUA_CF_SEC_20230125.xlsx]CF PNP'!$BX$53</t>
  </si>
  <si>
    <t>='C:\Users\jaime.benazar\Quorum Business Solutions\Ecopetrol Prometeo - Documents\Planning Space Implementation\3. Analysis &amp; Design\Design\FC22\DRR Jaime\QUIFA-CAJÚA\Cajua\[VAS_CAJUA_CF_SEC_20230125.xlsx]CF PNP'!$BX$54</t>
  </si>
  <si>
    <t>='C:\Users\jaime.benazar\Quorum Business Solutions\Ecopetrol Prometeo - Documents\Planning Space Implementation\3. Analysis &amp; Design\Design\FC22\DRR Jaime\QUIFA-CAJÚA\Cajua\[VAS_CAJUA_CF_SEC_20230125.xlsx]CF PNP'!$BX$55</t>
  </si>
  <si>
    <t>='C:\Users\jaime.benazar\Quorum Business Solutions\Ecopetrol Prometeo - Documents\Planning Space Implementation\3. Analysis &amp; Design\Design\FC22\DRR Jaime\QUIFA-CAJÚA\Cajua\[VAS_CAJUA_CF_SEC_20230125.xlsx]CF PNP'!$BX$56</t>
  </si>
  <si>
    <t>='C:\Users\jaime.benazar\Quorum Business Solutions\Ecopetrol Prometeo - Documents\Planning Space Implementation\3. Analysis &amp; Design\Design\FC22\DRR Jaime\QUIFA-CAJÚA\Cajua\[VAS_CAJUA_CF_SEC_20230125.xlsx]CF PNP'!$BX$57</t>
  </si>
  <si>
    <t>='C:\Users\jaime.benazar\Quorum Business Solutions\Ecopetrol Prometeo - Documents\Planning Space Implementation\3. Analysis &amp; Design\Design\FC22\DRR Jaime\QUIFA-CAJÚA\Cajua\[VAS_CAJUA_CF_SEC_20230125.xlsx]CF PNP'!$BX$58</t>
  </si>
  <si>
    <t>='C:\Users\jaime.benazar\Quorum Business Solutions\Ecopetrol Prometeo - Documents\Planning Space Implementation\3. Analysis &amp; Design\Design\FC22\DRR Jaime\QUIFA-CAJÚA\Cajua\[VAS_CAJUA_CF_SEC_20230125.xlsx]CF PNP'!$BX$59</t>
  </si>
  <si>
    <t>='C:\Users\jaime.benazar\Quorum Business Solutions\Ecopetrol Prometeo - Documents\Planning Space Implementation\3. Analysis &amp; Design\Design\FC22\DRR Jaime\QUIFA-CAJÚA\Cajua\[VAS_CAJUA_CF_SEC_20230125.xlsx]CF PNP'!$BX$60</t>
  </si>
  <si>
    <t>='C:\Users\jaime.benazar\Quorum Business Solutions\Ecopetrol Prometeo - Documents\Planning Space Implementation\3. Analysis &amp; Design\Design\FC22\DRR Jaime\QUIFA-CAJÚA\Cajua\[VAS_CAJUA_CF_SEC_20230125.xlsx]CF PNP'!$BX$61</t>
  </si>
  <si>
    <t>='C:\Users\jaime.benazar\Quorum Business Solutions\Ecopetrol Prometeo - Documents\Planning Space Implementation\3. Analysis &amp; Design\Design\FC22\DRR Jaime\QUIFA-CAJÚA\Cajua\[VAS_CAJUA_CF_SEC_20230125.xlsx]CF PNP'!$BX$62</t>
  </si>
  <si>
    <t>='C:\Users\jaime.benazar\Quorum Business Solutions\Ecopetrol Prometeo - Documents\Planning Space Implementation\3. Analysis &amp; Design\Design\FC22\DRR Jaime\QUIFA-CAJÚA\Cajua\[VAS_CAJUA_CF_SEC_20230125.xlsx]CF PNP'!$BX$63</t>
  </si>
  <si>
    <t>='C:\Users\jaime.benazar\Quorum Business Solutions\Ecopetrol Prometeo - Documents\Planning Space Implementation\3. Analysis &amp; Design\Design\FC22\DRR Jaime\QUIFA-CAJÚA\Cajua\[VAS_CAJUA_CF_SEC_20230125.xlsx]CF PNP'!$BX$64</t>
  </si>
  <si>
    <t>='C:\Users\jaime.benazar\Quorum Business Solutions\Ecopetrol Prometeo - Documents\Planning Space Implementation\3. Analysis &amp; Design\Design\FC22\DRR Jaime\QUIFA-CAJÚA\Cajua\[VAS_CAJUA_CF_SEC_20230125.xlsx]CF PNP'!$BX$65</t>
  </si>
  <si>
    <t>='C:\Users\jaime.benazar\Quorum Business Solutions\Ecopetrol Prometeo - Documents\Planning Space Implementation\3. Analysis &amp; Design\Design\FC22\DRR Jaime\QUIFA-CAJÚA\Cajua\[VAS_CAJUA_CF_SEC_20230125.xlsx]CF PNP'!$BX$66</t>
  </si>
  <si>
    <t>='C:\Users\jaime.benazar\Quorum Business Solutions\Ecopetrol Prometeo - Documents\Planning Space Implementation\3. Analysis &amp; Design\Design\FC22\DRR Jaime\QUIFA-CAJÚA\Cajua\[VAS_CAJUA_CF_SEC_20230125.xlsx]CF PNP'!$BX$67</t>
  </si>
  <si>
    <t>='C:\Users\jaime.benazar\Quorum Business Solutions\Ecopetrol Prometeo - Documents\Planning Space Implementation\3. Analysis &amp; Design\Design\FC22\DRR Jaime\QUIFA-CAJÚA\Cajua\[VAS_CAJUA_CF_SEC_20230125.xlsx]CF PNP'!$BX$68</t>
  </si>
  <si>
    <t>='C:\Users\jaime.benazar\Quorum Business Solutions\Ecopetrol Prometeo - Documents\Planning Space Implementation\3. Analysis &amp; Design\Design\FC22\DRR Jaime\QUIFA-CAJÚA\Cajua\[VAS_CAJUA_CF_SEC_20230125.xlsx]CF PNP'!$BX$69</t>
  </si>
  <si>
    <t>='C:\Users\jaime.benazar\Quorum Business Solutions\Ecopetrol Prometeo - Documents\Planning Space Implementation\3. Analysis &amp; Design\Design\FC22\DRR Jaime\QUIFA-CAJÚA\Cajua\[VAS_CAJUA_CF_SEC_20230125.xlsx]CF PNP'!$BX$70</t>
  </si>
  <si>
    <t>='C:\Users\jaime.benazar\Quorum Business Solutions\Ecopetrol Prometeo - Documents\Planning Space Implementation\3. Analysis &amp; Design\Design\FC22\DRR Jaime\QUIFA-CAJÚA\Cajua\[VAS_CAJUA_CF_SEC_20230125.xlsx]CF PNP'!$BX$71</t>
  </si>
  <si>
    <t>='C:\Users\jaime.benazar\Quorum Business Solutions\Ecopetrol Prometeo - Documents\Planning Space Implementation\3. Analysis &amp; Design\Design\FC22\DRR Jaime\QUIFA-CAJÚA\Cajua\[VAS_CAJUA_CF_SEC_20230125.xlsx]CF PNP'!$BX$72</t>
  </si>
  <si>
    <t>='C:\Users\jaime.benazar\Quorum Business Solutions\Ecopetrol Prometeo - Documents\Planning Space Implementation\3. Analysis &amp; Design\Design\FC22\DRR Jaime\QUIFA-CAJÚA\Cajua\[VAS_CAJUA_CF_SEC_20230125.xlsx]CF PND'!$BX$36</t>
  </si>
  <si>
    <t>='C:\Users\jaime.benazar\Quorum Business Solutions\Ecopetrol Prometeo - Documents\Planning Space Implementation\3. Analysis &amp; Design\Design\FC22\DRR Jaime\QUIFA-CAJÚA\Cajua\[VAS_CAJUA_CF_SEC_20230125.xlsx]CF PND'!$BX$37</t>
  </si>
  <si>
    <t>='C:\Users\jaime.benazar\Quorum Business Solutions\Ecopetrol Prometeo - Documents\Planning Space Implementation\3. Analysis &amp; Design\Design\FC22\DRR Jaime\QUIFA-CAJÚA\Cajua\[VAS_CAJUA_CF_SEC_20230125.xlsx]CF PND'!$BX$38</t>
  </si>
  <si>
    <t>='C:\Users\jaime.benazar\Quorum Business Solutions\Ecopetrol Prometeo - Documents\Planning Space Implementation\3. Analysis &amp; Design\Design\FC22\DRR Jaime\QUIFA-CAJÚA\Cajua\[VAS_CAJUA_CF_SEC_20230125.xlsx]CF PND'!$BX$39</t>
  </si>
  <si>
    <t>='C:\Users\jaime.benazar\Quorum Business Solutions\Ecopetrol Prometeo - Documents\Planning Space Implementation\3. Analysis &amp; Design\Design\FC22\DRR Jaime\QUIFA-CAJÚA\Cajua\[VAS_CAJUA_CF_SEC_20230125.xlsx]CF PND'!$BX$40</t>
  </si>
  <si>
    <t>='C:\Users\jaime.benazar\Quorum Business Solutions\Ecopetrol Prometeo - Documents\Planning Space Implementation\3. Analysis &amp; Design\Design\FC22\DRR Jaime\QUIFA-CAJÚA\Cajua\[VAS_CAJUA_CF_SEC_20230125.xlsx]CF PND'!$BX$41</t>
  </si>
  <si>
    <t>='C:\Users\jaime.benazar\Quorum Business Solutions\Ecopetrol Prometeo - Documents\Planning Space Implementation\3. Analysis &amp; Design\Design\FC22\DRR Jaime\QUIFA-CAJÚA\Cajua\[VAS_CAJUA_CF_SEC_20230125.xlsx]CF PND'!$BX$42</t>
  </si>
  <si>
    <t>='C:\Users\jaime.benazar\Quorum Business Solutions\Ecopetrol Prometeo - Documents\Planning Space Implementation\3. Analysis &amp; Design\Design\FC22\DRR Jaime\QUIFA-CAJÚA\Cajua\[VAS_CAJUA_CF_SEC_20230125.xlsx]CF PND'!$BX$43</t>
  </si>
  <si>
    <t>='C:\Users\jaime.benazar\Quorum Business Solutions\Ecopetrol Prometeo - Documents\Planning Space Implementation\3. Analysis &amp; Design\Design\FC22\DRR Jaime\QUIFA-CAJÚA\Cajua\[VAS_CAJUA_CF_SEC_20230125.xlsx]CF PND'!$BX$44</t>
  </si>
  <si>
    <t>='C:\Users\jaime.benazar\Quorum Business Solutions\Ecopetrol Prometeo - Documents\Planning Space Implementation\3. Analysis &amp; Design\Design\FC22\DRR Jaime\QUIFA-CAJÚA\Cajua\[VAS_CAJUA_CF_SEC_20230125.xlsx]CF PND'!$BX$45</t>
  </si>
  <si>
    <t>='C:\Users\jaime.benazar\Quorum Business Solutions\Ecopetrol Prometeo - Documents\Planning Space Implementation\3. Analysis &amp; Design\Design\FC22\DRR Jaime\QUIFA-CAJÚA\Cajua\[VAS_CAJUA_CF_SEC_20230125.xlsx]CF PND'!$BX$46</t>
  </si>
  <si>
    <t>='C:\Users\jaime.benazar\Quorum Business Solutions\Ecopetrol Prometeo - Documents\Planning Space Implementation\3. Analysis &amp; Design\Design\FC22\DRR Jaime\QUIFA-CAJÚA\Cajua\[VAS_CAJUA_CF_SEC_20230125.xlsx]CF PND'!$BX$47</t>
  </si>
  <si>
    <t>='C:\Users\jaime.benazar\Quorum Business Solutions\Ecopetrol Prometeo - Documents\Planning Space Implementation\3. Analysis &amp; Design\Design\FC22\DRR Jaime\QUIFA-CAJÚA\Cajua\[VAS_CAJUA_CF_SEC_20230125.xlsx]CF PND'!$BX$48</t>
  </si>
  <si>
    <t>='C:\Users\jaime.benazar\Quorum Business Solutions\Ecopetrol Prometeo - Documents\Planning Space Implementation\3. Analysis &amp; Design\Design\FC22\DRR Jaime\QUIFA-CAJÚA\Cajua\[VAS_CAJUA_CF_SEC_20230125.xlsx]CF PND'!$BX$49</t>
  </si>
  <si>
    <t>='C:\Users\jaime.benazar\Quorum Business Solutions\Ecopetrol Prometeo - Documents\Planning Space Implementation\3. Analysis &amp; Design\Design\FC22\DRR Jaime\QUIFA-CAJÚA\Cajua\[VAS_CAJUA_CF_SEC_20230125.xlsx]CF PND'!$BX$50</t>
  </si>
  <si>
    <t>='C:\Users\jaime.benazar\Quorum Business Solutions\Ecopetrol Prometeo - Documents\Planning Space Implementation\3. Analysis &amp; Design\Design\FC22\DRR Jaime\QUIFA-CAJÚA\Cajua\[VAS_CAJUA_CF_SEC_20230125.xlsx]CF PND'!$BX$51</t>
  </si>
  <si>
    <t>='C:\Users\jaime.benazar\Quorum Business Solutions\Ecopetrol Prometeo - Documents\Planning Space Implementation\3. Analysis &amp; Design\Design\FC22\DRR Jaime\QUIFA-CAJÚA\Cajua\[VAS_CAJUA_CF_SEC_20230125.xlsx]CF PND'!$BX$52</t>
  </si>
  <si>
    <t>='C:\Users\jaime.benazar\Quorum Business Solutions\Ecopetrol Prometeo - Documents\Planning Space Implementation\3. Analysis &amp; Design\Design\FC22\DRR Jaime\QUIFA-CAJÚA\Cajua\[VAS_CAJUA_CF_SEC_20230125.xlsx]CF PND'!$BX$53</t>
  </si>
  <si>
    <t>='C:\Users\jaime.benazar\Quorum Business Solutions\Ecopetrol Prometeo - Documents\Planning Space Implementation\3. Analysis &amp; Design\Design\FC22\DRR Jaime\QUIFA-CAJÚA\Cajua\[VAS_CAJUA_CF_SEC_20230125.xlsx]CF PND'!$BX$54</t>
  </si>
  <si>
    <t>='C:\Users\jaime.benazar\Quorum Business Solutions\Ecopetrol Prometeo - Documents\Planning Space Implementation\3. Analysis &amp; Design\Design\FC22\DRR Jaime\QUIFA-CAJÚA\Cajua\[VAS_CAJUA_CF_SEC_20230125.xlsx]CF PND'!$BX$55</t>
  </si>
  <si>
    <t>='C:\Users\jaime.benazar\Quorum Business Solutions\Ecopetrol Prometeo - Documents\Planning Space Implementation\3. Analysis &amp; Design\Design\FC22\DRR Jaime\QUIFA-CAJÚA\Cajua\[VAS_CAJUA_CF_SEC_20230125.xlsx]CF PND'!$BX$56</t>
  </si>
  <si>
    <t>='C:\Users\jaime.benazar\Quorum Business Solutions\Ecopetrol Prometeo - Documents\Planning Space Implementation\3. Analysis &amp; Design\Design\FC22\DRR Jaime\QUIFA-CAJÚA\Cajua\[VAS_CAJUA_CF_SEC_20230125.xlsx]CF PND'!$BX$57</t>
  </si>
  <si>
    <t>='C:\Users\jaime.benazar\Quorum Business Solutions\Ecopetrol Prometeo - Documents\Planning Space Implementation\3. Analysis &amp; Design\Design\FC22\DRR Jaime\QUIFA-CAJÚA\Cajua\[VAS_CAJUA_CF_SEC_20230125.xlsx]CF PND'!$BX$58</t>
  </si>
  <si>
    <t>='C:\Users\jaime.benazar\Quorum Business Solutions\Ecopetrol Prometeo - Documents\Planning Space Implementation\3. Analysis &amp; Design\Design\FC22\DRR Jaime\QUIFA-CAJÚA\Cajua\[VAS_CAJUA_CF_SEC_20230125.xlsx]CF PND'!$BX$59</t>
  </si>
  <si>
    <t>='C:\Users\jaime.benazar\Quorum Business Solutions\Ecopetrol Prometeo - Documents\Planning Space Implementation\3. Analysis &amp; Design\Design\FC22\DRR Jaime\QUIFA-CAJÚA\Cajua\[VAS_CAJUA_CF_SEC_20230125.xlsx]CF PND'!$BX$60</t>
  </si>
  <si>
    <t>='C:\Users\jaime.benazar\Quorum Business Solutions\Ecopetrol Prometeo - Documents\Planning Space Implementation\3. Analysis &amp; Design\Design\FC22\DRR Jaime\QUIFA-CAJÚA\Cajua\[VAS_CAJUA_CF_SEC_20230125.xlsx]CF PND'!$BX$61</t>
  </si>
  <si>
    <t>='C:\Users\jaime.benazar\Quorum Business Solutions\Ecopetrol Prometeo - Documents\Planning Space Implementation\3. Analysis &amp; Design\Design\FC22\DRR Jaime\QUIFA-CAJÚA\Cajua\[VAS_CAJUA_CF_SEC_20230125.xlsx]CF PND'!$BX$62</t>
  </si>
  <si>
    <t>='C:\Users\jaime.benazar\Quorum Business Solutions\Ecopetrol Prometeo - Documents\Planning Space Implementation\3. Analysis &amp; Design\Design\FC22\DRR Jaime\QUIFA-CAJÚA\Cajua\[VAS_CAJUA_CF_SEC_20230125.xlsx]CF PND'!$BX$63</t>
  </si>
  <si>
    <t>='C:\Users\jaime.benazar\Quorum Business Solutions\Ecopetrol Prometeo - Documents\Planning Space Implementation\3. Analysis &amp; Design\Design\FC22\DRR Jaime\QUIFA-CAJÚA\Cajua\[VAS_CAJUA_CF_SEC_20230125.xlsx]CF PND'!$BX$64</t>
  </si>
  <si>
    <t>='C:\Users\jaime.benazar\Quorum Business Solutions\Ecopetrol Prometeo - Documents\Planning Space Implementation\3. Analysis &amp; Design\Design\FC22\DRR Jaime\QUIFA-CAJÚA\Cajua\[VAS_CAJUA_CF_SEC_20230125.xlsx]CF PND'!$BX$65</t>
  </si>
  <si>
    <t>='C:\Users\jaime.benazar\Quorum Business Solutions\Ecopetrol Prometeo - Documents\Planning Space Implementation\3. Analysis &amp; Design\Design\FC22\DRR Jaime\QUIFA-CAJÚA\Cajua\[VAS_CAJUA_CF_SEC_20230125.xlsx]CF PND'!$BX$66</t>
  </si>
  <si>
    <t>='C:\Users\jaime.benazar\Quorum Business Solutions\Ecopetrol Prometeo - Documents\Planning Space Implementation\3. Analysis &amp; Design\Design\FC22\DRR Jaime\QUIFA-CAJÚA\Cajua\[VAS_CAJUA_CF_SEC_20230125.xlsx]CF PND'!$BX$67</t>
  </si>
  <si>
    <t>='C:\Users\jaime.benazar\Quorum Business Solutions\Ecopetrol Prometeo - Documents\Planning Space Implementation\3. Analysis &amp; Design\Design\FC22\DRR Jaime\QUIFA-CAJÚA\Cajua\[VAS_CAJUA_CF_SEC_20230125.xlsx]CF PND'!$BX$68</t>
  </si>
  <si>
    <t>='C:\Users\jaime.benazar\Quorum Business Solutions\Ecopetrol Prometeo - Documents\Planning Space Implementation\3. Analysis &amp; Design\Design\FC22\DRR Jaime\QUIFA-CAJÚA\Cajua\[VAS_CAJUA_CF_SEC_20230125.xlsx]CF PND'!$BX$69</t>
  </si>
  <si>
    <t>='C:\Users\jaime.benazar\Quorum Business Solutions\Ecopetrol Prometeo - Documents\Planning Space Implementation\3. Analysis &amp; Design\Design\FC22\DRR Jaime\QUIFA-CAJÚA\Cajua\[VAS_CAJUA_CF_SEC_20230125.xlsx]CF PND'!$BX$70</t>
  </si>
  <si>
    <t>='C:\Users\jaime.benazar\Quorum Business Solutions\Ecopetrol Prometeo - Documents\Planning Space Implementation\3. Analysis &amp; Design\Design\FC22\DRR Jaime\QUIFA-CAJÚA\Cajua\[VAS_CAJUA_CF_SEC_20230125.xlsx]CF PND'!$BX$71</t>
  </si>
  <si>
    <t>='C:\Users\jaime.benazar\Quorum Business Solutions\Ecopetrol Prometeo - Documents\Planning Space Implementation\3. Analysis &amp; Design\Design\FC22\DRR Jaime\QUIFA-CAJÚA\Cajua\[VAS_CAJUA_CF_SEC_20230125.xlsx]CF PND'!$BX$72</t>
  </si>
  <si>
    <t>='C:\Users\jaime.benazar\Quorum Business Solutions\Ecopetrol Prometeo - Documents\Planning Space Implementation\3. Analysis &amp; Design\Design\FC22\DRR Jaime\QUIFA-CAJÚA\Cajua\[VAS_CAJUA_CF_SEC_20230125.xlsx]CF PRB'!$BX$36</t>
  </si>
  <si>
    <t>='C:\Users\jaime.benazar\Quorum Business Solutions\Ecopetrol Prometeo - Documents\Planning Space Implementation\3. Analysis &amp; Design\Design\FC22\DRR Jaime\QUIFA-CAJÚA\Cajua\[VAS_CAJUA_CF_SEC_20230125.xlsx]CF PRB'!$BX$37</t>
  </si>
  <si>
    <t>='C:\Users\jaime.benazar\Quorum Business Solutions\Ecopetrol Prometeo - Documents\Planning Space Implementation\3. Analysis &amp; Design\Design\FC22\DRR Jaime\QUIFA-CAJÚA\Cajua\[VAS_CAJUA_CF_SEC_20230125.xlsx]CF PRB'!$BX$38</t>
  </si>
  <si>
    <t>='C:\Users\jaime.benazar\Quorum Business Solutions\Ecopetrol Prometeo - Documents\Planning Space Implementation\3. Analysis &amp; Design\Design\FC22\DRR Jaime\QUIFA-CAJÚA\Cajua\[VAS_CAJUA_CF_SEC_20230125.xlsx]CF PRB'!$BX$39</t>
  </si>
  <si>
    <t>='C:\Users\jaime.benazar\Quorum Business Solutions\Ecopetrol Prometeo - Documents\Planning Space Implementation\3. Analysis &amp; Design\Design\FC22\DRR Jaime\QUIFA-CAJÚA\Cajua\[VAS_CAJUA_CF_SEC_20230125.xlsx]CF PRB'!$BX$40</t>
  </si>
  <si>
    <t>='C:\Users\jaime.benazar\Quorum Business Solutions\Ecopetrol Prometeo - Documents\Planning Space Implementation\3. Analysis &amp; Design\Design\FC22\DRR Jaime\QUIFA-CAJÚA\Cajua\[VAS_CAJUA_CF_SEC_20230125.xlsx]CF PRB'!$BX$41</t>
  </si>
  <si>
    <t>='C:\Users\jaime.benazar\Quorum Business Solutions\Ecopetrol Prometeo - Documents\Planning Space Implementation\3. Analysis &amp; Design\Design\FC22\DRR Jaime\QUIFA-CAJÚA\Cajua\[VAS_CAJUA_CF_SEC_20230125.xlsx]CF PRB'!$BX$42</t>
  </si>
  <si>
    <t>='C:\Users\jaime.benazar\Quorum Business Solutions\Ecopetrol Prometeo - Documents\Planning Space Implementation\3. Analysis &amp; Design\Design\FC22\DRR Jaime\QUIFA-CAJÚA\Cajua\[VAS_CAJUA_CF_SEC_20230125.xlsx]CF PRB'!$BX$43</t>
  </si>
  <si>
    <t>='C:\Users\jaime.benazar\Quorum Business Solutions\Ecopetrol Prometeo - Documents\Planning Space Implementation\3. Analysis &amp; Design\Design\FC22\DRR Jaime\QUIFA-CAJÚA\Cajua\[VAS_CAJUA_CF_SEC_20230125.xlsx]CF PRB'!$BX$44</t>
  </si>
  <si>
    <t>='C:\Users\jaime.benazar\Quorum Business Solutions\Ecopetrol Prometeo - Documents\Planning Space Implementation\3. Analysis &amp; Design\Design\FC22\DRR Jaime\QUIFA-CAJÚA\Cajua\[VAS_CAJUA_CF_SEC_20230125.xlsx]CF PRB'!$BX$45</t>
  </si>
  <si>
    <t>='C:\Users\jaime.benazar\Quorum Business Solutions\Ecopetrol Prometeo - Documents\Planning Space Implementation\3. Analysis &amp; Design\Design\FC22\DRR Jaime\QUIFA-CAJÚA\Cajua\[VAS_CAJUA_CF_SEC_20230125.xlsx]CF PRB'!$BX$46</t>
  </si>
  <si>
    <t>='C:\Users\jaime.benazar\Quorum Business Solutions\Ecopetrol Prometeo - Documents\Planning Space Implementation\3. Analysis &amp; Design\Design\FC22\DRR Jaime\QUIFA-CAJÚA\Cajua\[VAS_CAJUA_CF_SEC_20230125.xlsx]CF PRB'!$BX$47</t>
  </si>
  <si>
    <t>='C:\Users\jaime.benazar\Quorum Business Solutions\Ecopetrol Prometeo - Documents\Planning Space Implementation\3. Analysis &amp; Design\Design\FC22\DRR Jaime\QUIFA-CAJÚA\Cajua\[VAS_CAJUA_CF_SEC_20230125.xlsx]CF PRB'!$BX$48</t>
  </si>
  <si>
    <t>='C:\Users\jaime.benazar\Quorum Business Solutions\Ecopetrol Prometeo - Documents\Planning Space Implementation\3. Analysis &amp; Design\Design\FC22\DRR Jaime\QUIFA-CAJÚA\Cajua\[VAS_CAJUA_CF_SEC_20230125.xlsx]CF PRB'!$BX$49</t>
  </si>
  <si>
    <t>='C:\Users\jaime.benazar\Quorum Business Solutions\Ecopetrol Prometeo - Documents\Planning Space Implementation\3. Analysis &amp; Design\Design\FC22\DRR Jaime\QUIFA-CAJÚA\Cajua\[VAS_CAJUA_CF_SEC_20230125.xlsx]CF PRB'!$BX$50</t>
  </si>
  <si>
    <t>='C:\Users\jaime.benazar\Quorum Business Solutions\Ecopetrol Prometeo - Documents\Planning Space Implementation\3. Analysis &amp; Design\Design\FC22\DRR Jaime\QUIFA-CAJÚA\Cajua\[VAS_CAJUA_CF_SEC_20230125.xlsx]CF PRB'!$BX$51</t>
  </si>
  <si>
    <t>='C:\Users\jaime.benazar\Quorum Business Solutions\Ecopetrol Prometeo - Documents\Planning Space Implementation\3. Analysis &amp; Design\Design\FC22\DRR Jaime\QUIFA-CAJÚA\Cajua\[VAS_CAJUA_CF_SEC_20230125.xlsx]CF PRB'!$BX$52</t>
  </si>
  <si>
    <t>='C:\Users\jaime.benazar\Quorum Business Solutions\Ecopetrol Prometeo - Documents\Planning Space Implementation\3. Analysis &amp; Design\Design\FC22\DRR Jaime\QUIFA-CAJÚA\Cajua\[VAS_CAJUA_CF_SEC_20230125.xlsx]CF PRB'!$BX$53</t>
  </si>
  <si>
    <t>='C:\Users\jaime.benazar\Quorum Business Solutions\Ecopetrol Prometeo - Documents\Planning Space Implementation\3. Analysis &amp; Design\Design\FC22\DRR Jaime\QUIFA-CAJÚA\Cajua\[VAS_CAJUA_CF_SEC_20230125.xlsx]CF PRB'!$BX$54</t>
  </si>
  <si>
    <t>='C:\Users\jaime.benazar\Quorum Business Solutions\Ecopetrol Prometeo - Documents\Planning Space Implementation\3. Analysis &amp; Design\Design\FC22\DRR Jaime\QUIFA-CAJÚA\Cajua\[VAS_CAJUA_CF_SEC_20230125.xlsx]CF PRB'!$BX$55</t>
  </si>
  <si>
    <t>='C:\Users\jaime.benazar\Quorum Business Solutions\Ecopetrol Prometeo - Documents\Planning Space Implementation\3. Analysis &amp; Design\Design\FC22\DRR Jaime\QUIFA-CAJÚA\Cajua\[VAS_CAJUA_CF_SEC_20230125.xlsx]CF PRB'!$BX$56</t>
  </si>
  <si>
    <t>='C:\Users\jaime.benazar\Quorum Business Solutions\Ecopetrol Prometeo - Documents\Planning Space Implementation\3. Analysis &amp; Design\Design\FC22\DRR Jaime\QUIFA-CAJÚA\Cajua\[VAS_CAJUA_CF_SEC_20230125.xlsx]CF PRB'!$BX$57</t>
  </si>
  <si>
    <t>='C:\Users\jaime.benazar\Quorum Business Solutions\Ecopetrol Prometeo - Documents\Planning Space Implementation\3. Analysis &amp; Design\Design\FC22\DRR Jaime\QUIFA-CAJÚA\Cajua\[VAS_CAJUA_CF_SEC_20230125.xlsx]CF PRB'!$BX$58</t>
  </si>
  <si>
    <t>='C:\Users\jaime.benazar\Quorum Business Solutions\Ecopetrol Prometeo - Documents\Planning Space Implementation\3. Analysis &amp; Design\Design\FC22\DRR Jaime\QUIFA-CAJÚA\Cajua\[VAS_CAJUA_CF_SEC_20230125.xlsx]CF PRB'!$BX$59</t>
  </si>
  <si>
    <t>='C:\Users\jaime.benazar\Quorum Business Solutions\Ecopetrol Prometeo - Documents\Planning Space Implementation\3. Analysis &amp; Design\Design\FC22\DRR Jaime\QUIFA-CAJÚA\Cajua\[VAS_CAJUA_CF_SEC_20230125.xlsx]CF PRB'!$BX$60</t>
  </si>
  <si>
    <t>='C:\Users\jaime.benazar\Quorum Business Solutions\Ecopetrol Prometeo - Documents\Planning Space Implementation\3. Analysis &amp; Design\Design\FC22\DRR Jaime\QUIFA-CAJÚA\Cajua\[VAS_CAJUA_CF_SEC_20230125.xlsx]CF PRB'!$BX$61</t>
  </si>
  <si>
    <t>='C:\Users\jaime.benazar\Quorum Business Solutions\Ecopetrol Prometeo - Documents\Planning Space Implementation\3. Analysis &amp; Design\Design\FC22\DRR Jaime\QUIFA-CAJÚA\Cajua\[VAS_CAJUA_CF_SEC_20230125.xlsx]CF PRB'!$BX$62</t>
  </si>
  <si>
    <t>='C:\Users\jaime.benazar\Quorum Business Solutions\Ecopetrol Prometeo - Documents\Planning Space Implementation\3. Analysis &amp; Design\Design\FC22\DRR Jaime\QUIFA-CAJÚA\Cajua\[VAS_CAJUA_CF_SEC_20230125.xlsx]CF PRB'!$BX$63</t>
  </si>
  <si>
    <t>='C:\Users\jaime.benazar\Quorum Business Solutions\Ecopetrol Prometeo - Documents\Planning Space Implementation\3. Analysis &amp; Design\Design\FC22\DRR Jaime\QUIFA-CAJÚA\Cajua\[VAS_CAJUA_CF_SEC_20230125.xlsx]CF PRB'!$BX$64</t>
  </si>
  <si>
    <t>='C:\Users\jaime.benazar\Quorum Business Solutions\Ecopetrol Prometeo - Documents\Planning Space Implementation\3. Analysis &amp; Design\Design\FC22\DRR Jaime\QUIFA-CAJÚA\Cajua\[VAS_CAJUA_CF_SEC_20230125.xlsx]CF PRB'!$BX$65</t>
  </si>
  <si>
    <t>='C:\Users\jaime.benazar\Quorum Business Solutions\Ecopetrol Prometeo - Documents\Planning Space Implementation\3. Analysis &amp; Design\Design\FC22\DRR Jaime\QUIFA-CAJÚA\Cajua\[VAS_CAJUA_CF_SEC_20230125.xlsx]CF PRB'!$BX$66</t>
  </si>
  <si>
    <t>='C:\Users\jaime.benazar\Quorum Business Solutions\Ecopetrol Prometeo - Documents\Planning Space Implementation\3. Analysis &amp; Design\Design\FC22\DRR Jaime\QUIFA-CAJÚA\Cajua\[VAS_CAJUA_CF_SEC_20230125.xlsx]CF PRB'!$BX$67</t>
  </si>
  <si>
    <t>='C:\Users\jaime.benazar\Quorum Business Solutions\Ecopetrol Prometeo - Documents\Planning Space Implementation\3. Analysis &amp; Design\Design\FC22\DRR Jaime\QUIFA-CAJÚA\Cajua\[VAS_CAJUA_CF_SEC_20230125.xlsx]CF PRB'!$BX$68</t>
  </si>
  <si>
    <t>='C:\Users\jaime.benazar\Quorum Business Solutions\Ecopetrol Prometeo - Documents\Planning Space Implementation\3. Analysis &amp; Design\Design\FC22\DRR Jaime\QUIFA-CAJÚA\Cajua\[VAS_CAJUA_CF_SEC_20230125.xlsx]CF PRB'!$BX$69</t>
  </si>
  <si>
    <t>='C:\Users\jaime.benazar\Quorum Business Solutions\Ecopetrol Prometeo - Documents\Planning Space Implementation\3. Analysis &amp; Design\Design\FC22\DRR Jaime\QUIFA-CAJÚA\Cajua\[VAS_CAJUA_CF_SEC_20230125.xlsx]CF PRB'!$BX$70</t>
  </si>
  <si>
    <t>='C:\Users\jaime.benazar\Quorum Business Solutions\Ecopetrol Prometeo - Documents\Planning Space Implementation\3. Analysis &amp; Design\Design\FC22\DRR Jaime\QUIFA-CAJÚA\Cajua\[VAS_CAJUA_CF_SEC_20230125.xlsx]CF PRB'!$BX$71</t>
  </si>
  <si>
    <t>='C:\Users\jaime.benazar\Quorum Business Solutions\Ecopetrol Prometeo - Documents\Planning Space Implementation\3. Analysis &amp; Design\Design\FC22\DRR Jaime\QUIFA-CAJÚA\Cajua\[VAS_CAJUA_CF_SEC_20230125.xlsx]CF PRB'!$BX$72</t>
  </si>
  <si>
    <t>='C:\Users\jaime.benazar\Quorum Business Solutions\Ecopetrol Prometeo - Documents\Planning Space Implementation\3. Analysis &amp; Design\Design\FC22\DRR Jaime\QUIFA-CAJÚA\Cajua\[VAS_CAJUA_CF_SEC_20230125.xlsx]CF PS'!$BX$36</t>
  </si>
  <si>
    <t>='C:\Users\jaime.benazar\Quorum Business Solutions\Ecopetrol Prometeo - Documents\Planning Space Implementation\3. Analysis &amp; Design\Design\FC22\DRR Jaime\QUIFA-CAJÚA\Cajua\[VAS_CAJUA_CF_SEC_20230125.xlsx]CF PS'!$BX$37</t>
  </si>
  <si>
    <t>='C:\Users\jaime.benazar\Quorum Business Solutions\Ecopetrol Prometeo - Documents\Planning Space Implementation\3. Analysis &amp; Design\Design\FC22\DRR Jaime\QUIFA-CAJÚA\Cajua\[VAS_CAJUA_CF_SEC_20230125.xlsx]CF PS'!$BX$38</t>
  </si>
  <si>
    <t>='C:\Users\jaime.benazar\Quorum Business Solutions\Ecopetrol Prometeo - Documents\Planning Space Implementation\3. Analysis &amp; Design\Design\FC22\DRR Jaime\QUIFA-CAJÚA\Cajua\[VAS_CAJUA_CF_SEC_20230125.xlsx]CF PS'!$BX$39</t>
  </si>
  <si>
    <t>='C:\Users\jaime.benazar\Quorum Business Solutions\Ecopetrol Prometeo - Documents\Planning Space Implementation\3. Analysis &amp; Design\Design\FC22\DRR Jaime\QUIFA-CAJÚA\Cajua\[VAS_CAJUA_CF_SEC_20230125.xlsx]CF PS'!$BX$40</t>
  </si>
  <si>
    <t>='C:\Users\jaime.benazar\Quorum Business Solutions\Ecopetrol Prometeo - Documents\Planning Space Implementation\3. Analysis &amp; Design\Design\FC22\DRR Jaime\QUIFA-CAJÚA\Cajua\[VAS_CAJUA_CF_SEC_20230125.xlsx]CF PS'!$BX$41</t>
  </si>
  <si>
    <t>='C:\Users\jaime.benazar\Quorum Business Solutions\Ecopetrol Prometeo - Documents\Planning Space Implementation\3. Analysis &amp; Design\Design\FC22\DRR Jaime\QUIFA-CAJÚA\Cajua\[VAS_CAJUA_CF_SEC_20230125.xlsx]CF PS'!$BX$42</t>
  </si>
  <si>
    <t>='C:\Users\jaime.benazar\Quorum Business Solutions\Ecopetrol Prometeo - Documents\Planning Space Implementation\3. Analysis &amp; Design\Design\FC22\DRR Jaime\QUIFA-CAJÚA\Cajua\[VAS_CAJUA_CF_SEC_20230125.xlsx]CF PS'!$BX$43</t>
  </si>
  <si>
    <t>='C:\Users\jaime.benazar\Quorum Business Solutions\Ecopetrol Prometeo - Documents\Planning Space Implementation\3. Analysis &amp; Design\Design\FC22\DRR Jaime\QUIFA-CAJÚA\Cajua\[VAS_CAJUA_CF_SEC_20230125.xlsx]CF PS'!$BX$44</t>
  </si>
  <si>
    <t>='C:\Users\jaime.benazar\Quorum Business Solutions\Ecopetrol Prometeo - Documents\Planning Space Implementation\3. Analysis &amp; Design\Design\FC22\DRR Jaime\QUIFA-CAJÚA\Cajua\[VAS_CAJUA_CF_SEC_20230125.xlsx]CF PS'!$BX$45</t>
  </si>
  <si>
    <t>='C:\Users\jaime.benazar\Quorum Business Solutions\Ecopetrol Prometeo - Documents\Planning Space Implementation\3. Analysis &amp; Design\Design\FC22\DRR Jaime\QUIFA-CAJÚA\Cajua\[VAS_CAJUA_CF_SEC_20230125.xlsx]CF PS'!$BX$46</t>
  </si>
  <si>
    <t>='C:\Users\jaime.benazar\Quorum Business Solutions\Ecopetrol Prometeo - Documents\Planning Space Implementation\3. Analysis &amp; Design\Design\FC22\DRR Jaime\QUIFA-CAJÚA\Cajua\[VAS_CAJUA_CF_SEC_20230125.xlsx]CF PS'!$BX$47</t>
  </si>
  <si>
    <t>='C:\Users\jaime.benazar\Quorum Business Solutions\Ecopetrol Prometeo - Documents\Planning Space Implementation\3. Analysis &amp; Design\Design\FC22\DRR Jaime\QUIFA-CAJÚA\Cajua\[VAS_CAJUA_CF_SEC_20230125.xlsx]CF PS'!$BX$48</t>
  </si>
  <si>
    <t>='C:\Users\jaime.benazar\Quorum Business Solutions\Ecopetrol Prometeo - Documents\Planning Space Implementation\3. Analysis &amp; Design\Design\FC22\DRR Jaime\QUIFA-CAJÚA\Cajua\[VAS_CAJUA_CF_SEC_20230125.xlsx]CF PS'!$BX$49</t>
  </si>
  <si>
    <t>='C:\Users\jaime.benazar\Quorum Business Solutions\Ecopetrol Prometeo - Documents\Planning Space Implementation\3. Analysis &amp; Design\Design\FC22\DRR Jaime\QUIFA-CAJÚA\Cajua\[VAS_CAJUA_CF_SEC_20230125.xlsx]CF PS'!$BX$50</t>
  </si>
  <si>
    <t>='C:\Users\jaime.benazar\Quorum Business Solutions\Ecopetrol Prometeo - Documents\Planning Space Implementation\3. Analysis &amp; Design\Design\FC22\DRR Jaime\QUIFA-CAJÚA\Cajua\[VAS_CAJUA_CF_SEC_20230125.xlsx]CF PS'!$BX$51</t>
  </si>
  <si>
    <t>='C:\Users\jaime.benazar\Quorum Business Solutions\Ecopetrol Prometeo - Documents\Planning Space Implementation\3. Analysis &amp; Design\Design\FC22\DRR Jaime\QUIFA-CAJÚA\Cajua\[VAS_CAJUA_CF_SEC_20230125.xlsx]CF PS'!$BX$52</t>
  </si>
  <si>
    <t>='C:\Users\jaime.benazar\Quorum Business Solutions\Ecopetrol Prometeo - Documents\Planning Space Implementation\3. Analysis &amp; Design\Design\FC22\DRR Jaime\QUIFA-CAJÚA\Cajua\[VAS_CAJUA_CF_SEC_20230125.xlsx]CF PS'!$BX$53</t>
  </si>
  <si>
    <t>='C:\Users\jaime.benazar\Quorum Business Solutions\Ecopetrol Prometeo - Documents\Planning Space Implementation\3. Analysis &amp; Design\Design\FC22\DRR Jaime\QUIFA-CAJÚA\Cajua\[VAS_CAJUA_CF_SEC_20230125.xlsx]CF PS'!$BX$54</t>
  </si>
  <si>
    <t>='C:\Users\jaime.benazar\Quorum Business Solutions\Ecopetrol Prometeo - Documents\Planning Space Implementation\3. Analysis &amp; Design\Design\FC22\DRR Jaime\QUIFA-CAJÚA\Cajua\[VAS_CAJUA_CF_SEC_20230125.xlsx]CF PS'!$BX$55</t>
  </si>
  <si>
    <t>='C:\Users\jaime.benazar\Quorum Business Solutions\Ecopetrol Prometeo - Documents\Planning Space Implementation\3. Analysis &amp; Design\Design\FC22\DRR Jaime\QUIFA-CAJÚA\Cajua\[VAS_CAJUA_CF_SEC_20230125.xlsx]CF PS'!$BX$56</t>
  </si>
  <si>
    <t>='C:\Users\jaime.benazar\Quorum Business Solutions\Ecopetrol Prometeo - Documents\Planning Space Implementation\3. Analysis &amp; Design\Design\FC22\DRR Jaime\QUIFA-CAJÚA\Cajua\[VAS_CAJUA_CF_SEC_20230125.xlsx]CF PS'!$BX$57</t>
  </si>
  <si>
    <t>='C:\Users\jaime.benazar\Quorum Business Solutions\Ecopetrol Prometeo - Documents\Planning Space Implementation\3. Analysis &amp; Design\Design\FC22\DRR Jaime\QUIFA-CAJÚA\Cajua\[VAS_CAJUA_CF_SEC_20230125.xlsx]CF PS'!$BX$58</t>
  </si>
  <si>
    <t>='C:\Users\jaime.benazar\Quorum Business Solutions\Ecopetrol Prometeo - Documents\Planning Space Implementation\3. Analysis &amp; Design\Design\FC22\DRR Jaime\QUIFA-CAJÚA\Cajua\[VAS_CAJUA_CF_SEC_20230125.xlsx]CF PS'!$BX$59</t>
  </si>
  <si>
    <t>='C:\Users\jaime.benazar\Quorum Business Solutions\Ecopetrol Prometeo - Documents\Planning Space Implementation\3. Analysis &amp; Design\Design\FC22\DRR Jaime\QUIFA-CAJÚA\Cajua\[VAS_CAJUA_CF_SEC_20230125.xlsx]CF PS'!$BX$60</t>
  </si>
  <si>
    <t>='C:\Users\jaime.benazar\Quorum Business Solutions\Ecopetrol Prometeo - Documents\Planning Space Implementation\3. Analysis &amp; Design\Design\FC22\DRR Jaime\QUIFA-CAJÚA\Cajua\[VAS_CAJUA_CF_SEC_20230125.xlsx]CF PS'!$BX$61</t>
  </si>
  <si>
    <t>='C:\Users\jaime.benazar\Quorum Business Solutions\Ecopetrol Prometeo - Documents\Planning Space Implementation\3. Analysis &amp; Design\Design\FC22\DRR Jaime\QUIFA-CAJÚA\Cajua\[VAS_CAJUA_CF_SEC_20230125.xlsx]CF PS'!$BX$62</t>
  </si>
  <si>
    <t>='C:\Users\jaime.benazar\Quorum Business Solutions\Ecopetrol Prometeo - Documents\Planning Space Implementation\3. Analysis &amp; Design\Design\FC22\DRR Jaime\QUIFA-CAJÚA\Cajua\[VAS_CAJUA_CF_SEC_20230125.xlsx]CF PS'!$BX$63</t>
  </si>
  <si>
    <t>='C:\Users\jaime.benazar\Quorum Business Solutions\Ecopetrol Prometeo - Documents\Planning Space Implementation\3. Analysis &amp; Design\Design\FC22\DRR Jaime\QUIFA-CAJÚA\Cajua\[VAS_CAJUA_CF_SEC_20230125.xlsx]CF PS'!$BX$64</t>
  </si>
  <si>
    <t>='C:\Users\jaime.benazar\Quorum Business Solutions\Ecopetrol Prometeo - Documents\Planning Space Implementation\3. Analysis &amp; Design\Design\FC22\DRR Jaime\QUIFA-CAJÚA\Cajua\[VAS_CAJUA_CF_SEC_20230125.xlsx]CF PS'!$BX$65</t>
  </si>
  <si>
    <t>='C:\Users\jaime.benazar\Quorum Business Solutions\Ecopetrol Prometeo - Documents\Planning Space Implementation\3. Analysis &amp; Design\Design\FC22\DRR Jaime\QUIFA-CAJÚA\Cajua\[VAS_CAJUA_CF_SEC_20230125.xlsx]CF PS'!$BX$66</t>
  </si>
  <si>
    <t>='C:\Users\jaime.benazar\Quorum Business Solutions\Ecopetrol Prometeo - Documents\Planning Space Implementation\3. Analysis &amp; Design\Design\FC22\DRR Jaime\QUIFA-CAJÚA\Cajua\[VAS_CAJUA_CF_SEC_20230125.xlsx]CF PS'!$BX$67</t>
  </si>
  <si>
    <t>='C:\Users\jaime.benazar\Quorum Business Solutions\Ecopetrol Prometeo - Documents\Planning Space Implementation\3. Analysis &amp; Design\Design\FC22\DRR Jaime\QUIFA-CAJÚA\Cajua\[VAS_CAJUA_CF_SEC_20230125.xlsx]CF PS'!$BX$68</t>
  </si>
  <si>
    <t>='C:\Users\jaime.benazar\Quorum Business Solutions\Ecopetrol Prometeo - Documents\Planning Space Implementation\3. Analysis &amp; Design\Design\FC22\DRR Jaime\QUIFA-CAJÚA\Cajua\[VAS_CAJUA_CF_SEC_20230125.xlsx]CF PS'!$BX$69</t>
  </si>
  <si>
    <t>='C:\Users\jaime.benazar\Quorum Business Solutions\Ecopetrol Prometeo - Documents\Planning Space Implementation\3. Analysis &amp; Design\Design\FC22\DRR Jaime\QUIFA-CAJÚA\Cajua\[VAS_CAJUA_CF_SEC_20230125.xlsx]CF PS'!$BX$70</t>
  </si>
  <si>
    <t>='C:\Users\jaime.benazar\Quorum Business Solutions\Ecopetrol Prometeo - Documents\Planning Space Implementation\3. Analysis &amp; Design\Design\FC22\DRR Jaime\QUIFA-CAJÚA\Cajua\[VAS_CAJUA_CF_SEC_20230125.xlsx]CF PS'!$BX$71</t>
  </si>
  <si>
    <t>='C:\Users\jaime.benazar\Quorum Business Solutions\Ecopetrol Prometeo - Documents\Planning Space Implementation\3. Analysis &amp; Design\Design\FC22\DRR Jaime\QUIFA-CAJÚA\Cajua\[VAS_CAJUA_CF_SEC_20230125.xlsx]CF PS'!$BX$72</t>
  </si>
  <si>
    <t>='C:\Users\jaime.benazar\Quorum Business Solutions\Ecopetrol Prometeo - Documents\Planning Space Implementation\3. Analysis &amp; Design\Design\FC22\DRR Jaime\QUIFA-CAJÚA\Cajua\[VAS_CAJUA_CF_SEC_20230125.xlsx]CF PDP'!$BU$36</t>
  </si>
  <si>
    <t>='C:\Users\jaime.benazar\Quorum Business Solutions\Ecopetrol Prometeo - Documents\Planning Space Implementation\3. Analysis &amp; Design\Design\FC22\DRR Jaime\QUIFA-CAJÚA\Cajua\[VAS_CAJUA_CF_SEC_20230125.xlsx]CF PDP'!$BU$37</t>
  </si>
  <si>
    <t>='C:\Users\jaime.benazar\Quorum Business Solutions\Ecopetrol Prometeo - Documents\Planning Space Implementation\3. Analysis &amp; Design\Design\FC22\DRR Jaime\QUIFA-CAJÚA\Cajua\[VAS_CAJUA_CF_SEC_20230125.xlsx]CF PDP'!$BU$38</t>
  </si>
  <si>
    <t>='C:\Users\jaime.benazar\Quorum Business Solutions\Ecopetrol Prometeo - Documents\Planning Space Implementation\3. Analysis &amp; Design\Design\FC22\DRR Jaime\QUIFA-CAJÚA\Cajua\[VAS_CAJUA_CF_SEC_20230125.xlsx]CF PDP'!$BU$39</t>
  </si>
  <si>
    <t>='C:\Users\jaime.benazar\Quorum Business Solutions\Ecopetrol Prometeo - Documents\Planning Space Implementation\3. Analysis &amp; Design\Design\FC22\DRR Jaime\QUIFA-CAJÚA\Cajua\[VAS_CAJUA_CF_SEC_20230125.xlsx]CF PDP'!$BU$40</t>
  </si>
  <si>
    <t>='C:\Users\jaime.benazar\Quorum Business Solutions\Ecopetrol Prometeo - Documents\Planning Space Implementation\3. Analysis &amp; Design\Design\FC22\DRR Jaime\QUIFA-CAJÚA\Cajua\[VAS_CAJUA_CF_SEC_20230125.xlsx]CF PDP'!$BU$41</t>
  </si>
  <si>
    <t>='C:\Users\jaime.benazar\Quorum Business Solutions\Ecopetrol Prometeo - Documents\Planning Space Implementation\3. Analysis &amp; Design\Design\FC22\DRR Jaime\QUIFA-CAJÚA\Cajua\[VAS_CAJUA_CF_SEC_20230125.xlsx]CF PDP'!$BU$42</t>
  </si>
  <si>
    <t>='C:\Users\jaime.benazar\Quorum Business Solutions\Ecopetrol Prometeo - Documents\Planning Space Implementation\3. Analysis &amp; Design\Design\FC22\DRR Jaime\QUIFA-CAJÚA\Cajua\[VAS_CAJUA_CF_SEC_20230125.xlsx]CF PDP'!$BU$43</t>
  </si>
  <si>
    <t>='C:\Users\jaime.benazar\Quorum Business Solutions\Ecopetrol Prometeo - Documents\Planning Space Implementation\3. Analysis &amp; Design\Design\FC22\DRR Jaime\QUIFA-CAJÚA\Cajua\[VAS_CAJUA_CF_SEC_20230125.xlsx]CF PDP'!$BU$44</t>
  </si>
  <si>
    <t>='C:\Users\jaime.benazar\Quorum Business Solutions\Ecopetrol Prometeo - Documents\Planning Space Implementation\3. Analysis &amp; Design\Design\FC22\DRR Jaime\QUIFA-CAJÚA\Cajua\[VAS_CAJUA_CF_SEC_20230125.xlsx]CF PDP'!$BU$45</t>
  </si>
  <si>
    <t>='C:\Users\jaime.benazar\Quorum Business Solutions\Ecopetrol Prometeo - Documents\Planning Space Implementation\3. Analysis &amp; Design\Design\FC22\DRR Jaime\QUIFA-CAJÚA\Cajua\[VAS_CAJUA_CF_SEC_20230125.xlsx]CF PDP'!$BU$46</t>
  </si>
  <si>
    <t>='C:\Users\jaime.benazar\Quorum Business Solutions\Ecopetrol Prometeo - Documents\Planning Space Implementation\3. Analysis &amp; Design\Design\FC22\DRR Jaime\QUIFA-CAJÚA\Cajua\[VAS_CAJUA_CF_SEC_20230125.xlsx]CF PDP'!$BU$47</t>
  </si>
  <si>
    <t>='C:\Users\jaime.benazar\Quorum Business Solutions\Ecopetrol Prometeo - Documents\Planning Space Implementation\3. Analysis &amp; Design\Design\FC22\DRR Jaime\QUIFA-CAJÚA\Cajua\[VAS_CAJUA_CF_SEC_20230125.xlsx]CF PDP'!$BU$48</t>
  </si>
  <si>
    <t>='C:\Users\jaime.benazar\Quorum Business Solutions\Ecopetrol Prometeo - Documents\Planning Space Implementation\3. Analysis &amp; Design\Design\FC22\DRR Jaime\QUIFA-CAJÚA\Cajua\[VAS_CAJUA_CF_SEC_20230125.xlsx]CF PDP'!$BU$49</t>
  </si>
  <si>
    <t>='C:\Users\jaime.benazar\Quorum Business Solutions\Ecopetrol Prometeo - Documents\Planning Space Implementation\3. Analysis &amp; Design\Design\FC22\DRR Jaime\QUIFA-CAJÚA\Cajua\[VAS_CAJUA_CF_SEC_20230125.xlsx]CF PDP'!$BU$50</t>
  </si>
  <si>
    <t>='C:\Users\jaime.benazar\Quorum Business Solutions\Ecopetrol Prometeo - Documents\Planning Space Implementation\3. Analysis &amp; Design\Design\FC22\DRR Jaime\QUIFA-CAJÚA\Cajua\[VAS_CAJUA_CF_SEC_20230125.xlsx]CF PDP'!$BU$51</t>
  </si>
  <si>
    <t>='C:\Users\jaime.benazar\Quorum Business Solutions\Ecopetrol Prometeo - Documents\Planning Space Implementation\3. Analysis &amp; Design\Design\FC22\DRR Jaime\QUIFA-CAJÚA\Cajua\[VAS_CAJUA_CF_SEC_20230125.xlsx]CF PDP'!$BU$52</t>
  </si>
  <si>
    <t>='C:\Users\jaime.benazar\Quorum Business Solutions\Ecopetrol Prometeo - Documents\Planning Space Implementation\3. Analysis &amp; Design\Design\FC22\DRR Jaime\QUIFA-CAJÚA\Cajua\[VAS_CAJUA_CF_SEC_20230125.xlsx]CF PDP'!$BU$53</t>
  </si>
  <si>
    <t>='C:\Users\jaime.benazar\Quorum Business Solutions\Ecopetrol Prometeo - Documents\Planning Space Implementation\3. Analysis &amp; Design\Design\FC22\DRR Jaime\QUIFA-CAJÚA\Cajua\[VAS_CAJUA_CF_SEC_20230125.xlsx]CF PDP'!$BU$54</t>
  </si>
  <si>
    <t>='C:\Users\jaime.benazar\Quorum Business Solutions\Ecopetrol Prometeo - Documents\Planning Space Implementation\3. Analysis &amp; Design\Design\FC22\DRR Jaime\QUIFA-CAJÚA\Cajua\[VAS_CAJUA_CF_SEC_20230125.xlsx]CF PDP'!$BU$55</t>
  </si>
  <si>
    <t>='C:\Users\jaime.benazar\Quorum Business Solutions\Ecopetrol Prometeo - Documents\Planning Space Implementation\3. Analysis &amp; Design\Design\FC22\DRR Jaime\QUIFA-CAJÚA\Cajua\[VAS_CAJUA_CF_SEC_20230125.xlsx]CF PDP'!$BU$56</t>
  </si>
  <si>
    <t>='C:\Users\jaime.benazar\Quorum Business Solutions\Ecopetrol Prometeo - Documents\Planning Space Implementation\3. Analysis &amp; Design\Design\FC22\DRR Jaime\QUIFA-CAJÚA\Cajua\[VAS_CAJUA_CF_SEC_20230125.xlsx]CF PDP'!$BU$57</t>
  </si>
  <si>
    <t>='C:\Users\jaime.benazar\Quorum Business Solutions\Ecopetrol Prometeo - Documents\Planning Space Implementation\3. Analysis &amp; Design\Design\FC22\DRR Jaime\QUIFA-CAJÚA\Cajua\[VAS_CAJUA_CF_SEC_20230125.xlsx]CF PDP'!$BU$58</t>
  </si>
  <si>
    <t>='C:\Users\jaime.benazar\Quorum Business Solutions\Ecopetrol Prometeo - Documents\Planning Space Implementation\3. Analysis &amp; Design\Design\FC22\DRR Jaime\QUIFA-CAJÚA\Cajua\[VAS_CAJUA_CF_SEC_20230125.xlsx]CF PDP'!$BU$59</t>
  </si>
  <si>
    <t>='C:\Users\jaime.benazar\Quorum Business Solutions\Ecopetrol Prometeo - Documents\Planning Space Implementation\3. Analysis &amp; Design\Design\FC22\DRR Jaime\QUIFA-CAJÚA\Cajua\[VAS_CAJUA_CF_SEC_20230125.xlsx]CF PDP'!$BU$60</t>
  </si>
  <si>
    <t>='C:\Users\jaime.benazar\Quorum Business Solutions\Ecopetrol Prometeo - Documents\Planning Space Implementation\3. Analysis &amp; Design\Design\FC22\DRR Jaime\QUIFA-CAJÚA\Cajua\[VAS_CAJUA_CF_SEC_20230125.xlsx]CF PDP'!$BU$61</t>
  </si>
  <si>
    <t>='C:\Users\jaime.benazar\Quorum Business Solutions\Ecopetrol Prometeo - Documents\Planning Space Implementation\3. Analysis &amp; Design\Design\FC22\DRR Jaime\QUIFA-CAJÚA\Cajua\[VAS_CAJUA_CF_SEC_20230125.xlsx]CF PDP'!$BU$62</t>
  </si>
  <si>
    <t>='C:\Users\jaime.benazar\Quorum Business Solutions\Ecopetrol Prometeo - Documents\Planning Space Implementation\3. Analysis &amp; Design\Design\FC22\DRR Jaime\QUIFA-CAJÚA\Cajua\[VAS_CAJUA_CF_SEC_20230125.xlsx]CF PDP'!$BU$63</t>
  </si>
  <si>
    <t>='C:\Users\jaime.benazar\Quorum Business Solutions\Ecopetrol Prometeo - Documents\Planning Space Implementation\3. Analysis &amp; Design\Design\FC22\DRR Jaime\QUIFA-CAJÚA\Cajua\[VAS_CAJUA_CF_SEC_20230125.xlsx]CF PDP'!$BU$64</t>
  </si>
  <si>
    <t>='C:\Users\jaime.benazar\Quorum Business Solutions\Ecopetrol Prometeo - Documents\Planning Space Implementation\3. Analysis &amp; Design\Design\FC22\DRR Jaime\QUIFA-CAJÚA\Cajua\[VAS_CAJUA_CF_SEC_20230125.xlsx]CF PDP'!$BU$65</t>
  </si>
  <si>
    <t>='C:\Users\jaime.benazar\Quorum Business Solutions\Ecopetrol Prometeo - Documents\Planning Space Implementation\3. Analysis &amp; Design\Design\FC22\DRR Jaime\QUIFA-CAJÚA\Cajua\[VAS_CAJUA_CF_SEC_20230125.xlsx]CF PDP'!$BU$66</t>
  </si>
  <si>
    <t>='C:\Users\jaime.benazar\Quorum Business Solutions\Ecopetrol Prometeo - Documents\Planning Space Implementation\3. Analysis &amp; Design\Design\FC22\DRR Jaime\QUIFA-CAJÚA\Cajua\[VAS_CAJUA_CF_SEC_20230125.xlsx]CF PDP'!$BU$67</t>
  </si>
  <si>
    <t>='C:\Users\jaime.benazar\Quorum Business Solutions\Ecopetrol Prometeo - Documents\Planning Space Implementation\3. Analysis &amp; Design\Design\FC22\DRR Jaime\QUIFA-CAJÚA\Cajua\[VAS_CAJUA_CF_SEC_20230125.xlsx]CF PDP'!$BU$68</t>
  </si>
  <si>
    <t>='C:\Users\jaime.benazar\Quorum Business Solutions\Ecopetrol Prometeo - Documents\Planning Space Implementation\3. Analysis &amp; Design\Design\FC22\DRR Jaime\QUIFA-CAJÚA\Cajua\[VAS_CAJUA_CF_SEC_20230125.xlsx]CF PDP'!$BU$69</t>
  </si>
  <si>
    <t>='C:\Users\jaime.benazar\Quorum Business Solutions\Ecopetrol Prometeo - Documents\Planning Space Implementation\3. Analysis &amp; Design\Design\FC22\DRR Jaime\QUIFA-CAJÚA\Cajua\[VAS_CAJUA_CF_SEC_20230125.xlsx]CF PDP'!$BU$70</t>
  </si>
  <si>
    <t>='C:\Users\jaime.benazar\Quorum Business Solutions\Ecopetrol Prometeo - Documents\Planning Space Implementation\3. Analysis &amp; Design\Design\FC22\DRR Jaime\QUIFA-CAJÚA\Cajua\[VAS_CAJUA_CF_SEC_20230125.xlsx]CF PDP'!$BU$71</t>
  </si>
  <si>
    <t>='C:\Users\jaime.benazar\Quorum Business Solutions\Ecopetrol Prometeo - Documents\Planning Space Implementation\3. Analysis &amp; Design\Design\FC22\DRR Jaime\QUIFA-CAJÚA\Cajua\[VAS_CAJUA_CF_SEC_20230125.xlsx]CF PDP'!$BU$72</t>
  </si>
  <si>
    <t>='C:\Users\jaime.benazar\Quorum Business Solutions\Ecopetrol Prometeo - Documents\Planning Space Implementation\3. Analysis &amp; Design\Design\FC22\DRR Jaime\QUIFA-CAJÚA\Cajua\[VAS_CAJUA_CF_SEC_20230125.xlsx]CF PNP'!$BU$36</t>
  </si>
  <si>
    <t>='C:\Users\jaime.benazar\Quorum Business Solutions\Ecopetrol Prometeo - Documents\Planning Space Implementation\3. Analysis &amp; Design\Design\FC22\DRR Jaime\QUIFA-CAJÚA\Cajua\[VAS_CAJUA_CF_SEC_20230125.xlsx]CF PNP'!$BU$37</t>
  </si>
  <si>
    <t>='C:\Users\jaime.benazar\Quorum Business Solutions\Ecopetrol Prometeo - Documents\Planning Space Implementation\3. Analysis &amp; Design\Design\FC22\DRR Jaime\QUIFA-CAJÚA\Cajua\[VAS_CAJUA_CF_SEC_20230125.xlsx]CF PNP'!$BU$38</t>
  </si>
  <si>
    <t>='C:\Users\jaime.benazar\Quorum Business Solutions\Ecopetrol Prometeo - Documents\Planning Space Implementation\3. Analysis &amp; Design\Design\FC22\DRR Jaime\QUIFA-CAJÚA\Cajua\[VAS_CAJUA_CF_SEC_20230125.xlsx]CF PNP'!$BU$39</t>
  </si>
  <si>
    <t>='C:\Users\jaime.benazar\Quorum Business Solutions\Ecopetrol Prometeo - Documents\Planning Space Implementation\3. Analysis &amp; Design\Design\FC22\DRR Jaime\QUIFA-CAJÚA\Cajua\[VAS_CAJUA_CF_SEC_20230125.xlsx]CF PNP'!$BU$40</t>
  </si>
  <si>
    <t>='C:\Users\jaime.benazar\Quorum Business Solutions\Ecopetrol Prometeo - Documents\Planning Space Implementation\3. Analysis &amp; Design\Design\FC22\DRR Jaime\QUIFA-CAJÚA\Cajua\[VAS_CAJUA_CF_SEC_20230125.xlsx]CF PNP'!$BU$41</t>
  </si>
  <si>
    <t>='C:\Users\jaime.benazar\Quorum Business Solutions\Ecopetrol Prometeo - Documents\Planning Space Implementation\3. Analysis &amp; Design\Design\FC22\DRR Jaime\QUIFA-CAJÚA\Cajua\[VAS_CAJUA_CF_SEC_20230125.xlsx]CF PNP'!$BU$42</t>
  </si>
  <si>
    <t>='C:\Users\jaime.benazar\Quorum Business Solutions\Ecopetrol Prometeo - Documents\Planning Space Implementation\3. Analysis &amp; Design\Design\FC22\DRR Jaime\QUIFA-CAJÚA\Cajua\[VAS_CAJUA_CF_SEC_20230125.xlsx]CF PNP'!$BU$43</t>
  </si>
  <si>
    <t>='C:\Users\jaime.benazar\Quorum Business Solutions\Ecopetrol Prometeo - Documents\Planning Space Implementation\3. Analysis &amp; Design\Design\FC22\DRR Jaime\QUIFA-CAJÚA\Cajua\[VAS_CAJUA_CF_SEC_20230125.xlsx]CF PNP'!$BU$44</t>
  </si>
  <si>
    <t>='C:\Users\jaime.benazar\Quorum Business Solutions\Ecopetrol Prometeo - Documents\Planning Space Implementation\3. Analysis &amp; Design\Design\FC22\DRR Jaime\QUIFA-CAJÚA\Cajua\[VAS_CAJUA_CF_SEC_20230125.xlsx]CF PNP'!$BU$45</t>
  </si>
  <si>
    <t>='C:\Users\jaime.benazar\Quorum Business Solutions\Ecopetrol Prometeo - Documents\Planning Space Implementation\3. Analysis &amp; Design\Design\FC22\DRR Jaime\QUIFA-CAJÚA\Cajua\[VAS_CAJUA_CF_SEC_20230125.xlsx]CF PNP'!$BU$46</t>
  </si>
  <si>
    <t>='C:\Users\jaime.benazar\Quorum Business Solutions\Ecopetrol Prometeo - Documents\Planning Space Implementation\3. Analysis &amp; Design\Design\FC22\DRR Jaime\QUIFA-CAJÚA\Cajua\[VAS_CAJUA_CF_SEC_20230125.xlsx]CF PNP'!$BU$47</t>
  </si>
  <si>
    <t>='C:\Users\jaime.benazar\Quorum Business Solutions\Ecopetrol Prometeo - Documents\Planning Space Implementation\3. Analysis &amp; Design\Design\FC22\DRR Jaime\QUIFA-CAJÚA\Cajua\[VAS_CAJUA_CF_SEC_20230125.xlsx]CF PNP'!$BU$48</t>
  </si>
  <si>
    <t>='C:\Users\jaime.benazar\Quorum Business Solutions\Ecopetrol Prometeo - Documents\Planning Space Implementation\3. Analysis &amp; Design\Design\FC22\DRR Jaime\QUIFA-CAJÚA\Cajua\[VAS_CAJUA_CF_SEC_20230125.xlsx]CF PNP'!$BU$49</t>
  </si>
  <si>
    <t>='C:\Users\jaime.benazar\Quorum Business Solutions\Ecopetrol Prometeo - Documents\Planning Space Implementation\3. Analysis &amp; Design\Design\FC22\DRR Jaime\QUIFA-CAJÚA\Cajua\[VAS_CAJUA_CF_SEC_20230125.xlsx]CF PNP'!$BU$50</t>
  </si>
  <si>
    <t>='C:\Users\jaime.benazar\Quorum Business Solutions\Ecopetrol Prometeo - Documents\Planning Space Implementation\3. Analysis &amp; Design\Design\FC22\DRR Jaime\QUIFA-CAJÚA\Cajua\[VAS_CAJUA_CF_SEC_20230125.xlsx]CF PNP'!$BU$51</t>
  </si>
  <si>
    <t>='C:\Users\jaime.benazar\Quorum Business Solutions\Ecopetrol Prometeo - Documents\Planning Space Implementation\3. Analysis &amp; Design\Design\FC22\DRR Jaime\QUIFA-CAJÚA\Cajua\[VAS_CAJUA_CF_SEC_20230125.xlsx]CF PNP'!$BU$52</t>
  </si>
  <si>
    <t>='C:\Users\jaime.benazar\Quorum Business Solutions\Ecopetrol Prometeo - Documents\Planning Space Implementation\3. Analysis &amp; Design\Design\FC22\DRR Jaime\QUIFA-CAJÚA\Cajua\[VAS_CAJUA_CF_SEC_20230125.xlsx]CF PNP'!$BU$53</t>
  </si>
  <si>
    <t>='C:\Users\jaime.benazar\Quorum Business Solutions\Ecopetrol Prometeo - Documents\Planning Space Implementation\3. Analysis &amp; Design\Design\FC22\DRR Jaime\QUIFA-CAJÚA\Cajua\[VAS_CAJUA_CF_SEC_20230125.xlsx]CF PNP'!$BU$54</t>
  </si>
  <si>
    <t>='C:\Users\jaime.benazar\Quorum Business Solutions\Ecopetrol Prometeo - Documents\Planning Space Implementation\3. Analysis &amp; Design\Design\FC22\DRR Jaime\QUIFA-CAJÚA\Cajua\[VAS_CAJUA_CF_SEC_20230125.xlsx]CF PNP'!$BU$55</t>
  </si>
  <si>
    <t>='C:\Users\jaime.benazar\Quorum Business Solutions\Ecopetrol Prometeo - Documents\Planning Space Implementation\3. Analysis &amp; Design\Design\FC22\DRR Jaime\QUIFA-CAJÚA\Cajua\[VAS_CAJUA_CF_SEC_20230125.xlsx]CF PNP'!$BU$56</t>
  </si>
  <si>
    <t>='C:\Users\jaime.benazar\Quorum Business Solutions\Ecopetrol Prometeo - Documents\Planning Space Implementation\3. Analysis &amp; Design\Design\FC22\DRR Jaime\QUIFA-CAJÚA\Cajua\[VAS_CAJUA_CF_SEC_20230125.xlsx]CF PNP'!$BU$57</t>
  </si>
  <si>
    <t>='C:\Users\jaime.benazar\Quorum Business Solutions\Ecopetrol Prometeo - Documents\Planning Space Implementation\3. Analysis &amp; Design\Design\FC22\DRR Jaime\QUIFA-CAJÚA\Cajua\[VAS_CAJUA_CF_SEC_20230125.xlsx]CF PNP'!$BU$58</t>
  </si>
  <si>
    <t>='C:\Users\jaime.benazar\Quorum Business Solutions\Ecopetrol Prometeo - Documents\Planning Space Implementation\3. Analysis &amp; Design\Design\FC22\DRR Jaime\QUIFA-CAJÚA\Cajua\[VAS_CAJUA_CF_SEC_20230125.xlsx]CF PNP'!$BU$59</t>
  </si>
  <si>
    <t>='C:\Users\jaime.benazar\Quorum Business Solutions\Ecopetrol Prometeo - Documents\Planning Space Implementation\3. Analysis &amp; Design\Design\FC22\DRR Jaime\QUIFA-CAJÚA\Cajua\[VAS_CAJUA_CF_SEC_20230125.xlsx]CF PNP'!$BU$60</t>
  </si>
  <si>
    <t>='C:\Users\jaime.benazar\Quorum Business Solutions\Ecopetrol Prometeo - Documents\Planning Space Implementation\3. Analysis &amp; Design\Design\FC22\DRR Jaime\QUIFA-CAJÚA\Cajua\[VAS_CAJUA_CF_SEC_20230125.xlsx]CF PNP'!$BU$61</t>
  </si>
  <si>
    <t>='C:\Users\jaime.benazar\Quorum Business Solutions\Ecopetrol Prometeo - Documents\Planning Space Implementation\3. Analysis &amp; Design\Design\FC22\DRR Jaime\QUIFA-CAJÚA\Cajua\[VAS_CAJUA_CF_SEC_20230125.xlsx]CF PNP'!$BU$62</t>
  </si>
  <si>
    <t>='C:\Users\jaime.benazar\Quorum Business Solutions\Ecopetrol Prometeo - Documents\Planning Space Implementation\3. Analysis &amp; Design\Design\FC22\DRR Jaime\QUIFA-CAJÚA\Cajua\[VAS_CAJUA_CF_SEC_20230125.xlsx]CF PNP'!$BU$63</t>
  </si>
  <si>
    <t>='C:\Users\jaime.benazar\Quorum Business Solutions\Ecopetrol Prometeo - Documents\Planning Space Implementation\3. Analysis &amp; Design\Design\FC22\DRR Jaime\QUIFA-CAJÚA\Cajua\[VAS_CAJUA_CF_SEC_20230125.xlsx]CF PNP'!$BU$64</t>
  </si>
  <si>
    <t>='C:\Users\jaime.benazar\Quorum Business Solutions\Ecopetrol Prometeo - Documents\Planning Space Implementation\3. Analysis &amp; Design\Design\FC22\DRR Jaime\QUIFA-CAJÚA\Cajua\[VAS_CAJUA_CF_SEC_20230125.xlsx]CF PNP'!$BU$65</t>
  </si>
  <si>
    <t>='C:\Users\jaime.benazar\Quorum Business Solutions\Ecopetrol Prometeo - Documents\Planning Space Implementation\3. Analysis &amp; Design\Design\FC22\DRR Jaime\QUIFA-CAJÚA\Cajua\[VAS_CAJUA_CF_SEC_20230125.xlsx]CF PNP'!$BU$66</t>
  </si>
  <si>
    <t>='C:\Users\jaime.benazar\Quorum Business Solutions\Ecopetrol Prometeo - Documents\Planning Space Implementation\3. Analysis &amp; Design\Design\FC22\DRR Jaime\QUIFA-CAJÚA\Cajua\[VAS_CAJUA_CF_SEC_20230125.xlsx]CF PNP'!$BU$67</t>
  </si>
  <si>
    <t>='C:\Users\jaime.benazar\Quorum Business Solutions\Ecopetrol Prometeo - Documents\Planning Space Implementation\3. Analysis &amp; Design\Design\FC22\DRR Jaime\QUIFA-CAJÚA\Cajua\[VAS_CAJUA_CF_SEC_20230125.xlsx]CF PNP'!$BU$68</t>
  </si>
  <si>
    <t>='C:\Users\jaime.benazar\Quorum Business Solutions\Ecopetrol Prometeo - Documents\Planning Space Implementation\3. Analysis &amp; Design\Design\FC22\DRR Jaime\QUIFA-CAJÚA\Cajua\[VAS_CAJUA_CF_SEC_20230125.xlsx]CF PNP'!$BU$69</t>
  </si>
  <si>
    <t>='C:\Users\jaime.benazar\Quorum Business Solutions\Ecopetrol Prometeo - Documents\Planning Space Implementation\3. Analysis &amp; Design\Design\FC22\DRR Jaime\QUIFA-CAJÚA\Cajua\[VAS_CAJUA_CF_SEC_20230125.xlsx]CF PNP'!$BU$70</t>
  </si>
  <si>
    <t>='C:\Users\jaime.benazar\Quorum Business Solutions\Ecopetrol Prometeo - Documents\Planning Space Implementation\3. Analysis &amp; Design\Design\FC22\DRR Jaime\QUIFA-CAJÚA\Cajua\[VAS_CAJUA_CF_SEC_20230125.xlsx]CF PNP'!$BU$71</t>
  </si>
  <si>
    <t>='C:\Users\jaime.benazar\Quorum Business Solutions\Ecopetrol Prometeo - Documents\Planning Space Implementation\3. Analysis &amp; Design\Design\FC22\DRR Jaime\QUIFA-CAJÚA\Cajua\[VAS_CAJUA_CF_SEC_20230125.xlsx]CF PNP'!$BU$72</t>
  </si>
  <si>
    <t>='C:\Users\jaime.benazar\Quorum Business Solutions\Ecopetrol Prometeo - Documents\Planning Space Implementation\3. Analysis &amp; Design\Design\FC22\DRR Jaime\QUIFA-CAJÚA\Cajua\[VAS_CAJUA_CF_SEC_20230125.xlsx]CF PND'!$BU$36</t>
  </si>
  <si>
    <t>='C:\Users\jaime.benazar\Quorum Business Solutions\Ecopetrol Prometeo - Documents\Planning Space Implementation\3. Analysis &amp; Design\Design\FC22\DRR Jaime\QUIFA-CAJÚA\Cajua\[VAS_CAJUA_CF_SEC_20230125.xlsx]CF PND'!$BU$37</t>
  </si>
  <si>
    <t>='C:\Users\jaime.benazar\Quorum Business Solutions\Ecopetrol Prometeo - Documents\Planning Space Implementation\3. Analysis &amp; Design\Design\FC22\DRR Jaime\QUIFA-CAJÚA\Cajua\[VAS_CAJUA_CF_SEC_20230125.xlsx]CF PND'!$BU$38</t>
  </si>
  <si>
    <t>='C:\Users\jaime.benazar\Quorum Business Solutions\Ecopetrol Prometeo - Documents\Planning Space Implementation\3. Analysis &amp; Design\Design\FC22\DRR Jaime\QUIFA-CAJÚA\Cajua\[VAS_CAJUA_CF_SEC_20230125.xlsx]CF PND'!$BU$39</t>
  </si>
  <si>
    <t>='C:\Users\jaime.benazar\Quorum Business Solutions\Ecopetrol Prometeo - Documents\Planning Space Implementation\3. Analysis &amp; Design\Design\FC22\DRR Jaime\QUIFA-CAJÚA\Cajua\[VAS_CAJUA_CF_SEC_20230125.xlsx]CF PND'!$BU$40</t>
  </si>
  <si>
    <t>='C:\Users\jaime.benazar\Quorum Business Solutions\Ecopetrol Prometeo - Documents\Planning Space Implementation\3. Analysis &amp; Design\Design\FC22\DRR Jaime\QUIFA-CAJÚA\Cajua\[VAS_CAJUA_CF_SEC_20230125.xlsx]CF PND'!$BU$41</t>
  </si>
  <si>
    <t>='C:\Users\jaime.benazar\Quorum Business Solutions\Ecopetrol Prometeo - Documents\Planning Space Implementation\3. Analysis &amp; Design\Design\FC22\DRR Jaime\QUIFA-CAJÚA\Cajua\[VAS_CAJUA_CF_SEC_20230125.xlsx]CF PND'!$BU$42</t>
  </si>
  <si>
    <t>='C:\Users\jaime.benazar\Quorum Business Solutions\Ecopetrol Prometeo - Documents\Planning Space Implementation\3. Analysis &amp; Design\Design\FC22\DRR Jaime\QUIFA-CAJÚA\Cajua\[VAS_CAJUA_CF_SEC_20230125.xlsx]CF PND'!$BU$43</t>
  </si>
  <si>
    <t>='C:\Users\jaime.benazar\Quorum Business Solutions\Ecopetrol Prometeo - Documents\Planning Space Implementation\3. Analysis &amp; Design\Design\FC22\DRR Jaime\QUIFA-CAJÚA\Cajua\[VAS_CAJUA_CF_SEC_20230125.xlsx]CF PND'!$BU$44</t>
  </si>
  <si>
    <t>='C:\Users\jaime.benazar\Quorum Business Solutions\Ecopetrol Prometeo - Documents\Planning Space Implementation\3. Analysis &amp; Design\Design\FC22\DRR Jaime\QUIFA-CAJÚA\Cajua\[VAS_CAJUA_CF_SEC_20230125.xlsx]CF PND'!$BU$45</t>
  </si>
  <si>
    <t>='C:\Users\jaime.benazar\Quorum Business Solutions\Ecopetrol Prometeo - Documents\Planning Space Implementation\3. Analysis &amp; Design\Design\FC22\DRR Jaime\QUIFA-CAJÚA\Cajua\[VAS_CAJUA_CF_SEC_20230125.xlsx]CF PND'!$BU$46</t>
  </si>
  <si>
    <t>='C:\Users\jaime.benazar\Quorum Business Solutions\Ecopetrol Prometeo - Documents\Planning Space Implementation\3. Analysis &amp; Design\Design\FC22\DRR Jaime\QUIFA-CAJÚA\Cajua\[VAS_CAJUA_CF_SEC_20230125.xlsx]CF PND'!$BU$47</t>
  </si>
  <si>
    <t>='C:\Users\jaime.benazar\Quorum Business Solutions\Ecopetrol Prometeo - Documents\Planning Space Implementation\3. Analysis &amp; Design\Design\FC22\DRR Jaime\QUIFA-CAJÚA\Cajua\[VAS_CAJUA_CF_SEC_20230125.xlsx]CF PND'!$BU$48</t>
  </si>
  <si>
    <t>='C:\Users\jaime.benazar\Quorum Business Solutions\Ecopetrol Prometeo - Documents\Planning Space Implementation\3. Analysis &amp; Design\Design\FC22\DRR Jaime\QUIFA-CAJÚA\Cajua\[VAS_CAJUA_CF_SEC_20230125.xlsx]CF PND'!$BU$49</t>
  </si>
  <si>
    <t>='C:\Users\jaime.benazar\Quorum Business Solutions\Ecopetrol Prometeo - Documents\Planning Space Implementation\3. Analysis &amp; Design\Design\FC22\DRR Jaime\QUIFA-CAJÚA\Cajua\[VAS_CAJUA_CF_SEC_20230125.xlsx]CF PND'!$BU$50</t>
  </si>
  <si>
    <t>='C:\Users\jaime.benazar\Quorum Business Solutions\Ecopetrol Prometeo - Documents\Planning Space Implementation\3. Analysis &amp; Design\Design\FC22\DRR Jaime\QUIFA-CAJÚA\Cajua\[VAS_CAJUA_CF_SEC_20230125.xlsx]CF PND'!$BU$51</t>
  </si>
  <si>
    <t>='C:\Users\jaime.benazar\Quorum Business Solutions\Ecopetrol Prometeo - Documents\Planning Space Implementation\3. Analysis &amp; Design\Design\FC22\DRR Jaime\QUIFA-CAJÚA\Cajua\[VAS_CAJUA_CF_SEC_20230125.xlsx]CF PND'!$BU$52</t>
  </si>
  <si>
    <t>='C:\Users\jaime.benazar\Quorum Business Solutions\Ecopetrol Prometeo - Documents\Planning Space Implementation\3. Analysis &amp; Design\Design\FC22\DRR Jaime\QUIFA-CAJÚA\Cajua\[VAS_CAJUA_CF_SEC_20230125.xlsx]CF PND'!$BU$53</t>
  </si>
  <si>
    <t>='C:\Users\jaime.benazar\Quorum Business Solutions\Ecopetrol Prometeo - Documents\Planning Space Implementation\3. Analysis &amp; Design\Design\FC22\DRR Jaime\QUIFA-CAJÚA\Cajua\[VAS_CAJUA_CF_SEC_20230125.xlsx]CF PND'!$BU$54</t>
  </si>
  <si>
    <t>='C:\Users\jaime.benazar\Quorum Business Solutions\Ecopetrol Prometeo - Documents\Planning Space Implementation\3. Analysis &amp; Design\Design\FC22\DRR Jaime\QUIFA-CAJÚA\Cajua\[VAS_CAJUA_CF_SEC_20230125.xlsx]CF PND'!$BU$55</t>
  </si>
  <si>
    <t>='C:\Users\jaime.benazar\Quorum Business Solutions\Ecopetrol Prometeo - Documents\Planning Space Implementation\3. Analysis &amp; Design\Design\FC22\DRR Jaime\QUIFA-CAJÚA\Cajua\[VAS_CAJUA_CF_SEC_20230125.xlsx]CF PND'!$BU$56</t>
  </si>
  <si>
    <t>='C:\Users\jaime.benazar\Quorum Business Solutions\Ecopetrol Prometeo - Documents\Planning Space Implementation\3. Analysis &amp; Design\Design\FC22\DRR Jaime\QUIFA-CAJÚA\Cajua\[VAS_CAJUA_CF_SEC_20230125.xlsx]CF PND'!$BU$57</t>
  </si>
  <si>
    <t>='C:\Users\jaime.benazar\Quorum Business Solutions\Ecopetrol Prometeo - Documents\Planning Space Implementation\3. Analysis &amp; Design\Design\FC22\DRR Jaime\QUIFA-CAJÚA\Cajua\[VAS_CAJUA_CF_SEC_20230125.xlsx]CF PND'!$BU$58</t>
  </si>
  <si>
    <t>='C:\Users\jaime.benazar\Quorum Business Solutions\Ecopetrol Prometeo - Documents\Planning Space Implementation\3. Analysis &amp; Design\Design\FC22\DRR Jaime\QUIFA-CAJÚA\Cajua\[VAS_CAJUA_CF_SEC_20230125.xlsx]CF PND'!$BU$59</t>
  </si>
  <si>
    <t>='C:\Users\jaime.benazar\Quorum Business Solutions\Ecopetrol Prometeo - Documents\Planning Space Implementation\3. Analysis &amp; Design\Design\FC22\DRR Jaime\QUIFA-CAJÚA\Cajua\[VAS_CAJUA_CF_SEC_20230125.xlsx]CF PND'!$BU$60</t>
  </si>
  <si>
    <t>='C:\Users\jaime.benazar\Quorum Business Solutions\Ecopetrol Prometeo - Documents\Planning Space Implementation\3. Analysis &amp; Design\Design\FC22\DRR Jaime\QUIFA-CAJÚA\Cajua\[VAS_CAJUA_CF_SEC_20230125.xlsx]CF PND'!$BU$61</t>
  </si>
  <si>
    <t>='C:\Users\jaime.benazar\Quorum Business Solutions\Ecopetrol Prometeo - Documents\Planning Space Implementation\3. Analysis &amp; Design\Design\FC22\DRR Jaime\QUIFA-CAJÚA\Cajua\[VAS_CAJUA_CF_SEC_20230125.xlsx]CF PND'!$BU$62</t>
  </si>
  <si>
    <t>='C:\Users\jaime.benazar\Quorum Business Solutions\Ecopetrol Prometeo - Documents\Planning Space Implementation\3. Analysis &amp; Design\Design\FC22\DRR Jaime\QUIFA-CAJÚA\Cajua\[VAS_CAJUA_CF_SEC_20230125.xlsx]CF PND'!$BU$63</t>
  </si>
  <si>
    <t>='C:\Users\jaime.benazar\Quorum Business Solutions\Ecopetrol Prometeo - Documents\Planning Space Implementation\3. Analysis &amp; Design\Design\FC22\DRR Jaime\QUIFA-CAJÚA\Cajua\[VAS_CAJUA_CF_SEC_20230125.xlsx]CF PND'!$BU$64</t>
  </si>
  <si>
    <t>='C:\Users\jaime.benazar\Quorum Business Solutions\Ecopetrol Prometeo - Documents\Planning Space Implementation\3. Analysis &amp; Design\Design\FC22\DRR Jaime\QUIFA-CAJÚA\Cajua\[VAS_CAJUA_CF_SEC_20230125.xlsx]CF PND'!$BU$65</t>
  </si>
  <si>
    <t>='C:\Users\jaime.benazar\Quorum Business Solutions\Ecopetrol Prometeo - Documents\Planning Space Implementation\3. Analysis &amp; Design\Design\FC22\DRR Jaime\QUIFA-CAJÚA\Cajua\[VAS_CAJUA_CF_SEC_20230125.xlsx]CF PND'!$BU$66</t>
  </si>
  <si>
    <t>='C:\Users\jaime.benazar\Quorum Business Solutions\Ecopetrol Prometeo - Documents\Planning Space Implementation\3. Analysis &amp; Design\Design\FC22\DRR Jaime\QUIFA-CAJÚA\Cajua\[VAS_CAJUA_CF_SEC_20230125.xlsx]CF PND'!$BU$67</t>
  </si>
  <si>
    <t>='C:\Users\jaime.benazar\Quorum Business Solutions\Ecopetrol Prometeo - Documents\Planning Space Implementation\3. Analysis &amp; Design\Design\FC22\DRR Jaime\QUIFA-CAJÚA\Cajua\[VAS_CAJUA_CF_SEC_20230125.xlsx]CF PND'!$BU$68</t>
  </si>
  <si>
    <t>='C:\Users\jaime.benazar\Quorum Business Solutions\Ecopetrol Prometeo - Documents\Planning Space Implementation\3. Analysis &amp; Design\Design\FC22\DRR Jaime\QUIFA-CAJÚA\Cajua\[VAS_CAJUA_CF_SEC_20230125.xlsx]CF PND'!$BU$69</t>
  </si>
  <si>
    <t>='C:\Users\jaime.benazar\Quorum Business Solutions\Ecopetrol Prometeo - Documents\Planning Space Implementation\3. Analysis &amp; Design\Design\FC22\DRR Jaime\QUIFA-CAJÚA\Cajua\[VAS_CAJUA_CF_SEC_20230125.xlsx]CF PND'!$BU$70</t>
  </si>
  <si>
    <t>='C:\Users\jaime.benazar\Quorum Business Solutions\Ecopetrol Prometeo - Documents\Planning Space Implementation\3. Analysis &amp; Design\Design\FC22\DRR Jaime\QUIFA-CAJÚA\Cajua\[VAS_CAJUA_CF_SEC_20230125.xlsx]CF PND'!$BU$71</t>
  </si>
  <si>
    <t>='C:\Users\jaime.benazar\Quorum Business Solutions\Ecopetrol Prometeo - Documents\Planning Space Implementation\3. Analysis &amp; Design\Design\FC22\DRR Jaime\QUIFA-CAJÚA\Cajua\[VAS_CAJUA_CF_SEC_20230125.xlsx]CF PND'!$BU$72</t>
  </si>
  <si>
    <t>='C:\Users\jaime.benazar\Quorum Business Solutions\Ecopetrol Prometeo - Documents\Planning Space Implementation\3. Analysis &amp; Design\Design\FC22\DRR Jaime\QUIFA-CAJÚA\Cajua\[VAS_CAJUA_CF_SEC_20230125.xlsx]CF PRB'!$BU$36</t>
  </si>
  <si>
    <t>='C:\Users\jaime.benazar\Quorum Business Solutions\Ecopetrol Prometeo - Documents\Planning Space Implementation\3. Analysis &amp; Design\Design\FC22\DRR Jaime\QUIFA-CAJÚA\Cajua\[VAS_CAJUA_CF_SEC_20230125.xlsx]CF PRB'!$BU$37</t>
  </si>
  <si>
    <t>='C:\Users\jaime.benazar\Quorum Business Solutions\Ecopetrol Prometeo - Documents\Planning Space Implementation\3. Analysis &amp; Design\Design\FC22\DRR Jaime\QUIFA-CAJÚA\Cajua\[VAS_CAJUA_CF_SEC_20230125.xlsx]CF PRB'!$BU$38</t>
  </si>
  <si>
    <t>='C:\Users\jaime.benazar\Quorum Business Solutions\Ecopetrol Prometeo - Documents\Planning Space Implementation\3. Analysis &amp; Design\Design\FC22\DRR Jaime\QUIFA-CAJÚA\Cajua\[VAS_CAJUA_CF_SEC_20230125.xlsx]CF PRB'!$BU$39</t>
  </si>
  <si>
    <t>='C:\Users\jaime.benazar\Quorum Business Solutions\Ecopetrol Prometeo - Documents\Planning Space Implementation\3. Analysis &amp; Design\Design\FC22\DRR Jaime\QUIFA-CAJÚA\Cajua\[VAS_CAJUA_CF_SEC_20230125.xlsx]CF PRB'!$BU$40</t>
  </si>
  <si>
    <t>='C:\Users\jaime.benazar\Quorum Business Solutions\Ecopetrol Prometeo - Documents\Planning Space Implementation\3. Analysis &amp; Design\Design\FC22\DRR Jaime\QUIFA-CAJÚA\Cajua\[VAS_CAJUA_CF_SEC_20230125.xlsx]CF PRB'!$BU$41</t>
  </si>
  <si>
    <t>='C:\Users\jaime.benazar\Quorum Business Solutions\Ecopetrol Prometeo - Documents\Planning Space Implementation\3. Analysis &amp; Design\Design\FC22\DRR Jaime\QUIFA-CAJÚA\Cajua\[VAS_CAJUA_CF_SEC_20230125.xlsx]CF PRB'!$BU$42</t>
  </si>
  <si>
    <t>='C:\Users\jaime.benazar\Quorum Business Solutions\Ecopetrol Prometeo - Documents\Planning Space Implementation\3. Analysis &amp; Design\Design\FC22\DRR Jaime\QUIFA-CAJÚA\Cajua\[VAS_CAJUA_CF_SEC_20230125.xlsx]CF PRB'!$BU$43</t>
  </si>
  <si>
    <t>='C:\Users\jaime.benazar\Quorum Business Solutions\Ecopetrol Prometeo - Documents\Planning Space Implementation\3. Analysis &amp; Design\Design\FC22\DRR Jaime\QUIFA-CAJÚA\Cajua\[VAS_CAJUA_CF_SEC_20230125.xlsx]CF PRB'!$BU$44</t>
  </si>
  <si>
    <t>='C:\Users\jaime.benazar\Quorum Business Solutions\Ecopetrol Prometeo - Documents\Planning Space Implementation\3. Analysis &amp; Design\Design\FC22\DRR Jaime\QUIFA-CAJÚA\Cajua\[VAS_CAJUA_CF_SEC_20230125.xlsx]CF PRB'!$BU$45</t>
  </si>
  <si>
    <t>='C:\Users\jaime.benazar\Quorum Business Solutions\Ecopetrol Prometeo - Documents\Planning Space Implementation\3. Analysis &amp; Design\Design\FC22\DRR Jaime\QUIFA-CAJÚA\Cajua\[VAS_CAJUA_CF_SEC_20230125.xlsx]CF PRB'!$BU$46</t>
  </si>
  <si>
    <t>='C:\Users\jaime.benazar\Quorum Business Solutions\Ecopetrol Prometeo - Documents\Planning Space Implementation\3. Analysis &amp; Design\Design\FC22\DRR Jaime\QUIFA-CAJÚA\Cajua\[VAS_CAJUA_CF_SEC_20230125.xlsx]CF PRB'!$BU$47</t>
  </si>
  <si>
    <t>='C:\Users\jaime.benazar\Quorum Business Solutions\Ecopetrol Prometeo - Documents\Planning Space Implementation\3. Analysis &amp; Design\Design\FC22\DRR Jaime\QUIFA-CAJÚA\Cajua\[VAS_CAJUA_CF_SEC_20230125.xlsx]CF PRB'!$BU$48</t>
  </si>
  <si>
    <t>='C:\Users\jaime.benazar\Quorum Business Solutions\Ecopetrol Prometeo - Documents\Planning Space Implementation\3. Analysis &amp; Design\Design\FC22\DRR Jaime\QUIFA-CAJÚA\Cajua\[VAS_CAJUA_CF_SEC_20230125.xlsx]CF PRB'!$BU$49</t>
  </si>
  <si>
    <t>='C:\Users\jaime.benazar\Quorum Business Solutions\Ecopetrol Prometeo - Documents\Planning Space Implementation\3. Analysis &amp; Design\Design\FC22\DRR Jaime\QUIFA-CAJÚA\Cajua\[VAS_CAJUA_CF_SEC_20230125.xlsx]CF PRB'!$BU$50</t>
  </si>
  <si>
    <t>='C:\Users\jaime.benazar\Quorum Business Solutions\Ecopetrol Prometeo - Documents\Planning Space Implementation\3. Analysis &amp; Design\Design\FC22\DRR Jaime\QUIFA-CAJÚA\Cajua\[VAS_CAJUA_CF_SEC_20230125.xlsx]CF PRB'!$BU$51</t>
  </si>
  <si>
    <t>='C:\Users\jaime.benazar\Quorum Business Solutions\Ecopetrol Prometeo - Documents\Planning Space Implementation\3. Analysis &amp; Design\Design\FC22\DRR Jaime\QUIFA-CAJÚA\Cajua\[VAS_CAJUA_CF_SEC_20230125.xlsx]CF PRB'!$BU$52</t>
  </si>
  <si>
    <t>='C:\Users\jaime.benazar\Quorum Business Solutions\Ecopetrol Prometeo - Documents\Planning Space Implementation\3. Analysis &amp; Design\Design\FC22\DRR Jaime\QUIFA-CAJÚA\Cajua\[VAS_CAJUA_CF_SEC_20230125.xlsx]CF PRB'!$BU$53</t>
  </si>
  <si>
    <t>='C:\Users\jaime.benazar\Quorum Business Solutions\Ecopetrol Prometeo - Documents\Planning Space Implementation\3. Analysis &amp; Design\Design\FC22\DRR Jaime\QUIFA-CAJÚA\Cajua\[VAS_CAJUA_CF_SEC_20230125.xlsx]CF PRB'!$BU$54</t>
  </si>
  <si>
    <t>='C:\Users\jaime.benazar\Quorum Business Solutions\Ecopetrol Prometeo - Documents\Planning Space Implementation\3. Analysis &amp; Design\Design\FC22\DRR Jaime\QUIFA-CAJÚA\Cajua\[VAS_CAJUA_CF_SEC_20230125.xlsx]CF PRB'!$BU$55</t>
  </si>
  <si>
    <t>='C:\Users\jaime.benazar\Quorum Business Solutions\Ecopetrol Prometeo - Documents\Planning Space Implementation\3. Analysis &amp; Design\Design\FC22\DRR Jaime\QUIFA-CAJÚA\Cajua\[VAS_CAJUA_CF_SEC_20230125.xlsx]CF PRB'!$BU$56</t>
  </si>
  <si>
    <t>='C:\Users\jaime.benazar\Quorum Business Solutions\Ecopetrol Prometeo - Documents\Planning Space Implementation\3. Analysis &amp; Design\Design\FC22\DRR Jaime\QUIFA-CAJÚA\Cajua\[VAS_CAJUA_CF_SEC_20230125.xlsx]CF PRB'!$BU$57</t>
  </si>
  <si>
    <t>='C:\Users\jaime.benazar\Quorum Business Solutions\Ecopetrol Prometeo - Documents\Planning Space Implementation\3. Analysis &amp; Design\Design\FC22\DRR Jaime\QUIFA-CAJÚA\Cajua\[VAS_CAJUA_CF_SEC_20230125.xlsx]CF PRB'!$BU$58</t>
  </si>
  <si>
    <t>='C:\Users\jaime.benazar\Quorum Business Solutions\Ecopetrol Prometeo - Documents\Planning Space Implementation\3. Analysis &amp; Design\Design\FC22\DRR Jaime\QUIFA-CAJÚA\Cajua\[VAS_CAJUA_CF_SEC_20230125.xlsx]CF PRB'!$BU$59</t>
  </si>
  <si>
    <t>='C:\Users\jaime.benazar\Quorum Business Solutions\Ecopetrol Prometeo - Documents\Planning Space Implementation\3. Analysis &amp; Design\Design\FC22\DRR Jaime\QUIFA-CAJÚA\Cajua\[VAS_CAJUA_CF_SEC_20230125.xlsx]CF PRB'!$BU$60</t>
  </si>
  <si>
    <t>='C:\Users\jaime.benazar\Quorum Business Solutions\Ecopetrol Prometeo - Documents\Planning Space Implementation\3. Analysis &amp; Design\Design\FC22\DRR Jaime\QUIFA-CAJÚA\Cajua\[VAS_CAJUA_CF_SEC_20230125.xlsx]CF PRB'!$BU$61</t>
  </si>
  <si>
    <t>='C:\Users\jaime.benazar\Quorum Business Solutions\Ecopetrol Prometeo - Documents\Planning Space Implementation\3. Analysis &amp; Design\Design\FC22\DRR Jaime\QUIFA-CAJÚA\Cajua\[VAS_CAJUA_CF_SEC_20230125.xlsx]CF PRB'!$BU$62</t>
  </si>
  <si>
    <t>='C:\Users\jaime.benazar\Quorum Business Solutions\Ecopetrol Prometeo - Documents\Planning Space Implementation\3. Analysis &amp; Design\Design\FC22\DRR Jaime\QUIFA-CAJÚA\Cajua\[VAS_CAJUA_CF_SEC_20230125.xlsx]CF PRB'!$BU$63</t>
  </si>
  <si>
    <t>='C:\Users\jaime.benazar\Quorum Business Solutions\Ecopetrol Prometeo - Documents\Planning Space Implementation\3. Analysis &amp; Design\Design\FC22\DRR Jaime\QUIFA-CAJÚA\Cajua\[VAS_CAJUA_CF_SEC_20230125.xlsx]CF PRB'!$BU$64</t>
  </si>
  <si>
    <t>='C:\Users\jaime.benazar\Quorum Business Solutions\Ecopetrol Prometeo - Documents\Planning Space Implementation\3. Analysis &amp; Design\Design\FC22\DRR Jaime\QUIFA-CAJÚA\Cajua\[VAS_CAJUA_CF_SEC_20230125.xlsx]CF PRB'!$BU$65</t>
  </si>
  <si>
    <t>='C:\Users\jaime.benazar\Quorum Business Solutions\Ecopetrol Prometeo - Documents\Planning Space Implementation\3. Analysis &amp; Design\Design\FC22\DRR Jaime\QUIFA-CAJÚA\Cajua\[VAS_CAJUA_CF_SEC_20230125.xlsx]CF PRB'!$BU$66</t>
  </si>
  <si>
    <t>='C:\Users\jaime.benazar\Quorum Business Solutions\Ecopetrol Prometeo - Documents\Planning Space Implementation\3. Analysis &amp; Design\Design\FC22\DRR Jaime\QUIFA-CAJÚA\Cajua\[VAS_CAJUA_CF_SEC_20230125.xlsx]CF PRB'!$BU$67</t>
  </si>
  <si>
    <t>='C:\Users\jaime.benazar\Quorum Business Solutions\Ecopetrol Prometeo - Documents\Planning Space Implementation\3. Analysis &amp; Design\Design\FC22\DRR Jaime\QUIFA-CAJÚA\Cajua\[VAS_CAJUA_CF_SEC_20230125.xlsx]CF PRB'!$BU$68</t>
  </si>
  <si>
    <t>='C:\Users\jaime.benazar\Quorum Business Solutions\Ecopetrol Prometeo - Documents\Planning Space Implementation\3. Analysis &amp; Design\Design\FC22\DRR Jaime\QUIFA-CAJÚA\Cajua\[VAS_CAJUA_CF_SEC_20230125.xlsx]CF PRB'!$BU$69</t>
  </si>
  <si>
    <t>='C:\Users\jaime.benazar\Quorum Business Solutions\Ecopetrol Prometeo - Documents\Planning Space Implementation\3. Analysis &amp; Design\Design\FC22\DRR Jaime\QUIFA-CAJÚA\Cajua\[VAS_CAJUA_CF_SEC_20230125.xlsx]CF PRB'!$BU$70</t>
  </si>
  <si>
    <t>='C:\Users\jaime.benazar\Quorum Business Solutions\Ecopetrol Prometeo - Documents\Planning Space Implementation\3. Analysis &amp; Design\Design\FC22\DRR Jaime\QUIFA-CAJÚA\Cajua\[VAS_CAJUA_CF_SEC_20230125.xlsx]CF PRB'!$BU$71</t>
  </si>
  <si>
    <t>='C:\Users\jaime.benazar\Quorum Business Solutions\Ecopetrol Prometeo - Documents\Planning Space Implementation\3. Analysis &amp; Design\Design\FC22\DRR Jaime\QUIFA-CAJÚA\Cajua\[VAS_CAJUA_CF_SEC_20230125.xlsx]CF PRB'!$BU$72</t>
  </si>
  <si>
    <t>='C:\Users\jaime.benazar\Quorum Business Solutions\Ecopetrol Prometeo - Documents\Planning Space Implementation\3. Analysis &amp; Design\Design\FC22\DRR Jaime\QUIFA-CAJÚA\Cajua\[VAS_CAJUA_CF_SEC_20230125.xlsx]CF PS'!$BU$36</t>
  </si>
  <si>
    <t>='C:\Users\jaime.benazar\Quorum Business Solutions\Ecopetrol Prometeo - Documents\Planning Space Implementation\3. Analysis &amp; Design\Design\FC22\DRR Jaime\QUIFA-CAJÚA\Cajua\[VAS_CAJUA_CF_SEC_20230125.xlsx]CF PS'!$BU$37</t>
  </si>
  <si>
    <t>='C:\Users\jaime.benazar\Quorum Business Solutions\Ecopetrol Prometeo - Documents\Planning Space Implementation\3. Analysis &amp; Design\Design\FC22\DRR Jaime\QUIFA-CAJÚA\Cajua\[VAS_CAJUA_CF_SEC_20230125.xlsx]CF PS'!$BU$38</t>
  </si>
  <si>
    <t>='C:\Users\jaime.benazar\Quorum Business Solutions\Ecopetrol Prometeo - Documents\Planning Space Implementation\3. Analysis &amp; Design\Design\FC22\DRR Jaime\QUIFA-CAJÚA\Cajua\[VAS_CAJUA_CF_SEC_20230125.xlsx]CF PS'!$BU$39</t>
  </si>
  <si>
    <t>='C:\Users\jaime.benazar\Quorum Business Solutions\Ecopetrol Prometeo - Documents\Planning Space Implementation\3. Analysis &amp; Design\Design\FC22\DRR Jaime\QUIFA-CAJÚA\Cajua\[VAS_CAJUA_CF_SEC_20230125.xlsx]CF PS'!$BU$40</t>
  </si>
  <si>
    <t>='C:\Users\jaime.benazar\Quorum Business Solutions\Ecopetrol Prometeo - Documents\Planning Space Implementation\3. Analysis &amp; Design\Design\FC22\DRR Jaime\QUIFA-CAJÚA\Cajua\[VAS_CAJUA_CF_SEC_20230125.xlsx]CF PS'!$BU$41</t>
  </si>
  <si>
    <t>='C:\Users\jaime.benazar\Quorum Business Solutions\Ecopetrol Prometeo - Documents\Planning Space Implementation\3. Analysis &amp; Design\Design\FC22\DRR Jaime\QUIFA-CAJÚA\Cajua\[VAS_CAJUA_CF_SEC_20230125.xlsx]CF PS'!$BU$42</t>
  </si>
  <si>
    <t>='C:\Users\jaime.benazar\Quorum Business Solutions\Ecopetrol Prometeo - Documents\Planning Space Implementation\3. Analysis &amp; Design\Design\FC22\DRR Jaime\QUIFA-CAJÚA\Cajua\[VAS_CAJUA_CF_SEC_20230125.xlsx]CF PS'!$BU$43</t>
  </si>
  <si>
    <t>='C:\Users\jaime.benazar\Quorum Business Solutions\Ecopetrol Prometeo - Documents\Planning Space Implementation\3. Analysis &amp; Design\Design\FC22\DRR Jaime\QUIFA-CAJÚA\Cajua\[VAS_CAJUA_CF_SEC_20230125.xlsx]CF PS'!$BU$44</t>
  </si>
  <si>
    <t>='C:\Users\jaime.benazar\Quorum Business Solutions\Ecopetrol Prometeo - Documents\Planning Space Implementation\3. Analysis &amp; Design\Design\FC22\DRR Jaime\QUIFA-CAJÚA\Cajua\[VAS_CAJUA_CF_SEC_20230125.xlsx]CF PS'!$BU$45</t>
  </si>
  <si>
    <t>='C:\Users\jaime.benazar\Quorum Business Solutions\Ecopetrol Prometeo - Documents\Planning Space Implementation\3. Analysis &amp; Design\Design\FC22\DRR Jaime\QUIFA-CAJÚA\Cajua\[VAS_CAJUA_CF_SEC_20230125.xlsx]CF PS'!$BU$46</t>
  </si>
  <si>
    <t>='C:\Users\jaime.benazar\Quorum Business Solutions\Ecopetrol Prometeo - Documents\Planning Space Implementation\3. Analysis &amp; Design\Design\FC22\DRR Jaime\QUIFA-CAJÚA\Cajua\[VAS_CAJUA_CF_SEC_20230125.xlsx]CF PS'!$BU$47</t>
  </si>
  <si>
    <t>='C:\Users\jaime.benazar\Quorum Business Solutions\Ecopetrol Prometeo - Documents\Planning Space Implementation\3. Analysis &amp; Design\Design\FC22\DRR Jaime\QUIFA-CAJÚA\Cajua\[VAS_CAJUA_CF_SEC_20230125.xlsx]CF PS'!$BU$48</t>
  </si>
  <si>
    <t>='C:\Users\jaime.benazar\Quorum Business Solutions\Ecopetrol Prometeo - Documents\Planning Space Implementation\3. Analysis &amp; Design\Design\FC22\DRR Jaime\QUIFA-CAJÚA\Cajua\[VAS_CAJUA_CF_SEC_20230125.xlsx]CF PS'!$BU$49</t>
  </si>
  <si>
    <t>='C:\Users\jaime.benazar\Quorum Business Solutions\Ecopetrol Prometeo - Documents\Planning Space Implementation\3. Analysis &amp; Design\Design\FC22\DRR Jaime\QUIFA-CAJÚA\Cajua\[VAS_CAJUA_CF_SEC_20230125.xlsx]CF PS'!$BU$50</t>
  </si>
  <si>
    <t>='C:\Users\jaime.benazar\Quorum Business Solutions\Ecopetrol Prometeo - Documents\Planning Space Implementation\3. Analysis &amp; Design\Design\FC22\DRR Jaime\QUIFA-CAJÚA\Cajua\[VAS_CAJUA_CF_SEC_20230125.xlsx]CF PS'!$BU$51</t>
  </si>
  <si>
    <t>='C:\Users\jaime.benazar\Quorum Business Solutions\Ecopetrol Prometeo - Documents\Planning Space Implementation\3. Analysis &amp; Design\Design\FC22\DRR Jaime\QUIFA-CAJÚA\Cajua\[VAS_CAJUA_CF_SEC_20230125.xlsx]CF PS'!$BU$52</t>
  </si>
  <si>
    <t>='C:\Users\jaime.benazar\Quorum Business Solutions\Ecopetrol Prometeo - Documents\Planning Space Implementation\3. Analysis &amp; Design\Design\FC22\DRR Jaime\QUIFA-CAJÚA\Cajua\[VAS_CAJUA_CF_SEC_20230125.xlsx]CF PS'!$BU$53</t>
  </si>
  <si>
    <t>='C:\Users\jaime.benazar\Quorum Business Solutions\Ecopetrol Prometeo - Documents\Planning Space Implementation\3. Analysis &amp; Design\Design\FC22\DRR Jaime\QUIFA-CAJÚA\Cajua\[VAS_CAJUA_CF_SEC_20230125.xlsx]CF PS'!$BU$54</t>
  </si>
  <si>
    <t>='C:\Users\jaime.benazar\Quorum Business Solutions\Ecopetrol Prometeo - Documents\Planning Space Implementation\3. Analysis &amp; Design\Design\FC22\DRR Jaime\QUIFA-CAJÚA\Cajua\[VAS_CAJUA_CF_SEC_20230125.xlsx]CF PS'!$BU$55</t>
  </si>
  <si>
    <t>='C:\Users\jaime.benazar\Quorum Business Solutions\Ecopetrol Prometeo - Documents\Planning Space Implementation\3. Analysis &amp; Design\Design\FC22\DRR Jaime\QUIFA-CAJÚA\Cajua\[VAS_CAJUA_CF_SEC_20230125.xlsx]CF PS'!$BU$56</t>
  </si>
  <si>
    <t>='C:\Users\jaime.benazar\Quorum Business Solutions\Ecopetrol Prometeo - Documents\Planning Space Implementation\3. Analysis &amp; Design\Design\FC22\DRR Jaime\QUIFA-CAJÚA\Cajua\[VAS_CAJUA_CF_SEC_20230125.xlsx]CF PS'!$BU$57</t>
  </si>
  <si>
    <t>='C:\Users\jaime.benazar\Quorum Business Solutions\Ecopetrol Prometeo - Documents\Planning Space Implementation\3. Analysis &amp; Design\Design\FC22\DRR Jaime\QUIFA-CAJÚA\Cajua\[VAS_CAJUA_CF_SEC_20230125.xlsx]CF PS'!$BU$58</t>
  </si>
  <si>
    <t>='C:\Users\jaime.benazar\Quorum Business Solutions\Ecopetrol Prometeo - Documents\Planning Space Implementation\3. Analysis &amp; Design\Design\FC22\DRR Jaime\QUIFA-CAJÚA\Cajua\[VAS_CAJUA_CF_SEC_20230125.xlsx]CF PS'!$BU$59</t>
  </si>
  <si>
    <t>='C:\Users\jaime.benazar\Quorum Business Solutions\Ecopetrol Prometeo - Documents\Planning Space Implementation\3. Analysis &amp; Design\Design\FC22\DRR Jaime\QUIFA-CAJÚA\Cajua\[VAS_CAJUA_CF_SEC_20230125.xlsx]CF PS'!$BU$60</t>
  </si>
  <si>
    <t>='C:\Users\jaime.benazar\Quorum Business Solutions\Ecopetrol Prometeo - Documents\Planning Space Implementation\3. Analysis &amp; Design\Design\FC22\DRR Jaime\QUIFA-CAJÚA\Cajua\[VAS_CAJUA_CF_SEC_20230125.xlsx]CF PS'!$BU$61</t>
  </si>
  <si>
    <t>='C:\Users\jaime.benazar\Quorum Business Solutions\Ecopetrol Prometeo - Documents\Planning Space Implementation\3. Analysis &amp; Design\Design\FC22\DRR Jaime\QUIFA-CAJÚA\Cajua\[VAS_CAJUA_CF_SEC_20230125.xlsx]CF PS'!$BU$62</t>
  </si>
  <si>
    <t>='C:\Users\jaime.benazar\Quorum Business Solutions\Ecopetrol Prometeo - Documents\Planning Space Implementation\3. Analysis &amp; Design\Design\FC22\DRR Jaime\QUIFA-CAJÚA\Cajua\[VAS_CAJUA_CF_SEC_20230125.xlsx]CF PS'!$BU$63</t>
  </si>
  <si>
    <t>='C:\Users\jaime.benazar\Quorum Business Solutions\Ecopetrol Prometeo - Documents\Planning Space Implementation\3. Analysis &amp; Design\Design\FC22\DRR Jaime\QUIFA-CAJÚA\Cajua\[VAS_CAJUA_CF_SEC_20230125.xlsx]CF PS'!$BU$64</t>
  </si>
  <si>
    <t>='C:\Users\jaime.benazar\Quorum Business Solutions\Ecopetrol Prometeo - Documents\Planning Space Implementation\3. Analysis &amp; Design\Design\FC22\DRR Jaime\QUIFA-CAJÚA\Cajua\[VAS_CAJUA_CF_SEC_20230125.xlsx]CF PS'!$BU$65</t>
  </si>
  <si>
    <t>='C:\Users\jaime.benazar\Quorum Business Solutions\Ecopetrol Prometeo - Documents\Planning Space Implementation\3. Analysis &amp; Design\Design\FC22\DRR Jaime\QUIFA-CAJÚA\Cajua\[VAS_CAJUA_CF_SEC_20230125.xlsx]CF PS'!$BU$66</t>
  </si>
  <si>
    <t>='C:\Users\jaime.benazar\Quorum Business Solutions\Ecopetrol Prometeo - Documents\Planning Space Implementation\3. Analysis &amp; Design\Design\FC22\DRR Jaime\QUIFA-CAJÚA\Cajua\[VAS_CAJUA_CF_SEC_20230125.xlsx]CF PS'!$BU$67</t>
  </si>
  <si>
    <t>='C:\Users\jaime.benazar\Quorum Business Solutions\Ecopetrol Prometeo - Documents\Planning Space Implementation\3. Analysis &amp; Design\Design\FC22\DRR Jaime\QUIFA-CAJÚA\Cajua\[VAS_CAJUA_CF_SEC_20230125.xlsx]CF PS'!$BU$68</t>
  </si>
  <si>
    <t>='C:\Users\jaime.benazar\Quorum Business Solutions\Ecopetrol Prometeo - Documents\Planning Space Implementation\3. Analysis &amp; Design\Design\FC22\DRR Jaime\QUIFA-CAJÚA\Cajua\[VAS_CAJUA_CF_SEC_20230125.xlsx]CF PS'!$BU$69</t>
  </si>
  <si>
    <t>='C:\Users\jaime.benazar\Quorum Business Solutions\Ecopetrol Prometeo - Documents\Planning Space Implementation\3. Analysis &amp; Design\Design\FC22\DRR Jaime\QUIFA-CAJÚA\Cajua\[VAS_CAJUA_CF_SEC_20230125.xlsx]CF PS'!$BU$70</t>
  </si>
  <si>
    <t>='C:\Users\jaime.benazar\Quorum Business Solutions\Ecopetrol Prometeo - Documents\Planning Space Implementation\3. Analysis &amp; Design\Design\FC22\DRR Jaime\QUIFA-CAJÚA\Cajua\[VAS_CAJUA_CF_SEC_20230125.xlsx]CF PS'!$BU$71</t>
  </si>
  <si>
    <t>='C:\Users\jaime.benazar\Quorum Business Solutions\Ecopetrol Prometeo - Documents\Planning Space Implementation\3. Analysis &amp; Design\Design\FC22\DRR Jaime\QUIFA-CAJÚA\Cajua\[VAS_CAJUA_CF_SEC_20230125.xlsx]CF PS'!$BU$72</t>
  </si>
  <si>
    <t>='C:\Users\jaime.benazar\Quorum Business Solutions\Ecopetrol Prometeo - Documents\Planning Space Implementation\3. Analysis &amp; Design\Design\FC22\DRR Jaime\QUIFA-CAJÚA\Cajua\[VAS_CAJUA_CF_SEC_20230125.xlsx]CF PDP'!$CT$36</t>
  </si>
  <si>
    <t>='C:\Users\jaime.benazar\Quorum Business Solutions\Ecopetrol Prometeo - Documents\Planning Space Implementation\3. Analysis &amp; Design\Design\FC22\DRR Jaime\QUIFA-CAJÚA\Cajua\[VAS_CAJUA_CF_SEC_20230125.xlsx]CF PDP'!$CT$37</t>
  </si>
  <si>
    <t>='C:\Users\jaime.benazar\Quorum Business Solutions\Ecopetrol Prometeo - Documents\Planning Space Implementation\3. Analysis &amp; Design\Design\FC22\DRR Jaime\QUIFA-CAJÚA\Cajua\[VAS_CAJUA_CF_SEC_20230125.xlsx]CF PDP'!$CT$38</t>
  </si>
  <si>
    <t>='C:\Users\jaime.benazar\Quorum Business Solutions\Ecopetrol Prometeo - Documents\Planning Space Implementation\3. Analysis &amp; Design\Design\FC22\DRR Jaime\QUIFA-CAJÚA\Cajua\[VAS_CAJUA_CF_SEC_20230125.xlsx]CF PDP'!$CT$39</t>
  </si>
  <si>
    <t>='C:\Users\jaime.benazar\Quorum Business Solutions\Ecopetrol Prometeo - Documents\Planning Space Implementation\3. Analysis &amp; Design\Design\FC22\DRR Jaime\QUIFA-CAJÚA\Cajua\[VAS_CAJUA_CF_SEC_20230125.xlsx]CF PDP'!$CT$40</t>
  </si>
  <si>
    <t>='C:\Users\jaime.benazar\Quorum Business Solutions\Ecopetrol Prometeo - Documents\Planning Space Implementation\3. Analysis &amp; Design\Design\FC22\DRR Jaime\QUIFA-CAJÚA\Cajua\[VAS_CAJUA_CF_SEC_20230125.xlsx]CF PDP'!$CT$41</t>
  </si>
  <si>
    <t>='C:\Users\jaime.benazar\Quorum Business Solutions\Ecopetrol Prometeo - Documents\Planning Space Implementation\3. Analysis &amp; Design\Design\FC22\DRR Jaime\QUIFA-CAJÚA\Cajua\[VAS_CAJUA_CF_SEC_20230125.xlsx]CF PDP'!$CT$42</t>
  </si>
  <si>
    <t>='C:\Users\jaime.benazar\Quorum Business Solutions\Ecopetrol Prometeo - Documents\Planning Space Implementation\3. Analysis &amp; Design\Design\FC22\DRR Jaime\QUIFA-CAJÚA\Cajua\[VAS_CAJUA_CF_SEC_20230125.xlsx]CF PDP'!$CT$43</t>
  </si>
  <si>
    <t>='C:\Users\jaime.benazar\Quorum Business Solutions\Ecopetrol Prometeo - Documents\Planning Space Implementation\3. Analysis &amp; Design\Design\FC22\DRR Jaime\QUIFA-CAJÚA\Cajua\[VAS_CAJUA_CF_SEC_20230125.xlsx]CF PDP'!$CT$44</t>
  </si>
  <si>
    <t>='C:\Users\jaime.benazar\Quorum Business Solutions\Ecopetrol Prometeo - Documents\Planning Space Implementation\3. Analysis &amp; Design\Design\FC22\DRR Jaime\QUIFA-CAJÚA\Cajua\[VAS_CAJUA_CF_SEC_20230125.xlsx]CF PDP'!$CT$45</t>
  </si>
  <si>
    <t>='C:\Users\jaime.benazar\Quorum Business Solutions\Ecopetrol Prometeo - Documents\Planning Space Implementation\3. Analysis &amp; Design\Design\FC22\DRR Jaime\QUIFA-CAJÚA\Cajua\[VAS_CAJUA_CF_SEC_20230125.xlsx]CF PDP'!$CT$46</t>
  </si>
  <si>
    <t>='C:\Users\jaime.benazar\Quorum Business Solutions\Ecopetrol Prometeo - Documents\Planning Space Implementation\3. Analysis &amp; Design\Design\FC22\DRR Jaime\QUIFA-CAJÚA\Cajua\[VAS_CAJUA_CF_SEC_20230125.xlsx]CF PDP'!$CT$47</t>
  </si>
  <si>
    <t>='C:\Users\jaime.benazar\Quorum Business Solutions\Ecopetrol Prometeo - Documents\Planning Space Implementation\3. Analysis &amp; Design\Design\FC22\DRR Jaime\QUIFA-CAJÚA\Cajua\[VAS_CAJUA_CF_SEC_20230125.xlsx]CF PDP'!$CT$48</t>
  </si>
  <si>
    <t>='C:\Users\jaime.benazar\Quorum Business Solutions\Ecopetrol Prometeo - Documents\Planning Space Implementation\3. Analysis &amp; Design\Design\FC22\DRR Jaime\QUIFA-CAJÚA\Cajua\[VAS_CAJUA_CF_SEC_20230125.xlsx]CF PDP'!$CT$49</t>
  </si>
  <si>
    <t>='C:\Users\jaime.benazar\Quorum Business Solutions\Ecopetrol Prometeo - Documents\Planning Space Implementation\3. Analysis &amp; Design\Design\FC22\DRR Jaime\QUIFA-CAJÚA\Cajua\[VAS_CAJUA_CF_SEC_20230125.xlsx]CF PDP'!$CT$50</t>
  </si>
  <si>
    <t>='C:\Users\jaime.benazar\Quorum Business Solutions\Ecopetrol Prometeo - Documents\Planning Space Implementation\3. Analysis &amp; Design\Design\FC22\DRR Jaime\QUIFA-CAJÚA\Cajua\[VAS_CAJUA_CF_SEC_20230125.xlsx]CF PDP'!$CT$51</t>
  </si>
  <si>
    <t>='C:\Users\jaime.benazar\Quorum Business Solutions\Ecopetrol Prometeo - Documents\Planning Space Implementation\3. Analysis &amp; Design\Design\FC22\DRR Jaime\QUIFA-CAJÚA\Cajua\[VAS_CAJUA_CF_SEC_20230125.xlsx]CF PDP'!$CT$52</t>
  </si>
  <si>
    <t>='C:\Users\jaime.benazar\Quorum Business Solutions\Ecopetrol Prometeo - Documents\Planning Space Implementation\3. Analysis &amp; Design\Design\FC22\DRR Jaime\QUIFA-CAJÚA\Cajua\[VAS_CAJUA_CF_SEC_20230125.xlsx]CF PDP'!$CT$53</t>
  </si>
  <si>
    <t>='C:\Users\jaime.benazar\Quorum Business Solutions\Ecopetrol Prometeo - Documents\Planning Space Implementation\3. Analysis &amp; Design\Design\FC22\DRR Jaime\QUIFA-CAJÚA\Cajua\[VAS_CAJUA_CF_SEC_20230125.xlsx]CF PDP'!$CT$54</t>
  </si>
  <si>
    <t>='C:\Users\jaime.benazar\Quorum Business Solutions\Ecopetrol Prometeo - Documents\Planning Space Implementation\3. Analysis &amp; Design\Design\FC22\DRR Jaime\QUIFA-CAJÚA\Cajua\[VAS_CAJUA_CF_SEC_20230125.xlsx]CF PDP'!$CT$55</t>
  </si>
  <si>
    <t>='C:\Users\jaime.benazar\Quorum Business Solutions\Ecopetrol Prometeo - Documents\Planning Space Implementation\3. Analysis &amp; Design\Design\FC22\DRR Jaime\QUIFA-CAJÚA\Cajua\[VAS_CAJUA_CF_SEC_20230125.xlsx]CF PDP'!$CT$56</t>
  </si>
  <si>
    <t>='C:\Users\jaime.benazar\Quorum Business Solutions\Ecopetrol Prometeo - Documents\Planning Space Implementation\3. Analysis &amp; Design\Design\FC22\DRR Jaime\QUIFA-CAJÚA\Cajua\[VAS_CAJUA_CF_SEC_20230125.xlsx]CF PDP'!$CT$57</t>
  </si>
  <si>
    <t>='C:\Users\jaime.benazar\Quorum Business Solutions\Ecopetrol Prometeo - Documents\Planning Space Implementation\3. Analysis &amp; Design\Design\FC22\DRR Jaime\QUIFA-CAJÚA\Cajua\[VAS_CAJUA_CF_SEC_20230125.xlsx]CF PDP'!$CT$58</t>
  </si>
  <si>
    <t>='C:\Users\jaime.benazar\Quorum Business Solutions\Ecopetrol Prometeo - Documents\Planning Space Implementation\3. Analysis &amp; Design\Design\FC22\DRR Jaime\QUIFA-CAJÚA\Cajua\[VAS_CAJUA_CF_SEC_20230125.xlsx]CF PDP'!$CT$59</t>
  </si>
  <si>
    <t>='C:\Users\jaime.benazar\Quorum Business Solutions\Ecopetrol Prometeo - Documents\Planning Space Implementation\3. Analysis &amp; Design\Design\FC22\DRR Jaime\QUIFA-CAJÚA\Cajua\[VAS_CAJUA_CF_SEC_20230125.xlsx]CF PDP'!$CT$60</t>
  </si>
  <si>
    <t>='C:\Users\jaime.benazar\Quorum Business Solutions\Ecopetrol Prometeo - Documents\Planning Space Implementation\3. Analysis &amp; Design\Design\FC22\DRR Jaime\QUIFA-CAJÚA\Cajua\[VAS_CAJUA_CF_SEC_20230125.xlsx]CF PDP'!$CT$61</t>
  </si>
  <si>
    <t>='C:\Users\jaime.benazar\Quorum Business Solutions\Ecopetrol Prometeo - Documents\Planning Space Implementation\3. Analysis &amp; Design\Design\FC22\DRR Jaime\QUIFA-CAJÚA\Cajua\[VAS_CAJUA_CF_SEC_20230125.xlsx]CF PDP'!$CT$62</t>
  </si>
  <si>
    <t>='C:\Users\jaime.benazar\Quorum Business Solutions\Ecopetrol Prometeo - Documents\Planning Space Implementation\3. Analysis &amp; Design\Design\FC22\DRR Jaime\QUIFA-CAJÚA\Cajua\[VAS_CAJUA_CF_SEC_20230125.xlsx]CF PDP'!$CT$63</t>
  </si>
  <si>
    <t>='C:\Users\jaime.benazar\Quorum Business Solutions\Ecopetrol Prometeo - Documents\Planning Space Implementation\3. Analysis &amp; Design\Design\FC22\DRR Jaime\QUIFA-CAJÚA\Cajua\[VAS_CAJUA_CF_SEC_20230125.xlsx]CF PDP'!$CT$64</t>
  </si>
  <si>
    <t>='C:\Users\jaime.benazar\Quorum Business Solutions\Ecopetrol Prometeo - Documents\Planning Space Implementation\3. Analysis &amp; Design\Design\FC22\DRR Jaime\QUIFA-CAJÚA\Cajua\[VAS_CAJUA_CF_SEC_20230125.xlsx]CF PDP'!$CT$65</t>
  </si>
  <si>
    <t>='C:\Users\jaime.benazar\Quorum Business Solutions\Ecopetrol Prometeo - Documents\Planning Space Implementation\3. Analysis &amp; Design\Design\FC22\DRR Jaime\QUIFA-CAJÚA\Cajua\[VAS_CAJUA_CF_SEC_20230125.xlsx]CF PDP'!$CT$66</t>
  </si>
  <si>
    <t>='C:\Users\jaime.benazar\Quorum Business Solutions\Ecopetrol Prometeo - Documents\Planning Space Implementation\3. Analysis &amp; Design\Design\FC22\DRR Jaime\QUIFA-CAJÚA\Cajua\[VAS_CAJUA_CF_SEC_20230125.xlsx]CF PDP'!$CT$67</t>
  </si>
  <si>
    <t>='C:\Users\jaime.benazar\Quorum Business Solutions\Ecopetrol Prometeo - Documents\Planning Space Implementation\3. Analysis &amp; Design\Design\FC22\DRR Jaime\QUIFA-CAJÚA\Cajua\[VAS_CAJUA_CF_SEC_20230125.xlsx]CF PDP'!$CT$68</t>
  </si>
  <si>
    <t>='C:\Users\jaime.benazar\Quorum Business Solutions\Ecopetrol Prometeo - Documents\Planning Space Implementation\3. Analysis &amp; Design\Design\FC22\DRR Jaime\QUIFA-CAJÚA\Cajua\[VAS_CAJUA_CF_SEC_20230125.xlsx]CF PDP'!$CT$69</t>
  </si>
  <si>
    <t>='C:\Users\jaime.benazar\Quorum Business Solutions\Ecopetrol Prometeo - Documents\Planning Space Implementation\3. Analysis &amp; Design\Design\FC22\DRR Jaime\QUIFA-CAJÚA\Cajua\[VAS_CAJUA_CF_SEC_20230125.xlsx]CF PDP'!$CT$70</t>
  </si>
  <si>
    <t>='C:\Users\jaime.benazar\Quorum Business Solutions\Ecopetrol Prometeo - Documents\Planning Space Implementation\3. Analysis &amp; Design\Design\FC22\DRR Jaime\QUIFA-CAJÚA\Cajua\[VAS_CAJUA_CF_SEC_20230125.xlsx]CF PDP'!$CT$71</t>
  </si>
  <si>
    <t>='C:\Users\jaime.benazar\Quorum Business Solutions\Ecopetrol Prometeo - Documents\Planning Space Implementation\3. Analysis &amp; Design\Design\FC22\DRR Jaime\QUIFA-CAJÚA\Cajua\[VAS_CAJUA_CF_SEC_20230125.xlsx]CF PDP'!$CT$72</t>
  </si>
  <si>
    <t>='C:\Users\jaime.benazar\Quorum Business Solutions\Ecopetrol Prometeo - Documents\Planning Space Implementation\3. Analysis &amp; Design\Design\FC22\DRR Jaime\QUIFA-CAJÚA\Cajua\[VAS_CAJUA_CF_SEC_20230125.xlsx]CF PNP'!$CT$36</t>
  </si>
  <si>
    <t>='C:\Users\jaime.benazar\Quorum Business Solutions\Ecopetrol Prometeo - Documents\Planning Space Implementation\3. Analysis &amp; Design\Design\FC22\DRR Jaime\QUIFA-CAJÚA\Cajua\[VAS_CAJUA_CF_SEC_20230125.xlsx]CF PNP'!$CT$37</t>
  </si>
  <si>
    <t>='C:\Users\jaime.benazar\Quorum Business Solutions\Ecopetrol Prometeo - Documents\Planning Space Implementation\3. Analysis &amp; Design\Design\FC22\DRR Jaime\QUIFA-CAJÚA\Cajua\[VAS_CAJUA_CF_SEC_20230125.xlsx]CF PNP'!$CT$38</t>
  </si>
  <si>
    <t>='C:\Users\jaime.benazar\Quorum Business Solutions\Ecopetrol Prometeo - Documents\Planning Space Implementation\3. Analysis &amp; Design\Design\FC22\DRR Jaime\QUIFA-CAJÚA\Cajua\[VAS_CAJUA_CF_SEC_20230125.xlsx]CF PNP'!$CT$39</t>
  </si>
  <si>
    <t>='C:\Users\jaime.benazar\Quorum Business Solutions\Ecopetrol Prometeo - Documents\Planning Space Implementation\3. Analysis &amp; Design\Design\FC22\DRR Jaime\QUIFA-CAJÚA\Cajua\[VAS_CAJUA_CF_SEC_20230125.xlsx]CF PNP'!$CT$40</t>
  </si>
  <si>
    <t>='C:\Users\jaime.benazar\Quorum Business Solutions\Ecopetrol Prometeo - Documents\Planning Space Implementation\3. Analysis &amp; Design\Design\FC22\DRR Jaime\QUIFA-CAJÚA\Cajua\[VAS_CAJUA_CF_SEC_20230125.xlsx]CF PNP'!$CT$41</t>
  </si>
  <si>
    <t>='C:\Users\jaime.benazar\Quorum Business Solutions\Ecopetrol Prometeo - Documents\Planning Space Implementation\3. Analysis &amp; Design\Design\FC22\DRR Jaime\QUIFA-CAJÚA\Cajua\[VAS_CAJUA_CF_SEC_20230125.xlsx]CF PNP'!$CT$42</t>
  </si>
  <si>
    <t>='C:\Users\jaime.benazar\Quorum Business Solutions\Ecopetrol Prometeo - Documents\Planning Space Implementation\3. Analysis &amp; Design\Design\FC22\DRR Jaime\QUIFA-CAJÚA\Cajua\[VAS_CAJUA_CF_SEC_20230125.xlsx]CF PNP'!$CT$43</t>
  </si>
  <si>
    <t>='C:\Users\jaime.benazar\Quorum Business Solutions\Ecopetrol Prometeo - Documents\Planning Space Implementation\3. Analysis &amp; Design\Design\FC22\DRR Jaime\QUIFA-CAJÚA\Cajua\[VAS_CAJUA_CF_SEC_20230125.xlsx]CF PNP'!$CT$44</t>
  </si>
  <si>
    <t>='C:\Users\jaime.benazar\Quorum Business Solutions\Ecopetrol Prometeo - Documents\Planning Space Implementation\3. Analysis &amp; Design\Design\FC22\DRR Jaime\QUIFA-CAJÚA\Cajua\[VAS_CAJUA_CF_SEC_20230125.xlsx]CF PNP'!$CT$45</t>
  </si>
  <si>
    <t>='C:\Users\jaime.benazar\Quorum Business Solutions\Ecopetrol Prometeo - Documents\Planning Space Implementation\3. Analysis &amp; Design\Design\FC22\DRR Jaime\QUIFA-CAJÚA\Cajua\[VAS_CAJUA_CF_SEC_20230125.xlsx]CF PNP'!$CT$46</t>
  </si>
  <si>
    <t>='C:\Users\jaime.benazar\Quorum Business Solutions\Ecopetrol Prometeo - Documents\Planning Space Implementation\3. Analysis &amp; Design\Design\FC22\DRR Jaime\QUIFA-CAJÚA\Cajua\[VAS_CAJUA_CF_SEC_20230125.xlsx]CF PNP'!$CT$47</t>
  </si>
  <si>
    <t>='C:\Users\jaime.benazar\Quorum Business Solutions\Ecopetrol Prometeo - Documents\Planning Space Implementation\3. Analysis &amp; Design\Design\FC22\DRR Jaime\QUIFA-CAJÚA\Cajua\[VAS_CAJUA_CF_SEC_20230125.xlsx]CF PNP'!$CT$48</t>
  </si>
  <si>
    <t>='C:\Users\jaime.benazar\Quorum Business Solutions\Ecopetrol Prometeo - Documents\Planning Space Implementation\3. Analysis &amp; Design\Design\FC22\DRR Jaime\QUIFA-CAJÚA\Cajua\[VAS_CAJUA_CF_SEC_20230125.xlsx]CF PNP'!$CT$49</t>
  </si>
  <si>
    <t>='C:\Users\jaime.benazar\Quorum Business Solutions\Ecopetrol Prometeo - Documents\Planning Space Implementation\3. Analysis &amp; Design\Design\FC22\DRR Jaime\QUIFA-CAJÚA\Cajua\[VAS_CAJUA_CF_SEC_20230125.xlsx]CF PNP'!$CT$50</t>
  </si>
  <si>
    <t>='C:\Users\jaime.benazar\Quorum Business Solutions\Ecopetrol Prometeo - Documents\Planning Space Implementation\3. Analysis &amp; Design\Design\FC22\DRR Jaime\QUIFA-CAJÚA\Cajua\[VAS_CAJUA_CF_SEC_20230125.xlsx]CF PNP'!$CT$51</t>
  </si>
  <si>
    <t>='C:\Users\jaime.benazar\Quorum Business Solutions\Ecopetrol Prometeo - Documents\Planning Space Implementation\3. Analysis &amp; Design\Design\FC22\DRR Jaime\QUIFA-CAJÚA\Cajua\[VAS_CAJUA_CF_SEC_20230125.xlsx]CF PNP'!$CT$52</t>
  </si>
  <si>
    <t>='C:\Users\jaime.benazar\Quorum Business Solutions\Ecopetrol Prometeo - Documents\Planning Space Implementation\3. Analysis &amp; Design\Design\FC22\DRR Jaime\QUIFA-CAJÚA\Cajua\[VAS_CAJUA_CF_SEC_20230125.xlsx]CF PNP'!$CT$53</t>
  </si>
  <si>
    <t>='C:\Users\jaime.benazar\Quorum Business Solutions\Ecopetrol Prometeo - Documents\Planning Space Implementation\3. Analysis &amp; Design\Design\FC22\DRR Jaime\QUIFA-CAJÚA\Cajua\[VAS_CAJUA_CF_SEC_20230125.xlsx]CF PNP'!$CT$54</t>
  </si>
  <si>
    <t>='C:\Users\jaime.benazar\Quorum Business Solutions\Ecopetrol Prometeo - Documents\Planning Space Implementation\3. Analysis &amp; Design\Design\FC22\DRR Jaime\QUIFA-CAJÚA\Cajua\[VAS_CAJUA_CF_SEC_20230125.xlsx]CF PNP'!$CT$55</t>
  </si>
  <si>
    <t>='C:\Users\jaime.benazar\Quorum Business Solutions\Ecopetrol Prometeo - Documents\Planning Space Implementation\3. Analysis &amp; Design\Design\FC22\DRR Jaime\QUIFA-CAJÚA\Cajua\[VAS_CAJUA_CF_SEC_20230125.xlsx]CF PNP'!$CT$56</t>
  </si>
  <si>
    <t>='C:\Users\jaime.benazar\Quorum Business Solutions\Ecopetrol Prometeo - Documents\Planning Space Implementation\3. Analysis &amp; Design\Design\FC22\DRR Jaime\QUIFA-CAJÚA\Cajua\[VAS_CAJUA_CF_SEC_20230125.xlsx]CF PNP'!$CT$57</t>
  </si>
  <si>
    <t>='C:\Users\jaime.benazar\Quorum Business Solutions\Ecopetrol Prometeo - Documents\Planning Space Implementation\3. Analysis &amp; Design\Design\FC22\DRR Jaime\QUIFA-CAJÚA\Cajua\[VAS_CAJUA_CF_SEC_20230125.xlsx]CF PNP'!$CT$58</t>
  </si>
  <si>
    <t>='C:\Users\jaime.benazar\Quorum Business Solutions\Ecopetrol Prometeo - Documents\Planning Space Implementation\3. Analysis &amp; Design\Design\FC22\DRR Jaime\QUIFA-CAJÚA\Cajua\[VAS_CAJUA_CF_SEC_20230125.xlsx]CF PNP'!$CT$59</t>
  </si>
  <si>
    <t>='C:\Users\jaime.benazar\Quorum Business Solutions\Ecopetrol Prometeo - Documents\Planning Space Implementation\3. Analysis &amp; Design\Design\FC22\DRR Jaime\QUIFA-CAJÚA\Cajua\[VAS_CAJUA_CF_SEC_20230125.xlsx]CF PNP'!$CT$60</t>
  </si>
  <si>
    <t>='C:\Users\jaime.benazar\Quorum Business Solutions\Ecopetrol Prometeo - Documents\Planning Space Implementation\3. Analysis &amp; Design\Design\FC22\DRR Jaime\QUIFA-CAJÚA\Cajua\[VAS_CAJUA_CF_SEC_20230125.xlsx]CF PNP'!$CT$61</t>
  </si>
  <si>
    <t>='C:\Users\jaime.benazar\Quorum Business Solutions\Ecopetrol Prometeo - Documents\Planning Space Implementation\3. Analysis &amp; Design\Design\FC22\DRR Jaime\QUIFA-CAJÚA\Cajua\[VAS_CAJUA_CF_SEC_20230125.xlsx]CF PNP'!$CT$62</t>
  </si>
  <si>
    <t>='C:\Users\jaime.benazar\Quorum Business Solutions\Ecopetrol Prometeo - Documents\Planning Space Implementation\3. Analysis &amp; Design\Design\FC22\DRR Jaime\QUIFA-CAJÚA\Cajua\[VAS_CAJUA_CF_SEC_20230125.xlsx]CF PNP'!$CT$63</t>
  </si>
  <si>
    <t>='C:\Users\jaime.benazar\Quorum Business Solutions\Ecopetrol Prometeo - Documents\Planning Space Implementation\3. Analysis &amp; Design\Design\FC22\DRR Jaime\QUIFA-CAJÚA\Cajua\[VAS_CAJUA_CF_SEC_20230125.xlsx]CF PNP'!$CT$64</t>
  </si>
  <si>
    <t>='C:\Users\jaime.benazar\Quorum Business Solutions\Ecopetrol Prometeo - Documents\Planning Space Implementation\3. Analysis &amp; Design\Design\FC22\DRR Jaime\QUIFA-CAJÚA\Cajua\[VAS_CAJUA_CF_SEC_20230125.xlsx]CF PNP'!$CT$65</t>
  </si>
  <si>
    <t>='C:\Users\jaime.benazar\Quorum Business Solutions\Ecopetrol Prometeo - Documents\Planning Space Implementation\3. Analysis &amp; Design\Design\FC22\DRR Jaime\QUIFA-CAJÚA\Cajua\[VAS_CAJUA_CF_SEC_20230125.xlsx]CF PNP'!$CT$66</t>
  </si>
  <si>
    <t>='C:\Users\jaime.benazar\Quorum Business Solutions\Ecopetrol Prometeo - Documents\Planning Space Implementation\3. Analysis &amp; Design\Design\FC22\DRR Jaime\QUIFA-CAJÚA\Cajua\[VAS_CAJUA_CF_SEC_20230125.xlsx]CF PNP'!$CT$67</t>
  </si>
  <si>
    <t>='C:\Users\jaime.benazar\Quorum Business Solutions\Ecopetrol Prometeo - Documents\Planning Space Implementation\3. Analysis &amp; Design\Design\FC22\DRR Jaime\QUIFA-CAJÚA\Cajua\[VAS_CAJUA_CF_SEC_20230125.xlsx]CF PNP'!$CT$68</t>
  </si>
  <si>
    <t>='C:\Users\jaime.benazar\Quorum Business Solutions\Ecopetrol Prometeo - Documents\Planning Space Implementation\3. Analysis &amp; Design\Design\FC22\DRR Jaime\QUIFA-CAJÚA\Cajua\[VAS_CAJUA_CF_SEC_20230125.xlsx]CF PNP'!$CT$69</t>
  </si>
  <si>
    <t>='C:\Users\jaime.benazar\Quorum Business Solutions\Ecopetrol Prometeo - Documents\Planning Space Implementation\3. Analysis &amp; Design\Design\FC22\DRR Jaime\QUIFA-CAJÚA\Cajua\[VAS_CAJUA_CF_SEC_20230125.xlsx]CF PNP'!$CT$70</t>
  </si>
  <si>
    <t>='C:\Users\jaime.benazar\Quorum Business Solutions\Ecopetrol Prometeo - Documents\Planning Space Implementation\3. Analysis &amp; Design\Design\FC22\DRR Jaime\QUIFA-CAJÚA\Cajua\[VAS_CAJUA_CF_SEC_20230125.xlsx]CF PNP'!$CT$71</t>
  </si>
  <si>
    <t>='C:\Users\jaime.benazar\Quorum Business Solutions\Ecopetrol Prometeo - Documents\Planning Space Implementation\3. Analysis &amp; Design\Design\FC22\DRR Jaime\QUIFA-CAJÚA\Cajua\[VAS_CAJUA_CF_SEC_20230125.xlsx]CF PNP'!$CT$72</t>
  </si>
  <si>
    <t>='C:\Users\jaime.benazar\Quorum Business Solutions\Ecopetrol Prometeo - Documents\Planning Space Implementation\3. Analysis &amp; Design\Design\FC22\DRR Jaime\QUIFA-CAJÚA\Cajua\[VAS_CAJUA_CF_SEC_20230125.xlsx]CF PND'!$CT$36</t>
  </si>
  <si>
    <t>='C:\Users\jaime.benazar\Quorum Business Solutions\Ecopetrol Prometeo - Documents\Planning Space Implementation\3. Analysis &amp; Design\Design\FC22\DRR Jaime\QUIFA-CAJÚA\Cajua\[VAS_CAJUA_CF_SEC_20230125.xlsx]CF PND'!$CT$37</t>
  </si>
  <si>
    <t>='C:\Users\jaime.benazar\Quorum Business Solutions\Ecopetrol Prometeo - Documents\Planning Space Implementation\3. Analysis &amp; Design\Design\FC22\DRR Jaime\QUIFA-CAJÚA\Cajua\[VAS_CAJUA_CF_SEC_20230125.xlsx]CF PND'!$CT$38</t>
  </si>
  <si>
    <t>='C:\Users\jaime.benazar\Quorum Business Solutions\Ecopetrol Prometeo - Documents\Planning Space Implementation\3. Analysis &amp; Design\Design\FC22\DRR Jaime\QUIFA-CAJÚA\Cajua\[VAS_CAJUA_CF_SEC_20230125.xlsx]CF PND'!$CT$39</t>
  </si>
  <si>
    <t>='C:\Users\jaime.benazar\Quorum Business Solutions\Ecopetrol Prometeo - Documents\Planning Space Implementation\3. Analysis &amp; Design\Design\FC22\DRR Jaime\QUIFA-CAJÚA\Cajua\[VAS_CAJUA_CF_SEC_20230125.xlsx]CF PND'!$CT$40</t>
  </si>
  <si>
    <t>='C:\Users\jaime.benazar\Quorum Business Solutions\Ecopetrol Prometeo - Documents\Planning Space Implementation\3. Analysis &amp; Design\Design\FC22\DRR Jaime\QUIFA-CAJÚA\Cajua\[VAS_CAJUA_CF_SEC_20230125.xlsx]CF PND'!$CT$41</t>
  </si>
  <si>
    <t>='C:\Users\jaime.benazar\Quorum Business Solutions\Ecopetrol Prometeo - Documents\Planning Space Implementation\3. Analysis &amp; Design\Design\FC22\DRR Jaime\QUIFA-CAJÚA\Cajua\[VAS_CAJUA_CF_SEC_20230125.xlsx]CF PND'!$CT$42</t>
  </si>
  <si>
    <t>='C:\Users\jaime.benazar\Quorum Business Solutions\Ecopetrol Prometeo - Documents\Planning Space Implementation\3. Analysis &amp; Design\Design\FC22\DRR Jaime\QUIFA-CAJÚA\Cajua\[VAS_CAJUA_CF_SEC_20230125.xlsx]CF PND'!$CT$43</t>
  </si>
  <si>
    <t>='C:\Users\jaime.benazar\Quorum Business Solutions\Ecopetrol Prometeo - Documents\Planning Space Implementation\3. Analysis &amp; Design\Design\FC22\DRR Jaime\QUIFA-CAJÚA\Cajua\[VAS_CAJUA_CF_SEC_20230125.xlsx]CF PND'!$CT$44</t>
  </si>
  <si>
    <t>='C:\Users\jaime.benazar\Quorum Business Solutions\Ecopetrol Prometeo - Documents\Planning Space Implementation\3. Analysis &amp; Design\Design\FC22\DRR Jaime\QUIFA-CAJÚA\Cajua\[VAS_CAJUA_CF_SEC_20230125.xlsx]CF PND'!$CT$45</t>
  </si>
  <si>
    <t>='C:\Users\jaime.benazar\Quorum Business Solutions\Ecopetrol Prometeo - Documents\Planning Space Implementation\3. Analysis &amp; Design\Design\FC22\DRR Jaime\QUIFA-CAJÚA\Cajua\[VAS_CAJUA_CF_SEC_20230125.xlsx]CF PND'!$CT$46</t>
  </si>
  <si>
    <t>='C:\Users\jaime.benazar\Quorum Business Solutions\Ecopetrol Prometeo - Documents\Planning Space Implementation\3. Analysis &amp; Design\Design\FC22\DRR Jaime\QUIFA-CAJÚA\Cajua\[VAS_CAJUA_CF_SEC_20230125.xlsx]CF PND'!$CT$47</t>
  </si>
  <si>
    <t>='C:\Users\jaime.benazar\Quorum Business Solutions\Ecopetrol Prometeo - Documents\Planning Space Implementation\3. Analysis &amp; Design\Design\FC22\DRR Jaime\QUIFA-CAJÚA\Cajua\[VAS_CAJUA_CF_SEC_20230125.xlsx]CF PND'!$CT$48</t>
  </si>
  <si>
    <t>='C:\Users\jaime.benazar\Quorum Business Solutions\Ecopetrol Prometeo - Documents\Planning Space Implementation\3. Analysis &amp; Design\Design\FC22\DRR Jaime\QUIFA-CAJÚA\Cajua\[VAS_CAJUA_CF_SEC_20230125.xlsx]CF PND'!$CT$49</t>
  </si>
  <si>
    <t>='C:\Users\jaime.benazar\Quorum Business Solutions\Ecopetrol Prometeo - Documents\Planning Space Implementation\3. Analysis &amp; Design\Design\FC22\DRR Jaime\QUIFA-CAJÚA\Cajua\[VAS_CAJUA_CF_SEC_20230125.xlsx]CF PND'!$CT$50</t>
  </si>
  <si>
    <t>='C:\Users\jaime.benazar\Quorum Business Solutions\Ecopetrol Prometeo - Documents\Planning Space Implementation\3. Analysis &amp; Design\Design\FC22\DRR Jaime\QUIFA-CAJÚA\Cajua\[VAS_CAJUA_CF_SEC_20230125.xlsx]CF PND'!$CT$51</t>
  </si>
  <si>
    <t>='C:\Users\jaime.benazar\Quorum Business Solutions\Ecopetrol Prometeo - Documents\Planning Space Implementation\3. Analysis &amp; Design\Design\FC22\DRR Jaime\QUIFA-CAJÚA\Cajua\[VAS_CAJUA_CF_SEC_20230125.xlsx]CF PND'!$CT$52</t>
  </si>
  <si>
    <t>='C:\Users\jaime.benazar\Quorum Business Solutions\Ecopetrol Prometeo - Documents\Planning Space Implementation\3. Analysis &amp; Design\Design\FC22\DRR Jaime\QUIFA-CAJÚA\Cajua\[VAS_CAJUA_CF_SEC_20230125.xlsx]CF PND'!$CT$53</t>
  </si>
  <si>
    <t>='C:\Users\jaime.benazar\Quorum Business Solutions\Ecopetrol Prometeo - Documents\Planning Space Implementation\3. Analysis &amp; Design\Design\FC22\DRR Jaime\QUIFA-CAJÚA\Cajua\[VAS_CAJUA_CF_SEC_20230125.xlsx]CF PND'!$CT$54</t>
  </si>
  <si>
    <t>='C:\Users\jaime.benazar\Quorum Business Solutions\Ecopetrol Prometeo - Documents\Planning Space Implementation\3. Analysis &amp; Design\Design\FC22\DRR Jaime\QUIFA-CAJÚA\Cajua\[VAS_CAJUA_CF_SEC_20230125.xlsx]CF PND'!$CT$55</t>
  </si>
  <si>
    <t>='C:\Users\jaime.benazar\Quorum Business Solutions\Ecopetrol Prometeo - Documents\Planning Space Implementation\3. Analysis &amp; Design\Design\FC22\DRR Jaime\QUIFA-CAJÚA\Cajua\[VAS_CAJUA_CF_SEC_20230125.xlsx]CF PND'!$CT$56</t>
  </si>
  <si>
    <t>='C:\Users\jaime.benazar\Quorum Business Solutions\Ecopetrol Prometeo - Documents\Planning Space Implementation\3. Analysis &amp; Design\Design\FC22\DRR Jaime\QUIFA-CAJÚA\Cajua\[VAS_CAJUA_CF_SEC_20230125.xlsx]CF PND'!$CT$57</t>
  </si>
  <si>
    <t>='C:\Users\jaime.benazar\Quorum Business Solutions\Ecopetrol Prometeo - Documents\Planning Space Implementation\3. Analysis &amp; Design\Design\FC22\DRR Jaime\QUIFA-CAJÚA\Cajua\[VAS_CAJUA_CF_SEC_20230125.xlsx]CF PND'!$CT$58</t>
  </si>
  <si>
    <t>='C:\Users\jaime.benazar\Quorum Business Solutions\Ecopetrol Prometeo - Documents\Planning Space Implementation\3. Analysis &amp; Design\Design\FC22\DRR Jaime\QUIFA-CAJÚA\Cajua\[VAS_CAJUA_CF_SEC_20230125.xlsx]CF PND'!$CT$59</t>
  </si>
  <si>
    <t>='C:\Users\jaime.benazar\Quorum Business Solutions\Ecopetrol Prometeo - Documents\Planning Space Implementation\3. Analysis &amp; Design\Design\FC22\DRR Jaime\QUIFA-CAJÚA\Cajua\[VAS_CAJUA_CF_SEC_20230125.xlsx]CF PND'!$CT$60</t>
  </si>
  <si>
    <t>='C:\Users\jaime.benazar\Quorum Business Solutions\Ecopetrol Prometeo - Documents\Planning Space Implementation\3. Analysis &amp; Design\Design\FC22\DRR Jaime\QUIFA-CAJÚA\Cajua\[VAS_CAJUA_CF_SEC_20230125.xlsx]CF PND'!$CT$61</t>
  </si>
  <si>
    <t>='C:\Users\jaime.benazar\Quorum Business Solutions\Ecopetrol Prometeo - Documents\Planning Space Implementation\3. Analysis &amp; Design\Design\FC22\DRR Jaime\QUIFA-CAJÚA\Cajua\[VAS_CAJUA_CF_SEC_20230125.xlsx]CF PND'!$CT$62</t>
  </si>
  <si>
    <t>='C:\Users\jaime.benazar\Quorum Business Solutions\Ecopetrol Prometeo - Documents\Planning Space Implementation\3. Analysis &amp; Design\Design\FC22\DRR Jaime\QUIFA-CAJÚA\Cajua\[VAS_CAJUA_CF_SEC_20230125.xlsx]CF PND'!$CT$63</t>
  </si>
  <si>
    <t>='C:\Users\jaime.benazar\Quorum Business Solutions\Ecopetrol Prometeo - Documents\Planning Space Implementation\3. Analysis &amp; Design\Design\FC22\DRR Jaime\QUIFA-CAJÚA\Cajua\[VAS_CAJUA_CF_SEC_20230125.xlsx]CF PND'!$CT$64</t>
  </si>
  <si>
    <t>='C:\Users\jaime.benazar\Quorum Business Solutions\Ecopetrol Prometeo - Documents\Planning Space Implementation\3. Analysis &amp; Design\Design\FC22\DRR Jaime\QUIFA-CAJÚA\Cajua\[VAS_CAJUA_CF_SEC_20230125.xlsx]CF PND'!$CT$65</t>
  </si>
  <si>
    <t>='C:\Users\jaime.benazar\Quorum Business Solutions\Ecopetrol Prometeo - Documents\Planning Space Implementation\3. Analysis &amp; Design\Design\FC22\DRR Jaime\QUIFA-CAJÚA\Cajua\[VAS_CAJUA_CF_SEC_20230125.xlsx]CF PND'!$CT$66</t>
  </si>
  <si>
    <t>='C:\Users\jaime.benazar\Quorum Business Solutions\Ecopetrol Prometeo - Documents\Planning Space Implementation\3. Analysis &amp; Design\Design\FC22\DRR Jaime\QUIFA-CAJÚA\Cajua\[VAS_CAJUA_CF_SEC_20230125.xlsx]CF PND'!$CT$67</t>
  </si>
  <si>
    <t>='C:\Users\jaime.benazar\Quorum Business Solutions\Ecopetrol Prometeo - Documents\Planning Space Implementation\3. Analysis &amp; Design\Design\FC22\DRR Jaime\QUIFA-CAJÚA\Cajua\[VAS_CAJUA_CF_SEC_20230125.xlsx]CF PND'!$CT$68</t>
  </si>
  <si>
    <t>='C:\Users\jaime.benazar\Quorum Business Solutions\Ecopetrol Prometeo - Documents\Planning Space Implementation\3. Analysis &amp; Design\Design\FC22\DRR Jaime\QUIFA-CAJÚA\Cajua\[VAS_CAJUA_CF_SEC_20230125.xlsx]CF PND'!$CT$69</t>
  </si>
  <si>
    <t>='C:\Users\jaime.benazar\Quorum Business Solutions\Ecopetrol Prometeo - Documents\Planning Space Implementation\3. Analysis &amp; Design\Design\FC22\DRR Jaime\QUIFA-CAJÚA\Cajua\[VAS_CAJUA_CF_SEC_20230125.xlsx]CF PND'!$CT$70</t>
  </si>
  <si>
    <t>='C:\Users\jaime.benazar\Quorum Business Solutions\Ecopetrol Prometeo - Documents\Planning Space Implementation\3. Analysis &amp; Design\Design\FC22\DRR Jaime\QUIFA-CAJÚA\Cajua\[VAS_CAJUA_CF_SEC_20230125.xlsx]CF PND'!$CT$71</t>
  </si>
  <si>
    <t>='C:\Users\jaime.benazar\Quorum Business Solutions\Ecopetrol Prometeo - Documents\Planning Space Implementation\3. Analysis &amp; Design\Design\FC22\DRR Jaime\QUIFA-CAJÚA\Cajua\[VAS_CAJUA_CF_SEC_20230125.xlsx]CF PND'!$CT$72</t>
  </si>
  <si>
    <t>='C:\Users\jaime.benazar\Quorum Business Solutions\Ecopetrol Prometeo - Documents\Planning Space Implementation\3. Analysis &amp; Design\Design\FC22\DRR Jaime\QUIFA-CAJÚA\Cajua\[VAS_CAJUA_CF_SEC_20230125.xlsx]CF PRB'!$CT$36</t>
  </si>
  <si>
    <t>='C:\Users\jaime.benazar\Quorum Business Solutions\Ecopetrol Prometeo - Documents\Planning Space Implementation\3. Analysis &amp; Design\Design\FC22\DRR Jaime\QUIFA-CAJÚA\Cajua\[VAS_CAJUA_CF_SEC_20230125.xlsx]CF PRB'!$CT$37</t>
  </si>
  <si>
    <t>='C:\Users\jaime.benazar\Quorum Business Solutions\Ecopetrol Prometeo - Documents\Planning Space Implementation\3. Analysis &amp; Design\Design\FC22\DRR Jaime\QUIFA-CAJÚA\Cajua\[VAS_CAJUA_CF_SEC_20230125.xlsx]CF PRB'!$CT$38</t>
  </si>
  <si>
    <t>='C:\Users\jaime.benazar\Quorum Business Solutions\Ecopetrol Prometeo - Documents\Planning Space Implementation\3. Analysis &amp; Design\Design\FC22\DRR Jaime\QUIFA-CAJÚA\Cajua\[VAS_CAJUA_CF_SEC_20230125.xlsx]CF PRB'!$CT$39</t>
  </si>
  <si>
    <t>='C:\Users\jaime.benazar\Quorum Business Solutions\Ecopetrol Prometeo - Documents\Planning Space Implementation\3. Analysis &amp; Design\Design\FC22\DRR Jaime\QUIFA-CAJÚA\Cajua\[VAS_CAJUA_CF_SEC_20230125.xlsx]CF PRB'!$CT$40</t>
  </si>
  <si>
    <t>='C:\Users\jaime.benazar\Quorum Business Solutions\Ecopetrol Prometeo - Documents\Planning Space Implementation\3. Analysis &amp; Design\Design\FC22\DRR Jaime\QUIFA-CAJÚA\Cajua\[VAS_CAJUA_CF_SEC_20230125.xlsx]CF PRB'!$CT$41</t>
  </si>
  <si>
    <t>='C:\Users\jaime.benazar\Quorum Business Solutions\Ecopetrol Prometeo - Documents\Planning Space Implementation\3. Analysis &amp; Design\Design\FC22\DRR Jaime\QUIFA-CAJÚA\Cajua\[VAS_CAJUA_CF_SEC_20230125.xlsx]CF PRB'!$CT$42</t>
  </si>
  <si>
    <t>='C:\Users\jaime.benazar\Quorum Business Solutions\Ecopetrol Prometeo - Documents\Planning Space Implementation\3. Analysis &amp; Design\Design\FC22\DRR Jaime\QUIFA-CAJÚA\Cajua\[VAS_CAJUA_CF_SEC_20230125.xlsx]CF PRB'!$CT$43</t>
  </si>
  <si>
    <t>='C:\Users\jaime.benazar\Quorum Business Solutions\Ecopetrol Prometeo - Documents\Planning Space Implementation\3. Analysis &amp; Design\Design\FC22\DRR Jaime\QUIFA-CAJÚA\Cajua\[VAS_CAJUA_CF_SEC_20230125.xlsx]CF PRB'!$CT$44</t>
  </si>
  <si>
    <t>='C:\Users\jaime.benazar\Quorum Business Solutions\Ecopetrol Prometeo - Documents\Planning Space Implementation\3. Analysis &amp; Design\Design\FC22\DRR Jaime\QUIFA-CAJÚA\Cajua\[VAS_CAJUA_CF_SEC_20230125.xlsx]CF PRB'!$CT$45</t>
  </si>
  <si>
    <t>='C:\Users\jaime.benazar\Quorum Business Solutions\Ecopetrol Prometeo - Documents\Planning Space Implementation\3. Analysis &amp; Design\Design\FC22\DRR Jaime\QUIFA-CAJÚA\Cajua\[VAS_CAJUA_CF_SEC_20230125.xlsx]CF PRB'!$CT$46</t>
  </si>
  <si>
    <t>='C:\Users\jaime.benazar\Quorum Business Solutions\Ecopetrol Prometeo - Documents\Planning Space Implementation\3. Analysis &amp; Design\Design\FC22\DRR Jaime\QUIFA-CAJÚA\Cajua\[VAS_CAJUA_CF_SEC_20230125.xlsx]CF PRB'!$CT$47</t>
  </si>
  <si>
    <t>='C:\Users\jaime.benazar\Quorum Business Solutions\Ecopetrol Prometeo - Documents\Planning Space Implementation\3. Analysis &amp; Design\Design\FC22\DRR Jaime\QUIFA-CAJÚA\Cajua\[VAS_CAJUA_CF_SEC_20230125.xlsx]CF PRB'!$CT$48</t>
  </si>
  <si>
    <t>='C:\Users\jaime.benazar\Quorum Business Solutions\Ecopetrol Prometeo - Documents\Planning Space Implementation\3. Analysis &amp; Design\Design\FC22\DRR Jaime\QUIFA-CAJÚA\Cajua\[VAS_CAJUA_CF_SEC_20230125.xlsx]CF PRB'!$CT$49</t>
  </si>
  <si>
    <t>='C:\Users\jaime.benazar\Quorum Business Solutions\Ecopetrol Prometeo - Documents\Planning Space Implementation\3. Analysis &amp; Design\Design\FC22\DRR Jaime\QUIFA-CAJÚA\Cajua\[VAS_CAJUA_CF_SEC_20230125.xlsx]CF PRB'!$CT$50</t>
  </si>
  <si>
    <t>='C:\Users\jaime.benazar\Quorum Business Solutions\Ecopetrol Prometeo - Documents\Planning Space Implementation\3. Analysis &amp; Design\Design\FC22\DRR Jaime\QUIFA-CAJÚA\Cajua\[VAS_CAJUA_CF_SEC_20230125.xlsx]CF PRB'!$CT$51</t>
  </si>
  <si>
    <t>='C:\Users\jaime.benazar\Quorum Business Solutions\Ecopetrol Prometeo - Documents\Planning Space Implementation\3. Analysis &amp; Design\Design\FC22\DRR Jaime\QUIFA-CAJÚA\Cajua\[VAS_CAJUA_CF_SEC_20230125.xlsx]CF PRB'!$CT$52</t>
  </si>
  <si>
    <t>='C:\Users\jaime.benazar\Quorum Business Solutions\Ecopetrol Prometeo - Documents\Planning Space Implementation\3. Analysis &amp; Design\Design\FC22\DRR Jaime\QUIFA-CAJÚA\Cajua\[VAS_CAJUA_CF_SEC_20230125.xlsx]CF PRB'!$CT$53</t>
  </si>
  <si>
    <t>='C:\Users\jaime.benazar\Quorum Business Solutions\Ecopetrol Prometeo - Documents\Planning Space Implementation\3. Analysis &amp; Design\Design\FC22\DRR Jaime\QUIFA-CAJÚA\Cajua\[VAS_CAJUA_CF_SEC_20230125.xlsx]CF PRB'!$CT$54</t>
  </si>
  <si>
    <t>='C:\Users\jaime.benazar\Quorum Business Solutions\Ecopetrol Prometeo - Documents\Planning Space Implementation\3. Analysis &amp; Design\Design\FC22\DRR Jaime\QUIFA-CAJÚA\Cajua\[VAS_CAJUA_CF_SEC_20230125.xlsx]CF PRB'!$CT$55</t>
  </si>
  <si>
    <t>='C:\Users\jaime.benazar\Quorum Business Solutions\Ecopetrol Prometeo - Documents\Planning Space Implementation\3. Analysis &amp; Design\Design\FC22\DRR Jaime\QUIFA-CAJÚA\Cajua\[VAS_CAJUA_CF_SEC_20230125.xlsx]CF PRB'!$CT$56</t>
  </si>
  <si>
    <t>='C:\Users\jaime.benazar\Quorum Business Solutions\Ecopetrol Prometeo - Documents\Planning Space Implementation\3. Analysis &amp; Design\Design\FC22\DRR Jaime\QUIFA-CAJÚA\Cajua\[VAS_CAJUA_CF_SEC_20230125.xlsx]CF PRB'!$CT$57</t>
  </si>
  <si>
    <t>='C:\Users\jaime.benazar\Quorum Business Solutions\Ecopetrol Prometeo - Documents\Planning Space Implementation\3. Analysis &amp; Design\Design\FC22\DRR Jaime\QUIFA-CAJÚA\Cajua\[VAS_CAJUA_CF_SEC_20230125.xlsx]CF PRB'!$CT$58</t>
  </si>
  <si>
    <t>='C:\Users\jaime.benazar\Quorum Business Solutions\Ecopetrol Prometeo - Documents\Planning Space Implementation\3. Analysis &amp; Design\Design\FC22\DRR Jaime\QUIFA-CAJÚA\Cajua\[VAS_CAJUA_CF_SEC_20230125.xlsx]CF PRB'!$CT$59</t>
  </si>
  <si>
    <t>='C:\Users\jaime.benazar\Quorum Business Solutions\Ecopetrol Prometeo - Documents\Planning Space Implementation\3. Analysis &amp; Design\Design\FC22\DRR Jaime\QUIFA-CAJÚA\Cajua\[VAS_CAJUA_CF_SEC_20230125.xlsx]CF PRB'!$CT$60</t>
  </si>
  <si>
    <t>='C:\Users\jaime.benazar\Quorum Business Solutions\Ecopetrol Prometeo - Documents\Planning Space Implementation\3. Analysis &amp; Design\Design\FC22\DRR Jaime\QUIFA-CAJÚA\Cajua\[VAS_CAJUA_CF_SEC_20230125.xlsx]CF PRB'!$CT$61</t>
  </si>
  <si>
    <t>='C:\Users\jaime.benazar\Quorum Business Solutions\Ecopetrol Prometeo - Documents\Planning Space Implementation\3. Analysis &amp; Design\Design\FC22\DRR Jaime\QUIFA-CAJÚA\Cajua\[VAS_CAJUA_CF_SEC_20230125.xlsx]CF PRB'!$CT$62</t>
  </si>
  <si>
    <t>='C:\Users\jaime.benazar\Quorum Business Solutions\Ecopetrol Prometeo - Documents\Planning Space Implementation\3. Analysis &amp; Design\Design\FC22\DRR Jaime\QUIFA-CAJÚA\Cajua\[VAS_CAJUA_CF_SEC_20230125.xlsx]CF PRB'!$CT$63</t>
  </si>
  <si>
    <t>='C:\Users\jaime.benazar\Quorum Business Solutions\Ecopetrol Prometeo - Documents\Planning Space Implementation\3. Analysis &amp; Design\Design\FC22\DRR Jaime\QUIFA-CAJÚA\Cajua\[VAS_CAJUA_CF_SEC_20230125.xlsx]CF PRB'!$CT$64</t>
  </si>
  <si>
    <t>='C:\Users\jaime.benazar\Quorum Business Solutions\Ecopetrol Prometeo - Documents\Planning Space Implementation\3. Analysis &amp; Design\Design\FC22\DRR Jaime\QUIFA-CAJÚA\Cajua\[VAS_CAJUA_CF_SEC_20230125.xlsx]CF PRB'!$CT$65</t>
  </si>
  <si>
    <t>='C:\Users\jaime.benazar\Quorum Business Solutions\Ecopetrol Prometeo - Documents\Planning Space Implementation\3. Analysis &amp; Design\Design\FC22\DRR Jaime\QUIFA-CAJÚA\Cajua\[VAS_CAJUA_CF_SEC_20230125.xlsx]CF PRB'!$CT$66</t>
  </si>
  <si>
    <t>='C:\Users\jaime.benazar\Quorum Business Solutions\Ecopetrol Prometeo - Documents\Planning Space Implementation\3. Analysis &amp; Design\Design\FC22\DRR Jaime\QUIFA-CAJÚA\Cajua\[VAS_CAJUA_CF_SEC_20230125.xlsx]CF PRB'!$CT$67</t>
  </si>
  <si>
    <t>='C:\Users\jaime.benazar\Quorum Business Solutions\Ecopetrol Prometeo - Documents\Planning Space Implementation\3. Analysis &amp; Design\Design\FC22\DRR Jaime\QUIFA-CAJÚA\Cajua\[VAS_CAJUA_CF_SEC_20230125.xlsx]CF PRB'!$CT$68</t>
  </si>
  <si>
    <t>='C:\Users\jaime.benazar\Quorum Business Solutions\Ecopetrol Prometeo - Documents\Planning Space Implementation\3. Analysis &amp; Design\Design\FC22\DRR Jaime\QUIFA-CAJÚA\Cajua\[VAS_CAJUA_CF_SEC_20230125.xlsx]CF PRB'!$CT$69</t>
  </si>
  <si>
    <t>='C:\Users\jaime.benazar\Quorum Business Solutions\Ecopetrol Prometeo - Documents\Planning Space Implementation\3. Analysis &amp; Design\Design\FC22\DRR Jaime\QUIFA-CAJÚA\Cajua\[VAS_CAJUA_CF_SEC_20230125.xlsx]CF PRB'!$CT$70</t>
  </si>
  <si>
    <t>='C:\Users\jaime.benazar\Quorum Business Solutions\Ecopetrol Prometeo - Documents\Planning Space Implementation\3. Analysis &amp; Design\Design\FC22\DRR Jaime\QUIFA-CAJÚA\Cajua\[VAS_CAJUA_CF_SEC_20230125.xlsx]CF PRB'!$CT$71</t>
  </si>
  <si>
    <t>='C:\Users\jaime.benazar\Quorum Business Solutions\Ecopetrol Prometeo - Documents\Planning Space Implementation\3. Analysis &amp; Design\Design\FC22\DRR Jaime\QUIFA-CAJÚA\Cajua\[VAS_CAJUA_CF_SEC_20230125.xlsx]CF PRB'!$CT$72</t>
  </si>
  <si>
    <t>='C:\Users\jaime.benazar\Quorum Business Solutions\Ecopetrol Prometeo - Documents\Planning Space Implementation\3. Analysis &amp; Design\Design\FC22\DRR Jaime\QUIFA-CAJÚA\Cajua\[VAS_CAJUA_CF_SEC_20230125.xlsx]CF PS'!$CT$36</t>
  </si>
  <si>
    <t>='C:\Users\jaime.benazar\Quorum Business Solutions\Ecopetrol Prometeo - Documents\Planning Space Implementation\3. Analysis &amp; Design\Design\FC22\DRR Jaime\QUIFA-CAJÚA\Cajua\[VAS_CAJUA_CF_SEC_20230125.xlsx]CF PS'!$CT$37</t>
  </si>
  <si>
    <t>='C:\Users\jaime.benazar\Quorum Business Solutions\Ecopetrol Prometeo - Documents\Planning Space Implementation\3. Analysis &amp; Design\Design\FC22\DRR Jaime\QUIFA-CAJÚA\Cajua\[VAS_CAJUA_CF_SEC_20230125.xlsx]CF PS'!$CT$38</t>
  </si>
  <si>
    <t>='C:\Users\jaime.benazar\Quorum Business Solutions\Ecopetrol Prometeo - Documents\Planning Space Implementation\3. Analysis &amp; Design\Design\FC22\DRR Jaime\QUIFA-CAJÚA\Cajua\[VAS_CAJUA_CF_SEC_20230125.xlsx]CF PS'!$CT$39</t>
  </si>
  <si>
    <t>='C:\Users\jaime.benazar\Quorum Business Solutions\Ecopetrol Prometeo - Documents\Planning Space Implementation\3. Analysis &amp; Design\Design\FC22\DRR Jaime\QUIFA-CAJÚA\Cajua\[VAS_CAJUA_CF_SEC_20230125.xlsx]CF PS'!$CT$40</t>
  </si>
  <si>
    <t>='C:\Users\jaime.benazar\Quorum Business Solutions\Ecopetrol Prometeo - Documents\Planning Space Implementation\3. Analysis &amp; Design\Design\FC22\DRR Jaime\QUIFA-CAJÚA\Cajua\[VAS_CAJUA_CF_SEC_20230125.xlsx]CF PS'!$CT$41</t>
  </si>
  <si>
    <t>='C:\Users\jaime.benazar\Quorum Business Solutions\Ecopetrol Prometeo - Documents\Planning Space Implementation\3. Analysis &amp; Design\Design\FC22\DRR Jaime\QUIFA-CAJÚA\Cajua\[VAS_CAJUA_CF_SEC_20230125.xlsx]CF PS'!$CT$42</t>
  </si>
  <si>
    <t>='C:\Users\jaime.benazar\Quorum Business Solutions\Ecopetrol Prometeo - Documents\Planning Space Implementation\3. Analysis &amp; Design\Design\FC22\DRR Jaime\QUIFA-CAJÚA\Cajua\[VAS_CAJUA_CF_SEC_20230125.xlsx]CF PS'!$CT$43</t>
  </si>
  <si>
    <t>='C:\Users\jaime.benazar\Quorum Business Solutions\Ecopetrol Prometeo - Documents\Planning Space Implementation\3. Analysis &amp; Design\Design\FC22\DRR Jaime\QUIFA-CAJÚA\Cajua\[VAS_CAJUA_CF_SEC_20230125.xlsx]CF PS'!$CT$44</t>
  </si>
  <si>
    <t>='C:\Users\jaime.benazar\Quorum Business Solutions\Ecopetrol Prometeo - Documents\Planning Space Implementation\3. Analysis &amp; Design\Design\FC22\DRR Jaime\QUIFA-CAJÚA\Cajua\[VAS_CAJUA_CF_SEC_20230125.xlsx]CF PS'!$CT$45</t>
  </si>
  <si>
    <t>='C:\Users\jaime.benazar\Quorum Business Solutions\Ecopetrol Prometeo - Documents\Planning Space Implementation\3. Analysis &amp; Design\Design\FC22\DRR Jaime\QUIFA-CAJÚA\Cajua\[VAS_CAJUA_CF_SEC_20230125.xlsx]CF PS'!$CT$46</t>
  </si>
  <si>
    <t>='C:\Users\jaime.benazar\Quorum Business Solutions\Ecopetrol Prometeo - Documents\Planning Space Implementation\3. Analysis &amp; Design\Design\FC22\DRR Jaime\QUIFA-CAJÚA\Cajua\[VAS_CAJUA_CF_SEC_20230125.xlsx]CF PS'!$CT$47</t>
  </si>
  <si>
    <t>='C:\Users\jaime.benazar\Quorum Business Solutions\Ecopetrol Prometeo - Documents\Planning Space Implementation\3. Analysis &amp; Design\Design\FC22\DRR Jaime\QUIFA-CAJÚA\Cajua\[VAS_CAJUA_CF_SEC_20230125.xlsx]CF PS'!$CT$48</t>
  </si>
  <si>
    <t>='C:\Users\jaime.benazar\Quorum Business Solutions\Ecopetrol Prometeo - Documents\Planning Space Implementation\3. Analysis &amp; Design\Design\FC22\DRR Jaime\QUIFA-CAJÚA\Cajua\[VAS_CAJUA_CF_SEC_20230125.xlsx]CF PS'!$CT$49</t>
  </si>
  <si>
    <t>='C:\Users\jaime.benazar\Quorum Business Solutions\Ecopetrol Prometeo - Documents\Planning Space Implementation\3. Analysis &amp; Design\Design\FC22\DRR Jaime\QUIFA-CAJÚA\Cajua\[VAS_CAJUA_CF_SEC_20230125.xlsx]CF PS'!$CT$50</t>
  </si>
  <si>
    <t>='C:\Users\jaime.benazar\Quorum Business Solutions\Ecopetrol Prometeo - Documents\Planning Space Implementation\3. Analysis &amp; Design\Design\FC22\DRR Jaime\QUIFA-CAJÚA\Cajua\[VAS_CAJUA_CF_SEC_20230125.xlsx]CF PS'!$CT$51</t>
  </si>
  <si>
    <t>='C:\Users\jaime.benazar\Quorum Business Solutions\Ecopetrol Prometeo - Documents\Planning Space Implementation\3. Analysis &amp; Design\Design\FC22\DRR Jaime\QUIFA-CAJÚA\Cajua\[VAS_CAJUA_CF_SEC_20230125.xlsx]CF PS'!$CT$52</t>
  </si>
  <si>
    <t>='C:\Users\jaime.benazar\Quorum Business Solutions\Ecopetrol Prometeo - Documents\Planning Space Implementation\3. Analysis &amp; Design\Design\FC22\DRR Jaime\QUIFA-CAJÚA\Cajua\[VAS_CAJUA_CF_SEC_20230125.xlsx]CF PS'!$CT$53</t>
  </si>
  <si>
    <t>='C:\Users\jaime.benazar\Quorum Business Solutions\Ecopetrol Prometeo - Documents\Planning Space Implementation\3. Analysis &amp; Design\Design\FC22\DRR Jaime\QUIFA-CAJÚA\Cajua\[VAS_CAJUA_CF_SEC_20230125.xlsx]CF PS'!$CT$54</t>
  </si>
  <si>
    <t>='C:\Users\jaime.benazar\Quorum Business Solutions\Ecopetrol Prometeo - Documents\Planning Space Implementation\3. Analysis &amp; Design\Design\FC22\DRR Jaime\QUIFA-CAJÚA\Cajua\[VAS_CAJUA_CF_SEC_20230125.xlsx]CF PS'!$CT$55</t>
  </si>
  <si>
    <t>='C:\Users\jaime.benazar\Quorum Business Solutions\Ecopetrol Prometeo - Documents\Planning Space Implementation\3. Analysis &amp; Design\Design\FC22\DRR Jaime\QUIFA-CAJÚA\Cajua\[VAS_CAJUA_CF_SEC_20230125.xlsx]CF PS'!$CT$56</t>
  </si>
  <si>
    <t>='C:\Users\jaime.benazar\Quorum Business Solutions\Ecopetrol Prometeo - Documents\Planning Space Implementation\3. Analysis &amp; Design\Design\FC22\DRR Jaime\QUIFA-CAJÚA\Cajua\[VAS_CAJUA_CF_SEC_20230125.xlsx]CF PS'!$CT$57</t>
  </si>
  <si>
    <t>='C:\Users\jaime.benazar\Quorum Business Solutions\Ecopetrol Prometeo - Documents\Planning Space Implementation\3. Analysis &amp; Design\Design\FC22\DRR Jaime\QUIFA-CAJÚA\Cajua\[VAS_CAJUA_CF_SEC_20230125.xlsx]CF PS'!$CT$58</t>
  </si>
  <si>
    <t>='C:\Users\jaime.benazar\Quorum Business Solutions\Ecopetrol Prometeo - Documents\Planning Space Implementation\3. Analysis &amp; Design\Design\FC22\DRR Jaime\QUIFA-CAJÚA\Cajua\[VAS_CAJUA_CF_SEC_20230125.xlsx]CF PS'!$CT$59</t>
  </si>
  <si>
    <t>='C:\Users\jaime.benazar\Quorum Business Solutions\Ecopetrol Prometeo - Documents\Planning Space Implementation\3. Analysis &amp; Design\Design\FC22\DRR Jaime\QUIFA-CAJÚA\Cajua\[VAS_CAJUA_CF_SEC_20230125.xlsx]CF PS'!$CT$60</t>
  </si>
  <si>
    <t>='C:\Users\jaime.benazar\Quorum Business Solutions\Ecopetrol Prometeo - Documents\Planning Space Implementation\3. Analysis &amp; Design\Design\FC22\DRR Jaime\QUIFA-CAJÚA\Cajua\[VAS_CAJUA_CF_SEC_20230125.xlsx]CF PS'!$CT$61</t>
  </si>
  <si>
    <t>='C:\Users\jaime.benazar\Quorum Business Solutions\Ecopetrol Prometeo - Documents\Planning Space Implementation\3. Analysis &amp; Design\Design\FC22\DRR Jaime\QUIFA-CAJÚA\Cajua\[VAS_CAJUA_CF_SEC_20230125.xlsx]CF PS'!$CT$62</t>
  </si>
  <si>
    <t>='C:\Users\jaime.benazar\Quorum Business Solutions\Ecopetrol Prometeo - Documents\Planning Space Implementation\3. Analysis &amp; Design\Design\FC22\DRR Jaime\QUIFA-CAJÚA\Cajua\[VAS_CAJUA_CF_SEC_20230125.xlsx]CF PS'!$CT$63</t>
  </si>
  <si>
    <t>='C:\Users\jaime.benazar\Quorum Business Solutions\Ecopetrol Prometeo - Documents\Planning Space Implementation\3. Analysis &amp; Design\Design\FC22\DRR Jaime\QUIFA-CAJÚA\Cajua\[VAS_CAJUA_CF_SEC_20230125.xlsx]CF PS'!$CT$64</t>
  </si>
  <si>
    <t>='C:\Users\jaime.benazar\Quorum Business Solutions\Ecopetrol Prometeo - Documents\Planning Space Implementation\3. Analysis &amp; Design\Design\FC22\DRR Jaime\QUIFA-CAJÚA\Cajua\[VAS_CAJUA_CF_SEC_20230125.xlsx]CF PS'!$CT$65</t>
  </si>
  <si>
    <t>='C:\Users\jaime.benazar\Quorum Business Solutions\Ecopetrol Prometeo - Documents\Planning Space Implementation\3. Analysis &amp; Design\Design\FC22\DRR Jaime\QUIFA-CAJÚA\Cajua\[VAS_CAJUA_CF_SEC_20230125.xlsx]CF PS'!$CT$66</t>
  </si>
  <si>
    <t>='C:\Users\jaime.benazar\Quorum Business Solutions\Ecopetrol Prometeo - Documents\Planning Space Implementation\3. Analysis &amp; Design\Design\FC22\DRR Jaime\QUIFA-CAJÚA\Cajua\[VAS_CAJUA_CF_SEC_20230125.xlsx]CF PS'!$CT$67</t>
  </si>
  <si>
    <t>='C:\Users\jaime.benazar\Quorum Business Solutions\Ecopetrol Prometeo - Documents\Planning Space Implementation\3. Analysis &amp; Design\Design\FC22\DRR Jaime\QUIFA-CAJÚA\Cajua\[VAS_CAJUA_CF_SEC_20230125.xlsx]CF PS'!$CT$68</t>
  </si>
  <si>
    <t>='C:\Users\jaime.benazar\Quorum Business Solutions\Ecopetrol Prometeo - Documents\Planning Space Implementation\3. Analysis &amp; Design\Design\FC22\DRR Jaime\QUIFA-CAJÚA\Cajua\[VAS_CAJUA_CF_SEC_20230125.xlsx]CF PS'!$CT$69</t>
  </si>
  <si>
    <t>='C:\Users\jaime.benazar\Quorum Business Solutions\Ecopetrol Prometeo - Documents\Planning Space Implementation\3. Analysis &amp; Design\Design\FC22\DRR Jaime\QUIFA-CAJÚA\Cajua\[VAS_CAJUA_CF_SEC_20230125.xlsx]CF PS'!$CT$70</t>
  </si>
  <si>
    <t>='C:\Users\jaime.benazar\Quorum Business Solutions\Ecopetrol Prometeo - Documents\Planning Space Implementation\3. Analysis &amp; Design\Design\FC22\DRR Jaime\QUIFA-CAJÚA\Cajua\[VAS_CAJUA_CF_SEC_20230125.xlsx]CF PS'!$CT$71</t>
  </si>
  <si>
    <t>='C:\Users\jaime.benazar\Quorum Business Solutions\Ecopetrol Prometeo - Documents\Planning Space Implementation\3. Analysis &amp; Design\Design\FC22\DRR Jaime\QUIFA-CAJÚA\Cajua\[VAS_CAJUA_CF_SEC_20230125.xlsx]CF PS'!$CT$72</t>
  </si>
  <si>
    <t>='C:\Users\jaime.benazar\Quorum Business Solutions\Ecopetrol Prometeo - Documents\Planning Space Implementation\3. Analysis &amp; Design\Design\FC22\DRR Jaime\QUIFA-CAJÚA\Cajua\[VAS_CAJUA_CF_SEC_20230125.xlsx]CF PDP'!$DN$36</t>
  </si>
  <si>
    <t>='C:\Users\jaime.benazar\Quorum Business Solutions\Ecopetrol Prometeo - Documents\Planning Space Implementation\3. Analysis &amp; Design\Design\FC22\DRR Jaime\QUIFA-CAJÚA\Cajua\[VAS_CAJUA_CF_SEC_20230125.xlsx]CF PDP'!$DN$37</t>
  </si>
  <si>
    <t>='C:\Users\jaime.benazar\Quorum Business Solutions\Ecopetrol Prometeo - Documents\Planning Space Implementation\3. Analysis &amp; Design\Design\FC22\DRR Jaime\QUIFA-CAJÚA\Cajua\[VAS_CAJUA_CF_SEC_20230125.xlsx]CF PDP'!$DN$38</t>
  </si>
  <si>
    <t>='C:\Users\jaime.benazar\Quorum Business Solutions\Ecopetrol Prometeo - Documents\Planning Space Implementation\3. Analysis &amp; Design\Design\FC22\DRR Jaime\QUIFA-CAJÚA\Cajua\[VAS_CAJUA_CF_SEC_20230125.xlsx]CF PDP'!$DN$39</t>
  </si>
  <si>
    <t>='C:\Users\jaime.benazar\Quorum Business Solutions\Ecopetrol Prometeo - Documents\Planning Space Implementation\3. Analysis &amp; Design\Design\FC22\DRR Jaime\QUIFA-CAJÚA\Cajua\[VAS_CAJUA_CF_SEC_20230125.xlsx]CF PDP'!$DN$40</t>
  </si>
  <si>
    <t>='C:\Users\jaime.benazar\Quorum Business Solutions\Ecopetrol Prometeo - Documents\Planning Space Implementation\3. Analysis &amp; Design\Design\FC22\DRR Jaime\QUIFA-CAJÚA\Cajua\[VAS_CAJUA_CF_SEC_20230125.xlsx]CF PDP'!$DN$41</t>
  </si>
  <si>
    <t>='C:\Users\jaime.benazar\Quorum Business Solutions\Ecopetrol Prometeo - Documents\Planning Space Implementation\3. Analysis &amp; Design\Design\FC22\DRR Jaime\QUIFA-CAJÚA\Cajua\[VAS_CAJUA_CF_SEC_20230125.xlsx]CF PDP'!$DN$42</t>
  </si>
  <si>
    <t>='C:\Users\jaime.benazar\Quorum Business Solutions\Ecopetrol Prometeo - Documents\Planning Space Implementation\3. Analysis &amp; Design\Design\FC22\DRR Jaime\QUIFA-CAJÚA\Cajua\[VAS_CAJUA_CF_SEC_20230125.xlsx]CF PDP'!$DN$43</t>
  </si>
  <si>
    <t>='C:\Users\jaime.benazar\Quorum Business Solutions\Ecopetrol Prometeo - Documents\Planning Space Implementation\3. Analysis &amp; Design\Design\FC22\DRR Jaime\QUIFA-CAJÚA\Cajua\[VAS_CAJUA_CF_SEC_20230125.xlsx]CF PDP'!$DN$44</t>
  </si>
  <si>
    <t>='C:\Users\jaime.benazar\Quorum Business Solutions\Ecopetrol Prometeo - Documents\Planning Space Implementation\3. Analysis &amp; Design\Design\FC22\DRR Jaime\QUIFA-CAJÚA\Cajua\[VAS_CAJUA_CF_SEC_20230125.xlsx]CF PDP'!$DN$45</t>
  </si>
  <si>
    <t>='C:\Users\jaime.benazar\Quorum Business Solutions\Ecopetrol Prometeo - Documents\Planning Space Implementation\3. Analysis &amp; Design\Design\FC22\DRR Jaime\QUIFA-CAJÚA\Cajua\[VAS_CAJUA_CF_SEC_20230125.xlsx]CF PDP'!$DN$46</t>
  </si>
  <si>
    <t>='C:\Users\jaime.benazar\Quorum Business Solutions\Ecopetrol Prometeo - Documents\Planning Space Implementation\3. Analysis &amp; Design\Design\FC22\DRR Jaime\QUIFA-CAJÚA\Cajua\[VAS_CAJUA_CF_SEC_20230125.xlsx]CF PDP'!$DN$47</t>
  </si>
  <si>
    <t>='C:\Users\jaime.benazar\Quorum Business Solutions\Ecopetrol Prometeo - Documents\Planning Space Implementation\3. Analysis &amp; Design\Design\FC22\DRR Jaime\QUIFA-CAJÚA\Cajua\[VAS_CAJUA_CF_SEC_20230125.xlsx]CF PDP'!$DN$48</t>
  </si>
  <si>
    <t>='C:\Users\jaime.benazar\Quorum Business Solutions\Ecopetrol Prometeo - Documents\Planning Space Implementation\3. Analysis &amp; Design\Design\FC22\DRR Jaime\QUIFA-CAJÚA\Cajua\[VAS_CAJUA_CF_SEC_20230125.xlsx]CF PDP'!$DN$49</t>
  </si>
  <si>
    <t>='C:\Users\jaime.benazar\Quorum Business Solutions\Ecopetrol Prometeo - Documents\Planning Space Implementation\3. Analysis &amp; Design\Design\FC22\DRR Jaime\QUIFA-CAJÚA\Cajua\[VAS_CAJUA_CF_SEC_20230125.xlsx]CF PDP'!$DN$50</t>
  </si>
  <si>
    <t>='C:\Users\jaime.benazar\Quorum Business Solutions\Ecopetrol Prometeo - Documents\Planning Space Implementation\3. Analysis &amp; Design\Design\FC22\DRR Jaime\QUIFA-CAJÚA\Cajua\[VAS_CAJUA_CF_SEC_20230125.xlsx]CF PDP'!$DN$51</t>
  </si>
  <si>
    <t>='C:\Users\jaime.benazar\Quorum Business Solutions\Ecopetrol Prometeo - Documents\Planning Space Implementation\3. Analysis &amp; Design\Design\FC22\DRR Jaime\QUIFA-CAJÚA\Cajua\[VAS_CAJUA_CF_SEC_20230125.xlsx]CF PDP'!$DN$52</t>
  </si>
  <si>
    <t>='C:\Users\jaime.benazar\Quorum Business Solutions\Ecopetrol Prometeo - Documents\Planning Space Implementation\3. Analysis &amp; Design\Design\FC22\DRR Jaime\QUIFA-CAJÚA\Cajua\[VAS_CAJUA_CF_SEC_20230125.xlsx]CF PDP'!$DN$53</t>
  </si>
  <si>
    <t>='C:\Users\jaime.benazar\Quorum Business Solutions\Ecopetrol Prometeo - Documents\Planning Space Implementation\3. Analysis &amp; Design\Design\FC22\DRR Jaime\QUIFA-CAJÚA\Cajua\[VAS_CAJUA_CF_SEC_20230125.xlsx]CF PDP'!$DN$54</t>
  </si>
  <si>
    <t>='C:\Users\jaime.benazar\Quorum Business Solutions\Ecopetrol Prometeo - Documents\Planning Space Implementation\3. Analysis &amp; Design\Design\FC22\DRR Jaime\QUIFA-CAJÚA\Cajua\[VAS_CAJUA_CF_SEC_20230125.xlsx]CF PDP'!$DN$55</t>
  </si>
  <si>
    <t>='C:\Users\jaime.benazar\Quorum Business Solutions\Ecopetrol Prometeo - Documents\Planning Space Implementation\3. Analysis &amp; Design\Design\FC22\DRR Jaime\QUIFA-CAJÚA\Cajua\[VAS_CAJUA_CF_SEC_20230125.xlsx]CF PDP'!$DN$56</t>
  </si>
  <si>
    <t>='C:\Users\jaime.benazar\Quorum Business Solutions\Ecopetrol Prometeo - Documents\Planning Space Implementation\3. Analysis &amp; Design\Design\FC22\DRR Jaime\QUIFA-CAJÚA\Cajua\[VAS_CAJUA_CF_SEC_20230125.xlsx]CF PDP'!$DN$57</t>
  </si>
  <si>
    <t>='C:\Users\jaime.benazar\Quorum Business Solutions\Ecopetrol Prometeo - Documents\Planning Space Implementation\3. Analysis &amp; Design\Design\FC22\DRR Jaime\QUIFA-CAJÚA\Cajua\[VAS_CAJUA_CF_SEC_20230125.xlsx]CF PDP'!$DN$58</t>
  </si>
  <si>
    <t>='C:\Users\jaime.benazar\Quorum Business Solutions\Ecopetrol Prometeo - Documents\Planning Space Implementation\3. Analysis &amp; Design\Design\FC22\DRR Jaime\QUIFA-CAJÚA\Cajua\[VAS_CAJUA_CF_SEC_20230125.xlsx]CF PDP'!$DN$59</t>
  </si>
  <si>
    <t>='C:\Users\jaime.benazar\Quorum Business Solutions\Ecopetrol Prometeo - Documents\Planning Space Implementation\3. Analysis &amp; Design\Design\FC22\DRR Jaime\QUIFA-CAJÚA\Cajua\[VAS_CAJUA_CF_SEC_20230125.xlsx]CF PDP'!$DN$60</t>
  </si>
  <si>
    <t>='C:\Users\jaime.benazar\Quorum Business Solutions\Ecopetrol Prometeo - Documents\Planning Space Implementation\3. Analysis &amp; Design\Design\FC22\DRR Jaime\QUIFA-CAJÚA\Cajua\[VAS_CAJUA_CF_SEC_20230125.xlsx]CF PDP'!$DN$61</t>
  </si>
  <si>
    <t>='C:\Users\jaime.benazar\Quorum Business Solutions\Ecopetrol Prometeo - Documents\Planning Space Implementation\3. Analysis &amp; Design\Design\FC22\DRR Jaime\QUIFA-CAJÚA\Cajua\[VAS_CAJUA_CF_SEC_20230125.xlsx]CF PDP'!$DN$62</t>
  </si>
  <si>
    <t>='C:\Users\jaime.benazar\Quorum Business Solutions\Ecopetrol Prometeo - Documents\Planning Space Implementation\3. Analysis &amp; Design\Design\FC22\DRR Jaime\QUIFA-CAJÚA\Cajua\[VAS_CAJUA_CF_SEC_20230125.xlsx]CF PDP'!$DN$63</t>
  </si>
  <si>
    <t>='C:\Users\jaime.benazar\Quorum Business Solutions\Ecopetrol Prometeo - Documents\Planning Space Implementation\3. Analysis &amp; Design\Design\FC22\DRR Jaime\QUIFA-CAJÚA\Cajua\[VAS_CAJUA_CF_SEC_20230125.xlsx]CF PDP'!$DN$64</t>
  </si>
  <si>
    <t>='C:\Users\jaime.benazar\Quorum Business Solutions\Ecopetrol Prometeo - Documents\Planning Space Implementation\3. Analysis &amp; Design\Design\FC22\DRR Jaime\QUIFA-CAJÚA\Cajua\[VAS_CAJUA_CF_SEC_20230125.xlsx]CF PDP'!$DN$65</t>
  </si>
  <si>
    <t>='C:\Users\jaime.benazar\Quorum Business Solutions\Ecopetrol Prometeo - Documents\Planning Space Implementation\3. Analysis &amp; Design\Design\FC22\DRR Jaime\QUIFA-CAJÚA\Cajua\[VAS_CAJUA_CF_SEC_20230125.xlsx]CF PDP'!$DN$66</t>
  </si>
  <si>
    <t>='C:\Users\jaime.benazar\Quorum Business Solutions\Ecopetrol Prometeo - Documents\Planning Space Implementation\3. Analysis &amp; Design\Design\FC22\DRR Jaime\QUIFA-CAJÚA\Cajua\[VAS_CAJUA_CF_SEC_20230125.xlsx]CF PDP'!$DN$67</t>
  </si>
  <si>
    <t>='C:\Users\jaime.benazar\Quorum Business Solutions\Ecopetrol Prometeo - Documents\Planning Space Implementation\3. Analysis &amp; Design\Design\FC22\DRR Jaime\QUIFA-CAJÚA\Cajua\[VAS_CAJUA_CF_SEC_20230125.xlsx]CF PDP'!$DN$68</t>
  </si>
  <si>
    <t>='C:\Users\jaime.benazar\Quorum Business Solutions\Ecopetrol Prometeo - Documents\Planning Space Implementation\3. Analysis &amp; Design\Design\FC22\DRR Jaime\QUIFA-CAJÚA\Cajua\[VAS_CAJUA_CF_SEC_20230125.xlsx]CF PDP'!$DN$69</t>
  </si>
  <si>
    <t>='C:\Users\jaime.benazar\Quorum Business Solutions\Ecopetrol Prometeo - Documents\Planning Space Implementation\3. Analysis &amp; Design\Design\FC22\DRR Jaime\QUIFA-CAJÚA\Cajua\[VAS_CAJUA_CF_SEC_20230125.xlsx]CF PDP'!$DN$70</t>
  </si>
  <si>
    <t>='C:\Users\jaime.benazar\Quorum Business Solutions\Ecopetrol Prometeo - Documents\Planning Space Implementation\3. Analysis &amp; Design\Design\FC22\DRR Jaime\QUIFA-CAJÚA\Cajua\[VAS_CAJUA_CF_SEC_20230125.xlsx]CF PDP'!$DN$71</t>
  </si>
  <si>
    <t>='C:\Users\jaime.benazar\Quorum Business Solutions\Ecopetrol Prometeo - Documents\Planning Space Implementation\3. Analysis &amp; Design\Design\FC22\DRR Jaime\QUIFA-CAJÚA\Cajua\[VAS_CAJUA_CF_SEC_20230125.xlsx]CF PDP'!$DN$72</t>
  </si>
  <si>
    <t>='C:\Users\jaime.benazar\Quorum Business Solutions\Ecopetrol Prometeo - Documents\Planning Space Implementation\3. Analysis &amp; Design\Design\FC22\DRR Jaime\QUIFA-CAJÚA\Cajua\[VAS_CAJUA_CF_SEC_20230125.xlsx]CF PNP'!$DN$36</t>
  </si>
  <si>
    <t>='C:\Users\jaime.benazar\Quorum Business Solutions\Ecopetrol Prometeo - Documents\Planning Space Implementation\3. Analysis &amp; Design\Design\FC22\DRR Jaime\QUIFA-CAJÚA\Cajua\[VAS_CAJUA_CF_SEC_20230125.xlsx]CF PNP'!$DN$37</t>
  </si>
  <si>
    <t>='C:\Users\jaime.benazar\Quorum Business Solutions\Ecopetrol Prometeo - Documents\Planning Space Implementation\3. Analysis &amp; Design\Design\FC22\DRR Jaime\QUIFA-CAJÚA\Cajua\[VAS_CAJUA_CF_SEC_20230125.xlsx]CF PNP'!$DN$38</t>
  </si>
  <si>
    <t>='C:\Users\jaime.benazar\Quorum Business Solutions\Ecopetrol Prometeo - Documents\Planning Space Implementation\3. Analysis &amp; Design\Design\FC22\DRR Jaime\QUIFA-CAJÚA\Cajua\[VAS_CAJUA_CF_SEC_20230125.xlsx]CF PNP'!$DN$39</t>
  </si>
  <si>
    <t>='C:\Users\jaime.benazar\Quorum Business Solutions\Ecopetrol Prometeo - Documents\Planning Space Implementation\3. Analysis &amp; Design\Design\FC22\DRR Jaime\QUIFA-CAJÚA\Cajua\[VAS_CAJUA_CF_SEC_20230125.xlsx]CF PNP'!$DN$40</t>
  </si>
  <si>
    <t>='C:\Users\jaime.benazar\Quorum Business Solutions\Ecopetrol Prometeo - Documents\Planning Space Implementation\3. Analysis &amp; Design\Design\FC22\DRR Jaime\QUIFA-CAJÚA\Cajua\[VAS_CAJUA_CF_SEC_20230125.xlsx]CF PNP'!$DN$41</t>
  </si>
  <si>
    <t>='C:\Users\jaime.benazar\Quorum Business Solutions\Ecopetrol Prometeo - Documents\Planning Space Implementation\3. Analysis &amp; Design\Design\FC22\DRR Jaime\QUIFA-CAJÚA\Cajua\[VAS_CAJUA_CF_SEC_20230125.xlsx]CF PNP'!$DN$42</t>
  </si>
  <si>
    <t>='C:\Users\jaime.benazar\Quorum Business Solutions\Ecopetrol Prometeo - Documents\Planning Space Implementation\3. Analysis &amp; Design\Design\FC22\DRR Jaime\QUIFA-CAJÚA\Cajua\[VAS_CAJUA_CF_SEC_20230125.xlsx]CF PNP'!$DN$43</t>
  </si>
  <si>
    <t>='C:\Users\jaime.benazar\Quorum Business Solutions\Ecopetrol Prometeo - Documents\Planning Space Implementation\3. Analysis &amp; Design\Design\FC22\DRR Jaime\QUIFA-CAJÚA\Cajua\[VAS_CAJUA_CF_SEC_20230125.xlsx]CF PNP'!$DN$44</t>
  </si>
  <si>
    <t>='C:\Users\jaime.benazar\Quorum Business Solutions\Ecopetrol Prometeo - Documents\Planning Space Implementation\3. Analysis &amp; Design\Design\FC22\DRR Jaime\QUIFA-CAJÚA\Cajua\[VAS_CAJUA_CF_SEC_20230125.xlsx]CF PNP'!$DN$45</t>
  </si>
  <si>
    <t>='C:\Users\jaime.benazar\Quorum Business Solutions\Ecopetrol Prometeo - Documents\Planning Space Implementation\3. Analysis &amp; Design\Design\FC22\DRR Jaime\QUIFA-CAJÚA\Cajua\[VAS_CAJUA_CF_SEC_20230125.xlsx]CF PNP'!$DN$46</t>
  </si>
  <si>
    <t>='C:\Users\jaime.benazar\Quorum Business Solutions\Ecopetrol Prometeo - Documents\Planning Space Implementation\3. Analysis &amp; Design\Design\FC22\DRR Jaime\QUIFA-CAJÚA\Cajua\[VAS_CAJUA_CF_SEC_20230125.xlsx]CF PNP'!$DN$47</t>
  </si>
  <si>
    <t>='C:\Users\jaime.benazar\Quorum Business Solutions\Ecopetrol Prometeo - Documents\Planning Space Implementation\3. Analysis &amp; Design\Design\FC22\DRR Jaime\QUIFA-CAJÚA\Cajua\[VAS_CAJUA_CF_SEC_20230125.xlsx]CF PNP'!$DN$48</t>
  </si>
  <si>
    <t>='C:\Users\jaime.benazar\Quorum Business Solutions\Ecopetrol Prometeo - Documents\Planning Space Implementation\3. Analysis &amp; Design\Design\FC22\DRR Jaime\QUIFA-CAJÚA\Cajua\[VAS_CAJUA_CF_SEC_20230125.xlsx]CF PNP'!$DN$49</t>
  </si>
  <si>
    <t>='C:\Users\jaime.benazar\Quorum Business Solutions\Ecopetrol Prometeo - Documents\Planning Space Implementation\3. Analysis &amp; Design\Design\FC22\DRR Jaime\QUIFA-CAJÚA\Cajua\[VAS_CAJUA_CF_SEC_20230125.xlsx]CF PNP'!$DN$50</t>
  </si>
  <si>
    <t>='C:\Users\jaime.benazar\Quorum Business Solutions\Ecopetrol Prometeo - Documents\Planning Space Implementation\3. Analysis &amp; Design\Design\FC22\DRR Jaime\QUIFA-CAJÚA\Cajua\[VAS_CAJUA_CF_SEC_20230125.xlsx]CF PNP'!$DN$51</t>
  </si>
  <si>
    <t>='C:\Users\jaime.benazar\Quorum Business Solutions\Ecopetrol Prometeo - Documents\Planning Space Implementation\3. Analysis &amp; Design\Design\FC22\DRR Jaime\QUIFA-CAJÚA\Cajua\[VAS_CAJUA_CF_SEC_20230125.xlsx]CF PNP'!$DN$52</t>
  </si>
  <si>
    <t>='C:\Users\jaime.benazar\Quorum Business Solutions\Ecopetrol Prometeo - Documents\Planning Space Implementation\3. Analysis &amp; Design\Design\FC22\DRR Jaime\QUIFA-CAJÚA\Cajua\[VAS_CAJUA_CF_SEC_20230125.xlsx]CF PNP'!$DN$53</t>
  </si>
  <si>
    <t>='C:\Users\jaime.benazar\Quorum Business Solutions\Ecopetrol Prometeo - Documents\Planning Space Implementation\3. Analysis &amp; Design\Design\FC22\DRR Jaime\QUIFA-CAJÚA\Cajua\[VAS_CAJUA_CF_SEC_20230125.xlsx]CF PNP'!$DN$54</t>
  </si>
  <si>
    <t>='C:\Users\jaime.benazar\Quorum Business Solutions\Ecopetrol Prometeo - Documents\Planning Space Implementation\3. Analysis &amp; Design\Design\FC22\DRR Jaime\QUIFA-CAJÚA\Cajua\[VAS_CAJUA_CF_SEC_20230125.xlsx]CF PNP'!$DN$55</t>
  </si>
  <si>
    <t>='C:\Users\jaime.benazar\Quorum Business Solutions\Ecopetrol Prometeo - Documents\Planning Space Implementation\3. Analysis &amp; Design\Design\FC22\DRR Jaime\QUIFA-CAJÚA\Cajua\[VAS_CAJUA_CF_SEC_20230125.xlsx]CF PNP'!$DN$56</t>
  </si>
  <si>
    <t>='C:\Users\jaime.benazar\Quorum Business Solutions\Ecopetrol Prometeo - Documents\Planning Space Implementation\3. Analysis &amp; Design\Design\FC22\DRR Jaime\QUIFA-CAJÚA\Cajua\[VAS_CAJUA_CF_SEC_20230125.xlsx]CF PNP'!$DN$57</t>
  </si>
  <si>
    <t>='C:\Users\jaime.benazar\Quorum Business Solutions\Ecopetrol Prometeo - Documents\Planning Space Implementation\3. Analysis &amp; Design\Design\FC22\DRR Jaime\QUIFA-CAJÚA\Cajua\[VAS_CAJUA_CF_SEC_20230125.xlsx]CF PNP'!$DN$58</t>
  </si>
  <si>
    <t>='C:\Users\jaime.benazar\Quorum Business Solutions\Ecopetrol Prometeo - Documents\Planning Space Implementation\3. Analysis &amp; Design\Design\FC22\DRR Jaime\QUIFA-CAJÚA\Cajua\[VAS_CAJUA_CF_SEC_20230125.xlsx]CF PNP'!$DN$59</t>
  </si>
  <si>
    <t>='C:\Users\jaime.benazar\Quorum Business Solutions\Ecopetrol Prometeo - Documents\Planning Space Implementation\3. Analysis &amp; Design\Design\FC22\DRR Jaime\QUIFA-CAJÚA\Cajua\[VAS_CAJUA_CF_SEC_20230125.xlsx]CF PNP'!$DN$60</t>
  </si>
  <si>
    <t>='C:\Users\jaime.benazar\Quorum Business Solutions\Ecopetrol Prometeo - Documents\Planning Space Implementation\3. Analysis &amp; Design\Design\FC22\DRR Jaime\QUIFA-CAJÚA\Cajua\[VAS_CAJUA_CF_SEC_20230125.xlsx]CF PNP'!$DN$61</t>
  </si>
  <si>
    <t>='C:\Users\jaime.benazar\Quorum Business Solutions\Ecopetrol Prometeo - Documents\Planning Space Implementation\3. Analysis &amp; Design\Design\FC22\DRR Jaime\QUIFA-CAJÚA\Cajua\[VAS_CAJUA_CF_SEC_20230125.xlsx]CF PNP'!$DN$62</t>
  </si>
  <si>
    <t>='C:\Users\jaime.benazar\Quorum Business Solutions\Ecopetrol Prometeo - Documents\Planning Space Implementation\3. Analysis &amp; Design\Design\FC22\DRR Jaime\QUIFA-CAJÚA\Cajua\[VAS_CAJUA_CF_SEC_20230125.xlsx]CF PNP'!$DN$63</t>
  </si>
  <si>
    <t>='C:\Users\jaime.benazar\Quorum Business Solutions\Ecopetrol Prometeo - Documents\Planning Space Implementation\3. Analysis &amp; Design\Design\FC22\DRR Jaime\QUIFA-CAJÚA\Cajua\[VAS_CAJUA_CF_SEC_20230125.xlsx]CF PNP'!$DN$64</t>
  </si>
  <si>
    <t>='C:\Users\jaime.benazar\Quorum Business Solutions\Ecopetrol Prometeo - Documents\Planning Space Implementation\3. Analysis &amp; Design\Design\FC22\DRR Jaime\QUIFA-CAJÚA\Cajua\[VAS_CAJUA_CF_SEC_20230125.xlsx]CF PNP'!$DN$65</t>
  </si>
  <si>
    <t>='C:\Users\jaime.benazar\Quorum Business Solutions\Ecopetrol Prometeo - Documents\Planning Space Implementation\3. Analysis &amp; Design\Design\FC22\DRR Jaime\QUIFA-CAJÚA\Cajua\[VAS_CAJUA_CF_SEC_20230125.xlsx]CF PNP'!$DN$66</t>
  </si>
  <si>
    <t>='C:\Users\jaime.benazar\Quorum Business Solutions\Ecopetrol Prometeo - Documents\Planning Space Implementation\3. Analysis &amp; Design\Design\FC22\DRR Jaime\QUIFA-CAJÚA\Cajua\[VAS_CAJUA_CF_SEC_20230125.xlsx]CF PNP'!$DN$67</t>
  </si>
  <si>
    <t>='C:\Users\jaime.benazar\Quorum Business Solutions\Ecopetrol Prometeo - Documents\Planning Space Implementation\3. Analysis &amp; Design\Design\FC22\DRR Jaime\QUIFA-CAJÚA\Cajua\[VAS_CAJUA_CF_SEC_20230125.xlsx]CF PNP'!$DN$68</t>
  </si>
  <si>
    <t>='C:\Users\jaime.benazar\Quorum Business Solutions\Ecopetrol Prometeo - Documents\Planning Space Implementation\3. Analysis &amp; Design\Design\FC22\DRR Jaime\QUIFA-CAJÚA\Cajua\[VAS_CAJUA_CF_SEC_20230125.xlsx]CF PNP'!$DN$69</t>
  </si>
  <si>
    <t>='C:\Users\jaime.benazar\Quorum Business Solutions\Ecopetrol Prometeo - Documents\Planning Space Implementation\3. Analysis &amp; Design\Design\FC22\DRR Jaime\QUIFA-CAJÚA\Cajua\[VAS_CAJUA_CF_SEC_20230125.xlsx]CF PNP'!$DN$70</t>
  </si>
  <si>
    <t>='C:\Users\jaime.benazar\Quorum Business Solutions\Ecopetrol Prometeo - Documents\Planning Space Implementation\3. Analysis &amp; Design\Design\FC22\DRR Jaime\QUIFA-CAJÚA\Cajua\[VAS_CAJUA_CF_SEC_20230125.xlsx]CF PNP'!$DN$71</t>
  </si>
  <si>
    <t>='C:\Users\jaime.benazar\Quorum Business Solutions\Ecopetrol Prometeo - Documents\Planning Space Implementation\3. Analysis &amp; Design\Design\FC22\DRR Jaime\QUIFA-CAJÚA\Cajua\[VAS_CAJUA_CF_SEC_20230125.xlsx]CF PNP'!$DN$72</t>
  </si>
  <si>
    <t>='C:\Users\jaime.benazar\Quorum Business Solutions\Ecopetrol Prometeo - Documents\Planning Space Implementation\3. Analysis &amp; Design\Design\FC22\DRR Jaime\QUIFA-CAJÚA\Cajua\[VAS_CAJUA_CF_SEC_20230125.xlsx]CF PND'!$DN$36</t>
  </si>
  <si>
    <t>='C:\Users\jaime.benazar\Quorum Business Solutions\Ecopetrol Prometeo - Documents\Planning Space Implementation\3. Analysis &amp; Design\Design\FC22\DRR Jaime\QUIFA-CAJÚA\Cajua\[VAS_CAJUA_CF_SEC_20230125.xlsx]CF PND'!$DN$37</t>
  </si>
  <si>
    <t>='C:\Users\jaime.benazar\Quorum Business Solutions\Ecopetrol Prometeo - Documents\Planning Space Implementation\3. Analysis &amp; Design\Design\FC22\DRR Jaime\QUIFA-CAJÚA\Cajua\[VAS_CAJUA_CF_SEC_20230125.xlsx]CF PND'!$DN$38</t>
  </si>
  <si>
    <t>='C:\Users\jaime.benazar\Quorum Business Solutions\Ecopetrol Prometeo - Documents\Planning Space Implementation\3. Analysis &amp; Design\Design\FC22\DRR Jaime\QUIFA-CAJÚA\Cajua\[VAS_CAJUA_CF_SEC_20230125.xlsx]CF PND'!$DN$39</t>
  </si>
  <si>
    <t>='C:\Users\jaime.benazar\Quorum Business Solutions\Ecopetrol Prometeo - Documents\Planning Space Implementation\3. Analysis &amp; Design\Design\FC22\DRR Jaime\QUIFA-CAJÚA\Cajua\[VAS_CAJUA_CF_SEC_20230125.xlsx]CF PND'!$DN$40</t>
  </si>
  <si>
    <t>='C:\Users\jaime.benazar\Quorum Business Solutions\Ecopetrol Prometeo - Documents\Planning Space Implementation\3. Analysis &amp; Design\Design\FC22\DRR Jaime\QUIFA-CAJÚA\Cajua\[VAS_CAJUA_CF_SEC_20230125.xlsx]CF PND'!$DN$41</t>
  </si>
  <si>
    <t>='C:\Users\jaime.benazar\Quorum Business Solutions\Ecopetrol Prometeo - Documents\Planning Space Implementation\3. Analysis &amp; Design\Design\FC22\DRR Jaime\QUIFA-CAJÚA\Cajua\[VAS_CAJUA_CF_SEC_20230125.xlsx]CF PND'!$DN$42</t>
  </si>
  <si>
    <t>='C:\Users\jaime.benazar\Quorum Business Solutions\Ecopetrol Prometeo - Documents\Planning Space Implementation\3. Analysis &amp; Design\Design\FC22\DRR Jaime\QUIFA-CAJÚA\Cajua\[VAS_CAJUA_CF_SEC_20230125.xlsx]CF PND'!$DN$43</t>
  </si>
  <si>
    <t>='C:\Users\jaime.benazar\Quorum Business Solutions\Ecopetrol Prometeo - Documents\Planning Space Implementation\3. Analysis &amp; Design\Design\FC22\DRR Jaime\QUIFA-CAJÚA\Cajua\[VAS_CAJUA_CF_SEC_20230125.xlsx]CF PND'!$DN$44</t>
  </si>
  <si>
    <t>='C:\Users\jaime.benazar\Quorum Business Solutions\Ecopetrol Prometeo - Documents\Planning Space Implementation\3. Analysis &amp; Design\Design\FC22\DRR Jaime\QUIFA-CAJÚA\Cajua\[VAS_CAJUA_CF_SEC_20230125.xlsx]CF PND'!$DN$45</t>
  </si>
  <si>
    <t>='C:\Users\jaime.benazar\Quorum Business Solutions\Ecopetrol Prometeo - Documents\Planning Space Implementation\3. Analysis &amp; Design\Design\FC22\DRR Jaime\QUIFA-CAJÚA\Cajua\[VAS_CAJUA_CF_SEC_20230125.xlsx]CF PND'!$DN$46</t>
  </si>
  <si>
    <t>='C:\Users\jaime.benazar\Quorum Business Solutions\Ecopetrol Prometeo - Documents\Planning Space Implementation\3. Analysis &amp; Design\Design\FC22\DRR Jaime\QUIFA-CAJÚA\Cajua\[VAS_CAJUA_CF_SEC_20230125.xlsx]CF PND'!$DN$47</t>
  </si>
  <si>
    <t>='C:\Users\jaime.benazar\Quorum Business Solutions\Ecopetrol Prometeo - Documents\Planning Space Implementation\3. Analysis &amp; Design\Design\FC22\DRR Jaime\QUIFA-CAJÚA\Cajua\[VAS_CAJUA_CF_SEC_20230125.xlsx]CF PND'!$DN$48</t>
  </si>
  <si>
    <t>='C:\Users\jaime.benazar\Quorum Business Solutions\Ecopetrol Prometeo - Documents\Planning Space Implementation\3. Analysis &amp; Design\Design\FC22\DRR Jaime\QUIFA-CAJÚA\Cajua\[VAS_CAJUA_CF_SEC_20230125.xlsx]CF PND'!$DN$49</t>
  </si>
  <si>
    <t>='C:\Users\jaime.benazar\Quorum Business Solutions\Ecopetrol Prometeo - Documents\Planning Space Implementation\3. Analysis &amp; Design\Design\FC22\DRR Jaime\QUIFA-CAJÚA\Cajua\[VAS_CAJUA_CF_SEC_20230125.xlsx]CF PND'!$DN$50</t>
  </si>
  <si>
    <t>='C:\Users\jaime.benazar\Quorum Business Solutions\Ecopetrol Prometeo - Documents\Planning Space Implementation\3. Analysis &amp; Design\Design\FC22\DRR Jaime\QUIFA-CAJÚA\Cajua\[VAS_CAJUA_CF_SEC_20230125.xlsx]CF PND'!$DN$51</t>
  </si>
  <si>
    <t>='C:\Users\jaime.benazar\Quorum Business Solutions\Ecopetrol Prometeo - Documents\Planning Space Implementation\3. Analysis &amp; Design\Design\FC22\DRR Jaime\QUIFA-CAJÚA\Cajua\[VAS_CAJUA_CF_SEC_20230125.xlsx]CF PND'!$DN$52</t>
  </si>
  <si>
    <t>='C:\Users\jaime.benazar\Quorum Business Solutions\Ecopetrol Prometeo - Documents\Planning Space Implementation\3. Analysis &amp; Design\Design\FC22\DRR Jaime\QUIFA-CAJÚA\Cajua\[VAS_CAJUA_CF_SEC_20230125.xlsx]CF PND'!$DN$53</t>
  </si>
  <si>
    <t>='C:\Users\jaime.benazar\Quorum Business Solutions\Ecopetrol Prometeo - Documents\Planning Space Implementation\3. Analysis &amp; Design\Design\FC22\DRR Jaime\QUIFA-CAJÚA\Cajua\[VAS_CAJUA_CF_SEC_20230125.xlsx]CF PND'!$DN$54</t>
  </si>
  <si>
    <t>='C:\Users\jaime.benazar\Quorum Business Solutions\Ecopetrol Prometeo - Documents\Planning Space Implementation\3. Analysis &amp; Design\Design\FC22\DRR Jaime\QUIFA-CAJÚA\Cajua\[VAS_CAJUA_CF_SEC_20230125.xlsx]CF PND'!$DN$55</t>
  </si>
  <si>
    <t>='C:\Users\jaime.benazar\Quorum Business Solutions\Ecopetrol Prometeo - Documents\Planning Space Implementation\3. Analysis &amp; Design\Design\FC22\DRR Jaime\QUIFA-CAJÚA\Cajua\[VAS_CAJUA_CF_SEC_20230125.xlsx]CF PND'!$DN$56</t>
  </si>
  <si>
    <t>='C:\Users\jaime.benazar\Quorum Business Solutions\Ecopetrol Prometeo - Documents\Planning Space Implementation\3. Analysis &amp; Design\Design\FC22\DRR Jaime\QUIFA-CAJÚA\Cajua\[VAS_CAJUA_CF_SEC_20230125.xlsx]CF PND'!$DN$57</t>
  </si>
  <si>
    <t>='C:\Users\jaime.benazar\Quorum Business Solutions\Ecopetrol Prometeo - Documents\Planning Space Implementation\3. Analysis &amp; Design\Design\FC22\DRR Jaime\QUIFA-CAJÚA\Cajua\[VAS_CAJUA_CF_SEC_20230125.xlsx]CF PND'!$DN$58</t>
  </si>
  <si>
    <t>='C:\Users\jaime.benazar\Quorum Business Solutions\Ecopetrol Prometeo - Documents\Planning Space Implementation\3. Analysis &amp; Design\Design\FC22\DRR Jaime\QUIFA-CAJÚA\Cajua\[VAS_CAJUA_CF_SEC_20230125.xlsx]CF PND'!$DN$59</t>
  </si>
  <si>
    <t>='C:\Users\jaime.benazar\Quorum Business Solutions\Ecopetrol Prometeo - Documents\Planning Space Implementation\3. Analysis &amp; Design\Design\FC22\DRR Jaime\QUIFA-CAJÚA\Cajua\[VAS_CAJUA_CF_SEC_20230125.xlsx]CF PND'!$DN$60</t>
  </si>
  <si>
    <t>='C:\Users\jaime.benazar\Quorum Business Solutions\Ecopetrol Prometeo - Documents\Planning Space Implementation\3. Analysis &amp; Design\Design\FC22\DRR Jaime\QUIFA-CAJÚA\Cajua\[VAS_CAJUA_CF_SEC_20230125.xlsx]CF PND'!$DN$61</t>
  </si>
  <si>
    <t>='C:\Users\jaime.benazar\Quorum Business Solutions\Ecopetrol Prometeo - Documents\Planning Space Implementation\3. Analysis &amp; Design\Design\FC22\DRR Jaime\QUIFA-CAJÚA\Cajua\[VAS_CAJUA_CF_SEC_20230125.xlsx]CF PND'!$DN$62</t>
  </si>
  <si>
    <t>='C:\Users\jaime.benazar\Quorum Business Solutions\Ecopetrol Prometeo - Documents\Planning Space Implementation\3. Analysis &amp; Design\Design\FC22\DRR Jaime\QUIFA-CAJÚA\Cajua\[VAS_CAJUA_CF_SEC_20230125.xlsx]CF PND'!$DN$63</t>
  </si>
  <si>
    <t>='C:\Users\jaime.benazar\Quorum Business Solutions\Ecopetrol Prometeo - Documents\Planning Space Implementation\3. Analysis &amp; Design\Design\FC22\DRR Jaime\QUIFA-CAJÚA\Cajua\[VAS_CAJUA_CF_SEC_20230125.xlsx]CF PND'!$DN$64</t>
  </si>
  <si>
    <t>='C:\Users\jaime.benazar\Quorum Business Solutions\Ecopetrol Prometeo - Documents\Planning Space Implementation\3. Analysis &amp; Design\Design\FC22\DRR Jaime\QUIFA-CAJÚA\Cajua\[VAS_CAJUA_CF_SEC_20230125.xlsx]CF PND'!$DN$65</t>
  </si>
  <si>
    <t>='C:\Users\jaime.benazar\Quorum Business Solutions\Ecopetrol Prometeo - Documents\Planning Space Implementation\3. Analysis &amp; Design\Design\FC22\DRR Jaime\QUIFA-CAJÚA\Cajua\[VAS_CAJUA_CF_SEC_20230125.xlsx]CF PND'!$DN$66</t>
  </si>
  <si>
    <t>='C:\Users\jaime.benazar\Quorum Business Solutions\Ecopetrol Prometeo - Documents\Planning Space Implementation\3. Analysis &amp; Design\Design\FC22\DRR Jaime\QUIFA-CAJÚA\Cajua\[VAS_CAJUA_CF_SEC_20230125.xlsx]CF PND'!$DN$67</t>
  </si>
  <si>
    <t>='C:\Users\jaime.benazar\Quorum Business Solutions\Ecopetrol Prometeo - Documents\Planning Space Implementation\3. Analysis &amp; Design\Design\FC22\DRR Jaime\QUIFA-CAJÚA\Cajua\[VAS_CAJUA_CF_SEC_20230125.xlsx]CF PND'!$DN$68</t>
  </si>
  <si>
    <t>='C:\Users\jaime.benazar\Quorum Business Solutions\Ecopetrol Prometeo - Documents\Planning Space Implementation\3. Analysis &amp; Design\Design\FC22\DRR Jaime\QUIFA-CAJÚA\Cajua\[VAS_CAJUA_CF_SEC_20230125.xlsx]CF PND'!$DN$69</t>
  </si>
  <si>
    <t>='C:\Users\jaime.benazar\Quorum Business Solutions\Ecopetrol Prometeo - Documents\Planning Space Implementation\3. Analysis &amp; Design\Design\FC22\DRR Jaime\QUIFA-CAJÚA\Cajua\[VAS_CAJUA_CF_SEC_20230125.xlsx]CF PND'!$DN$70</t>
  </si>
  <si>
    <t>='C:\Users\jaime.benazar\Quorum Business Solutions\Ecopetrol Prometeo - Documents\Planning Space Implementation\3. Analysis &amp; Design\Design\FC22\DRR Jaime\QUIFA-CAJÚA\Cajua\[VAS_CAJUA_CF_SEC_20230125.xlsx]CF PND'!$DN$71</t>
  </si>
  <si>
    <t>='C:\Users\jaime.benazar\Quorum Business Solutions\Ecopetrol Prometeo - Documents\Planning Space Implementation\3. Analysis &amp; Design\Design\FC22\DRR Jaime\QUIFA-CAJÚA\Cajua\[VAS_CAJUA_CF_SEC_20230125.xlsx]CF PND'!$DN$72</t>
  </si>
  <si>
    <t>='C:\Users\jaime.benazar\Quorum Business Solutions\Ecopetrol Prometeo - Documents\Planning Space Implementation\3. Analysis &amp; Design\Design\FC22\DRR Jaime\QUIFA-CAJÚA\Cajua\[VAS_CAJUA_CF_SEC_20230125.xlsx]CF PRB'!$DN$36</t>
  </si>
  <si>
    <t>='C:\Users\jaime.benazar\Quorum Business Solutions\Ecopetrol Prometeo - Documents\Planning Space Implementation\3. Analysis &amp; Design\Design\FC22\DRR Jaime\QUIFA-CAJÚA\Cajua\[VAS_CAJUA_CF_SEC_20230125.xlsx]CF PRB'!$DN$37</t>
  </si>
  <si>
    <t>='C:\Users\jaime.benazar\Quorum Business Solutions\Ecopetrol Prometeo - Documents\Planning Space Implementation\3. Analysis &amp; Design\Design\FC22\DRR Jaime\QUIFA-CAJÚA\Cajua\[VAS_CAJUA_CF_SEC_20230125.xlsx]CF PRB'!$DN$38</t>
  </si>
  <si>
    <t>='C:\Users\jaime.benazar\Quorum Business Solutions\Ecopetrol Prometeo - Documents\Planning Space Implementation\3. Analysis &amp; Design\Design\FC22\DRR Jaime\QUIFA-CAJÚA\Cajua\[VAS_CAJUA_CF_SEC_20230125.xlsx]CF PRB'!$DN$39</t>
  </si>
  <si>
    <t>='C:\Users\jaime.benazar\Quorum Business Solutions\Ecopetrol Prometeo - Documents\Planning Space Implementation\3. Analysis &amp; Design\Design\FC22\DRR Jaime\QUIFA-CAJÚA\Cajua\[VAS_CAJUA_CF_SEC_20230125.xlsx]CF PRB'!$DN$40</t>
  </si>
  <si>
    <t>='C:\Users\jaime.benazar\Quorum Business Solutions\Ecopetrol Prometeo - Documents\Planning Space Implementation\3. Analysis &amp; Design\Design\FC22\DRR Jaime\QUIFA-CAJÚA\Cajua\[VAS_CAJUA_CF_SEC_20230125.xlsx]CF PRB'!$DN$41</t>
  </si>
  <si>
    <t>='C:\Users\jaime.benazar\Quorum Business Solutions\Ecopetrol Prometeo - Documents\Planning Space Implementation\3. Analysis &amp; Design\Design\FC22\DRR Jaime\QUIFA-CAJÚA\Cajua\[VAS_CAJUA_CF_SEC_20230125.xlsx]CF PRB'!$DN$42</t>
  </si>
  <si>
    <t>='C:\Users\jaime.benazar\Quorum Business Solutions\Ecopetrol Prometeo - Documents\Planning Space Implementation\3. Analysis &amp; Design\Design\FC22\DRR Jaime\QUIFA-CAJÚA\Cajua\[VAS_CAJUA_CF_SEC_20230125.xlsx]CF PRB'!$DN$43</t>
  </si>
  <si>
    <t>='C:\Users\jaime.benazar\Quorum Business Solutions\Ecopetrol Prometeo - Documents\Planning Space Implementation\3. Analysis &amp; Design\Design\FC22\DRR Jaime\QUIFA-CAJÚA\Cajua\[VAS_CAJUA_CF_SEC_20230125.xlsx]CF PRB'!$DN$44</t>
  </si>
  <si>
    <t>='C:\Users\jaime.benazar\Quorum Business Solutions\Ecopetrol Prometeo - Documents\Planning Space Implementation\3. Analysis &amp; Design\Design\FC22\DRR Jaime\QUIFA-CAJÚA\Cajua\[VAS_CAJUA_CF_SEC_20230125.xlsx]CF PRB'!$DN$45</t>
  </si>
  <si>
    <t>='C:\Users\jaime.benazar\Quorum Business Solutions\Ecopetrol Prometeo - Documents\Planning Space Implementation\3. Analysis &amp; Design\Design\FC22\DRR Jaime\QUIFA-CAJÚA\Cajua\[VAS_CAJUA_CF_SEC_20230125.xlsx]CF PRB'!$DN$46</t>
  </si>
  <si>
    <t>='C:\Users\jaime.benazar\Quorum Business Solutions\Ecopetrol Prometeo - Documents\Planning Space Implementation\3. Analysis &amp; Design\Design\FC22\DRR Jaime\QUIFA-CAJÚA\Cajua\[VAS_CAJUA_CF_SEC_20230125.xlsx]CF PRB'!$DN$47</t>
  </si>
  <si>
    <t>='C:\Users\jaime.benazar\Quorum Business Solutions\Ecopetrol Prometeo - Documents\Planning Space Implementation\3. Analysis &amp; Design\Design\FC22\DRR Jaime\QUIFA-CAJÚA\Cajua\[VAS_CAJUA_CF_SEC_20230125.xlsx]CF PRB'!$DN$48</t>
  </si>
  <si>
    <t>='C:\Users\jaime.benazar\Quorum Business Solutions\Ecopetrol Prometeo - Documents\Planning Space Implementation\3. Analysis &amp; Design\Design\FC22\DRR Jaime\QUIFA-CAJÚA\Cajua\[VAS_CAJUA_CF_SEC_20230125.xlsx]CF PRB'!$DN$49</t>
  </si>
  <si>
    <t>='C:\Users\jaime.benazar\Quorum Business Solutions\Ecopetrol Prometeo - Documents\Planning Space Implementation\3. Analysis &amp; Design\Design\FC22\DRR Jaime\QUIFA-CAJÚA\Cajua\[VAS_CAJUA_CF_SEC_20230125.xlsx]CF PRB'!$DN$50</t>
  </si>
  <si>
    <t>='C:\Users\jaime.benazar\Quorum Business Solutions\Ecopetrol Prometeo - Documents\Planning Space Implementation\3. Analysis &amp; Design\Design\FC22\DRR Jaime\QUIFA-CAJÚA\Cajua\[VAS_CAJUA_CF_SEC_20230125.xlsx]CF PRB'!$DN$51</t>
  </si>
  <si>
    <t>='C:\Users\jaime.benazar\Quorum Business Solutions\Ecopetrol Prometeo - Documents\Planning Space Implementation\3. Analysis &amp; Design\Design\FC22\DRR Jaime\QUIFA-CAJÚA\Cajua\[VAS_CAJUA_CF_SEC_20230125.xlsx]CF PRB'!$DN$52</t>
  </si>
  <si>
    <t>='C:\Users\jaime.benazar\Quorum Business Solutions\Ecopetrol Prometeo - Documents\Planning Space Implementation\3. Analysis &amp; Design\Design\FC22\DRR Jaime\QUIFA-CAJÚA\Cajua\[VAS_CAJUA_CF_SEC_20230125.xlsx]CF PRB'!$DN$53</t>
  </si>
  <si>
    <t>='C:\Users\jaime.benazar\Quorum Business Solutions\Ecopetrol Prometeo - Documents\Planning Space Implementation\3. Analysis &amp; Design\Design\FC22\DRR Jaime\QUIFA-CAJÚA\Cajua\[VAS_CAJUA_CF_SEC_20230125.xlsx]CF PRB'!$DN$54</t>
  </si>
  <si>
    <t>='C:\Users\jaime.benazar\Quorum Business Solutions\Ecopetrol Prometeo - Documents\Planning Space Implementation\3. Analysis &amp; Design\Design\FC22\DRR Jaime\QUIFA-CAJÚA\Cajua\[VAS_CAJUA_CF_SEC_20230125.xlsx]CF PRB'!$DN$55</t>
  </si>
  <si>
    <t>='C:\Users\jaime.benazar\Quorum Business Solutions\Ecopetrol Prometeo - Documents\Planning Space Implementation\3. Analysis &amp; Design\Design\FC22\DRR Jaime\QUIFA-CAJÚA\Cajua\[VAS_CAJUA_CF_SEC_20230125.xlsx]CF PRB'!$DN$56</t>
  </si>
  <si>
    <t>='C:\Users\jaime.benazar\Quorum Business Solutions\Ecopetrol Prometeo - Documents\Planning Space Implementation\3. Analysis &amp; Design\Design\FC22\DRR Jaime\QUIFA-CAJÚA\Cajua\[VAS_CAJUA_CF_SEC_20230125.xlsx]CF PRB'!$DN$57</t>
  </si>
  <si>
    <t>='C:\Users\jaime.benazar\Quorum Business Solutions\Ecopetrol Prometeo - Documents\Planning Space Implementation\3. Analysis &amp; Design\Design\FC22\DRR Jaime\QUIFA-CAJÚA\Cajua\[VAS_CAJUA_CF_SEC_20230125.xlsx]CF PRB'!$DN$58</t>
  </si>
  <si>
    <t>='C:\Users\jaime.benazar\Quorum Business Solutions\Ecopetrol Prometeo - Documents\Planning Space Implementation\3. Analysis &amp; Design\Design\FC22\DRR Jaime\QUIFA-CAJÚA\Cajua\[VAS_CAJUA_CF_SEC_20230125.xlsx]CF PRB'!$DN$59</t>
  </si>
  <si>
    <t>='C:\Users\jaime.benazar\Quorum Business Solutions\Ecopetrol Prometeo - Documents\Planning Space Implementation\3. Analysis &amp; Design\Design\FC22\DRR Jaime\QUIFA-CAJÚA\Cajua\[VAS_CAJUA_CF_SEC_20230125.xlsx]CF PRB'!$DN$60</t>
  </si>
  <si>
    <t>='C:\Users\jaime.benazar\Quorum Business Solutions\Ecopetrol Prometeo - Documents\Planning Space Implementation\3. Analysis &amp; Design\Design\FC22\DRR Jaime\QUIFA-CAJÚA\Cajua\[VAS_CAJUA_CF_SEC_20230125.xlsx]CF PRB'!$DN$61</t>
  </si>
  <si>
    <t>='C:\Users\jaime.benazar\Quorum Business Solutions\Ecopetrol Prometeo - Documents\Planning Space Implementation\3. Analysis &amp; Design\Design\FC22\DRR Jaime\QUIFA-CAJÚA\Cajua\[VAS_CAJUA_CF_SEC_20230125.xlsx]CF PRB'!$DN$62</t>
  </si>
  <si>
    <t>='C:\Users\jaime.benazar\Quorum Business Solutions\Ecopetrol Prometeo - Documents\Planning Space Implementation\3. Analysis &amp; Design\Design\FC22\DRR Jaime\QUIFA-CAJÚA\Cajua\[VAS_CAJUA_CF_SEC_20230125.xlsx]CF PRB'!$DN$63</t>
  </si>
  <si>
    <t>='C:\Users\jaime.benazar\Quorum Business Solutions\Ecopetrol Prometeo - Documents\Planning Space Implementation\3. Analysis &amp; Design\Design\FC22\DRR Jaime\QUIFA-CAJÚA\Cajua\[VAS_CAJUA_CF_SEC_20230125.xlsx]CF PRB'!$DN$64</t>
  </si>
  <si>
    <t>='C:\Users\jaime.benazar\Quorum Business Solutions\Ecopetrol Prometeo - Documents\Planning Space Implementation\3. Analysis &amp; Design\Design\FC22\DRR Jaime\QUIFA-CAJÚA\Cajua\[VAS_CAJUA_CF_SEC_20230125.xlsx]CF PRB'!$DN$65</t>
  </si>
  <si>
    <t>='C:\Users\jaime.benazar\Quorum Business Solutions\Ecopetrol Prometeo - Documents\Planning Space Implementation\3. Analysis &amp; Design\Design\FC22\DRR Jaime\QUIFA-CAJÚA\Cajua\[VAS_CAJUA_CF_SEC_20230125.xlsx]CF PRB'!$DN$66</t>
  </si>
  <si>
    <t>='C:\Users\jaime.benazar\Quorum Business Solutions\Ecopetrol Prometeo - Documents\Planning Space Implementation\3. Analysis &amp; Design\Design\FC22\DRR Jaime\QUIFA-CAJÚA\Cajua\[VAS_CAJUA_CF_SEC_20230125.xlsx]CF PRB'!$DN$67</t>
  </si>
  <si>
    <t>='C:\Users\jaime.benazar\Quorum Business Solutions\Ecopetrol Prometeo - Documents\Planning Space Implementation\3. Analysis &amp; Design\Design\FC22\DRR Jaime\QUIFA-CAJÚA\Cajua\[VAS_CAJUA_CF_SEC_20230125.xlsx]CF PRB'!$DN$68</t>
  </si>
  <si>
    <t>='C:\Users\jaime.benazar\Quorum Business Solutions\Ecopetrol Prometeo - Documents\Planning Space Implementation\3. Analysis &amp; Design\Design\FC22\DRR Jaime\QUIFA-CAJÚA\Cajua\[VAS_CAJUA_CF_SEC_20230125.xlsx]CF PRB'!$DN$69</t>
  </si>
  <si>
    <t>='C:\Users\jaime.benazar\Quorum Business Solutions\Ecopetrol Prometeo - Documents\Planning Space Implementation\3. Analysis &amp; Design\Design\FC22\DRR Jaime\QUIFA-CAJÚA\Cajua\[VAS_CAJUA_CF_SEC_20230125.xlsx]CF PRB'!$DN$70</t>
  </si>
  <si>
    <t>='C:\Users\jaime.benazar\Quorum Business Solutions\Ecopetrol Prometeo - Documents\Planning Space Implementation\3. Analysis &amp; Design\Design\FC22\DRR Jaime\QUIFA-CAJÚA\Cajua\[VAS_CAJUA_CF_SEC_20230125.xlsx]CF PRB'!$DN$71</t>
  </si>
  <si>
    <t>='C:\Users\jaime.benazar\Quorum Business Solutions\Ecopetrol Prometeo - Documents\Planning Space Implementation\3. Analysis &amp; Design\Design\FC22\DRR Jaime\QUIFA-CAJÚA\Cajua\[VAS_CAJUA_CF_SEC_20230125.xlsx]CF PRB'!$DN$72</t>
  </si>
  <si>
    <t>='C:\Users\jaime.benazar\Quorum Business Solutions\Ecopetrol Prometeo - Documents\Planning Space Implementation\3. Analysis &amp; Design\Design\FC22\DRR Jaime\QUIFA-CAJÚA\Cajua\[VAS_CAJUA_CF_SEC_20230125.xlsx]CF PS'!$DN$36</t>
  </si>
  <si>
    <t>='C:\Users\jaime.benazar\Quorum Business Solutions\Ecopetrol Prometeo - Documents\Planning Space Implementation\3. Analysis &amp; Design\Design\FC22\DRR Jaime\QUIFA-CAJÚA\Cajua\[VAS_CAJUA_CF_SEC_20230125.xlsx]CF PS'!$DN$37</t>
  </si>
  <si>
    <t>='C:\Users\jaime.benazar\Quorum Business Solutions\Ecopetrol Prometeo - Documents\Planning Space Implementation\3. Analysis &amp; Design\Design\FC22\DRR Jaime\QUIFA-CAJÚA\Cajua\[VAS_CAJUA_CF_SEC_20230125.xlsx]CF PS'!$DN$38</t>
  </si>
  <si>
    <t>='C:\Users\jaime.benazar\Quorum Business Solutions\Ecopetrol Prometeo - Documents\Planning Space Implementation\3. Analysis &amp; Design\Design\FC22\DRR Jaime\QUIFA-CAJÚA\Cajua\[VAS_CAJUA_CF_SEC_20230125.xlsx]CF PS'!$DN$39</t>
  </si>
  <si>
    <t>='C:\Users\jaime.benazar\Quorum Business Solutions\Ecopetrol Prometeo - Documents\Planning Space Implementation\3. Analysis &amp; Design\Design\FC22\DRR Jaime\QUIFA-CAJÚA\Cajua\[VAS_CAJUA_CF_SEC_20230125.xlsx]CF PS'!$DN$40</t>
  </si>
  <si>
    <t>='C:\Users\jaime.benazar\Quorum Business Solutions\Ecopetrol Prometeo - Documents\Planning Space Implementation\3. Analysis &amp; Design\Design\FC22\DRR Jaime\QUIFA-CAJÚA\Cajua\[VAS_CAJUA_CF_SEC_20230125.xlsx]CF PS'!$DN$41</t>
  </si>
  <si>
    <t>='C:\Users\jaime.benazar\Quorum Business Solutions\Ecopetrol Prometeo - Documents\Planning Space Implementation\3. Analysis &amp; Design\Design\FC22\DRR Jaime\QUIFA-CAJÚA\Cajua\[VAS_CAJUA_CF_SEC_20230125.xlsx]CF PS'!$DN$42</t>
  </si>
  <si>
    <t>='C:\Users\jaime.benazar\Quorum Business Solutions\Ecopetrol Prometeo - Documents\Planning Space Implementation\3. Analysis &amp; Design\Design\FC22\DRR Jaime\QUIFA-CAJÚA\Cajua\[VAS_CAJUA_CF_SEC_20230125.xlsx]CF PS'!$DN$43</t>
  </si>
  <si>
    <t>='C:\Users\jaime.benazar\Quorum Business Solutions\Ecopetrol Prometeo - Documents\Planning Space Implementation\3. Analysis &amp; Design\Design\FC22\DRR Jaime\QUIFA-CAJÚA\Cajua\[VAS_CAJUA_CF_SEC_20230125.xlsx]CF PS'!$DN$44</t>
  </si>
  <si>
    <t>='C:\Users\jaime.benazar\Quorum Business Solutions\Ecopetrol Prometeo - Documents\Planning Space Implementation\3. Analysis &amp; Design\Design\FC22\DRR Jaime\QUIFA-CAJÚA\Cajua\[VAS_CAJUA_CF_SEC_20230125.xlsx]CF PS'!$DN$45</t>
  </si>
  <si>
    <t>='C:\Users\jaime.benazar\Quorum Business Solutions\Ecopetrol Prometeo - Documents\Planning Space Implementation\3. Analysis &amp; Design\Design\FC22\DRR Jaime\QUIFA-CAJÚA\Cajua\[VAS_CAJUA_CF_SEC_20230125.xlsx]CF PS'!$DN$46</t>
  </si>
  <si>
    <t>='C:\Users\jaime.benazar\Quorum Business Solutions\Ecopetrol Prometeo - Documents\Planning Space Implementation\3. Analysis &amp; Design\Design\FC22\DRR Jaime\QUIFA-CAJÚA\Cajua\[VAS_CAJUA_CF_SEC_20230125.xlsx]CF PS'!$DN$47</t>
  </si>
  <si>
    <t>='C:\Users\jaime.benazar\Quorum Business Solutions\Ecopetrol Prometeo - Documents\Planning Space Implementation\3. Analysis &amp; Design\Design\FC22\DRR Jaime\QUIFA-CAJÚA\Cajua\[VAS_CAJUA_CF_SEC_20230125.xlsx]CF PS'!$DN$48</t>
  </si>
  <si>
    <t>='C:\Users\jaime.benazar\Quorum Business Solutions\Ecopetrol Prometeo - Documents\Planning Space Implementation\3. Analysis &amp; Design\Design\FC22\DRR Jaime\QUIFA-CAJÚA\Cajua\[VAS_CAJUA_CF_SEC_20230125.xlsx]CF PS'!$DN$49</t>
  </si>
  <si>
    <t>='C:\Users\jaime.benazar\Quorum Business Solutions\Ecopetrol Prometeo - Documents\Planning Space Implementation\3. Analysis &amp; Design\Design\FC22\DRR Jaime\QUIFA-CAJÚA\Cajua\[VAS_CAJUA_CF_SEC_20230125.xlsx]CF PS'!$DN$50</t>
  </si>
  <si>
    <t>='C:\Users\jaime.benazar\Quorum Business Solutions\Ecopetrol Prometeo - Documents\Planning Space Implementation\3. Analysis &amp; Design\Design\FC22\DRR Jaime\QUIFA-CAJÚA\Cajua\[VAS_CAJUA_CF_SEC_20230125.xlsx]CF PS'!$DN$51</t>
  </si>
  <si>
    <t>='C:\Users\jaime.benazar\Quorum Business Solutions\Ecopetrol Prometeo - Documents\Planning Space Implementation\3. Analysis &amp; Design\Design\FC22\DRR Jaime\QUIFA-CAJÚA\Cajua\[VAS_CAJUA_CF_SEC_20230125.xlsx]CF PS'!$DN$52</t>
  </si>
  <si>
    <t>='C:\Users\jaime.benazar\Quorum Business Solutions\Ecopetrol Prometeo - Documents\Planning Space Implementation\3. Analysis &amp; Design\Design\FC22\DRR Jaime\QUIFA-CAJÚA\Cajua\[VAS_CAJUA_CF_SEC_20230125.xlsx]CF PS'!$DN$53</t>
  </si>
  <si>
    <t>='C:\Users\jaime.benazar\Quorum Business Solutions\Ecopetrol Prometeo - Documents\Planning Space Implementation\3. Analysis &amp; Design\Design\FC22\DRR Jaime\QUIFA-CAJÚA\Cajua\[VAS_CAJUA_CF_SEC_20230125.xlsx]CF PS'!$DN$54</t>
  </si>
  <si>
    <t>='C:\Users\jaime.benazar\Quorum Business Solutions\Ecopetrol Prometeo - Documents\Planning Space Implementation\3. Analysis &amp; Design\Design\FC22\DRR Jaime\QUIFA-CAJÚA\Cajua\[VAS_CAJUA_CF_SEC_20230125.xlsx]CF PS'!$DN$55</t>
  </si>
  <si>
    <t>='C:\Users\jaime.benazar\Quorum Business Solutions\Ecopetrol Prometeo - Documents\Planning Space Implementation\3. Analysis &amp; Design\Design\FC22\DRR Jaime\QUIFA-CAJÚA\Cajua\[VAS_CAJUA_CF_SEC_20230125.xlsx]CF PS'!$DN$56</t>
  </si>
  <si>
    <t>='C:\Users\jaime.benazar\Quorum Business Solutions\Ecopetrol Prometeo - Documents\Planning Space Implementation\3. Analysis &amp; Design\Design\FC22\DRR Jaime\QUIFA-CAJÚA\Cajua\[VAS_CAJUA_CF_SEC_20230125.xlsx]CF PS'!$DN$57</t>
  </si>
  <si>
    <t>='C:\Users\jaime.benazar\Quorum Business Solutions\Ecopetrol Prometeo - Documents\Planning Space Implementation\3. Analysis &amp; Design\Design\FC22\DRR Jaime\QUIFA-CAJÚA\Cajua\[VAS_CAJUA_CF_SEC_20230125.xlsx]CF PS'!$DN$58</t>
  </si>
  <si>
    <t>='C:\Users\jaime.benazar\Quorum Business Solutions\Ecopetrol Prometeo - Documents\Planning Space Implementation\3. Analysis &amp; Design\Design\FC22\DRR Jaime\QUIFA-CAJÚA\Cajua\[VAS_CAJUA_CF_SEC_20230125.xlsx]CF PS'!$DN$59</t>
  </si>
  <si>
    <t>='C:\Users\jaime.benazar\Quorum Business Solutions\Ecopetrol Prometeo - Documents\Planning Space Implementation\3. Analysis &amp; Design\Design\FC22\DRR Jaime\QUIFA-CAJÚA\Cajua\[VAS_CAJUA_CF_SEC_20230125.xlsx]CF PS'!$DN$60</t>
  </si>
  <si>
    <t>='C:\Users\jaime.benazar\Quorum Business Solutions\Ecopetrol Prometeo - Documents\Planning Space Implementation\3. Analysis &amp; Design\Design\FC22\DRR Jaime\QUIFA-CAJÚA\Cajua\[VAS_CAJUA_CF_SEC_20230125.xlsx]CF PS'!$DN$61</t>
  </si>
  <si>
    <t>='C:\Users\jaime.benazar\Quorum Business Solutions\Ecopetrol Prometeo - Documents\Planning Space Implementation\3. Analysis &amp; Design\Design\FC22\DRR Jaime\QUIFA-CAJÚA\Cajua\[VAS_CAJUA_CF_SEC_20230125.xlsx]CF PS'!$DN$62</t>
  </si>
  <si>
    <t>='C:\Users\jaime.benazar\Quorum Business Solutions\Ecopetrol Prometeo - Documents\Planning Space Implementation\3. Analysis &amp; Design\Design\FC22\DRR Jaime\QUIFA-CAJÚA\Cajua\[VAS_CAJUA_CF_SEC_20230125.xlsx]CF PS'!$DN$63</t>
  </si>
  <si>
    <t>='C:\Users\jaime.benazar\Quorum Business Solutions\Ecopetrol Prometeo - Documents\Planning Space Implementation\3. Analysis &amp; Design\Design\FC22\DRR Jaime\QUIFA-CAJÚA\Cajua\[VAS_CAJUA_CF_SEC_20230125.xlsx]CF PS'!$DN$64</t>
  </si>
  <si>
    <t>='C:\Users\jaime.benazar\Quorum Business Solutions\Ecopetrol Prometeo - Documents\Planning Space Implementation\3. Analysis &amp; Design\Design\FC22\DRR Jaime\QUIFA-CAJÚA\Cajua\[VAS_CAJUA_CF_SEC_20230125.xlsx]CF PS'!$DN$65</t>
  </si>
  <si>
    <t>='C:\Users\jaime.benazar\Quorum Business Solutions\Ecopetrol Prometeo - Documents\Planning Space Implementation\3. Analysis &amp; Design\Design\FC22\DRR Jaime\QUIFA-CAJÚA\Cajua\[VAS_CAJUA_CF_SEC_20230125.xlsx]CF PS'!$DN$66</t>
  </si>
  <si>
    <t>='C:\Users\jaime.benazar\Quorum Business Solutions\Ecopetrol Prometeo - Documents\Planning Space Implementation\3. Analysis &amp; Design\Design\FC22\DRR Jaime\QUIFA-CAJÚA\Cajua\[VAS_CAJUA_CF_SEC_20230125.xlsx]CF PS'!$DN$67</t>
  </si>
  <si>
    <t>='C:\Users\jaime.benazar\Quorum Business Solutions\Ecopetrol Prometeo - Documents\Planning Space Implementation\3. Analysis &amp; Design\Design\FC22\DRR Jaime\QUIFA-CAJÚA\Cajua\[VAS_CAJUA_CF_SEC_20230125.xlsx]CF PS'!$DN$68</t>
  </si>
  <si>
    <t>='C:\Users\jaime.benazar\Quorum Business Solutions\Ecopetrol Prometeo - Documents\Planning Space Implementation\3. Analysis &amp; Design\Design\FC22\DRR Jaime\QUIFA-CAJÚA\Cajua\[VAS_CAJUA_CF_SEC_20230125.xlsx]CF PS'!$DN$69</t>
  </si>
  <si>
    <t>='C:\Users\jaime.benazar\Quorum Business Solutions\Ecopetrol Prometeo - Documents\Planning Space Implementation\3. Analysis &amp; Design\Design\FC22\DRR Jaime\QUIFA-CAJÚA\Cajua\[VAS_CAJUA_CF_SEC_20230125.xlsx]CF PS'!$DN$70</t>
  </si>
  <si>
    <t>='C:\Users\jaime.benazar\Quorum Business Solutions\Ecopetrol Prometeo - Documents\Planning Space Implementation\3. Analysis &amp; Design\Design\FC22\DRR Jaime\QUIFA-CAJÚA\Cajua\[VAS_CAJUA_CF_SEC_20230125.xlsx]CF PS'!$DN$71</t>
  </si>
  <si>
    <t>='C:\Users\jaime.benazar\Quorum Business Solutions\Ecopetrol Prometeo - Documents\Planning Space Implementation\3. Analysis &amp; Design\Design\FC22\DRR Jaime\QUIFA-CAJÚA\Cajua\[VAS_CAJUA_CF_SEC_20230125.xlsx]CF PS'!$DN$72</t>
  </si>
  <si>
    <t>='C:\Users\jaime.benazar\Quorum Business Solutions\Ecopetrol Prometeo - Documents\Planning Space Implementation\3. Analysis &amp; Design\Design\FC22\DRR Jaime\QUIFA-CAJÚA\Cajua\[VAS_CAJUA_CF_SEC_20230125.xlsx]CF PDP'!$DI$36</t>
  </si>
  <si>
    <t>='C:\Users\jaime.benazar\Quorum Business Solutions\Ecopetrol Prometeo - Documents\Planning Space Implementation\3. Analysis &amp; Design\Design\FC22\DRR Jaime\QUIFA-CAJÚA\Cajua\[VAS_CAJUA_CF_SEC_20230125.xlsx]CF PDP'!$DI$37</t>
  </si>
  <si>
    <t>='C:\Users\jaime.benazar\Quorum Business Solutions\Ecopetrol Prometeo - Documents\Planning Space Implementation\3. Analysis &amp; Design\Design\FC22\DRR Jaime\QUIFA-CAJÚA\Cajua\[VAS_CAJUA_CF_SEC_20230125.xlsx]CF PDP'!$DI$38</t>
  </si>
  <si>
    <t>='C:\Users\jaime.benazar\Quorum Business Solutions\Ecopetrol Prometeo - Documents\Planning Space Implementation\3. Analysis &amp; Design\Design\FC22\DRR Jaime\QUIFA-CAJÚA\Cajua\[VAS_CAJUA_CF_SEC_20230125.xlsx]CF PDP'!$DI$39</t>
  </si>
  <si>
    <t>='C:\Users\jaime.benazar\Quorum Business Solutions\Ecopetrol Prometeo - Documents\Planning Space Implementation\3. Analysis &amp; Design\Design\FC22\DRR Jaime\QUIFA-CAJÚA\Cajua\[VAS_CAJUA_CF_SEC_20230125.xlsx]CF PDP'!$DI$40</t>
  </si>
  <si>
    <t>='C:\Users\jaime.benazar\Quorum Business Solutions\Ecopetrol Prometeo - Documents\Planning Space Implementation\3. Analysis &amp; Design\Design\FC22\DRR Jaime\QUIFA-CAJÚA\Cajua\[VAS_CAJUA_CF_SEC_20230125.xlsx]CF PDP'!$DI$41</t>
  </si>
  <si>
    <t>='C:\Users\jaime.benazar\Quorum Business Solutions\Ecopetrol Prometeo - Documents\Planning Space Implementation\3. Analysis &amp; Design\Design\FC22\DRR Jaime\QUIFA-CAJÚA\Cajua\[VAS_CAJUA_CF_SEC_20230125.xlsx]CF PDP'!$DI$42</t>
  </si>
  <si>
    <t>='C:\Users\jaime.benazar\Quorum Business Solutions\Ecopetrol Prometeo - Documents\Planning Space Implementation\3. Analysis &amp; Design\Design\FC22\DRR Jaime\QUIFA-CAJÚA\Cajua\[VAS_CAJUA_CF_SEC_20230125.xlsx]CF PDP'!$DI$43</t>
  </si>
  <si>
    <t>='C:\Users\jaime.benazar\Quorum Business Solutions\Ecopetrol Prometeo - Documents\Planning Space Implementation\3. Analysis &amp; Design\Design\FC22\DRR Jaime\QUIFA-CAJÚA\Cajua\[VAS_CAJUA_CF_SEC_20230125.xlsx]CF PDP'!$DI$44</t>
  </si>
  <si>
    <t>='C:\Users\jaime.benazar\Quorum Business Solutions\Ecopetrol Prometeo - Documents\Planning Space Implementation\3. Analysis &amp; Design\Design\FC22\DRR Jaime\QUIFA-CAJÚA\Cajua\[VAS_CAJUA_CF_SEC_20230125.xlsx]CF PDP'!$DI$45</t>
  </si>
  <si>
    <t>='C:\Users\jaime.benazar\Quorum Business Solutions\Ecopetrol Prometeo - Documents\Planning Space Implementation\3. Analysis &amp; Design\Design\FC22\DRR Jaime\QUIFA-CAJÚA\Cajua\[VAS_CAJUA_CF_SEC_20230125.xlsx]CF PDP'!$DI$46</t>
  </si>
  <si>
    <t>='C:\Users\jaime.benazar\Quorum Business Solutions\Ecopetrol Prometeo - Documents\Planning Space Implementation\3. Analysis &amp; Design\Design\FC22\DRR Jaime\QUIFA-CAJÚA\Cajua\[VAS_CAJUA_CF_SEC_20230125.xlsx]CF PDP'!$DI$47</t>
  </si>
  <si>
    <t>='C:\Users\jaime.benazar\Quorum Business Solutions\Ecopetrol Prometeo - Documents\Planning Space Implementation\3. Analysis &amp; Design\Design\FC22\DRR Jaime\QUIFA-CAJÚA\Cajua\[VAS_CAJUA_CF_SEC_20230125.xlsx]CF PDP'!$DI$48</t>
  </si>
  <si>
    <t>='C:\Users\jaime.benazar\Quorum Business Solutions\Ecopetrol Prometeo - Documents\Planning Space Implementation\3. Analysis &amp; Design\Design\FC22\DRR Jaime\QUIFA-CAJÚA\Cajua\[VAS_CAJUA_CF_SEC_20230125.xlsx]CF PDP'!$DI$49</t>
  </si>
  <si>
    <t>='C:\Users\jaime.benazar\Quorum Business Solutions\Ecopetrol Prometeo - Documents\Planning Space Implementation\3. Analysis &amp; Design\Design\FC22\DRR Jaime\QUIFA-CAJÚA\Cajua\[VAS_CAJUA_CF_SEC_20230125.xlsx]CF PDP'!$DI$50</t>
  </si>
  <si>
    <t>='C:\Users\jaime.benazar\Quorum Business Solutions\Ecopetrol Prometeo - Documents\Planning Space Implementation\3. Analysis &amp; Design\Design\FC22\DRR Jaime\QUIFA-CAJÚA\Cajua\[VAS_CAJUA_CF_SEC_20230125.xlsx]CF PDP'!$DI$51</t>
  </si>
  <si>
    <t>='C:\Users\jaime.benazar\Quorum Business Solutions\Ecopetrol Prometeo - Documents\Planning Space Implementation\3. Analysis &amp; Design\Design\FC22\DRR Jaime\QUIFA-CAJÚA\Cajua\[VAS_CAJUA_CF_SEC_20230125.xlsx]CF PDP'!$DI$52</t>
  </si>
  <si>
    <t>='C:\Users\jaime.benazar\Quorum Business Solutions\Ecopetrol Prometeo - Documents\Planning Space Implementation\3. Analysis &amp; Design\Design\FC22\DRR Jaime\QUIFA-CAJÚA\Cajua\[VAS_CAJUA_CF_SEC_20230125.xlsx]CF PDP'!$DI$53</t>
  </si>
  <si>
    <t>='C:\Users\jaime.benazar\Quorum Business Solutions\Ecopetrol Prometeo - Documents\Planning Space Implementation\3. Analysis &amp; Design\Design\FC22\DRR Jaime\QUIFA-CAJÚA\Cajua\[VAS_CAJUA_CF_SEC_20230125.xlsx]CF PDP'!$DI$54</t>
  </si>
  <si>
    <t>='C:\Users\jaime.benazar\Quorum Business Solutions\Ecopetrol Prometeo - Documents\Planning Space Implementation\3. Analysis &amp; Design\Design\FC22\DRR Jaime\QUIFA-CAJÚA\Cajua\[VAS_CAJUA_CF_SEC_20230125.xlsx]CF PDP'!$DI$55</t>
  </si>
  <si>
    <t>='C:\Users\jaime.benazar\Quorum Business Solutions\Ecopetrol Prometeo - Documents\Planning Space Implementation\3. Analysis &amp; Design\Design\FC22\DRR Jaime\QUIFA-CAJÚA\Cajua\[VAS_CAJUA_CF_SEC_20230125.xlsx]CF PDP'!$DI$56</t>
  </si>
  <si>
    <t>='C:\Users\jaime.benazar\Quorum Business Solutions\Ecopetrol Prometeo - Documents\Planning Space Implementation\3. Analysis &amp; Design\Design\FC22\DRR Jaime\QUIFA-CAJÚA\Cajua\[VAS_CAJUA_CF_SEC_20230125.xlsx]CF PDP'!$DI$57</t>
  </si>
  <si>
    <t>='C:\Users\jaime.benazar\Quorum Business Solutions\Ecopetrol Prometeo - Documents\Planning Space Implementation\3. Analysis &amp; Design\Design\FC22\DRR Jaime\QUIFA-CAJÚA\Cajua\[VAS_CAJUA_CF_SEC_20230125.xlsx]CF PDP'!$DI$58</t>
  </si>
  <si>
    <t>='C:\Users\jaime.benazar\Quorum Business Solutions\Ecopetrol Prometeo - Documents\Planning Space Implementation\3. Analysis &amp; Design\Design\FC22\DRR Jaime\QUIFA-CAJÚA\Cajua\[VAS_CAJUA_CF_SEC_20230125.xlsx]CF PDP'!$DI$59</t>
  </si>
  <si>
    <t>='C:\Users\jaime.benazar\Quorum Business Solutions\Ecopetrol Prometeo - Documents\Planning Space Implementation\3. Analysis &amp; Design\Design\FC22\DRR Jaime\QUIFA-CAJÚA\Cajua\[VAS_CAJUA_CF_SEC_20230125.xlsx]CF PDP'!$DI$60</t>
  </si>
  <si>
    <t>='C:\Users\jaime.benazar\Quorum Business Solutions\Ecopetrol Prometeo - Documents\Planning Space Implementation\3. Analysis &amp; Design\Design\FC22\DRR Jaime\QUIFA-CAJÚA\Cajua\[VAS_CAJUA_CF_SEC_20230125.xlsx]CF PDP'!$DI$61</t>
  </si>
  <si>
    <t>='C:\Users\jaime.benazar\Quorum Business Solutions\Ecopetrol Prometeo - Documents\Planning Space Implementation\3. Analysis &amp; Design\Design\FC22\DRR Jaime\QUIFA-CAJÚA\Cajua\[VAS_CAJUA_CF_SEC_20230125.xlsx]CF PDP'!$DI$62</t>
  </si>
  <si>
    <t>='C:\Users\jaime.benazar\Quorum Business Solutions\Ecopetrol Prometeo - Documents\Planning Space Implementation\3. Analysis &amp; Design\Design\FC22\DRR Jaime\QUIFA-CAJÚA\Cajua\[VAS_CAJUA_CF_SEC_20230125.xlsx]CF PDP'!$DI$63</t>
  </si>
  <si>
    <t>='C:\Users\jaime.benazar\Quorum Business Solutions\Ecopetrol Prometeo - Documents\Planning Space Implementation\3. Analysis &amp; Design\Design\FC22\DRR Jaime\QUIFA-CAJÚA\Cajua\[VAS_CAJUA_CF_SEC_20230125.xlsx]CF PDP'!$DI$64</t>
  </si>
  <si>
    <t>='C:\Users\jaime.benazar\Quorum Business Solutions\Ecopetrol Prometeo - Documents\Planning Space Implementation\3. Analysis &amp; Design\Design\FC22\DRR Jaime\QUIFA-CAJÚA\Cajua\[VAS_CAJUA_CF_SEC_20230125.xlsx]CF PDP'!$DI$65</t>
  </si>
  <si>
    <t>='C:\Users\jaime.benazar\Quorum Business Solutions\Ecopetrol Prometeo - Documents\Planning Space Implementation\3. Analysis &amp; Design\Design\FC22\DRR Jaime\QUIFA-CAJÚA\Cajua\[VAS_CAJUA_CF_SEC_20230125.xlsx]CF PDP'!$DI$66</t>
  </si>
  <si>
    <t>='C:\Users\jaime.benazar\Quorum Business Solutions\Ecopetrol Prometeo - Documents\Planning Space Implementation\3. Analysis &amp; Design\Design\FC22\DRR Jaime\QUIFA-CAJÚA\Cajua\[VAS_CAJUA_CF_SEC_20230125.xlsx]CF PDP'!$DI$67</t>
  </si>
  <si>
    <t>='C:\Users\jaime.benazar\Quorum Business Solutions\Ecopetrol Prometeo - Documents\Planning Space Implementation\3. Analysis &amp; Design\Design\FC22\DRR Jaime\QUIFA-CAJÚA\Cajua\[VAS_CAJUA_CF_SEC_20230125.xlsx]CF PDP'!$DI$68</t>
  </si>
  <si>
    <t>='C:\Users\jaime.benazar\Quorum Business Solutions\Ecopetrol Prometeo - Documents\Planning Space Implementation\3. Analysis &amp; Design\Design\FC22\DRR Jaime\QUIFA-CAJÚA\Cajua\[VAS_CAJUA_CF_SEC_20230125.xlsx]CF PDP'!$DI$69</t>
  </si>
  <si>
    <t>='C:\Users\jaime.benazar\Quorum Business Solutions\Ecopetrol Prometeo - Documents\Planning Space Implementation\3. Analysis &amp; Design\Design\FC22\DRR Jaime\QUIFA-CAJÚA\Cajua\[VAS_CAJUA_CF_SEC_20230125.xlsx]CF PDP'!$DI$70</t>
  </si>
  <si>
    <t>='C:\Users\jaime.benazar\Quorum Business Solutions\Ecopetrol Prometeo - Documents\Planning Space Implementation\3. Analysis &amp; Design\Design\FC22\DRR Jaime\QUIFA-CAJÚA\Cajua\[VAS_CAJUA_CF_SEC_20230125.xlsx]CF PDP'!$DI$71</t>
  </si>
  <si>
    <t>='C:\Users\jaime.benazar\Quorum Business Solutions\Ecopetrol Prometeo - Documents\Planning Space Implementation\3. Analysis &amp; Design\Design\FC22\DRR Jaime\QUIFA-CAJÚA\Cajua\[VAS_CAJUA_CF_SEC_20230125.xlsx]CF PDP'!$DI$72</t>
  </si>
  <si>
    <t>='C:\Users\jaime.benazar\Quorum Business Solutions\Ecopetrol Prometeo - Documents\Planning Space Implementation\3. Analysis &amp; Design\Design\FC22\DRR Jaime\QUIFA-CAJÚA\Cajua\[VAS_CAJUA_CF_SEC_20230125.xlsx]CF PNP'!$DI$36</t>
  </si>
  <si>
    <t>='C:\Users\jaime.benazar\Quorum Business Solutions\Ecopetrol Prometeo - Documents\Planning Space Implementation\3. Analysis &amp; Design\Design\FC22\DRR Jaime\QUIFA-CAJÚA\Cajua\[VAS_CAJUA_CF_SEC_20230125.xlsx]CF PNP'!$DI$37</t>
  </si>
  <si>
    <t>='C:\Users\jaime.benazar\Quorum Business Solutions\Ecopetrol Prometeo - Documents\Planning Space Implementation\3. Analysis &amp; Design\Design\FC22\DRR Jaime\QUIFA-CAJÚA\Cajua\[VAS_CAJUA_CF_SEC_20230125.xlsx]CF PNP'!$DI$38</t>
  </si>
  <si>
    <t>='C:\Users\jaime.benazar\Quorum Business Solutions\Ecopetrol Prometeo - Documents\Planning Space Implementation\3. Analysis &amp; Design\Design\FC22\DRR Jaime\QUIFA-CAJÚA\Cajua\[VAS_CAJUA_CF_SEC_20230125.xlsx]CF PNP'!$DI$39</t>
  </si>
  <si>
    <t>='C:\Users\jaime.benazar\Quorum Business Solutions\Ecopetrol Prometeo - Documents\Planning Space Implementation\3. Analysis &amp; Design\Design\FC22\DRR Jaime\QUIFA-CAJÚA\Cajua\[VAS_CAJUA_CF_SEC_20230125.xlsx]CF PNP'!$DI$40</t>
  </si>
  <si>
    <t>='C:\Users\jaime.benazar\Quorum Business Solutions\Ecopetrol Prometeo - Documents\Planning Space Implementation\3. Analysis &amp; Design\Design\FC22\DRR Jaime\QUIFA-CAJÚA\Cajua\[VAS_CAJUA_CF_SEC_20230125.xlsx]CF PNP'!$DI$41</t>
  </si>
  <si>
    <t>='C:\Users\jaime.benazar\Quorum Business Solutions\Ecopetrol Prometeo - Documents\Planning Space Implementation\3. Analysis &amp; Design\Design\FC22\DRR Jaime\QUIFA-CAJÚA\Cajua\[VAS_CAJUA_CF_SEC_20230125.xlsx]CF PNP'!$DI$42</t>
  </si>
  <si>
    <t>='C:\Users\jaime.benazar\Quorum Business Solutions\Ecopetrol Prometeo - Documents\Planning Space Implementation\3. Analysis &amp; Design\Design\FC22\DRR Jaime\QUIFA-CAJÚA\Cajua\[VAS_CAJUA_CF_SEC_20230125.xlsx]CF PNP'!$DI$43</t>
  </si>
  <si>
    <t>='C:\Users\jaime.benazar\Quorum Business Solutions\Ecopetrol Prometeo - Documents\Planning Space Implementation\3. Analysis &amp; Design\Design\FC22\DRR Jaime\QUIFA-CAJÚA\Cajua\[VAS_CAJUA_CF_SEC_20230125.xlsx]CF PNP'!$DI$44</t>
  </si>
  <si>
    <t>='C:\Users\jaime.benazar\Quorum Business Solutions\Ecopetrol Prometeo - Documents\Planning Space Implementation\3. Analysis &amp; Design\Design\FC22\DRR Jaime\QUIFA-CAJÚA\Cajua\[VAS_CAJUA_CF_SEC_20230125.xlsx]CF PNP'!$DI$45</t>
  </si>
  <si>
    <t>='C:\Users\jaime.benazar\Quorum Business Solutions\Ecopetrol Prometeo - Documents\Planning Space Implementation\3. Analysis &amp; Design\Design\FC22\DRR Jaime\QUIFA-CAJÚA\Cajua\[VAS_CAJUA_CF_SEC_20230125.xlsx]CF PNP'!$DI$46</t>
  </si>
  <si>
    <t>='C:\Users\jaime.benazar\Quorum Business Solutions\Ecopetrol Prometeo - Documents\Planning Space Implementation\3. Analysis &amp; Design\Design\FC22\DRR Jaime\QUIFA-CAJÚA\Cajua\[VAS_CAJUA_CF_SEC_20230125.xlsx]CF PNP'!$DI$47</t>
  </si>
  <si>
    <t>='C:\Users\jaime.benazar\Quorum Business Solutions\Ecopetrol Prometeo - Documents\Planning Space Implementation\3. Analysis &amp; Design\Design\FC22\DRR Jaime\QUIFA-CAJÚA\Cajua\[VAS_CAJUA_CF_SEC_20230125.xlsx]CF PNP'!$DI$48</t>
  </si>
  <si>
    <t>='C:\Users\jaime.benazar\Quorum Business Solutions\Ecopetrol Prometeo - Documents\Planning Space Implementation\3. Analysis &amp; Design\Design\FC22\DRR Jaime\QUIFA-CAJÚA\Cajua\[VAS_CAJUA_CF_SEC_20230125.xlsx]CF PNP'!$DI$49</t>
  </si>
  <si>
    <t>='C:\Users\jaime.benazar\Quorum Business Solutions\Ecopetrol Prometeo - Documents\Planning Space Implementation\3. Analysis &amp; Design\Design\FC22\DRR Jaime\QUIFA-CAJÚA\Cajua\[VAS_CAJUA_CF_SEC_20230125.xlsx]CF PNP'!$DI$50</t>
  </si>
  <si>
    <t>='C:\Users\jaime.benazar\Quorum Business Solutions\Ecopetrol Prometeo - Documents\Planning Space Implementation\3. Analysis &amp; Design\Design\FC22\DRR Jaime\QUIFA-CAJÚA\Cajua\[VAS_CAJUA_CF_SEC_20230125.xlsx]CF PNP'!$DI$51</t>
  </si>
  <si>
    <t>='C:\Users\jaime.benazar\Quorum Business Solutions\Ecopetrol Prometeo - Documents\Planning Space Implementation\3. Analysis &amp; Design\Design\FC22\DRR Jaime\QUIFA-CAJÚA\Cajua\[VAS_CAJUA_CF_SEC_20230125.xlsx]CF PNP'!$DI$52</t>
  </si>
  <si>
    <t>='C:\Users\jaime.benazar\Quorum Business Solutions\Ecopetrol Prometeo - Documents\Planning Space Implementation\3. Analysis &amp; Design\Design\FC22\DRR Jaime\QUIFA-CAJÚA\Cajua\[VAS_CAJUA_CF_SEC_20230125.xlsx]CF PNP'!$DI$53</t>
  </si>
  <si>
    <t>='C:\Users\jaime.benazar\Quorum Business Solutions\Ecopetrol Prometeo - Documents\Planning Space Implementation\3. Analysis &amp; Design\Design\FC22\DRR Jaime\QUIFA-CAJÚA\Cajua\[VAS_CAJUA_CF_SEC_20230125.xlsx]CF PNP'!$DI$54</t>
  </si>
  <si>
    <t>='C:\Users\jaime.benazar\Quorum Business Solutions\Ecopetrol Prometeo - Documents\Planning Space Implementation\3. Analysis &amp; Design\Design\FC22\DRR Jaime\QUIFA-CAJÚA\Cajua\[VAS_CAJUA_CF_SEC_20230125.xlsx]CF PNP'!$DI$55</t>
  </si>
  <si>
    <t>='C:\Users\jaime.benazar\Quorum Business Solutions\Ecopetrol Prometeo - Documents\Planning Space Implementation\3. Analysis &amp; Design\Design\FC22\DRR Jaime\QUIFA-CAJÚA\Cajua\[VAS_CAJUA_CF_SEC_20230125.xlsx]CF PNP'!$DI$56</t>
  </si>
  <si>
    <t>='C:\Users\jaime.benazar\Quorum Business Solutions\Ecopetrol Prometeo - Documents\Planning Space Implementation\3. Analysis &amp; Design\Design\FC22\DRR Jaime\QUIFA-CAJÚA\Cajua\[VAS_CAJUA_CF_SEC_20230125.xlsx]CF PNP'!$DI$57</t>
  </si>
  <si>
    <t>='C:\Users\jaime.benazar\Quorum Business Solutions\Ecopetrol Prometeo - Documents\Planning Space Implementation\3. Analysis &amp; Design\Design\FC22\DRR Jaime\QUIFA-CAJÚA\Cajua\[VAS_CAJUA_CF_SEC_20230125.xlsx]CF PNP'!$DI$58</t>
  </si>
  <si>
    <t>='C:\Users\jaime.benazar\Quorum Business Solutions\Ecopetrol Prometeo - Documents\Planning Space Implementation\3. Analysis &amp; Design\Design\FC22\DRR Jaime\QUIFA-CAJÚA\Cajua\[VAS_CAJUA_CF_SEC_20230125.xlsx]CF PNP'!$DI$59</t>
  </si>
  <si>
    <t>='C:\Users\jaime.benazar\Quorum Business Solutions\Ecopetrol Prometeo - Documents\Planning Space Implementation\3. Analysis &amp; Design\Design\FC22\DRR Jaime\QUIFA-CAJÚA\Cajua\[VAS_CAJUA_CF_SEC_20230125.xlsx]CF PNP'!$DI$60</t>
  </si>
  <si>
    <t>='C:\Users\jaime.benazar\Quorum Business Solutions\Ecopetrol Prometeo - Documents\Planning Space Implementation\3. Analysis &amp; Design\Design\FC22\DRR Jaime\QUIFA-CAJÚA\Cajua\[VAS_CAJUA_CF_SEC_20230125.xlsx]CF PNP'!$DI$61</t>
  </si>
  <si>
    <t>='C:\Users\jaime.benazar\Quorum Business Solutions\Ecopetrol Prometeo - Documents\Planning Space Implementation\3. Analysis &amp; Design\Design\FC22\DRR Jaime\QUIFA-CAJÚA\Cajua\[VAS_CAJUA_CF_SEC_20230125.xlsx]CF PNP'!$DI$62</t>
  </si>
  <si>
    <t>='C:\Users\jaime.benazar\Quorum Business Solutions\Ecopetrol Prometeo - Documents\Planning Space Implementation\3. Analysis &amp; Design\Design\FC22\DRR Jaime\QUIFA-CAJÚA\Cajua\[VAS_CAJUA_CF_SEC_20230125.xlsx]CF PNP'!$DI$63</t>
  </si>
  <si>
    <t>='C:\Users\jaime.benazar\Quorum Business Solutions\Ecopetrol Prometeo - Documents\Planning Space Implementation\3. Analysis &amp; Design\Design\FC22\DRR Jaime\QUIFA-CAJÚA\Cajua\[VAS_CAJUA_CF_SEC_20230125.xlsx]CF PNP'!$DI$64</t>
  </si>
  <si>
    <t>='C:\Users\jaime.benazar\Quorum Business Solutions\Ecopetrol Prometeo - Documents\Planning Space Implementation\3. Analysis &amp; Design\Design\FC22\DRR Jaime\QUIFA-CAJÚA\Cajua\[VAS_CAJUA_CF_SEC_20230125.xlsx]CF PNP'!$DI$65</t>
  </si>
  <si>
    <t>='C:\Users\jaime.benazar\Quorum Business Solutions\Ecopetrol Prometeo - Documents\Planning Space Implementation\3. Analysis &amp; Design\Design\FC22\DRR Jaime\QUIFA-CAJÚA\Cajua\[VAS_CAJUA_CF_SEC_20230125.xlsx]CF PNP'!$DI$66</t>
  </si>
  <si>
    <t>='C:\Users\jaime.benazar\Quorum Business Solutions\Ecopetrol Prometeo - Documents\Planning Space Implementation\3. Analysis &amp; Design\Design\FC22\DRR Jaime\QUIFA-CAJÚA\Cajua\[VAS_CAJUA_CF_SEC_20230125.xlsx]CF PNP'!$DI$67</t>
  </si>
  <si>
    <t>='C:\Users\jaime.benazar\Quorum Business Solutions\Ecopetrol Prometeo - Documents\Planning Space Implementation\3. Analysis &amp; Design\Design\FC22\DRR Jaime\QUIFA-CAJÚA\Cajua\[VAS_CAJUA_CF_SEC_20230125.xlsx]CF PNP'!$DI$68</t>
  </si>
  <si>
    <t>='C:\Users\jaime.benazar\Quorum Business Solutions\Ecopetrol Prometeo - Documents\Planning Space Implementation\3. Analysis &amp; Design\Design\FC22\DRR Jaime\QUIFA-CAJÚA\Cajua\[VAS_CAJUA_CF_SEC_20230125.xlsx]CF PNP'!$DI$69</t>
  </si>
  <si>
    <t>='C:\Users\jaime.benazar\Quorum Business Solutions\Ecopetrol Prometeo - Documents\Planning Space Implementation\3. Analysis &amp; Design\Design\FC22\DRR Jaime\QUIFA-CAJÚA\Cajua\[VAS_CAJUA_CF_SEC_20230125.xlsx]CF PNP'!$DI$70</t>
  </si>
  <si>
    <t>='C:\Users\jaime.benazar\Quorum Business Solutions\Ecopetrol Prometeo - Documents\Planning Space Implementation\3. Analysis &amp; Design\Design\FC22\DRR Jaime\QUIFA-CAJÚA\Cajua\[VAS_CAJUA_CF_SEC_20230125.xlsx]CF PNP'!$DI$71</t>
  </si>
  <si>
    <t>='C:\Users\jaime.benazar\Quorum Business Solutions\Ecopetrol Prometeo - Documents\Planning Space Implementation\3. Analysis &amp; Design\Design\FC22\DRR Jaime\QUIFA-CAJÚA\Cajua\[VAS_CAJUA_CF_SEC_20230125.xlsx]CF PNP'!$DI$72</t>
  </si>
  <si>
    <t>='C:\Users\jaime.benazar\Quorum Business Solutions\Ecopetrol Prometeo - Documents\Planning Space Implementation\3. Analysis &amp; Design\Design\FC22\DRR Jaime\QUIFA-CAJÚA\Cajua\[VAS_CAJUA_CF_SEC_20230125.xlsx]CF PND'!$DI$36</t>
  </si>
  <si>
    <t>='C:\Users\jaime.benazar\Quorum Business Solutions\Ecopetrol Prometeo - Documents\Planning Space Implementation\3. Analysis &amp; Design\Design\FC22\DRR Jaime\QUIFA-CAJÚA\Cajua\[VAS_CAJUA_CF_SEC_20230125.xlsx]CF PND'!$DI$37</t>
  </si>
  <si>
    <t>='C:\Users\jaime.benazar\Quorum Business Solutions\Ecopetrol Prometeo - Documents\Planning Space Implementation\3. Analysis &amp; Design\Design\FC22\DRR Jaime\QUIFA-CAJÚA\Cajua\[VAS_CAJUA_CF_SEC_20230125.xlsx]CF PND'!$DI$38</t>
  </si>
  <si>
    <t>='C:\Users\jaime.benazar\Quorum Business Solutions\Ecopetrol Prometeo - Documents\Planning Space Implementation\3. Analysis &amp; Design\Design\FC22\DRR Jaime\QUIFA-CAJÚA\Cajua\[VAS_CAJUA_CF_SEC_20230125.xlsx]CF PND'!$DI$39</t>
  </si>
  <si>
    <t>='C:\Users\jaime.benazar\Quorum Business Solutions\Ecopetrol Prometeo - Documents\Planning Space Implementation\3. Analysis &amp; Design\Design\FC22\DRR Jaime\QUIFA-CAJÚA\Cajua\[VAS_CAJUA_CF_SEC_20230125.xlsx]CF PND'!$DI$40</t>
  </si>
  <si>
    <t>='C:\Users\jaime.benazar\Quorum Business Solutions\Ecopetrol Prometeo - Documents\Planning Space Implementation\3. Analysis &amp; Design\Design\FC22\DRR Jaime\QUIFA-CAJÚA\Cajua\[VAS_CAJUA_CF_SEC_20230125.xlsx]CF PND'!$DI$41</t>
  </si>
  <si>
    <t>='C:\Users\jaime.benazar\Quorum Business Solutions\Ecopetrol Prometeo - Documents\Planning Space Implementation\3. Analysis &amp; Design\Design\FC22\DRR Jaime\QUIFA-CAJÚA\Cajua\[VAS_CAJUA_CF_SEC_20230125.xlsx]CF PND'!$DI$42</t>
  </si>
  <si>
    <t>='C:\Users\jaime.benazar\Quorum Business Solutions\Ecopetrol Prometeo - Documents\Planning Space Implementation\3. Analysis &amp; Design\Design\FC22\DRR Jaime\QUIFA-CAJÚA\Cajua\[VAS_CAJUA_CF_SEC_20230125.xlsx]CF PND'!$DI$43</t>
  </si>
  <si>
    <t>='C:\Users\jaime.benazar\Quorum Business Solutions\Ecopetrol Prometeo - Documents\Planning Space Implementation\3. Analysis &amp; Design\Design\FC22\DRR Jaime\QUIFA-CAJÚA\Cajua\[VAS_CAJUA_CF_SEC_20230125.xlsx]CF PND'!$DI$44</t>
  </si>
  <si>
    <t>='C:\Users\jaime.benazar\Quorum Business Solutions\Ecopetrol Prometeo - Documents\Planning Space Implementation\3. Analysis &amp; Design\Design\FC22\DRR Jaime\QUIFA-CAJÚA\Cajua\[VAS_CAJUA_CF_SEC_20230125.xlsx]CF PND'!$DI$45</t>
  </si>
  <si>
    <t>='C:\Users\jaime.benazar\Quorum Business Solutions\Ecopetrol Prometeo - Documents\Planning Space Implementation\3. Analysis &amp; Design\Design\FC22\DRR Jaime\QUIFA-CAJÚA\Cajua\[VAS_CAJUA_CF_SEC_20230125.xlsx]CF PND'!$DI$46</t>
  </si>
  <si>
    <t>='C:\Users\jaime.benazar\Quorum Business Solutions\Ecopetrol Prometeo - Documents\Planning Space Implementation\3. Analysis &amp; Design\Design\FC22\DRR Jaime\QUIFA-CAJÚA\Cajua\[VAS_CAJUA_CF_SEC_20230125.xlsx]CF PND'!$DI$47</t>
  </si>
  <si>
    <t>='C:\Users\jaime.benazar\Quorum Business Solutions\Ecopetrol Prometeo - Documents\Planning Space Implementation\3. Analysis &amp; Design\Design\FC22\DRR Jaime\QUIFA-CAJÚA\Cajua\[VAS_CAJUA_CF_SEC_20230125.xlsx]CF PND'!$DI$48</t>
  </si>
  <si>
    <t>='C:\Users\jaime.benazar\Quorum Business Solutions\Ecopetrol Prometeo - Documents\Planning Space Implementation\3. Analysis &amp; Design\Design\FC22\DRR Jaime\QUIFA-CAJÚA\Cajua\[VAS_CAJUA_CF_SEC_20230125.xlsx]CF PND'!$DI$49</t>
  </si>
  <si>
    <t>='C:\Users\jaime.benazar\Quorum Business Solutions\Ecopetrol Prometeo - Documents\Planning Space Implementation\3. Analysis &amp; Design\Design\FC22\DRR Jaime\QUIFA-CAJÚA\Cajua\[VAS_CAJUA_CF_SEC_20230125.xlsx]CF PND'!$DI$50</t>
  </si>
  <si>
    <t>='C:\Users\jaime.benazar\Quorum Business Solutions\Ecopetrol Prometeo - Documents\Planning Space Implementation\3. Analysis &amp; Design\Design\FC22\DRR Jaime\QUIFA-CAJÚA\Cajua\[VAS_CAJUA_CF_SEC_20230125.xlsx]CF PND'!$DI$51</t>
  </si>
  <si>
    <t>='C:\Users\jaime.benazar\Quorum Business Solutions\Ecopetrol Prometeo - Documents\Planning Space Implementation\3. Analysis &amp; Design\Design\FC22\DRR Jaime\QUIFA-CAJÚA\Cajua\[VAS_CAJUA_CF_SEC_20230125.xlsx]CF PND'!$DI$52</t>
  </si>
  <si>
    <t>='C:\Users\jaime.benazar\Quorum Business Solutions\Ecopetrol Prometeo - Documents\Planning Space Implementation\3. Analysis &amp; Design\Design\FC22\DRR Jaime\QUIFA-CAJÚA\Cajua\[VAS_CAJUA_CF_SEC_20230125.xlsx]CF PND'!$DI$53</t>
  </si>
  <si>
    <t>='C:\Users\jaime.benazar\Quorum Business Solutions\Ecopetrol Prometeo - Documents\Planning Space Implementation\3. Analysis &amp; Design\Design\FC22\DRR Jaime\QUIFA-CAJÚA\Cajua\[VAS_CAJUA_CF_SEC_20230125.xlsx]CF PND'!$DI$54</t>
  </si>
  <si>
    <t>='C:\Users\jaime.benazar\Quorum Business Solutions\Ecopetrol Prometeo - Documents\Planning Space Implementation\3. Analysis &amp; Design\Design\FC22\DRR Jaime\QUIFA-CAJÚA\Cajua\[VAS_CAJUA_CF_SEC_20230125.xlsx]CF PND'!$DI$55</t>
  </si>
  <si>
    <t>='C:\Users\jaime.benazar\Quorum Business Solutions\Ecopetrol Prometeo - Documents\Planning Space Implementation\3. Analysis &amp; Design\Design\FC22\DRR Jaime\QUIFA-CAJÚA\Cajua\[VAS_CAJUA_CF_SEC_20230125.xlsx]CF PND'!$DI$56</t>
  </si>
  <si>
    <t>='C:\Users\jaime.benazar\Quorum Business Solutions\Ecopetrol Prometeo - Documents\Planning Space Implementation\3. Analysis &amp; Design\Design\FC22\DRR Jaime\QUIFA-CAJÚA\Cajua\[VAS_CAJUA_CF_SEC_20230125.xlsx]CF PND'!$DI$57</t>
  </si>
  <si>
    <t>='C:\Users\jaime.benazar\Quorum Business Solutions\Ecopetrol Prometeo - Documents\Planning Space Implementation\3. Analysis &amp; Design\Design\FC22\DRR Jaime\QUIFA-CAJÚA\Cajua\[VAS_CAJUA_CF_SEC_20230125.xlsx]CF PND'!$DI$58</t>
  </si>
  <si>
    <t>='C:\Users\jaime.benazar\Quorum Business Solutions\Ecopetrol Prometeo - Documents\Planning Space Implementation\3. Analysis &amp; Design\Design\FC22\DRR Jaime\QUIFA-CAJÚA\Cajua\[VAS_CAJUA_CF_SEC_20230125.xlsx]CF PND'!$DI$59</t>
  </si>
  <si>
    <t>='C:\Users\jaime.benazar\Quorum Business Solutions\Ecopetrol Prometeo - Documents\Planning Space Implementation\3. Analysis &amp; Design\Design\FC22\DRR Jaime\QUIFA-CAJÚA\Cajua\[VAS_CAJUA_CF_SEC_20230125.xlsx]CF PND'!$DI$60</t>
  </si>
  <si>
    <t>='C:\Users\jaime.benazar\Quorum Business Solutions\Ecopetrol Prometeo - Documents\Planning Space Implementation\3. Analysis &amp; Design\Design\FC22\DRR Jaime\QUIFA-CAJÚA\Cajua\[VAS_CAJUA_CF_SEC_20230125.xlsx]CF PND'!$DI$61</t>
  </si>
  <si>
    <t>='C:\Users\jaime.benazar\Quorum Business Solutions\Ecopetrol Prometeo - Documents\Planning Space Implementation\3. Analysis &amp; Design\Design\FC22\DRR Jaime\QUIFA-CAJÚA\Cajua\[VAS_CAJUA_CF_SEC_20230125.xlsx]CF PND'!$DI$62</t>
  </si>
  <si>
    <t>='C:\Users\jaime.benazar\Quorum Business Solutions\Ecopetrol Prometeo - Documents\Planning Space Implementation\3. Analysis &amp; Design\Design\FC22\DRR Jaime\QUIFA-CAJÚA\Cajua\[VAS_CAJUA_CF_SEC_20230125.xlsx]CF PND'!$DI$63</t>
  </si>
  <si>
    <t>='C:\Users\jaime.benazar\Quorum Business Solutions\Ecopetrol Prometeo - Documents\Planning Space Implementation\3. Analysis &amp; Design\Design\FC22\DRR Jaime\QUIFA-CAJÚA\Cajua\[VAS_CAJUA_CF_SEC_20230125.xlsx]CF PND'!$DI$64</t>
  </si>
  <si>
    <t>='C:\Users\jaime.benazar\Quorum Business Solutions\Ecopetrol Prometeo - Documents\Planning Space Implementation\3. Analysis &amp; Design\Design\FC22\DRR Jaime\QUIFA-CAJÚA\Cajua\[VAS_CAJUA_CF_SEC_20230125.xlsx]CF PND'!$DI$65</t>
  </si>
  <si>
    <t>='C:\Users\jaime.benazar\Quorum Business Solutions\Ecopetrol Prometeo - Documents\Planning Space Implementation\3. Analysis &amp; Design\Design\FC22\DRR Jaime\QUIFA-CAJÚA\Cajua\[VAS_CAJUA_CF_SEC_20230125.xlsx]CF PND'!$DI$66</t>
  </si>
  <si>
    <t>='C:\Users\jaime.benazar\Quorum Business Solutions\Ecopetrol Prometeo - Documents\Planning Space Implementation\3. Analysis &amp; Design\Design\FC22\DRR Jaime\QUIFA-CAJÚA\Cajua\[VAS_CAJUA_CF_SEC_20230125.xlsx]CF PND'!$DI$67</t>
  </si>
  <si>
    <t>='C:\Users\jaime.benazar\Quorum Business Solutions\Ecopetrol Prometeo - Documents\Planning Space Implementation\3. Analysis &amp; Design\Design\FC22\DRR Jaime\QUIFA-CAJÚA\Cajua\[VAS_CAJUA_CF_SEC_20230125.xlsx]CF PND'!$DI$68</t>
  </si>
  <si>
    <t>='C:\Users\jaime.benazar\Quorum Business Solutions\Ecopetrol Prometeo - Documents\Planning Space Implementation\3. Analysis &amp; Design\Design\FC22\DRR Jaime\QUIFA-CAJÚA\Cajua\[VAS_CAJUA_CF_SEC_20230125.xlsx]CF PND'!$DI$69</t>
  </si>
  <si>
    <t>='C:\Users\jaime.benazar\Quorum Business Solutions\Ecopetrol Prometeo - Documents\Planning Space Implementation\3. Analysis &amp; Design\Design\FC22\DRR Jaime\QUIFA-CAJÚA\Cajua\[VAS_CAJUA_CF_SEC_20230125.xlsx]CF PND'!$DI$70</t>
  </si>
  <si>
    <t>='C:\Users\jaime.benazar\Quorum Business Solutions\Ecopetrol Prometeo - Documents\Planning Space Implementation\3. Analysis &amp; Design\Design\FC22\DRR Jaime\QUIFA-CAJÚA\Cajua\[VAS_CAJUA_CF_SEC_20230125.xlsx]CF PND'!$DI$71</t>
  </si>
  <si>
    <t>='C:\Users\jaime.benazar\Quorum Business Solutions\Ecopetrol Prometeo - Documents\Planning Space Implementation\3. Analysis &amp; Design\Design\FC22\DRR Jaime\QUIFA-CAJÚA\Cajua\[VAS_CAJUA_CF_SEC_20230125.xlsx]CF PND'!$DI$72</t>
  </si>
  <si>
    <t>='C:\Users\jaime.benazar\Quorum Business Solutions\Ecopetrol Prometeo - Documents\Planning Space Implementation\3. Analysis &amp; Design\Design\FC22\DRR Jaime\QUIFA-CAJÚA\Cajua\[VAS_CAJUA_CF_SEC_20230125.xlsx]CF PRB'!$DI$36</t>
  </si>
  <si>
    <t>='C:\Users\jaime.benazar\Quorum Business Solutions\Ecopetrol Prometeo - Documents\Planning Space Implementation\3. Analysis &amp; Design\Design\FC22\DRR Jaime\QUIFA-CAJÚA\Cajua\[VAS_CAJUA_CF_SEC_20230125.xlsx]CF PRB'!$DI$37</t>
  </si>
  <si>
    <t>='C:\Users\jaime.benazar\Quorum Business Solutions\Ecopetrol Prometeo - Documents\Planning Space Implementation\3. Analysis &amp; Design\Design\FC22\DRR Jaime\QUIFA-CAJÚA\Cajua\[VAS_CAJUA_CF_SEC_20230125.xlsx]CF PRB'!$DI$38</t>
  </si>
  <si>
    <t>='C:\Users\jaime.benazar\Quorum Business Solutions\Ecopetrol Prometeo - Documents\Planning Space Implementation\3. Analysis &amp; Design\Design\FC22\DRR Jaime\QUIFA-CAJÚA\Cajua\[VAS_CAJUA_CF_SEC_20230125.xlsx]CF PRB'!$DI$39</t>
  </si>
  <si>
    <t>='C:\Users\jaime.benazar\Quorum Business Solutions\Ecopetrol Prometeo - Documents\Planning Space Implementation\3. Analysis &amp; Design\Design\FC22\DRR Jaime\QUIFA-CAJÚA\Cajua\[VAS_CAJUA_CF_SEC_20230125.xlsx]CF PRB'!$DI$40</t>
  </si>
  <si>
    <t>='C:\Users\jaime.benazar\Quorum Business Solutions\Ecopetrol Prometeo - Documents\Planning Space Implementation\3. Analysis &amp; Design\Design\FC22\DRR Jaime\QUIFA-CAJÚA\Cajua\[VAS_CAJUA_CF_SEC_20230125.xlsx]CF PRB'!$DI$41</t>
  </si>
  <si>
    <t>='C:\Users\jaime.benazar\Quorum Business Solutions\Ecopetrol Prometeo - Documents\Planning Space Implementation\3. Analysis &amp; Design\Design\FC22\DRR Jaime\QUIFA-CAJÚA\Cajua\[VAS_CAJUA_CF_SEC_20230125.xlsx]CF PRB'!$DI$42</t>
  </si>
  <si>
    <t>='C:\Users\jaime.benazar\Quorum Business Solutions\Ecopetrol Prometeo - Documents\Planning Space Implementation\3. Analysis &amp; Design\Design\FC22\DRR Jaime\QUIFA-CAJÚA\Cajua\[VAS_CAJUA_CF_SEC_20230125.xlsx]CF PRB'!$DI$43</t>
  </si>
  <si>
    <t>='C:\Users\jaime.benazar\Quorum Business Solutions\Ecopetrol Prometeo - Documents\Planning Space Implementation\3. Analysis &amp; Design\Design\FC22\DRR Jaime\QUIFA-CAJÚA\Cajua\[VAS_CAJUA_CF_SEC_20230125.xlsx]CF PRB'!$DI$44</t>
  </si>
  <si>
    <t>='C:\Users\jaime.benazar\Quorum Business Solutions\Ecopetrol Prometeo - Documents\Planning Space Implementation\3. Analysis &amp; Design\Design\FC22\DRR Jaime\QUIFA-CAJÚA\Cajua\[VAS_CAJUA_CF_SEC_20230125.xlsx]CF PRB'!$DI$45</t>
  </si>
  <si>
    <t>='C:\Users\jaime.benazar\Quorum Business Solutions\Ecopetrol Prometeo - Documents\Planning Space Implementation\3. Analysis &amp; Design\Design\FC22\DRR Jaime\QUIFA-CAJÚA\Cajua\[VAS_CAJUA_CF_SEC_20230125.xlsx]CF PRB'!$DI$46</t>
  </si>
  <si>
    <t>='C:\Users\jaime.benazar\Quorum Business Solutions\Ecopetrol Prometeo - Documents\Planning Space Implementation\3. Analysis &amp; Design\Design\FC22\DRR Jaime\QUIFA-CAJÚA\Cajua\[VAS_CAJUA_CF_SEC_20230125.xlsx]CF PRB'!$DI$47</t>
  </si>
  <si>
    <t>='C:\Users\jaime.benazar\Quorum Business Solutions\Ecopetrol Prometeo - Documents\Planning Space Implementation\3. Analysis &amp; Design\Design\FC22\DRR Jaime\QUIFA-CAJÚA\Cajua\[VAS_CAJUA_CF_SEC_20230125.xlsx]CF PRB'!$DI$48</t>
  </si>
  <si>
    <t>='C:\Users\jaime.benazar\Quorum Business Solutions\Ecopetrol Prometeo - Documents\Planning Space Implementation\3. Analysis &amp; Design\Design\FC22\DRR Jaime\QUIFA-CAJÚA\Cajua\[VAS_CAJUA_CF_SEC_20230125.xlsx]CF PRB'!$DI$49</t>
  </si>
  <si>
    <t>='C:\Users\jaime.benazar\Quorum Business Solutions\Ecopetrol Prometeo - Documents\Planning Space Implementation\3. Analysis &amp; Design\Design\FC22\DRR Jaime\QUIFA-CAJÚA\Cajua\[VAS_CAJUA_CF_SEC_20230125.xlsx]CF PRB'!$DI$50</t>
  </si>
  <si>
    <t>='C:\Users\jaime.benazar\Quorum Business Solutions\Ecopetrol Prometeo - Documents\Planning Space Implementation\3. Analysis &amp; Design\Design\FC22\DRR Jaime\QUIFA-CAJÚA\Cajua\[VAS_CAJUA_CF_SEC_20230125.xlsx]CF PRB'!$DI$51</t>
  </si>
  <si>
    <t>='C:\Users\jaime.benazar\Quorum Business Solutions\Ecopetrol Prometeo - Documents\Planning Space Implementation\3. Analysis &amp; Design\Design\FC22\DRR Jaime\QUIFA-CAJÚA\Cajua\[VAS_CAJUA_CF_SEC_20230125.xlsx]CF PRB'!$DI$52</t>
  </si>
  <si>
    <t>='C:\Users\jaime.benazar\Quorum Business Solutions\Ecopetrol Prometeo - Documents\Planning Space Implementation\3. Analysis &amp; Design\Design\FC22\DRR Jaime\QUIFA-CAJÚA\Cajua\[VAS_CAJUA_CF_SEC_20230125.xlsx]CF PRB'!$DI$53</t>
  </si>
  <si>
    <t>='C:\Users\jaime.benazar\Quorum Business Solutions\Ecopetrol Prometeo - Documents\Planning Space Implementation\3. Analysis &amp; Design\Design\FC22\DRR Jaime\QUIFA-CAJÚA\Cajua\[VAS_CAJUA_CF_SEC_20230125.xlsx]CF PRB'!$DI$54</t>
  </si>
  <si>
    <t>='C:\Users\jaime.benazar\Quorum Business Solutions\Ecopetrol Prometeo - Documents\Planning Space Implementation\3. Analysis &amp; Design\Design\FC22\DRR Jaime\QUIFA-CAJÚA\Cajua\[VAS_CAJUA_CF_SEC_20230125.xlsx]CF PRB'!$DI$55</t>
  </si>
  <si>
    <t>='C:\Users\jaime.benazar\Quorum Business Solutions\Ecopetrol Prometeo - Documents\Planning Space Implementation\3. Analysis &amp; Design\Design\FC22\DRR Jaime\QUIFA-CAJÚA\Cajua\[VAS_CAJUA_CF_SEC_20230125.xlsx]CF PRB'!$DI$56</t>
  </si>
  <si>
    <t>='C:\Users\jaime.benazar\Quorum Business Solutions\Ecopetrol Prometeo - Documents\Planning Space Implementation\3. Analysis &amp; Design\Design\FC22\DRR Jaime\QUIFA-CAJÚA\Cajua\[VAS_CAJUA_CF_SEC_20230125.xlsx]CF PRB'!$DI$57</t>
  </si>
  <si>
    <t>='C:\Users\jaime.benazar\Quorum Business Solutions\Ecopetrol Prometeo - Documents\Planning Space Implementation\3. Analysis &amp; Design\Design\FC22\DRR Jaime\QUIFA-CAJÚA\Cajua\[VAS_CAJUA_CF_SEC_20230125.xlsx]CF PRB'!$DI$58</t>
  </si>
  <si>
    <t>='C:\Users\jaime.benazar\Quorum Business Solutions\Ecopetrol Prometeo - Documents\Planning Space Implementation\3. Analysis &amp; Design\Design\FC22\DRR Jaime\QUIFA-CAJÚA\Cajua\[VAS_CAJUA_CF_SEC_20230125.xlsx]CF PRB'!$DI$59</t>
  </si>
  <si>
    <t>='C:\Users\jaime.benazar\Quorum Business Solutions\Ecopetrol Prometeo - Documents\Planning Space Implementation\3. Analysis &amp; Design\Design\FC22\DRR Jaime\QUIFA-CAJÚA\Cajua\[VAS_CAJUA_CF_SEC_20230125.xlsx]CF PRB'!$DI$60</t>
  </si>
  <si>
    <t>='C:\Users\jaime.benazar\Quorum Business Solutions\Ecopetrol Prometeo - Documents\Planning Space Implementation\3. Analysis &amp; Design\Design\FC22\DRR Jaime\QUIFA-CAJÚA\Cajua\[VAS_CAJUA_CF_SEC_20230125.xlsx]CF PRB'!$DI$61</t>
  </si>
  <si>
    <t>='C:\Users\jaime.benazar\Quorum Business Solutions\Ecopetrol Prometeo - Documents\Planning Space Implementation\3. Analysis &amp; Design\Design\FC22\DRR Jaime\QUIFA-CAJÚA\Cajua\[VAS_CAJUA_CF_SEC_20230125.xlsx]CF PRB'!$DI$62</t>
  </si>
  <si>
    <t>='C:\Users\jaime.benazar\Quorum Business Solutions\Ecopetrol Prometeo - Documents\Planning Space Implementation\3. Analysis &amp; Design\Design\FC22\DRR Jaime\QUIFA-CAJÚA\Cajua\[VAS_CAJUA_CF_SEC_20230125.xlsx]CF PRB'!$DI$63</t>
  </si>
  <si>
    <t>='C:\Users\jaime.benazar\Quorum Business Solutions\Ecopetrol Prometeo - Documents\Planning Space Implementation\3. Analysis &amp; Design\Design\FC22\DRR Jaime\QUIFA-CAJÚA\Cajua\[VAS_CAJUA_CF_SEC_20230125.xlsx]CF PRB'!$DI$64</t>
  </si>
  <si>
    <t>='C:\Users\jaime.benazar\Quorum Business Solutions\Ecopetrol Prometeo - Documents\Planning Space Implementation\3. Analysis &amp; Design\Design\FC22\DRR Jaime\QUIFA-CAJÚA\Cajua\[VAS_CAJUA_CF_SEC_20230125.xlsx]CF PRB'!$DI$65</t>
  </si>
  <si>
    <t>='C:\Users\jaime.benazar\Quorum Business Solutions\Ecopetrol Prometeo - Documents\Planning Space Implementation\3. Analysis &amp; Design\Design\FC22\DRR Jaime\QUIFA-CAJÚA\Cajua\[VAS_CAJUA_CF_SEC_20230125.xlsx]CF PRB'!$DI$66</t>
  </si>
  <si>
    <t>='C:\Users\jaime.benazar\Quorum Business Solutions\Ecopetrol Prometeo - Documents\Planning Space Implementation\3. Analysis &amp; Design\Design\FC22\DRR Jaime\QUIFA-CAJÚA\Cajua\[VAS_CAJUA_CF_SEC_20230125.xlsx]CF PRB'!$DI$67</t>
  </si>
  <si>
    <t>='C:\Users\jaime.benazar\Quorum Business Solutions\Ecopetrol Prometeo - Documents\Planning Space Implementation\3. Analysis &amp; Design\Design\FC22\DRR Jaime\QUIFA-CAJÚA\Cajua\[VAS_CAJUA_CF_SEC_20230125.xlsx]CF PRB'!$DI$68</t>
  </si>
  <si>
    <t>='C:\Users\jaime.benazar\Quorum Business Solutions\Ecopetrol Prometeo - Documents\Planning Space Implementation\3. Analysis &amp; Design\Design\FC22\DRR Jaime\QUIFA-CAJÚA\Cajua\[VAS_CAJUA_CF_SEC_20230125.xlsx]CF PRB'!$DI$69</t>
  </si>
  <si>
    <t>='C:\Users\jaime.benazar\Quorum Business Solutions\Ecopetrol Prometeo - Documents\Planning Space Implementation\3. Analysis &amp; Design\Design\FC22\DRR Jaime\QUIFA-CAJÚA\Cajua\[VAS_CAJUA_CF_SEC_20230125.xlsx]CF PRB'!$DI$70</t>
  </si>
  <si>
    <t>='C:\Users\jaime.benazar\Quorum Business Solutions\Ecopetrol Prometeo - Documents\Planning Space Implementation\3. Analysis &amp; Design\Design\FC22\DRR Jaime\QUIFA-CAJÚA\Cajua\[VAS_CAJUA_CF_SEC_20230125.xlsx]CF PRB'!$DI$71</t>
  </si>
  <si>
    <t>='C:\Users\jaime.benazar\Quorum Business Solutions\Ecopetrol Prometeo - Documents\Planning Space Implementation\3. Analysis &amp; Design\Design\FC22\DRR Jaime\QUIFA-CAJÚA\Cajua\[VAS_CAJUA_CF_SEC_20230125.xlsx]CF PRB'!$DI$72</t>
  </si>
  <si>
    <t>='C:\Users\jaime.benazar\Quorum Business Solutions\Ecopetrol Prometeo - Documents\Planning Space Implementation\3. Analysis &amp; Design\Design\FC22\DRR Jaime\QUIFA-CAJÚA\Cajua\[VAS_CAJUA_CF_SEC_20230125.xlsx]CF PS'!$DI$36</t>
  </si>
  <si>
    <t>='C:\Users\jaime.benazar\Quorum Business Solutions\Ecopetrol Prometeo - Documents\Planning Space Implementation\3. Analysis &amp; Design\Design\FC22\DRR Jaime\QUIFA-CAJÚA\Cajua\[VAS_CAJUA_CF_SEC_20230125.xlsx]CF PS'!$DI$37</t>
  </si>
  <si>
    <t>='C:\Users\jaime.benazar\Quorum Business Solutions\Ecopetrol Prometeo - Documents\Planning Space Implementation\3. Analysis &amp; Design\Design\FC22\DRR Jaime\QUIFA-CAJÚA\Cajua\[VAS_CAJUA_CF_SEC_20230125.xlsx]CF PS'!$DI$38</t>
  </si>
  <si>
    <t>='C:\Users\jaime.benazar\Quorum Business Solutions\Ecopetrol Prometeo - Documents\Planning Space Implementation\3. Analysis &amp; Design\Design\FC22\DRR Jaime\QUIFA-CAJÚA\Cajua\[VAS_CAJUA_CF_SEC_20230125.xlsx]CF PS'!$DI$39</t>
  </si>
  <si>
    <t>='C:\Users\jaime.benazar\Quorum Business Solutions\Ecopetrol Prometeo - Documents\Planning Space Implementation\3. Analysis &amp; Design\Design\FC22\DRR Jaime\QUIFA-CAJÚA\Cajua\[VAS_CAJUA_CF_SEC_20230125.xlsx]CF PS'!$DI$40</t>
  </si>
  <si>
    <t>='C:\Users\jaime.benazar\Quorum Business Solutions\Ecopetrol Prometeo - Documents\Planning Space Implementation\3. Analysis &amp; Design\Design\FC22\DRR Jaime\QUIFA-CAJÚA\Cajua\[VAS_CAJUA_CF_SEC_20230125.xlsx]CF PS'!$DI$41</t>
  </si>
  <si>
    <t>='C:\Users\jaime.benazar\Quorum Business Solutions\Ecopetrol Prometeo - Documents\Planning Space Implementation\3. Analysis &amp; Design\Design\FC22\DRR Jaime\QUIFA-CAJÚA\Cajua\[VAS_CAJUA_CF_SEC_20230125.xlsx]CF PS'!$DI$42</t>
  </si>
  <si>
    <t>='C:\Users\jaime.benazar\Quorum Business Solutions\Ecopetrol Prometeo - Documents\Planning Space Implementation\3. Analysis &amp; Design\Design\FC22\DRR Jaime\QUIFA-CAJÚA\Cajua\[VAS_CAJUA_CF_SEC_20230125.xlsx]CF PS'!$DI$43</t>
  </si>
  <si>
    <t>='C:\Users\jaime.benazar\Quorum Business Solutions\Ecopetrol Prometeo - Documents\Planning Space Implementation\3. Analysis &amp; Design\Design\FC22\DRR Jaime\QUIFA-CAJÚA\Cajua\[VAS_CAJUA_CF_SEC_20230125.xlsx]CF PS'!$DI$44</t>
  </si>
  <si>
    <t>='C:\Users\jaime.benazar\Quorum Business Solutions\Ecopetrol Prometeo - Documents\Planning Space Implementation\3. Analysis &amp; Design\Design\FC22\DRR Jaime\QUIFA-CAJÚA\Cajua\[VAS_CAJUA_CF_SEC_20230125.xlsx]CF PS'!$DI$45</t>
  </si>
  <si>
    <t>='C:\Users\jaime.benazar\Quorum Business Solutions\Ecopetrol Prometeo - Documents\Planning Space Implementation\3. Analysis &amp; Design\Design\FC22\DRR Jaime\QUIFA-CAJÚA\Cajua\[VAS_CAJUA_CF_SEC_20230125.xlsx]CF PS'!$DI$46</t>
  </si>
  <si>
    <t>='C:\Users\jaime.benazar\Quorum Business Solutions\Ecopetrol Prometeo - Documents\Planning Space Implementation\3. Analysis &amp; Design\Design\FC22\DRR Jaime\QUIFA-CAJÚA\Cajua\[VAS_CAJUA_CF_SEC_20230125.xlsx]CF PS'!$DI$47</t>
  </si>
  <si>
    <t>='C:\Users\jaime.benazar\Quorum Business Solutions\Ecopetrol Prometeo - Documents\Planning Space Implementation\3. Analysis &amp; Design\Design\FC22\DRR Jaime\QUIFA-CAJÚA\Cajua\[VAS_CAJUA_CF_SEC_20230125.xlsx]CF PS'!$DI$48</t>
  </si>
  <si>
    <t>='C:\Users\jaime.benazar\Quorum Business Solutions\Ecopetrol Prometeo - Documents\Planning Space Implementation\3. Analysis &amp; Design\Design\FC22\DRR Jaime\QUIFA-CAJÚA\Cajua\[VAS_CAJUA_CF_SEC_20230125.xlsx]CF PS'!$DI$49</t>
  </si>
  <si>
    <t>='C:\Users\jaime.benazar\Quorum Business Solutions\Ecopetrol Prometeo - Documents\Planning Space Implementation\3. Analysis &amp; Design\Design\FC22\DRR Jaime\QUIFA-CAJÚA\Cajua\[VAS_CAJUA_CF_SEC_20230125.xlsx]CF PS'!$DI$50</t>
  </si>
  <si>
    <t>='C:\Users\jaime.benazar\Quorum Business Solutions\Ecopetrol Prometeo - Documents\Planning Space Implementation\3. Analysis &amp; Design\Design\FC22\DRR Jaime\QUIFA-CAJÚA\Cajua\[VAS_CAJUA_CF_SEC_20230125.xlsx]CF PS'!$DI$51</t>
  </si>
  <si>
    <t>='C:\Users\jaime.benazar\Quorum Business Solutions\Ecopetrol Prometeo - Documents\Planning Space Implementation\3. Analysis &amp; Design\Design\FC22\DRR Jaime\QUIFA-CAJÚA\Cajua\[VAS_CAJUA_CF_SEC_20230125.xlsx]CF PS'!$DI$52</t>
  </si>
  <si>
    <t>='C:\Users\jaime.benazar\Quorum Business Solutions\Ecopetrol Prometeo - Documents\Planning Space Implementation\3. Analysis &amp; Design\Design\FC22\DRR Jaime\QUIFA-CAJÚA\Cajua\[VAS_CAJUA_CF_SEC_20230125.xlsx]CF PS'!$DI$53</t>
  </si>
  <si>
    <t>='C:\Users\jaime.benazar\Quorum Business Solutions\Ecopetrol Prometeo - Documents\Planning Space Implementation\3. Analysis &amp; Design\Design\FC22\DRR Jaime\QUIFA-CAJÚA\Cajua\[VAS_CAJUA_CF_SEC_20230125.xlsx]CF PS'!$DI$54</t>
  </si>
  <si>
    <t>='C:\Users\jaime.benazar\Quorum Business Solutions\Ecopetrol Prometeo - Documents\Planning Space Implementation\3. Analysis &amp; Design\Design\FC22\DRR Jaime\QUIFA-CAJÚA\Cajua\[VAS_CAJUA_CF_SEC_20230125.xlsx]CF PS'!$DI$55</t>
  </si>
  <si>
    <t>='C:\Users\jaime.benazar\Quorum Business Solutions\Ecopetrol Prometeo - Documents\Planning Space Implementation\3. Analysis &amp; Design\Design\FC22\DRR Jaime\QUIFA-CAJÚA\Cajua\[VAS_CAJUA_CF_SEC_20230125.xlsx]CF PS'!$DI$56</t>
  </si>
  <si>
    <t>='C:\Users\jaime.benazar\Quorum Business Solutions\Ecopetrol Prometeo - Documents\Planning Space Implementation\3. Analysis &amp; Design\Design\FC22\DRR Jaime\QUIFA-CAJÚA\Cajua\[VAS_CAJUA_CF_SEC_20230125.xlsx]CF PS'!$DI$57</t>
  </si>
  <si>
    <t>='C:\Users\jaime.benazar\Quorum Business Solutions\Ecopetrol Prometeo - Documents\Planning Space Implementation\3. Analysis &amp; Design\Design\FC22\DRR Jaime\QUIFA-CAJÚA\Cajua\[VAS_CAJUA_CF_SEC_20230125.xlsx]CF PS'!$DI$58</t>
  </si>
  <si>
    <t>='C:\Users\jaime.benazar\Quorum Business Solutions\Ecopetrol Prometeo - Documents\Planning Space Implementation\3. Analysis &amp; Design\Design\FC22\DRR Jaime\QUIFA-CAJÚA\Cajua\[VAS_CAJUA_CF_SEC_20230125.xlsx]CF PS'!$DI$59</t>
  </si>
  <si>
    <t>='C:\Users\jaime.benazar\Quorum Business Solutions\Ecopetrol Prometeo - Documents\Planning Space Implementation\3. Analysis &amp; Design\Design\FC22\DRR Jaime\QUIFA-CAJÚA\Cajua\[VAS_CAJUA_CF_SEC_20230125.xlsx]CF PS'!$DI$60</t>
  </si>
  <si>
    <t>='C:\Users\jaime.benazar\Quorum Business Solutions\Ecopetrol Prometeo - Documents\Planning Space Implementation\3. Analysis &amp; Design\Design\FC22\DRR Jaime\QUIFA-CAJÚA\Cajua\[VAS_CAJUA_CF_SEC_20230125.xlsx]CF PS'!$DI$61</t>
  </si>
  <si>
    <t>='C:\Users\jaime.benazar\Quorum Business Solutions\Ecopetrol Prometeo - Documents\Planning Space Implementation\3. Analysis &amp; Design\Design\FC22\DRR Jaime\QUIFA-CAJÚA\Cajua\[VAS_CAJUA_CF_SEC_20230125.xlsx]CF PS'!$DI$62</t>
  </si>
  <si>
    <t>='C:\Users\jaime.benazar\Quorum Business Solutions\Ecopetrol Prometeo - Documents\Planning Space Implementation\3. Analysis &amp; Design\Design\FC22\DRR Jaime\QUIFA-CAJÚA\Cajua\[VAS_CAJUA_CF_SEC_20230125.xlsx]CF PS'!$DI$63</t>
  </si>
  <si>
    <t>='C:\Users\jaime.benazar\Quorum Business Solutions\Ecopetrol Prometeo - Documents\Planning Space Implementation\3. Analysis &amp; Design\Design\FC22\DRR Jaime\QUIFA-CAJÚA\Cajua\[VAS_CAJUA_CF_SEC_20230125.xlsx]CF PS'!$DI$64</t>
  </si>
  <si>
    <t>='C:\Users\jaime.benazar\Quorum Business Solutions\Ecopetrol Prometeo - Documents\Planning Space Implementation\3. Analysis &amp; Design\Design\FC22\DRR Jaime\QUIFA-CAJÚA\Cajua\[VAS_CAJUA_CF_SEC_20230125.xlsx]CF PS'!$DI$65</t>
  </si>
  <si>
    <t>='C:\Users\jaime.benazar\Quorum Business Solutions\Ecopetrol Prometeo - Documents\Planning Space Implementation\3. Analysis &amp; Design\Design\FC22\DRR Jaime\QUIFA-CAJÚA\Cajua\[VAS_CAJUA_CF_SEC_20230125.xlsx]CF PS'!$DI$66</t>
  </si>
  <si>
    <t>='C:\Users\jaime.benazar\Quorum Business Solutions\Ecopetrol Prometeo - Documents\Planning Space Implementation\3. Analysis &amp; Design\Design\FC22\DRR Jaime\QUIFA-CAJÚA\Cajua\[VAS_CAJUA_CF_SEC_20230125.xlsx]CF PS'!$DI$67</t>
  </si>
  <si>
    <t>='C:\Users\jaime.benazar\Quorum Business Solutions\Ecopetrol Prometeo - Documents\Planning Space Implementation\3. Analysis &amp; Design\Design\FC22\DRR Jaime\QUIFA-CAJÚA\Cajua\[VAS_CAJUA_CF_SEC_20230125.xlsx]CF PS'!$DI$68</t>
  </si>
  <si>
    <t>='C:\Users\jaime.benazar\Quorum Business Solutions\Ecopetrol Prometeo - Documents\Planning Space Implementation\3. Analysis &amp; Design\Design\FC22\DRR Jaime\QUIFA-CAJÚA\Cajua\[VAS_CAJUA_CF_SEC_20230125.xlsx]CF PS'!$DI$69</t>
  </si>
  <si>
    <t>='C:\Users\jaime.benazar\Quorum Business Solutions\Ecopetrol Prometeo - Documents\Planning Space Implementation\3. Analysis &amp; Design\Design\FC22\DRR Jaime\QUIFA-CAJÚA\Cajua\[VAS_CAJUA_CF_SEC_20230125.xlsx]CF PS'!$DI$70</t>
  </si>
  <si>
    <t>='C:\Users\jaime.benazar\Quorum Business Solutions\Ecopetrol Prometeo - Documents\Planning Space Implementation\3. Analysis &amp; Design\Design\FC22\DRR Jaime\QUIFA-CAJÚA\Cajua\[VAS_CAJUA_CF_SEC_20230125.xlsx]CF PS'!$DI$71</t>
  </si>
  <si>
    <t>='C:\Users\jaime.benazar\Quorum Business Solutions\Ecopetrol Prometeo - Documents\Planning Space Implementation\3. Analysis &amp; Design\Design\FC22\DRR Jaime\QUIFA-CAJÚA\Cajua\[VAS_CAJUA_CF_SEC_20230125.xlsx]CF PS'!$DI$72</t>
  </si>
  <si>
    <t>='C:\Users\jaime.benazar\Quorum Business Solutions\Ecopetrol Prometeo - Documents\Planning Space Implementation\3. Analysis &amp; Design\Design\FC22\DRR Jaime\QUIFA-CAJÚA\Cajua\[VAS_CAJUA_CF_SEC_20230125.xlsx]CF PDP'!$BB$36</t>
  </si>
  <si>
    <t>='C:\Users\jaime.benazar\Quorum Business Solutions\Ecopetrol Prometeo - Documents\Planning Space Implementation\3. Analysis &amp; Design\Design\FC22\DRR Jaime\QUIFA-CAJÚA\Cajua\[VAS_CAJUA_CF_SEC_20230125.xlsx]CF PDP'!$BB$37</t>
  </si>
  <si>
    <t>='C:\Users\jaime.benazar\Quorum Business Solutions\Ecopetrol Prometeo - Documents\Planning Space Implementation\3. Analysis &amp; Design\Design\FC22\DRR Jaime\QUIFA-CAJÚA\Cajua\[VAS_CAJUA_CF_SEC_20230125.xlsx]CF PDP'!$BB$38</t>
  </si>
  <si>
    <t>='C:\Users\jaime.benazar\Quorum Business Solutions\Ecopetrol Prometeo - Documents\Planning Space Implementation\3. Analysis &amp; Design\Design\FC22\DRR Jaime\QUIFA-CAJÚA\Cajua\[VAS_CAJUA_CF_SEC_20230125.xlsx]CF PDP'!$BB$39</t>
  </si>
  <si>
    <t>='C:\Users\jaime.benazar\Quorum Business Solutions\Ecopetrol Prometeo - Documents\Planning Space Implementation\3. Analysis &amp; Design\Design\FC22\DRR Jaime\QUIFA-CAJÚA\Cajua\[VAS_CAJUA_CF_SEC_20230125.xlsx]CF PDP'!$BB$40</t>
  </si>
  <si>
    <t>='C:\Users\jaime.benazar\Quorum Business Solutions\Ecopetrol Prometeo - Documents\Planning Space Implementation\3. Analysis &amp; Design\Design\FC22\DRR Jaime\QUIFA-CAJÚA\Cajua\[VAS_CAJUA_CF_SEC_20230125.xlsx]CF PDP'!$BB$41</t>
  </si>
  <si>
    <t>='C:\Users\jaime.benazar\Quorum Business Solutions\Ecopetrol Prometeo - Documents\Planning Space Implementation\3. Analysis &amp; Design\Design\FC22\DRR Jaime\QUIFA-CAJÚA\Cajua\[VAS_CAJUA_CF_SEC_20230125.xlsx]CF PDP'!$BB$42</t>
  </si>
  <si>
    <t>='C:\Users\jaime.benazar\Quorum Business Solutions\Ecopetrol Prometeo - Documents\Planning Space Implementation\3. Analysis &amp; Design\Design\FC22\DRR Jaime\QUIFA-CAJÚA\Cajua\[VAS_CAJUA_CF_SEC_20230125.xlsx]CF PDP'!$BB$43</t>
  </si>
  <si>
    <t>='C:\Users\jaime.benazar\Quorum Business Solutions\Ecopetrol Prometeo - Documents\Planning Space Implementation\3. Analysis &amp; Design\Design\FC22\DRR Jaime\QUIFA-CAJÚA\Cajua\[VAS_CAJUA_CF_SEC_20230125.xlsx]CF PDP'!$BB$44</t>
  </si>
  <si>
    <t>='C:\Users\jaime.benazar\Quorum Business Solutions\Ecopetrol Prometeo - Documents\Planning Space Implementation\3. Analysis &amp; Design\Design\FC22\DRR Jaime\QUIFA-CAJÚA\Cajua\[VAS_CAJUA_CF_SEC_20230125.xlsx]CF PDP'!$BB$45</t>
  </si>
  <si>
    <t>='C:\Users\jaime.benazar\Quorum Business Solutions\Ecopetrol Prometeo - Documents\Planning Space Implementation\3. Analysis &amp; Design\Design\FC22\DRR Jaime\QUIFA-CAJÚA\Cajua\[VAS_CAJUA_CF_SEC_20230125.xlsx]CF PDP'!$BB$46</t>
  </si>
  <si>
    <t>='C:\Users\jaime.benazar\Quorum Business Solutions\Ecopetrol Prometeo - Documents\Planning Space Implementation\3. Analysis &amp; Design\Design\FC22\DRR Jaime\QUIFA-CAJÚA\Cajua\[VAS_CAJUA_CF_SEC_20230125.xlsx]CF PDP'!$BB$47</t>
  </si>
  <si>
    <t>='C:\Users\jaime.benazar\Quorum Business Solutions\Ecopetrol Prometeo - Documents\Planning Space Implementation\3. Analysis &amp; Design\Design\FC22\DRR Jaime\QUIFA-CAJÚA\Cajua\[VAS_CAJUA_CF_SEC_20230125.xlsx]CF PDP'!$BB$48</t>
  </si>
  <si>
    <t>='C:\Users\jaime.benazar\Quorum Business Solutions\Ecopetrol Prometeo - Documents\Planning Space Implementation\3. Analysis &amp; Design\Design\FC22\DRR Jaime\QUIFA-CAJÚA\Cajua\[VAS_CAJUA_CF_SEC_20230125.xlsx]CF PDP'!$BB$49</t>
  </si>
  <si>
    <t>='C:\Users\jaime.benazar\Quorum Business Solutions\Ecopetrol Prometeo - Documents\Planning Space Implementation\3. Analysis &amp; Design\Design\FC22\DRR Jaime\QUIFA-CAJÚA\Cajua\[VAS_CAJUA_CF_SEC_20230125.xlsx]CF PDP'!$BB$50</t>
  </si>
  <si>
    <t>='C:\Users\jaime.benazar\Quorum Business Solutions\Ecopetrol Prometeo - Documents\Planning Space Implementation\3. Analysis &amp; Design\Design\FC22\DRR Jaime\QUIFA-CAJÚA\Cajua\[VAS_CAJUA_CF_SEC_20230125.xlsx]CF PDP'!$BB$51</t>
  </si>
  <si>
    <t>='C:\Users\jaime.benazar\Quorum Business Solutions\Ecopetrol Prometeo - Documents\Planning Space Implementation\3. Analysis &amp; Design\Design\FC22\DRR Jaime\QUIFA-CAJÚA\Cajua\[VAS_CAJUA_CF_SEC_20230125.xlsx]CF PDP'!$BB$52</t>
  </si>
  <si>
    <t>='C:\Users\jaime.benazar\Quorum Business Solutions\Ecopetrol Prometeo - Documents\Planning Space Implementation\3. Analysis &amp; Design\Design\FC22\DRR Jaime\QUIFA-CAJÚA\Cajua\[VAS_CAJUA_CF_SEC_20230125.xlsx]CF PDP'!$BB$53</t>
  </si>
  <si>
    <t>='C:\Users\jaime.benazar\Quorum Business Solutions\Ecopetrol Prometeo - Documents\Planning Space Implementation\3. Analysis &amp; Design\Design\FC22\DRR Jaime\QUIFA-CAJÚA\Cajua\[VAS_CAJUA_CF_SEC_20230125.xlsx]CF PDP'!$BB$54</t>
  </si>
  <si>
    <t>='C:\Users\jaime.benazar\Quorum Business Solutions\Ecopetrol Prometeo - Documents\Planning Space Implementation\3. Analysis &amp; Design\Design\FC22\DRR Jaime\QUIFA-CAJÚA\Cajua\[VAS_CAJUA_CF_SEC_20230125.xlsx]CF PDP'!$BB$55</t>
  </si>
  <si>
    <t>='C:\Users\jaime.benazar\Quorum Business Solutions\Ecopetrol Prometeo - Documents\Planning Space Implementation\3. Analysis &amp; Design\Design\FC22\DRR Jaime\QUIFA-CAJÚA\Cajua\[VAS_CAJUA_CF_SEC_20230125.xlsx]CF PDP'!$BB$56</t>
  </si>
  <si>
    <t>='C:\Users\jaime.benazar\Quorum Business Solutions\Ecopetrol Prometeo - Documents\Planning Space Implementation\3. Analysis &amp; Design\Design\FC22\DRR Jaime\QUIFA-CAJÚA\Cajua\[VAS_CAJUA_CF_SEC_20230125.xlsx]CF PDP'!$BB$57</t>
  </si>
  <si>
    <t>='C:\Users\jaime.benazar\Quorum Business Solutions\Ecopetrol Prometeo - Documents\Planning Space Implementation\3. Analysis &amp; Design\Design\FC22\DRR Jaime\QUIFA-CAJÚA\Cajua\[VAS_CAJUA_CF_SEC_20230125.xlsx]CF PDP'!$BB$58</t>
  </si>
  <si>
    <t>='C:\Users\jaime.benazar\Quorum Business Solutions\Ecopetrol Prometeo - Documents\Planning Space Implementation\3. Analysis &amp; Design\Design\FC22\DRR Jaime\QUIFA-CAJÚA\Cajua\[VAS_CAJUA_CF_SEC_20230125.xlsx]CF PDP'!$BB$59</t>
  </si>
  <si>
    <t>='C:\Users\jaime.benazar\Quorum Business Solutions\Ecopetrol Prometeo - Documents\Planning Space Implementation\3. Analysis &amp; Design\Design\FC22\DRR Jaime\QUIFA-CAJÚA\Cajua\[VAS_CAJUA_CF_SEC_20230125.xlsx]CF PDP'!$BB$60</t>
  </si>
  <si>
    <t>='C:\Users\jaime.benazar\Quorum Business Solutions\Ecopetrol Prometeo - Documents\Planning Space Implementation\3. Analysis &amp; Design\Design\FC22\DRR Jaime\QUIFA-CAJÚA\Cajua\[VAS_CAJUA_CF_SEC_20230125.xlsx]CF PDP'!$BB$61</t>
  </si>
  <si>
    <t>='C:\Users\jaime.benazar\Quorum Business Solutions\Ecopetrol Prometeo - Documents\Planning Space Implementation\3. Analysis &amp; Design\Design\FC22\DRR Jaime\QUIFA-CAJÚA\Cajua\[VAS_CAJUA_CF_SEC_20230125.xlsx]CF PDP'!$BB$62</t>
  </si>
  <si>
    <t>='C:\Users\jaime.benazar\Quorum Business Solutions\Ecopetrol Prometeo - Documents\Planning Space Implementation\3. Analysis &amp; Design\Design\FC22\DRR Jaime\QUIFA-CAJÚA\Cajua\[VAS_CAJUA_CF_SEC_20230125.xlsx]CF PDP'!$BB$63</t>
  </si>
  <si>
    <t>='C:\Users\jaime.benazar\Quorum Business Solutions\Ecopetrol Prometeo - Documents\Planning Space Implementation\3. Analysis &amp; Design\Design\FC22\DRR Jaime\QUIFA-CAJÚA\Cajua\[VAS_CAJUA_CF_SEC_20230125.xlsx]CF PDP'!$BB$64</t>
  </si>
  <si>
    <t>='C:\Users\jaime.benazar\Quorum Business Solutions\Ecopetrol Prometeo - Documents\Planning Space Implementation\3. Analysis &amp; Design\Design\FC22\DRR Jaime\QUIFA-CAJÚA\Cajua\[VAS_CAJUA_CF_SEC_20230125.xlsx]CF PDP'!$BB$65</t>
  </si>
  <si>
    <t>='C:\Users\jaime.benazar\Quorum Business Solutions\Ecopetrol Prometeo - Documents\Planning Space Implementation\3. Analysis &amp; Design\Design\FC22\DRR Jaime\QUIFA-CAJÚA\Cajua\[VAS_CAJUA_CF_SEC_20230125.xlsx]CF PDP'!$BB$66</t>
  </si>
  <si>
    <t>='C:\Users\jaime.benazar\Quorum Business Solutions\Ecopetrol Prometeo - Documents\Planning Space Implementation\3. Analysis &amp; Design\Design\FC22\DRR Jaime\QUIFA-CAJÚA\Cajua\[VAS_CAJUA_CF_SEC_20230125.xlsx]CF PDP'!$BB$67</t>
  </si>
  <si>
    <t>='C:\Users\jaime.benazar\Quorum Business Solutions\Ecopetrol Prometeo - Documents\Planning Space Implementation\3. Analysis &amp; Design\Design\FC22\DRR Jaime\QUIFA-CAJÚA\Cajua\[VAS_CAJUA_CF_SEC_20230125.xlsx]CF PDP'!$BB$68</t>
  </si>
  <si>
    <t>='C:\Users\jaime.benazar\Quorum Business Solutions\Ecopetrol Prometeo - Documents\Planning Space Implementation\3. Analysis &amp; Design\Design\FC22\DRR Jaime\QUIFA-CAJÚA\Cajua\[VAS_CAJUA_CF_SEC_20230125.xlsx]CF PDP'!$BB$69</t>
  </si>
  <si>
    <t>='C:\Users\jaime.benazar\Quorum Business Solutions\Ecopetrol Prometeo - Documents\Planning Space Implementation\3. Analysis &amp; Design\Design\FC22\DRR Jaime\QUIFA-CAJÚA\Cajua\[VAS_CAJUA_CF_SEC_20230125.xlsx]CF PDP'!$BB$70</t>
  </si>
  <si>
    <t>='C:\Users\jaime.benazar\Quorum Business Solutions\Ecopetrol Prometeo - Documents\Planning Space Implementation\3. Analysis &amp; Design\Design\FC22\DRR Jaime\QUIFA-CAJÚA\Cajua\[VAS_CAJUA_CF_SEC_20230125.xlsx]CF PDP'!$BB$71</t>
  </si>
  <si>
    <t>='C:\Users\jaime.benazar\Quorum Business Solutions\Ecopetrol Prometeo - Documents\Planning Space Implementation\3. Analysis &amp; Design\Design\FC22\DRR Jaime\QUIFA-CAJÚA\Cajua\[VAS_CAJUA_CF_SEC_20230125.xlsx]CF PDP'!$BB$72</t>
  </si>
  <si>
    <t>='C:\Users\jaime.benazar\Quorum Business Solutions\Ecopetrol Prometeo - Documents\Planning Space Implementation\3. Analysis &amp; Design\Design\FC22\DRR Jaime\QUIFA-CAJÚA\Cajua\[VAS_CAJUA_CF_SEC_20230125.xlsx]CF PNP'!$BB$36</t>
  </si>
  <si>
    <t>='C:\Users\jaime.benazar\Quorum Business Solutions\Ecopetrol Prometeo - Documents\Planning Space Implementation\3. Analysis &amp; Design\Design\FC22\DRR Jaime\QUIFA-CAJÚA\Cajua\[VAS_CAJUA_CF_SEC_20230125.xlsx]CF PNP'!$BB$37</t>
  </si>
  <si>
    <t>='C:\Users\jaime.benazar\Quorum Business Solutions\Ecopetrol Prometeo - Documents\Planning Space Implementation\3. Analysis &amp; Design\Design\FC22\DRR Jaime\QUIFA-CAJÚA\Cajua\[VAS_CAJUA_CF_SEC_20230125.xlsx]CF PNP'!$BB$38</t>
  </si>
  <si>
    <t>='C:\Users\jaime.benazar\Quorum Business Solutions\Ecopetrol Prometeo - Documents\Planning Space Implementation\3. Analysis &amp; Design\Design\FC22\DRR Jaime\QUIFA-CAJÚA\Cajua\[VAS_CAJUA_CF_SEC_20230125.xlsx]CF PNP'!$BB$39</t>
  </si>
  <si>
    <t>='C:\Users\jaime.benazar\Quorum Business Solutions\Ecopetrol Prometeo - Documents\Planning Space Implementation\3. Analysis &amp; Design\Design\FC22\DRR Jaime\QUIFA-CAJÚA\Cajua\[VAS_CAJUA_CF_SEC_20230125.xlsx]CF PNP'!$BB$40</t>
  </si>
  <si>
    <t>='C:\Users\jaime.benazar\Quorum Business Solutions\Ecopetrol Prometeo - Documents\Planning Space Implementation\3. Analysis &amp; Design\Design\FC22\DRR Jaime\QUIFA-CAJÚA\Cajua\[VAS_CAJUA_CF_SEC_20230125.xlsx]CF PNP'!$BB$41</t>
  </si>
  <si>
    <t>='C:\Users\jaime.benazar\Quorum Business Solutions\Ecopetrol Prometeo - Documents\Planning Space Implementation\3. Analysis &amp; Design\Design\FC22\DRR Jaime\QUIFA-CAJÚA\Cajua\[VAS_CAJUA_CF_SEC_20230125.xlsx]CF PNP'!$BB$42</t>
  </si>
  <si>
    <t>='C:\Users\jaime.benazar\Quorum Business Solutions\Ecopetrol Prometeo - Documents\Planning Space Implementation\3. Analysis &amp; Design\Design\FC22\DRR Jaime\QUIFA-CAJÚA\Cajua\[VAS_CAJUA_CF_SEC_20230125.xlsx]CF PNP'!$BB$43</t>
  </si>
  <si>
    <t>='C:\Users\jaime.benazar\Quorum Business Solutions\Ecopetrol Prometeo - Documents\Planning Space Implementation\3. Analysis &amp; Design\Design\FC22\DRR Jaime\QUIFA-CAJÚA\Cajua\[VAS_CAJUA_CF_SEC_20230125.xlsx]CF PNP'!$BB$44</t>
  </si>
  <si>
    <t>='C:\Users\jaime.benazar\Quorum Business Solutions\Ecopetrol Prometeo - Documents\Planning Space Implementation\3. Analysis &amp; Design\Design\FC22\DRR Jaime\QUIFA-CAJÚA\Cajua\[VAS_CAJUA_CF_SEC_20230125.xlsx]CF PNP'!$BB$45</t>
  </si>
  <si>
    <t>='C:\Users\jaime.benazar\Quorum Business Solutions\Ecopetrol Prometeo - Documents\Planning Space Implementation\3. Analysis &amp; Design\Design\FC22\DRR Jaime\QUIFA-CAJÚA\Cajua\[VAS_CAJUA_CF_SEC_20230125.xlsx]CF PNP'!$BB$46</t>
  </si>
  <si>
    <t>='C:\Users\jaime.benazar\Quorum Business Solutions\Ecopetrol Prometeo - Documents\Planning Space Implementation\3. Analysis &amp; Design\Design\FC22\DRR Jaime\QUIFA-CAJÚA\Cajua\[VAS_CAJUA_CF_SEC_20230125.xlsx]CF PNP'!$BB$47</t>
  </si>
  <si>
    <t>='C:\Users\jaime.benazar\Quorum Business Solutions\Ecopetrol Prometeo - Documents\Planning Space Implementation\3. Analysis &amp; Design\Design\FC22\DRR Jaime\QUIFA-CAJÚA\Cajua\[VAS_CAJUA_CF_SEC_20230125.xlsx]CF PNP'!$BB$48</t>
  </si>
  <si>
    <t>='C:\Users\jaime.benazar\Quorum Business Solutions\Ecopetrol Prometeo - Documents\Planning Space Implementation\3. Analysis &amp; Design\Design\FC22\DRR Jaime\QUIFA-CAJÚA\Cajua\[VAS_CAJUA_CF_SEC_20230125.xlsx]CF PNP'!$BB$49</t>
  </si>
  <si>
    <t>='C:\Users\jaime.benazar\Quorum Business Solutions\Ecopetrol Prometeo - Documents\Planning Space Implementation\3. Analysis &amp; Design\Design\FC22\DRR Jaime\QUIFA-CAJÚA\Cajua\[VAS_CAJUA_CF_SEC_20230125.xlsx]CF PNP'!$BB$50</t>
  </si>
  <si>
    <t>='C:\Users\jaime.benazar\Quorum Business Solutions\Ecopetrol Prometeo - Documents\Planning Space Implementation\3. Analysis &amp; Design\Design\FC22\DRR Jaime\QUIFA-CAJÚA\Cajua\[VAS_CAJUA_CF_SEC_20230125.xlsx]CF PNP'!$BB$51</t>
  </si>
  <si>
    <t>='C:\Users\jaime.benazar\Quorum Business Solutions\Ecopetrol Prometeo - Documents\Planning Space Implementation\3. Analysis &amp; Design\Design\FC22\DRR Jaime\QUIFA-CAJÚA\Cajua\[VAS_CAJUA_CF_SEC_20230125.xlsx]CF PNP'!$BB$52</t>
  </si>
  <si>
    <t>='C:\Users\jaime.benazar\Quorum Business Solutions\Ecopetrol Prometeo - Documents\Planning Space Implementation\3. Analysis &amp; Design\Design\FC22\DRR Jaime\QUIFA-CAJÚA\Cajua\[VAS_CAJUA_CF_SEC_20230125.xlsx]CF PNP'!$BB$53</t>
  </si>
  <si>
    <t>='C:\Users\jaime.benazar\Quorum Business Solutions\Ecopetrol Prometeo - Documents\Planning Space Implementation\3. Analysis &amp; Design\Design\FC22\DRR Jaime\QUIFA-CAJÚA\Cajua\[VAS_CAJUA_CF_SEC_20230125.xlsx]CF PNP'!$BB$54</t>
  </si>
  <si>
    <t>='C:\Users\jaime.benazar\Quorum Business Solutions\Ecopetrol Prometeo - Documents\Planning Space Implementation\3. Analysis &amp; Design\Design\FC22\DRR Jaime\QUIFA-CAJÚA\Cajua\[VAS_CAJUA_CF_SEC_20230125.xlsx]CF PNP'!$BB$55</t>
  </si>
  <si>
    <t>='C:\Users\jaime.benazar\Quorum Business Solutions\Ecopetrol Prometeo - Documents\Planning Space Implementation\3. Analysis &amp; Design\Design\FC22\DRR Jaime\QUIFA-CAJÚA\Cajua\[VAS_CAJUA_CF_SEC_20230125.xlsx]CF PNP'!$BB$56</t>
  </si>
  <si>
    <t>='C:\Users\jaime.benazar\Quorum Business Solutions\Ecopetrol Prometeo - Documents\Planning Space Implementation\3. Analysis &amp; Design\Design\FC22\DRR Jaime\QUIFA-CAJÚA\Cajua\[VAS_CAJUA_CF_SEC_20230125.xlsx]CF PNP'!$BB$57</t>
  </si>
  <si>
    <t>='C:\Users\jaime.benazar\Quorum Business Solutions\Ecopetrol Prometeo - Documents\Planning Space Implementation\3. Analysis &amp; Design\Design\FC22\DRR Jaime\QUIFA-CAJÚA\Cajua\[VAS_CAJUA_CF_SEC_20230125.xlsx]CF PNP'!$BB$58</t>
  </si>
  <si>
    <t>='C:\Users\jaime.benazar\Quorum Business Solutions\Ecopetrol Prometeo - Documents\Planning Space Implementation\3. Analysis &amp; Design\Design\FC22\DRR Jaime\QUIFA-CAJÚA\Cajua\[VAS_CAJUA_CF_SEC_20230125.xlsx]CF PNP'!$BB$59</t>
  </si>
  <si>
    <t>='C:\Users\jaime.benazar\Quorum Business Solutions\Ecopetrol Prometeo - Documents\Planning Space Implementation\3. Analysis &amp; Design\Design\FC22\DRR Jaime\QUIFA-CAJÚA\Cajua\[VAS_CAJUA_CF_SEC_20230125.xlsx]CF PNP'!$BB$60</t>
  </si>
  <si>
    <t>='C:\Users\jaime.benazar\Quorum Business Solutions\Ecopetrol Prometeo - Documents\Planning Space Implementation\3. Analysis &amp; Design\Design\FC22\DRR Jaime\QUIFA-CAJÚA\Cajua\[VAS_CAJUA_CF_SEC_20230125.xlsx]CF PNP'!$BB$61</t>
  </si>
  <si>
    <t>='C:\Users\jaime.benazar\Quorum Business Solutions\Ecopetrol Prometeo - Documents\Planning Space Implementation\3. Analysis &amp; Design\Design\FC22\DRR Jaime\QUIFA-CAJÚA\Cajua\[VAS_CAJUA_CF_SEC_20230125.xlsx]CF PNP'!$BB$62</t>
  </si>
  <si>
    <t>='C:\Users\jaime.benazar\Quorum Business Solutions\Ecopetrol Prometeo - Documents\Planning Space Implementation\3. Analysis &amp; Design\Design\FC22\DRR Jaime\QUIFA-CAJÚA\Cajua\[VAS_CAJUA_CF_SEC_20230125.xlsx]CF PNP'!$BB$63</t>
  </si>
  <si>
    <t>='C:\Users\jaime.benazar\Quorum Business Solutions\Ecopetrol Prometeo - Documents\Planning Space Implementation\3. Analysis &amp; Design\Design\FC22\DRR Jaime\QUIFA-CAJÚA\Cajua\[VAS_CAJUA_CF_SEC_20230125.xlsx]CF PNP'!$BB$64</t>
  </si>
  <si>
    <t>='C:\Users\jaime.benazar\Quorum Business Solutions\Ecopetrol Prometeo - Documents\Planning Space Implementation\3. Analysis &amp; Design\Design\FC22\DRR Jaime\QUIFA-CAJÚA\Cajua\[VAS_CAJUA_CF_SEC_20230125.xlsx]CF PNP'!$BB$65</t>
  </si>
  <si>
    <t>='C:\Users\jaime.benazar\Quorum Business Solutions\Ecopetrol Prometeo - Documents\Planning Space Implementation\3. Analysis &amp; Design\Design\FC22\DRR Jaime\QUIFA-CAJÚA\Cajua\[VAS_CAJUA_CF_SEC_20230125.xlsx]CF PNP'!$BB$66</t>
  </si>
  <si>
    <t>='C:\Users\jaime.benazar\Quorum Business Solutions\Ecopetrol Prometeo - Documents\Planning Space Implementation\3. Analysis &amp; Design\Design\FC22\DRR Jaime\QUIFA-CAJÚA\Cajua\[VAS_CAJUA_CF_SEC_20230125.xlsx]CF PNP'!$BB$67</t>
  </si>
  <si>
    <t>='C:\Users\jaime.benazar\Quorum Business Solutions\Ecopetrol Prometeo - Documents\Planning Space Implementation\3. Analysis &amp; Design\Design\FC22\DRR Jaime\QUIFA-CAJÚA\Cajua\[VAS_CAJUA_CF_SEC_20230125.xlsx]CF PNP'!$BB$68</t>
  </si>
  <si>
    <t>='C:\Users\jaime.benazar\Quorum Business Solutions\Ecopetrol Prometeo - Documents\Planning Space Implementation\3. Analysis &amp; Design\Design\FC22\DRR Jaime\QUIFA-CAJÚA\Cajua\[VAS_CAJUA_CF_SEC_20230125.xlsx]CF PNP'!$BB$69</t>
  </si>
  <si>
    <t>='C:\Users\jaime.benazar\Quorum Business Solutions\Ecopetrol Prometeo - Documents\Planning Space Implementation\3. Analysis &amp; Design\Design\FC22\DRR Jaime\QUIFA-CAJÚA\Cajua\[VAS_CAJUA_CF_SEC_20230125.xlsx]CF PNP'!$BB$70</t>
  </si>
  <si>
    <t>='C:\Users\jaime.benazar\Quorum Business Solutions\Ecopetrol Prometeo - Documents\Planning Space Implementation\3. Analysis &amp; Design\Design\FC22\DRR Jaime\QUIFA-CAJÚA\Cajua\[VAS_CAJUA_CF_SEC_20230125.xlsx]CF PNP'!$BB$71</t>
  </si>
  <si>
    <t>='C:\Users\jaime.benazar\Quorum Business Solutions\Ecopetrol Prometeo - Documents\Planning Space Implementation\3. Analysis &amp; Design\Design\FC22\DRR Jaime\QUIFA-CAJÚA\Cajua\[VAS_CAJUA_CF_SEC_20230125.xlsx]CF PNP'!$BB$72</t>
  </si>
  <si>
    <t>='C:\Users\jaime.benazar\Quorum Business Solutions\Ecopetrol Prometeo - Documents\Planning Space Implementation\3. Analysis &amp; Design\Design\FC22\DRR Jaime\QUIFA-CAJÚA\Cajua\[VAS_CAJUA_CF_SEC_20230125.xlsx]CF PND'!$BB$36</t>
  </si>
  <si>
    <t>='C:\Users\jaime.benazar\Quorum Business Solutions\Ecopetrol Prometeo - Documents\Planning Space Implementation\3. Analysis &amp; Design\Design\FC22\DRR Jaime\QUIFA-CAJÚA\Cajua\[VAS_CAJUA_CF_SEC_20230125.xlsx]CF PND'!$BB$37</t>
  </si>
  <si>
    <t>='C:\Users\jaime.benazar\Quorum Business Solutions\Ecopetrol Prometeo - Documents\Planning Space Implementation\3. Analysis &amp; Design\Design\FC22\DRR Jaime\QUIFA-CAJÚA\Cajua\[VAS_CAJUA_CF_SEC_20230125.xlsx]CF PND'!$BB$38</t>
  </si>
  <si>
    <t>='C:\Users\jaime.benazar\Quorum Business Solutions\Ecopetrol Prometeo - Documents\Planning Space Implementation\3. Analysis &amp; Design\Design\FC22\DRR Jaime\QUIFA-CAJÚA\Cajua\[VAS_CAJUA_CF_SEC_20230125.xlsx]CF PND'!$BB$39</t>
  </si>
  <si>
    <t>='C:\Users\jaime.benazar\Quorum Business Solutions\Ecopetrol Prometeo - Documents\Planning Space Implementation\3. Analysis &amp; Design\Design\FC22\DRR Jaime\QUIFA-CAJÚA\Cajua\[VAS_CAJUA_CF_SEC_20230125.xlsx]CF PND'!$BB$40</t>
  </si>
  <si>
    <t>='C:\Users\jaime.benazar\Quorum Business Solutions\Ecopetrol Prometeo - Documents\Planning Space Implementation\3. Analysis &amp; Design\Design\FC22\DRR Jaime\QUIFA-CAJÚA\Cajua\[VAS_CAJUA_CF_SEC_20230125.xlsx]CF PND'!$BB$41</t>
  </si>
  <si>
    <t>='C:\Users\jaime.benazar\Quorum Business Solutions\Ecopetrol Prometeo - Documents\Planning Space Implementation\3. Analysis &amp; Design\Design\FC22\DRR Jaime\QUIFA-CAJÚA\Cajua\[VAS_CAJUA_CF_SEC_20230125.xlsx]CF PND'!$BB$42</t>
  </si>
  <si>
    <t>='C:\Users\jaime.benazar\Quorum Business Solutions\Ecopetrol Prometeo - Documents\Planning Space Implementation\3. Analysis &amp; Design\Design\FC22\DRR Jaime\QUIFA-CAJÚA\Cajua\[VAS_CAJUA_CF_SEC_20230125.xlsx]CF PND'!$BB$43</t>
  </si>
  <si>
    <t>='C:\Users\jaime.benazar\Quorum Business Solutions\Ecopetrol Prometeo - Documents\Planning Space Implementation\3. Analysis &amp; Design\Design\FC22\DRR Jaime\QUIFA-CAJÚA\Cajua\[VAS_CAJUA_CF_SEC_20230125.xlsx]CF PND'!$BB$44</t>
  </si>
  <si>
    <t>='C:\Users\jaime.benazar\Quorum Business Solutions\Ecopetrol Prometeo - Documents\Planning Space Implementation\3. Analysis &amp; Design\Design\FC22\DRR Jaime\QUIFA-CAJÚA\Cajua\[VAS_CAJUA_CF_SEC_20230125.xlsx]CF PND'!$BB$45</t>
  </si>
  <si>
    <t>='C:\Users\jaime.benazar\Quorum Business Solutions\Ecopetrol Prometeo - Documents\Planning Space Implementation\3. Analysis &amp; Design\Design\FC22\DRR Jaime\QUIFA-CAJÚA\Cajua\[VAS_CAJUA_CF_SEC_20230125.xlsx]CF PND'!$BB$46</t>
  </si>
  <si>
    <t>='C:\Users\jaime.benazar\Quorum Business Solutions\Ecopetrol Prometeo - Documents\Planning Space Implementation\3. Analysis &amp; Design\Design\FC22\DRR Jaime\QUIFA-CAJÚA\Cajua\[VAS_CAJUA_CF_SEC_20230125.xlsx]CF PND'!$BB$47</t>
  </si>
  <si>
    <t>='C:\Users\jaime.benazar\Quorum Business Solutions\Ecopetrol Prometeo - Documents\Planning Space Implementation\3. Analysis &amp; Design\Design\FC22\DRR Jaime\QUIFA-CAJÚA\Cajua\[VAS_CAJUA_CF_SEC_20230125.xlsx]CF PND'!$BB$48</t>
  </si>
  <si>
    <t>='C:\Users\jaime.benazar\Quorum Business Solutions\Ecopetrol Prometeo - Documents\Planning Space Implementation\3. Analysis &amp; Design\Design\FC22\DRR Jaime\QUIFA-CAJÚA\Cajua\[VAS_CAJUA_CF_SEC_20230125.xlsx]CF PND'!$BB$49</t>
  </si>
  <si>
    <t>='C:\Users\jaime.benazar\Quorum Business Solutions\Ecopetrol Prometeo - Documents\Planning Space Implementation\3. Analysis &amp; Design\Design\FC22\DRR Jaime\QUIFA-CAJÚA\Cajua\[VAS_CAJUA_CF_SEC_20230125.xlsx]CF PND'!$BB$50</t>
  </si>
  <si>
    <t>='C:\Users\jaime.benazar\Quorum Business Solutions\Ecopetrol Prometeo - Documents\Planning Space Implementation\3. Analysis &amp; Design\Design\FC22\DRR Jaime\QUIFA-CAJÚA\Cajua\[VAS_CAJUA_CF_SEC_20230125.xlsx]CF PND'!$BB$51</t>
  </si>
  <si>
    <t>='C:\Users\jaime.benazar\Quorum Business Solutions\Ecopetrol Prometeo - Documents\Planning Space Implementation\3. Analysis &amp; Design\Design\FC22\DRR Jaime\QUIFA-CAJÚA\Cajua\[VAS_CAJUA_CF_SEC_20230125.xlsx]CF PND'!$BB$52</t>
  </si>
  <si>
    <t>='C:\Users\jaime.benazar\Quorum Business Solutions\Ecopetrol Prometeo - Documents\Planning Space Implementation\3. Analysis &amp; Design\Design\FC22\DRR Jaime\QUIFA-CAJÚA\Cajua\[VAS_CAJUA_CF_SEC_20230125.xlsx]CF PND'!$BB$53</t>
  </si>
  <si>
    <t>='C:\Users\jaime.benazar\Quorum Business Solutions\Ecopetrol Prometeo - Documents\Planning Space Implementation\3. Analysis &amp; Design\Design\FC22\DRR Jaime\QUIFA-CAJÚA\Cajua\[VAS_CAJUA_CF_SEC_20230125.xlsx]CF PND'!$BB$54</t>
  </si>
  <si>
    <t>='C:\Users\jaime.benazar\Quorum Business Solutions\Ecopetrol Prometeo - Documents\Planning Space Implementation\3. Analysis &amp; Design\Design\FC22\DRR Jaime\QUIFA-CAJÚA\Cajua\[VAS_CAJUA_CF_SEC_20230125.xlsx]CF PND'!$BB$55</t>
  </si>
  <si>
    <t>='C:\Users\jaime.benazar\Quorum Business Solutions\Ecopetrol Prometeo - Documents\Planning Space Implementation\3. Analysis &amp; Design\Design\FC22\DRR Jaime\QUIFA-CAJÚA\Cajua\[VAS_CAJUA_CF_SEC_20230125.xlsx]CF PND'!$BB$56</t>
  </si>
  <si>
    <t>='C:\Users\jaime.benazar\Quorum Business Solutions\Ecopetrol Prometeo - Documents\Planning Space Implementation\3. Analysis &amp; Design\Design\FC22\DRR Jaime\QUIFA-CAJÚA\Cajua\[VAS_CAJUA_CF_SEC_20230125.xlsx]CF PND'!$BB$57</t>
  </si>
  <si>
    <t>='C:\Users\jaime.benazar\Quorum Business Solutions\Ecopetrol Prometeo - Documents\Planning Space Implementation\3. Analysis &amp; Design\Design\FC22\DRR Jaime\QUIFA-CAJÚA\Cajua\[VAS_CAJUA_CF_SEC_20230125.xlsx]CF PND'!$BB$58</t>
  </si>
  <si>
    <t>='C:\Users\jaime.benazar\Quorum Business Solutions\Ecopetrol Prometeo - Documents\Planning Space Implementation\3. Analysis &amp; Design\Design\FC22\DRR Jaime\QUIFA-CAJÚA\Cajua\[VAS_CAJUA_CF_SEC_20230125.xlsx]CF PND'!$BB$59</t>
  </si>
  <si>
    <t>='C:\Users\jaime.benazar\Quorum Business Solutions\Ecopetrol Prometeo - Documents\Planning Space Implementation\3. Analysis &amp; Design\Design\FC22\DRR Jaime\QUIFA-CAJÚA\Cajua\[VAS_CAJUA_CF_SEC_20230125.xlsx]CF PND'!$BB$60</t>
  </si>
  <si>
    <t>='C:\Users\jaime.benazar\Quorum Business Solutions\Ecopetrol Prometeo - Documents\Planning Space Implementation\3. Analysis &amp; Design\Design\FC22\DRR Jaime\QUIFA-CAJÚA\Cajua\[VAS_CAJUA_CF_SEC_20230125.xlsx]CF PND'!$BB$61</t>
  </si>
  <si>
    <t>='C:\Users\jaime.benazar\Quorum Business Solutions\Ecopetrol Prometeo - Documents\Planning Space Implementation\3. Analysis &amp; Design\Design\FC22\DRR Jaime\QUIFA-CAJÚA\Cajua\[VAS_CAJUA_CF_SEC_20230125.xlsx]CF PND'!$BB$62</t>
  </si>
  <si>
    <t>='C:\Users\jaime.benazar\Quorum Business Solutions\Ecopetrol Prometeo - Documents\Planning Space Implementation\3. Analysis &amp; Design\Design\FC22\DRR Jaime\QUIFA-CAJÚA\Cajua\[VAS_CAJUA_CF_SEC_20230125.xlsx]CF PND'!$BB$63</t>
  </si>
  <si>
    <t>='C:\Users\jaime.benazar\Quorum Business Solutions\Ecopetrol Prometeo - Documents\Planning Space Implementation\3. Analysis &amp; Design\Design\FC22\DRR Jaime\QUIFA-CAJÚA\Cajua\[VAS_CAJUA_CF_SEC_20230125.xlsx]CF PND'!$BB$64</t>
  </si>
  <si>
    <t>='C:\Users\jaime.benazar\Quorum Business Solutions\Ecopetrol Prometeo - Documents\Planning Space Implementation\3. Analysis &amp; Design\Design\FC22\DRR Jaime\QUIFA-CAJÚA\Cajua\[VAS_CAJUA_CF_SEC_20230125.xlsx]CF PND'!$BB$65</t>
  </si>
  <si>
    <t>='C:\Users\jaime.benazar\Quorum Business Solutions\Ecopetrol Prometeo - Documents\Planning Space Implementation\3. Analysis &amp; Design\Design\FC22\DRR Jaime\QUIFA-CAJÚA\Cajua\[VAS_CAJUA_CF_SEC_20230125.xlsx]CF PND'!$BB$66</t>
  </si>
  <si>
    <t>='C:\Users\jaime.benazar\Quorum Business Solutions\Ecopetrol Prometeo - Documents\Planning Space Implementation\3. Analysis &amp; Design\Design\FC22\DRR Jaime\QUIFA-CAJÚA\Cajua\[VAS_CAJUA_CF_SEC_20230125.xlsx]CF PND'!$BB$67</t>
  </si>
  <si>
    <t>='C:\Users\jaime.benazar\Quorum Business Solutions\Ecopetrol Prometeo - Documents\Planning Space Implementation\3. Analysis &amp; Design\Design\FC22\DRR Jaime\QUIFA-CAJÚA\Cajua\[VAS_CAJUA_CF_SEC_20230125.xlsx]CF PND'!$BB$68</t>
  </si>
  <si>
    <t>='C:\Users\jaime.benazar\Quorum Business Solutions\Ecopetrol Prometeo - Documents\Planning Space Implementation\3. Analysis &amp; Design\Design\FC22\DRR Jaime\QUIFA-CAJÚA\Cajua\[VAS_CAJUA_CF_SEC_20230125.xlsx]CF PND'!$BB$69</t>
  </si>
  <si>
    <t>='C:\Users\jaime.benazar\Quorum Business Solutions\Ecopetrol Prometeo - Documents\Planning Space Implementation\3. Analysis &amp; Design\Design\FC22\DRR Jaime\QUIFA-CAJÚA\Cajua\[VAS_CAJUA_CF_SEC_20230125.xlsx]CF PND'!$BB$70</t>
  </si>
  <si>
    <t>='C:\Users\jaime.benazar\Quorum Business Solutions\Ecopetrol Prometeo - Documents\Planning Space Implementation\3. Analysis &amp; Design\Design\FC22\DRR Jaime\QUIFA-CAJÚA\Cajua\[VAS_CAJUA_CF_SEC_20230125.xlsx]CF PND'!$BB$71</t>
  </si>
  <si>
    <t>='C:\Users\jaime.benazar\Quorum Business Solutions\Ecopetrol Prometeo - Documents\Planning Space Implementation\3. Analysis &amp; Design\Design\FC22\DRR Jaime\QUIFA-CAJÚA\Cajua\[VAS_CAJUA_CF_SEC_20230125.xlsx]CF PND'!$BB$72</t>
  </si>
  <si>
    <t>='C:\Users\jaime.benazar\Quorum Business Solutions\Ecopetrol Prometeo - Documents\Planning Space Implementation\3. Analysis &amp; Design\Design\FC22\DRR Jaime\QUIFA-CAJÚA\Cajua\[VAS_CAJUA_CF_SEC_20230125.xlsx]CF PRB'!$BB$36</t>
  </si>
  <si>
    <t>='C:\Users\jaime.benazar\Quorum Business Solutions\Ecopetrol Prometeo - Documents\Planning Space Implementation\3. Analysis &amp; Design\Design\FC22\DRR Jaime\QUIFA-CAJÚA\Cajua\[VAS_CAJUA_CF_SEC_20230125.xlsx]CF PRB'!$BB$37</t>
  </si>
  <si>
    <t>='C:\Users\jaime.benazar\Quorum Business Solutions\Ecopetrol Prometeo - Documents\Planning Space Implementation\3. Analysis &amp; Design\Design\FC22\DRR Jaime\QUIFA-CAJÚA\Cajua\[VAS_CAJUA_CF_SEC_20230125.xlsx]CF PRB'!$BB$38</t>
  </si>
  <si>
    <t>='C:\Users\jaime.benazar\Quorum Business Solutions\Ecopetrol Prometeo - Documents\Planning Space Implementation\3. Analysis &amp; Design\Design\FC22\DRR Jaime\QUIFA-CAJÚA\Cajua\[VAS_CAJUA_CF_SEC_20230125.xlsx]CF PRB'!$BB$39</t>
  </si>
  <si>
    <t>='C:\Users\jaime.benazar\Quorum Business Solutions\Ecopetrol Prometeo - Documents\Planning Space Implementation\3. Analysis &amp; Design\Design\FC22\DRR Jaime\QUIFA-CAJÚA\Cajua\[VAS_CAJUA_CF_SEC_20230125.xlsx]CF PRB'!$BB$40</t>
  </si>
  <si>
    <t>='C:\Users\jaime.benazar\Quorum Business Solutions\Ecopetrol Prometeo - Documents\Planning Space Implementation\3. Analysis &amp; Design\Design\FC22\DRR Jaime\QUIFA-CAJÚA\Cajua\[VAS_CAJUA_CF_SEC_20230125.xlsx]CF PRB'!$BB$41</t>
  </si>
  <si>
    <t>='C:\Users\jaime.benazar\Quorum Business Solutions\Ecopetrol Prometeo - Documents\Planning Space Implementation\3. Analysis &amp; Design\Design\FC22\DRR Jaime\QUIFA-CAJÚA\Cajua\[VAS_CAJUA_CF_SEC_20230125.xlsx]CF PRB'!$BB$42</t>
  </si>
  <si>
    <t>='C:\Users\jaime.benazar\Quorum Business Solutions\Ecopetrol Prometeo - Documents\Planning Space Implementation\3. Analysis &amp; Design\Design\FC22\DRR Jaime\QUIFA-CAJÚA\Cajua\[VAS_CAJUA_CF_SEC_20230125.xlsx]CF PRB'!$BB$43</t>
  </si>
  <si>
    <t>='C:\Users\jaime.benazar\Quorum Business Solutions\Ecopetrol Prometeo - Documents\Planning Space Implementation\3. Analysis &amp; Design\Design\FC22\DRR Jaime\QUIFA-CAJÚA\Cajua\[VAS_CAJUA_CF_SEC_20230125.xlsx]CF PRB'!$BB$44</t>
  </si>
  <si>
    <t>='C:\Users\jaime.benazar\Quorum Business Solutions\Ecopetrol Prometeo - Documents\Planning Space Implementation\3. Analysis &amp; Design\Design\FC22\DRR Jaime\QUIFA-CAJÚA\Cajua\[VAS_CAJUA_CF_SEC_20230125.xlsx]CF PRB'!$BB$45</t>
  </si>
  <si>
    <t>='C:\Users\jaime.benazar\Quorum Business Solutions\Ecopetrol Prometeo - Documents\Planning Space Implementation\3. Analysis &amp; Design\Design\FC22\DRR Jaime\QUIFA-CAJÚA\Cajua\[VAS_CAJUA_CF_SEC_20230125.xlsx]CF PRB'!$BB$46</t>
  </si>
  <si>
    <t>='C:\Users\jaime.benazar\Quorum Business Solutions\Ecopetrol Prometeo - Documents\Planning Space Implementation\3. Analysis &amp; Design\Design\FC22\DRR Jaime\QUIFA-CAJÚA\Cajua\[VAS_CAJUA_CF_SEC_20230125.xlsx]CF PRB'!$BB$47</t>
  </si>
  <si>
    <t>='C:\Users\jaime.benazar\Quorum Business Solutions\Ecopetrol Prometeo - Documents\Planning Space Implementation\3. Analysis &amp; Design\Design\FC22\DRR Jaime\QUIFA-CAJÚA\Cajua\[VAS_CAJUA_CF_SEC_20230125.xlsx]CF PRB'!$BB$48</t>
  </si>
  <si>
    <t>='C:\Users\jaime.benazar\Quorum Business Solutions\Ecopetrol Prometeo - Documents\Planning Space Implementation\3. Analysis &amp; Design\Design\FC22\DRR Jaime\QUIFA-CAJÚA\Cajua\[VAS_CAJUA_CF_SEC_20230125.xlsx]CF PRB'!$BB$49</t>
  </si>
  <si>
    <t>='C:\Users\jaime.benazar\Quorum Business Solutions\Ecopetrol Prometeo - Documents\Planning Space Implementation\3. Analysis &amp; Design\Design\FC22\DRR Jaime\QUIFA-CAJÚA\Cajua\[VAS_CAJUA_CF_SEC_20230125.xlsx]CF PRB'!$BB$50</t>
  </si>
  <si>
    <t>='C:\Users\jaime.benazar\Quorum Business Solutions\Ecopetrol Prometeo - Documents\Planning Space Implementation\3. Analysis &amp; Design\Design\FC22\DRR Jaime\QUIFA-CAJÚA\Cajua\[VAS_CAJUA_CF_SEC_20230125.xlsx]CF PRB'!$BB$51</t>
  </si>
  <si>
    <t>='C:\Users\jaime.benazar\Quorum Business Solutions\Ecopetrol Prometeo - Documents\Planning Space Implementation\3. Analysis &amp; Design\Design\FC22\DRR Jaime\QUIFA-CAJÚA\Cajua\[VAS_CAJUA_CF_SEC_20230125.xlsx]CF PRB'!$BB$52</t>
  </si>
  <si>
    <t>='C:\Users\jaime.benazar\Quorum Business Solutions\Ecopetrol Prometeo - Documents\Planning Space Implementation\3. Analysis &amp; Design\Design\FC22\DRR Jaime\QUIFA-CAJÚA\Cajua\[VAS_CAJUA_CF_SEC_20230125.xlsx]CF PRB'!$BB$53</t>
  </si>
  <si>
    <t>='C:\Users\jaime.benazar\Quorum Business Solutions\Ecopetrol Prometeo - Documents\Planning Space Implementation\3. Analysis &amp; Design\Design\FC22\DRR Jaime\QUIFA-CAJÚA\Cajua\[VAS_CAJUA_CF_SEC_20230125.xlsx]CF PRB'!$BB$54</t>
  </si>
  <si>
    <t>='C:\Users\jaime.benazar\Quorum Business Solutions\Ecopetrol Prometeo - Documents\Planning Space Implementation\3. Analysis &amp; Design\Design\FC22\DRR Jaime\QUIFA-CAJÚA\Cajua\[VAS_CAJUA_CF_SEC_20230125.xlsx]CF PRB'!$BB$55</t>
  </si>
  <si>
    <t>='C:\Users\jaime.benazar\Quorum Business Solutions\Ecopetrol Prometeo - Documents\Planning Space Implementation\3. Analysis &amp; Design\Design\FC22\DRR Jaime\QUIFA-CAJÚA\Cajua\[VAS_CAJUA_CF_SEC_20230125.xlsx]CF PRB'!$BB$56</t>
  </si>
  <si>
    <t>='C:\Users\jaime.benazar\Quorum Business Solutions\Ecopetrol Prometeo - Documents\Planning Space Implementation\3. Analysis &amp; Design\Design\FC22\DRR Jaime\QUIFA-CAJÚA\Cajua\[VAS_CAJUA_CF_SEC_20230125.xlsx]CF PRB'!$BB$57</t>
  </si>
  <si>
    <t>='C:\Users\jaime.benazar\Quorum Business Solutions\Ecopetrol Prometeo - Documents\Planning Space Implementation\3. Analysis &amp; Design\Design\FC22\DRR Jaime\QUIFA-CAJÚA\Cajua\[VAS_CAJUA_CF_SEC_20230125.xlsx]CF PRB'!$BB$58</t>
  </si>
  <si>
    <t>='C:\Users\jaime.benazar\Quorum Business Solutions\Ecopetrol Prometeo - Documents\Planning Space Implementation\3. Analysis &amp; Design\Design\FC22\DRR Jaime\QUIFA-CAJÚA\Cajua\[VAS_CAJUA_CF_SEC_20230125.xlsx]CF PRB'!$BB$59</t>
  </si>
  <si>
    <t>='C:\Users\jaime.benazar\Quorum Business Solutions\Ecopetrol Prometeo - Documents\Planning Space Implementation\3. Analysis &amp; Design\Design\FC22\DRR Jaime\QUIFA-CAJÚA\Cajua\[VAS_CAJUA_CF_SEC_20230125.xlsx]CF PRB'!$BB$60</t>
  </si>
  <si>
    <t>='C:\Users\jaime.benazar\Quorum Business Solutions\Ecopetrol Prometeo - Documents\Planning Space Implementation\3. Analysis &amp; Design\Design\FC22\DRR Jaime\QUIFA-CAJÚA\Cajua\[VAS_CAJUA_CF_SEC_20230125.xlsx]CF PRB'!$BB$61</t>
  </si>
  <si>
    <t>='C:\Users\jaime.benazar\Quorum Business Solutions\Ecopetrol Prometeo - Documents\Planning Space Implementation\3. Analysis &amp; Design\Design\FC22\DRR Jaime\QUIFA-CAJÚA\Cajua\[VAS_CAJUA_CF_SEC_20230125.xlsx]CF PRB'!$BB$62</t>
  </si>
  <si>
    <t>='C:\Users\jaime.benazar\Quorum Business Solutions\Ecopetrol Prometeo - Documents\Planning Space Implementation\3. Analysis &amp; Design\Design\FC22\DRR Jaime\QUIFA-CAJÚA\Cajua\[VAS_CAJUA_CF_SEC_20230125.xlsx]CF PRB'!$BB$63</t>
  </si>
  <si>
    <t>='C:\Users\jaime.benazar\Quorum Business Solutions\Ecopetrol Prometeo - Documents\Planning Space Implementation\3. Analysis &amp; Design\Design\FC22\DRR Jaime\QUIFA-CAJÚA\Cajua\[VAS_CAJUA_CF_SEC_20230125.xlsx]CF PRB'!$BB$64</t>
  </si>
  <si>
    <t>='C:\Users\jaime.benazar\Quorum Business Solutions\Ecopetrol Prometeo - Documents\Planning Space Implementation\3. Analysis &amp; Design\Design\FC22\DRR Jaime\QUIFA-CAJÚA\Cajua\[VAS_CAJUA_CF_SEC_20230125.xlsx]CF PRB'!$BB$65</t>
  </si>
  <si>
    <t>='C:\Users\jaime.benazar\Quorum Business Solutions\Ecopetrol Prometeo - Documents\Planning Space Implementation\3. Analysis &amp; Design\Design\FC22\DRR Jaime\QUIFA-CAJÚA\Cajua\[VAS_CAJUA_CF_SEC_20230125.xlsx]CF PRB'!$BB$66</t>
  </si>
  <si>
    <t>='C:\Users\jaime.benazar\Quorum Business Solutions\Ecopetrol Prometeo - Documents\Planning Space Implementation\3. Analysis &amp; Design\Design\FC22\DRR Jaime\QUIFA-CAJÚA\Cajua\[VAS_CAJUA_CF_SEC_20230125.xlsx]CF PRB'!$BB$67</t>
  </si>
  <si>
    <t>='C:\Users\jaime.benazar\Quorum Business Solutions\Ecopetrol Prometeo - Documents\Planning Space Implementation\3. Analysis &amp; Design\Design\FC22\DRR Jaime\QUIFA-CAJÚA\Cajua\[VAS_CAJUA_CF_SEC_20230125.xlsx]CF PRB'!$BB$68</t>
  </si>
  <si>
    <t>='C:\Users\jaime.benazar\Quorum Business Solutions\Ecopetrol Prometeo - Documents\Planning Space Implementation\3. Analysis &amp; Design\Design\FC22\DRR Jaime\QUIFA-CAJÚA\Cajua\[VAS_CAJUA_CF_SEC_20230125.xlsx]CF PRB'!$BB$69</t>
  </si>
  <si>
    <t>='C:\Users\jaime.benazar\Quorum Business Solutions\Ecopetrol Prometeo - Documents\Planning Space Implementation\3. Analysis &amp; Design\Design\FC22\DRR Jaime\QUIFA-CAJÚA\Cajua\[VAS_CAJUA_CF_SEC_20230125.xlsx]CF PRB'!$BB$70</t>
  </si>
  <si>
    <t>='C:\Users\jaime.benazar\Quorum Business Solutions\Ecopetrol Prometeo - Documents\Planning Space Implementation\3. Analysis &amp; Design\Design\FC22\DRR Jaime\QUIFA-CAJÚA\Cajua\[VAS_CAJUA_CF_SEC_20230125.xlsx]CF PRB'!$BB$71</t>
  </si>
  <si>
    <t>='C:\Users\jaime.benazar\Quorum Business Solutions\Ecopetrol Prometeo - Documents\Planning Space Implementation\3. Analysis &amp; Design\Design\FC22\DRR Jaime\QUIFA-CAJÚA\Cajua\[VAS_CAJUA_CF_SEC_20230125.xlsx]CF PRB'!$BB$72</t>
  </si>
  <si>
    <t>='C:\Users\jaime.benazar\Quorum Business Solutions\Ecopetrol Prometeo - Documents\Planning Space Implementation\3. Analysis &amp; Design\Design\FC22\DRR Jaime\QUIFA-CAJÚA\Cajua\[VAS_CAJUA_CF_SEC_20230125.xlsx]CF PS'!$BB$36</t>
  </si>
  <si>
    <t>='C:\Users\jaime.benazar\Quorum Business Solutions\Ecopetrol Prometeo - Documents\Planning Space Implementation\3. Analysis &amp; Design\Design\FC22\DRR Jaime\QUIFA-CAJÚA\Cajua\[VAS_CAJUA_CF_SEC_20230125.xlsx]CF PS'!$BB$37</t>
  </si>
  <si>
    <t>='C:\Users\jaime.benazar\Quorum Business Solutions\Ecopetrol Prometeo - Documents\Planning Space Implementation\3. Analysis &amp; Design\Design\FC22\DRR Jaime\QUIFA-CAJÚA\Cajua\[VAS_CAJUA_CF_SEC_20230125.xlsx]CF PS'!$BB$38</t>
  </si>
  <si>
    <t>='C:\Users\jaime.benazar\Quorum Business Solutions\Ecopetrol Prometeo - Documents\Planning Space Implementation\3. Analysis &amp; Design\Design\FC22\DRR Jaime\QUIFA-CAJÚA\Cajua\[VAS_CAJUA_CF_SEC_20230125.xlsx]CF PS'!$BB$39</t>
  </si>
  <si>
    <t>='C:\Users\jaime.benazar\Quorum Business Solutions\Ecopetrol Prometeo - Documents\Planning Space Implementation\3. Analysis &amp; Design\Design\FC22\DRR Jaime\QUIFA-CAJÚA\Cajua\[VAS_CAJUA_CF_SEC_20230125.xlsx]CF PS'!$BB$40</t>
  </si>
  <si>
    <t>='C:\Users\jaime.benazar\Quorum Business Solutions\Ecopetrol Prometeo - Documents\Planning Space Implementation\3. Analysis &amp; Design\Design\FC22\DRR Jaime\QUIFA-CAJÚA\Cajua\[VAS_CAJUA_CF_SEC_20230125.xlsx]CF PS'!$BB$41</t>
  </si>
  <si>
    <t>='C:\Users\jaime.benazar\Quorum Business Solutions\Ecopetrol Prometeo - Documents\Planning Space Implementation\3. Analysis &amp; Design\Design\FC22\DRR Jaime\QUIFA-CAJÚA\Cajua\[VAS_CAJUA_CF_SEC_20230125.xlsx]CF PS'!$BB$42</t>
  </si>
  <si>
    <t>='C:\Users\jaime.benazar\Quorum Business Solutions\Ecopetrol Prometeo - Documents\Planning Space Implementation\3. Analysis &amp; Design\Design\FC22\DRR Jaime\QUIFA-CAJÚA\Cajua\[VAS_CAJUA_CF_SEC_20230125.xlsx]CF PS'!$BB$43</t>
  </si>
  <si>
    <t>='C:\Users\jaime.benazar\Quorum Business Solutions\Ecopetrol Prometeo - Documents\Planning Space Implementation\3. Analysis &amp; Design\Design\FC22\DRR Jaime\QUIFA-CAJÚA\Cajua\[VAS_CAJUA_CF_SEC_20230125.xlsx]CF PS'!$BB$44</t>
  </si>
  <si>
    <t>='C:\Users\jaime.benazar\Quorum Business Solutions\Ecopetrol Prometeo - Documents\Planning Space Implementation\3. Analysis &amp; Design\Design\FC22\DRR Jaime\QUIFA-CAJÚA\Cajua\[VAS_CAJUA_CF_SEC_20230125.xlsx]CF PS'!$BB$45</t>
  </si>
  <si>
    <t>='C:\Users\jaime.benazar\Quorum Business Solutions\Ecopetrol Prometeo - Documents\Planning Space Implementation\3. Analysis &amp; Design\Design\FC22\DRR Jaime\QUIFA-CAJÚA\Cajua\[VAS_CAJUA_CF_SEC_20230125.xlsx]CF PS'!$BB$46</t>
  </si>
  <si>
    <t>='C:\Users\jaime.benazar\Quorum Business Solutions\Ecopetrol Prometeo - Documents\Planning Space Implementation\3. Analysis &amp; Design\Design\FC22\DRR Jaime\QUIFA-CAJÚA\Cajua\[VAS_CAJUA_CF_SEC_20230125.xlsx]CF PS'!$BB$47</t>
  </si>
  <si>
    <t>='C:\Users\jaime.benazar\Quorum Business Solutions\Ecopetrol Prometeo - Documents\Planning Space Implementation\3. Analysis &amp; Design\Design\FC22\DRR Jaime\QUIFA-CAJÚA\Cajua\[VAS_CAJUA_CF_SEC_20230125.xlsx]CF PS'!$BB$48</t>
  </si>
  <si>
    <t>='C:\Users\jaime.benazar\Quorum Business Solutions\Ecopetrol Prometeo - Documents\Planning Space Implementation\3. Analysis &amp; Design\Design\FC22\DRR Jaime\QUIFA-CAJÚA\Cajua\[VAS_CAJUA_CF_SEC_20230125.xlsx]CF PS'!$BB$49</t>
  </si>
  <si>
    <t>='C:\Users\jaime.benazar\Quorum Business Solutions\Ecopetrol Prometeo - Documents\Planning Space Implementation\3. Analysis &amp; Design\Design\FC22\DRR Jaime\QUIFA-CAJÚA\Cajua\[VAS_CAJUA_CF_SEC_20230125.xlsx]CF PS'!$BB$50</t>
  </si>
  <si>
    <t>='C:\Users\jaime.benazar\Quorum Business Solutions\Ecopetrol Prometeo - Documents\Planning Space Implementation\3. Analysis &amp; Design\Design\FC22\DRR Jaime\QUIFA-CAJÚA\Cajua\[VAS_CAJUA_CF_SEC_20230125.xlsx]CF PS'!$BB$51</t>
  </si>
  <si>
    <t>='C:\Users\jaime.benazar\Quorum Business Solutions\Ecopetrol Prometeo - Documents\Planning Space Implementation\3. Analysis &amp; Design\Design\FC22\DRR Jaime\QUIFA-CAJÚA\Cajua\[VAS_CAJUA_CF_SEC_20230125.xlsx]CF PS'!$BB$52</t>
  </si>
  <si>
    <t>='C:\Users\jaime.benazar\Quorum Business Solutions\Ecopetrol Prometeo - Documents\Planning Space Implementation\3. Analysis &amp; Design\Design\FC22\DRR Jaime\QUIFA-CAJÚA\Cajua\[VAS_CAJUA_CF_SEC_20230125.xlsx]CF PS'!$BB$53</t>
  </si>
  <si>
    <t>='C:\Users\jaime.benazar\Quorum Business Solutions\Ecopetrol Prometeo - Documents\Planning Space Implementation\3. Analysis &amp; Design\Design\FC22\DRR Jaime\QUIFA-CAJÚA\Cajua\[VAS_CAJUA_CF_SEC_20230125.xlsx]CF PS'!$BB$54</t>
  </si>
  <si>
    <t>='C:\Users\jaime.benazar\Quorum Business Solutions\Ecopetrol Prometeo - Documents\Planning Space Implementation\3. Analysis &amp; Design\Design\FC22\DRR Jaime\QUIFA-CAJÚA\Cajua\[VAS_CAJUA_CF_SEC_20230125.xlsx]CF PS'!$BB$55</t>
  </si>
  <si>
    <t>='C:\Users\jaime.benazar\Quorum Business Solutions\Ecopetrol Prometeo - Documents\Planning Space Implementation\3. Analysis &amp; Design\Design\FC22\DRR Jaime\QUIFA-CAJÚA\Cajua\[VAS_CAJUA_CF_SEC_20230125.xlsx]CF PS'!$BB$56</t>
  </si>
  <si>
    <t>='C:\Users\jaime.benazar\Quorum Business Solutions\Ecopetrol Prometeo - Documents\Planning Space Implementation\3. Analysis &amp; Design\Design\FC22\DRR Jaime\QUIFA-CAJÚA\Cajua\[VAS_CAJUA_CF_SEC_20230125.xlsx]CF PS'!$BB$57</t>
  </si>
  <si>
    <t>='C:\Users\jaime.benazar\Quorum Business Solutions\Ecopetrol Prometeo - Documents\Planning Space Implementation\3. Analysis &amp; Design\Design\FC22\DRR Jaime\QUIFA-CAJÚA\Cajua\[VAS_CAJUA_CF_SEC_20230125.xlsx]CF PS'!$BB$58</t>
  </si>
  <si>
    <t>='C:\Users\jaime.benazar\Quorum Business Solutions\Ecopetrol Prometeo - Documents\Planning Space Implementation\3. Analysis &amp; Design\Design\FC22\DRR Jaime\QUIFA-CAJÚA\Cajua\[VAS_CAJUA_CF_SEC_20230125.xlsx]CF PS'!$BB$59</t>
  </si>
  <si>
    <t>='C:\Users\jaime.benazar\Quorum Business Solutions\Ecopetrol Prometeo - Documents\Planning Space Implementation\3. Analysis &amp; Design\Design\FC22\DRR Jaime\QUIFA-CAJÚA\Cajua\[VAS_CAJUA_CF_SEC_20230125.xlsx]CF PS'!$BB$60</t>
  </si>
  <si>
    <t>='C:\Users\jaime.benazar\Quorum Business Solutions\Ecopetrol Prometeo - Documents\Planning Space Implementation\3. Analysis &amp; Design\Design\FC22\DRR Jaime\QUIFA-CAJÚA\Cajua\[VAS_CAJUA_CF_SEC_20230125.xlsx]CF PS'!$BB$61</t>
  </si>
  <si>
    <t>='C:\Users\jaime.benazar\Quorum Business Solutions\Ecopetrol Prometeo - Documents\Planning Space Implementation\3. Analysis &amp; Design\Design\FC22\DRR Jaime\QUIFA-CAJÚA\Cajua\[VAS_CAJUA_CF_SEC_20230125.xlsx]CF PS'!$BB$62</t>
  </si>
  <si>
    <t>='C:\Users\jaime.benazar\Quorum Business Solutions\Ecopetrol Prometeo - Documents\Planning Space Implementation\3. Analysis &amp; Design\Design\FC22\DRR Jaime\QUIFA-CAJÚA\Cajua\[VAS_CAJUA_CF_SEC_20230125.xlsx]CF PS'!$BB$63</t>
  </si>
  <si>
    <t>='C:\Users\jaime.benazar\Quorum Business Solutions\Ecopetrol Prometeo - Documents\Planning Space Implementation\3. Analysis &amp; Design\Design\FC22\DRR Jaime\QUIFA-CAJÚA\Cajua\[VAS_CAJUA_CF_SEC_20230125.xlsx]CF PS'!$BB$64</t>
  </si>
  <si>
    <t>='C:\Users\jaime.benazar\Quorum Business Solutions\Ecopetrol Prometeo - Documents\Planning Space Implementation\3. Analysis &amp; Design\Design\FC22\DRR Jaime\QUIFA-CAJÚA\Cajua\[VAS_CAJUA_CF_SEC_20230125.xlsx]CF PS'!$BB$65</t>
  </si>
  <si>
    <t>='C:\Users\jaime.benazar\Quorum Business Solutions\Ecopetrol Prometeo - Documents\Planning Space Implementation\3. Analysis &amp; Design\Design\FC22\DRR Jaime\QUIFA-CAJÚA\Cajua\[VAS_CAJUA_CF_SEC_20230125.xlsx]CF PS'!$BB$66</t>
  </si>
  <si>
    <t>='C:\Users\jaime.benazar\Quorum Business Solutions\Ecopetrol Prometeo - Documents\Planning Space Implementation\3. Analysis &amp; Design\Design\FC22\DRR Jaime\QUIFA-CAJÚA\Cajua\[VAS_CAJUA_CF_SEC_20230125.xlsx]CF PS'!$BB$67</t>
  </si>
  <si>
    <t>='C:\Users\jaime.benazar\Quorum Business Solutions\Ecopetrol Prometeo - Documents\Planning Space Implementation\3. Analysis &amp; Design\Design\FC22\DRR Jaime\QUIFA-CAJÚA\Cajua\[VAS_CAJUA_CF_SEC_20230125.xlsx]CF PS'!$BB$68</t>
  </si>
  <si>
    <t>='C:\Users\jaime.benazar\Quorum Business Solutions\Ecopetrol Prometeo - Documents\Planning Space Implementation\3. Analysis &amp; Design\Design\FC22\DRR Jaime\QUIFA-CAJÚA\Cajua\[VAS_CAJUA_CF_SEC_20230125.xlsx]CF PS'!$BB$69</t>
  </si>
  <si>
    <t>='C:\Users\jaime.benazar\Quorum Business Solutions\Ecopetrol Prometeo - Documents\Planning Space Implementation\3. Analysis &amp; Design\Design\FC22\DRR Jaime\QUIFA-CAJÚA\Cajua\[VAS_CAJUA_CF_SEC_20230125.xlsx]CF PS'!$BB$70</t>
  </si>
  <si>
    <t>='C:\Users\jaime.benazar\Quorum Business Solutions\Ecopetrol Prometeo - Documents\Planning Space Implementation\3. Analysis &amp; Design\Design\FC22\DRR Jaime\QUIFA-CAJÚA\Cajua\[VAS_CAJUA_CF_SEC_20230125.xlsx]CF PS'!$BB$71</t>
  </si>
  <si>
    <t>='C:\Users\jaime.benazar\Quorum Business Solutions\Ecopetrol Prometeo - Documents\Planning Space Implementation\3. Analysis &amp; Design\Design\FC22\DRR Jaime\QUIFA-CAJÚA\Cajua\[VAS_CAJUA_CF_SEC_20230125.xlsx]CF PS'!$BB$72</t>
  </si>
  <si>
    <t>='C:\Users\jaime.benazar\Quorum Business Solutions\Ecopetrol Prometeo - Documents\Planning Space Implementation\3. Analysis &amp; Design\Design\FC22\DRR Jaime\QUIFA-CAJÚA\Cajua\[VAS_CAJUA_CF_SEC_20230125.xlsx]CF PDP'!$BY$36</t>
  </si>
  <si>
    <t>='C:\Users\jaime.benazar\Quorum Business Solutions\Ecopetrol Prometeo - Documents\Planning Space Implementation\3. Analysis &amp; Design\Design\FC22\DRR Jaime\QUIFA-CAJÚA\Cajua\[VAS_CAJUA_CF_SEC_20230125.xlsx]CF PDP'!$BY$37</t>
  </si>
  <si>
    <t>='C:\Users\jaime.benazar\Quorum Business Solutions\Ecopetrol Prometeo - Documents\Planning Space Implementation\3. Analysis &amp; Design\Design\FC22\DRR Jaime\QUIFA-CAJÚA\Cajua\[VAS_CAJUA_CF_SEC_20230125.xlsx]CF PDP'!$BY$38</t>
  </si>
  <si>
    <t>='C:\Users\jaime.benazar\Quorum Business Solutions\Ecopetrol Prometeo - Documents\Planning Space Implementation\3. Analysis &amp; Design\Design\FC22\DRR Jaime\QUIFA-CAJÚA\Cajua\[VAS_CAJUA_CF_SEC_20230125.xlsx]CF PDP'!$BY$39</t>
  </si>
  <si>
    <t>='C:\Users\jaime.benazar\Quorum Business Solutions\Ecopetrol Prometeo - Documents\Planning Space Implementation\3. Analysis &amp; Design\Design\FC22\DRR Jaime\QUIFA-CAJÚA\Cajua\[VAS_CAJUA_CF_SEC_20230125.xlsx]CF PDP'!$BY$40</t>
  </si>
  <si>
    <t>='C:\Users\jaime.benazar\Quorum Business Solutions\Ecopetrol Prometeo - Documents\Planning Space Implementation\3. Analysis &amp; Design\Design\FC22\DRR Jaime\QUIFA-CAJÚA\Cajua\[VAS_CAJUA_CF_SEC_20230125.xlsx]CF PDP'!$BY$41</t>
  </si>
  <si>
    <t>='C:\Users\jaime.benazar\Quorum Business Solutions\Ecopetrol Prometeo - Documents\Planning Space Implementation\3. Analysis &amp; Design\Design\FC22\DRR Jaime\QUIFA-CAJÚA\Cajua\[VAS_CAJUA_CF_SEC_20230125.xlsx]CF PDP'!$BY$42</t>
  </si>
  <si>
    <t>='C:\Users\jaime.benazar\Quorum Business Solutions\Ecopetrol Prometeo - Documents\Planning Space Implementation\3. Analysis &amp; Design\Design\FC22\DRR Jaime\QUIFA-CAJÚA\Cajua\[VAS_CAJUA_CF_SEC_20230125.xlsx]CF PDP'!$BY$43</t>
  </si>
  <si>
    <t>='C:\Users\jaime.benazar\Quorum Business Solutions\Ecopetrol Prometeo - Documents\Planning Space Implementation\3. Analysis &amp; Design\Design\FC22\DRR Jaime\QUIFA-CAJÚA\Cajua\[VAS_CAJUA_CF_SEC_20230125.xlsx]CF PDP'!$BY$44</t>
  </si>
  <si>
    <t>='C:\Users\jaime.benazar\Quorum Business Solutions\Ecopetrol Prometeo - Documents\Planning Space Implementation\3. Analysis &amp; Design\Design\FC22\DRR Jaime\QUIFA-CAJÚA\Cajua\[VAS_CAJUA_CF_SEC_20230125.xlsx]CF PDP'!$BY$45</t>
  </si>
  <si>
    <t>='C:\Users\jaime.benazar\Quorum Business Solutions\Ecopetrol Prometeo - Documents\Planning Space Implementation\3. Analysis &amp; Design\Design\FC22\DRR Jaime\QUIFA-CAJÚA\Cajua\[VAS_CAJUA_CF_SEC_20230125.xlsx]CF PDP'!$BY$46</t>
  </si>
  <si>
    <t>='C:\Users\jaime.benazar\Quorum Business Solutions\Ecopetrol Prometeo - Documents\Planning Space Implementation\3. Analysis &amp; Design\Design\FC22\DRR Jaime\QUIFA-CAJÚA\Cajua\[VAS_CAJUA_CF_SEC_20230125.xlsx]CF PDP'!$BY$47</t>
  </si>
  <si>
    <t>='C:\Users\jaime.benazar\Quorum Business Solutions\Ecopetrol Prometeo - Documents\Planning Space Implementation\3. Analysis &amp; Design\Design\FC22\DRR Jaime\QUIFA-CAJÚA\Cajua\[VAS_CAJUA_CF_SEC_20230125.xlsx]CF PDP'!$BY$48</t>
  </si>
  <si>
    <t>='C:\Users\jaime.benazar\Quorum Business Solutions\Ecopetrol Prometeo - Documents\Planning Space Implementation\3. Analysis &amp; Design\Design\FC22\DRR Jaime\QUIFA-CAJÚA\Cajua\[VAS_CAJUA_CF_SEC_20230125.xlsx]CF PDP'!$BY$49</t>
  </si>
  <si>
    <t>='C:\Users\jaime.benazar\Quorum Business Solutions\Ecopetrol Prometeo - Documents\Planning Space Implementation\3. Analysis &amp; Design\Design\FC22\DRR Jaime\QUIFA-CAJÚA\Cajua\[VAS_CAJUA_CF_SEC_20230125.xlsx]CF PDP'!$BY$50</t>
  </si>
  <si>
    <t>='C:\Users\jaime.benazar\Quorum Business Solutions\Ecopetrol Prometeo - Documents\Planning Space Implementation\3. Analysis &amp; Design\Design\FC22\DRR Jaime\QUIFA-CAJÚA\Cajua\[VAS_CAJUA_CF_SEC_20230125.xlsx]CF PDP'!$BY$51</t>
  </si>
  <si>
    <t>='C:\Users\jaime.benazar\Quorum Business Solutions\Ecopetrol Prometeo - Documents\Planning Space Implementation\3. Analysis &amp; Design\Design\FC22\DRR Jaime\QUIFA-CAJÚA\Cajua\[VAS_CAJUA_CF_SEC_20230125.xlsx]CF PDP'!$BY$52</t>
  </si>
  <si>
    <t>='C:\Users\jaime.benazar\Quorum Business Solutions\Ecopetrol Prometeo - Documents\Planning Space Implementation\3. Analysis &amp; Design\Design\FC22\DRR Jaime\QUIFA-CAJÚA\Cajua\[VAS_CAJUA_CF_SEC_20230125.xlsx]CF PDP'!$BY$53</t>
  </si>
  <si>
    <t>='C:\Users\jaime.benazar\Quorum Business Solutions\Ecopetrol Prometeo - Documents\Planning Space Implementation\3. Analysis &amp; Design\Design\FC22\DRR Jaime\QUIFA-CAJÚA\Cajua\[VAS_CAJUA_CF_SEC_20230125.xlsx]CF PDP'!$BY$54</t>
  </si>
  <si>
    <t>='C:\Users\jaime.benazar\Quorum Business Solutions\Ecopetrol Prometeo - Documents\Planning Space Implementation\3. Analysis &amp; Design\Design\FC22\DRR Jaime\QUIFA-CAJÚA\Cajua\[VAS_CAJUA_CF_SEC_20230125.xlsx]CF PDP'!$BY$55</t>
  </si>
  <si>
    <t>='C:\Users\jaime.benazar\Quorum Business Solutions\Ecopetrol Prometeo - Documents\Planning Space Implementation\3. Analysis &amp; Design\Design\FC22\DRR Jaime\QUIFA-CAJÚA\Cajua\[VAS_CAJUA_CF_SEC_20230125.xlsx]CF PDP'!$BY$56</t>
  </si>
  <si>
    <t>='C:\Users\jaime.benazar\Quorum Business Solutions\Ecopetrol Prometeo - Documents\Planning Space Implementation\3. Analysis &amp; Design\Design\FC22\DRR Jaime\QUIFA-CAJÚA\Cajua\[VAS_CAJUA_CF_SEC_20230125.xlsx]CF PDP'!$BY$57</t>
  </si>
  <si>
    <t>='C:\Users\jaime.benazar\Quorum Business Solutions\Ecopetrol Prometeo - Documents\Planning Space Implementation\3. Analysis &amp; Design\Design\FC22\DRR Jaime\QUIFA-CAJÚA\Cajua\[VAS_CAJUA_CF_SEC_20230125.xlsx]CF PDP'!$BY$58</t>
  </si>
  <si>
    <t>='C:\Users\jaime.benazar\Quorum Business Solutions\Ecopetrol Prometeo - Documents\Planning Space Implementation\3. Analysis &amp; Design\Design\FC22\DRR Jaime\QUIFA-CAJÚA\Cajua\[VAS_CAJUA_CF_SEC_20230125.xlsx]CF PDP'!$BY$59</t>
  </si>
  <si>
    <t>='C:\Users\jaime.benazar\Quorum Business Solutions\Ecopetrol Prometeo - Documents\Planning Space Implementation\3. Analysis &amp; Design\Design\FC22\DRR Jaime\QUIFA-CAJÚA\Cajua\[VAS_CAJUA_CF_SEC_20230125.xlsx]CF PDP'!$BY$60</t>
  </si>
  <si>
    <t>='C:\Users\jaime.benazar\Quorum Business Solutions\Ecopetrol Prometeo - Documents\Planning Space Implementation\3. Analysis &amp; Design\Design\FC22\DRR Jaime\QUIFA-CAJÚA\Cajua\[VAS_CAJUA_CF_SEC_20230125.xlsx]CF PDP'!$BY$61</t>
  </si>
  <si>
    <t>='C:\Users\jaime.benazar\Quorum Business Solutions\Ecopetrol Prometeo - Documents\Planning Space Implementation\3. Analysis &amp; Design\Design\FC22\DRR Jaime\QUIFA-CAJÚA\Cajua\[VAS_CAJUA_CF_SEC_20230125.xlsx]CF PDP'!$BY$62</t>
  </si>
  <si>
    <t>='C:\Users\jaime.benazar\Quorum Business Solutions\Ecopetrol Prometeo - Documents\Planning Space Implementation\3. Analysis &amp; Design\Design\FC22\DRR Jaime\QUIFA-CAJÚA\Cajua\[VAS_CAJUA_CF_SEC_20230125.xlsx]CF PDP'!$BY$63</t>
  </si>
  <si>
    <t>='C:\Users\jaime.benazar\Quorum Business Solutions\Ecopetrol Prometeo - Documents\Planning Space Implementation\3. Analysis &amp; Design\Design\FC22\DRR Jaime\QUIFA-CAJÚA\Cajua\[VAS_CAJUA_CF_SEC_20230125.xlsx]CF PDP'!$BY$64</t>
  </si>
  <si>
    <t>='C:\Users\jaime.benazar\Quorum Business Solutions\Ecopetrol Prometeo - Documents\Planning Space Implementation\3. Analysis &amp; Design\Design\FC22\DRR Jaime\QUIFA-CAJÚA\Cajua\[VAS_CAJUA_CF_SEC_20230125.xlsx]CF PDP'!$BY$65</t>
  </si>
  <si>
    <t>='C:\Users\jaime.benazar\Quorum Business Solutions\Ecopetrol Prometeo - Documents\Planning Space Implementation\3. Analysis &amp; Design\Design\FC22\DRR Jaime\QUIFA-CAJÚA\Cajua\[VAS_CAJUA_CF_SEC_20230125.xlsx]CF PDP'!$BY$66</t>
  </si>
  <si>
    <t>='C:\Users\jaime.benazar\Quorum Business Solutions\Ecopetrol Prometeo - Documents\Planning Space Implementation\3. Analysis &amp; Design\Design\FC22\DRR Jaime\QUIFA-CAJÚA\Cajua\[VAS_CAJUA_CF_SEC_20230125.xlsx]CF PDP'!$BY$67</t>
  </si>
  <si>
    <t>='C:\Users\jaime.benazar\Quorum Business Solutions\Ecopetrol Prometeo - Documents\Planning Space Implementation\3. Analysis &amp; Design\Design\FC22\DRR Jaime\QUIFA-CAJÚA\Cajua\[VAS_CAJUA_CF_SEC_20230125.xlsx]CF PDP'!$BY$68</t>
  </si>
  <si>
    <t>='C:\Users\jaime.benazar\Quorum Business Solutions\Ecopetrol Prometeo - Documents\Planning Space Implementation\3. Analysis &amp; Design\Design\FC22\DRR Jaime\QUIFA-CAJÚA\Cajua\[VAS_CAJUA_CF_SEC_20230125.xlsx]CF PDP'!$BY$69</t>
  </si>
  <si>
    <t>='C:\Users\jaime.benazar\Quorum Business Solutions\Ecopetrol Prometeo - Documents\Planning Space Implementation\3. Analysis &amp; Design\Design\FC22\DRR Jaime\QUIFA-CAJÚA\Cajua\[VAS_CAJUA_CF_SEC_20230125.xlsx]CF PDP'!$BY$70</t>
  </si>
  <si>
    <t>='C:\Users\jaime.benazar\Quorum Business Solutions\Ecopetrol Prometeo - Documents\Planning Space Implementation\3. Analysis &amp; Design\Design\FC22\DRR Jaime\QUIFA-CAJÚA\Cajua\[VAS_CAJUA_CF_SEC_20230125.xlsx]CF PDP'!$BY$71</t>
  </si>
  <si>
    <t>='C:\Users\jaime.benazar\Quorum Business Solutions\Ecopetrol Prometeo - Documents\Planning Space Implementation\3. Analysis &amp; Design\Design\FC22\DRR Jaime\QUIFA-CAJÚA\Cajua\[VAS_CAJUA_CF_SEC_20230125.xlsx]CF PDP'!$BY$72</t>
  </si>
  <si>
    <t>='C:\Users\jaime.benazar\Quorum Business Solutions\Ecopetrol Prometeo - Documents\Planning Space Implementation\3. Analysis &amp; Design\Design\FC22\DRR Jaime\QUIFA-CAJÚA\Cajua\[VAS_CAJUA_CF_SEC_20230125.xlsx]CF PNP'!$BY$36</t>
  </si>
  <si>
    <t>='C:\Users\jaime.benazar\Quorum Business Solutions\Ecopetrol Prometeo - Documents\Planning Space Implementation\3. Analysis &amp; Design\Design\FC22\DRR Jaime\QUIFA-CAJÚA\Cajua\[VAS_CAJUA_CF_SEC_20230125.xlsx]CF PNP'!$BY$37</t>
  </si>
  <si>
    <t>='C:\Users\jaime.benazar\Quorum Business Solutions\Ecopetrol Prometeo - Documents\Planning Space Implementation\3. Analysis &amp; Design\Design\FC22\DRR Jaime\QUIFA-CAJÚA\Cajua\[VAS_CAJUA_CF_SEC_20230125.xlsx]CF PNP'!$BY$38</t>
  </si>
  <si>
    <t>='C:\Users\jaime.benazar\Quorum Business Solutions\Ecopetrol Prometeo - Documents\Planning Space Implementation\3. Analysis &amp; Design\Design\FC22\DRR Jaime\QUIFA-CAJÚA\Cajua\[VAS_CAJUA_CF_SEC_20230125.xlsx]CF PNP'!$BY$39</t>
  </si>
  <si>
    <t>='C:\Users\jaime.benazar\Quorum Business Solutions\Ecopetrol Prometeo - Documents\Planning Space Implementation\3. Analysis &amp; Design\Design\FC22\DRR Jaime\QUIFA-CAJÚA\Cajua\[VAS_CAJUA_CF_SEC_20230125.xlsx]CF PNP'!$BY$40</t>
  </si>
  <si>
    <t>='C:\Users\jaime.benazar\Quorum Business Solutions\Ecopetrol Prometeo - Documents\Planning Space Implementation\3. Analysis &amp; Design\Design\FC22\DRR Jaime\QUIFA-CAJÚA\Cajua\[VAS_CAJUA_CF_SEC_20230125.xlsx]CF PNP'!$BY$41</t>
  </si>
  <si>
    <t>='C:\Users\jaime.benazar\Quorum Business Solutions\Ecopetrol Prometeo - Documents\Planning Space Implementation\3. Analysis &amp; Design\Design\FC22\DRR Jaime\QUIFA-CAJÚA\Cajua\[VAS_CAJUA_CF_SEC_20230125.xlsx]CF PNP'!$BY$42</t>
  </si>
  <si>
    <t>='C:\Users\jaime.benazar\Quorum Business Solutions\Ecopetrol Prometeo - Documents\Planning Space Implementation\3. Analysis &amp; Design\Design\FC22\DRR Jaime\QUIFA-CAJÚA\Cajua\[VAS_CAJUA_CF_SEC_20230125.xlsx]CF PNP'!$BY$43</t>
  </si>
  <si>
    <t>='C:\Users\jaime.benazar\Quorum Business Solutions\Ecopetrol Prometeo - Documents\Planning Space Implementation\3. Analysis &amp; Design\Design\FC22\DRR Jaime\QUIFA-CAJÚA\Cajua\[VAS_CAJUA_CF_SEC_20230125.xlsx]CF PNP'!$BY$44</t>
  </si>
  <si>
    <t>='C:\Users\jaime.benazar\Quorum Business Solutions\Ecopetrol Prometeo - Documents\Planning Space Implementation\3. Analysis &amp; Design\Design\FC22\DRR Jaime\QUIFA-CAJÚA\Cajua\[VAS_CAJUA_CF_SEC_20230125.xlsx]CF PNP'!$BY$45</t>
  </si>
  <si>
    <t>='C:\Users\jaime.benazar\Quorum Business Solutions\Ecopetrol Prometeo - Documents\Planning Space Implementation\3. Analysis &amp; Design\Design\FC22\DRR Jaime\QUIFA-CAJÚA\Cajua\[VAS_CAJUA_CF_SEC_20230125.xlsx]CF PNP'!$BY$46</t>
  </si>
  <si>
    <t>='C:\Users\jaime.benazar\Quorum Business Solutions\Ecopetrol Prometeo - Documents\Planning Space Implementation\3. Analysis &amp; Design\Design\FC22\DRR Jaime\QUIFA-CAJÚA\Cajua\[VAS_CAJUA_CF_SEC_20230125.xlsx]CF PNP'!$BY$47</t>
  </si>
  <si>
    <t>='C:\Users\jaime.benazar\Quorum Business Solutions\Ecopetrol Prometeo - Documents\Planning Space Implementation\3. Analysis &amp; Design\Design\FC22\DRR Jaime\QUIFA-CAJÚA\Cajua\[VAS_CAJUA_CF_SEC_20230125.xlsx]CF PNP'!$BY$48</t>
  </si>
  <si>
    <t>='C:\Users\jaime.benazar\Quorum Business Solutions\Ecopetrol Prometeo - Documents\Planning Space Implementation\3. Analysis &amp; Design\Design\FC22\DRR Jaime\QUIFA-CAJÚA\Cajua\[VAS_CAJUA_CF_SEC_20230125.xlsx]CF PNP'!$BY$49</t>
  </si>
  <si>
    <t>='C:\Users\jaime.benazar\Quorum Business Solutions\Ecopetrol Prometeo - Documents\Planning Space Implementation\3. Analysis &amp; Design\Design\FC22\DRR Jaime\QUIFA-CAJÚA\Cajua\[VAS_CAJUA_CF_SEC_20230125.xlsx]CF PNP'!$BY$50</t>
  </si>
  <si>
    <t>='C:\Users\jaime.benazar\Quorum Business Solutions\Ecopetrol Prometeo - Documents\Planning Space Implementation\3. Analysis &amp; Design\Design\FC22\DRR Jaime\QUIFA-CAJÚA\Cajua\[VAS_CAJUA_CF_SEC_20230125.xlsx]CF PNP'!$BY$51</t>
  </si>
  <si>
    <t>='C:\Users\jaime.benazar\Quorum Business Solutions\Ecopetrol Prometeo - Documents\Planning Space Implementation\3. Analysis &amp; Design\Design\FC22\DRR Jaime\QUIFA-CAJÚA\Cajua\[VAS_CAJUA_CF_SEC_20230125.xlsx]CF PNP'!$BY$52</t>
  </si>
  <si>
    <t>='C:\Users\jaime.benazar\Quorum Business Solutions\Ecopetrol Prometeo - Documents\Planning Space Implementation\3. Analysis &amp; Design\Design\FC22\DRR Jaime\QUIFA-CAJÚA\Cajua\[VAS_CAJUA_CF_SEC_20230125.xlsx]CF PNP'!$BY$53</t>
  </si>
  <si>
    <t>='C:\Users\jaime.benazar\Quorum Business Solutions\Ecopetrol Prometeo - Documents\Planning Space Implementation\3. Analysis &amp; Design\Design\FC22\DRR Jaime\QUIFA-CAJÚA\Cajua\[VAS_CAJUA_CF_SEC_20230125.xlsx]CF PNP'!$BY$54</t>
  </si>
  <si>
    <t>='C:\Users\jaime.benazar\Quorum Business Solutions\Ecopetrol Prometeo - Documents\Planning Space Implementation\3. Analysis &amp; Design\Design\FC22\DRR Jaime\QUIFA-CAJÚA\Cajua\[VAS_CAJUA_CF_SEC_20230125.xlsx]CF PNP'!$BY$55</t>
  </si>
  <si>
    <t>='C:\Users\jaime.benazar\Quorum Business Solutions\Ecopetrol Prometeo - Documents\Planning Space Implementation\3. Analysis &amp; Design\Design\FC22\DRR Jaime\QUIFA-CAJÚA\Cajua\[VAS_CAJUA_CF_SEC_20230125.xlsx]CF PNP'!$BY$56</t>
  </si>
  <si>
    <t>='C:\Users\jaime.benazar\Quorum Business Solutions\Ecopetrol Prometeo - Documents\Planning Space Implementation\3. Analysis &amp; Design\Design\FC22\DRR Jaime\QUIFA-CAJÚA\Cajua\[VAS_CAJUA_CF_SEC_20230125.xlsx]CF PNP'!$BY$57</t>
  </si>
  <si>
    <t>='C:\Users\jaime.benazar\Quorum Business Solutions\Ecopetrol Prometeo - Documents\Planning Space Implementation\3. Analysis &amp; Design\Design\FC22\DRR Jaime\QUIFA-CAJÚA\Cajua\[VAS_CAJUA_CF_SEC_20230125.xlsx]CF PNP'!$BY$58</t>
  </si>
  <si>
    <t>='C:\Users\jaime.benazar\Quorum Business Solutions\Ecopetrol Prometeo - Documents\Planning Space Implementation\3. Analysis &amp; Design\Design\FC22\DRR Jaime\QUIFA-CAJÚA\Cajua\[VAS_CAJUA_CF_SEC_20230125.xlsx]CF PNP'!$BY$59</t>
  </si>
  <si>
    <t>='C:\Users\jaime.benazar\Quorum Business Solutions\Ecopetrol Prometeo - Documents\Planning Space Implementation\3. Analysis &amp; Design\Design\FC22\DRR Jaime\QUIFA-CAJÚA\Cajua\[VAS_CAJUA_CF_SEC_20230125.xlsx]CF PNP'!$BY$60</t>
  </si>
  <si>
    <t>='C:\Users\jaime.benazar\Quorum Business Solutions\Ecopetrol Prometeo - Documents\Planning Space Implementation\3. Analysis &amp; Design\Design\FC22\DRR Jaime\QUIFA-CAJÚA\Cajua\[VAS_CAJUA_CF_SEC_20230125.xlsx]CF PNP'!$BY$61</t>
  </si>
  <si>
    <t>='C:\Users\jaime.benazar\Quorum Business Solutions\Ecopetrol Prometeo - Documents\Planning Space Implementation\3. Analysis &amp; Design\Design\FC22\DRR Jaime\QUIFA-CAJÚA\Cajua\[VAS_CAJUA_CF_SEC_20230125.xlsx]CF PNP'!$BY$62</t>
  </si>
  <si>
    <t>='C:\Users\jaime.benazar\Quorum Business Solutions\Ecopetrol Prometeo - Documents\Planning Space Implementation\3. Analysis &amp; Design\Design\FC22\DRR Jaime\QUIFA-CAJÚA\Cajua\[VAS_CAJUA_CF_SEC_20230125.xlsx]CF PNP'!$BY$63</t>
  </si>
  <si>
    <t>='C:\Users\jaime.benazar\Quorum Business Solutions\Ecopetrol Prometeo - Documents\Planning Space Implementation\3. Analysis &amp; Design\Design\FC22\DRR Jaime\QUIFA-CAJÚA\Cajua\[VAS_CAJUA_CF_SEC_20230125.xlsx]CF PNP'!$BY$64</t>
  </si>
  <si>
    <t>='C:\Users\jaime.benazar\Quorum Business Solutions\Ecopetrol Prometeo - Documents\Planning Space Implementation\3. Analysis &amp; Design\Design\FC22\DRR Jaime\QUIFA-CAJÚA\Cajua\[VAS_CAJUA_CF_SEC_20230125.xlsx]CF PNP'!$BY$65</t>
  </si>
  <si>
    <t>='C:\Users\jaime.benazar\Quorum Business Solutions\Ecopetrol Prometeo - Documents\Planning Space Implementation\3. Analysis &amp; Design\Design\FC22\DRR Jaime\QUIFA-CAJÚA\Cajua\[VAS_CAJUA_CF_SEC_20230125.xlsx]CF PNP'!$BY$66</t>
  </si>
  <si>
    <t>='C:\Users\jaime.benazar\Quorum Business Solutions\Ecopetrol Prometeo - Documents\Planning Space Implementation\3. Analysis &amp; Design\Design\FC22\DRR Jaime\QUIFA-CAJÚA\Cajua\[VAS_CAJUA_CF_SEC_20230125.xlsx]CF PNP'!$BY$67</t>
  </si>
  <si>
    <t>='C:\Users\jaime.benazar\Quorum Business Solutions\Ecopetrol Prometeo - Documents\Planning Space Implementation\3. Analysis &amp; Design\Design\FC22\DRR Jaime\QUIFA-CAJÚA\Cajua\[VAS_CAJUA_CF_SEC_20230125.xlsx]CF PNP'!$BY$68</t>
  </si>
  <si>
    <t>='C:\Users\jaime.benazar\Quorum Business Solutions\Ecopetrol Prometeo - Documents\Planning Space Implementation\3. Analysis &amp; Design\Design\FC22\DRR Jaime\QUIFA-CAJÚA\Cajua\[VAS_CAJUA_CF_SEC_20230125.xlsx]CF PNP'!$BY$69</t>
  </si>
  <si>
    <t>='C:\Users\jaime.benazar\Quorum Business Solutions\Ecopetrol Prometeo - Documents\Planning Space Implementation\3. Analysis &amp; Design\Design\FC22\DRR Jaime\QUIFA-CAJÚA\Cajua\[VAS_CAJUA_CF_SEC_20230125.xlsx]CF PNP'!$BY$70</t>
  </si>
  <si>
    <t>='C:\Users\jaime.benazar\Quorum Business Solutions\Ecopetrol Prometeo - Documents\Planning Space Implementation\3. Analysis &amp; Design\Design\FC22\DRR Jaime\QUIFA-CAJÚA\Cajua\[VAS_CAJUA_CF_SEC_20230125.xlsx]CF PNP'!$BY$71</t>
  </si>
  <si>
    <t>='C:\Users\jaime.benazar\Quorum Business Solutions\Ecopetrol Prometeo - Documents\Planning Space Implementation\3. Analysis &amp; Design\Design\FC22\DRR Jaime\QUIFA-CAJÚA\Cajua\[VAS_CAJUA_CF_SEC_20230125.xlsx]CF PNP'!$BY$72</t>
  </si>
  <si>
    <t>='C:\Users\jaime.benazar\Quorum Business Solutions\Ecopetrol Prometeo - Documents\Planning Space Implementation\3. Analysis &amp; Design\Design\FC22\DRR Jaime\QUIFA-CAJÚA\Cajua\[VAS_CAJUA_CF_SEC_20230125.xlsx]CF PND'!$BY$36</t>
  </si>
  <si>
    <t>='C:\Users\jaime.benazar\Quorum Business Solutions\Ecopetrol Prometeo - Documents\Planning Space Implementation\3. Analysis &amp; Design\Design\FC22\DRR Jaime\QUIFA-CAJÚA\Cajua\[VAS_CAJUA_CF_SEC_20230125.xlsx]CF PND'!$BY$37</t>
  </si>
  <si>
    <t>='C:\Users\jaime.benazar\Quorum Business Solutions\Ecopetrol Prometeo - Documents\Planning Space Implementation\3. Analysis &amp; Design\Design\FC22\DRR Jaime\QUIFA-CAJÚA\Cajua\[VAS_CAJUA_CF_SEC_20230125.xlsx]CF PND'!$BY$38</t>
  </si>
  <si>
    <t>='C:\Users\jaime.benazar\Quorum Business Solutions\Ecopetrol Prometeo - Documents\Planning Space Implementation\3. Analysis &amp; Design\Design\FC22\DRR Jaime\QUIFA-CAJÚA\Cajua\[VAS_CAJUA_CF_SEC_20230125.xlsx]CF PND'!$BY$39</t>
  </si>
  <si>
    <t>='C:\Users\jaime.benazar\Quorum Business Solutions\Ecopetrol Prometeo - Documents\Planning Space Implementation\3. Analysis &amp; Design\Design\FC22\DRR Jaime\QUIFA-CAJÚA\Cajua\[VAS_CAJUA_CF_SEC_20230125.xlsx]CF PND'!$BY$40</t>
  </si>
  <si>
    <t>='C:\Users\jaime.benazar\Quorum Business Solutions\Ecopetrol Prometeo - Documents\Planning Space Implementation\3. Analysis &amp; Design\Design\FC22\DRR Jaime\QUIFA-CAJÚA\Cajua\[VAS_CAJUA_CF_SEC_20230125.xlsx]CF PND'!$BY$41</t>
  </si>
  <si>
    <t>='C:\Users\jaime.benazar\Quorum Business Solutions\Ecopetrol Prometeo - Documents\Planning Space Implementation\3. Analysis &amp; Design\Design\FC22\DRR Jaime\QUIFA-CAJÚA\Cajua\[VAS_CAJUA_CF_SEC_20230125.xlsx]CF PND'!$BY$42</t>
  </si>
  <si>
    <t>='C:\Users\jaime.benazar\Quorum Business Solutions\Ecopetrol Prometeo - Documents\Planning Space Implementation\3. Analysis &amp; Design\Design\FC22\DRR Jaime\QUIFA-CAJÚA\Cajua\[VAS_CAJUA_CF_SEC_20230125.xlsx]CF PND'!$BY$43</t>
  </si>
  <si>
    <t>='C:\Users\jaime.benazar\Quorum Business Solutions\Ecopetrol Prometeo - Documents\Planning Space Implementation\3. Analysis &amp; Design\Design\FC22\DRR Jaime\QUIFA-CAJÚA\Cajua\[VAS_CAJUA_CF_SEC_20230125.xlsx]CF PND'!$BY$44</t>
  </si>
  <si>
    <t>='C:\Users\jaime.benazar\Quorum Business Solutions\Ecopetrol Prometeo - Documents\Planning Space Implementation\3. Analysis &amp; Design\Design\FC22\DRR Jaime\QUIFA-CAJÚA\Cajua\[VAS_CAJUA_CF_SEC_20230125.xlsx]CF PND'!$BY$45</t>
  </si>
  <si>
    <t>='C:\Users\jaime.benazar\Quorum Business Solutions\Ecopetrol Prometeo - Documents\Planning Space Implementation\3. Analysis &amp; Design\Design\FC22\DRR Jaime\QUIFA-CAJÚA\Cajua\[VAS_CAJUA_CF_SEC_20230125.xlsx]CF PND'!$BY$46</t>
  </si>
  <si>
    <t>='C:\Users\jaime.benazar\Quorum Business Solutions\Ecopetrol Prometeo - Documents\Planning Space Implementation\3. Analysis &amp; Design\Design\FC22\DRR Jaime\QUIFA-CAJÚA\Cajua\[VAS_CAJUA_CF_SEC_20230125.xlsx]CF PND'!$BY$47</t>
  </si>
  <si>
    <t>='C:\Users\jaime.benazar\Quorum Business Solutions\Ecopetrol Prometeo - Documents\Planning Space Implementation\3. Analysis &amp; Design\Design\FC22\DRR Jaime\QUIFA-CAJÚA\Cajua\[VAS_CAJUA_CF_SEC_20230125.xlsx]CF PND'!$BY$48</t>
  </si>
  <si>
    <t>='C:\Users\jaime.benazar\Quorum Business Solutions\Ecopetrol Prometeo - Documents\Planning Space Implementation\3. Analysis &amp; Design\Design\FC22\DRR Jaime\QUIFA-CAJÚA\Cajua\[VAS_CAJUA_CF_SEC_20230125.xlsx]CF PND'!$BY$49</t>
  </si>
  <si>
    <t>='C:\Users\jaime.benazar\Quorum Business Solutions\Ecopetrol Prometeo - Documents\Planning Space Implementation\3. Analysis &amp; Design\Design\FC22\DRR Jaime\QUIFA-CAJÚA\Cajua\[VAS_CAJUA_CF_SEC_20230125.xlsx]CF PND'!$BY$50</t>
  </si>
  <si>
    <t>='C:\Users\jaime.benazar\Quorum Business Solutions\Ecopetrol Prometeo - Documents\Planning Space Implementation\3. Analysis &amp; Design\Design\FC22\DRR Jaime\QUIFA-CAJÚA\Cajua\[VAS_CAJUA_CF_SEC_20230125.xlsx]CF PND'!$BY$51</t>
  </si>
  <si>
    <t>='C:\Users\jaime.benazar\Quorum Business Solutions\Ecopetrol Prometeo - Documents\Planning Space Implementation\3. Analysis &amp; Design\Design\FC22\DRR Jaime\QUIFA-CAJÚA\Cajua\[VAS_CAJUA_CF_SEC_20230125.xlsx]CF PND'!$BY$52</t>
  </si>
  <si>
    <t>='C:\Users\jaime.benazar\Quorum Business Solutions\Ecopetrol Prometeo - Documents\Planning Space Implementation\3. Analysis &amp; Design\Design\FC22\DRR Jaime\QUIFA-CAJÚA\Cajua\[VAS_CAJUA_CF_SEC_20230125.xlsx]CF PND'!$BY$53</t>
  </si>
  <si>
    <t>='C:\Users\jaime.benazar\Quorum Business Solutions\Ecopetrol Prometeo - Documents\Planning Space Implementation\3. Analysis &amp; Design\Design\FC22\DRR Jaime\QUIFA-CAJÚA\Cajua\[VAS_CAJUA_CF_SEC_20230125.xlsx]CF PND'!$BY$54</t>
  </si>
  <si>
    <t>='C:\Users\jaime.benazar\Quorum Business Solutions\Ecopetrol Prometeo - Documents\Planning Space Implementation\3. Analysis &amp; Design\Design\FC22\DRR Jaime\QUIFA-CAJÚA\Cajua\[VAS_CAJUA_CF_SEC_20230125.xlsx]CF PND'!$BY$55</t>
  </si>
  <si>
    <t>='C:\Users\jaime.benazar\Quorum Business Solutions\Ecopetrol Prometeo - Documents\Planning Space Implementation\3. Analysis &amp; Design\Design\FC22\DRR Jaime\QUIFA-CAJÚA\Cajua\[VAS_CAJUA_CF_SEC_20230125.xlsx]CF PND'!$BY$56</t>
  </si>
  <si>
    <t>='C:\Users\jaime.benazar\Quorum Business Solutions\Ecopetrol Prometeo - Documents\Planning Space Implementation\3. Analysis &amp; Design\Design\FC22\DRR Jaime\QUIFA-CAJÚA\Cajua\[VAS_CAJUA_CF_SEC_20230125.xlsx]CF PND'!$BY$57</t>
  </si>
  <si>
    <t>='C:\Users\jaime.benazar\Quorum Business Solutions\Ecopetrol Prometeo - Documents\Planning Space Implementation\3. Analysis &amp; Design\Design\FC22\DRR Jaime\QUIFA-CAJÚA\Cajua\[VAS_CAJUA_CF_SEC_20230125.xlsx]CF PND'!$BY$58</t>
  </si>
  <si>
    <t>='C:\Users\jaime.benazar\Quorum Business Solutions\Ecopetrol Prometeo - Documents\Planning Space Implementation\3. Analysis &amp; Design\Design\FC22\DRR Jaime\QUIFA-CAJÚA\Cajua\[VAS_CAJUA_CF_SEC_20230125.xlsx]CF PND'!$BY$59</t>
  </si>
  <si>
    <t>='C:\Users\jaime.benazar\Quorum Business Solutions\Ecopetrol Prometeo - Documents\Planning Space Implementation\3. Analysis &amp; Design\Design\FC22\DRR Jaime\QUIFA-CAJÚA\Cajua\[VAS_CAJUA_CF_SEC_20230125.xlsx]CF PND'!$BY$60</t>
  </si>
  <si>
    <t>='C:\Users\jaime.benazar\Quorum Business Solutions\Ecopetrol Prometeo - Documents\Planning Space Implementation\3. Analysis &amp; Design\Design\FC22\DRR Jaime\QUIFA-CAJÚA\Cajua\[VAS_CAJUA_CF_SEC_20230125.xlsx]CF PND'!$BY$61</t>
  </si>
  <si>
    <t>='C:\Users\jaime.benazar\Quorum Business Solutions\Ecopetrol Prometeo - Documents\Planning Space Implementation\3. Analysis &amp; Design\Design\FC22\DRR Jaime\QUIFA-CAJÚA\Cajua\[VAS_CAJUA_CF_SEC_20230125.xlsx]CF PND'!$BY$62</t>
  </si>
  <si>
    <t>='C:\Users\jaime.benazar\Quorum Business Solutions\Ecopetrol Prometeo - Documents\Planning Space Implementation\3. Analysis &amp; Design\Design\FC22\DRR Jaime\QUIFA-CAJÚA\Cajua\[VAS_CAJUA_CF_SEC_20230125.xlsx]CF PND'!$BY$63</t>
  </si>
  <si>
    <t>='C:\Users\jaime.benazar\Quorum Business Solutions\Ecopetrol Prometeo - Documents\Planning Space Implementation\3. Analysis &amp; Design\Design\FC22\DRR Jaime\QUIFA-CAJÚA\Cajua\[VAS_CAJUA_CF_SEC_20230125.xlsx]CF PND'!$BY$64</t>
  </si>
  <si>
    <t>='C:\Users\jaime.benazar\Quorum Business Solutions\Ecopetrol Prometeo - Documents\Planning Space Implementation\3. Analysis &amp; Design\Design\FC22\DRR Jaime\QUIFA-CAJÚA\Cajua\[VAS_CAJUA_CF_SEC_20230125.xlsx]CF PND'!$BY$65</t>
  </si>
  <si>
    <t>='C:\Users\jaime.benazar\Quorum Business Solutions\Ecopetrol Prometeo - Documents\Planning Space Implementation\3. Analysis &amp; Design\Design\FC22\DRR Jaime\QUIFA-CAJÚA\Cajua\[VAS_CAJUA_CF_SEC_20230125.xlsx]CF PND'!$BY$66</t>
  </si>
  <si>
    <t>='C:\Users\jaime.benazar\Quorum Business Solutions\Ecopetrol Prometeo - Documents\Planning Space Implementation\3. Analysis &amp; Design\Design\FC22\DRR Jaime\QUIFA-CAJÚA\Cajua\[VAS_CAJUA_CF_SEC_20230125.xlsx]CF PND'!$BY$67</t>
  </si>
  <si>
    <t>='C:\Users\jaime.benazar\Quorum Business Solutions\Ecopetrol Prometeo - Documents\Planning Space Implementation\3. Analysis &amp; Design\Design\FC22\DRR Jaime\QUIFA-CAJÚA\Cajua\[VAS_CAJUA_CF_SEC_20230125.xlsx]CF PND'!$BY$68</t>
  </si>
  <si>
    <t>='C:\Users\jaime.benazar\Quorum Business Solutions\Ecopetrol Prometeo - Documents\Planning Space Implementation\3. Analysis &amp; Design\Design\FC22\DRR Jaime\QUIFA-CAJÚA\Cajua\[VAS_CAJUA_CF_SEC_20230125.xlsx]CF PND'!$BY$69</t>
  </si>
  <si>
    <t>='C:\Users\jaime.benazar\Quorum Business Solutions\Ecopetrol Prometeo - Documents\Planning Space Implementation\3. Analysis &amp; Design\Design\FC22\DRR Jaime\QUIFA-CAJÚA\Cajua\[VAS_CAJUA_CF_SEC_20230125.xlsx]CF PND'!$BY$70</t>
  </si>
  <si>
    <t>='C:\Users\jaime.benazar\Quorum Business Solutions\Ecopetrol Prometeo - Documents\Planning Space Implementation\3. Analysis &amp; Design\Design\FC22\DRR Jaime\QUIFA-CAJÚA\Cajua\[VAS_CAJUA_CF_SEC_20230125.xlsx]CF PND'!$BY$71</t>
  </si>
  <si>
    <t>='C:\Users\jaime.benazar\Quorum Business Solutions\Ecopetrol Prometeo - Documents\Planning Space Implementation\3. Analysis &amp; Design\Design\FC22\DRR Jaime\QUIFA-CAJÚA\Cajua\[VAS_CAJUA_CF_SEC_20230125.xlsx]CF PND'!$BY$72</t>
  </si>
  <si>
    <t>='C:\Users\jaime.benazar\Quorum Business Solutions\Ecopetrol Prometeo - Documents\Planning Space Implementation\3. Analysis &amp; Design\Design\FC22\DRR Jaime\QUIFA-CAJÚA\Cajua\[VAS_CAJUA_CF_SEC_20230125.xlsx]CF PRB'!$BY$36</t>
  </si>
  <si>
    <t>='C:\Users\jaime.benazar\Quorum Business Solutions\Ecopetrol Prometeo - Documents\Planning Space Implementation\3. Analysis &amp; Design\Design\FC22\DRR Jaime\QUIFA-CAJÚA\Cajua\[VAS_CAJUA_CF_SEC_20230125.xlsx]CF PRB'!$BY$37</t>
  </si>
  <si>
    <t>='C:\Users\jaime.benazar\Quorum Business Solutions\Ecopetrol Prometeo - Documents\Planning Space Implementation\3. Analysis &amp; Design\Design\FC22\DRR Jaime\QUIFA-CAJÚA\Cajua\[VAS_CAJUA_CF_SEC_20230125.xlsx]CF PRB'!$BY$38</t>
  </si>
  <si>
    <t>='C:\Users\jaime.benazar\Quorum Business Solutions\Ecopetrol Prometeo - Documents\Planning Space Implementation\3. Analysis &amp; Design\Design\FC22\DRR Jaime\QUIFA-CAJÚA\Cajua\[VAS_CAJUA_CF_SEC_20230125.xlsx]CF PRB'!$BY$39</t>
  </si>
  <si>
    <t>='C:\Users\jaime.benazar\Quorum Business Solutions\Ecopetrol Prometeo - Documents\Planning Space Implementation\3. Analysis &amp; Design\Design\FC22\DRR Jaime\QUIFA-CAJÚA\Cajua\[VAS_CAJUA_CF_SEC_20230125.xlsx]CF PRB'!$BY$40</t>
  </si>
  <si>
    <t>='C:\Users\jaime.benazar\Quorum Business Solutions\Ecopetrol Prometeo - Documents\Planning Space Implementation\3. Analysis &amp; Design\Design\FC22\DRR Jaime\QUIFA-CAJÚA\Cajua\[VAS_CAJUA_CF_SEC_20230125.xlsx]CF PRB'!$BY$41</t>
  </si>
  <si>
    <t>='C:\Users\jaime.benazar\Quorum Business Solutions\Ecopetrol Prometeo - Documents\Planning Space Implementation\3. Analysis &amp; Design\Design\FC22\DRR Jaime\QUIFA-CAJÚA\Cajua\[VAS_CAJUA_CF_SEC_20230125.xlsx]CF PRB'!$BY$42</t>
  </si>
  <si>
    <t>='C:\Users\jaime.benazar\Quorum Business Solutions\Ecopetrol Prometeo - Documents\Planning Space Implementation\3. Analysis &amp; Design\Design\FC22\DRR Jaime\QUIFA-CAJÚA\Cajua\[VAS_CAJUA_CF_SEC_20230125.xlsx]CF PRB'!$BY$43</t>
  </si>
  <si>
    <t>='C:\Users\jaime.benazar\Quorum Business Solutions\Ecopetrol Prometeo - Documents\Planning Space Implementation\3. Analysis &amp; Design\Design\FC22\DRR Jaime\QUIFA-CAJÚA\Cajua\[VAS_CAJUA_CF_SEC_20230125.xlsx]CF PRB'!$BY$44</t>
  </si>
  <si>
    <t>='C:\Users\jaime.benazar\Quorum Business Solutions\Ecopetrol Prometeo - Documents\Planning Space Implementation\3. Analysis &amp; Design\Design\FC22\DRR Jaime\QUIFA-CAJÚA\Cajua\[VAS_CAJUA_CF_SEC_20230125.xlsx]CF PRB'!$BY$45</t>
  </si>
  <si>
    <t>='C:\Users\jaime.benazar\Quorum Business Solutions\Ecopetrol Prometeo - Documents\Planning Space Implementation\3. Analysis &amp; Design\Design\FC22\DRR Jaime\QUIFA-CAJÚA\Cajua\[VAS_CAJUA_CF_SEC_20230125.xlsx]CF PRB'!$BY$46</t>
  </si>
  <si>
    <t>='C:\Users\jaime.benazar\Quorum Business Solutions\Ecopetrol Prometeo - Documents\Planning Space Implementation\3. Analysis &amp; Design\Design\FC22\DRR Jaime\QUIFA-CAJÚA\Cajua\[VAS_CAJUA_CF_SEC_20230125.xlsx]CF PRB'!$BY$47</t>
  </si>
  <si>
    <t>='C:\Users\jaime.benazar\Quorum Business Solutions\Ecopetrol Prometeo - Documents\Planning Space Implementation\3. Analysis &amp; Design\Design\FC22\DRR Jaime\QUIFA-CAJÚA\Cajua\[VAS_CAJUA_CF_SEC_20230125.xlsx]CF PRB'!$BY$48</t>
  </si>
  <si>
    <t>='C:\Users\jaime.benazar\Quorum Business Solutions\Ecopetrol Prometeo - Documents\Planning Space Implementation\3. Analysis &amp; Design\Design\FC22\DRR Jaime\QUIFA-CAJÚA\Cajua\[VAS_CAJUA_CF_SEC_20230125.xlsx]CF PRB'!$BY$49</t>
  </si>
  <si>
    <t>='C:\Users\jaime.benazar\Quorum Business Solutions\Ecopetrol Prometeo - Documents\Planning Space Implementation\3. Analysis &amp; Design\Design\FC22\DRR Jaime\QUIFA-CAJÚA\Cajua\[VAS_CAJUA_CF_SEC_20230125.xlsx]CF PRB'!$BY$50</t>
  </si>
  <si>
    <t>='C:\Users\jaime.benazar\Quorum Business Solutions\Ecopetrol Prometeo - Documents\Planning Space Implementation\3. Analysis &amp; Design\Design\FC22\DRR Jaime\QUIFA-CAJÚA\Cajua\[VAS_CAJUA_CF_SEC_20230125.xlsx]CF PRB'!$BY$51</t>
  </si>
  <si>
    <t>='C:\Users\jaime.benazar\Quorum Business Solutions\Ecopetrol Prometeo - Documents\Planning Space Implementation\3. Analysis &amp; Design\Design\FC22\DRR Jaime\QUIFA-CAJÚA\Cajua\[VAS_CAJUA_CF_SEC_20230125.xlsx]CF PRB'!$BY$52</t>
  </si>
  <si>
    <t>='C:\Users\jaime.benazar\Quorum Business Solutions\Ecopetrol Prometeo - Documents\Planning Space Implementation\3. Analysis &amp; Design\Design\FC22\DRR Jaime\QUIFA-CAJÚA\Cajua\[VAS_CAJUA_CF_SEC_20230125.xlsx]CF PRB'!$BY$53</t>
  </si>
  <si>
    <t>='C:\Users\jaime.benazar\Quorum Business Solutions\Ecopetrol Prometeo - Documents\Planning Space Implementation\3. Analysis &amp; Design\Design\FC22\DRR Jaime\QUIFA-CAJÚA\Cajua\[VAS_CAJUA_CF_SEC_20230125.xlsx]CF PRB'!$BY$54</t>
  </si>
  <si>
    <t>='C:\Users\jaime.benazar\Quorum Business Solutions\Ecopetrol Prometeo - Documents\Planning Space Implementation\3. Analysis &amp; Design\Design\FC22\DRR Jaime\QUIFA-CAJÚA\Cajua\[VAS_CAJUA_CF_SEC_20230125.xlsx]CF PRB'!$BY$55</t>
  </si>
  <si>
    <t>='C:\Users\jaime.benazar\Quorum Business Solutions\Ecopetrol Prometeo - Documents\Planning Space Implementation\3. Analysis &amp; Design\Design\FC22\DRR Jaime\QUIFA-CAJÚA\Cajua\[VAS_CAJUA_CF_SEC_20230125.xlsx]CF PRB'!$BY$56</t>
  </si>
  <si>
    <t>='C:\Users\jaime.benazar\Quorum Business Solutions\Ecopetrol Prometeo - Documents\Planning Space Implementation\3. Analysis &amp; Design\Design\FC22\DRR Jaime\QUIFA-CAJÚA\Cajua\[VAS_CAJUA_CF_SEC_20230125.xlsx]CF PRB'!$BY$57</t>
  </si>
  <si>
    <t>='C:\Users\jaime.benazar\Quorum Business Solutions\Ecopetrol Prometeo - Documents\Planning Space Implementation\3. Analysis &amp; Design\Design\FC22\DRR Jaime\QUIFA-CAJÚA\Cajua\[VAS_CAJUA_CF_SEC_20230125.xlsx]CF PRB'!$BY$58</t>
  </si>
  <si>
    <t>='C:\Users\jaime.benazar\Quorum Business Solutions\Ecopetrol Prometeo - Documents\Planning Space Implementation\3. Analysis &amp; Design\Design\FC22\DRR Jaime\QUIFA-CAJÚA\Cajua\[VAS_CAJUA_CF_SEC_20230125.xlsx]CF PRB'!$BY$59</t>
  </si>
  <si>
    <t>='C:\Users\jaime.benazar\Quorum Business Solutions\Ecopetrol Prometeo - Documents\Planning Space Implementation\3. Analysis &amp; Design\Design\FC22\DRR Jaime\QUIFA-CAJÚA\Cajua\[VAS_CAJUA_CF_SEC_20230125.xlsx]CF PRB'!$BY$60</t>
  </si>
  <si>
    <t>='C:\Users\jaime.benazar\Quorum Business Solutions\Ecopetrol Prometeo - Documents\Planning Space Implementation\3. Analysis &amp; Design\Design\FC22\DRR Jaime\QUIFA-CAJÚA\Cajua\[VAS_CAJUA_CF_SEC_20230125.xlsx]CF PRB'!$BY$61</t>
  </si>
  <si>
    <t>='C:\Users\jaime.benazar\Quorum Business Solutions\Ecopetrol Prometeo - Documents\Planning Space Implementation\3. Analysis &amp; Design\Design\FC22\DRR Jaime\QUIFA-CAJÚA\Cajua\[VAS_CAJUA_CF_SEC_20230125.xlsx]CF PRB'!$BY$62</t>
  </si>
  <si>
    <t>='C:\Users\jaime.benazar\Quorum Business Solutions\Ecopetrol Prometeo - Documents\Planning Space Implementation\3. Analysis &amp; Design\Design\FC22\DRR Jaime\QUIFA-CAJÚA\Cajua\[VAS_CAJUA_CF_SEC_20230125.xlsx]CF PRB'!$BY$63</t>
  </si>
  <si>
    <t>='C:\Users\jaime.benazar\Quorum Business Solutions\Ecopetrol Prometeo - Documents\Planning Space Implementation\3. Analysis &amp; Design\Design\FC22\DRR Jaime\QUIFA-CAJÚA\Cajua\[VAS_CAJUA_CF_SEC_20230125.xlsx]CF PRB'!$BY$64</t>
  </si>
  <si>
    <t>='C:\Users\jaime.benazar\Quorum Business Solutions\Ecopetrol Prometeo - Documents\Planning Space Implementation\3. Analysis &amp; Design\Design\FC22\DRR Jaime\QUIFA-CAJÚA\Cajua\[VAS_CAJUA_CF_SEC_20230125.xlsx]CF PRB'!$BY$65</t>
  </si>
  <si>
    <t>='C:\Users\jaime.benazar\Quorum Business Solutions\Ecopetrol Prometeo - Documents\Planning Space Implementation\3. Analysis &amp; Design\Design\FC22\DRR Jaime\QUIFA-CAJÚA\Cajua\[VAS_CAJUA_CF_SEC_20230125.xlsx]CF PRB'!$BY$66</t>
  </si>
  <si>
    <t>='C:\Users\jaime.benazar\Quorum Business Solutions\Ecopetrol Prometeo - Documents\Planning Space Implementation\3. Analysis &amp; Design\Design\FC22\DRR Jaime\QUIFA-CAJÚA\Cajua\[VAS_CAJUA_CF_SEC_20230125.xlsx]CF PRB'!$BY$67</t>
  </si>
  <si>
    <t>='C:\Users\jaime.benazar\Quorum Business Solutions\Ecopetrol Prometeo - Documents\Planning Space Implementation\3. Analysis &amp; Design\Design\FC22\DRR Jaime\QUIFA-CAJÚA\Cajua\[VAS_CAJUA_CF_SEC_20230125.xlsx]CF PRB'!$BY$68</t>
  </si>
  <si>
    <t>='C:\Users\jaime.benazar\Quorum Business Solutions\Ecopetrol Prometeo - Documents\Planning Space Implementation\3. Analysis &amp; Design\Design\FC22\DRR Jaime\QUIFA-CAJÚA\Cajua\[VAS_CAJUA_CF_SEC_20230125.xlsx]CF PRB'!$BY$69</t>
  </si>
  <si>
    <t>='C:\Users\jaime.benazar\Quorum Business Solutions\Ecopetrol Prometeo - Documents\Planning Space Implementation\3. Analysis &amp; Design\Design\FC22\DRR Jaime\QUIFA-CAJÚA\Cajua\[VAS_CAJUA_CF_SEC_20230125.xlsx]CF PRB'!$BY$70</t>
  </si>
  <si>
    <t>='C:\Users\jaime.benazar\Quorum Business Solutions\Ecopetrol Prometeo - Documents\Planning Space Implementation\3. Analysis &amp; Design\Design\FC22\DRR Jaime\QUIFA-CAJÚA\Cajua\[VAS_CAJUA_CF_SEC_20230125.xlsx]CF PRB'!$BY$71</t>
  </si>
  <si>
    <t>='C:\Users\jaime.benazar\Quorum Business Solutions\Ecopetrol Prometeo - Documents\Planning Space Implementation\3. Analysis &amp; Design\Design\FC22\DRR Jaime\QUIFA-CAJÚA\Cajua\[VAS_CAJUA_CF_SEC_20230125.xlsx]CF PRB'!$BY$72</t>
  </si>
  <si>
    <t>='C:\Users\jaime.benazar\Quorum Business Solutions\Ecopetrol Prometeo - Documents\Planning Space Implementation\3. Analysis &amp; Design\Design\FC22\DRR Jaime\QUIFA-CAJÚA\Cajua\[VAS_CAJUA_CF_SEC_20230125.xlsx]CF PS'!$BY$36</t>
  </si>
  <si>
    <t>='C:\Users\jaime.benazar\Quorum Business Solutions\Ecopetrol Prometeo - Documents\Planning Space Implementation\3. Analysis &amp; Design\Design\FC22\DRR Jaime\QUIFA-CAJÚA\Cajua\[VAS_CAJUA_CF_SEC_20230125.xlsx]CF PS'!$BY$37</t>
  </si>
  <si>
    <t>='C:\Users\jaime.benazar\Quorum Business Solutions\Ecopetrol Prometeo - Documents\Planning Space Implementation\3. Analysis &amp; Design\Design\FC22\DRR Jaime\QUIFA-CAJÚA\Cajua\[VAS_CAJUA_CF_SEC_20230125.xlsx]CF PS'!$BY$38</t>
  </si>
  <si>
    <t>='C:\Users\jaime.benazar\Quorum Business Solutions\Ecopetrol Prometeo - Documents\Planning Space Implementation\3. Analysis &amp; Design\Design\FC22\DRR Jaime\QUIFA-CAJÚA\Cajua\[VAS_CAJUA_CF_SEC_20230125.xlsx]CF PS'!$BY$39</t>
  </si>
  <si>
    <t>='C:\Users\jaime.benazar\Quorum Business Solutions\Ecopetrol Prometeo - Documents\Planning Space Implementation\3. Analysis &amp; Design\Design\FC22\DRR Jaime\QUIFA-CAJÚA\Cajua\[VAS_CAJUA_CF_SEC_20230125.xlsx]CF PS'!$BY$40</t>
  </si>
  <si>
    <t>='C:\Users\jaime.benazar\Quorum Business Solutions\Ecopetrol Prometeo - Documents\Planning Space Implementation\3. Analysis &amp; Design\Design\FC22\DRR Jaime\QUIFA-CAJÚA\Cajua\[VAS_CAJUA_CF_SEC_20230125.xlsx]CF PS'!$BY$41</t>
  </si>
  <si>
    <t>='C:\Users\jaime.benazar\Quorum Business Solutions\Ecopetrol Prometeo - Documents\Planning Space Implementation\3. Analysis &amp; Design\Design\FC22\DRR Jaime\QUIFA-CAJÚA\Cajua\[VAS_CAJUA_CF_SEC_20230125.xlsx]CF PS'!$BY$42</t>
  </si>
  <si>
    <t>='C:\Users\jaime.benazar\Quorum Business Solutions\Ecopetrol Prometeo - Documents\Planning Space Implementation\3. Analysis &amp; Design\Design\FC22\DRR Jaime\QUIFA-CAJÚA\Cajua\[VAS_CAJUA_CF_SEC_20230125.xlsx]CF PS'!$BY$43</t>
  </si>
  <si>
    <t>='C:\Users\jaime.benazar\Quorum Business Solutions\Ecopetrol Prometeo - Documents\Planning Space Implementation\3. Analysis &amp; Design\Design\FC22\DRR Jaime\QUIFA-CAJÚA\Cajua\[VAS_CAJUA_CF_SEC_20230125.xlsx]CF PS'!$BY$44</t>
  </si>
  <si>
    <t>='C:\Users\jaime.benazar\Quorum Business Solutions\Ecopetrol Prometeo - Documents\Planning Space Implementation\3. Analysis &amp; Design\Design\FC22\DRR Jaime\QUIFA-CAJÚA\Cajua\[VAS_CAJUA_CF_SEC_20230125.xlsx]CF PS'!$BY$45</t>
  </si>
  <si>
    <t>='C:\Users\jaime.benazar\Quorum Business Solutions\Ecopetrol Prometeo - Documents\Planning Space Implementation\3. Analysis &amp; Design\Design\FC22\DRR Jaime\QUIFA-CAJÚA\Cajua\[VAS_CAJUA_CF_SEC_20230125.xlsx]CF PS'!$BY$46</t>
  </si>
  <si>
    <t>='C:\Users\jaime.benazar\Quorum Business Solutions\Ecopetrol Prometeo - Documents\Planning Space Implementation\3. Analysis &amp; Design\Design\FC22\DRR Jaime\QUIFA-CAJÚA\Cajua\[VAS_CAJUA_CF_SEC_20230125.xlsx]CF PS'!$BY$47</t>
  </si>
  <si>
    <t>='C:\Users\jaime.benazar\Quorum Business Solutions\Ecopetrol Prometeo - Documents\Planning Space Implementation\3. Analysis &amp; Design\Design\FC22\DRR Jaime\QUIFA-CAJÚA\Cajua\[VAS_CAJUA_CF_SEC_20230125.xlsx]CF PS'!$BY$48</t>
  </si>
  <si>
    <t>='C:\Users\jaime.benazar\Quorum Business Solutions\Ecopetrol Prometeo - Documents\Planning Space Implementation\3. Analysis &amp; Design\Design\FC22\DRR Jaime\QUIFA-CAJÚA\Cajua\[VAS_CAJUA_CF_SEC_20230125.xlsx]CF PS'!$BY$49</t>
  </si>
  <si>
    <t>='C:\Users\jaime.benazar\Quorum Business Solutions\Ecopetrol Prometeo - Documents\Planning Space Implementation\3. Analysis &amp; Design\Design\FC22\DRR Jaime\QUIFA-CAJÚA\Cajua\[VAS_CAJUA_CF_SEC_20230125.xlsx]CF PS'!$BY$50</t>
  </si>
  <si>
    <t>='C:\Users\jaime.benazar\Quorum Business Solutions\Ecopetrol Prometeo - Documents\Planning Space Implementation\3. Analysis &amp; Design\Design\FC22\DRR Jaime\QUIFA-CAJÚA\Cajua\[VAS_CAJUA_CF_SEC_20230125.xlsx]CF PS'!$BY$51</t>
  </si>
  <si>
    <t>='C:\Users\jaime.benazar\Quorum Business Solutions\Ecopetrol Prometeo - Documents\Planning Space Implementation\3. Analysis &amp; Design\Design\FC22\DRR Jaime\QUIFA-CAJÚA\Cajua\[VAS_CAJUA_CF_SEC_20230125.xlsx]CF PS'!$BY$52</t>
  </si>
  <si>
    <t>='C:\Users\jaime.benazar\Quorum Business Solutions\Ecopetrol Prometeo - Documents\Planning Space Implementation\3. Analysis &amp; Design\Design\FC22\DRR Jaime\QUIFA-CAJÚA\Cajua\[VAS_CAJUA_CF_SEC_20230125.xlsx]CF PS'!$BY$53</t>
  </si>
  <si>
    <t>='C:\Users\jaime.benazar\Quorum Business Solutions\Ecopetrol Prometeo - Documents\Planning Space Implementation\3. Analysis &amp; Design\Design\FC22\DRR Jaime\QUIFA-CAJÚA\Cajua\[VAS_CAJUA_CF_SEC_20230125.xlsx]CF PS'!$BY$54</t>
  </si>
  <si>
    <t>='C:\Users\jaime.benazar\Quorum Business Solutions\Ecopetrol Prometeo - Documents\Planning Space Implementation\3. Analysis &amp; Design\Design\FC22\DRR Jaime\QUIFA-CAJÚA\Cajua\[VAS_CAJUA_CF_SEC_20230125.xlsx]CF PS'!$BY$55</t>
  </si>
  <si>
    <t>='C:\Users\jaime.benazar\Quorum Business Solutions\Ecopetrol Prometeo - Documents\Planning Space Implementation\3. Analysis &amp; Design\Design\FC22\DRR Jaime\QUIFA-CAJÚA\Cajua\[VAS_CAJUA_CF_SEC_20230125.xlsx]CF PS'!$BY$56</t>
  </si>
  <si>
    <t>='C:\Users\jaime.benazar\Quorum Business Solutions\Ecopetrol Prometeo - Documents\Planning Space Implementation\3. Analysis &amp; Design\Design\FC22\DRR Jaime\QUIFA-CAJÚA\Cajua\[VAS_CAJUA_CF_SEC_20230125.xlsx]CF PS'!$BY$57</t>
  </si>
  <si>
    <t>='C:\Users\jaime.benazar\Quorum Business Solutions\Ecopetrol Prometeo - Documents\Planning Space Implementation\3. Analysis &amp; Design\Design\FC22\DRR Jaime\QUIFA-CAJÚA\Cajua\[VAS_CAJUA_CF_SEC_20230125.xlsx]CF PS'!$BY$58</t>
  </si>
  <si>
    <t>='C:\Users\jaime.benazar\Quorum Business Solutions\Ecopetrol Prometeo - Documents\Planning Space Implementation\3. Analysis &amp; Design\Design\FC22\DRR Jaime\QUIFA-CAJÚA\Cajua\[VAS_CAJUA_CF_SEC_20230125.xlsx]CF PS'!$BY$59</t>
  </si>
  <si>
    <t>='C:\Users\jaime.benazar\Quorum Business Solutions\Ecopetrol Prometeo - Documents\Planning Space Implementation\3. Analysis &amp; Design\Design\FC22\DRR Jaime\QUIFA-CAJÚA\Cajua\[VAS_CAJUA_CF_SEC_20230125.xlsx]CF PS'!$BY$60</t>
  </si>
  <si>
    <t>='C:\Users\jaime.benazar\Quorum Business Solutions\Ecopetrol Prometeo - Documents\Planning Space Implementation\3. Analysis &amp; Design\Design\FC22\DRR Jaime\QUIFA-CAJÚA\Cajua\[VAS_CAJUA_CF_SEC_20230125.xlsx]CF PS'!$BY$61</t>
  </si>
  <si>
    <t>='C:\Users\jaime.benazar\Quorum Business Solutions\Ecopetrol Prometeo - Documents\Planning Space Implementation\3. Analysis &amp; Design\Design\FC22\DRR Jaime\QUIFA-CAJÚA\Cajua\[VAS_CAJUA_CF_SEC_20230125.xlsx]CF PS'!$BY$62</t>
  </si>
  <si>
    <t>='C:\Users\jaime.benazar\Quorum Business Solutions\Ecopetrol Prometeo - Documents\Planning Space Implementation\3. Analysis &amp; Design\Design\FC22\DRR Jaime\QUIFA-CAJÚA\Cajua\[VAS_CAJUA_CF_SEC_20230125.xlsx]CF PS'!$BY$63</t>
  </si>
  <si>
    <t>='C:\Users\jaime.benazar\Quorum Business Solutions\Ecopetrol Prometeo - Documents\Planning Space Implementation\3. Analysis &amp; Design\Design\FC22\DRR Jaime\QUIFA-CAJÚA\Cajua\[VAS_CAJUA_CF_SEC_20230125.xlsx]CF PS'!$BY$64</t>
  </si>
  <si>
    <t>='C:\Users\jaime.benazar\Quorum Business Solutions\Ecopetrol Prometeo - Documents\Planning Space Implementation\3. Analysis &amp; Design\Design\FC22\DRR Jaime\QUIFA-CAJÚA\Cajua\[VAS_CAJUA_CF_SEC_20230125.xlsx]CF PS'!$BY$65</t>
  </si>
  <si>
    <t>='C:\Users\jaime.benazar\Quorum Business Solutions\Ecopetrol Prometeo - Documents\Planning Space Implementation\3. Analysis &amp; Design\Design\FC22\DRR Jaime\QUIFA-CAJÚA\Cajua\[VAS_CAJUA_CF_SEC_20230125.xlsx]CF PS'!$BY$66</t>
  </si>
  <si>
    <t>='C:\Users\jaime.benazar\Quorum Business Solutions\Ecopetrol Prometeo - Documents\Planning Space Implementation\3. Analysis &amp; Design\Design\FC22\DRR Jaime\QUIFA-CAJÚA\Cajua\[VAS_CAJUA_CF_SEC_20230125.xlsx]CF PS'!$BY$67</t>
  </si>
  <si>
    <t>='C:\Users\jaime.benazar\Quorum Business Solutions\Ecopetrol Prometeo - Documents\Planning Space Implementation\3. Analysis &amp; Design\Design\FC22\DRR Jaime\QUIFA-CAJÚA\Cajua\[VAS_CAJUA_CF_SEC_20230125.xlsx]CF PS'!$BY$68</t>
  </si>
  <si>
    <t>='C:\Users\jaime.benazar\Quorum Business Solutions\Ecopetrol Prometeo - Documents\Planning Space Implementation\3. Analysis &amp; Design\Design\FC22\DRR Jaime\QUIFA-CAJÚA\Cajua\[VAS_CAJUA_CF_SEC_20230125.xlsx]CF PS'!$BY$69</t>
  </si>
  <si>
    <t>='C:\Users\jaime.benazar\Quorum Business Solutions\Ecopetrol Prometeo - Documents\Planning Space Implementation\3. Analysis &amp; Design\Design\FC22\DRR Jaime\QUIFA-CAJÚA\Cajua\[VAS_CAJUA_CF_SEC_20230125.xlsx]CF PS'!$BY$70</t>
  </si>
  <si>
    <t>='C:\Users\jaime.benazar\Quorum Business Solutions\Ecopetrol Prometeo - Documents\Planning Space Implementation\3. Analysis &amp; Design\Design\FC22\DRR Jaime\QUIFA-CAJÚA\Cajua\[VAS_CAJUA_CF_SEC_20230125.xlsx]CF PS'!$BY$71</t>
  </si>
  <si>
    <t>='C:\Users\jaime.benazar\Quorum Business Solutions\Ecopetrol Prometeo - Documents\Planning Space Implementation\3. Analysis &amp; Design\Design\FC22\DRR Jaime\QUIFA-CAJÚA\Cajua\[VAS_CAJUA_CF_SEC_20230125.xlsx]CF PS'!$BY$72</t>
  </si>
  <si>
    <t>='C:\Users\jaime.benazar\Quorum Business Solutions\Ecopetrol Prometeo - Documents\Planning Space Implementation\3. Analysis &amp; Design\Design\FC22\DRR Jaime\QUIFA-CAJÚA\Cajua\[VAS_CAJUA_CF_SEC_20230125.xlsx]Consolidado'!$J$12</t>
  </si>
  <si>
    <t>='C:\Users\jaime.benazar\Quorum Business Solutions\Ecopetrol Prometeo - Documents\Planning Space Implementation\3. Analysis &amp; Design\Design\FC22\DRR Jaime\QUIFA-CAJÚA\Cajua\[VAS_CAJUA_CF_SEC_20230125.xlsx]Consolidado'!$J$13</t>
  </si>
  <si>
    <t>='C:\Users\jaime.benazar\Quorum Business Solutions\Ecopetrol Prometeo - Documents\Planning Space Implementation\3. Analysis &amp; Design\Design\FC22\DRR Jaime\QUIFA-CAJÚA\Cajua\[VAS_CAJUA_CF_SEC_20230125.xlsx]Consolidado'!$J$14</t>
  </si>
  <si>
    <t>='C:\Users\jaime.benazar\Quorum Business Solutions\Ecopetrol Prometeo - Documents\Planning Space Implementation\3. Analysis &amp; Design\Design\FC22\DRR Jaime\QUIFA-CAJÚA\Cajua\[VAS_CAJUA_CF_SEC_20230125.xlsx]Consolidado'!$J$17</t>
  </si>
  <si>
    <t>='C:\Users\jaime.benazar\Quorum Business Solutions\Ecopetrol Prometeo - Documents\Planning Space Implementation\3. Analysis &amp; Design\Design\FC22\DRR Jaime\QUIFA-CAJÚA\Cajua\[VAS_CAJUA_CF_SEC_20230125.xlsx]Consolidado'!$J$18</t>
  </si>
  <si>
    <t>='C:\Users\jaime.benazar\Quorum Business Solutions\Ecopetrol Prometeo - Documents\Planning Space Implementation\3. Analysis &amp; Design\Design\FC22\DRR Jaime\QUIFA-CAJÚA\Cajua\[VAS_CAJUA_CF_SEC_20230125.xlsx]Consolidado'!$J$19</t>
  </si>
  <si>
    <t>='C:\Users\jaime.benazar\Quorum Business Solutions\Ecopetrol Prometeo - Documents\Planning Space Implementation\3. Analysis &amp; Design\Design\FC22\DRR Jaime\QUIFA-CAJÚA\Cajua\[VAS_CAJUA_CF_SEC_20230125.xlsx]Consolidado'!$J$21</t>
  </si>
  <si>
    <t>='C:\Users\jaime.benazar\Quorum Business Solutions\Ecopetrol Prometeo - Documents\Planning Space Implementation\3. Analysis &amp; Design\Design\FC22\DRR Jaime\QUIFA-CAJÚA\Cajua\[VAS_CAJUA_CF_SEC_20230125.xlsx]Consolidado'!$J$22</t>
  </si>
  <si>
    <t>='C:\Users\jaime.benazar\Quorum Business Solutions\Ecopetrol Prometeo - Documents\Planning Space Implementation\3. Analysis &amp; Design\Design\FC22\DRR Jaime\QUIFA-CAJÚA\Cajua\[VAS_CAJUA_CF_SEC_20230125.xlsx]Consolidado'!$J$23</t>
  </si>
  <si>
    <t>='C:\Users\jaime.benazar\Quorum Business Solutions\Ecopetrol Prometeo - Documents\Planning Space Implementation\3. Analysis &amp; Design\Design\FC22\DRR Jaime\QUIFA-CAJÚA\Cajua\[VAS_CAJUA_CF_SEC_20230125.xlsx]Consolidado'!$L$12</t>
  </si>
  <si>
    <t>='C:\Users\jaime.benazar\Quorum Business Solutions\Ecopetrol Prometeo - Documents\Planning Space Implementation\3. Analysis &amp; Design\Design\FC22\DRR Jaime\QUIFA-CAJÚA\Cajua\[VAS_CAJUA_CF_SEC_20230125.xlsx]Consolidado'!$L$13</t>
  </si>
  <si>
    <t>='C:\Users\jaime.benazar\Quorum Business Solutions\Ecopetrol Prometeo - Documents\Planning Space Implementation\3. Analysis &amp; Design\Design\FC22\DRR Jaime\QUIFA-CAJÚA\Cajua\[VAS_CAJUA_CF_SEC_20230125.xlsx]Consolidado'!$L$14</t>
  </si>
  <si>
    <t>='C:\Users\jaime.benazar\Quorum Business Solutions\Ecopetrol Prometeo - Documents\Planning Space Implementation\3. Analysis &amp; Design\Design\FC22\DRR Jaime\QUIFA-CAJÚA\Cajua\[VAS_CAJUA_CF_SEC_20230125.xlsx]Consolidado'!$L$17</t>
  </si>
  <si>
    <t>='C:\Users\jaime.benazar\Quorum Business Solutions\Ecopetrol Prometeo - Documents\Planning Space Implementation\3. Analysis &amp; Design\Design\FC22\DRR Jaime\QUIFA-CAJÚA\Cajua\[VAS_CAJUA_CF_SEC_20230125.xlsx]Consolidado'!$L$18</t>
  </si>
  <si>
    <t>='C:\Users\jaime.benazar\Quorum Business Solutions\Ecopetrol Prometeo - Documents\Planning Space Implementation\3. Analysis &amp; Design\Design\FC22\DRR Jaime\QUIFA-CAJÚA\Cajua\[VAS_CAJUA_CF_SEC_20230125.xlsx]Consolidado'!$L$19</t>
  </si>
  <si>
    <t>='C:\Users\jaime.benazar\Quorum Business Solutions\Ecopetrol Prometeo - Documents\Planning Space Implementation\3. Analysis &amp; Design\Design\FC22\DRR Jaime\QUIFA-CAJÚA\Cajua\[VAS_CAJUA_CF_SEC_20230125.xlsx]Consolidado'!$L$21</t>
  </si>
  <si>
    <t>='C:\Users\jaime.benazar\Quorum Business Solutions\Ecopetrol Prometeo - Documents\Planning Space Implementation\3. Analysis &amp; Design\Design\FC22\DRR Jaime\QUIFA-CAJÚA\Cajua\[VAS_CAJUA_CF_SEC_20230125.xlsx]Consolidado'!$L$22</t>
  </si>
  <si>
    <t>='C:\Users\jaime.benazar\Quorum Business Solutions\Ecopetrol Prometeo - Documents\Planning Space Implementation\3. Analysis &amp; Design\Design\FC22\DRR Jaime\QUIFA-CAJÚA\Cajua\[VAS_CAJUA_CF_SEC_20230125.xlsx]Consolidado'!$L$23</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</si>
  <si>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</si>
  <si>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</si>
  <si>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Jaime\QUIFA-CAJÚA\Cajua\[CAJUA_CF_SEC_New_27-Feb-2024Rev3.xlsx]D-</t>
  </si>
  <si>
    <t>='C:\Users\jaime.benazar\Quorum Business Solutions\Ecopetrol Prometeo - Documents\Planning Space Implementation\3. Analysis &amp; Design\Design\FC22\DRR Jaime\QUIFA-CAJÚA\Cajua\[CAJUA_CF_SEC_New_27-Feb-2024Rev3.xlsx]D-PDP'!$BB$12</t>
  </si>
  <si>
    <t>='C:\Users\jaime.benazar\Quorum Business Solutions\Ecopetrol Prometeo - Documents\Planning Space Implementation\3. Analysis &amp; Design\Design\FC22\DRR Jaime\QUIFA-CAJÚA\Cajua\[CAJUA_CF_SEC_New_27-Feb-2024Rev3.xlsx]D-PDP'!$BB$13</t>
  </si>
  <si>
    <t>='C:\Users\jaime.benazar\Quorum Business Solutions\Ecopetrol Prometeo - Documents\Planning Space Implementation\3. Analysis &amp; Design\Design\FC22\DRR Jaime\QUIFA-CAJÚA\Cajua\[CAJUA_CF_SEC_New_27-Feb-2024Rev3.xlsx]D-PDP'!$BB$14</t>
  </si>
  <si>
    <t>='C:\Users\jaime.benazar\Quorum Business Solutions\Ecopetrol Prometeo - Documents\Planning Space Implementation\3. Analysis &amp; Design\Design\FC22\DRR Jaime\QUIFA-CAJÚA\Cajua\[CAJUA_CF_SEC_New_27-Feb-2024Rev3.xlsx]D-PDP'!$BB$15</t>
  </si>
  <si>
    <t>='C:\Users\jaime.benazar\Quorum Business Solutions\Ecopetrol Prometeo - Documents\Planning Space Implementation\3. Analysis &amp; Design\Design\FC22\DRR Jaime\QUIFA-CAJÚA\Cajua\[CAJUA_CF_SEC_New_27-Feb-2024Rev3.xlsx]D-PDP'!$BB$16</t>
  </si>
  <si>
    <t>='C:\Users\jaime.benazar\Quorum Business Solutions\Ecopetrol Prometeo - Documents\Planning Space Implementation\3. Analysis &amp; Design\Design\FC22\DRR Jaime\QUIFA-CAJÚA\Cajua\[CAJUA_CF_SEC_New_27-Feb-2024Rev3.xlsx]D-PDP'!$BB$17</t>
  </si>
  <si>
    <t>='C:\Users\jaime.benazar\Quorum Business Solutions\Ecopetrol Prometeo - Documents\Planning Space Implementation\3. Analysis &amp; Design\Design\FC22\DRR Jaime\QUIFA-CAJÚA\Cajua\[CAJUA_CF_SEC_New_27-Feb-2024Rev3.xlsx]D-PDP'!$BB$18</t>
  </si>
  <si>
    <t>='C:\Users\jaime.benazar\Quorum Business Solutions\Ecopetrol Prometeo - Documents\Planning Space Implementation\3. Analysis &amp; Design\Design\FC22\DRR Jaime\QUIFA-CAJÚA\Cajua\[CAJUA_CF_SEC_New_27-Feb-2024Rev3.xlsx]D-PDP'!$BB$19</t>
  </si>
  <si>
    <t>='C:\Users\jaime.benazar\Quorum Business Solutions\Ecopetrol Prometeo - Documents\Planning Space Implementation\3. Analysis &amp; Design\Design\FC22\DRR Jaime\QUIFA-CAJÚA\Cajua\[CAJUA_CF_SEC_New_27-Feb-2024Rev3.xlsx]D-PDP'!$BB$20</t>
  </si>
  <si>
    <t>='C:\Users\jaime.benazar\Quorum Business Solutions\Ecopetrol Prometeo - Documents\Planning Space Implementation\3. Analysis &amp; Design\Design\FC22\DRR Jaime\QUIFA-CAJÚA\Cajua\[CAJUA_CF_SEC_New_27-Feb-2024Rev3.xlsx]D-PDP'!$BB$21</t>
  </si>
  <si>
    <t>='C:\Users\jaime.benazar\Quorum Business Solutions\Ecopetrol Prometeo - Documents\Planning Space Implementation\3. Analysis &amp; Design\Design\FC22\DRR Jaime\QUIFA-CAJÚA\Cajua\[CAJUA_CF_SEC_New_27-Feb-2024Rev3.xlsx]D-PDP'!$BB$22</t>
  </si>
  <si>
    <t>='C:\Users\jaime.benazar\Quorum Business Solutions\Ecopetrol Prometeo - Documents\Planning Space Implementation\3. Analysis &amp; Design\Design\FC22\DRR Jaime\QUIFA-CAJÚA\Cajua\[CAJUA_CF_SEC_New_27-Feb-2024Rev3.xlsx]D-PDP'!$BB$23</t>
  </si>
  <si>
    <t>='C:\Users\jaime.benazar\Quorum Business Solutions\Ecopetrol Prometeo - Documents\Planning Space Implementation\3. Analysis &amp; Design\Design\FC22\DRR Jaime\QUIFA-CAJÚA\Cajua\[CAJUA_CF_SEC_New_27-Feb-2024Rev3.xlsx]D-PDP'!$BB$24</t>
  </si>
  <si>
    <t>='C:\Users\jaime.benazar\Quorum Business Solutions\Ecopetrol Prometeo - Documents\Planning Space Implementation\3. Analysis &amp; Design\Design\FC22\DRR Jaime\QUIFA-CAJÚA\Cajua\[CAJUA_CF_SEC_New_27-Feb-2024Rev3.xlsx]D-PDP'!$BB$25</t>
  </si>
  <si>
    <t>='C:\Users\jaime.benazar\Quorum Business Solutions\Ecopetrol Prometeo - Documents\Planning Space Implementation\3. Analysis &amp; Design\Design\FC22\DRR Jaime\QUIFA-CAJÚA\Cajua\[CAJUA_CF_SEC_New_27-Feb-2024Rev3.xlsx]D-PDP'!$BB$26</t>
  </si>
  <si>
    <t>='C:\Users\jaime.benazar\Quorum Business Solutions\Ecopetrol Prometeo - Documents\Planning Space Implementation\3. Analysis &amp; Design\Design\FC22\DRR Jaime\QUIFA-CAJÚA\Cajua\[CAJUA_CF_SEC_New_27-Feb-2024Rev3.xlsx]D-PDP'!$BB$27</t>
  </si>
  <si>
    <t>='C:\Users\jaime.benazar\Quorum Business Solutions\Ecopetrol Prometeo - Documents\Planning Space Implementation\3. Analysis &amp; Design\Design\FC22\DRR Jaime\QUIFA-CAJÚA\Cajua\[CAJUA_CF_SEC_New_27-Feb-2024Rev3.xlsx]D-PDP'!$BB$28</t>
  </si>
  <si>
    <t>='C:\Users\jaime.benazar\Quorum Business Solutions\Ecopetrol Prometeo - Documents\Planning Space Implementation\3. Analysis &amp; Design\Design\FC22\DRR Jaime\QUIFA-CAJÚA\Cajua\[CAJUA_CF_SEC_New_27-Feb-2024Rev3.xlsx]D-PDP'!$BB$29</t>
  </si>
  <si>
    <t>='C:\Users\jaime.benazar\Quorum Business Solutions\Ecopetrol Prometeo - Documents\Planning Space Implementation\3. Analysis &amp; Design\Design\FC22\DRR Jaime\QUIFA-CAJÚA\Cajua\[CAJUA_CF_SEC_New_27-Feb-2024Rev3.xlsx]D-PDP'!$BB$30</t>
  </si>
  <si>
    <t>='C:\Users\jaime.benazar\Quorum Business Solutions\Ecopetrol Prometeo - Documents\Planning Space Implementation\3. Analysis &amp; Design\Design\FC22\DRR Jaime\QUIFA-CAJÚA\Cajua\[CAJUA_CF_SEC_New_27-Feb-2024Rev3.xlsx]D-PDP'!$BB$31</t>
  </si>
  <si>
    <t>='C:\Users\jaime.benazar\Quorum Business Solutions\Ecopetrol Prometeo - Documents\Planning Space Implementation\3. Analysis &amp; Design\Design\FC22\DRR Jaime\QUIFA-CAJÚA\Cajua\[CAJUA_CF_SEC_New_27-Feb-2024Rev3.xlsx]D-PDP'!$BB$32</t>
  </si>
  <si>
    <t>='C:\Users\jaime.benazar\Quorum Business Solutions\Ecopetrol Prometeo - Documents\Planning Space Implementation\3. Analysis &amp; Design\Design\FC22\DRR Jaime\QUIFA-CAJÚA\Cajua\[CAJUA_CF_SEC_New_27-Feb-2024Rev3.xlsx]D-PDP'!$BB$33</t>
  </si>
  <si>
    <t>='C:\Users\jaime.benazar\Quorum Business Solutions\Ecopetrol Prometeo - Documents\Planning Space Implementation\3. Analysis &amp; Design\Design\FC22\DRR Jaime\QUIFA-CAJÚA\Cajua\[CAJUA_CF_SEC_New_27-Feb-2024Rev3.xlsx]D-PDP'!$BB$34</t>
  </si>
  <si>
    <t>='C:\Users\jaime.benazar\Quorum Business Solutions\Ecopetrol Prometeo - Documents\Planning Space Implementation\3. Analysis &amp; Design\Design\FC22\DRR Jaime\QUIFA-CAJÚA\Cajua\[CAJUA_CF_SEC_New_27-Feb-2024Rev3.xlsx]D-PDP'!$BB$35</t>
  </si>
  <si>
    <t>='C:\Users\jaime.benazar\Quorum Business Solutions\Ecopetrol Prometeo - Documents\Planning Space Implementation\3. Analysis &amp; Design\Design\FC22\DRR Jaime\QUIFA-CAJÚA\Cajua\[CAJUA_CF_SEC_New_27-Feb-2024Rev3.xlsx]D-PDP'!$BB$36</t>
  </si>
  <si>
    <t>='C:\Users\jaime.benazar\Quorum Business Solutions\Ecopetrol Prometeo - Documents\Planning Space Implementation\3. Analysis &amp; Design\Design\FC22\DRR Jaime\QUIFA-CAJÚA\Cajua\[CAJUA_CF_SEC_New_27-Feb-2024Rev3.xlsx]D-PDP'!$BB$37</t>
  </si>
  <si>
    <t>='C:\Users\jaime.benazar\Quorum Business Solutions\Ecopetrol Prometeo - Documents\Planning Space Implementation\3. Analysis &amp; Design\Design\FC22\DRR Jaime\QUIFA-CAJÚA\Cajua\[CAJUA_CF_SEC_New_27-Feb-2024Rev3.xlsx]D-PDP'!$BB$38</t>
  </si>
  <si>
    <t>='C:\Users\jaime.benazar\Quorum Business Solutions\Ecopetrol Prometeo - Documents\Planning Space Implementation\3. Analysis &amp; Design\Design\FC22\DRR Jaime\QUIFA-CAJÚA\Cajua\[CAJUA_CF_SEC_New_27-Feb-2024Rev3.xlsx]D-PDP'!$BB$39</t>
  </si>
  <si>
    <t>='C:\Users\jaime.benazar\Quorum Business Solutions\Ecopetrol Prometeo - Documents\Planning Space Implementation\3. Analysis &amp; Design\Design\FC22\DRR Jaime\QUIFA-CAJÚA\Cajua\[CAJUA_CF_SEC_New_27-Feb-2024Rev3.xlsx]D-PDP'!$BB$40</t>
  </si>
  <si>
    <t>='C:\Users\jaime.benazar\Quorum Business Solutions\Ecopetrol Prometeo - Documents\Planning Space Implementation\3. Analysis &amp; Design\Design\FC22\DRR Jaime\QUIFA-CAJÚA\Cajua\[CAJUA_CF_SEC_New_27-Feb-2024Rev3.xlsx]D-PDP'!$BB$41</t>
  </si>
  <si>
    <t>='C:\Users\jaime.benazar\Quorum Business Solutions\Ecopetrol Prometeo - Documents\Planning Space Implementation\3. Analysis &amp; Design\Design\FC22\DRR Jaime\QUIFA-CAJÚA\Cajua\[CAJUA_CF_SEC_New_27-Feb-2024Rev3.xlsx]D-PDP'!$BB$42</t>
  </si>
  <si>
    <t>='C:\Users\jaime.benazar\Quorum Business Solutions\Ecopetrol Prometeo - Documents\Planning Space Implementation\3. Analysis &amp; Design\Design\FC22\DRR Jaime\QUIFA-CAJÚA\Cajua\[CAJUA_CF_SEC_New_27-Feb-2024Rev3.xlsx]D-PDP'!$BB$43</t>
  </si>
  <si>
    <t>='C:\Users\jaime.benazar\Quorum Business Solutions\Ecopetrol Prometeo - Documents\Planning Space Implementation\3. Analysis &amp; Design\Design\FC22\DRR Jaime\QUIFA-CAJÚA\Cajua\[CAJUA_CF_SEC_New_27-Feb-2024Rev3.xlsx]D-PDP'!$BB$44</t>
  </si>
  <si>
    <t>='C:\Users\jaime.benazar\Quorum Business Solutions\Ecopetrol Prometeo - Documents\Planning Space Implementation\3. Analysis &amp; Design\Design\FC22\DRR Jaime\QUIFA-CAJÚA\Cajua\[CAJUA_CF_SEC_New_27-Feb-2024Rev3.xlsx]D-PDP'!$BB$45</t>
  </si>
  <si>
    <t>='C:\Users\jaime.benazar\Quorum Business Solutions\Ecopetrol Prometeo - Documents\Planning Space Implementation\3. Analysis &amp; Design\Design\FC22\DRR Jaime\QUIFA-CAJÚA\Cajua\[CAJUA_CF_SEC_New_27-Feb-2024Rev3.xlsx]D-PDP'!$BB$46</t>
  </si>
  <si>
    <t>='C:\Users\jaime.benazar\Quorum Business Solutions\Ecopetrol Prometeo - Documents\Planning Space Implementation\3. Analysis &amp; Design\Design\FC22\DRR Jaime\QUIFA-CAJÚA\Cajua\[CAJUA_CF_SEC_New_27-Feb-2024Rev3.xlsx]D-PDP'!$BB$47</t>
  </si>
  <si>
    <t>='C:\Users\jaime.benazar\Quorum Business Solutions\Ecopetrol Prometeo - Documents\Planning Space Implementation\3. Analysis &amp; Design\Design\FC22\DRR Jaime\QUIFA-CAJÚA\Cajua\[CAJUA_CF_SEC_New_27-Feb-2024Rev3.xlsx]D-PDP'!$BB$48</t>
  </si>
  <si>
    <t>='C:\Users\jaime.benazar\Quorum Business Solutions\Ecopetrol Prometeo - Documents\Planning Space Implementation\3. Analysis &amp; Design\Design\FC22\DRR Jaime\QUIFA-CAJÚA\Cajua\[CAJUA_CF_SEC_New_27-Feb-2024Rev3.xlsx]D-PNP'!$BB$12</t>
  </si>
  <si>
    <t>='C:\Users\jaime.benazar\Quorum Business Solutions\Ecopetrol Prometeo - Documents\Planning Space Implementation\3. Analysis &amp; Design\Design\FC22\DRR Jaime\QUIFA-CAJÚA\Cajua\[CAJUA_CF_SEC_New_27-Feb-2024Rev3.xlsx]D-PNP'!$BB$13</t>
  </si>
  <si>
    <t>='C:\Users\jaime.benazar\Quorum Business Solutions\Ecopetrol Prometeo - Documents\Planning Space Implementation\3. Analysis &amp; Design\Design\FC22\DRR Jaime\QUIFA-CAJÚA\Cajua\[CAJUA_CF_SEC_New_27-Feb-2024Rev3.xlsx]D-PNP'!$BB$14</t>
  </si>
  <si>
    <t>='C:\Users\jaime.benazar\Quorum Business Solutions\Ecopetrol Prometeo - Documents\Planning Space Implementation\3. Analysis &amp; Design\Design\FC22\DRR Jaime\QUIFA-CAJÚA\Cajua\[CAJUA_CF_SEC_New_27-Feb-2024Rev3.xlsx]D-PNP'!$BB$15</t>
  </si>
  <si>
    <t>='C:\Users\jaime.benazar\Quorum Business Solutions\Ecopetrol Prometeo - Documents\Planning Space Implementation\3. Analysis &amp; Design\Design\FC22\DRR Jaime\QUIFA-CAJÚA\Cajua\[CAJUA_CF_SEC_New_27-Feb-2024Rev3.xlsx]D-PNP'!$BB$16</t>
  </si>
  <si>
    <t>='C:\Users\jaime.benazar\Quorum Business Solutions\Ecopetrol Prometeo - Documents\Planning Space Implementation\3. Analysis &amp; Design\Design\FC22\DRR Jaime\QUIFA-CAJÚA\Cajua\[CAJUA_CF_SEC_New_27-Feb-2024Rev3.xlsx]D-PNP'!$BB$17</t>
  </si>
  <si>
    <t>='C:\Users\jaime.benazar\Quorum Business Solutions\Ecopetrol Prometeo - Documents\Planning Space Implementation\3. Analysis &amp; Design\Design\FC22\DRR Jaime\QUIFA-CAJÚA\Cajua\[CAJUA_CF_SEC_New_27-Feb-2024Rev3.xlsx]D-PNP'!$BB$18</t>
  </si>
  <si>
    <t>='C:\Users\jaime.benazar\Quorum Business Solutions\Ecopetrol Prometeo - Documents\Planning Space Implementation\3. Analysis &amp; Design\Design\FC22\DRR Jaime\QUIFA-CAJÚA\Cajua\[CAJUA_CF_SEC_New_27-Feb-2024Rev3.xlsx]D-PNP'!$BB$19</t>
  </si>
  <si>
    <t>='C:\Users\jaime.benazar\Quorum Business Solutions\Ecopetrol Prometeo - Documents\Planning Space Implementation\3. Analysis &amp; Design\Design\FC22\DRR Jaime\QUIFA-CAJÚA\Cajua\[CAJUA_CF_SEC_New_27-Feb-2024Rev3.xlsx]D-PNP'!$BB$20</t>
  </si>
  <si>
    <t>='C:\Users\jaime.benazar\Quorum Business Solutions\Ecopetrol Prometeo - Documents\Planning Space Implementation\3. Analysis &amp; Design\Design\FC22\DRR Jaime\QUIFA-CAJÚA\Cajua\[CAJUA_CF_SEC_New_27-Feb-2024Rev3.xlsx]D-PNP'!$BB$21</t>
  </si>
  <si>
    <t>='C:\Users\jaime.benazar\Quorum Business Solutions\Ecopetrol Prometeo - Documents\Planning Space Implementation\3. Analysis &amp; Design\Design\FC22\DRR Jaime\QUIFA-CAJÚA\Cajua\[CAJUA_CF_SEC_New_27-Feb-2024Rev3.xlsx]D-PNP'!$BB$22</t>
  </si>
  <si>
    <t>='C:\Users\jaime.benazar\Quorum Business Solutions\Ecopetrol Prometeo - Documents\Planning Space Implementation\3. Analysis &amp; Design\Design\FC22\DRR Jaime\QUIFA-CAJÚA\Cajua\[CAJUA_CF_SEC_New_27-Feb-2024Rev3.xlsx]D-PNP'!$BB$23</t>
  </si>
  <si>
    <t>='C:\Users\jaime.benazar\Quorum Business Solutions\Ecopetrol Prometeo - Documents\Planning Space Implementation\3. Analysis &amp; Design\Design\FC22\DRR Jaime\QUIFA-CAJÚA\Cajua\[CAJUA_CF_SEC_New_27-Feb-2024Rev3.xlsx]D-PNP'!$BB$24</t>
  </si>
  <si>
    <t>='C:\Users\jaime.benazar\Quorum Business Solutions\Ecopetrol Prometeo - Documents\Planning Space Implementation\3. Analysis &amp; Design\Design\FC22\DRR Jaime\QUIFA-CAJÚA\Cajua\[CAJUA_CF_SEC_New_27-Feb-2024Rev3.xlsx]D-PNP'!$BB$25</t>
  </si>
  <si>
    <t>='C:\Users\jaime.benazar\Quorum Business Solutions\Ecopetrol Prometeo - Documents\Planning Space Implementation\3. Analysis &amp; Design\Design\FC22\DRR Jaime\QUIFA-CAJÚA\Cajua\[CAJUA_CF_SEC_New_27-Feb-2024Rev3.xlsx]D-PNP'!$BB$26</t>
  </si>
  <si>
    <t>='C:\Users\jaime.benazar\Quorum Business Solutions\Ecopetrol Prometeo - Documents\Planning Space Implementation\3. Analysis &amp; Design\Design\FC22\DRR Jaime\QUIFA-CAJÚA\Cajua\[CAJUA_CF_SEC_New_27-Feb-2024Rev3.xlsx]D-PNP'!$BB$27</t>
  </si>
  <si>
    <t>='C:\Users\jaime.benazar\Quorum Business Solutions\Ecopetrol Prometeo - Documents\Planning Space Implementation\3. Analysis &amp; Design\Design\FC22\DRR Jaime\QUIFA-CAJÚA\Cajua\[CAJUA_CF_SEC_New_27-Feb-2024Rev3.xlsx]D-PNP'!$BB$28</t>
  </si>
  <si>
    <t>='C:\Users\jaime.benazar\Quorum Business Solutions\Ecopetrol Prometeo - Documents\Planning Space Implementation\3. Analysis &amp; Design\Design\FC22\DRR Jaime\QUIFA-CAJÚA\Cajua\[CAJUA_CF_SEC_New_27-Feb-2024Rev3.xlsx]D-PNP'!$BB$29</t>
  </si>
  <si>
    <t>='C:\Users\jaime.benazar\Quorum Business Solutions\Ecopetrol Prometeo - Documents\Planning Space Implementation\3. Analysis &amp; Design\Design\FC22\DRR Jaime\QUIFA-CAJÚA\Cajua\[CAJUA_CF_SEC_New_27-Feb-2024Rev3.xlsx]D-PNP'!$BB$30</t>
  </si>
  <si>
    <t>='C:\Users\jaime.benazar\Quorum Business Solutions\Ecopetrol Prometeo - Documents\Planning Space Implementation\3. Analysis &amp; Design\Design\FC22\DRR Jaime\QUIFA-CAJÚA\Cajua\[CAJUA_CF_SEC_New_27-Feb-2024Rev3.xlsx]D-PNP'!$BB$31</t>
  </si>
  <si>
    <t>='C:\Users\jaime.benazar\Quorum Business Solutions\Ecopetrol Prometeo - Documents\Planning Space Implementation\3. Analysis &amp; Design\Design\FC22\DRR Jaime\QUIFA-CAJÚA\Cajua\[CAJUA_CF_SEC_New_27-Feb-2024Rev3.xlsx]D-PNP'!$BB$32</t>
  </si>
  <si>
    <t>='C:\Users\jaime.benazar\Quorum Business Solutions\Ecopetrol Prometeo - Documents\Planning Space Implementation\3. Analysis &amp; Design\Design\FC22\DRR Jaime\QUIFA-CAJÚA\Cajua\[CAJUA_CF_SEC_New_27-Feb-2024Rev3.xlsx]D-PNP'!$BB$33</t>
  </si>
  <si>
    <t>='C:\Users\jaime.benazar\Quorum Business Solutions\Ecopetrol Prometeo - Documents\Planning Space Implementation\3. Analysis &amp; Design\Design\FC22\DRR Jaime\QUIFA-CAJÚA\Cajua\[CAJUA_CF_SEC_New_27-Feb-2024Rev3.xlsx]D-PNP'!$BB$34</t>
  </si>
  <si>
    <t>='C:\Users\jaime.benazar\Quorum Business Solutions\Ecopetrol Prometeo - Documents\Planning Space Implementation\3. Analysis &amp; Design\Design\FC22\DRR Jaime\QUIFA-CAJÚA\Cajua\[CAJUA_CF_SEC_New_27-Feb-2024Rev3.xlsx]D-PNP'!$BB$35</t>
  </si>
  <si>
    <t>='C:\Users\jaime.benazar\Quorum Business Solutions\Ecopetrol Prometeo - Documents\Planning Space Implementation\3. Analysis &amp; Design\Design\FC22\DRR Jaime\QUIFA-CAJÚA\Cajua\[CAJUA_CF_SEC_New_27-Feb-2024Rev3.xlsx]D-PNP'!$BB$36</t>
  </si>
  <si>
    <t>='C:\Users\jaime.benazar\Quorum Business Solutions\Ecopetrol Prometeo - Documents\Planning Space Implementation\3. Analysis &amp; Design\Design\FC22\DRR Jaime\QUIFA-CAJÚA\Cajua\[CAJUA_CF_SEC_New_27-Feb-2024Rev3.xlsx]D-PNP'!$BB$37</t>
  </si>
  <si>
    <t>='C:\Users\jaime.benazar\Quorum Business Solutions\Ecopetrol Prometeo - Documents\Planning Space Implementation\3. Analysis &amp; Design\Design\FC22\DRR Jaime\QUIFA-CAJÚA\Cajua\[CAJUA_CF_SEC_New_27-Feb-2024Rev3.xlsx]D-PNP'!$BB$38</t>
  </si>
  <si>
    <t>='C:\Users\jaime.benazar\Quorum Business Solutions\Ecopetrol Prometeo - Documents\Planning Space Implementation\3. Analysis &amp; Design\Design\FC22\DRR Jaime\QUIFA-CAJÚA\Cajua\[CAJUA_CF_SEC_New_27-Feb-2024Rev3.xlsx]D-PNP'!$BB$39</t>
  </si>
  <si>
    <t>='C:\Users\jaime.benazar\Quorum Business Solutions\Ecopetrol Prometeo - Documents\Planning Space Implementation\3. Analysis &amp; Design\Design\FC22\DRR Jaime\QUIFA-CAJÚA\Cajua\[CAJUA_CF_SEC_New_27-Feb-2024Rev3.xlsx]D-PNP'!$BB$40</t>
  </si>
  <si>
    <t>='C:\Users\jaime.benazar\Quorum Business Solutions\Ecopetrol Prometeo - Documents\Planning Space Implementation\3. Analysis &amp; Design\Design\FC22\DRR Jaime\QUIFA-CAJÚA\Cajua\[CAJUA_CF_SEC_New_27-Feb-2024Rev3.xlsx]D-PNP'!$BB$41</t>
  </si>
  <si>
    <t>='C:\Users\jaime.benazar\Quorum Business Solutions\Ecopetrol Prometeo - Documents\Planning Space Implementation\3. Analysis &amp; Design\Design\FC22\DRR Jaime\QUIFA-CAJÚA\Cajua\[CAJUA_CF_SEC_New_27-Feb-2024Rev3.xlsx]D-PNP'!$BB$42</t>
  </si>
  <si>
    <t>='C:\Users\jaime.benazar\Quorum Business Solutions\Ecopetrol Prometeo - Documents\Planning Space Implementation\3. Analysis &amp; Design\Design\FC22\DRR Jaime\QUIFA-CAJÚA\Cajua\[CAJUA_CF_SEC_New_27-Feb-2024Rev3.xlsx]D-PNP'!$BB$43</t>
  </si>
  <si>
    <t>='C:\Users\jaime.benazar\Quorum Business Solutions\Ecopetrol Prometeo - Documents\Planning Space Implementation\3. Analysis &amp; Design\Design\FC22\DRR Jaime\QUIFA-CAJÚA\Cajua\[CAJUA_CF_SEC_New_27-Feb-2024Rev3.xlsx]D-PNP'!$BB$44</t>
  </si>
  <si>
    <t>='C:\Users\jaime.benazar\Quorum Business Solutions\Ecopetrol Prometeo - Documents\Planning Space Implementation\3. Analysis &amp; Design\Design\FC22\DRR Jaime\QUIFA-CAJÚA\Cajua\[CAJUA_CF_SEC_New_27-Feb-2024Rev3.xlsx]D-PNP'!$BB$45</t>
  </si>
  <si>
    <t>='C:\Users\jaime.benazar\Quorum Business Solutions\Ecopetrol Prometeo - Documents\Planning Space Implementation\3. Analysis &amp; Design\Design\FC22\DRR Jaime\QUIFA-CAJÚA\Cajua\[CAJUA_CF_SEC_New_27-Feb-2024Rev3.xlsx]D-PNP'!$BB$46</t>
  </si>
  <si>
    <t>='C:\Users\jaime.benazar\Quorum Business Solutions\Ecopetrol Prometeo - Documents\Planning Space Implementation\3. Analysis &amp; Design\Design\FC22\DRR Jaime\QUIFA-CAJÚA\Cajua\[CAJUA_CF_SEC_New_27-Feb-2024Rev3.xlsx]D-PNP'!$BB$47</t>
  </si>
  <si>
    <t>='C:\Users\jaime.benazar\Quorum Business Solutions\Ecopetrol Prometeo - Documents\Planning Space Implementation\3. Analysis &amp; Design\Design\FC22\DRR Jaime\QUIFA-CAJÚA\Cajua\[CAJUA_CF_SEC_New_27-Feb-2024Rev3.xlsx]D-PNP'!$BB$48</t>
  </si>
  <si>
    <t>='C:\Users\jaime.benazar\Quorum Business Solutions\Ecopetrol Prometeo - Documents\Planning Space Implementation\3. Analysis &amp; Design\Design\FC22\DRR Jaime\QUIFA-CAJÚA\Cajua\[CAJUA_CF_SEC_New_27-Feb-2024Rev3.xlsx]D-PND'!$BB$12</t>
  </si>
  <si>
    <t>='C:\Users\jaime.benazar\Quorum Business Solutions\Ecopetrol Prometeo - Documents\Planning Space Implementation\3. Analysis &amp; Design\Design\FC22\DRR Jaime\QUIFA-CAJÚA\Cajua\[CAJUA_CF_SEC_New_27-Feb-2024Rev3.xlsx]D-PND'!$BB$13</t>
  </si>
  <si>
    <t>='C:\Users\jaime.benazar\Quorum Business Solutions\Ecopetrol Prometeo - Documents\Planning Space Implementation\3. Analysis &amp; Design\Design\FC22\DRR Jaime\QUIFA-CAJÚA\Cajua\[CAJUA_CF_SEC_New_27-Feb-2024Rev3.xlsx]D-PND'!$BB$14</t>
  </si>
  <si>
    <t>='C:\Users\jaime.benazar\Quorum Business Solutions\Ecopetrol Prometeo - Documents\Planning Space Implementation\3. Analysis &amp; Design\Design\FC22\DRR Jaime\QUIFA-CAJÚA\Cajua\[CAJUA_CF_SEC_New_27-Feb-2024Rev3.xlsx]D-PND'!$BB$15</t>
  </si>
  <si>
    <t>='C:\Users\jaime.benazar\Quorum Business Solutions\Ecopetrol Prometeo - Documents\Planning Space Implementation\3. Analysis &amp; Design\Design\FC22\DRR Jaime\QUIFA-CAJÚA\Cajua\[CAJUA_CF_SEC_New_27-Feb-2024Rev3.xlsx]D-PND'!$BB$16</t>
  </si>
  <si>
    <t>='C:\Users\jaime.benazar\Quorum Business Solutions\Ecopetrol Prometeo - Documents\Planning Space Implementation\3. Analysis &amp; Design\Design\FC22\DRR Jaime\QUIFA-CAJÚA\Cajua\[CAJUA_CF_SEC_New_27-Feb-2024Rev3.xlsx]D-PND'!$BB$17</t>
  </si>
  <si>
    <t>='C:\Users\jaime.benazar\Quorum Business Solutions\Ecopetrol Prometeo - Documents\Planning Space Implementation\3. Analysis &amp; Design\Design\FC22\DRR Jaime\QUIFA-CAJÚA\Cajua\[CAJUA_CF_SEC_New_27-Feb-2024Rev3.xlsx]D-PND'!$BB$18</t>
  </si>
  <si>
    <t>='C:\Users\jaime.benazar\Quorum Business Solutions\Ecopetrol Prometeo - Documents\Planning Space Implementation\3. Analysis &amp; Design\Design\FC22\DRR Jaime\QUIFA-CAJÚA\Cajua\[CAJUA_CF_SEC_New_27-Feb-2024Rev3.xlsx]D-PND'!$BB$19</t>
  </si>
  <si>
    <t>='C:\Users\jaime.benazar\Quorum Business Solutions\Ecopetrol Prometeo - Documents\Planning Space Implementation\3. Analysis &amp; Design\Design\FC22\DRR Jaime\QUIFA-CAJÚA\Cajua\[CAJUA_CF_SEC_New_27-Feb-2024Rev3.xlsx]D-PND'!$BB$20</t>
  </si>
  <si>
    <t>='C:\Users\jaime.benazar\Quorum Business Solutions\Ecopetrol Prometeo - Documents\Planning Space Implementation\3. Analysis &amp; Design\Design\FC22\DRR Jaime\QUIFA-CAJÚA\Cajua\[CAJUA_CF_SEC_New_27-Feb-2024Rev3.xlsx]D-PND'!$BB$21</t>
  </si>
  <si>
    <t>='C:\Users\jaime.benazar\Quorum Business Solutions\Ecopetrol Prometeo - Documents\Planning Space Implementation\3. Analysis &amp; Design\Design\FC22\DRR Jaime\QUIFA-CAJÚA\Cajua\[CAJUA_CF_SEC_New_27-Feb-2024Rev3.xlsx]D-PND'!$BB$22</t>
  </si>
  <si>
    <t>='C:\Users\jaime.benazar\Quorum Business Solutions\Ecopetrol Prometeo - Documents\Planning Space Implementation\3. Analysis &amp; Design\Design\FC22\DRR Jaime\QUIFA-CAJÚA\Cajua\[CAJUA_CF_SEC_New_27-Feb-2024Rev3.xlsx]D-PND'!$BB$23</t>
  </si>
  <si>
    <t>='C:\Users\jaime.benazar\Quorum Business Solutions\Ecopetrol Prometeo - Documents\Planning Space Implementation\3. Analysis &amp; Design\Design\FC22\DRR Jaime\QUIFA-CAJÚA\Cajua\[CAJUA_CF_SEC_New_27-Feb-2024Rev3.xlsx]D-PND'!$BB$24</t>
  </si>
  <si>
    <t>='C:\Users\jaime.benazar\Quorum Business Solutions\Ecopetrol Prometeo - Documents\Planning Space Implementation\3. Analysis &amp; Design\Design\FC22\DRR Jaime\QUIFA-CAJÚA\Cajua\[CAJUA_CF_SEC_New_27-Feb-2024Rev3.xlsx]D-PND'!$BB$25</t>
  </si>
  <si>
    <t>='C:\Users\jaime.benazar\Quorum Business Solutions\Ecopetrol Prometeo - Documents\Planning Space Implementation\3. Analysis &amp; Design\Design\FC22\DRR Jaime\QUIFA-CAJÚA\Cajua\[CAJUA_CF_SEC_New_27-Feb-2024Rev3.xlsx]D-PND'!$BB$26</t>
  </si>
  <si>
    <t>='C:\Users\jaime.benazar\Quorum Business Solutions\Ecopetrol Prometeo - Documents\Planning Space Implementation\3. Analysis &amp; Design\Design\FC22\DRR Jaime\QUIFA-CAJÚA\Cajua\[CAJUA_CF_SEC_New_27-Feb-2024Rev3.xlsx]D-PND'!$BB$27</t>
  </si>
  <si>
    <t>='C:\Users\jaime.benazar\Quorum Business Solutions\Ecopetrol Prometeo - Documents\Planning Space Implementation\3. Analysis &amp; Design\Design\FC22\DRR Jaime\QUIFA-CAJÚA\Cajua\[CAJUA_CF_SEC_New_27-Feb-2024Rev3.xlsx]D-PND'!$BB$28</t>
  </si>
  <si>
    <t>='C:\Users\jaime.benazar\Quorum Business Solutions\Ecopetrol Prometeo - Documents\Planning Space Implementation\3. Analysis &amp; Design\Design\FC22\DRR Jaime\QUIFA-CAJÚA\Cajua\[CAJUA_CF_SEC_New_27-Feb-2024Rev3.xlsx]D-PND'!$BB$29</t>
  </si>
  <si>
    <t>='C:\Users\jaime.benazar\Quorum Business Solutions\Ecopetrol Prometeo - Documents\Planning Space Implementation\3. Analysis &amp; Design\Design\FC22\DRR Jaime\QUIFA-CAJÚA\Cajua\[CAJUA_CF_SEC_New_27-Feb-2024Rev3.xlsx]D-PND'!$BB$30</t>
  </si>
  <si>
    <t>='C:\Users\jaime.benazar\Quorum Business Solutions\Ecopetrol Prometeo - Documents\Planning Space Implementation\3. Analysis &amp; Design\Design\FC22\DRR Jaime\QUIFA-CAJÚA\Cajua\[CAJUA_CF_SEC_New_27-Feb-2024Rev3.xlsx]D-PND'!$BB$31</t>
  </si>
  <si>
    <t>='C:\Users\jaime.benazar\Quorum Business Solutions\Ecopetrol Prometeo - Documents\Planning Space Implementation\3. Analysis &amp; Design\Design\FC22\DRR Jaime\QUIFA-CAJÚA\Cajua\[CAJUA_CF_SEC_New_27-Feb-2024Rev3.xlsx]D-PND'!$BB$32</t>
  </si>
  <si>
    <t>='C:\Users\jaime.benazar\Quorum Business Solutions\Ecopetrol Prometeo - Documents\Planning Space Implementation\3. Analysis &amp; Design\Design\FC22\DRR Jaime\QUIFA-CAJÚA\Cajua\[CAJUA_CF_SEC_New_27-Feb-2024Rev3.xlsx]D-PND'!$BB$33</t>
  </si>
  <si>
    <t>='C:\Users\jaime.benazar\Quorum Business Solutions\Ecopetrol Prometeo - Documents\Planning Space Implementation\3. Analysis &amp; Design\Design\FC22\DRR Jaime\QUIFA-CAJÚA\Cajua\[CAJUA_CF_SEC_New_27-Feb-2024Rev3.xlsx]D-PND'!$BB$34</t>
  </si>
  <si>
    <t>='C:\Users\jaime.benazar\Quorum Business Solutions\Ecopetrol Prometeo - Documents\Planning Space Implementation\3. Analysis &amp; Design\Design\FC22\DRR Jaime\QUIFA-CAJÚA\Cajua\[CAJUA_CF_SEC_New_27-Feb-2024Rev3.xlsx]D-PND'!$BB$35</t>
  </si>
  <si>
    <t>='C:\Users\jaime.benazar\Quorum Business Solutions\Ecopetrol Prometeo - Documents\Planning Space Implementation\3. Analysis &amp; Design\Design\FC22\DRR Jaime\QUIFA-CAJÚA\Cajua\[CAJUA_CF_SEC_New_27-Feb-2024Rev3.xlsx]D-PND'!$BB$36</t>
  </si>
  <si>
    <t>='C:\Users\jaime.benazar\Quorum Business Solutions\Ecopetrol Prometeo - Documents\Planning Space Implementation\3. Analysis &amp; Design\Design\FC22\DRR Jaime\QUIFA-CAJÚA\Cajua\[CAJUA_CF_SEC_New_27-Feb-2024Rev3.xlsx]D-PND'!$BB$37</t>
  </si>
  <si>
    <t>='C:\Users\jaime.benazar\Quorum Business Solutions\Ecopetrol Prometeo - Documents\Planning Space Implementation\3. Analysis &amp; Design\Design\FC22\DRR Jaime\QUIFA-CAJÚA\Cajua\[CAJUA_CF_SEC_New_27-Feb-2024Rev3.xlsx]D-PND'!$BB$38</t>
  </si>
  <si>
    <t>='C:\Users\jaime.benazar\Quorum Business Solutions\Ecopetrol Prometeo - Documents\Planning Space Implementation\3. Analysis &amp; Design\Design\FC22\DRR Jaime\QUIFA-CAJÚA\Cajua\[CAJUA_CF_SEC_New_27-Feb-2024Rev3.xlsx]D-PND'!$BB$39</t>
  </si>
  <si>
    <t>='C:\Users\jaime.benazar\Quorum Business Solutions\Ecopetrol Prometeo - Documents\Planning Space Implementation\3. Analysis &amp; Design\Design\FC22\DRR Jaime\QUIFA-CAJÚA\Cajua\[CAJUA_CF_SEC_New_27-Feb-2024Rev3.xlsx]D-PND'!$BB$40</t>
  </si>
  <si>
    <t>='C:\Users\jaime.benazar\Quorum Business Solutions\Ecopetrol Prometeo - Documents\Planning Space Implementation\3. Analysis &amp; Design\Design\FC22\DRR Jaime\QUIFA-CAJÚA\Cajua\[CAJUA_CF_SEC_New_27-Feb-2024Rev3.xlsx]D-PND'!$BB$41</t>
  </si>
  <si>
    <t>='C:\Users\jaime.benazar\Quorum Business Solutions\Ecopetrol Prometeo - Documents\Planning Space Implementation\3. Analysis &amp; Design\Design\FC22\DRR Jaime\QUIFA-CAJÚA\Cajua\[CAJUA_CF_SEC_New_27-Feb-2024Rev3.xlsx]D-PND'!$BB$42</t>
  </si>
  <si>
    <t>='C:\Users\jaime.benazar\Quorum Business Solutions\Ecopetrol Prometeo - Documents\Planning Space Implementation\3. Analysis &amp; Design\Design\FC22\DRR Jaime\QUIFA-CAJÚA\Cajua\[CAJUA_CF_SEC_New_27-Feb-2024Rev3.xlsx]D-PND'!$BB$43</t>
  </si>
  <si>
    <t>='C:\Users\jaime.benazar\Quorum Business Solutions\Ecopetrol Prometeo - Documents\Planning Space Implementation\3. Analysis &amp; Design\Design\FC22\DRR Jaime\QUIFA-CAJÚA\Cajua\[CAJUA_CF_SEC_New_27-Feb-2024Rev3.xlsx]D-PND'!$BB$44</t>
  </si>
  <si>
    <t>='C:\Users\jaime.benazar\Quorum Business Solutions\Ecopetrol Prometeo - Documents\Planning Space Implementation\3. Analysis &amp; Design\Design\FC22\DRR Jaime\QUIFA-CAJÚA\Cajua\[CAJUA_CF_SEC_New_27-Feb-2024Rev3.xlsx]D-PND'!$BB$45</t>
  </si>
  <si>
    <t>='C:\Users\jaime.benazar\Quorum Business Solutions\Ecopetrol Prometeo - Documents\Planning Space Implementation\3. Analysis &amp; Design\Design\FC22\DRR Jaime\QUIFA-CAJÚA\Cajua\[CAJUA_CF_SEC_New_27-Feb-2024Rev3.xlsx]D-PND'!$BB$46</t>
  </si>
  <si>
    <t>='C:\Users\jaime.benazar\Quorum Business Solutions\Ecopetrol Prometeo - Documents\Planning Space Implementation\3. Analysis &amp; Design\Design\FC22\DRR Jaime\QUIFA-CAJÚA\Cajua\[CAJUA_CF_SEC_New_27-Feb-2024Rev3.xlsx]D-PND'!$BB$47</t>
  </si>
  <si>
    <t>='C:\Users\jaime.benazar\Quorum Business Solutions\Ecopetrol Prometeo - Documents\Planning Space Implementation\3. Analysis &amp; Design\Design\FC22\DRR Jaime\QUIFA-CAJÚA\Cajua\[CAJUA_CF_SEC_New_27-Feb-2024Rev3.xlsx]D-PND'!$BB$48</t>
  </si>
  <si>
    <t>='C:\Users\jaime.benazar\Quorum Business Solutions\Ecopetrol Prometeo - Documents\Planning Space Implementation\3. Analysis &amp; Design\Design\FC22\DRR Jaime\QUIFA-CAJÚA\Cajua\[CAJUA_CF_SEC_New_27-Feb-2024Rev3.xlsx]D-PRB'!$BB$12</t>
  </si>
  <si>
    <t>='C:\Users\jaime.benazar\Quorum Business Solutions\Ecopetrol Prometeo - Documents\Planning Space Implementation\3. Analysis &amp; Design\Design\FC22\DRR Jaime\QUIFA-CAJÚA\Cajua\[CAJUA_CF_SEC_New_27-Feb-2024Rev3.xlsx]D-PRB'!$BB$13</t>
  </si>
  <si>
    <t>='C:\Users\jaime.benazar\Quorum Business Solutions\Ecopetrol Prometeo - Documents\Planning Space Implementation\3. Analysis &amp; Design\Design\FC22\DRR Jaime\QUIFA-CAJÚA\Cajua\[CAJUA_CF_SEC_New_27-Feb-2024Rev3.xlsx]D-PRB'!$BB$14</t>
  </si>
  <si>
    <t>='C:\Users\jaime.benazar\Quorum Business Solutions\Ecopetrol Prometeo - Documents\Planning Space Implementation\3. Analysis &amp; Design\Design\FC22\DRR Jaime\QUIFA-CAJÚA\Cajua\[CAJUA_CF_SEC_New_27-Feb-2024Rev3.xlsx]D-PRB'!$BB$15</t>
  </si>
  <si>
    <t>='C:\Users\jaime.benazar\Quorum Business Solutions\Ecopetrol Prometeo - Documents\Planning Space Implementation\3. Analysis &amp; Design\Design\FC22\DRR Jaime\QUIFA-CAJÚA\Cajua\[CAJUA_CF_SEC_New_27-Feb-2024Rev3.xlsx]D-PRB'!$BB$16</t>
  </si>
  <si>
    <t>='C:\Users\jaime.benazar\Quorum Business Solutions\Ecopetrol Prometeo - Documents\Planning Space Implementation\3. Analysis &amp; Design\Design\FC22\DRR Jaime\QUIFA-CAJÚA\Cajua\[CAJUA_CF_SEC_New_27-Feb-2024Rev3.xlsx]D-PRB'!$BB$17</t>
  </si>
  <si>
    <t>='C:\Users\jaime.benazar\Quorum Business Solutions\Ecopetrol Prometeo - Documents\Planning Space Implementation\3. Analysis &amp; Design\Design\FC22\DRR Jaime\QUIFA-CAJÚA\Cajua\[CAJUA_CF_SEC_New_27-Feb-2024Rev3.xlsx]D-PRB'!$BB$18</t>
  </si>
  <si>
    <t>='C:\Users\jaime.benazar\Quorum Business Solutions\Ecopetrol Prometeo - Documents\Planning Space Implementation\3. Analysis &amp; Design\Design\FC22\DRR Jaime\QUIFA-CAJÚA\Cajua\[CAJUA_CF_SEC_New_27-Feb-2024Rev3.xlsx]D-PRB'!$BB$19</t>
  </si>
  <si>
    <t>='C:\Users\jaime.benazar\Quorum Business Solutions\Ecopetrol Prometeo - Documents\Planning Space Implementation\3. Analysis &amp; Design\Design\FC22\DRR Jaime\QUIFA-CAJÚA\Cajua\[CAJUA_CF_SEC_New_27-Feb-2024Rev3.xlsx]D-PRB'!$BB$20</t>
  </si>
  <si>
    <t>='C:\Users\jaime.benazar\Quorum Business Solutions\Ecopetrol Prometeo - Documents\Planning Space Implementation\3. Analysis &amp; Design\Design\FC22\DRR Jaime\QUIFA-CAJÚA\Cajua\[CAJUA_CF_SEC_New_27-Feb-2024Rev3.xlsx]D-PRB'!$BB$21</t>
  </si>
  <si>
    <t>='C:\Users\jaime.benazar\Quorum Business Solutions\Ecopetrol Prometeo - Documents\Planning Space Implementation\3. Analysis &amp; Design\Design\FC22\DRR Jaime\QUIFA-CAJÚA\Cajua\[CAJUA_CF_SEC_New_27-Feb-2024Rev3.xlsx]D-PRB'!$BB$22</t>
  </si>
  <si>
    <t>='C:\Users\jaime.benazar\Quorum Business Solutions\Ecopetrol Prometeo - Documents\Planning Space Implementation\3. Analysis &amp; Design\Design\FC22\DRR Jaime\QUIFA-CAJÚA\Cajua\[CAJUA_CF_SEC_New_27-Feb-2024Rev3.xlsx]D-PRB'!$BB$23</t>
  </si>
  <si>
    <t>='C:\Users\jaime.benazar\Quorum Business Solutions\Ecopetrol Prometeo - Documents\Planning Space Implementation\3. Analysis &amp; Design\Design\FC22\DRR Jaime\QUIFA-CAJÚA\Cajua\[CAJUA_CF_SEC_New_27-Feb-2024Rev3.xlsx]D-PRB'!$BB$24</t>
  </si>
  <si>
    <t>='C:\Users\jaime.benazar\Quorum Business Solutions\Ecopetrol Prometeo - Documents\Planning Space Implementation\3. Analysis &amp; Design\Design\FC22\DRR Jaime\QUIFA-CAJÚA\Cajua\[CAJUA_CF_SEC_New_27-Feb-2024Rev3.xlsx]D-PRB'!$BB$25</t>
  </si>
  <si>
    <t>='C:\Users\jaime.benazar\Quorum Business Solutions\Ecopetrol Prometeo - Documents\Planning Space Implementation\3. Analysis &amp; Design\Design\FC22\DRR Jaime\QUIFA-CAJÚA\Cajua\[CAJUA_CF_SEC_New_27-Feb-2024Rev3.xlsx]D-PRB'!$BB$26</t>
  </si>
  <si>
    <t>='C:\Users\jaime.benazar\Quorum Business Solutions\Ecopetrol Prometeo - Documents\Planning Space Implementation\3. Analysis &amp; Design\Design\FC22\DRR Jaime\QUIFA-CAJÚA\Cajua\[CAJUA_CF_SEC_New_27-Feb-2024Rev3.xlsx]D-PRB'!$BB$27</t>
  </si>
  <si>
    <t>='C:\Users\jaime.benazar\Quorum Business Solutions\Ecopetrol Prometeo - Documents\Planning Space Implementation\3. Analysis &amp; Design\Design\FC22\DRR Jaime\QUIFA-CAJÚA\Cajua\[CAJUA_CF_SEC_New_27-Feb-2024Rev3.xlsx]D-PRB'!$BB$28</t>
  </si>
  <si>
    <t>='C:\Users\jaime.benazar\Quorum Business Solutions\Ecopetrol Prometeo - Documents\Planning Space Implementation\3. Analysis &amp; Design\Design\FC22\DRR Jaime\QUIFA-CAJÚA\Cajua\[CAJUA_CF_SEC_New_27-Feb-2024Rev3.xlsx]D-PRB'!$BB$29</t>
  </si>
  <si>
    <t>='C:\Users\jaime.benazar\Quorum Business Solutions\Ecopetrol Prometeo - Documents\Planning Space Implementation\3. Analysis &amp; Design\Design\FC22\DRR Jaime\QUIFA-CAJÚA\Cajua\[CAJUA_CF_SEC_New_27-Feb-2024Rev3.xlsx]D-PRB'!$BB$30</t>
  </si>
  <si>
    <t>='C:\Users\jaime.benazar\Quorum Business Solutions\Ecopetrol Prometeo - Documents\Planning Space Implementation\3. Analysis &amp; Design\Design\FC22\DRR Jaime\QUIFA-CAJÚA\Cajua\[CAJUA_CF_SEC_New_27-Feb-2024Rev3.xlsx]D-PRB'!$BB$31</t>
  </si>
  <si>
    <t>='C:\Users\jaime.benazar\Quorum Business Solutions\Ecopetrol Prometeo - Documents\Planning Space Implementation\3. Analysis &amp; Design\Design\FC22\DRR Jaime\QUIFA-CAJÚA\Cajua\[CAJUA_CF_SEC_New_27-Feb-2024Rev3.xlsx]D-PRB'!$BB$32</t>
  </si>
  <si>
    <t>='C:\Users\jaime.benazar\Quorum Business Solutions\Ecopetrol Prometeo - Documents\Planning Space Implementation\3. Analysis &amp; Design\Design\FC22\DRR Jaime\QUIFA-CAJÚA\Cajua\[CAJUA_CF_SEC_New_27-Feb-2024Rev3.xlsx]D-PRB'!$BB$33</t>
  </si>
  <si>
    <t>='C:\Users\jaime.benazar\Quorum Business Solutions\Ecopetrol Prometeo - Documents\Planning Space Implementation\3. Analysis &amp; Design\Design\FC22\DRR Jaime\QUIFA-CAJÚA\Cajua\[CAJUA_CF_SEC_New_27-Feb-2024Rev3.xlsx]D-PRB'!$BB$34</t>
  </si>
  <si>
    <t>='C:\Users\jaime.benazar\Quorum Business Solutions\Ecopetrol Prometeo - Documents\Planning Space Implementation\3. Analysis &amp; Design\Design\FC22\DRR Jaime\QUIFA-CAJÚA\Cajua\[CAJUA_CF_SEC_New_27-Feb-2024Rev3.xlsx]D-PRB'!$BB$35</t>
  </si>
  <si>
    <t>='C:\Users\jaime.benazar\Quorum Business Solutions\Ecopetrol Prometeo - Documents\Planning Space Implementation\3. Analysis &amp; Design\Design\FC22\DRR Jaime\QUIFA-CAJÚA\Cajua\[CAJUA_CF_SEC_New_27-Feb-2024Rev3.xlsx]D-PRB'!$BB$36</t>
  </si>
  <si>
    <t>='C:\Users\jaime.benazar\Quorum Business Solutions\Ecopetrol Prometeo - Documents\Planning Space Implementation\3. Analysis &amp; Design\Design\FC22\DRR Jaime\QUIFA-CAJÚA\Cajua\[CAJUA_CF_SEC_New_27-Feb-2024Rev3.xlsx]D-PRB'!$BB$37</t>
  </si>
  <si>
    <t>='C:\Users\jaime.benazar\Quorum Business Solutions\Ecopetrol Prometeo - Documents\Planning Space Implementation\3. Analysis &amp; Design\Design\FC22\DRR Jaime\QUIFA-CAJÚA\Cajua\[CAJUA_CF_SEC_New_27-Feb-2024Rev3.xlsx]D-PRB'!$BB$38</t>
  </si>
  <si>
    <t>='C:\Users\jaime.benazar\Quorum Business Solutions\Ecopetrol Prometeo - Documents\Planning Space Implementation\3. Analysis &amp; Design\Design\FC22\DRR Jaime\QUIFA-CAJÚA\Cajua\[CAJUA_CF_SEC_New_27-Feb-2024Rev3.xlsx]D-PRB'!$BB$39</t>
  </si>
  <si>
    <t>='C:\Users\jaime.benazar\Quorum Business Solutions\Ecopetrol Prometeo - Documents\Planning Space Implementation\3. Analysis &amp; Design\Design\FC22\DRR Jaime\QUIFA-CAJÚA\Cajua\[CAJUA_CF_SEC_New_27-Feb-2024Rev3.xlsx]D-PRB'!$BB$40</t>
  </si>
  <si>
    <t>='C:\Users\jaime.benazar\Quorum Business Solutions\Ecopetrol Prometeo - Documents\Planning Space Implementation\3. Analysis &amp; Design\Design\FC22\DRR Jaime\QUIFA-CAJÚA\Cajua\[CAJUA_CF_SEC_New_27-Feb-2024Rev3.xlsx]D-PRB'!$BB$41</t>
  </si>
  <si>
    <t>='C:\Users\jaime.benazar\Quorum Business Solutions\Ecopetrol Prometeo - Documents\Planning Space Implementation\3. Analysis &amp; Design\Design\FC22\DRR Jaime\QUIFA-CAJÚA\Cajua\[CAJUA_CF_SEC_New_27-Feb-2024Rev3.xlsx]D-PRB'!$BB$42</t>
  </si>
  <si>
    <t>='C:\Users\jaime.benazar\Quorum Business Solutions\Ecopetrol Prometeo - Documents\Planning Space Implementation\3. Analysis &amp; Design\Design\FC22\DRR Jaime\QUIFA-CAJÚA\Cajua\[CAJUA_CF_SEC_New_27-Feb-2024Rev3.xlsx]D-PRB'!$BB$43</t>
  </si>
  <si>
    <t>='C:\Users\jaime.benazar\Quorum Business Solutions\Ecopetrol Prometeo - Documents\Planning Space Implementation\3. Analysis &amp; Design\Design\FC22\DRR Jaime\QUIFA-CAJÚA\Cajua\[CAJUA_CF_SEC_New_27-Feb-2024Rev3.xlsx]D-PRB'!$BB$44</t>
  </si>
  <si>
    <t>='C:\Users\jaime.benazar\Quorum Business Solutions\Ecopetrol Prometeo - Documents\Planning Space Implementation\3. Analysis &amp; Design\Design\FC22\DRR Jaime\QUIFA-CAJÚA\Cajua\[CAJUA_CF_SEC_New_27-Feb-2024Rev3.xlsx]D-PRB'!$BB$45</t>
  </si>
  <si>
    <t>='C:\Users\jaime.benazar\Quorum Business Solutions\Ecopetrol Prometeo - Documents\Planning Space Implementation\3. Analysis &amp; Design\Design\FC22\DRR Jaime\QUIFA-CAJÚA\Cajua\[CAJUA_CF_SEC_New_27-Feb-2024Rev3.xlsx]D-PRB'!$BB$46</t>
  </si>
  <si>
    <t>='C:\Users\jaime.benazar\Quorum Business Solutions\Ecopetrol Prometeo - Documents\Planning Space Implementation\3. Analysis &amp; Design\Design\FC22\DRR Jaime\QUIFA-CAJÚA\Cajua\[CAJUA_CF_SEC_New_27-Feb-2024Rev3.xlsx]D-PRB'!$BB$47</t>
  </si>
  <si>
    <t>='C:\Users\jaime.benazar\Quorum Business Solutions\Ecopetrol Prometeo - Documents\Planning Space Implementation\3. Analysis &amp; Design\Design\FC22\DRR Jaime\QUIFA-CAJÚA\Cajua\[CAJUA_CF_SEC_New_27-Feb-2024Rev3.xlsx]D-PRB'!$BB$48</t>
  </si>
  <si>
    <t>='C:\Users\jaime.benazar\Quorum Business Solutions\Ecopetrol Prometeo - Documents\Planning Space Implementation\3. Analysis &amp; Design\Design\FC22\DRR Jaime\QUIFA-CAJÚA\Cajua\[CAJUA_CF_SEC_New_27-Feb-2024Rev3.xlsx]D-PS'!$BB$12</t>
  </si>
  <si>
    <t>='C:\Users\jaime.benazar\Quorum Business Solutions\Ecopetrol Prometeo - Documents\Planning Space Implementation\3. Analysis &amp; Design\Design\FC22\DRR Jaime\QUIFA-CAJÚA\Cajua\[CAJUA_CF_SEC_New_27-Feb-2024Rev3.xlsx]D-PS'!$BB$13</t>
  </si>
  <si>
    <t>='C:\Users\jaime.benazar\Quorum Business Solutions\Ecopetrol Prometeo - Documents\Planning Space Implementation\3. Analysis &amp; Design\Design\FC22\DRR Jaime\QUIFA-CAJÚA\Cajua\[CAJUA_CF_SEC_New_27-Feb-2024Rev3.xlsx]D-PS'!$BB$14</t>
  </si>
  <si>
    <t>='C:\Users\jaime.benazar\Quorum Business Solutions\Ecopetrol Prometeo - Documents\Planning Space Implementation\3. Analysis &amp; Design\Design\FC22\DRR Jaime\QUIFA-CAJÚA\Cajua\[CAJUA_CF_SEC_New_27-Feb-2024Rev3.xlsx]D-PS'!$BB$15</t>
  </si>
  <si>
    <t>='C:\Users\jaime.benazar\Quorum Business Solutions\Ecopetrol Prometeo - Documents\Planning Space Implementation\3. Analysis &amp; Design\Design\FC22\DRR Jaime\QUIFA-CAJÚA\Cajua\[CAJUA_CF_SEC_New_27-Feb-2024Rev3.xlsx]D-PS'!$BB$16</t>
  </si>
  <si>
    <t>='C:\Users\jaime.benazar\Quorum Business Solutions\Ecopetrol Prometeo - Documents\Planning Space Implementation\3. Analysis &amp; Design\Design\FC22\DRR Jaime\QUIFA-CAJÚA\Cajua\[CAJUA_CF_SEC_New_27-Feb-2024Rev3.xlsx]D-PS'!$BB$17</t>
  </si>
  <si>
    <t>='C:\Users\jaime.benazar\Quorum Business Solutions\Ecopetrol Prometeo - Documents\Planning Space Implementation\3. Analysis &amp; Design\Design\FC22\DRR Jaime\QUIFA-CAJÚA\Cajua\[CAJUA_CF_SEC_New_27-Feb-2024Rev3.xlsx]D-PS'!$BB$18</t>
  </si>
  <si>
    <t>='C:\Users\jaime.benazar\Quorum Business Solutions\Ecopetrol Prometeo - Documents\Planning Space Implementation\3. Analysis &amp; Design\Design\FC22\DRR Jaime\QUIFA-CAJÚA\Cajua\[CAJUA_CF_SEC_New_27-Feb-2024Rev3.xlsx]D-PS'!$BB$19</t>
  </si>
  <si>
    <t>='C:\Users\jaime.benazar\Quorum Business Solutions\Ecopetrol Prometeo - Documents\Planning Space Implementation\3. Analysis &amp; Design\Design\FC22\DRR Jaime\QUIFA-CAJÚA\Cajua\[CAJUA_CF_SEC_New_27-Feb-2024Rev3.xlsx]D-PS'!$BB$20</t>
  </si>
  <si>
    <t>='C:\Users\jaime.benazar\Quorum Business Solutions\Ecopetrol Prometeo - Documents\Planning Space Implementation\3. Analysis &amp; Design\Design\FC22\DRR Jaime\QUIFA-CAJÚA\Cajua\[CAJUA_CF_SEC_New_27-Feb-2024Rev3.xlsx]D-PS'!$BB$21</t>
  </si>
  <si>
    <t>='C:\Users\jaime.benazar\Quorum Business Solutions\Ecopetrol Prometeo - Documents\Planning Space Implementation\3. Analysis &amp; Design\Design\FC22\DRR Jaime\QUIFA-CAJÚA\Cajua\[CAJUA_CF_SEC_New_27-Feb-2024Rev3.xlsx]D-PS'!$BB$22</t>
  </si>
  <si>
    <t>='C:\Users\jaime.benazar\Quorum Business Solutions\Ecopetrol Prometeo - Documents\Planning Space Implementation\3. Analysis &amp; Design\Design\FC22\DRR Jaime\QUIFA-CAJÚA\Cajua\[CAJUA_CF_SEC_New_27-Feb-2024Rev3.xlsx]D-PS'!$BB$23</t>
  </si>
  <si>
    <t>='C:\Users\jaime.benazar\Quorum Business Solutions\Ecopetrol Prometeo - Documents\Planning Space Implementation\3. Analysis &amp; Design\Design\FC22\DRR Jaime\QUIFA-CAJÚA\Cajua\[CAJUA_CF_SEC_New_27-Feb-2024Rev3.xlsx]D-PS'!$BB$24</t>
  </si>
  <si>
    <t>='C:\Users\jaime.benazar\Quorum Business Solutions\Ecopetrol Prometeo - Documents\Planning Space Implementation\3. Analysis &amp; Design\Design\FC22\DRR Jaime\QUIFA-CAJÚA\Cajua\[CAJUA_CF_SEC_New_27-Feb-2024Rev3.xlsx]D-PS'!$BB$25</t>
  </si>
  <si>
    <t>='C:\Users\jaime.benazar\Quorum Business Solutions\Ecopetrol Prometeo - Documents\Planning Space Implementation\3. Analysis &amp; Design\Design\FC22\DRR Jaime\QUIFA-CAJÚA\Cajua\[CAJUA_CF_SEC_New_27-Feb-2024Rev3.xlsx]D-PS'!$BB$26</t>
  </si>
  <si>
    <t>='C:\Users\jaime.benazar\Quorum Business Solutions\Ecopetrol Prometeo - Documents\Planning Space Implementation\3. Analysis &amp; Design\Design\FC22\DRR Jaime\QUIFA-CAJÚA\Cajua\[CAJUA_CF_SEC_New_27-Feb-2024Rev3.xlsx]D-PS'!$BB$27</t>
  </si>
  <si>
    <t>='C:\Users\jaime.benazar\Quorum Business Solutions\Ecopetrol Prometeo - Documents\Planning Space Implementation\3. Analysis &amp; Design\Design\FC22\DRR Jaime\QUIFA-CAJÚA\Cajua\[CAJUA_CF_SEC_New_27-Feb-2024Rev3.xlsx]D-PS'!$BB$28</t>
  </si>
  <si>
    <t>='C:\Users\jaime.benazar\Quorum Business Solutions\Ecopetrol Prometeo - Documents\Planning Space Implementation\3. Analysis &amp; Design\Design\FC22\DRR Jaime\QUIFA-CAJÚA\Cajua\[CAJUA_CF_SEC_New_27-Feb-2024Rev3.xlsx]D-PS'!$BB$29</t>
  </si>
  <si>
    <t>='C:\Users\jaime.benazar\Quorum Business Solutions\Ecopetrol Prometeo - Documents\Planning Space Implementation\3. Analysis &amp; Design\Design\FC22\DRR Jaime\QUIFA-CAJÚA\Cajua\[CAJUA_CF_SEC_New_27-Feb-2024Rev3.xlsx]D-PS'!$BB$30</t>
  </si>
  <si>
    <t>='C:\Users\jaime.benazar\Quorum Business Solutions\Ecopetrol Prometeo - Documents\Planning Space Implementation\3. Analysis &amp; Design\Design\FC22\DRR Jaime\QUIFA-CAJÚA\Cajua\[CAJUA_CF_SEC_New_27-Feb-2024Rev3.xlsx]D-PS'!$BB$31</t>
  </si>
  <si>
    <t>='C:\Users\jaime.benazar\Quorum Business Solutions\Ecopetrol Prometeo - Documents\Planning Space Implementation\3. Analysis &amp; Design\Design\FC22\DRR Jaime\QUIFA-CAJÚA\Cajua\[CAJUA_CF_SEC_New_27-Feb-2024Rev3.xlsx]D-PS'!$BB$32</t>
  </si>
  <si>
    <t>='C:\Users\jaime.benazar\Quorum Business Solutions\Ecopetrol Prometeo - Documents\Planning Space Implementation\3. Analysis &amp; Design\Design\FC22\DRR Jaime\QUIFA-CAJÚA\Cajua\[CAJUA_CF_SEC_New_27-Feb-2024Rev3.xlsx]D-PS'!$BB$33</t>
  </si>
  <si>
    <t>='C:\Users\jaime.benazar\Quorum Business Solutions\Ecopetrol Prometeo - Documents\Planning Space Implementation\3. Analysis &amp; Design\Design\FC22\DRR Jaime\QUIFA-CAJÚA\Cajua\[CAJUA_CF_SEC_New_27-Feb-2024Rev3.xlsx]D-PS'!$BB$34</t>
  </si>
  <si>
    <t>='C:\Users\jaime.benazar\Quorum Business Solutions\Ecopetrol Prometeo - Documents\Planning Space Implementation\3. Analysis &amp; Design\Design\FC22\DRR Jaime\QUIFA-CAJÚA\Cajua\[CAJUA_CF_SEC_New_27-Feb-2024Rev3.xlsx]D-PS'!$BB$35</t>
  </si>
  <si>
    <t>='C:\Users\jaime.benazar\Quorum Business Solutions\Ecopetrol Prometeo - Documents\Planning Space Implementation\3. Analysis &amp; Design\Design\FC22\DRR Jaime\QUIFA-CAJÚA\Cajua\[CAJUA_CF_SEC_New_27-Feb-2024Rev3.xlsx]D-PS'!$BB$36</t>
  </si>
  <si>
    <t>='C:\Users\jaime.benazar\Quorum Business Solutions\Ecopetrol Prometeo - Documents\Planning Space Implementation\3. Analysis &amp; Design\Design\FC22\DRR Jaime\QUIFA-CAJÚA\Cajua\[CAJUA_CF_SEC_New_27-Feb-2024Rev3.xlsx]D-PS'!$BB$37</t>
  </si>
  <si>
    <t>='C:\Users\jaime.benazar\Quorum Business Solutions\Ecopetrol Prometeo - Documents\Planning Space Implementation\3. Analysis &amp; Design\Design\FC22\DRR Jaime\QUIFA-CAJÚA\Cajua\[CAJUA_CF_SEC_New_27-Feb-2024Rev3.xlsx]D-PS'!$BB$38</t>
  </si>
  <si>
    <t>='C:\Users\jaime.benazar\Quorum Business Solutions\Ecopetrol Prometeo - Documents\Planning Space Implementation\3. Analysis &amp; Design\Design\FC22\DRR Jaime\QUIFA-CAJÚA\Cajua\[CAJUA_CF_SEC_New_27-Feb-2024Rev3.xlsx]D-PS'!$BB$39</t>
  </si>
  <si>
    <t>='C:\Users\jaime.benazar\Quorum Business Solutions\Ecopetrol Prometeo - Documents\Planning Space Implementation\3. Analysis &amp; Design\Design\FC22\DRR Jaime\QUIFA-CAJÚA\Cajua\[CAJUA_CF_SEC_New_27-Feb-2024Rev3.xlsx]D-PS'!$BB$40</t>
  </si>
  <si>
    <t>='C:\Users\jaime.benazar\Quorum Business Solutions\Ecopetrol Prometeo - Documents\Planning Space Implementation\3. Analysis &amp; Design\Design\FC22\DRR Jaime\QUIFA-CAJÚA\Cajua\[CAJUA_CF_SEC_New_27-Feb-2024Rev3.xlsx]D-PS'!$BB$41</t>
  </si>
  <si>
    <t>='C:\Users\jaime.benazar\Quorum Business Solutions\Ecopetrol Prometeo - Documents\Planning Space Implementation\3. Analysis &amp; Design\Design\FC22\DRR Jaime\QUIFA-CAJÚA\Cajua\[CAJUA_CF_SEC_New_27-Feb-2024Rev3.xlsx]D-PS'!$BB$42</t>
  </si>
  <si>
    <t>='C:\Users\jaime.benazar\Quorum Business Solutions\Ecopetrol Prometeo - Documents\Planning Space Implementation\3. Analysis &amp; Design\Design\FC22\DRR Jaime\QUIFA-CAJÚA\Cajua\[CAJUA_CF_SEC_New_27-Feb-2024Rev3.xlsx]D-PS'!$BB$43</t>
  </si>
  <si>
    <t>='C:\Users\jaime.benazar\Quorum Business Solutions\Ecopetrol Prometeo - Documents\Planning Space Implementation\3. Analysis &amp; Design\Design\FC22\DRR Jaime\QUIFA-CAJÚA\Cajua\[CAJUA_CF_SEC_New_27-Feb-2024Rev3.xlsx]D-PS'!$BB$44</t>
  </si>
  <si>
    <t>='C:\Users\jaime.benazar\Quorum Business Solutions\Ecopetrol Prometeo - Documents\Planning Space Implementation\3. Analysis &amp; Design\Design\FC22\DRR Jaime\QUIFA-CAJÚA\Cajua\[CAJUA_CF_SEC_New_27-Feb-2024Rev3.xlsx]D-PS'!$BB$45</t>
  </si>
  <si>
    <t>='C:\Users\jaime.benazar\Quorum Business Solutions\Ecopetrol Prometeo - Documents\Planning Space Implementation\3. Analysis &amp; Design\Design\FC22\DRR Jaime\QUIFA-CAJÚA\Cajua\[CAJUA_CF_SEC_New_27-Feb-2024Rev3.xlsx]D-PS'!$BB$46</t>
  </si>
  <si>
    <t>='C:\Users\jaime.benazar\Quorum Business Solutions\Ecopetrol Prometeo - Documents\Planning Space Implementation\3. Analysis &amp; Design\Design\FC22\DRR Jaime\QUIFA-CAJÚA\Cajua\[CAJUA_CF_SEC_New_27-Feb-2024Rev3.xlsx]D-PS'!$BB$47</t>
  </si>
  <si>
    <t>='C:\Users\jaime.benazar\Quorum Business Solutions\Ecopetrol Prometeo - Documents\Planning Space Implementation\3. Analysis &amp; Design\Design\FC22\DRR Jaime\QUIFA-CAJÚA\Cajua\[CAJUA_CF_SEC_New_27-Feb-2024Rev3.xlsx]D-PS'!$BB$48</t>
  </si>
  <si>
    <t>='C:\Users\jaime.benazar\Quorum Business Solutions\Ecopetrol Prometeo - Documents\Planning Space Implementation\3. Analysis &amp; Design\Design\FC22\DRR Jaime\QUIFA-CAJÚA\Cajua\[CAJUA_CF_SEC_New_27-Feb-2024Rev3.xlsx]D-PDP'!$BW$12</t>
  </si>
  <si>
    <t>='C:\Users\jaime.benazar\Quorum Business Solutions\Ecopetrol Prometeo - Documents\Planning Space Implementation\3. Analysis &amp; Design\Design\FC22\DRR Jaime\QUIFA-CAJÚA\Cajua\[CAJUA_CF_SEC_New_27-Feb-2024Rev3.xlsx]D-PDP'!$BW$13</t>
  </si>
  <si>
    <t>='C:\Users\jaime.benazar\Quorum Business Solutions\Ecopetrol Prometeo - Documents\Planning Space Implementation\3. Analysis &amp; Design\Design\FC22\DRR Jaime\QUIFA-CAJÚA\Cajua\[CAJUA_CF_SEC_New_27-Feb-2024Rev3.xlsx]D-PDP'!$BW$14</t>
  </si>
  <si>
    <t>='C:\Users\jaime.benazar\Quorum Business Solutions\Ecopetrol Prometeo - Documents\Planning Space Implementation\3. Analysis &amp; Design\Design\FC22\DRR Jaime\QUIFA-CAJÚA\Cajua\[CAJUA_CF_SEC_New_27-Feb-2024Rev3.xlsx]D-PDP'!$BW$15</t>
  </si>
  <si>
    <t>='C:\Users\jaime.benazar\Quorum Business Solutions\Ecopetrol Prometeo - Documents\Planning Space Implementation\3. Analysis &amp; Design\Design\FC22\DRR Jaime\QUIFA-CAJÚA\Cajua\[CAJUA_CF_SEC_New_27-Feb-2024Rev3.xlsx]D-PDP'!$BW$16</t>
  </si>
  <si>
    <t>='C:\Users\jaime.benazar\Quorum Business Solutions\Ecopetrol Prometeo - Documents\Planning Space Implementation\3. Analysis &amp; Design\Design\FC22\DRR Jaime\QUIFA-CAJÚA\Cajua\[CAJUA_CF_SEC_New_27-Feb-2024Rev3.xlsx]D-PDP'!$BW$17</t>
  </si>
  <si>
    <t>='C:\Users\jaime.benazar\Quorum Business Solutions\Ecopetrol Prometeo - Documents\Planning Space Implementation\3. Analysis &amp; Design\Design\FC22\DRR Jaime\QUIFA-CAJÚA\Cajua\[CAJUA_CF_SEC_New_27-Feb-2024Rev3.xlsx]D-PDP'!$BW$18</t>
  </si>
  <si>
    <t>='C:\Users\jaime.benazar\Quorum Business Solutions\Ecopetrol Prometeo - Documents\Planning Space Implementation\3. Analysis &amp; Design\Design\FC22\DRR Jaime\QUIFA-CAJÚA\Cajua\[CAJUA_CF_SEC_New_27-Feb-2024Rev3.xlsx]D-PDP'!$BW$19</t>
  </si>
  <si>
    <t>='C:\Users\jaime.benazar\Quorum Business Solutions\Ecopetrol Prometeo - Documents\Planning Space Implementation\3. Analysis &amp; Design\Design\FC22\DRR Jaime\QUIFA-CAJÚA\Cajua\[CAJUA_CF_SEC_New_27-Feb-2024Rev3.xlsx]D-PDP'!$BW$20</t>
  </si>
  <si>
    <t>='C:\Users\jaime.benazar\Quorum Business Solutions\Ecopetrol Prometeo - Documents\Planning Space Implementation\3. Analysis &amp; Design\Design\FC22\DRR Jaime\QUIFA-CAJÚA\Cajua\[CAJUA_CF_SEC_New_27-Feb-2024Rev3.xlsx]D-PDP'!$BW$21</t>
  </si>
  <si>
    <t>='C:\Users\jaime.benazar\Quorum Business Solutions\Ecopetrol Prometeo - Documents\Planning Space Implementation\3. Analysis &amp; Design\Design\FC22\DRR Jaime\QUIFA-CAJÚA\Cajua\[CAJUA_CF_SEC_New_27-Feb-2024Rev3.xlsx]D-PDP'!$BW$22</t>
  </si>
  <si>
    <t>='C:\Users\jaime.benazar\Quorum Business Solutions\Ecopetrol Prometeo - Documents\Planning Space Implementation\3. Analysis &amp; Design\Design\FC22\DRR Jaime\QUIFA-CAJÚA\Cajua\[CAJUA_CF_SEC_New_27-Feb-2024Rev3.xlsx]D-PDP'!$BW$23</t>
  </si>
  <si>
    <t>='C:\Users\jaime.benazar\Quorum Business Solutions\Ecopetrol Prometeo - Documents\Planning Space Implementation\3. Analysis &amp; Design\Design\FC22\DRR Jaime\QUIFA-CAJÚA\Cajua\[CAJUA_CF_SEC_New_27-Feb-2024Rev3.xlsx]D-PDP'!$BW$24</t>
  </si>
  <si>
    <t>='C:\Users\jaime.benazar\Quorum Business Solutions\Ecopetrol Prometeo - Documents\Planning Space Implementation\3. Analysis &amp; Design\Design\FC22\DRR Jaime\QUIFA-CAJÚA\Cajua\[CAJUA_CF_SEC_New_27-Feb-2024Rev3.xlsx]D-PDP'!$BW$25</t>
  </si>
  <si>
    <t>='C:\Users\jaime.benazar\Quorum Business Solutions\Ecopetrol Prometeo - Documents\Planning Space Implementation\3. Analysis &amp; Design\Design\FC22\DRR Jaime\QUIFA-CAJÚA\Cajua\[CAJUA_CF_SEC_New_27-Feb-2024Rev3.xlsx]D-PDP'!$BW$26</t>
  </si>
  <si>
    <t>='C:\Users\jaime.benazar\Quorum Business Solutions\Ecopetrol Prometeo - Documents\Planning Space Implementation\3. Analysis &amp; Design\Design\FC22\DRR Jaime\QUIFA-CAJÚA\Cajua\[CAJUA_CF_SEC_New_27-Feb-2024Rev3.xlsx]D-PDP'!$BW$27</t>
  </si>
  <si>
    <t>='C:\Users\jaime.benazar\Quorum Business Solutions\Ecopetrol Prometeo - Documents\Planning Space Implementation\3. Analysis &amp; Design\Design\FC22\DRR Jaime\QUIFA-CAJÚA\Cajua\[CAJUA_CF_SEC_New_27-Feb-2024Rev3.xlsx]D-PDP'!$BW$28</t>
  </si>
  <si>
    <t>='C:\Users\jaime.benazar\Quorum Business Solutions\Ecopetrol Prometeo - Documents\Planning Space Implementation\3. Analysis &amp; Design\Design\FC22\DRR Jaime\QUIFA-CAJÚA\Cajua\[CAJUA_CF_SEC_New_27-Feb-2024Rev3.xlsx]D-PDP'!$BW$29</t>
  </si>
  <si>
    <t>='C:\Users\jaime.benazar\Quorum Business Solutions\Ecopetrol Prometeo - Documents\Planning Space Implementation\3. Analysis &amp; Design\Design\FC22\DRR Jaime\QUIFA-CAJÚA\Cajua\[CAJUA_CF_SEC_New_27-Feb-2024Rev3.xlsx]D-PDP'!$BW$30</t>
  </si>
  <si>
    <t>='C:\Users\jaime.benazar\Quorum Business Solutions\Ecopetrol Prometeo - Documents\Planning Space Implementation\3. Analysis &amp; Design\Design\FC22\DRR Jaime\QUIFA-CAJÚA\Cajua\[CAJUA_CF_SEC_New_27-Feb-2024Rev3.xlsx]D-PDP'!$BW$31</t>
  </si>
  <si>
    <t>='C:\Users\jaime.benazar\Quorum Business Solutions\Ecopetrol Prometeo - Documents\Planning Space Implementation\3. Analysis &amp; Design\Design\FC22\DRR Jaime\QUIFA-CAJÚA\Cajua\[CAJUA_CF_SEC_New_27-Feb-2024Rev3.xlsx]D-PDP'!$BW$32</t>
  </si>
  <si>
    <t>='C:\Users\jaime.benazar\Quorum Business Solutions\Ecopetrol Prometeo - Documents\Planning Space Implementation\3. Analysis &amp; Design\Design\FC22\DRR Jaime\QUIFA-CAJÚA\Cajua\[CAJUA_CF_SEC_New_27-Feb-2024Rev3.xlsx]D-PDP'!$BW$33</t>
  </si>
  <si>
    <t>='C:\Users\jaime.benazar\Quorum Business Solutions\Ecopetrol Prometeo - Documents\Planning Space Implementation\3. Analysis &amp; Design\Design\FC22\DRR Jaime\QUIFA-CAJÚA\Cajua\[CAJUA_CF_SEC_New_27-Feb-2024Rev3.xlsx]D-PDP'!$BW$34</t>
  </si>
  <si>
    <t>='C:\Users\jaime.benazar\Quorum Business Solutions\Ecopetrol Prometeo - Documents\Planning Space Implementation\3. Analysis &amp; Design\Design\FC22\DRR Jaime\QUIFA-CAJÚA\Cajua\[CAJUA_CF_SEC_New_27-Feb-2024Rev3.xlsx]D-PDP'!$BW$35</t>
  </si>
  <si>
    <t>='C:\Users\jaime.benazar\Quorum Business Solutions\Ecopetrol Prometeo - Documents\Planning Space Implementation\3. Analysis &amp; Design\Design\FC22\DRR Jaime\QUIFA-CAJÚA\Cajua\[CAJUA_CF_SEC_New_27-Feb-2024Rev3.xlsx]D-PDP'!$BW$36</t>
  </si>
  <si>
    <t>='C:\Users\jaime.benazar\Quorum Business Solutions\Ecopetrol Prometeo - Documents\Planning Space Implementation\3. Analysis &amp; Design\Design\FC22\DRR Jaime\QUIFA-CAJÚA\Cajua\[CAJUA_CF_SEC_New_27-Feb-2024Rev3.xlsx]D-PDP'!$BW$37</t>
  </si>
  <si>
    <t>='C:\Users\jaime.benazar\Quorum Business Solutions\Ecopetrol Prometeo - Documents\Planning Space Implementation\3. Analysis &amp; Design\Design\FC22\DRR Jaime\QUIFA-CAJÚA\Cajua\[CAJUA_CF_SEC_New_27-Feb-2024Rev3.xlsx]D-PDP'!$BW$38</t>
  </si>
  <si>
    <t>='C:\Users\jaime.benazar\Quorum Business Solutions\Ecopetrol Prometeo - Documents\Planning Space Implementation\3. Analysis &amp; Design\Design\FC22\DRR Jaime\QUIFA-CAJÚA\Cajua\[CAJUA_CF_SEC_New_27-Feb-2024Rev3.xlsx]D-PDP'!$BW$39</t>
  </si>
  <si>
    <t>='C:\Users\jaime.benazar\Quorum Business Solutions\Ecopetrol Prometeo - Documents\Planning Space Implementation\3. Analysis &amp; Design\Design\FC22\DRR Jaime\QUIFA-CAJÚA\Cajua\[CAJUA_CF_SEC_New_27-Feb-2024Rev3.xlsx]D-PDP'!$BW$40</t>
  </si>
  <si>
    <t>='C:\Users\jaime.benazar\Quorum Business Solutions\Ecopetrol Prometeo - Documents\Planning Space Implementation\3. Analysis &amp; Design\Design\FC22\DRR Jaime\QUIFA-CAJÚA\Cajua\[CAJUA_CF_SEC_New_27-Feb-2024Rev3.xlsx]D-PDP'!$BW$41</t>
  </si>
  <si>
    <t>='C:\Users\jaime.benazar\Quorum Business Solutions\Ecopetrol Prometeo - Documents\Planning Space Implementation\3. Analysis &amp; Design\Design\FC22\DRR Jaime\QUIFA-CAJÚA\Cajua\[CAJUA_CF_SEC_New_27-Feb-2024Rev3.xlsx]D-PDP'!$BW$42</t>
  </si>
  <si>
    <t>='C:\Users\jaime.benazar\Quorum Business Solutions\Ecopetrol Prometeo - Documents\Planning Space Implementation\3. Analysis &amp; Design\Design\FC22\DRR Jaime\QUIFA-CAJÚA\Cajua\[CAJUA_CF_SEC_New_27-Feb-2024Rev3.xlsx]D-PDP'!$BW$43</t>
  </si>
  <si>
    <t>='C:\Users\jaime.benazar\Quorum Business Solutions\Ecopetrol Prometeo - Documents\Planning Space Implementation\3. Analysis &amp; Design\Design\FC22\DRR Jaime\QUIFA-CAJÚA\Cajua\[CAJUA_CF_SEC_New_27-Feb-2024Rev3.xlsx]D-PDP'!$BW$44</t>
  </si>
  <si>
    <t>='C:\Users\jaime.benazar\Quorum Business Solutions\Ecopetrol Prometeo - Documents\Planning Space Implementation\3. Analysis &amp; Design\Design\FC22\DRR Jaime\QUIFA-CAJÚA\Cajua\[CAJUA_CF_SEC_New_27-Feb-2024Rev3.xlsx]D-PDP'!$BW$45</t>
  </si>
  <si>
    <t>='C:\Users\jaime.benazar\Quorum Business Solutions\Ecopetrol Prometeo - Documents\Planning Space Implementation\3. Analysis &amp; Design\Design\FC22\DRR Jaime\QUIFA-CAJÚA\Cajua\[CAJUA_CF_SEC_New_27-Feb-2024Rev3.xlsx]D-PDP'!$BW$46</t>
  </si>
  <si>
    <t>='C:\Users\jaime.benazar\Quorum Business Solutions\Ecopetrol Prometeo - Documents\Planning Space Implementation\3. Analysis &amp; Design\Design\FC22\DRR Jaime\QUIFA-CAJÚA\Cajua\[CAJUA_CF_SEC_New_27-Feb-2024Rev3.xlsx]D-PDP'!$BW$47</t>
  </si>
  <si>
    <t>='C:\Users\jaime.benazar\Quorum Business Solutions\Ecopetrol Prometeo - Documents\Planning Space Implementation\3. Analysis &amp; Design\Design\FC22\DRR Jaime\QUIFA-CAJÚA\Cajua\[CAJUA_CF_SEC_New_27-Feb-2024Rev3.xlsx]D-PDP'!$BW$48</t>
  </si>
  <si>
    <t>='C:\Users\jaime.benazar\Quorum Business Solutions\Ecopetrol Prometeo - Documents\Planning Space Implementation\3. Analysis &amp; Design\Design\FC22\DRR Jaime\QUIFA-CAJÚA\Cajua\[CAJUA_CF_SEC_New_27-Feb-2024Rev3.xlsx]D-PNP'!$BW$12</t>
  </si>
  <si>
    <t>='C:\Users\jaime.benazar\Quorum Business Solutions\Ecopetrol Prometeo - Documents\Planning Space Implementation\3. Analysis &amp; Design\Design\FC22\DRR Jaime\QUIFA-CAJÚA\Cajua\[CAJUA_CF_SEC_New_27-Feb-2024Rev3.xlsx]D-PNP'!$BW$13</t>
  </si>
  <si>
    <t>='C:\Users\jaime.benazar\Quorum Business Solutions\Ecopetrol Prometeo - Documents\Planning Space Implementation\3. Analysis &amp; Design\Design\FC22\DRR Jaime\QUIFA-CAJÚA\Cajua\[CAJUA_CF_SEC_New_27-Feb-2024Rev3.xlsx]D-PNP'!$BW$14</t>
  </si>
  <si>
    <t>='C:\Users\jaime.benazar\Quorum Business Solutions\Ecopetrol Prometeo - Documents\Planning Space Implementation\3. Analysis &amp; Design\Design\FC22\DRR Jaime\QUIFA-CAJÚA\Cajua\[CAJUA_CF_SEC_New_27-Feb-2024Rev3.xlsx]D-PNP'!$BW$15</t>
  </si>
  <si>
    <t>='C:\Users\jaime.benazar\Quorum Business Solutions\Ecopetrol Prometeo - Documents\Planning Space Implementation\3. Analysis &amp; Design\Design\FC22\DRR Jaime\QUIFA-CAJÚA\Cajua\[CAJUA_CF_SEC_New_27-Feb-2024Rev3.xlsx]D-PNP'!$BW$16</t>
  </si>
  <si>
    <t>='C:\Users\jaime.benazar\Quorum Business Solutions\Ecopetrol Prometeo - Documents\Planning Space Implementation\3. Analysis &amp; Design\Design\FC22\DRR Jaime\QUIFA-CAJÚA\Cajua\[CAJUA_CF_SEC_New_27-Feb-2024Rev3.xlsx]D-PNP'!$BW$17</t>
  </si>
  <si>
    <t>='C:\Users\jaime.benazar\Quorum Business Solutions\Ecopetrol Prometeo - Documents\Planning Space Implementation\3. Analysis &amp; Design\Design\FC22\DRR Jaime\QUIFA-CAJÚA\Cajua\[CAJUA_CF_SEC_New_27-Feb-2024Rev3.xlsx]D-PNP'!$BW$18</t>
  </si>
  <si>
    <t>='C:\Users\jaime.benazar\Quorum Business Solutions\Ecopetrol Prometeo - Documents\Planning Space Implementation\3. Analysis &amp; Design\Design\FC22\DRR Jaime\QUIFA-CAJÚA\Cajua\[CAJUA_CF_SEC_New_27-Feb-2024Rev3.xlsx]D-PNP'!$BW$19</t>
  </si>
  <si>
    <t>='C:\Users\jaime.benazar\Quorum Business Solutions\Ecopetrol Prometeo - Documents\Planning Space Implementation\3. Analysis &amp; Design\Design\FC22\DRR Jaime\QUIFA-CAJÚA\Cajua\[CAJUA_CF_SEC_New_27-Feb-2024Rev3.xlsx]D-PNP'!$BW$20</t>
  </si>
  <si>
    <t>='C:\Users\jaime.benazar\Quorum Business Solutions\Ecopetrol Prometeo - Documents\Planning Space Implementation\3. Analysis &amp; Design\Design\FC22\DRR Jaime\QUIFA-CAJÚA\Cajua\[CAJUA_CF_SEC_New_27-Feb-2024Rev3.xlsx]D-PNP'!$BW$21</t>
  </si>
  <si>
    <t>='C:\Users\jaime.benazar\Quorum Business Solutions\Ecopetrol Prometeo - Documents\Planning Space Implementation\3. Analysis &amp; Design\Design\FC22\DRR Jaime\QUIFA-CAJÚA\Cajua\[CAJUA_CF_SEC_New_27-Feb-2024Rev3.xlsx]D-PNP'!$BW$22</t>
  </si>
  <si>
    <t>='C:\Users\jaime.benazar\Quorum Business Solutions\Ecopetrol Prometeo - Documents\Planning Space Implementation\3. Analysis &amp; Design\Design\FC22\DRR Jaime\QUIFA-CAJÚA\Cajua\[CAJUA_CF_SEC_New_27-Feb-2024Rev3.xlsx]D-PNP'!$BW$23</t>
  </si>
  <si>
    <t>='C:\Users\jaime.benazar\Quorum Business Solutions\Ecopetrol Prometeo - Documents\Planning Space Implementation\3. Analysis &amp; Design\Design\FC22\DRR Jaime\QUIFA-CAJÚA\Cajua\[CAJUA_CF_SEC_New_27-Feb-2024Rev3.xlsx]D-PNP'!$BW$24</t>
  </si>
  <si>
    <t>='C:\Users\jaime.benazar\Quorum Business Solutions\Ecopetrol Prometeo - Documents\Planning Space Implementation\3. Analysis &amp; Design\Design\FC22\DRR Jaime\QUIFA-CAJÚA\Cajua\[CAJUA_CF_SEC_New_27-Feb-2024Rev3.xlsx]D-PNP'!$BW$25</t>
  </si>
  <si>
    <t>='C:\Users\jaime.benazar\Quorum Business Solutions\Ecopetrol Prometeo - Documents\Planning Space Implementation\3. Analysis &amp; Design\Design\FC22\DRR Jaime\QUIFA-CAJÚA\Cajua\[CAJUA_CF_SEC_New_27-Feb-2024Rev3.xlsx]D-PNP'!$BW$26</t>
  </si>
  <si>
    <t>='C:\Users\jaime.benazar\Quorum Business Solutions\Ecopetrol Prometeo - Documents\Planning Space Implementation\3. Analysis &amp; Design\Design\FC22\DRR Jaime\QUIFA-CAJÚA\Cajua\[CAJUA_CF_SEC_New_27-Feb-2024Rev3.xlsx]D-PNP'!$BW$27</t>
  </si>
  <si>
    <t>='C:\Users\jaime.benazar\Quorum Business Solutions\Ecopetrol Prometeo - Documents\Planning Space Implementation\3. Analysis &amp; Design\Design\FC22\DRR Jaime\QUIFA-CAJÚA\Cajua\[CAJUA_CF_SEC_New_27-Feb-2024Rev3.xlsx]D-PNP'!$BW$28</t>
  </si>
  <si>
    <t>='C:\Users\jaime.benazar\Quorum Business Solutions\Ecopetrol Prometeo - Documents\Planning Space Implementation\3. Analysis &amp; Design\Design\FC22\DRR Jaime\QUIFA-CAJÚA\Cajua\[CAJUA_CF_SEC_New_27-Feb-2024Rev3.xlsx]D-PNP'!$BW$29</t>
  </si>
  <si>
    <t>='C:\Users\jaime.benazar\Quorum Business Solutions\Ecopetrol Prometeo - Documents\Planning Space Implementation\3. Analysis &amp; Design\Design\FC22\DRR Jaime\QUIFA-CAJÚA\Cajua\[CAJUA_CF_SEC_New_27-Feb-2024Rev3.xlsx]D-PNP'!$BW$30</t>
  </si>
  <si>
    <t>='C:\Users\jaime.benazar\Quorum Business Solutions\Ecopetrol Prometeo - Documents\Planning Space Implementation\3. Analysis &amp; Design\Design\FC22\DRR Jaime\QUIFA-CAJÚA\Cajua\[CAJUA_CF_SEC_New_27-Feb-2024Rev3.xlsx]D-PNP'!$BW$31</t>
  </si>
  <si>
    <t>='C:\Users\jaime.benazar\Quorum Business Solutions\Ecopetrol Prometeo - Documents\Planning Space Implementation\3. Analysis &amp; Design\Design\FC22\DRR Jaime\QUIFA-CAJÚA\Cajua\[CAJUA_CF_SEC_New_27-Feb-2024Rev3.xlsx]D-PNP'!$BW$32</t>
  </si>
  <si>
    <t>='C:\Users\jaime.benazar\Quorum Business Solutions\Ecopetrol Prometeo - Documents\Planning Space Implementation\3. Analysis &amp; Design\Design\FC22\DRR Jaime\QUIFA-CAJÚA\Cajua\[CAJUA_CF_SEC_New_27-Feb-2024Rev3.xlsx]D-PNP'!$BW$33</t>
  </si>
  <si>
    <t>='C:\Users\jaime.benazar\Quorum Business Solutions\Ecopetrol Prometeo - Documents\Planning Space Implementation\3. Analysis &amp; Design\Design\FC22\DRR Jaime\QUIFA-CAJÚA\Cajua\[CAJUA_CF_SEC_New_27-Feb-2024Rev3.xlsx]D-PNP'!$BW$34</t>
  </si>
  <si>
    <t>='C:\Users\jaime.benazar\Quorum Business Solutions\Ecopetrol Prometeo - Documents\Planning Space Implementation\3. Analysis &amp; Design\Design\FC22\DRR Jaime\QUIFA-CAJÚA\Cajua\[CAJUA_CF_SEC_New_27-Feb-2024Rev3.xlsx]D-PNP'!$BW$35</t>
  </si>
  <si>
    <t>='C:\Users\jaime.benazar\Quorum Business Solutions\Ecopetrol Prometeo - Documents\Planning Space Implementation\3. Analysis &amp; Design\Design\FC22\DRR Jaime\QUIFA-CAJÚA\Cajua\[CAJUA_CF_SEC_New_27-Feb-2024Rev3.xlsx]D-PNP'!$BW$36</t>
  </si>
  <si>
    <t>='C:\Users\jaime.benazar\Quorum Business Solutions\Ecopetrol Prometeo - Documents\Planning Space Implementation\3. Analysis &amp; Design\Design\FC22\DRR Jaime\QUIFA-CAJÚA\Cajua\[CAJUA_CF_SEC_New_27-Feb-2024Rev3.xlsx]D-PNP'!$BW$37</t>
  </si>
  <si>
    <t>='C:\Users\jaime.benazar\Quorum Business Solutions\Ecopetrol Prometeo - Documents\Planning Space Implementation\3. Analysis &amp; Design\Design\FC22\DRR Jaime\QUIFA-CAJÚA\Cajua\[CAJUA_CF_SEC_New_27-Feb-2024Rev3.xlsx]D-PNP'!$BW$38</t>
  </si>
  <si>
    <t>='C:\Users\jaime.benazar\Quorum Business Solutions\Ecopetrol Prometeo - Documents\Planning Space Implementation\3. Analysis &amp; Design\Design\FC22\DRR Jaime\QUIFA-CAJÚA\Cajua\[CAJUA_CF_SEC_New_27-Feb-2024Rev3.xlsx]D-PNP'!$BW$39</t>
  </si>
  <si>
    <t>='C:\Users\jaime.benazar\Quorum Business Solutions\Ecopetrol Prometeo - Documents\Planning Space Implementation\3. Analysis &amp; Design\Design\FC22\DRR Jaime\QUIFA-CAJÚA\Cajua\[CAJUA_CF_SEC_New_27-Feb-2024Rev3.xlsx]D-PNP'!$BW$40</t>
  </si>
  <si>
    <t>='C:\Users\jaime.benazar\Quorum Business Solutions\Ecopetrol Prometeo - Documents\Planning Space Implementation\3. Analysis &amp; Design\Design\FC22\DRR Jaime\QUIFA-CAJÚA\Cajua\[CAJUA_CF_SEC_New_27-Feb-2024Rev3.xlsx]D-PNP'!$BW$41</t>
  </si>
  <si>
    <t>='C:\Users\jaime.benazar\Quorum Business Solutions\Ecopetrol Prometeo - Documents\Planning Space Implementation\3. Analysis &amp; Design\Design\FC22\DRR Jaime\QUIFA-CAJÚA\Cajua\[CAJUA_CF_SEC_New_27-Feb-2024Rev3.xlsx]D-PNP'!$BW$42</t>
  </si>
  <si>
    <t>='C:\Users\jaime.benazar\Quorum Business Solutions\Ecopetrol Prometeo - Documents\Planning Space Implementation\3. Analysis &amp; Design\Design\FC22\DRR Jaime\QUIFA-CAJÚA\Cajua\[CAJUA_CF_SEC_New_27-Feb-2024Rev3.xlsx]D-PNP'!$BW$43</t>
  </si>
  <si>
    <t>='C:\Users\jaime.benazar\Quorum Business Solutions\Ecopetrol Prometeo - Documents\Planning Space Implementation\3. Analysis &amp; Design\Design\FC22\DRR Jaime\QUIFA-CAJÚA\Cajua\[CAJUA_CF_SEC_New_27-Feb-2024Rev3.xlsx]D-PNP'!$BW$44</t>
  </si>
  <si>
    <t>='C:\Users\jaime.benazar\Quorum Business Solutions\Ecopetrol Prometeo - Documents\Planning Space Implementation\3. Analysis &amp; Design\Design\FC22\DRR Jaime\QUIFA-CAJÚA\Cajua\[CAJUA_CF_SEC_New_27-Feb-2024Rev3.xlsx]D-PNP'!$BW$45</t>
  </si>
  <si>
    <t>='C:\Users\jaime.benazar\Quorum Business Solutions\Ecopetrol Prometeo - Documents\Planning Space Implementation\3. Analysis &amp; Design\Design\FC22\DRR Jaime\QUIFA-CAJÚA\Cajua\[CAJUA_CF_SEC_New_27-Feb-2024Rev3.xlsx]D-PNP'!$BW$46</t>
  </si>
  <si>
    <t>='C:\Users\jaime.benazar\Quorum Business Solutions\Ecopetrol Prometeo - Documents\Planning Space Implementation\3. Analysis &amp; Design\Design\FC22\DRR Jaime\QUIFA-CAJÚA\Cajua\[CAJUA_CF_SEC_New_27-Feb-2024Rev3.xlsx]D-PNP'!$BW$47</t>
  </si>
  <si>
    <t>='C:\Users\jaime.benazar\Quorum Business Solutions\Ecopetrol Prometeo - Documents\Planning Space Implementation\3. Analysis &amp; Design\Design\FC22\DRR Jaime\QUIFA-CAJÚA\Cajua\[CAJUA_CF_SEC_New_27-Feb-2024Rev3.xlsx]D-PNP'!$BW$48</t>
  </si>
  <si>
    <t>='C:\Users\jaime.benazar\Quorum Business Solutions\Ecopetrol Prometeo - Documents\Planning Space Implementation\3. Analysis &amp; Design\Design\FC22\DRR Jaime\QUIFA-CAJÚA\Cajua\[CAJUA_CF_SEC_New_27-Feb-2024Rev3.xlsx]D-PND'!$BW$12</t>
  </si>
  <si>
    <t>='C:\Users\jaime.benazar\Quorum Business Solutions\Ecopetrol Prometeo - Documents\Planning Space Implementation\3. Analysis &amp; Design\Design\FC22\DRR Jaime\QUIFA-CAJÚA\Cajua\[CAJUA_CF_SEC_New_27-Feb-2024Rev3.xlsx]D-PND'!$BW$13</t>
  </si>
  <si>
    <t>='C:\Users\jaime.benazar\Quorum Business Solutions\Ecopetrol Prometeo - Documents\Planning Space Implementation\3. Analysis &amp; Design\Design\FC22\DRR Jaime\QUIFA-CAJÚA\Cajua\[CAJUA_CF_SEC_New_27-Feb-2024Rev3.xlsx]D-PND'!$BW$14</t>
  </si>
  <si>
    <t>='C:\Users\jaime.benazar\Quorum Business Solutions\Ecopetrol Prometeo - Documents\Planning Space Implementation\3. Analysis &amp; Design\Design\FC22\DRR Jaime\QUIFA-CAJÚA\Cajua\[CAJUA_CF_SEC_New_27-Feb-2024Rev3.xlsx]D-PND'!$BW$15</t>
  </si>
  <si>
    <t>='C:\Users\jaime.benazar\Quorum Business Solutions\Ecopetrol Prometeo - Documents\Planning Space Implementation\3. Analysis &amp; Design\Design\FC22\DRR Jaime\QUIFA-CAJÚA\Cajua\[CAJUA_CF_SEC_New_27-Feb-2024Rev3.xlsx]D-PND'!$BW$16</t>
  </si>
  <si>
    <t>='C:\Users\jaime.benazar\Quorum Business Solutions\Ecopetrol Prometeo - Documents\Planning Space Implementation\3. Analysis &amp; Design\Design\FC22\DRR Jaime\QUIFA-CAJÚA\Cajua\[CAJUA_CF_SEC_New_27-Feb-2024Rev3.xlsx]D-PND'!$BW$17</t>
  </si>
  <si>
    <t>='C:\Users\jaime.benazar\Quorum Business Solutions\Ecopetrol Prometeo - Documents\Planning Space Implementation\3. Analysis &amp; Design\Design\FC22\DRR Jaime\QUIFA-CAJÚA\Cajua\[CAJUA_CF_SEC_New_27-Feb-2024Rev3.xlsx]D-PND'!$BW$18</t>
  </si>
  <si>
    <t>='C:\Users\jaime.benazar\Quorum Business Solutions\Ecopetrol Prometeo - Documents\Planning Space Implementation\3. Analysis &amp; Design\Design\FC22\DRR Jaime\QUIFA-CAJÚA\Cajua\[CAJUA_CF_SEC_New_27-Feb-2024Rev3.xlsx]D-PND'!$BW$19</t>
  </si>
  <si>
    <t>='C:\Users\jaime.benazar\Quorum Business Solutions\Ecopetrol Prometeo - Documents\Planning Space Implementation\3. Analysis &amp; Design\Design\FC22\DRR Jaime\QUIFA-CAJÚA\Cajua\[CAJUA_CF_SEC_New_27-Feb-2024Rev3.xlsx]D-PND'!$BW$20</t>
  </si>
  <si>
    <t>='C:\Users\jaime.benazar\Quorum Business Solutions\Ecopetrol Prometeo - Documents\Planning Space Implementation\3. Analysis &amp; Design\Design\FC22\DRR Jaime\QUIFA-CAJÚA\Cajua\[CAJUA_CF_SEC_New_27-Feb-2024Rev3.xlsx]D-PND'!$BW$21</t>
  </si>
  <si>
    <t>='C:\Users\jaime.benazar\Quorum Business Solutions\Ecopetrol Prometeo - Documents\Planning Space Implementation\3. Analysis &amp; Design\Design\FC22\DRR Jaime\QUIFA-CAJÚA\Cajua\[CAJUA_CF_SEC_New_27-Feb-2024Rev3.xlsx]D-PND'!$BW$22</t>
  </si>
  <si>
    <t>='C:\Users\jaime.benazar\Quorum Business Solutions\Ecopetrol Prometeo - Documents\Planning Space Implementation\3. Analysis &amp; Design\Design\FC22\DRR Jaime\QUIFA-CAJÚA\Cajua\[CAJUA_CF_SEC_New_27-Feb-2024Rev3.xlsx]D-PND'!$BW$23</t>
  </si>
  <si>
    <t>='C:\Users\jaime.benazar\Quorum Business Solutions\Ecopetrol Prometeo - Documents\Planning Space Implementation\3. Analysis &amp; Design\Design\FC22\DRR Jaime\QUIFA-CAJÚA\Cajua\[CAJUA_CF_SEC_New_27-Feb-2024Rev3.xlsx]D-PND'!$BW$24</t>
  </si>
  <si>
    <t>='C:\Users\jaime.benazar\Quorum Business Solutions\Ecopetrol Prometeo - Documents\Planning Space Implementation\3. Analysis &amp; Design\Design\FC22\DRR Jaime\QUIFA-CAJÚA\Cajua\[CAJUA_CF_SEC_New_27-Feb-2024Rev3.xlsx]D-PND'!$BW$25</t>
  </si>
  <si>
    <t>='C:\Users\jaime.benazar\Quorum Business Solutions\Ecopetrol Prometeo - Documents\Planning Space Implementation\3. Analysis &amp; Design\Design\FC22\DRR Jaime\QUIFA-CAJÚA\Cajua\[CAJUA_CF_SEC_New_27-Feb-2024Rev3.xlsx]D-PND'!$BW$26</t>
  </si>
  <si>
    <t>='C:\Users\jaime.benazar\Quorum Business Solutions\Ecopetrol Prometeo - Documents\Planning Space Implementation\3. Analysis &amp; Design\Design\FC22\DRR Jaime\QUIFA-CAJÚA\Cajua\[CAJUA_CF_SEC_New_27-Feb-2024Rev3.xlsx]D-PND'!$BW$27</t>
  </si>
  <si>
    <t>='C:\Users\jaime.benazar\Quorum Business Solutions\Ecopetrol Prometeo - Documents\Planning Space Implementation\3. Analysis &amp; Design\Design\FC22\DRR Jaime\QUIFA-CAJÚA\Cajua\[CAJUA_CF_SEC_New_27-Feb-2024Rev3.xlsx]D-PND'!$BW$28</t>
  </si>
  <si>
    <t>='C:\Users\jaime.benazar\Quorum Business Solutions\Ecopetrol Prometeo - Documents\Planning Space Implementation\3. Analysis &amp; Design\Design\FC22\DRR Jaime\QUIFA-CAJÚA\Cajua\[CAJUA_CF_SEC_New_27-Feb-2024Rev3.xlsx]D-PND'!$BW$29</t>
  </si>
  <si>
    <t>='C:\Users\jaime.benazar\Quorum Business Solutions\Ecopetrol Prometeo - Documents\Planning Space Implementation\3. Analysis &amp; Design\Design\FC22\DRR Jaime\QUIFA-CAJÚA\Cajua\[CAJUA_CF_SEC_New_27-Feb-2024Rev3.xlsx]D-PND'!$BW$30</t>
  </si>
  <si>
    <t>='C:\Users\jaime.benazar\Quorum Business Solutions\Ecopetrol Prometeo - Documents\Planning Space Implementation\3. Analysis &amp; Design\Design\FC22\DRR Jaime\QUIFA-CAJÚA\Cajua\[CAJUA_CF_SEC_New_27-Feb-2024Rev3.xlsx]D-PND'!$BW$31</t>
  </si>
  <si>
    <t>='C:\Users\jaime.benazar\Quorum Business Solutions\Ecopetrol Prometeo - Documents\Planning Space Implementation\3. Analysis &amp; Design\Design\FC22\DRR Jaime\QUIFA-CAJÚA\Cajua\[CAJUA_CF_SEC_New_27-Feb-2024Rev3.xlsx]D-PND'!$BW$32</t>
  </si>
  <si>
    <t>='C:\Users\jaime.benazar\Quorum Business Solutions\Ecopetrol Prometeo - Documents\Planning Space Implementation\3. Analysis &amp; Design\Design\FC22\DRR Jaime\QUIFA-CAJÚA\Cajua\[CAJUA_CF_SEC_New_27-Feb-2024Rev3.xlsx]D-PND'!$BW$33</t>
  </si>
  <si>
    <t>='C:\Users\jaime.benazar\Quorum Business Solutions\Ecopetrol Prometeo - Documents\Planning Space Implementation\3. Analysis &amp; Design\Design\FC22\DRR Jaime\QUIFA-CAJÚA\Cajua\[CAJUA_CF_SEC_New_27-Feb-2024Rev3.xlsx]D-PND'!$BW$34</t>
  </si>
  <si>
    <t>='C:\Users\jaime.benazar\Quorum Business Solutions\Ecopetrol Prometeo - Documents\Planning Space Implementation\3. Analysis &amp; Design\Design\FC22\DRR Jaime\QUIFA-CAJÚA\Cajua\[CAJUA_CF_SEC_New_27-Feb-2024Rev3.xlsx]D-PND'!$BW$35</t>
  </si>
  <si>
    <t>='C:\Users\jaime.benazar\Quorum Business Solutions\Ecopetrol Prometeo - Documents\Planning Space Implementation\3. Analysis &amp; Design\Design\FC22\DRR Jaime\QUIFA-CAJÚA\Cajua\[CAJUA_CF_SEC_New_27-Feb-2024Rev3.xlsx]D-PND'!$BW$36</t>
  </si>
  <si>
    <t>='C:\Users\jaime.benazar\Quorum Business Solutions\Ecopetrol Prometeo - Documents\Planning Space Implementation\3. Analysis &amp; Design\Design\FC22\DRR Jaime\QUIFA-CAJÚA\Cajua\[CAJUA_CF_SEC_New_27-Feb-2024Rev3.xlsx]D-PND'!$BW$37</t>
  </si>
  <si>
    <t>='C:\Users\jaime.benazar\Quorum Business Solutions\Ecopetrol Prometeo - Documents\Planning Space Implementation\3. Analysis &amp; Design\Design\FC22\DRR Jaime\QUIFA-CAJÚA\Cajua\[CAJUA_CF_SEC_New_27-Feb-2024Rev3.xlsx]D-PND'!$BW$38</t>
  </si>
  <si>
    <t>='C:\Users\jaime.benazar\Quorum Business Solutions\Ecopetrol Prometeo - Documents\Planning Space Implementation\3. Analysis &amp; Design\Design\FC22\DRR Jaime\QUIFA-CAJÚA\Cajua\[CAJUA_CF_SEC_New_27-Feb-2024Rev3.xlsx]D-PND'!$BW$39</t>
  </si>
  <si>
    <t>='C:\Users\jaime.benazar\Quorum Business Solutions\Ecopetrol Prometeo - Documents\Planning Space Implementation\3. Analysis &amp; Design\Design\FC22\DRR Jaime\QUIFA-CAJÚA\Cajua\[CAJUA_CF_SEC_New_27-Feb-2024Rev3.xlsx]D-PND'!$BW$40</t>
  </si>
  <si>
    <t>='C:\Users\jaime.benazar\Quorum Business Solutions\Ecopetrol Prometeo - Documents\Planning Space Implementation\3. Analysis &amp; Design\Design\FC22\DRR Jaime\QUIFA-CAJÚA\Cajua\[CAJUA_CF_SEC_New_27-Feb-2024Rev3.xlsx]D-PND'!$BW$41</t>
  </si>
  <si>
    <t>='C:\Users\jaime.benazar\Quorum Business Solutions\Ecopetrol Prometeo - Documents\Planning Space Implementation\3. Analysis &amp; Design\Design\FC22\DRR Jaime\QUIFA-CAJÚA\Cajua\[CAJUA_CF_SEC_New_27-Feb-2024Rev3.xlsx]D-PND'!$BW$42</t>
  </si>
  <si>
    <t>='C:\Users\jaime.benazar\Quorum Business Solutions\Ecopetrol Prometeo - Documents\Planning Space Implementation\3. Analysis &amp; Design\Design\FC22\DRR Jaime\QUIFA-CAJÚA\Cajua\[CAJUA_CF_SEC_New_27-Feb-2024Rev3.xlsx]D-PND'!$BW$43</t>
  </si>
  <si>
    <t>='C:\Users\jaime.benazar\Quorum Business Solutions\Ecopetrol Prometeo - Documents\Planning Space Implementation\3. Analysis &amp; Design\Design\FC22\DRR Jaime\QUIFA-CAJÚA\Cajua\[CAJUA_CF_SEC_New_27-Feb-2024Rev3.xlsx]D-PND'!$BW$44</t>
  </si>
  <si>
    <t>='C:\Users\jaime.benazar\Quorum Business Solutions\Ecopetrol Prometeo - Documents\Planning Space Implementation\3. Analysis &amp; Design\Design\FC22\DRR Jaime\QUIFA-CAJÚA\Cajua\[CAJUA_CF_SEC_New_27-Feb-2024Rev3.xlsx]D-PND'!$BW$45</t>
  </si>
  <si>
    <t>='C:\Users\jaime.benazar\Quorum Business Solutions\Ecopetrol Prometeo - Documents\Planning Space Implementation\3. Analysis &amp; Design\Design\FC22\DRR Jaime\QUIFA-CAJÚA\Cajua\[CAJUA_CF_SEC_New_27-Feb-2024Rev3.xlsx]D-PND'!$BW$46</t>
  </si>
  <si>
    <t>='C:\Users\jaime.benazar\Quorum Business Solutions\Ecopetrol Prometeo - Documents\Planning Space Implementation\3. Analysis &amp; Design\Design\FC22\DRR Jaime\QUIFA-CAJÚA\Cajua\[CAJUA_CF_SEC_New_27-Feb-2024Rev3.xlsx]D-PND'!$BW$47</t>
  </si>
  <si>
    <t>='C:\Users\jaime.benazar\Quorum Business Solutions\Ecopetrol Prometeo - Documents\Planning Space Implementation\3. Analysis &amp; Design\Design\FC22\DRR Jaime\QUIFA-CAJÚA\Cajua\[CAJUA_CF_SEC_New_27-Feb-2024Rev3.xlsx]D-PND'!$BW$48</t>
  </si>
  <si>
    <t>='C:\Users\jaime.benazar\Quorum Business Solutions\Ecopetrol Prometeo - Documents\Planning Space Implementation\3. Analysis &amp; Design\Design\FC22\DRR Jaime\QUIFA-CAJÚA\Cajua\[CAJUA_CF_SEC_New_27-Feb-2024Rev3.xlsx]D-PRB'!$BW$12</t>
  </si>
  <si>
    <t>='C:\Users\jaime.benazar\Quorum Business Solutions\Ecopetrol Prometeo - Documents\Planning Space Implementation\3. Analysis &amp; Design\Design\FC22\DRR Jaime\QUIFA-CAJÚA\Cajua\[CAJUA_CF_SEC_New_27-Feb-2024Rev3.xlsx]D-PRB'!$BW$13</t>
  </si>
  <si>
    <t>='C:\Users\jaime.benazar\Quorum Business Solutions\Ecopetrol Prometeo - Documents\Planning Space Implementation\3. Analysis &amp; Design\Design\FC22\DRR Jaime\QUIFA-CAJÚA\Cajua\[CAJUA_CF_SEC_New_27-Feb-2024Rev3.xlsx]D-PRB'!$BW$14</t>
  </si>
  <si>
    <t>='C:\Users\jaime.benazar\Quorum Business Solutions\Ecopetrol Prometeo - Documents\Planning Space Implementation\3. Analysis &amp; Design\Design\FC22\DRR Jaime\QUIFA-CAJÚA\Cajua\[CAJUA_CF_SEC_New_27-Feb-2024Rev3.xlsx]D-PRB'!$BW$15</t>
  </si>
  <si>
    <t>='C:\Users\jaime.benazar\Quorum Business Solutions\Ecopetrol Prometeo - Documents\Planning Space Implementation\3. Analysis &amp; Design\Design\FC22\DRR Jaime\QUIFA-CAJÚA\Cajua\[CAJUA_CF_SEC_New_27-Feb-2024Rev3.xlsx]D-PRB'!$BW$16</t>
  </si>
  <si>
    <t>='C:\Users\jaime.benazar\Quorum Business Solutions\Ecopetrol Prometeo - Documents\Planning Space Implementation\3. Analysis &amp; Design\Design\FC22\DRR Jaime\QUIFA-CAJÚA\Cajua\[CAJUA_CF_SEC_New_27-Feb-2024Rev3.xlsx]D-PRB'!$BW$17</t>
  </si>
  <si>
    <t>='C:\Users\jaime.benazar\Quorum Business Solutions\Ecopetrol Prometeo - Documents\Planning Space Implementation\3. Analysis &amp; Design\Design\FC22\DRR Jaime\QUIFA-CAJÚA\Cajua\[CAJUA_CF_SEC_New_27-Feb-2024Rev3.xlsx]D-PRB'!$BW$18</t>
  </si>
  <si>
    <t>='C:\Users\jaime.benazar\Quorum Business Solutions\Ecopetrol Prometeo - Documents\Planning Space Implementation\3. Analysis &amp; Design\Design\FC22\DRR Jaime\QUIFA-CAJÚA\Cajua\[CAJUA_CF_SEC_New_27-Feb-2024Rev3.xlsx]D-PRB'!$BW$19</t>
  </si>
  <si>
    <t>='C:\Users\jaime.benazar\Quorum Business Solutions\Ecopetrol Prometeo - Documents\Planning Space Implementation\3. Analysis &amp; Design\Design\FC22\DRR Jaime\QUIFA-CAJÚA\Cajua\[CAJUA_CF_SEC_New_27-Feb-2024Rev3.xlsx]D-PRB'!$BW$20</t>
  </si>
  <si>
    <t>='C:\Users\jaime.benazar\Quorum Business Solutions\Ecopetrol Prometeo - Documents\Planning Space Implementation\3. Analysis &amp; Design\Design\FC22\DRR Jaime\QUIFA-CAJÚA\Cajua\[CAJUA_CF_SEC_New_27-Feb-2024Rev3.xlsx]D-PRB'!$BW$21</t>
  </si>
  <si>
    <t>='C:\Users\jaime.benazar\Quorum Business Solutions\Ecopetrol Prometeo - Documents\Planning Space Implementation\3. Analysis &amp; Design\Design\FC22\DRR Jaime\QUIFA-CAJÚA\Cajua\[CAJUA_CF_SEC_New_27-Feb-2024Rev3.xlsx]D-PRB'!$BW$22</t>
  </si>
  <si>
    <t>='C:\Users\jaime.benazar\Quorum Business Solutions\Ecopetrol Prometeo - Documents\Planning Space Implementation\3. Analysis &amp; Design\Design\FC22\DRR Jaime\QUIFA-CAJÚA\Cajua\[CAJUA_CF_SEC_New_27-Feb-2024Rev3.xlsx]D-PRB'!$BW$23</t>
  </si>
  <si>
    <t>='C:\Users\jaime.benazar\Quorum Business Solutions\Ecopetrol Prometeo - Documents\Planning Space Implementation\3. Analysis &amp; Design\Design\FC22\DRR Jaime\QUIFA-CAJÚA\Cajua\[CAJUA_CF_SEC_New_27-Feb-2024Rev3.xlsx]D-PRB'!$BW$24</t>
  </si>
  <si>
    <t>='C:\Users\jaime.benazar\Quorum Business Solutions\Ecopetrol Prometeo - Documents\Planning Space Implementation\3. Analysis &amp; Design\Design\FC22\DRR Jaime\QUIFA-CAJÚA\Cajua\[CAJUA_CF_SEC_New_27-Feb-2024Rev3.xlsx]D-PRB'!$BW$25</t>
  </si>
  <si>
    <t>='C:\Users\jaime.benazar\Quorum Business Solutions\Ecopetrol Prometeo - Documents\Planning Space Implementation\3. Analysis &amp; Design\Design\FC22\DRR Jaime\QUIFA-CAJÚA\Cajua\[CAJUA_CF_SEC_New_27-Feb-2024Rev3.xlsx]D-PRB'!$BW$26</t>
  </si>
  <si>
    <t>='C:\Users\jaime.benazar\Quorum Business Solutions\Ecopetrol Prometeo - Documents\Planning Space Implementation\3. Analysis &amp; Design\Design\FC22\DRR Jaime\QUIFA-CAJÚA\Cajua\[CAJUA_CF_SEC_New_27-Feb-2024Rev3.xlsx]D-PRB'!$BW$27</t>
  </si>
  <si>
    <t>='C:\Users\jaime.benazar\Quorum Business Solutions\Ecopetrol Prometeo - Documents\Planning Space Implementation\3. Analysis &amp; Design\Design\FC22\DRR Jaime\QUIFA-CAJÚA\Cajua\[CAJUA_CF_SEC_New_27-Feb-2024Rev3.xlsx]D-PRB'!$BW$28</t>
  </si>
  <si>
    <t>='C:\Users\jaime.benazar\Quorum Business Solutions\Ecopetrol Prometeo - Documents\Planning Space Implementation\3. Analysis &amp; Design\Design\FC22\DRR Jaime\QUIFA-CAJÚA\Cajua\[CAJUA_CF_SEC_New_27-Feb-2024Rev3.xlsx]D-PRB'!$BW$29</t>
  </si>
  <si>
    <t>='C:\Users\jaime.benazar\Quorum Business Solutions\Ecopetrol Prometeo - Documents\Planning Space Implementation\3. Analysis &amp; Design\Design\FC22\DRR Jaime\QUIFA-CAJÚA\Cajua\[CAJUA_CF_SEC_New_27-Feb-2024Rev3.xlsx]D-PRB'!$BW$30</t>
  </si>
  <si>
    <t>='C:\Users\jaime.benazar\Quorum Business Solutions\Ecopetrol Prometeo - Documents\Planning Space Implementation\3. Analysis &amp; Design\Design\FC22\DRR Jaime\QUIFA-CAJÚA\Cajua\[CAJUA_CF_SEC_New_27-Feb-2024Rev3.xlsx]D-PRB'!$BW$31</t>
  </si>
  <si>
    <t>='C:\Users\jaime.benazar\Quorum Business Solutions\Ecopetrol Prometeo - Documents\Planning Space Implementation\3. Analysis &amp; Design\Design\FC22\DRR Jaime\QUIFA-CAJÚA\Cajua\[CAJUA_CF_SEC_New_27-Feb-2024Rev3.xlsx]D-PRB'!$BW$32</t>
  </si>
  <si>
    <t>='C:\Users\jaime.benazar\Quorum Business Solutions\Ecopetrol Prometeo - Documents\Planning Space Implementation\3. Analysis &amp; Design\Design\FC22\DRR Jaime\QUIFA-CAJÚA\Cajua\[CAJUA_CF_SEC_New_27-Feb-2024Rev3.xlsx]D-PRB'!$BW$33</t>
  </si>
  <si>
    <t>='C:\Users\jaime.benazar\Quorum Business Solutions\Ecopetrol Prometeo - Documents\Planning Space Implementation\3. Analysis &amp; Design\Design\FC22\DRR Jaime\QUIFA-CAJÚA\Cajua\[CAJUA_CF_SEC_New_27-Feb-2024Rev3.xlsx]D-PRB'!$BW$34</t>
  </si>
  <si>
    <t>='C:\Users\jaime.benazar\Quorum Business Solutions\Ecopetrol Prometeo - Documents\Planning Space Implementation\3. Analysis &amp; Design\Design\FC22\DRR Jaime\QUIFA-CAJÚA\Cajua\[CAJUA_CF_SEC_New_27-Feb-2024Rev3.xlsx]D-PRB'!$BW$35</t>
  </si>
  <si>
    <t>='C:\Users\jaime.benazar\Quorum Business Solutions\Ecopetrol Prometeo - Documents\Planning Space Implementation\3. Analysis &amp; Design\Design\FC22\DRR Jaime\QUIFA-CAJÚA\Cajua\[CAJUA_CF_SEC_New_27-Feb-2024Rev3.xlsx]D-PRB'!$BW$36</t>
  </si>
  <si>
    <t>='C:\Users\jaime.benazar\Quorum Business Solutions\Ecopetrol Prometeo - Documents\Planning Space Implementation\3. Analysis &amp; Design\Design\FC22\DRR Jaime\QUIFA-CAJÚA\Cajua\[CAJUA_CF_SEC_New_27-Feb-2024Rev3.xlsx]D-PRB'!$BW$37</t>
  </si>
  <si>
    <t>='C:\Users\jaime.benazar\Quorum Business Solutions\Ecopetrol Prometeo - Documents\Planning Space Implementation\3. Analysis &amp; Design\Design\FC22\DRR Jaime\QUIFA-CAJÚA\Cajua\[CAJUA_CF_SEC_New_27-Feb-2024Rev3.xlsx]D-PRB'!$BW$38</t>
  </si>
  <si>
    <t>='C:\Users\jaime.benazar\Quorum Business Solutions\Ecopetrol Prometeo - Documents\Planning Space Implementation\3. Analysis &amp; Design\Design\FC22\DRR Jaime\QUIFA-CAJÚA\Cajua\[CAJUA_CF_SEC_New_27-Feb-2024Rev3.xlsx]D-PRB'!$BW$39</t>
  </si>
  <si>
    <t>='C:\Users\jaime.benazar\Quorum Business Solutions\Ecopetrol Prometeo - Documents\Planning Space Implementation\3. Analysis &amp; Design\Design\FC22\DRR Jaime\QUIFA-CAJÚA\Cajua\[CAJUA_CF_SEC_New_27-Feb-2024Rev3.xlsx]D-PRB'!$BW$40</t>
  </si>
  <si>
    <t>='C:\Users\jaime.benazar\Quorum Business Solutions\Ecopetrol Prometeo - Documents\Planning Space Implementation\3. Analysis &amp; Design\Design\FC22\DRR Jaime\QUIFA-CAJÚA\Cajua\[CAJUA_CF_SEC_New_27-Feb-2024Rev3.xlsx]D-PRB'!$BW$41</t>
  </si>
  <si>
    <t>='C:\Users\jaime.benazar\Quorum Business Solutions\Ecopetrol Prometeo - Documents\Planning Space Implementation\3. Analysis &amp; Design\Design\FC22\DRR Jaime\QUIFA-CAJÚA\Cajua\[CAJUA_CF_SEC_New_27-Feb-2024Rev3.xlsx]D-PRB'!$BW$42</t>
  </si>
  <si>
    <t>='C:\Users\jaime.benazar\Quorum Business Solutions\Ecopetrol Prometeo - Documents\Planning Space Implementation\3. Analysis &amp; Design\Design\FC22\DRR Jaime\QUIFA-CAJÚA\Cajua\[CAJUA_CF_SEC_New_27-Feb-2024Rev3.xlsx]D-PRB'!$BW$43</t>
  </si>
  <si>
    <t>='C:\Users\jaime.benazar\Quorum Business Solutions\Ecopetrol Prometeo - Documents\Planning Space Implementation\3. Analysis &amp; Design\Design\FC22\DRR Jaime\QUIFA-CAJÚA\Cajua\[CAJUA_CF_SEC_New_27-Feb-2024Rev3.xlsx]D-PRB'!$BW$44</t>
  </si>
  <si>
    <t>='C:\Users\jaime.benazar\Quorum Business Solutions\Ecopetrol Prometeo - Documents\Planning Space Implementation\3. Analysis &amp; Design\Design\FC22\DRR Jaime\QUIFA-CAJÚA\Cajua\[CAJUA_CF_SEC_New_27-Feb-2024Rev3.xlsx]D-PRB'!$BW$45</t>
  </si>
  <si>
    <t>='C:\Users\jaime.benazar\Quorum Business Solutions\Ecopetrol Prometeo - Documents\Planning Space Implementation\3. Analysis &amp; Design\Design\FC22\DRR Jaime\QUIFA-CAJÚA\Cajua\[CAJUA_CF_SEC_New_27-Feb-2024Rev3.xlsx]D-PRB'!$BW$46</t>
  </si>
  <si>
    <t>='C:\Users\jaime.benazar\Quorum Business Solutions\Ecopetrol Prometeo - Documents\Planning Space Implementation\3. Analysis &amp; Design\Design\FC22\DRR Jaime\QUIFA-CAJÚA\Cajua\[CAJUA_CF_SEC_New_27-Feb-2024Rev3.xlsx]D-PRB'!$BW$47</t>
  </si>
  <si>
    <t>='C:\Users\jaime.benazar\Quorum Business Solutions\Ecopetrol Prometeo - Documents\Planning Space Implementation\3. Analysis &amp; Design\Design\FC22\DRR Jaime\QUIFA-CAJÚA\Cajua\[CAJUA_CF_SEC_New_27-Feb-2024Rev3.xlsx]D-PRB'!$BW$48</t>
  </si>
  <si>
    <t>='C:\Users\jaime.benazar\Quorum Business Solutions\Ecopetrol Prometeo - Documents\Planning Space Implementation\3. Analysis &amp; Design\Design\FC22\DRR Jaime\QUIFA-CAJÚA\Cajua\[CAJUA_CF_SEC_New_27-Feb-2024Rev3.xlsx]D-PS'!$BW$12</t>
  </si>
  <si>
    <t>='C:\Users\jaime.benazar\Quorum Business Solutions\Ecopetrol Prometeo - Documents\Planning Space Implementation\3. Analysis &amp; Design\Design\FC22\DRR Jaime\QUIFA-CAJÚA\Cajua\[CAJUA_CF_SEC_New_27-Feb-2024Rev3.xlsx]D-PS'!$BW$13</t>
  </si>
  <si>
    <t>='C:\Users\jaime.benazar\Quorum Business Solutions\Ecopetrol Prometeo - Documents\Planning Space Implementation\3. Analysis &amp; Design\Design\FC22\DRR Jaime\QUIFA-CAJÚA\Cajua\[CAJUA_CF_SEC_New_27-Feb-2024Rev3.xlsx]D-PS'!$BW$14</t>
  </si>
  <si>
    <t>='C:\Users\jaime.benazar\Quorum Business Solutions\Ecopetrol Prometeo - Documents\Planning Space Implementation\3. Analysis &amp; Design\Design\FC22\DRR Jaime\QUIFA-CAJÚA\Cajua\[CAJUA_CF_SEC_New_27-Feb-2024Rev3.xlsx]D-PS'!$BW$15</t>
  </si>
  <si>
    <t>='C:\Users\jaime.benazar\Quorum Business Solutions\Ecopetrol Prometeo - Documents\Planning Space Implementation\3. Analysis &amp; Design\Design\FC22\DRR Jaime\QUIFA-CAJÚA\Cajua\[CAJUA_CF_SEC_New_27-Feb-2024Rev3.xlsx]D-PS'!$BW$16</t>
  </si>
  <si>
    <t>='C:\Users\jaime.benazar\Quorum Business Solutions\Ecopetrol Prometeo - Documents\Planning Space Implementation\3. Analysis &amp; Design\Design\FC22\DRR Jaime\QUIFA-CAJÚA\Cajua\[CAJUA_CF_SEC_New_27-Feb-2024Rev3.xlsx]D-PS'!$BW$17</t>
  </si>
  <si>
    <t>='C:\Users\jaime.benazar\Quorum Business Solutions\Ecopetrol Prometeo - Documents\Planning Space Implementation\3. Analysis &amp; Design\Design\FC22\DRR Jaime\QUIFA-CAJÚA\Cajua\[CAJUA_CF_SEC_New_27-Feb-2024Rev3.xlsx]D-PS'!$BW$18</t>
  </si>
  <si>
    <t>='C:\Users\jaime.benazar\Quorum Business Solutions\Ecopetrol Prometeo - Documents\Planning Space Implementation\3. Analysis &amp; Design\Design\FC22\DRR Jaime\QUIFA-CAJÚA\Cajua\[CAJUA_CF_SEC_New_27-Feb-2024Rev3.xlsx]D-PS'!$BW$19</t>
  </si>
  <si>
    <t>='C:\Users\jaime.benazar\Quorum Business Solutions\Ecopetrol Prometeo - Documents\Planning Space Implementation\3. Analysis &amp; Design\Design\FC22\DRR Jaime\QUIFA-CAJÚA\Cajua\[CAJUA_CF_SEC_New_27-Feb-2024Rev3.xlsx]D-PS'!$BW$20</t>
  </si>
  <si>
    <t>='C:\Users\jaime.benazar\Quorum Business Solutions\Ecopetrol Prometeo - Documents\Planning Space Implementation\3. Analysis &amp; Design\Design\FC22\DRR Jaime\QUIFA-CAJÚA\Cajua\[CAJUA_CF_SEC_New_27-Feb-2024Rev3.xlsx]D-PS'!$BW$21</t>
  </si>
  <si>
    <t>='C:\Users\jaime.benazar\Quorum Business Solutions\Ecopetrol Prometeo - Documents\Planning Space Implementation\3. Analysis &amp; Design\Design\FC22\DRR Jaime\QUIFA-CAJÚA\Cajua\[CAJUA_CF_SEC_New_27-Feb-2024Rev3.xlsx]D-PS'!$BW$22</t>
  </si>
  <si>
    <t>='C:\Users\jaime.benazar\Quorum Business Solutions\Ecopetrol Prometeo - Documents\Planning Space Implementation\3. Analysis &amp; Design\Design\FC22\DRR Jaime\QUIFA-CAJÚA\Cajua\[CAJUA_CF_SEC_New_27-Feb-2024Rev3.xlsx]D-PS'!$BW$23</t>
  </si>
  <si>
    <t>='C:\Users\jaime.benazar\Quorum Business Solutions\Ecopetrol Prometeo - Documents\Planning Space Implementation\3. Analysis &amp; Design\Design\FC22\DRR Jaime\QUIFA-CAJÚA\Cajua\[CAJUA_CF_SEC_New_27-Feb-2024Rev3.xlsx]D-PS'!$BW$24</t>
  </si>
  <si>
    <t>='C:\Users\jaime.benazar\Quorum Business Solutions\Ecopetrol Prometeo - Documents\Planning Space Implementation\3. Analysis &amp; Design\Design\FC22\DRR Jaime\QUIFA-CAJÚA\Cajua\[CAJUA_CF_SEC_New_27-Feb-2024Rev3.xlsx]D-PS'!$BW$25</t>
  </si>
  <si>
    <t>='C:\Users\jaime.benazar\Quorum Business Solutions\Ecopetrol Prometeo - Documents\Planning Space Implementation\3. Analysis &amp; Design\Design\FC22\DRR Jaime\QUIFA-CAJÚA\Cajua\[CAJUA_CF_SEC_New_27-Feb-2024Rev3.xlsx]D-PS'!$BW$26</t>
  </si>
  <si>
    <t>='C:\Users\jaime.benazar\Quorum Business Solutions\Ecopetrol Prometeo - Documents\Planning Space Implementation\3. Analysis &amp; Design\Design\FC22\DRR Jaime\QUIFA-CAJÚA\Cajua\[CAJUA_CF_SEC_New_27-Feb-2024Rev3.xlsx]D-PS'!$BW$27</t>
  </si>
  <si>
    <t>='C:\Users\jaime.benazar\Quorum Business Solutions\Ecopetrol Prometeo - Documents\Planning Space Implementation\3. Analysis &amp; Design\Design\FC22\DRR Jaime\QUIFA-CAJÚA\Cajua\[CAJUA_CF_SEC_New_27-Feb-2024Rev3.xlsx]D-PS'!$BW$28</t>
  </si>
  <si>
    <t>='C:\Users\jaime.benazar\Quorum Business Solutions\Ecopetrol Prometeo - Documents\Planning Space Implementation\3. Analysis &amp; Design\Design\FC22\DRR Jaime\QUIFA-CAJÚA\Cajua\[CAJUA_CF_SEC_New_27-Feb-2024Rev3.xlsx]D-PS'!$BW$29</t>
  </si>
  <si>
    <t>='C:\Users\jaime.benazar\Quorum Business Solutions\Ecopetrol Prometeo - Documents\Planning Space Implementation\3. Analysis &amp; Design\Design\FC22\DRR Jaime\QUIFA-CAJÚA\Cajua\[CAJUA_CF_SEC_New_27-Feb-2024Rev3.xlsx]D-PS'!$BW$30</t>
  </si>
  <si>
    <t>='C:\Users\jaime.benazar\Quorum Business Solutions\Ecopetrol Prometeo - Documents\Planning Space Implementation\3. Analysis &amp; Design\Design\FC22\DRR Jaime\QUIFA-CAJÚA\Cajua\[CAJUA_CF_SEC_New_27-Feb-2024Rev3.xlsx]D-PS'!$BW$31</t>
  </si>
  <si>
    <t>='C:\Users\jaime.benazar\Quorum Business Solutions\Ecopetrol Prometeo - Documents\Planning Space Implementation\3. Analysis &amp; Design\Design\FC22\DRR Jaime\QUIFA-CAJÚA\Cajua\[CAJUA_CF_SEC_New_27-Feb-2024Rev3.xlsx]D-PS'!$BW$32</t>
  </si>
  <si>
    <t>='C:\Users\jaime.benazar\Quorum Business Solutions\Ecopetrol Prometeo - Documents\Planning Space Implementation\3. Analysis &amp; Design\Design\FC22\DRR Jaime\QUIFA-CAJÚA\Cajua\[CAJUA_CF_SEC_New_27-Feb-2024Rev3.xlsx]D-PS'!$BW$33</t>
  </si>
  <si>
    <t>='C:\Users\jaime.benazar\Quorum Business Solutions\Ecopetrol Prometeo - Documents\Planning Space Implementation\3. Analysis &amp; Design\Design\FC22\DRR Jaime\QUIFA-CAJÚA\Cajua\[CAJUA_CF_SEC_New_27-Feb-2024Rev3.xlsx]D-PS'!$BW$34</t>
  </si>
  <si>
    <t>='C:\Users\jaime.benazar\Quorum Business Solutions\Ecopetrol Prometeo - Documents\Planning Space Implementation\3. Analysis &amp; Design\Design\FC22\DRR Jaime\QUIFA-CAJÚA\Cajua\[CAJUA_CF_SEC_New_27-Feb-2024Rev3.xlsx]D-PS'!$BW$35</t>
  </si>
  <si>
    <t>='C:\Users\jaime.benazar\Quorum Business Solutions\Ecopetrol Prometeo - Documents\Planning Space Implementation\3. Analysis &amp; Design\Design\FC22\DRR Jaime\QUIFA-CAJÚA\Cajua\[CAJUA_CF_SEC_New_27-Feb-2024Rev3.xlsx]D-PS'!$BW$36</t>
  </si>
  <si>
    <t>='C:\Users\jaime.benazar\Quorum Business Solutions\Ecopetrol Prometeo - Documents\Planning Space Implementation\3. Analysis &amp; Design\Design\FC22\DRR Jaime\QUIFA-CAJÚA\Cajua\[CAJUA_CF_SEC_New_27-Feb-2024Rev3.xlsx]D-PS'!$BW$37</t>
  </si>
  <si>
    <t>='C:\Users\jaime.benazar\Quorum Business Solutions\Ecopetrol Prometeo - Documents\Planning Space Implementation\3. Analysis &amp; Design\Design\FC22\DRR Jaime\QUIFA-CAJÚA\Cajua\[CAJUA_CF_SEC_New_27-Feb-2024Rev3.xlsx]D-PS'!$BW$38</t>
  </si>
  <si>
    <t>='C:\Users\jaime.benazar\Quorum Business Solutions\Ecopetrol Prometeo - Documents\Planning Space Implementation\3. Analysis &amp; Design\Design\FC22\DRR Jaime\QUIFA-CAJÚA\Cajua\[CAJUA_CF_SEC_New_27-Feb-2024Rev3.xlsx]D-PS'!$BW$39</t>
  </si>
  <si>
    <t>='C:\Users\jaime.benazar\Quorum Business Solutions\Ecopetrol Prometeo - Documents\Planning Space Implementation\3. Analysis &amp; Design\Design\FC22\DRR Jaime\QUIFA-CAJÚA\Cajua\[CAJUA_CF_SEC_New_27-Feb-2024Rev3.xlsx]D-PS'!$BW$40</t>
  </si>
  <si>
    <t>='C:\Users\jaime.benazar\Quorum Business Solutions\Ecopetrol Prometeo - Documents\Planning Space Implementation\3. Analysis &amp; Design\Design\FC22\DRR Jaime\QUIFA-CAJÚA\Cajua\[CAJUA_CF_SEC_New_27-Feb-2024Rev3.xlsx]D-PS'!$BW$41</t>
  </si>
  <si>
    <t>='C:\Users\jaime.benazar\Quorum Business Solutions\Ecopetrol Prometeo - Documents\Planning Space Implementation\3. Analysis &amp; Design\Design\FC22\DRR Jaime\QUIFA-CAJÚA\Cajua\[CAJUA_CF_SEC_New_27-Feb-2024Rev3.xlsx]D-PS'!$BW$42</t>
  </si>
  <si>
    <t>='C:\Users\jaime.benazar\Quorum Business Solutions\Ecopetrol Prometeo - Documents\Planning Space Implementation\3. Analysis &amp; Design\Design\FC22\DRR Jaime\QUIFA-CAJÚA\Cajua\[CAJUA_CF_SEC_New_27-Feb-2024Rev3.xlsx]D-PS'!$BW$43</t>
  </si>
  <si>
    <t>='C:\Users\jaime.benazar\Quorum Business Solutions\Ecopetrol Prometeo - Documents\Planning Space Implementation\3. Analysis &amp; Design\Design\FC22\DRR Jaime\QUIFA-CAJÚA\Cajua\[CAJUA_CF_SEC_New_27-Feb-2024Rev3.xlsx]D-PS'!$BW$44</t>
  </si>
  <si>
    <t>='C:\Users\jaime.benazar\Quorum Business Solutions\Ecopetrol Prometeo - Documents\Planning Space Implementation\3. Analysis &amp; Design\Design\FC22\DRR Jaime\QUIFA-CAJÚA\Cajua\[CAJUA_CF_SEC_New_27-Feb-2024Rev3.xlsx]D-PS'!$BW$45</t>
  </si>
  <si>
    <t>='C:\Users\jaime.benazar\Quorum Business Solutions\Ecopetrol Prometeo - Documents\Planning Space Implementation\3. Analysis &amp; Design\Design\FC22\DRR Jaime\QUIFA-CAJÚA\Cajua\[CAJUA_CF_SEC_New_27-Feb-2024Rev3.xlsx]D-PS'!$BW$46</t>
  </si>
  <si>
    <t>='C:\Users\jaime.benazar\Quorum Business Solutions\Ecopetrol Prometeo - Documents\Planning Space Implementation\3. Analysis &amp; Design\Design\FC22\DRR Jaime\QUIFA-CAJÚA\Cajua\[CAJUA_CF_SEC_New_27-Feb-2024Rev3.xlsx]D-PS'!$BW$47</t>
  </si>
  <si>
    <t>='C:\Users\jaime.benazar\Quorum Business Solutions\Ecopetrol Prometeo - Documents\Planning Space Implementation\3. Analysis &amp; Design\Design\FC22\DRR Jaime\QUIFA-CAJÚA\Cajua\[CAJUA_CF_SEC_New_27-Feb-2024Rev3.xlsx]D-PS'!$BW$48</t>
  </si>
  <si>
    <t>='C:\Users\jaime.benazar\Quorum Business Solutions\Ecopetrol Prometeo - Documents\Planning Space Implementation\3. Analysis &amp; Design\Design\FC22\DRR Jaime\QUIFA-CAJÚA\Cajua\[CAJUA_CF_SEC_New_27-Feb-2024Rev3.xlsx]D-PDP'!$BZ$12</t>
  </si>
  <si>
    <t>='C:\Users\jaime.benazar\Quorum Business Solutions\Ecopetrol Prometeo - Documents\Planning Space Implementation\3. Analysis &amp; Design\Design\FC22\DRR Jaime\QUIFA-CAJÚA\Cajua\[CAJUA_CF_SEC_New_27-Feb-2024Rev3.xlsx]D-PDP'!$BZ$13</t>
  </si>
  <si>
    <t>='C:\Users\jaime.benazar\Quorum Business Solutions\Ecopetrol Prometeo - Documents\Planning Space Implementation\3. Analysis &amp; Design\Design\FC22\DRR Jaime\QUIFA-CAJÚA\Cajua\[CAJUA_CF_SEC_New_27-Feb-2024Rev3.xlsx]D-PDP'!$BZ$14</t>
  </si>
  <si>
    <t>='C:\Users\jaime.benazar\Quorum Business Solutions\Ecopetrol Prometeo - Documents\Planning Space Implementation\3. Analysis &amp; Design\Design\FC22\DRR Jaime\QUIFA-CAJÚA\Cajua\[CAJUA_CF_SEC_New_27-Feb-2024Rev3.xlsx]D-PDP'!$BZ$15</t>
  </si>
  <si>
    <t>='C:\Users\jaime.benazar\Quorum Business Solutions\Ecopetrol Prometeo - Documents\Planning Space Implementation\3. Analysis &amp; Design\Design\FC22\DRR Jaime\QUIFA-CAJÚA\Cajua\[CAJUA_CF_SEC_New_27-Feb-2024Rev3.xlsx]D-PDP'!$BZ$16</t>
  </si>
  <si>
    <t>='C:\Users\jaime.benazar\Quorum Business Solutions\Ecopetrol Prometeo - Documents\Planning Space Implementation\3. Analysis &amp; Design\Design\FC22\DRR Jaime\QUIFA-CAJÚA\Cajua\[CAJUA_CF_SEC_New_27-Feb-2024Rev3.xlsx]D-PDP'!$BZ$17</t>
  </si>
  <si>
    <t>='C:\Users\jaime.benazar\Quorum Business Solutions\Ecopetrol Prometeo - Documents\Planning Space Implementation\3. Analysis &amp; Design\Design\FC22\DRR Jaime\QUIFA-CAJÚA\Cajua\[CAJUA_CF_SEC_New_27-Feb-2024Rev3.xlsx]D-PDP'!$BZ$18</t>
  </si>
  <si>
    <t>='C:\Users\jaime.benazar\Quorum Business Solutions\Ecopetrol Prometeo - Documents\Planning Space Implementation\3. Analysis &amp; Design\Design\FC22\DRR Jaime\QUIFA-CAJÚA\Cajua\[CAJUA_CF_SEC_New_27-Feb-2024Rev3.xlsx]D-PDP'!$BZ$19</t>
  </si>
  <si>
    <t>='C:\Users\jaime.benazar\Quorum Business Solutions\Ecopetrol Prometeo - Documents\Planning Space Implementation\3. Analysis &amp; Design\Design\FC22\DRR Jaime\QUIFA-CAJÚA\Cajua\[CAJUA_CF_SEC_New_27-Feb-2024Rev3.xlsx]D-PDP'!$BZ$20</t>
  </si>
  <si>
    <t>='C:\Users\jaime.benazar\Quorum Business Solutions\Ecopetrol Prometeo - Documents\Planning Space Implementation\3. Analysis &amp; Design\Design\FC22\DRR Jaime\QUIFA-CAJÚA\Cajua\[CAJUA_CF_SEC_New_27-Feb-2024Rev3.xlsx]D-PDP'!$BZ$21</t>
  </si>
  <si>
    <t>='C:\Users\jaime.benazar\Quorum Business Solutions\Ecopetrol Prometeo - Documents\Planning Space Implementation\3. Analysis &amp; Design\Design\FC22\DRR Jaime\QUIFA-CAJÚA\Cajua\[CAJUA_CF_SEC_New_27-Feb-2024Rev3.xlsx]D-PDP'!$BZ$22</t>
  </si>
  <si>
    <t>='C:\Users\jaime.benazar\Quorum Business Solutions\Ecopetrol Prometeo - Documents\Planning Space Implementation\3. Analysis &amp; Design\Design\FC22\DRR Jaime\QUIFA-CAJÚA\Cajua\[CAJUA_CF_SEC_New_27-Feb-2024Rev3.xlsx]D-PDP'!$BZ$23</t>
  </si>
  <si>
    <t>='C:\Users\jaime.benazar\Quorum Business Solutions\Ecopetrol Prometeo - Documents\Planning Space Implementation\3. Analysis &amp; Design\Design\FC22\DRR Jaime\QUIFA-CAJÚA\Cajua\[CAJUA_CF_SEC_New_27-Feb-2024Rev3.xlsx]D-PDP'!$BZ$24</t>
  </si>
  <si>
    <t>='C:\Users\jaime.benazar\Quorum Business Solutions\Ecopetrol Prometeo - Documents\Planning Space Implementation\3. Analysis &amp; Design\Design\FC22\DRR Jaime\QUIFA-CAJÚA\Cajua\[CAJUA_CF_SEC_New_27-Feb-2024Rev3.xlsx]D-PDP'!$BZ$25</t>
  </si>
  <si>
    <t>='C:\Users\jaime.benazar\Quorum Business Solutions\Ecopetrol Prometeo - Documents\Planning Space Implementation\3. Analysis &amp; Design\Design\FC22\DRR Jaime\QUIFA-CAJÚA\Cajua\[CAJUA_CF_SEC_New_27-Feb-2024Rev3.xlsx]D-PDP'!$BZ$26</t>
  </si>
  <si>
    <t>='C:\Users\jaime.benazar\Quorum Business Solutions\Ecopetrol Prometeo - Documents\Planning Space Implementation\3. Analysis &amp; Design\Design\FC22\DRR Jaime\QUIFA-CAJÚA\Cajua\[CAJUA_CF_SEC_New_27-Feb-2024Rev3.xlsx]D-PDP'!$BZ$27</t>
  </si>
  <si>
    <t>='C:\Users\jaime.benazar\Quorum Business Solutions\Ecopetrol Prometeo - Documents\Planning Space Implementation\3. Analysis &amp; Design\Design\FC22\DRR Jaime\QUIFA-CAJÚA\Cajua\[CAJUA_CF_SEC_New_27-Feb-2024Rev3.xlsx]D-PDP'!$BZ$28</t>
  </si>
  <si>
    <t>='C:\Users\jaime.benazar\Quorum Business Solutions\Ecopetrol Prometeo - Documents\Planning Space Implementation\3. Analysis &amp; Design\Design\FC22\DRR Jaime\QUIFA-CAJÚA\Cajua\[CAJUA_CF_SEC_New_27-Feb-2024Rev3.xlsx]D-PDP'!$BZ$29</t>
  </si>
  <si>
    <t>='C:\Users\jaime.benazar\Quorum Business Solutions\Ecopetrol Prometeo - Documents\Planning Space Implementation\3. Analysis &amp; Design\Design\FC22\DRR Jaime\QUIFA-CAJÚA\Cajua\[CAJUA_CF_SEC_New_27-Feb-2024Rev3.xlsx]D-PDP'!$BZ$30</t>
  </si>
  <si>
    <t>='C:\Users\jaime.benazar\Quorum Business Solutions\Ecopetrol Prometeo - Documents\Planning Space Implementation\3. Analysis &amp; Design\Design\FC22\DRR Jaime\QUIFA-CAJÚA\Cajua\[CAJUA_CF_SEC_New_27-Feb-2024Rev3.xlsx]D-PDP'!$BZ$31</t>
  </si>
  <si>
    <t>='C:\Users\jaime.benazar\Quorum Business Solutions\Ecopetrol Prometeo - Documents\Planning Space Implementation\3. Analysis &amp; Design\Design\FC22\DRR Jaime\QUIFA-CAJÚA\Cajua\[CAJUA_CF_SEC_New_27-Feb-2024Rev3.xlsx]D-PDP'!$BZ$32</t>
  </si>
  <si>
    <t>='C:\Users\jaime.benazar\Quorum Business Solutions\Ecopetrol Prometeo - Documents\Planning Space Implementation\3. Analysis &amp; Design\Design\FC22\DRR Jaime\QUIFA-CAJÚA\Cajua\[CAJUA_CF_SEC_New_27-Feb-2024Rev3.xlsx]D-PDP'!$BZ$33</t>
  </si>
  <si>
    <t>='C:\Users\jaime.benazar\Quorum Business Solutions\Ecopetrol Prometeo - Documents\Planning Space Implementation\3. Analysis &amp; Design\Design\FC22\DRR Jaime\QUIFA-CAJÚA\Cajua\[CAJUA_CF_SEC_New_27-Feb-2024Rev3.xlsx]D-PDP'!$BZ$34</t>
  </si>
  <si>
    <t>='C:\Users\jaime.benazar\Quorum Business Solutions\Ecopetrol Prometeo - Documents\Planning Space Implementation\3. Analysis &amp; Design\Design\FC22\DRR Jaime\QUIFA-CAJÚA\Cajua\[CAJUA_CF_SEC_New_27-Feb-2024Rev3.xlsx]D-PDP'!$BZ$35</t>
  </si>
  <si>
    <t>='C:\Users\jaime.benazar\Quorum Business Solutions\Ecopetrol Prometeo - Documents\Planning Space Implementation\3. Analysis &amp; Design\Design\FC22\DRR Jaime\QUIFA-CAJÚA\Cajua\[CAJUA_CF_SEC_New_27-Feb-2024Rev3.xlsx]D-PDP'!$BZ$36</t>
  </si>
  <si>
    <t>='C:\Users\jaime.benazar\Quorum Business Solutions\Ecopetrol Prometeo - Documents\Planning Space Implementation\3. Analysis &amp; Design\Design\FC22\DRR Jaime\QUIFA-CAJÚA\Cajua\[CAJUA_CF_SEC_New_27-Feb-2024Rev3.xlsx]D-PDP'!$BZ$37</t>
  </si>
  <si>
    <t>='C:\Users\jaime.benazar\Quorum Business Solutions\Ecopetrol Prometeo - Documents\Planning Space Implementation\3. Analysis &amp; Design\Design\FC22\DRR Jaime\QUIFA-CAJÚA\Cajua\[CAJUA_CF_SEC_New_27-Feb-2024Rev3.xlsx]D-PDP'!$BZ$38</t>
  </si>
  <si>
    <t>='C:\Users\jaime.benazar\Quorum Business Solutions\Ecopetrol Prometeo - Documents\Planning Space Implementation\3. Analysis &amp; Design\Design\FC22\DRR Jaime\QUIFA-CAJÚA\Cajua\[CAJUA_CF_SEC_New_27-Feb-2024Rev3.xlsx]D-PDP'!$BZ$39</t>
  </si>
  <si>
    <t>='C:\Users\jaime.benazar\Quorum Business Solutions\Ecopetrol Prometeo - Documents\Planning Space Implementation\3. Analysis &amp; Design\Design\FC22\DRR Jaime\QUIFA-CAJÚA\Cajua\[CAJUA_CF_SEC_New_27-Feb-2024Rev3.xlsx]D-PDP'!$BZ$40</t>
  </si>
  <si>
    <t>='C:\Users\jaime.benazar\Quorum Business Solutions\Ecopetrol Prometeo - Documents\Planning Space Implementation\3. Analysis &amp; Design\Design\FC22\DRR Jaime\QUIFA-CAJÚA\Cajua\[CAJUA_CF_SEC_New_27-Feb-2024Rev3.xlsx]D-PDP'!$BZ$41</t>
  </si>
  <si>
    <t>='C:\Users\jaime.benazar\Quorum Business Solutions\Ecopetrol Prometeo - Documents\Planning Space Implementation\3. Analysis &amp; Design\Design\FC22\DRR Jaime\QUIFA-CAJÚA\Cajua\[CAJUA_CF_SEC_New_27-Feb-2024Rev3.xlsx]D-PDP'!$BZ$42</t>
  </si>
  <si>
    <t>='C:\Users\jaime.benazar\Quorum Business Solutions\Ecopetrol Prometeo - Documents\Planning Space Implementation\3. Analysis &amp; Design\Design\FC22\DRR Jaime\QUIFA-CAJÚA\Cajua\[CAJUA_CF_SEC_New_27-Feb-2024Rev3.xlsx]D-PDP'!$BZ$43</t>
  </si>
  <si>
    <t>='C:\Users\jaime.benazar\Quorum Business Solutions\Ecopetrol Prometeo - Documents\Planning Space Implementation\3. Analysis &amp; Design\Design\FC22\DRR Jaime\QUIFA-CAJÚA\Cajua\[CAJUA_CF_SEC_New_27-Feb-2024Rev3.xlsx]D-PDP'!$BZ$44</t>
  </si>
  <si>
    <t>='C:\Users\jaime.benazar\Quorum Business Solutions\Ecopetrol Prometeo - Documents\Planning Space Implementation\3. Analysis &amp; Design\Design\FC22\DRR Jaime\QUIFA-CAJÚA\Cajua\[CAJUA_CF_SEC_New_27-Feb-2024Rev3.xlsx]D-PDP'!$BZ$45</t>
  </si>
  <si>
    <t>='C:\Users\jaime.benazar\Quorum Business Solutions\Ecopetrol Prometeo - Documents\Planning Space Implementation\3. Analysis &amp; Design\Design\FC22\DRR Jaime\QUIFA-CAJÚA\Cajua\[CAJUA_CF_SEC_New_27-Feb-2024Rev3.xlsx]D-PDP'!$BZ$46</t>
  </si>
  <si>
    <t>='C:\Users\jaime.benazar\Quorum Business Solutions\Ecopetrol Prometeo - Documents\Planning Space Implementation\3. Analysis &amp; Design\Design\FC22\DRR Jaime\QUIFA-CAJÚA\Cajua\[CAJUA_CF_SEC_New_27-Feb-2024Rev3.xlsx]D-PDP'!$BZ$47</t>
  </si>
  <si>
    <t>='C:\Users\jaime.benazar\Quorum Business Solutions\Ecopetrol Prometeo - Documents\Planning Space Implementation\3. Analysis &amp; Design\Design\FC22\DRR Jaime\QUIFA-CAJÚA\Cajua\[CAJUA_CF_SEC_New_27-Feb-2024Rev3.xlsx]D-PDP'!$BZ$48</t>
  </si>
  <si>
    <t>='C:\Users\jaime.benazar\Quorum Business Solutions\Ecopetrol Prometeo - Documents\Planning Space Implementation\3. Analysis &amp; Design\Design\FC22\DRR Jaime\QUIFA-CAJÚA\Cajua\[CAJUA_CF_SEC_New_27-Feb-2024Rev3.xlsx]D-PNP'!$BZ$12</t>
  </si>
  <si>
    <t>='C:\Users\jaime.benazar\Quorum Business Solutions\Ecopetrol Prometeo - Documents\Planning Space Implementation\3. Analysis &amp; Design\Design\FC22\DRR Jaime\QUIFA-CAJÚA\Cajua\[CAJUA_CF_SEC_New_27-Feb-2024Rev3.xlsx]D-PNP'!$BZ$13</t>
  </si>
  <si>
    <t>='C:\Users\jaime.benazar\Quorum Business Solutions\Ecopetrol Prometeo - Documents\Planning Space Implementation\3. Analysis &amp; Design\Design\FC22\DRR Jaime\QUIFA-CAJÚA\Cajua\[CAJUA_CF_SEC_New_27-Feb-2024Rev3.xlsx]D-PNP'!$BZ$14</t>
  </si>
  <si>
    <t>='C:\Users\jaime.benazar\Quorum Business Solutions\Ecopetrol Prometeo - Documents\Planning Space Implementation\3. Analysis &amp; Design\Design\FC22\DRR Jaime\QUIFA-CAJÚA\Cajua\[CAJUA_CF_SEC_New_27-Feb-2024Rev3.xlsx]D-PNP'!$BZ$15</t>
  </si>
  <si>
    <t>='C:\Users\jaime.benazar\Quorum Business Solutions\Ecopetrol Prometeo - Documents\Planning Space Implementation\3. Analysis &amp; Design\Design\FC22\DRR Jaime\QUIFA-CAJÚA\Cajua\[CAJUA_CF_SEC_New_27-Feb-2024Rev3.xlsx]D-PNP'!$BZ$16</t>
  </si>
  <si>
    <t>='C:\Users\jaime.benazar\Quorum Business Solutions\Ecopetrol Prometeo - Documents\Planning Space Implementation\3. Analysis &amp; Design\Design\FC22\DRR Jaime\QUIFA-CAJÚA\Cajua\[CAJUA_CF_SEC_New_27-Feb-2024Rev3.xlsx]D-PNP'!$BZ$17</t>
  </si>
  <si>
    <t>='C:\Users\jaime.benazar\Quorum Business Solutions\Ecopetrol Prometeo - Documents\Planning Space Implementation\3. Analysis &amp; Design\Design\FC22\DRR Jaime\QUIFA-CAJÚA\Cajua\[CAJUA_CF_SEC_New_27-Feb-2024Rev3.xlsx]D-PNP'!$BZ$18</t>
  </si>
  <si>
    <t>='C:\Users\jaime.benazar\Quorum Business Solutions\Ecopetrol Prometeo - Documents\Planning Space Implementation\3. Analysis &amp; Design\Design\FC22\DRR Jaime\QUIFA-CAJÚA\Cajua\[CAJUA_CF_SEC_New_27-Feb-2024Rev3.xlsx]D-PNP'!$BZ$19</t>
  </si>
  <si>
    <t>='C:\Users\jaime.benazar\Quorum Business Solutions\Ecopetrol Prometeo - Documents\Planning Space Implementation\3. Analysis &amp; Design\Design\FC22\DRR Jaime\QUIFA-CAJÚA\Cajua\[CAJUA_CF_SEC_New_27-Feb-2024Rev3.xlsx]D-PNP'!$BZ$20</t>
  </si>
  <si>
    <t>='C:\Users\jaime.benazar\Quorum Business Solutions\Ecopetrol Prometeo - Documents\Planning Space Implementation\3. Analysis &amp; Design\Design\FC22\DRR Jaime\QUIFA-CAJÚA\Cajua\[CAJUA_CF_SEC_New_27-Feb-2024Rev3.xlsx]D-PNP'!$BZ$21</t>
  </si>
  <si>
    <t>='C:\Users\jaime.benazar\Quorum Business Solutions\Ecopetrol Prometeo - Documents\Planning Space Implementation\3. Analysis &amp; Design\Design\FC22\DRR Jaime\QUIFA-CAJÚA\Cajua\[CAJUA_CF_SEC_New_27-Feb-2024Rev3.xlsx]D-PNP'!$BZ$22</t>
  </si>
  <si>
    <t>='C:\Users\jaime.benazar\Quorum Business Solutions\Ecopetrol Prometeo - Documents\Planning Space Implementation\3. Analysis &amp; Design\Design\FC22\DRR Jaime\QUIFA-CAJÚA\Cajua\[CAJUA_CF_SEC_New_27-Feb-2024Rev3.xlsx]D-PNP'!$BZ$23</t>
  </si>
  <si>
    <t>='C:\Users\jaime.benazar\Quorum Business Solutions\Ecopetrol Prometeo - Documents\Planning Space Implementation\3. Analysis &amp; Design\Design\FC22\DRR Jaime\QUIFA-CAJÚA\Cajua\[CAJUA_CF_SEC_New_27-Feb-2024Rev3.xlsx]D-PNP'!$BZ$24</t>
  </si>
  <si>
    <t>='C:\Users\jaime.benazar\Quorum Business Solutions\Ecopetrol Prometeo - Documents\Planning Space Implementation\3. Analysis &amp; Design\Design\FC22\DRR Jaime\QUIFA-CAJÚA\Cajua\[CAJUA_CF_SEC_New_27-Feb-2024Rev3.xlsx]D-PNP'!$BZ$25</t>
  </si>
  <si>
    <t>='C:\Users\jaime.benazar\Quorum Business Solutions\Ecopetrol Prometeo - Documents\Planning Space Implementation\3. Analysis &amp; Design\Design\FC22\DRR Jaime\QUIFA-CAJÚA\Cajua\[CAJUA_CF_SEC_New_27-Feb-2024Rev3.xlsx]D-PNP'!$BZ$26</t>
  </si>
  <si>
    <t>='C:\Users\jaime.benazar\Quorum Business Solutions\Ecopetrol Prometeo - Documents\Planning Space Implementation\3. Analysis &amp; Design\Design\FC22\DRR Jaime\QUIFA-CAJÚA\Cajua\[CAJUA_CF_SEC_New_27-Feb-2024Rev3.xlsx]D-PNP'!$BZ$27</t>
  </si>
  <si>
    <t>='C:\Users\jaime.benazar\Quorum Business Solutions\Ecopetrol Prometeo - Documents\Planning Space Implementation\3. Analysis &amp; Design\Design\FC22\DRR Jaime\QUIFA-CAJÚA\Cajua\[CAJUA_CF_SEC_New_27-Feb-2024Rev3.xlsx]D-PNP'!$BZ$28</t>
  </si>
  <si>
    <t>='C:\Users\jaime.benazar\Quorum Business Solutions\Ecopetrol Prometeo - Documents\Planning Space Implementation\3. Analysis &amp; Design\Design\FC22\DRR Jaime\QUIFA-CAJÚA\Cajua\[CAJUA_CF_SEC_New_27-Feb-2024Rev3.xlsx]D-PNP'!$BZ$29</t>
  </si>
  <si>
    <t>='C:\Users\jaime.benazar\Quorum Business Solutions\Ecopetrol Prometeo - Documents\Planning Space Implementation\3. Analysis &amp; Design\Design\FC22\DRR Jaime\QUIFA-CAJÚA\Cajua\[CAJUA_CF_SEC_New_27-Feb-2024Rev3.xlsx]D-PNP'!$BZ$30</t>
  </si>
  <si>
    <t>='C:\Users\jaime.benazar\Quorum Business Solutions\Ecopetrol Prometeo - Documents\Planning Space Implementation\3. Analysis &amp; Design\Design\FC22\DRR Jaime\QUIFA-CAJÚA\Cajua\[CAJUA_CF_SEC_New_27-Feb-2024Rev3.xlsx]D-PNP'!$BZ$31</t>
  </si>
  <si>
    <t>='C:\Users\jaime.benazar\Quorum Business Solutions\Ecopetrol Prometeo - Documents\Planning Space Implementation\3. Analysis &amp; Design\Design\FC22\DRR Jaime\QUIFA-CAJÚA\Cajua\[CAJUA_CF_SEC_New_27-Feb-2024Rev3.xlsx]D-PNP'!$BZ$32</t>
  </si>
  <si>
    <t>='C:\Users\jaime.benazar\Quorum Business Solutions\Ecopetrol Prometeo - Documents\Planning Space Implementation\3. Analysis &amp; Design\Design\FC22\DRR Jaime\QUIFA-CAJÚA\Cajua\[CAJUA_CF_SEC_New_27-Feb-2024Rev3.xlsx]D-PNP'!$BZ$33</t>
  </si>
  <si>
    <t>='C:\Users\jaime.benazar\Quorum Business Solutions\Ecopetrol Prometeo - Documents\Planning Space Implementation\3. Analysis &amp; Design\Design\FC22\DRR Jaime\QUIFA-CAJÚA\Cajua\[CAJUA_CF_SEC_New_27-Feb-2024Rev3.xlsx]D-PNP'!$BZ$34</t>
  </si>
  <si>
    <t>='C:\Users\jaime.benazar\Quorum Business Solutions\Ecopetrol Prometeo - Documents\Planning Space Implementation\3. Analysis &amp; Design\Design\FC22\DRR Jaime\QUIFA-CAJÚA\Cajua\[CAJUA_CF_SEC_New_27-Feb-2024Rev3.xlsx]D-PNP'!$BZ$35</t>
  </si>
  <si>
    <t>='C:\Users\jaime.benazar\Quorum Business Solutions\Ecopetrol Prometeo - Documents\Planning Space Implementation\3. Analysis &amp; Design\Design\FC22\DRR Jaime\QUIFA-CAJÚA\Cajua\[CAJUA_CF_SEC_New_27-Feb-2024Rev3.xlsx]D-PNP'!$BZ$36</t>
  </si>
  <si>
    <t>='C:\Users\jaime.benazar\Quorum Business Solutions\Ecopetrol Prometeo - Documents\Planning Space Implementation\3. Analysis &amp; Design\Design\FC22\DRR Jaime\QUIFA-CAJÚA\Cajua\[CAJUA_CF_SEC_New_27-Feb-2024Rev3.xlsx]D-PNP'!$BZ$37</t>
  </si>
  <si>
    <t>='C:\Users\jaime.benazar\Quorum Business Solutions\Ecopetrol Prometeo - Documents\Planning Space Implementation\3. Analysis &amp; Design\Design\FC22\DRR Jaime\QUIFA-CAJÚA\Cajua\[CAJUA_CF_SEC_New_27-Feb-2024Rev3.xlsx]D-PNP'!$BZ$38</t>
  </si>
  <si>
    <t>='C:\Users\jaime.benazar\Quorum Business Solutions\Ecopetrol Prometeo - Documents\Planning Space Implementation\3. Analysis &amp; Design\Design\FC22\DRR Jaime\QUIFA-CAJÚA\Cajua\[CAJUA_CF_SEC_New_27-Feb-2024Rev3.xlsx]D-PNP'!$BZ$39</t>
  </si>
  <si>
    <t>='C:\Users\jaime.benazar\Quorum Business Solutions\Ecopetrol Prometeo - Documents\Planning Space Implementation\3. Analysis &amp; Design\Design\FC22\DRR Jaime\QUIFA-CAJÚA\Cajua\[CAJUA_CF_SEC_New_27-Feb-2024Rev3.xlsx]D-PNP'!$BZ$40</t>
  </si>
  <si>
    <t>='C:\Users\jaime.benazar\Quorum Business Solutions\Ecopetrol Prometeo - Documents\Planning Space Implementation\3. Analysis &amp; Design\Design\FC22\DRR Jaime\QUIFA-CAJÚA\Cajua\[CAJUA_CF_SEC_New_27-Feb-2024Rev3.xlsx]D-PNP'!$BZ$41</t>
  </si>
  <si>
    <t>='C:\Users\jaime.benazar\Quorum Business Solutions\Ecopetrol Prometeo - Documents\Planning Space Implementation\3. Analysis &amp; Design\Design\FC22\DRR Jaime\QUIFA-CAJÚA\Cajua\[CAJUA_CF_SEC_New_27-Feb-2024Rev3.xlsx]D-PNP'!$BZ$42</t>
  </si>
  <si>
    <t>='C:\Users\jaime.benazar\Quorum Business Solutions\Ecopetrol Prometeo - Documents\Planning Space Implementation\3. Analysis &amp; Design\Design\FC22\DRR Jaime\QUIFA-CAJÚA\Cajua\[CAJUA_CF_SEC_New_27-Feb-2024Rev3.xlsx]D-PNP'!$BZ$43</t>
  </si>
  <si>
    <t>='C:\Users\jaime.benazar\Quorum Business Solutions\Ecopetrol Prometeo - Documents\Planning Space Implementation\3. Analysis &amp; Design\Design\FC22\DRR Jaime\QUIFA-CAJÚA\Cajua\[CAJUA_CF_SEC_New_27-Feb-2024Rev3.xlsx]D-PNP'!$BZ$44</t>
  </si>
  <si>
    <t>='C:\Users\jaime.benazar\Quorum Business Solutions\Ecopetrol Prometeo - Documents\Planning Space Implementation\3. Analysis &amp; Design\Design\FC22\DRR Jaime\QUIFA-CAJÚA\Cajua\[CAJUA_CF_SEC_New_27-Feb-2024Rev3.xlsx]D-PNP'!$BZ$45</t>
  </si>
  <si>
    <t>='C:\Users\jaime.benazar\Quorum Business Solutions\Ecopetrol Prometeo - Documents\Planning Space Implementation\3. Analysis &amp; Design\Design\FC22\DRR Jaime\QUIFA-CAJÚA\Cajua\[CAJUA_CF_SEC_New_27-Feb-2024Rev3.xlsx]D-PNP'!$BZ$46</t>
  </si>
  <si>
    <t>='C:\Users\jaime.benazar\Quorum Business Solutions\Ecopetrol Prometeo - Documents\Planning Space Implementation\3. Analysis &amp; Design\Design\FC22\DRR Jaime\QUIFA-CAJÚA\Cajua\[CAJUA_CF_SEC_New_27-Feb-2024Rev3.xlsx]D-PNP'!$BZ$47</t>
  </si>
  <si>
    <t>='C:\Users\jaime.benazar\Quorum Business Solutions\Ecopetrol Prometeo - Documents\Planning Space Implementation\3. Analysis &amp; Design\Design\FC22\DRR Jaime\QUIFA-CAJÚA\Cajua\[CAJUA_CF_SEC_New_27-Feb-2024Rev3.xlsx]D-PNP'!$BZ$48</t>
  </si>
  <si>
    <t>='C:\Users\jaime.benazar\Quorum Business Solutions\Ecopetrol Prometeo - Documents\Planning Space Implementation\3. Analysis &amp; Design\Design\FC22\DRR Jaime\QUIFA-CAJÚA\Cajua\[CAJUA_CF_SEC_New_27-Feb-2024Rev3.xlsx]D-PND'!$BZ$12</t>
  </si>
  <si>
    <t>='C:\Users\jaime.benazar\Quorum Business Solutions\Ecopetrol Prometeo - Documents\Planning Space Implementation\3. Analysis &amp; Design\Design\FC22\DRR Jaime\QUIFA-CAJÚA\Cajua\[CAJUA_CF_SEC_New_27-Feb-2024Rev3.xlsx]D-PND'!$BZ$13</t>
  </si>
  <si>
    <t>='C:\Users\jaime.benazar\Quorum Business Solutions\Ecopetrol Prometeo - Documents\Planning Space Implementation\3. Analysis &amp; Design\Design\FC22\DRR Jaime\QUIFA-CAJÚA\Cajua\[CAJUA_CF_SEC_New_27-Feb-2024Rev3.xlsx]D-PND'!$BZ$14</t>
  </si>
  <si>
    <t>='C:\Users\jaime.benazar\Quorum Business Solutions\Ecopetrol Prometeo - Documents\Planning Space Implementation\3. Analysis &amp; Design\Design\FC22\DRR Jaime\QUIFA-CAJÚA\Cajua\[CAJUA_CF_SEC_New_27-Feb-2024Rev3.xlsx]D-PND'!$BZ$15</t>
  </si>
  <si>
    <t>='C:\Users\jaime.benazar\Quorum Business Solutions\Ecopetrol Prometeo - Documents\Planning Space Implementation\3. Analysis &amp; Design\Design\FC22\DRR Jaime\QUIFA-CAJÚA\Cajua\[CAJUA_CF_SEC_New_27-Feb-2024Rev3.xlsx]D-PND'!$BZ$16</t>
  </si>
  <si>
    <t>='C:\Users\jaime.benazar\Quorum Business Solutions\Ecopetrol Prometeo - Documents\Planning Space Implementation\3. Analysis &amp; Design\Design\FC22\DRR Jaime\QUIFA-CAJÚA\Cajua\[CAJUA_CF_SEC_New_27-Feb-2024Rev3.xlsx]D-PND'!$BZ$17</t>
  </si>
  <si>
    <t>='C:\Users\jaime.benazar\Quorum Business Solutions\Ecopetrol Prometeo - Documents\Planning Space Implementation\3. Analysis &amp; Design\Design\FC22\DRR Jaime\QUIFA-CAJÚA\Cajua\[CAJUA_CF_SEC_New_27-Feb-2024Rev3.xlsx]D-PND'!$BZ$18</t>
  </si>
  <si>
    <t>='C:\Users\jaime.benazar\Quorum Business Solutions\Ecopetrol Prometeo - Documents\Planning Space Implementation\3. Analysis &amp; Design\Design\FC22\DRR Jaime\QUIFA-CAJÚA\Cajua\[CAJUA_CF_SEC_New_27-Feb-2024Rev3.xlsx]D-PND'!$BZ$19</t>
  </si>
  <si>
    <t>='C:\Users\jaime.benazar\Quorum Business Solutions\Ecopetrol Prometeo - Documents\Planning Space Implementation\3. Analysis &amp; Design\Design\FC22\DRR Jaime\QUIFA-CAJÚA\Cajua\[CAJUA_CF_SEC_New_27-Feb-2024Rev3.xlsx]D-PND'!$BZ$20</t>
  </si>
  <si>
    <t>='C:\Users\jaime.benazar\Quorum Business Solutions\Ecopetrol Prometeo - Documents\Planning Space Implementation\3. Analysis &amp; Design\Design\FC22\DRR Jaime\QUIFA-CAJÚA\Cajua\[CAJUA_CF_SEC_New_27-Feb-2024Rev3.xlsx]D-PND'!$BZ$21</t>
  </si>
  <si>
    <t>='C:\Users\jaime.benazar\Quorum Business Solutions\Ecopetrol Prometeo - Documents\Planning Space Implementation\3. Analysis &amp; Design\Design\FC22\DRR Jaime\QUIFA-CAJÚA\Cajua\[CAJUA_CF_SEC_New_27-Feb-2024Rev3.xlsx]D-PND'!$BZ$22</t>
  </si>
  <si>
    <t>='C:\Users\jaime.benazar\Quorum Business Solutions\Ecopetrol Prometeo - Documents\Planning Space Implementation\3. Analysis &amp; Design\Design\FC22\DRR Jaime\QUIFA-CAJÚA\Cajua\[CAJUA_CF_SEC_New_27-Feb-2024Rev3.xlsx]D-PND'!$BZ$23</t>
  </si>
  <si>
    <t>='C:\Users\jaime.benazar\Quorum Business Solutions\Ecopetrol Prometeo - Documents\Planning Space Implementation\3. Analysis &amp; Design\Design\FC22\DRR Jaime\QUIFA-CAJÚA\Cajua\[CAJUA_CF_SEC_New_27-Feb-2024Rev3.xlsx]D-PND'!$BZ$24</t>
  </si>
  <si>
    <t>='C:\Users\jaime.benazar\Quorum Business Solutions\Ecopetrol Prometeo - Documents\Planning Space Implementation\3. Analysis &amp; Design\Design\FC22\DRR Jaime\QUIFA-CAJÚA\Cajua\[CAJUA_CF_SEC_New_27-Feb-2024Rev3.xlsx]D-PND'!$BZ$25</t>
  </si>
  <si>
    <t>='C:\Users\jaime.benazar\Quorum Business Solutions\Ecopetrol Prometeo - Documents\Planning Space Implementation\3. Analysis &amp; Design\Design\FC22\DRR Jaime\QUIFA-CAJÚA\Cajua\[CAJUA_CF_SEC_New_27-Feb-2024Rev3.xlsx]D-PND'!$BZ$26</t>
  </si>
  <si>
    <t>='C:\Users\jaime.benazar\Quorum Business Solutions\Ecopetrol Prometeo - Documents\Planning Space Implementation\3. Analysis &amp; Design\Design\FC22\DRR Jaime\QUIFA-CAJÚA\Cajua\[CAJUA_CF_SEC_New_27-Feb-2024Rev3.xlsx]D-PND'!$BZ$27</t>
  </si>
  <si>
    <t>='C:\Users\jaime.benazar\Quorum Business Solutions\Ecopetrol Prometeo - Documents\Planning Space Implementation\3. Analysis &amp; Design\Design\FC22\DRR Jaime\QUIFA-CAJÚA\Cajua\[CAJUA_CF_SEC_New_27-Feb-2024Rev3.xlsx]D-PND'!$BZ$28</t>
  </si>
  <si>
    <t>='C:\Users\jaime.benazar\Quorum Business Solutions\Ecopetrol Prometeo - Documents\Planning Space Implementation\3. Analysis &amp; Design\Design\FC22\DRR Jaime\QUIFA-CAJÚA\Cajua\[CAJUA_CF_SEC_New_27-Feb-2024Rev3.xlsx]D-PND'!$BZ$29</t>
  </si>
  <si>
    <t>='C:\Users\jaime.benazar\Quorum Business Solutions\Ecopetrol Prometeo - Documents\Planning Space Implementation\3. Analysis &amp; Design\Design\FC22\DRR Jaime\QUIFA-CAJÚA\Cajua\[CAJUA_CF_SEC_New_27-Feb-2024Rev3.xlsx]D-PND'!$BZ$30</t>
  </si>
  <si>
    <t>='C:\Users\jaime.benazar\Quorum Business Solutions\Ecopetrol Prometeo - Documents\Planning Space Implementation\3. Analysis &amp; Design\Design\FC22\DRR Jaime\QUIFA-CAJÚA\Cajua\[CAJUA_CF_SEC_New_27-Feb-2024Rev3.xlsx]D-PND'!$BZ$31</t>
  </si>
  <si>
    <t>='C:\Users\jaime.benazar\Quorum Business Solutions\Ecopetrol Prometeo - Documents\Planning Space Implementation\3. Analysis &amp; Design\Design\FC22\DRR Jaime\QUIFA-CAJÚA\Cajua\[CAJUA_CF_SEC_New_27-Feb-2024Rev3.xlsx]D-PND'!$BZ$32</t>
  </si>
  <si>
    <t>='C:\Users\jaime.benazar\Quorum Business Solutions\Ecopetrol Prometeo - Documents\Planning Space Implementation\3. Analysis &amp; Design\Design\FC22\DRR Jaime\QUIFA-CAJÚA\Cajua\[CAJUA_CF_SEC_New_27-Feb-2024Rev3.xlsx]D-PND'!$BZ$33</t>
  </si>
  <si>
    <t>='C:\Users\jaime.benazar\Quorum Business Solutions\Ecopetrol Prometeo - Documents\Planning Space Implementation\3. Analysis &amp; Design\Design\FC22\DRR Jaime\QUIFA-CAJÚA\Cajua\[CAJUA_CF_SEC_New_27-Feb-2024Rev3.xlsx]D-PND'!$BZ$34</t>
  </si>
  <si>
    <t>='C:\Users\jaime.benazar\Quorum Business Solutions\Ecopetrol Prometeo - Documents\Planning Space Implementation\3. Analysis &amp; Design\Design\FC22\DRR Jaime\QUIFA-CAJÚA\Cajua\[CAJUA_CF_SEC_New_27-Feb-2024Rev3.xlsx]D-PND'!$BZ$35</t>
  </si>
  <si>
    <t>='C:\Users\jaime.benazar\Quorum Business Solutions\Ecopetrol Prometeo - Documents\Planning Space Implementation\3. Analysis &amp; Design\Design\FC22\DRR Jaime\QUIFA-CAJÚA\Cajua\[CAJUA_CF_SEC_New_27-Feb-2024Rev3.xlsx]D-PND'!$BZ$36</t>
  </si>
  <si>
    <t>='C:\Users\jaime.benazar\Quorum Business Solutions\Ecopetrol Prometeo - Documents\Planning Space Implementation\3. Analysis &amp; Design\Design\FC22\DRR Jaime\QUIFA-CAJÚA\Cajua\[CAJUA_CF_SEC_New_27-Feb-2024Rev3.xlsx]D-PND'!$BZ$37</t>
  </si>
  <si>
    <t>='C:\Users\jaime.benazar\Quorum Business Solutions\Ecopetrol Prometeo - Documents\Planning Space Implementation\3. Analysis &amp; Design\Design\FC22\DRR Jaime\QUIFA-CAJÚA\Cajua\[CAJUA_CF_SEC_New_27-Feb-2024Rev3.xlsx]D-PND'!$BZ$38</t>
  </si>
  <si>
    <t>='C:\Users\jaime.benazar\Quorum Business Solutions\Ecopetrol Prometeo - Documents\Planning Space Implementation\3. Analysis &amp; Design\Design\FC22\DRR Jaime\QUIFA-CAJÚA\Cajua\[CAJUA_CF_SEC_New_27-Feb-2024Rev3.xlsx]D-PND'!$BZ$39</t>
  </si>
  <si>
    <t>='C:\Users\jaime.benazar\Quorum Business Solutions\Ecopetrol Prometeo - Documents\Planning Space Implementation\3. Analysis &amp; Design\Design\FC22\DRR Jaime\QUIFA-CAJÚA\Cajua\[CAJUA_CF_SEC_New_27-Feb-2024Rev3.xlsx]D-PND'!$BZ$40</t>
  </si>
  <si>
    <t>='C:\Users\jaime.benazar\Quorum Business Solutions\Ecopetrol Prometeo - Documents\Planning Space Implementation\3. Analysis &amp; Design\Design\FC22\DRR Jaime\QUIFA-CAJÚA\Cajua\[CAJUA_CF_SEC_New_27-Feb-2024Rev3.xlsx]D-PND'!$BZ$41</t>
  </si>
  <si>
    <t>='C:\Users\jaime.benazar\Quorum Business Solutions\Ecopetrol Prometeo - Documents\Planning Space Implementation\3. Analysis &amp; Design\Design\FC22\DRR Jaime\QUIFA-CAJÚA\Cajua\[CAJUA_CF_SEC_New_27-Feb-2024Rev3.xlsx]D-PND'!$BZ$42</t>
  </si>
  <si>
    <t>='C:\Users\jaime.benazar\Quorum Business Solutions\Ecopetrol Prometeo - Documents\Planning Space Implementation\3. Analysis &amp; Design\Design\FC22\DRR Jaime\QUIFA-CAJÚA\Cajua\[CAJUA_CF_SEC_New_27-Feb-2024Rev3.xlsx]D-PND'!$BZ$43</t>
  </si>
  <si>
    <t>='C:\Users\jaime.benazar\Quorum Business Solutions\Ecopetrol Prometeo - Documents\Planning Space Implementation\3. Analysis &amp; Design\Design\FC22\DRR Jaime\QUIFA-CAJÚA\Cajua\[CAJUA_CF_SEC_New_27-Feb-2024Rev3.xlsx]D-PND'!$BZ$44</t>
  </si>
  <si>
    <t>='C:\Users\jaime.benazar\Quorum Business Solutions\Ecopetrol Prometeo - Documents\Planning Space Implementation\3. Analysis &amp; Design\Design\FC22\DRR Jaime\QUIFA-CAJÚA\Cajua\[CAJUA_CF_SEC_New_27-Feb-2024Rev3.xlsx]D-PND'!$BZ$45</t>
  </si>
  <si>
    <t>='C:\Users\jaime.benazar\Quorum Business Solutions\Ecopetrol Prometeo - Documents\Planning Space Implementation\3. Analysis &amp; Design\Design\FC22\DRR Jaime\QUIFA-CAJÚA\Cajua\[CAJUA_CF_SEC_New_27-Feb-2024Rev3.xlsx]D-PND'!$BZ$46</t>
  </si>
  <si>
    <t>='C:\Users\jaime.benazar\Quorum Business Solutions\Ecopetrol Prometeo - Documents\Planning Space Implementation\3. Analysis &amp; Design\Design\FC22\DRR Jaime\QUIFA-CAJÚA\Cajua\[CAJUA_CF_SEC_New_27-Feb-2024Rev3.xlsx]D-PND'!$BZ$47</t>
  </si>
  <si>
    <t>='C:\Users\jaime.benazar\Quorum Business Solutions\Ecopetrol Prometeo - Documents\Planning Space Implementation\3. Analysis &amp; Design\Design\FC22\DRR Jaime\QUIFA-CAJÚA\Cajua\[CAJUA_CF_SEC_New_27-Feb-2024Rev3.xlsx]D-PND'!$BZ$48</t>
  </si>
  <si>
    <t>='C:\Users\jaime.benazar\Quorum Business Solutions\Ecopetrol Prometeo - Documents\Planning Space Implementation\3. Analysis &amp; Design\Design\FC22\DRR Jaime\QUIFA-CAJÚA\Cajua\[CAJUA_CF_SEC_New_27-Feb-2024Rev3.xlsx]D-PRB'!$BZ$12</t>
  </si>
  <si>
    <t>='C:\Users\jaime.benazar\Quorum Business Solutions\Ecopetrol Prometeo - Documents\Planning Space Implementation\3. Analysis &amp; Design\Design\FC22\DRR Jaime\QUIFA-CAJÚA\Cajua\[CAJUA_CF_SEC_New_27-Feb-2024Rev3.xlsx]D-PRB'!$BZ$13</t>
  </si>
  <si>
    <t>='C:\Users\jaime.benazar\Quorum Business Solutions\Ecopetrol Prometeo - Documents\Planning Space Implementation\3. Analysis &amp; Design\Design\FC22\DRR Jaime\QUIFA-CAJÚA\Cajua\[CAJUA_CF_SEC_New_27-Feb-2024Rev3.xlsx]D-PRB'!$BZ$14</t>
  </si>
  <si>
    <t>='C:\Users\jaime.benazar\Quorum Business Solutions\Ecopetrol Prometeo - Documents\Planning Space Implementation\3. Analysis &amp; Design\Design\FC22\DRR Jaime\QUIFA-CAJÚA\Cajua\[CAJUA_CF_SEC_New_27-Feb-2024Rev3.xlsx]D-PRB'!$BZ$15</t>
  </si>
  <si>
    <t>='C:\Users\jaime.benazar\Quorum Business Solutions\Ecopetrol Prometeo - Documents\Planning Space Implementation\3. Analysis &amp; Design\Design\FC22\DRR Jaime\QUIFA-CAJÚA\Cajua\[CAJUA_CF_SEC_New_27-Feb-2024Rev3.xlsx]D-PRB'!$BZ$16</t>
  </si>
  <si>
    <t>='C:\Users\jaime.benazar\Quorum Business Solutions\Ecopetrol Prometeo - Documents\Planning Space Implementation\3. Analysis &amp; Design\Design\FC22\DRR Jaime\QUIFA-CAJÚA\Cajua\[CAJUA_CF_SEC_New_27-Feb-2024Rev3.xlsx]D-PRB'!$BZ$17</t>
  </si>
  <si>
    <t>='C:\Users\jaime.benazar\Quorum Business Solutions\Ecopetrol Prometeo - Documents\Planning Space Implementation\3. Analysis &amp; Design\Design\FC22\DRR Jaime\QUIFA-CAJÚA\Cajua\[CAJUA_CF_SEC_New_27-Feb-2024Rev3.xlsx]D-PRB'!$BZ$18</t>
  </si>
  <si>
    <t>='C:\Users\jaime.benazar\Quorum Business Solutions\Ecopetrol Prometeo - Documents\Planning Space Implementation\3. Analysis &amp; Design\Design\FC22\DRR Jaime\QUIFA-CAJÚA\Cajua\[CAJUA_CF_SEC_New_27-Feb-2024Rev3.xlsx]D-PRB'!$BZ$19</t>
  </si>
  <si>
    <t>='C:\Users\jaime.benazar\Quorum Business Solutions\Ecopetrol Prometeo - Documents\Planning Space Implementation\3. Analysis &amp; Design\Design\FC22\DRR Jaime\QUIFA-CAJÚA\Cajua\[CAJUA_CF_SEC_New_27-Feb-2024Rev3.xlsx]D-PRB'!$BZ$20</t>
  </si>
  <si>
    <t>='C:\Users\jaime.benazar\Quorum Business Solutions\Ecopetrol Prometeo - Documents\Planning Space Implementation\3. Analysis &amp; Design\Design\FC22\DRR Jaime\QUIFA-CAJÚA\Cajua\[CAJUA_CF_SEC_New_27-Feb-2024Rev3.xlsx]D-PRB'!$BZ$21</t>
  </si>
  <si>
    <t>='C:\Users\jaime.benazar\Quorum Business Solutions\Ecopetrol Prometeo - Documents\Planning Space Implementation\3. Analysis &amp; Design\Design\FC22\DRR Jaime\QUIFA-CAJÚA\Cajua\[CAJUA_CF_SEC_New_27-Feb-2024Rev3.xlsx]D-PRB'!$BZ$22</t>
  </si>
  <si>
    <t>='C:\Users\jaime.benazar\Quorum Business Solutions\Ecopetrol Prometeo - Documents\Planning Space Implementation\3. Analysis &amp; Design\Design\FC22\DRR Jaime\QUIFA-CAJÚA\Cajua\[CAJUA_CF_SEC_New_27-Feb-2024Rev3.xlsx]D-PRB'!$BZ$23</t>
  </si>
  <si>
    <t>='C:\Users\jaime.benazar\Quorum Business Solutions\Ecopetrol Prometeo - Documents\Planning Space Implementation\3. Analysis &amp; Design\Design\FC22\DRR Jaime\QUIFA-CAJÚA\Cajua\[CAJUA_CF_SEC_New_27-Feb-2024Rev3.xlsx]D-PRB'!$BZ$24</t>
  </si>
  <si>
    <t>='C:\Users\jaime.benazar\Quorum Business Solutions\Ecopetrol Prometeo - Documents\Planning Space Implementation\3. Analysis &amp; Design\Design\FC22\DRR Jaime\QUIFA-CAJÚA\Cajua\[CAJUA_CF_SEC_New_27-Feb-2024Rev3.xlsx]D-PRB'!$BZ$25</t>
  </si>
  <si>
    <t>='C:\Users\jaime.benazar\Quorum Business Solutions\Ecopetrol Prometeo - Documents\Planning Space Implementation\3. Analysis &amp; Design\Design\FC22\DRR Jaime\QUIFA-CAJÚA\Cajua\[CAJUA_CF_SEC_New_27-Feb-2024Rev3.xlsx]D-PRB'!$BZ$26</t>
  </si>
  <si>
    <t>='C:\Users\jaime.benazar\Quorum Business Solutions\Ecopetrol Prometeo - Documents\Planning Space Implementation\3. Analysis &amp; Design\Design\FC22\DRR Jaime\QUIFA-CAJÚA\Cajua\[CAJUA_CF_SEC_New_27-Feb-2024Rev3.xlsx]D-PRB'!$BZ$27</t>
  </si>
  <si>
    <t>='C:\Users\jaime.benazar\Quorum Business Solutions\Ecopetrol Prometeo - Documents\Planning Space Implementation\3. Analysis &amp; Design\Design\FC22\DRR Jaime\QUIFA-CAJÚA\Cajua\[CAJUA_CF_SEC_New_27-Feb-2024Rev3.xlsx]D-PRB'!$BZ$28</t>
  </si>
  <si>
    <t>='C:\Users\jaime.benazar\Quorum Business Solutions\Ecopetrol Prometeo - Documents\Planning Space Implementation\3. Analysis &amp; Design\Design\FC22\DRR Jaime\QUIFA-CAJÚA\Cajua\[CAJUA_CF_SEC_New_27-Feb-2024Rev3.xlsx]D-PRB'!$BZ$29</t>
  </si>
  <si>
    <t>='C:\Users\jaime.benazar\Quorum Business Solutions\Ecopetrol Prometeo - Documents\Planning Space Implementation\3. Analysis &amp; Design\Design\FC22\DRR Jaime\QUIFA-CAJÚA\Cajua\[CAJUA_CF_SEC_New_27-Feb-2024Rev3.xlsx]D-PRB'!$BZ$30</t>
  </si>
  <si>
    <t>='C:\Users\jaime.benazar\Quorum Business Solutions\Ecopetrol Prometeo - Documents\Planning Space Implementation\3. Analysis &amp; Design\Design\FC22\DRR Jaime\QUIFA-CAJÚA\Cajua\[CAJUA_CF_SEC_New_27-Feb-2024Rev3.xlsx]D-PRB'!$BZ$31</t>
  </si>
  <si>
    <t>='C:\Users\jaime.benazar\Quorum Business Solutions\Ecopetrol Prometeo - Documents\Planning Space Implementation\3. Analysis &amp; Design\Design\FC22\DRR Jaime\QUIFA-CAJÚA\Cajua\[CAJUA_CF_SEC_New_27-Feb-2024Rev3.xlsx]D-PRB'!$BZ$32</t>
  </si>
  <si>
    <t>='C:\Users\jaime.benazar\Quorum Business Solutions\Ecopetrol Prometeo - Documents\Planning Space Implementation\3. Analysis &amp; Design\Design\FC22\DRR Jaime\QUIFA-CAJÚA\Cajua\[CAJUA_CF_SEC_New_27-Feb-2024Rev3.xlsx]D-PRB'!$BZ$33</t>
  </si>
  <si>
    <t>='C:\Users\jaime.benazar\Quorum Business Solutions\Ecopetrol Prometeo - Documents\Planning Space Implementation\3. Analysis &amp; Design\Design\FC22\DRR Jaime\QUIFA-CAJÚA\Cajua\[CAJUA_CF_SEC_New_27-Feb-2024Rev3.xlsx]D-PRB'!$BZ$34</t>
  </si>
  <si>
    <t>='C:\Users\jaime.benazar\Quorum Business Solutions\Ecopetrol Prometeo - Documents\Planning Space Implementation\3. Analysis &amp; Design\Design\FC22\DRR Jaime\QUIFA-CAJÚA\Cajua\[CAJUA_CF_SEC_New_27-Feb-2024Rev3.xlsx]D-PRB'!$BZ$35</t>
  </si>
  <si>
    <t>='C:\Users\jaime.benazar\Quorum Business Solutions\Ecopetrol Prometeo - Documents\Planning Space Implementation\3. Analysis &amp; Design\Design\FC22\DRR Jaime\QUIFA-CAJÚA\Cajua\[CAJUA_CF_SEC_New_27-Feb-2024Rev3.xlsx]D-PRB'!$BZ$36</t>
  </si>
  <si>
    <t>='C:\Users\jaime.benazar\Quorum Business Solutions\Ecopetrol Prometeo - Documents\Planning Space Implementation\3. Analysis &amp; Design\Design\FC22\DRR Jaime\QUIFA-CAJÚA\Cajua\[CAJUA_CF_SEC_New_27-Feb-2024Rev3.xlsx]D-PRB'!$BZ$37</t>
  </si>
  <si>
    <t>='C:\Users\jaime.benazar\Quorum Business Solutions\Ecopetrol Prometeo - Documents\Planning Space Implementation\3. Analysis &amp; Design\Design\FC22\DRR Jaime\QUIFA-CAJÚA\Cajua\[CAJUA_CF_SEC_New_27-Feb-2024Rev3.xlsx]D-PRB'!$BZ$38</t>
  </si>
  <si>
    <t>='C:\Users\jaime.benazar\Quorum Business Solutions\Ecopetrol Prometeo - Documents\Planning Space Implementation\3. Analysis &amp; Design\Design\FC22\DRR Jaime\QUIFA-CAJÚA\Cajua\[CAJUA_CF_SEC_New_27-Feb-2024Rev3.xlsx]D-PRB'!$BZ$39</t>
  </si>
  <si>
    <t>='C:\Users\jaime.benazar\Quorum Business Solutions\Ecopetrol Prometeo - Documents\Planning Space Implementation\3. Analysis &amp; Design\Design\FC22\DRR Jaime\QUIFA-CAJÚA\Cajua\[CAJUA_CF_SEC_New_27-Feb-2024Rev3.xlsx]D-PRB'!$BZ$40</t>
  </si>
  <si>
    <t>='C:\Users\jaime.benazar\Quorum Business Solutions\Ecopetrol Prometeo - Documents\Planning Space Implementation\3. Analysis &amp; Design\Design\FC22\DRR Jaime\QUIFA-CAJÚA\Cajua\[CAJUA_CF_SEC_New_27-Feb-2024Rev3.xlsx]D-PRB'!$BZ$41</t>
  </si>
  <si>
    <t>='C:\Users\jaime.benazar\Quorum Business Solutions\Ecopetrol Prometeo - Documents\Planning Space Implementation\3. Analysis &amp; Design\Design\FC22\DRR Jaime\QUIFA-CAJÚA\Cajua\[CAJUA_CF_SEC_New_27-Feb-2024Rev3.xlsx]D-PRB'!$BZ$42</t>
  </si>
  <si>
    <t>='C:\Users\jaime.benazar\Quorum Business Solutions\Ecopetrol Prometeo - Documents\Planning Space Implementation\3. Analysis &amp; Design\Design\FC22\DRR Jaime\QUIFA-CAJÚA\Cajua\[CAJUA_CF_SEC_New_27-Feb-2024Rev3.xlsx]D-PRB'!$BZ$43</t>
  </si>
  <si>
    <t>='C:\Users\jaime.benazar\Quorum Business Solutions\Ecopetrol Prometeo - Documents\Planning Space Implementation\3. Analysis &amp; Design\Design\FC22\DRR Jaime\QUIFA-CAJÚA\Cajua\[CAJUA_CF_SEC_New_27-Feb-2024Rev3.xlsx]D-PRB'!$BZ$44</t>
  </si>
  <si>
    <t>='C:\Users\jaime.benazar\Quorum Business Solutions\Ecopetrol Prometeo - Documents\Planning Space Implementation\3. Analysis &amp; Design\Design\FC22\DRR Jaime\QUIFA-CAJÚA\Cajua\[CAJUA_CF_SEC_New_27-Feb-2024Rev3.xlsx]D-PRB'!$BZ$45</t>
  </si>
  <si>
    <t>='C:\Users\jaime.benazar\Quorum Business Solutions\Ecopetrol Prometeo - Documents\Planning Space Implementation\3. Analysis &amp; Design\Design\FC22\DRR Jaime\QUIFA-CAJÚA\Cajua\[CAJUA_CF_SEC_New_27-Feb-2024Rev3.xlsx]D-PRB'!$BZ$46</t>
  </si>
  <si>
    <t>='C:\Users\jaime.benazar\Quorum Business Solutions\Ecopetrol Prometeo - Documents\Planning Space Implementation\3. Analysis &amp; Design\Design\FC22\DRR Jaime\QUIFA-CAJÚA\Cajua\[CAJUA_CF_SEC_New_27-Feb-2024Rev3.xlsx]D-PRB'!$BZ$47</t>
  </si>
  <si>
    <t>='C:\Users\jaime.benazar\Quorum Business Solutions\Ecopetrol Prometeo - Documents\Planning Space Implementation\3. Analysis &amp; Design\Design\FC22\DRR Jaime\QUIFA-CAJÚA\Cajua\[CAJUA_CF_SEC_New_27-Feb-2024Rev3.xlsx]D-PRB'!$BZ$48</t>
  </si>
  <si>
    <t>='C:\Users\jaime.benazar\Quorum Business Solutions\Ecopetrol Prometeo - Documents\Planning Space Implementation\3. Analysis &amp; Design\Design\FC22\DRR Jaime\QUIFA-CAJÚA\Cajua\[CAJUA_CF_SEC_New_27-Feb-2024Rev3.xlsx]D-PS'!$BZ$12</t>
  </si>
  <si>
    <t>='C:\Users\jaime.benazar\Quorum Business Solutions\Ecopetrol Prometeo - Documents\Planning Space Implementation\3. Analysis &amp; Design\Design\FC22\DRR Jaime\QUIFA-CAJÚA\Cajua\[CAJUA_CF_SEC_New_27-Feb-2024Rev3.xlsx]D-PS'!$BZ$13</t>
  </si>
  <si>
    <t>='C:\Users\jaime.benazar\Quorum Business Solutions\Ecopetrol Prometeo - Documents\Planning Space Implementation\3. Analysis &amp; Design\Design\FC22\DRR Jaime\QUIFA-CAJÚA\Cajua\[CAJUA_CF_SEC_New_27-Feb-2024Rev3.xlsx]D-PS'!$BZ$14</t>
  </si>
  <si>
    <t>='C:\Users\jaime.benazar\Quorum Business Solutions\Ecopetrol Prometeo - Documents\Planning Space Implementation\3. Analysis &amp; Design\Design\FC22\DRR Jaime\QUIFA-CAJÚA\Cajua\[CAJUA_CF_SEC_New_27-Feb-2024Rev3.xlsx]D-PS'!$BZ$15</t>
  </si>
  <si>
    <t>='C:\Users\jaime.benazar\Quorum Business Solutions\Ecopetrol Prometeo - Documents\Planning Space Implementation\3. Analysis &amp; Design\Design\FC22\DRR Jaime\QUIFA-CAJÚA\Cajua\[CAJUA_CF_SEC_New_27-Feb-2024Rev3.xlsx]D-PS'!$BZ$16</t>
  </si>
  <si>
    <t>='C:\Users\jaime.benazar\Quorum Business Solutions\Ecopetrol Prometeo - Documents\Planning Space Implementation\3. Analysis &amp; Design\Design\FC22\DRR Jaime\QUIFA-CAJÚA\Cajua\[CAJUA_CF_SEC_New_27-Feb-2024Rev3.xlsx]D-PS'!$BZ$17</t>
  </si>
  <si>
    <t>='C:\Users\jaime.benazar\Quorum Business Solutions\Ecopetrol Prometeo - Documents\Planning Space Implementation\3. Analysis &amp; Design\Design\FC22\DRR Jaime\QUIFA-CAJÚA\Cajua\[CAJUA_CF_SEC_New_27-Feb-2024Rev3.xlsx]D-PS'!$BZ$18</t>
  </si>
  <si>
    <t>='C:\Users\jaime.benazar\Quorum Business Solutions\Ecopetrol Prometeo - Documents\Planning Space Implementation\3. Analysis &amp; Design\Design\FC22\DRR Jaime\QUIFA-CAJÚA\Cajua\[CAJUA_CF_SEC_New_27-Feb-2024Rev3.xlsx]D-PS'!$BZ$19</t>
  </si>
  <si>
    <t>='C:\Users\jaime.benazar\Quorum Business Solutions\Ecopetrol Prometeo - Documents\Planning Space Implementation\3. Analysis &amp; Design\Design\FC22\DRR Jaime\QUIFA-CAJÚA\Cajua\[CAJUA_CF_SEC_New_27-Feb-2024Rev3.xlsx]D-PS'!$BZ$20</t>
  </si>
  <si>
    <t>='C:\Users\jaime.benazar\Quorum Business Solutions\Ecopetrol Prometeo - Documents\Planning Space Implementation\3. Analysis &amp; Design\Design\FC22\DRR Jaime\QUIFA-CAJÚA\Cajua\[CAJUA_CF_SEC_New_27-Feb-2024Rev3.xlsx]D-PS'!$BZ$21</t>
  </si>
  <si>
    <t>='C:\Users\jaime.benazar\Quorum Business Solutions\Ecopetrol Prometeo - Documents\Planning Space Implementation\3. Analysis &amp; Design\Design\FC22\DRR Jaime\QUIFA-CAJÚA\Cajua\[CAJUA_CF_SEC_New_27-Feb-2024Rev3.xlsx]D-PS'!$BZ$22</t>
  </si>
  <si>
    <t>='C:\Users\jaime.benazar\Quorum Business Solutions\Ecopetrol Prometeo - Documents\Planning Space Implementation\3. Analysis &amp; Design\Design\FC22\DRR Jaime\QUIFA-CAJÚA\Cajua\[CAJUA_CF_SEC_New_27-Feb-2024Rev3.xlsx]D-PS'!$BZ$23</t>
  </si>
  <si>
    <t>='C:\Users\jaime.benazar\Quorum Business Solutions\Ecopetrol Prometeo - Documents\Planning Space Implementation\3. Analysis &amp; Design\Design\FC22\DRR Jaime\QUIFA-CAJÚA\Cajua\[CAJUA_CF_SEC_New_27-Feb-2024Rev3.xlsx]D-PS'!$BZ$24</t>
  </si>
  <si>
    <t>='C:\Users\jaime.benazar\Quorum Business Solutions\Ecopetrol Prometeo - Documents\Planning Space Implementation\3. Analysis &amp; Design\Design\FC22\DRR Jaime\QUIFA-CAJÚA\Cajua\[CAJUA_CF_SEC_New_27-Feb-2024Rev3.xlsx]D-PS'!$BZ$25</t>
  </si>
  <si>
    <t>='C:\Users\jaime.benazar\Quorum Business Solutions\Ecopetrol Prometeo - Documents\Planning Space Implementation\3. Analysis &amp; Design\Design\FC22\DRR Jaime\QUIFA-CAJÚA\Cajua\[CAJUA_CF_SEC_New_27-Feb-2024Rev3.xlsx]D-PS'!$BZ$26</t>
  </si>
  <si>
    <t>='C:\Users\jaime.benazar\Quorum Business Solutions\Ecopetrol Prometeo - Documents\Planning Space Implementation\3. Analysis &amp; Design\Design\FC22\DRR Jaime\QUIFA-CAJÚA\Cajua\[CAJUA_CF_SEC_New_27-Feb-2024Rev3.xlsx]D-PS'!$BZ$27</t>
  </si>
  <si>
    <t>='C:\Users\jaime.benazar\Quorum Business Solutions\Ecopetrol Prometeo - Documents\Planning Space Implementation\3. Analysis &amp; Design\Design\FC22\DRR Jaime\QUIFA-CAJÚA\Cajua\[CAJUA_CF_SEC_New_27-Feb-2024Rev3.xlsx]D-PS'!$BZ$28</t>
  </si>
  <si>
    <t>='C:\Users\jaime.benazar\Quorum Business Solutions\Ecopetrol Prometeo - Documents\Planning Space Implementation\3. Analysis &amp; Design\Design\FC22\DRR Jaime\QUIFA-CAJÚA\Cajua\[CAJUA_CF_SEC_New_27-Feb-2024Rev3.xlsx]D-PS'!$BZ$29</t>
  </si>
  <si>
    <t>='C:\Users\jaime.benazar\Quorum Business Solutions\Ecopetrol Prometeo - Documents\Planning Space Implementation\3. Analysis &amp; Design\Design\FC22\DRR Jaime\QUIFA-CAJÚA\Cajua\[CAJUA_CF_SEC_New_27-Feb-2024Rev3.xlsx]D-PS'!$BZ$30</t>
  </si>
  <si>
    <t>='C:\Users\jaime.benazar\Quorum Business Solutions\Ecopetrol Prometeo - Documents\Planning Space Implementation\3. Analysis &amp; Design\Design\FC22\DRR Jaime\QUIFA-CAJÚA\Cajua\[CAJUA_CF_SEC_New_27-Feb-2024Rev3.xlsx]D-PS'!$BZ$31</t>
  </si>
  <si>
    <t>='C:\Users\jaime.benazar\Quorum Business Solutions\Ecopetrol Prometeo - Documents\Planning Space Implementation\3. Analysis &amp; Design\Design\FC22\DRR Jaime\QUIFA-CAJÚA\Cajua\[CAJUA_CF_SEC_New_27-Feb-2024Rev3.xlsx]D-PS'!$BZ$32</t>
  </si>
  <si>
    <t>='C:\Users\jaime.benazar\Quorum Business Solutions\Ecopetrol Prometeo - Documents\Planning Space Implementation\3. Analysis &amp; Design\Design\FC22\DRR Jaime\QUIFA-CAJÚA\Cajua\[CAJUA_CF_SEC_New_27-Feb-2024Rev3.xlsx]D-PS'!$BZ$33</t>
  </si>
  <si>
    <t>='C:\Users\jaime.benazar\Quorum Business Solutions\Ecopetrol Prometeo - Documents\Planning Space Implementation\3. Analysis &amp; Design\Design\FC22\DRR Jaime\QUIFA-CAJÚA\Cajua\[CAJUA_CF_SEC_New_27-Feb-2024Rev3.xlsx]D-PS'!$BZ$34</t>
  </si>
  <si>
    <t>='C:\Users\jaime.benazar\Quorum Business Solutions\Ecopetrol Prometeo - Documents\Planning Space Implementation\3. Analysis &amp; Design\Design\FC22\DRR Jaime\QUIFA-CAJÚA\Cajua\[CAJUA_CF_SEC_New_27-Feb-2024Rev3.xlsx]D-PS'!$BZ$35</t>
  </si>
  <si>
    <t>='C:\Users\jaime.benazar\Quorum Business Solutions\Ecopetrol Prometeo - Documents\Planning Space Implementation\3. Analysis &amp; Design\Design\FC22\DRR Jaime\QUIFA-CAJÚA\Cajua\[CAJUA_CF_SEC_New_27-Feb-2024Rev3.xlsx]D-PS'!$BZ$36</t>
  </si>
  <si>
    <t>='C:\Users\jaime.benazar\Quorum Business Solutions\Ecopetrol Prometeo - Documents\Planning Space Implementation\3. Analysis &amp; Design\Design\FC22\DRR Jaime\QUIFA-CAJÚA\Cajua\[CAJUA_CF_SEC_New_27-Feb-2024Rev3.xlsx]D-PS'!$BZ$37</t>
  </si>
  <si>
    <t>='C:\Users\jaime.benazar\Quorum Business Solutions\Ecopetrol Prometeo - Documents\Planning Space Implementation\3. Analysis &amp; Design\Design\FC22\DRR Jaime\QUIFA-CAJÚA\Cajua\[CAJUA_CF_SEC_New_27-Feb-2024Rev3.xlsx]D-PS'!$BZ$38</t>
  </si>
  <si>
    <t>='C:\Users\jaime.benazar\Quorum Business Solutions\Ecopetrol Prometeo - Documents\Planning Space Implementation\3. Analysis &amp; Design\Design\FC22\DRR Jaime\QUIFA-CAJÚA\Cajua\[CAJUA_CF_SEC_New_27-Feb-2024Rev3.xlsx]D-PS'!$BZ$39</t>
  </si>
  <si>
    <t>='C:\Users\jaime.benazar\Quorum Business Solutions\Ecopetrol Prometeo - Documents\Planning Space Implementation\3. Analysis &amp; Design\Design\FC22\DRR Jaime\QUIFA-CAJÚA\Cajua\[CAJUA_CF_SEC_New_27-Feb-2024Rev3.xlsx]D-PS'!$BZ$40</t>
  </si>
  <si>
    <t>='C:\Users\jaime.benazar\Quorum Business Solutions\Ecopetrol Prometeo - Documents\Planning Space Implementation\3. Analysis &amp; Design\Design\FC22\DRR Jaime\QUIFA-CAJÚA\Cajua\[CAJUA_CF_SEC_New_27-Feb-2024Rev3.xlsx]D-PS'!$BZ$41</t>
  </si>
  <si>
    <t>='C:\Users\jaime.benazar\Quorum Business Solutions\Ecopetrol Prometeo - Documents\Planning Space Implementation\3. Analysis &amp; Design\Design\FC22\DRR Jaime\QUIFA-CAJÚA\Cajua\[CAJUA_CF_SEC_New_27-Feb-2024Rev3.xlsx]D-PS'!$BZ$42</t>
  </si>
  <si>
    <t>='C:\Users\jaime.benazar\Quorum Business Solutions\Ecopetrol Prometeo - Documents\Planning Space Implementation\3. Analysis &amp; Design\Design\FC22\DRR Jaime\QUIFA-CAJÚA\Cajua\[CAJUA_CF_SEC_New_27-Feb-2024Rev3.xlsx]D-PS'!$BZ$43</t>
  </si>
  <si>
    <t>='C:\Users\jaime.benazar\Quorum Business Solutions\Ecopetrol Prometeo - Documents\Planning Space Implementation\3. Analysis &amp; Design\Design\FC22\DRR Jaime\QUIFA-CAJÚA\Cajua\[CAJUA_CF_SEC_New_27-Feb-2024Rev3.xlsx]D-PS'!$BZ$44</t>
  </si>
  <si>
    <t>='C:\Users\jaime.benazar\Quorum Business Solutions\Ecopetrol Prometeo - Documents\Planning Space Implementation\3. Analysis &amp; Design\Design\FC22\DRR Jaime\QUIFA-CAJÚA\Cajua\[CAJUA_CF_SEC_New_27-Feb-2024Rev3.xlsx]D-PS'!$BZ$45</t>
  </si>
  <si>
    <t>='C:\Users\jaime.benazar\Quorum Business Solutions\Ecopetrol Prometeo - Documents\Planning Space Implementation\3. Analysis &amp; Design\Design\FC22\DRR Jaime\QUIFA-CAJÚA\Cajua\[CAJUA_CF_SEC_New_27-Feb-2024Rev3.xlsx]D-PS'!$BZ$46</t>
  </si>
  <si>
    <t>='C:\Users\jaime.benazar\Quorum Business Solutions\Ecopetrol Prometeo - Documents\Planning Space Implementation\3. Analysis &amp; Design\Design\FC22\DRR Jaime\QUIFA-CAJÚA\Cajua\[CAJUA_CF_SEC_New_27-Feb-2024Rev3.xlsx]D-PS'!$BZ$47</t>
  </si>
  <si>
    <t>='C:\Users\jaime.benazar\Quorum Business Solutions\Ecopetrol Prometeo - Documents\Planning Space Implementation\3. Analysis &amp; Design\Design\FC22\DRR Jaime\QUIFA-CAJÚA\Cajua\[CAJUA_CF_SEC_New_27-Feb-2024Rev3.xlsx]D-PS'!$BZ$48</t>
  </si>
  <si>
    <t>='C:\Users\jaime.benazar\Quorum Business Solutions\Ecopetrol Prometeo - Documents\Planning Space Implementation\3. Analysis &amp; Design\Design\FC22\DRR Jaime\QUIFA-CAJÚA\Cajua\[CAJUA_CF_SEC_New_27-Feb-2024Rev3.xlsx]D-PDP'!$CA$12</t>
  </si>
  <si>
    <t>='C:\Users\jaime.benazar\Quorum Business Solutions\Ecopetrol Prometeo - Documents\Planning Space Implementation\3. Analysis &amp; Design\Design\FC22\DRR Jaime\QUIFA-CAJÚA\Cajua\[CAJUA_CF_SEC_New_27-Feb-2024Rev3.xlsx]D-PDP'!$CA$13</t>
  </si>
  <si>
    <t>='C:\Users\jaime.benazar\Quorum Business Solutions\Ecopetrol Prometeo - Documents\Planning Space Implementation\3. Analysis &amp; Design\Design\FC22\DRR Jaime\QUIFA-CAJÚA\Cajua\[CAJUA_CF_SEC_New_27-Feb-2024Rev3.xlsx]D-PDP'!$CA$14</t>
  </si>
  <si>
    <t>='C:\Users\jaime.benazar\Quorum Business Solutions\Ecopetrol Prometeo - Documents\Planning Space Implementation\3. Analysis &amp; Design\Design\FC22\DRR Jaime\QUIFA-CAJÚA\Cajua\[CAJUA_CF_SEC_New_27-Feb-2024Rev3.xlsx]D-PDP'!$CA$15</t>
  </si>
  <si>
    <t>='C:\Users\jaime.benazar\Quorum Business Solutions\Ecopetrol Prometeo - Documents\Planning Space Implementation\3. Analysis &amp; Design\Design\FC22\DRR Jaime\QUIFA-CAJÚA\Cajua\[CAJUA_CF_SEC_New_27-Feb-2024Rev3.xlsx]D-PDP'!$CA$16</t>
  </si>
  <si>
    <t>='C:\Users\jaime.benazar\Quorum Business Solutions\Ecopetrol Prometeo - Documents\Planning Space Implementation\3. Analysis &amp; Design\Design\FC22\DRR Jaime\QUIFA-CAJÚA\Cajua\[CAJUA_CF_SEC_New_27-Feb-2024Rev3.xlsx]D-PDP'!$CA$17</t>
  </si>
  <si>
    <t>='C:\Users\jaime.benazar\Quorum Business Solutions\Ecopetrol Prometeo - Documents\Planning Space Implementation\3. Analysis &amp; Design\Design\FC22\DRR Jaime\QUIFA-CAJÚA\Cajua\[CAJUA_CF_SEC_New_27-Feb-2024Rev3.xlsx]D-PDP'!$CA$18</t>
  </si>
  <si>
    <t>='C:\Users\jaime.benazar\Quorum Business Solutions\Ecopetrol Prometeo - Documents\Planning Space Implementation\3. Analysis &amp; Design\Design\FC22\DRR Jaime\QUIFA-CAJÚA\Cajua\[CAJUA_CF_SEC_New_27-Feb-2024Rev3.xlsx]D-PDP'!$CA$19</t>
  </si>
  <si>
    <t>='C:\Users\jaime.benazar\Quorum Business Solutions\Ecopetrol Prometeo - Documents\Planning Space Implementation\3. Analysis &amp; Design\Design\FC22\DRR Jaime\QUIFA-CAJÚA\Cajua\[CAJUA_CF_SEC_New_27-Feb-2024Rev3.xlsx]D-PDP'!$CA$20</t>
  </si>
  <si>
    <t>='C:\Users\jaime.benazar\Quorum Business Solutions\Ecopetrol Prometeo - Documents\Planning Space Implementation\3. Analysis &amp; Design\Design\FC22\DRR Jaime\QUIFA-CAJÚA\Cajua\[CAJUA_CF_SEC_New_27-Feb-2024Rev3.xlsx]D-PDP'!$CA$21</t>
  </si>
  <si>
    <t>='C:\Users\jaime.benazar\Quorum Business Solutions\Ecopetrol Prometeo - Documents\Planning Space Implementation\3. Analysis &amp; Design\Design\FC22\DRR Jaime\QUIFA-CAJÚA\Cajua\[CAJUA_CF_SEC_New_27-Feb-2024Rev3.xlsx]D-PDP'!$CA$22</t>
  </si>
  <si>
    <t>='C:\Users\jaime.benazar\Quorum Business Solutions\Ecopetrol Prometeo - Documents\Planning Space Implementation\3. Analysis &amp; Design\Design\FC22\DRR Jaime\QUIFA-CAJÚA\Cajua\[CAJUA_CF_SEC_New_27-Feb-2024Rev3.xlsx]D-PDP'!$CA$23</t>
  </si>
  <si>
    <t>='C:\Users\jaime.benazar\Quorum Business Solutions\Ecopetrol Prometeo - Documents\Planning Space Implementation\3. Analysis &amp; Design\Design\FC22\DRR Jaime\QUIFA-CAJÚA\Cajua\[CAJUA_CF_SEC_New_27-Feb-2024Rev3.xlsx]D-PDP'!$CA$24</t>
  </si>
  <si>
    <t>='C:\Users\jaime.benazar\Quorum Business Solutions\Ecopetrol Prometeo - Documents\Planning Space Implementation\3. Analysis &amp; Design\Design\FC22\DRR Jaime\QUIFA-CAJÚA\Cajua\[CAJUA_CF_SEC_New_27-Feb-2024Rev3.xlsx]D-PDP'!$CA$25</t>
  </si>
  <si>
    <t>='C:\Users\jaime.benazar\Quorum Business Solutions\Ecopetrol Prometeo - Documents\Planning Space Implementation\3. Analysis &amp; Design\Design\FC22\DRR Jaime\QUIFA-CAJÚA\Cajua\[CAJUA_CF_SEC_New_27-Feb-2024Rev3.xlsx]D-PDP'!$CA$26</t>
  </si>
  <si>
    <t>='C:\Users\jaime.benazar\Quorum Business Solutions\Ecopetrol Prometeo - Documents\Planning Space Implementation\3. Analysis &amp; Design\Design\FC22\DRR Jaime\QUIFA-CAJÚA\Cajua\[CAJUA_CF_SEC_New_27-Feb-2024Rev3.xlsx]D-PDP'!$CA$27</t>
  </si>
  <si>
    <t>='C:\Users\jaime.benazar\Quorum Business Solutions\Ecopetrol Prometeo - Documents\Planning Space Implementation\3. Analysis &amp; Design\Design\FC22\DRR Jaime\QUIFA-CAJÚA\Cajua\[CAJUA_CF_SEC_New_27-Feb-2024Rev3.xlsx]D-PDP'!$CA$28</t>
  </si>
  <si>
    <t>='C:\Users\jaime.benazar\Quorum Business Solutions\Ecopetrol Prometeo - Documents\Planning Space Implementation\3. Analysis &amp; Design\Design\FC22\DRR Jaime\QUIFA-CAJÚA\Cajua\[CAJUA_CF_SEC_New_27-Feb-2024Rev3.xlsx]D-PDP'!$CA$29</t>
  </si>
  <si>
    <t>='C:\Users\jaime.benazar\Quorum Business Solutions\Ecopetrol Prometeo - Documents\Planning Space Implementation\3. Analysis &amp; Design\Design\FC22\DRR Jaime\QUIFA-CAJÚA\Cajua\[CAJUA_CF_SEC_New_27-Feb-2024Rev3.xlsx]D-PDP'!$CA$30</t>
  </si>
  <si>
    <t>='C:\Users\jaime.benazar\Quorum Business Solutions\Ecopetrol Prometeo - Documents\Planning Space Implementation\3. Analysis &amp; Design\Design\FC22\DRR Jaime\QUIFA-CAJÚA\Cajua\[CAJUA_CF_SEC_New_27-Feb-2024Rev3.xlsx]D-PDP'!$CA$31</t>
  </si>
  <si>
    <t>='C:\Users\jaime.benazar\Quorum Business Solutions\Ecopetrol Prometeo - Documents\Planning Space Implementation\3. Analysis &amp; Design\Design\FC22\DRR Jaime\QUIFA-CAJÚA\Cajua\[CAJUA_CF_SEC_New_27-Feb-2024Rev3.xlsx]D-PDP'!$CA$32</t>
  </si>
  <si>
    <t>='C:\Users\jaime.benazar\Quorum Business Solutions\Ecopetrol Prometeo - Documents\Planning Space Implementation\3. Analysis &amp; Design\Design\FC22\DRR Jaime\QUIFA-CAJÚA\Cajua\[CAJUA_CF_SEC_New_27-Feb-2024Rev3.xlsx]D-PDP'!$CA$33</t>
  </si>
  <si>
    <t>='C:\Users\jaime.benazar\Quorum Business Solutions\Ecopetrol Prometeo - Documents\Planning Space Implementation\3. Analysis &amp; Design\Design\FC22\DRR Jaime\QUIFA-CAJÚA\Cajua\[CAJUA_CF_SEC_New_27-Feb-2024Rev3.xlsx]D-PDP'!$CA$34</t>
  </si>
  <si>
    <t>='C:\Users\jaime.benazar\Quorum Business Solutions\Ecopetrol Prometeo - Documents\Planning Space Implementation\3. Analysis &amp; Design\Design\FC22\DRR Jaime\QUIFA-CAJÚA\Cajua\[CAJUA_CF_SEC_New_27-Feb-2024Rev3.xlsx]D-PDP'!$CA$35</t>
  </si>
  <si>
    <t>='C:\Users\jaime.benazar\Quorum Business Solutions\Ecopetrol Prometeo - Documents\Planning Space Implementation\3. Analysis &amp; Design\Design\FC22\DRR Jaime\QUIFA-CAJÚA\Cajua\[CAJUA_CF_SEC_New_27-Feb-2024Rev3.xlsx]D-PDP'!$CA$36</t>
  </si>
  <si>
    <t>='C:\Users\jaime.benazar\Quorum Business Solutions\Ecopetrol Prometeo - Documents\Planning Space Implementation\3. Analysis &amp; Design\Design\FC22\DRR Jaime\QUIFA-CAJÚA\Cajua\[CAJUA_CF_SEC_New_27-Feb-2024Rev3.xlsx]D-PDP'!$CA$37</t>
  </si>
  <si>
    <t>='C:\Users\jaime.benazar\Quorum Business Solutions\Ecopetrol Prometeo - Documents\Planning Space Implementation\3. Analysis &amp; Design\Design\FC22\DRR Jaime\QUIFA-CAJÚA\Cajua\[CAJUA_CF_SEC_New_27-Feb-2024Rev3.xlsx]D-PDP'!$CA$38</t>
  </si>
  <si>
    <t>='C:\Users\jaime.benazar\Quorum Business Solutions\Ecopetrol Prometeo - Documents\Planning Space Implementation\3. Analysis &amp; Design\Design\FC22\DRR Jaime\QUIFA-CAJÚA\Cajua\[CAJUA_CF_SEC_New_27-Feb-2024Rev3.xlsx]D-PDP'!$CA$39</t>
  </si>
  <si>
    <t>='C:\Users\jaime.benazar\Quorum Business Solutions\Ecopetrol Prometeo - Documents\Planning Space Implementation\3. Analysis &amp; Design\Design\FC22\DRR Jaime\QUIFA-CAJÚA\Cajua\[CAJUA_CF_SEC_New_27-Feb-2024Rev3.xlsx]D-PDP'!$CA$40</t>
  </si>
  <si>
    <t>='C:\Users\jaime.benazar\Quorum Business Solutions\Ecopetrol Prometeo - Documents\Planning Space Implementation\3. Analysis &amp; Design\Design\FC22\DRR Jaime\QUIFA-CAJÚA\Cajua\[CAJUA_CF_SEC_New_27-Feb-2024Rev3.xlsx]D-PDP'!$CA$41</t>
  </si>
  <si>
    <t>='C:\Users\jaime.benazar\Quorum Business Solutions\Ecopetrol Prometeo - Documents\Planning Space Implementation\3. Analysis &amp; Design\Design\FC22\DRR Jaime\QUIFA-CAJÚA\Cajua\[CAJUA_CF_SEC_New_27-Feb-2024Rev3.xlsx]D-PDP'!$CA$42</t>
  </si>
  <si>
    <t>='C:\Users\jaime.benazar\Quorum Business Solutions\Ecopetrol Prometeo - Documents\Planning Space Implementation\3. Analysis &amp; Design\Design\FC22\DRR Jaime\QUIFA-CAJÚA\Cajua\[CAJUA_CF_SEC_New_27-Feb-2024Rev3.xlsx]D-PDP'!$CA$43</t>
  </si>
  <si>
    <t>='C:\Users\jaime.benazar\Quorum Business Solutions\Ecopetrol Prometeo - Documents\Planning Space Implementation\3. Analysis &amp; Design\Design\FC22\DRR Jaime\QUIFA-CAJÚA\Cajua\[CAJUA_CF_SEC_New_27-Feb-2024Rev3.xlsx]D-PDP'!$CA$44</t>
  </si>
  <si>
    <t>='C:\Users\jaime.benazar\Quorum Business Solutions\Ecopetrol Prometeo - Documents\Planning Space Implementation\3. Analysis &amp; Design\Design\FC22\DRR Jaime\QUIFA-CAJÚA\Cajua\[CAJUA_CF_SEC_New_27-Feb-2024Rev3.xlsx]D-PDP'!$CA$45</t>
  </si>
  <si>
    <t>='C:\Users\jaime.benazar\Quorum Business Solutions\Ecopetrol Prometeo - Documents\Planning Space Implementation\3. Analysis &amp; Design\Design\FC22\DRR Jaime\QUIFA-CAJÚA\Cajua\[CAJUA_CF_SEC_New_27-Feb-2024Rev3.xlsx]D-PDP'!$CA$46</t>
  </si>
  <si>
    <t>='C:\Users\jaime.benazar\Quorum Business Solutions\Ecopetrol Prometeo - Documents\Planning Space Implementation\3. Analysis &amp; Design\Design\FC22\DRR Jaime\QUIFA-CAJÚA\Cajua\[CAJUA_CF_SEC_New_27-Feb-2024Rev3.xlsx]D-PDP'!$CA$47</t>
  </si>
  <si>
    <t>='C:\Users\jaime.benazar\Quorum Business Solutions\Ecopetrol Prometeo - Documents\Planning Space Implementation\3. Analysis &amp; Design\Design\FC22\DRR Jaime\QUIFA-CAJÚA\Cajua\[CAJUA_CF_SEC_New_27-Feb-2024Rev3.xlsx]D-PDP'!$CA$48</t>
  </si>
  <si>
    <t>='C:\Users\jaime.benazar\Quorum Business Solutions\Ecopetrol Prometeo - Documents\Planning Space Implementation\3. Analysis &amp; Design\Design\FC22\DRR Jaime\QUIFA-CAJÚA\Cajua\[CAJUA_CF_SEC_New_27-Feb-2024Rev3.xlsx]D-PNP'!$CA$12</t>
  </si>
  <si>
    <t>='C:\Users\jaime.benazar\Quorum Business Solutions\Ecopetrol Prometeo - Documents\Planning Space Implementation\3. Analysis &amp; Design\Design\FC22\DRR Jaime\QUIFA-CAJÚA\Cajua\[CAJUA_CF_SEC_New_27-Feb-2024Rev3.xlsx]D-PNP'!$CA$13</t>
  </si>
  <si>
    <t>='C:\Users\jaime.benazar\Quorum Business Solutions\Ecopetrol Prometeo - Documents\Planning Space Implementation\3. Analysis &amp; Design\Design\FC22\DRR Jaime\QUIFA-CAJÚA\Cajua\[CAJUA_CF_SEC_New_27-Feb-2024Rev3.xlsx]D-PNP'!$CA$14</t>
  </si>
  <si>
    <t>='C:\Users\jaime.benazar\Quorum Business Solutions\Ecopetrol Prometeo - Documents\Planning Space Implementation\3. Analysis &amp; Design\Design\FC22\DRR Jaime\QUIFA-CAJÚA\Cajua\[CAJUA_CF_SEC_New_27-Feb-2024Rev3.xlsx]D-PNP'!$CA$15</t>
  </si>
  <si>
    <t>='C:\Users\jaime.benazar\Quorum Business Solutions\Ecopetrol Prometeo - Documents\Planning Space Implementation\3. Analysis &amp; Design\Design\FC22\DRR Jaime\QUIFA-CAJÚA\Cajua\[CAJUA_CF_SEC_New_27-Feb-2024Rev3.xlsx]D-PNP'!$CA$16</t>
  </si>
  <si>
    <t>='C:\Users\jaime.benazar\Quorum Business Solutions\Ecopetrol Prometeo - Documents\Planning Space Implementation\3. Analysis &amp; Design\Design\FC22\DRR Jaime\QUIFA-CAJÚA\Cajua\[CAJUA_CF_SEC_New_27-Feb-2024Rev3.xlsx]D-PNP'!$CA$17</t>
  </si>
  <si>
    <t>='C:\Users\jaime.benazar\Quorum Business Solutions\Ecopetrol Prometeo - Documents\Planning Space Implementation\3. Analysis &amp; Design\Design\FC22\DRR Jaime\QUIFA-CAJÚA\Cajua\[CAJUA_CF_SEC_New_27-Feb-2024Rev3.xlsx]D-PNP'!$CA$18</t>
  </si>
  <si>
    <t>='C:\Users\jaime.benazar\Quorum Business Solutions\Ecopetrol Prometeo - Documents\Planning Space Implementation\3. Analysis &amp; Design\Design\FC22\DRR Jaime\QUIFA-CAJÚA\Cajua\[CAJUA_CF_SEC_New_27-Feb-2024Rev3.xlsx]D-PNP'!$CA$19</t>
  </si>
  <si>
    <t>='C:\Users\jaime.benazar\Quorum Business Solutions\Ecopetrol Prometeo - Documents\Planning Space Implementation\3. Analysis &amp; Design\Design\FC22\DRR Jaime\QUIFA-CAJÚA\Cajua\[CAJUA_CF_SEC_New_27-Feb-2024Rev3.xlsx]D-PNP'!$CA$20</t>
  </si>
  <si>
    <t>='C:\Users\jaime.benazar\Quorum Business Solutions\Ecopetrol Prometeo - Documents\Planning Space Implementation\3. Analysis &amp; Design\Design\FC22\DRR Jaime\QUIFA-CAJÚA\Cajua\[CAJUA_CF_SEC_New_27-Feb-2024Rev3.xlsx]D-PNP'!$CA$21</t>
  </si>
  <si>
    <t>='C:\Users\jaime.benazar\Quorum Business Solutions\Ecopetrol Prometeo - Documents\Planning Space Implementation\3. Analysis &amp; Design\Design\FC22\DRR Jaime\QUIFA-CAJÚA\Cajua\[CAJUA_CF_SEC_New_27-Feb-2024Rev3.xlsx]D-PNP'!$CA$22</t>
  </si>
  <si>
    <t>='C:\Users\jaime.benazar\Quorum Business Solutions\Ecopetrol Prometeo - Documents\Planning Space Implementation\3. Analysis &amp; Design\Design\FC22\DRR Jaime\QUIFA-CAJÚA\Cajua\[CAJUA_CF_SEC_New_27-Feb-2024Rev3.xlsx]D-PNP'!$CA$23</t>
  </si>
  <si>
    <t>='C:\Users\jaime.benazar\Quorum Business Solutions\Ecopetrol Prometeo - Documents\Planning Space Implementation\3. Analysis &amp; Design\Design\FC22\DRR Jaime\QUIFA-CAJÚA\Cajua\[CAJUA_CF_SEC_New_27-Feb-2024Rev3.xlsx]D-PNP'!$CA$24</t>
  </si>
  <si>
    <t>='C:\Users\jaime.benazar\Quorum Business Solutions\Ecopetrol Prometeo - Documents\Planning Space Implementation\3. Analysis &amp; Design\Design\FC22\DRR Jaime\QUIFA-CAJÚA\Cajua\[CAJUA_CF_SEC_New_27-Feb-2024Rev3.xlsx]D-PNP'!$CA$25</t>
  </si>
  <si>
    <t>='C:\Users\jaime.benazar\Quorum Business Solutions\Ecopetrol Prometeo - Documents\Planning Space Implementation\3. Analysis &amp; Design\Design\FC22\DRR Jaime\QUIFA-CAJÚA\Cajua\[CAJUA_CF_SEC_New_27-Feb-2024Rev3.xlsx]D-PNP'!$CA$26</t>
  </si>
  <si>
    <t>='C:\Users\jaime.benazar\Quorum Business Solutions\Ecopetrol Prometeo - Documents\Planning Space Implementation\3. Analysis &amp; Design\Design\FC22\DRR Jaime\QUIFA-CAJÚA\Cajua\[CAJUA_CF_SEC_New_27-Feb-2024Rev3.xlsx]D-PNP'!$CA$27</t>
  </si>
  <si>
    <t>='C:\Users\jaime.benazar\Quorum Business Solutions\Ecopetrol Prometeo - Documents\Planning Space Implementation\3. Analysis &amp; Design\Design\FC22\DRR Jaime\QUIFA-CAJÚA\Cajua\[CAJUA_CF_SEC_New_27-Feb-2024Rev3.xlsx]D-PNP'!$CA$28</t>
  </si>
  <si>
    <t>='C:\Users\jaime.benazar\Quorum Business Solutions\Ecopetrol Prometeo - Documents\Planning Space Implementation\3. Analysis &amp; Design\Design\FC22\DRR Jaime\QUIFA-CAJÚA\Cajua\[CAJUA_CF_SEC_New_27-Feb-2024Rev3.xlsx]D-PNP'!$CA$29</t>
  </si>
  <si>
    <t>='C:\Users\jaime.benazar\Quorum Business Solutions\Ecopetrol Prometeo - Documents\Planning Space Implementation\3. Analysis &amp; Design\Design\FC22\DRR Jaime\QUIFA-CAJÚA\Cajua\[CAJUA_CF_SEC_New_27-Feb-2024Rev3.xlsx]D-PNP'!$CA$30</t>
  </si>
  <si>
    <t>='C:\Users\jaime.benazar\Quorum Business Solutions\Ecopetrol Prometeo - Documents\Planning Space Implementation\3. Analysis &amp; Design\Design\FC22\DRR Jaime\QUIFA-CAJÚA\Cajua\[CAJUA_CF_SEC_New_27-Feb-2024Rev3.xlsx]D-PNP'!$CA$31</t>
  </si>
  <si>
    <t>='C:\Users\jaime.benazar\Quorum Business Solutions\Ecopetrol Prometeo - Documents\Planning Space Implementation\3. Analysis &amp; Design\Design\FC22\DRR Jaime\QUIFA-CAJÚA\Cajua\[CAJUA_CF_SEC_New_27-Feb-2024Rev3.xlsx]D-PNP'!$CA$32</t>
  </si>
  <si>
    <t>='C:\Users\jaime.benazar\Quorum Business Solutions\Ecopetrol Prometeo - Documents\Planning Space Implementation\3. Analysis &amp; Design\Design\FC22\DRR Jaime\QUIFA-CAJÚA\Cajua\[CAJUA_CF_SEC_New_27-Feb-2024Rev3.xlsx]D-PNP'!$CA$33</t>
  </si>
  <si>
    <t>='C:\Users\jaime.benazar\Quorum Business Solutions\Ecopetrol Prometeo - Documents\Planning Space Implementation\3. Analysis &amp; Design\Design\FC22\DRR Jaime\QUIFA-CAJÚA\Cajua\[CAJUA_CF_SEC_New_27-Feb-2024Rev3.xlsx]D-PNP'!$CA$34</t>
  </si>
  <si>
    <t>='C:\Users\jaime.benazar\Quorum Business Solutions\Ecopetrol Prometeo - Documents\Planning Space Implementation\3. Analysis &amp; Design\Design\FC22\DRR Jaime\QUIFA-CAJÚA\Cajua\[CAJUA_CF_SEC_New_27-Feb-2024Rev3.xlsx]D-PNP'!$CA$35</t>
  </si>
  <si>
    <t>='C:\Users\jaime.benazar\Quorum Business Solutions\Ecopetrol Prometeo - Documents\Planning Space Implementation\3. Analysis &amp; Design\Design\FC22\DRR Jaime\QUIFA-CAJÚA\Cajua\[CAJUA_CF_SEC_New_27-Feb-2024Rev3.xlsx]D-PNP'!$CA$36</t>
  </si>
  <si>
    <t>='C:\Users\jaime.benazar\Quorum Business Solutions\Ecopetrol Prometeo - Documents\Planning Space Implementation\3. Analysis &amp; Design\Design\FC22\DRR Jaime\QUIFA-CAJÚA\Cajua\[CAJUA_CF_SEC_New_27-Feb-2024Rev3.xlsx]D-PNP'!$CA$37</t>
  </si>
  <si>
    <t>='C:\Users\jaime.benazar\Quorum Business Solutions\Ecopetrol Prometeo - Documents\Planning Space Implementation\3. Analysis &amp; Design\Design\FC22\DRR Jaime\QUIFA-CAJÚA\Cajua\[CAJUA_CF_SEC_New_27-Feb-2024Rev3.xlsx]D-PNP'!$CA$38</t>
  </si>
  <si>
    <t>='C:\Users\jaime.benazar\Quorum Business Solutions\Ecopetrol Prometeo - Documents\Planning Space Implementation\3. Analysis &amp; Design\Design\FC22\DRR Jaime\QUIFA-CAJÚA\Cajua\[CAJUA_CF_SEC_New_27-Feb-2024Rev3.xlsx]D-PNP'!$CA$39</t>
  </si>
  <si>
    <t>='C:\Users\jaime.benazar\Quorum Business Solutions\Ecopetrol Prometeo - Documents\Planning Space Implementation\3. Analysis &amp; Design\Design\FC22\DRR Jaime\QUIFA-CAJÚA\Cajua\[CAJUA_CF_SEC_New_27-Feb-2024Rev3.xlsx]D-PNP'!$CA$40</t>
  </si>
  <si>
    <t>='C:\Users\jaime.benazar\Quorum Business Solutions\Ecopetrol Prometeo - Documents\Planning Space Implementation\3. Analysis &amp; Design\Design\FC22\DRR Jaime\QUIFA-CAJÚA\Cajua\[CAJUA_CF_SEC_New_27-Feb-2024Rev3.xlsx]D-PNP'!$CA$41</t>
  </si>
  <si>
    <t>='C:\Users\jaime.benazar\Quorum Business Solutions\Ecopetrol Prometeo - Documents\Planning Space Implementation\3. Analysis &amp; Design\Design\FC22\DRR Jaime\QUIFA-CAJÚA\Cajua\[CAJUA_CF_SEC_New_27-Feb-2024Rev3.xlsx]D-PNP'!$CA$42</t>
  </si>
  <si>
    <t>='C:\Users\jaime.benazar\Quorum Business Solutions\Ecopetrol Prometeo - Documents\Planning Space Implementation\3. Analysis &amp; Design\Design\FC22\DRR Jaime\QUIFA-CAJÚA\Cajua\[CAJUA_CF_SEC_New_27-Feb-2024Rev3.xlsx]D-PNP'!$CA$43</t>
  </si>
  <si>
    <t>='C:\Users\jaime.benazar\Quorum Business Solutions\Ecopetrol Prometeo - Documents\Planning Space Implementation\3. Analysis &amp; Design\Design\FC22\DRR Jaime\QUIFA-CAJÚA\Cajua\[CAJUA_CF_SEC_New_27-Feb-2024Rev3.xlsx]D-PNP'!$CA$44</t>
  </si>
  <si>
    <t>='C:\Users\jaime.benazar\Quorum Business Solutions\Ecopetrol Prometeo - Documents\Planning Space Implementation\3. Analysis &amp; Design\Design\FC22\DRR Jaime\QUIFA-CAJÚA\Cajua\[CAJUA_CF_SEC_New_27-Feb-2024Rev3.xlsx]D-PNP'!$CA$45</t>
  </si>
  <si>
    <t>='C:\Users\jaime.benazar\Quorum Business Solutions\Ecopetrol Prometeo - Documents\Planning Space Implementation\3. Analysis &amp; Design\Design\FC22\DRR Jaime\QUIFA-CAJÚA\Cajua\[CAJUA_CF_SEC_New_27-Feb-2024Rev3.xlsx]D-PNP'!$CA$46</t>
  </si>
  <si>
    <t>='C:\Users\jaime.benazar\Quorum Business Solutions\Ecopetrol Prometeo - Documents\Planning Space Implementation\3. Analysis &amp; Design\Design\FC22\DRR Jaime\QUIFA-CAJÚA\Cajua\[CAJUA_CF_SEC_New_27-Feb-2024Rev3.xlsx]D-PNP'!$CA$47</t>
  </si>
  <si>
    <t>='C:\Users\jaime.benazar\Quorum Business Solutions\Ecopetrol Prometeo - Documents\Planning Space Implementation\3. Analysis &amp; Design\Design\FC22\DRR Jaime\QUIFA-CAJÚA\Cajua\[CAJUA_CF_SEC_New_27-Feb-2024Rev3.xlsx]D-PNP'!$CA$48</t>
  </si>
  <si>
    <t>='C:\Users\jaime.benazar\Quorum Business Solutions\Ecopetrol Prometeo - Documents\Planning Space Implementation\3. Analysis &amp; Design\Design\FC22\DRR Jaime\QUIFA-CAJÚA\Cajua\[CAJUA_CF_SEC_New_27-Feb-2024Rev3.xlsx]D-PND'!$CA$12</t>
  </si>
  <si>
    <t>='C:\Users\jaime.benazar\Quorum Business Solutions\Ecopetrol Prometeo - Documents\Planning Space Implementation\3. Analysis &amp; Design\Design\FC22\DRR Jaime\QUIFA-CAJÚA\Cajua\[CAJUA_CF_SEC_New_27-Feb-2024Rev3.xlsx]D-PND'!$CA$13</t>
  </si>
  <si>
    <t>='C:\Users\jaime.benazar\Quorum Business Solutions\Ecopetrol Prometeo - Documents\Planning Space Implementation\3. Analysis &amp; Design\Design\FC22\DRR Jaime\QUIFA-CAJÚA\Cajua\[CAJUA_CF_SEC_New_27-Feb-2024Rev3.xlsx]D-PND'!$CA$14</t>
  </si>
  <si>
    <t>='C:\Users\jaime.benazar\Quorum Business Solutions\Ecopetrol Prometeo - Documents\Planning Space Implementation\3. Analysis &amp; Design\Design\FC22\DRR Jaime\QUIFA-CAJÚA\Cajua\[CAJUA_CF_SEC_New_27-Feb-2024Rev3.xlsx]D-PND'!$CA$15</t>
  </si>
  <si>
    <t>='C:\Users\jaime.benazar\Quorum Business Solutions\Ecopetrol Prometeo - Documents\Planning Space Implementation\3. Analysis &amp; Design\Design\FC22\DRR Jaime\QUIFA-CAJÚA\Cajua\[CAJUA_CF_SEC_New_27-Feb-2024Rev3.xlsx]D-PND'!$CA$16</t>
  </si>
  <si>
    <t>='C:\Users\jaime.benazar\Quorum Business Solutions\Ecopetrol Prometeo - Documents\Planning Space Implementation\3. Analysis &amp; Design\Design\FC22\DRR Jaime\QUIFA-CAJÚA\Cajua\[CAJUA_CF_SEC_New_27-Feb-2024Rev3.xlsx]D-PND'!$CA$17</t>
  </si>
  <si>
    <t>='C:\Users\jaime.benazar\Quorum Business Solutions\Ecopetrol Prometeo - Documents\Planning Space Implementation\3. Analysis &amp; Design\Design\FC22\DRR Jaime\QUIFA-CAJÚA\Cajua\[CAJUA_CF_SEC_New_27-Feb-2024Rev3.xlsx]D-PND'!$CA$18</t>
  </si>
  <si>
    <t>='C:\Users\jaime.benazar\Quorum Business Solutions\Ecopetrol Prometeo - Documents\Planning Space Implementation\3. Analysis &amp; Design\Design\FC22\DRR Jaime\QUIFA-CAJÚA\Cajua\[CAJUA_CF_SEC_New_27-Feb-2024Rev3.xlsx]D-PND'!$CA$19</t>
  </si>
  <si>
    <t>='C:\Users\jaime.benazar\Quorum Business Solutions\Ecopetrol Prometeo - Documents\Planning Space Implementation\3. Analysis &amp; Design\Design\FC22\DRR Jaime\QUIFA-CAJÚA\Cajua\[CAJUA_CF_SEC_New_27-Feb-2024Rev3.xlsx]D-PND'!$CA$20</t>
  </si>
  <si>
    <t>='C:\Users\jaime.benazar\Quorum Business Solutions\Ecopetrol Prometeo - Documents\Planning Space Implementation\3. Analysis &amp; Design\Design\FC22\DRR Jaime\QUIFA-CAJÚA\Cajua\[CAJUA_CF_SEC_New_27-Feb-2024Rev3.xlsx]D-PND'!$CA$21</t>
  </si>
  <si>
    <t>='C:\Users\jaime.benazar\Quorum Business Solutions\Ecopetrol Prometeo - Documents\Planning Space Implementation\3. Analysis &amp; Design\Design\FC22\DRR Jaime\QUIFA-CAJÚA\Cajua\[CAJUA_CF_SEC_New_27-Feb-2024Rev3.xlsx]D-PND'!$CA$22</t>
  </si>
  <si>
    <t>='C:\Users\jaime.benazar\Quorum Business Solutions\Ecopetrol Prometeo - Documents\Planning Space Implementation\3. Analysis &amp; Design\Design\FC22\DRR Jaime\QUIFA-CAJÚA\Cajua\[CAJUA_CF_SEC_New_27-Feb-2024Rev3.xlsx]D-PND'!$CA$23</t>
  </si>
  <si>
    <t>='C:\Users\jaime.benazar\Quorum Business Solutions\Ecopetrol Prometeo - Documents\Planning Space Implementation\3. Analysis &amp; Design\Design\FC22\DRR Jaime\QUIFA-CAJÚA\Cajua\[CAJUA_CF_SEC_New_27-Feb-2024Rev3.xlsx]D-PND'!$CA$24</t>
  </si>
  <si>
    <t>='C:\Users\jaime.benazar\Quorum Business Solutions\Ecopetrol Prometeo - Documents\Planning Space Implementation\3. Analysis &amp; Design\Design\FC22\DRR Jaime\QUIFA-CAJÚA\Cajua\[CAJUA_CF_SEC_New_27-Feb-2024Rev3.xlsx]D-PND'!$CA$25</t>
  </si>
  <si>
    <t>='C:\Users\jaime.benazar\Quorum Business Solutions\Ecopetrol Prometeo - Documents\Planning Space Implementation\3. Analysis &amp; Design\Design\FC22\DRR Jaime\QUIFA-CAJÚA\Cajua\[CAJUA_CF_SEC_New_27-Feb-2024Rev3.xlsx]D-PND'!$CA$26</t>
  </si>
  <si>
    <t>='C:\Users\jaime.benazar\Quorum Business Solutions\Ecopetrol Prometeo - Documents\Planning Space Implementation\3. Analysis &amp; Design\Design\FC22\DRR Jaime\QUIFA-CAJÚA\Cajua\[CAJUA_CF_SEC_New_27-Feb-2024Rev3.xlsx]D-PND'!$CA$27</t>
  </si>
  <si>
    <t>='C:\Users\jaime.benazar\Quorum Business Solutions\Ecopetrol Prometeo - Documents\Planning Space Implementation\3. Analysis &amp; Design\Design\FC22\DRR Jaime\QUIFA-CAJÚA\Cajua\[CAJUA_CF_SEC_New_27-Feb-2024Rev3.xlsx]D-PND'!$CA$28</t>
  </si>
  <si>
    <t>='C:\Users\jaime.benazar\Quorum Business Solutions\Ecopetrol Prometeo - Documents\Planning Space Implementation\3. Analysis &amp; Design\Design\FC22\DRR Jaime\QUIFA-CAJÚA\Cajua\[CAJUA_CF_SEC_New_27-Feb-2024Rev3.xlsx]D-PND'!$CA$29</t>
  </si>
  <si>
    <t>='C:\Users\jaime.benazar\Quorum Business Solutions\Ecopetrol Prometeo - Documents\Planning Space Implementation\3. Analysis &amp; Design\Design\FC22\DRR Jaime\QUIFA-CAJÚA\Cajua\[CAJUA_CF_SEC_New_27-Feb-2024Rev3.xlsx]D-PND'!$CA$30</t>
  </si>
  <si>
    <t>='C:\Users\jaime.benazar\Quorum Business Solutions\Ecopetrol Prometeo - Documents\Planning Space Implementation\3. Analysis &amp; Design\Design\FC22\DRR Jaime\QUIFA-CAJÚA\Cajua\[CAJUA_CF_SEC_New_27-Feb-2024Rev3.xlsx]D-PND'!$CA$31</t>
  </si>
  <si>
    <t>='C:\Users\jaime.benazar\Quorum Business Solutions\Ecopetrol Prometeo - Documents\Planning Space Implementation\3. Analysis &amp; Design\Design\FC22\DRR Jaime\QUIFA-CAJÚA\Cajua\[CAJUA_CF_SEC_New_27-Feb-2024Rev3.xlsx]D-PND'!$CA$32</t>
  </si>
  <si>
    <t>='C:\Users\jaime.benazar\Quorum Business Solutions\Ecopetrol Prometeo - Documents\Planning Space Implementation\3. Analysis &amp; Design\Design\FC22\DRR Jaime\QUIFA-CAJÚA\Cajua\[CAJUA_CF_SEC_New_27-Feb-2024Rev3.xlsx]D-PND'!$CA$33</t>
  </si>
  <si>
    <t>='C:\Users\jaime.benazar\Quorum Business Solutions\Ecopetrol Prometeo - Documents\Planning Space Implementation\3. Analysis &amp; Design\Design\FC22\DRR Jaime\QUIFA-CAJÚA\Cajua\[CAJUA_CF_SEC_New_27-Feb-2024Rev3.xlsx]D-PND'!$CA$34</t>
  </si>
  <si>
    <t>='C:\Users\jaime.benazar\Quorum Business Solutions\Ecopetrol Prometeo - Documents\Planning Space Implementation\3. Analysis &amp; Design\Design\FC22\DRR Jaime\QUIFA-CAJÚA\Cajua\[CAJUA_CF_SEC_New_27-Feb-2024Rev3.xlsx]D-PND'!$CA$35</t>
  </si>
  <si>
    <t>='C:\Users\jaime.benazar\Quorum Business Solutions\Ecopetrol Prometeo - Documents\Planning Space Implementation\3. Analysis &amp; Design\Design\FC22\DRR Jaime\QUIFA-CAJÚA\Cajua\[CAJUA_CF_SEC_New_27-Feb-2024Rev3.xlsx]D-PND'!$CA$36</t>
  </si>
  <si>
    <t>='C:\Users\jaime.benazar\Quorum Business Solutions\Ecopetrol Prometeo - Documents\Planning Space Implementation\3. Analysis &amp; Design\Design\FC22\DRR Jaime\QUIFA-CAJÚA\Cajua\[CAJUA_CF_SEC_New_27-Feb-2024Rev3.xlsx]D-PND'!$CA$37</t>
  </si>
  <si>
    <t>='C:\Users\jaime.benazar\Quorum Business Solutions\Ecopetrol Prometeo - Documents\Planning Space Implementation\3. Analysis &amp; Design\Design\FC22\DRR Jaime\QUIFA-CAJÚA\Cajua\[CAJUA_CF_SEC_New_27-Feb-2024Rev3.xlsx]D-PND'!$CA$38</t>
  </si>
  <si>
    <t>='C:\Users\jaime.benazar\Quorum Business Solutions\Ecopetrol Prometeo - Documents\Planning Space Implementation\3. Analysis &amp; Design\Design\FC22\DRR Jaime\QUIFA-CAJÚA\Cajua\[CAJUA_CF_SEC_New_27-Feb-2024Rev3.xlsx]D-PND'!$CA$39</t>
  </si>
  <si>
    <t>='C:\Users\jaime.benazar\Quorum Business Solutions\Ecopetrol Prometeo - Documents\Planning Space Implementation\3. Analysis &amp; Design\Design\FC22\DRR Jaime\QUIFA-CAJÚA\Cajua\[CAJUA_CF_SEC_New_27-Feb-2024Rev3.xlsx]D-PND'!$CA$40</t>
  </si>
  <si>
    <t>='C:\Users\jaime.benazar\Quorum Business Solutions\Ecopetrol Prometeo - Documents\Planning Space Implementation\3. Analysis &amp; Design\Design\FC22\DRR Jaime\QUIFA-CAJÚA\Cajua\[CAJUA_CF_SEC_New_27-Feb-2024Rev3.xlsx]D-PND'!$CA$41</t>
  </si>
  <si>
    <t>='C:\Users\jaime.benazar\Quorum Business Solutions\Ecopetrol Prometeo - Documents\Planning Space Implementation\3. Analysis &amp; Design\Design\FC22\DRR Jaime\QUIFA-CAJÚA\Cajua\[CAJUA_CF_SEC_New_27-Feb-2024Rev3.xlsx]D-PND'!$CA$42</t>
  </si>
  <si>
    <t>='C:\Users\jaime.benazar\Quorum Business Solutions\Ecopetrol Prometeo - Documents\Planning Space Implementation\3. Analysis &amp; Design\Design\FC22\DRR Jaime\QUIFA-CAJÚA\Cajua\[CAJUA_CF_SEC_New_27-Feb-2024Rev3.xlsx]D-PND'!$CA$43</t>
  </si>
  <si>
    <t>='C:\Users\jaime.benazar\Quorum Business Solutions\Ecopetrol Prometeo - Documents\Planning Space Implementation\3. Analysis &amp; Design\Design\FC22\DRR Jaime\QUIFA-CAJÚA\Cajua\[CAJUA_CF_SEC_New_27-Feb-2024Rev3.xlsx]D-PND'!$CA$44</t>
  </si>
  <si>
    <t>='C:\Users\jaime.benazar\Quorum Business Solutions\Ecopetrol Prometeo - Documents\Planning Space Implementation\3. Analysis &amp; Design\Design\FC22\DRR Jaime\QUIFA-CAJÚA\Cajua\[CAJUA_CF_SEC_New_27-Feb-2024Rev3.xlsx]D-PND'!$CA$45</t>
  </si>
  <si>
    <t>='C:\Users\jaime.benazar\Quorum Business Solutions\Ecopetrol Prometeo - Documents\Planning Space Implementation\3. Analysis &amp; Design\Design\FC22\DRR Jaime\QUIFA-CAJÚA\Cajua\[CAJUA_CF_SEC_New_27-Feb-2024Rev3.xlsx]D-PND'!$CA$46</t>
  </si>
  <si>
    <t>='C:\Users\jaime.benazar\Quorum Business Solutions\Ecopetrol Prometeo - Documents\Planning Space Implementation\3. Analysis &amp; Design\Design\FC22\DRR Jaime\QUIFA-CAJÚA\Cajua\[CAJUA_CF_SEC_New_27-Feb-2024Rev3.xlsx]D-PND'!$CA$47</t>
  </si>
  <si>
    <t>='C:\Users\jaime.benazar\Quorum Business Solutions\Ecopetrol Prometeo - Documents\Planning Space Implementation\3. Analysis &amp; Design\Design\FC22\DRR Jaime\QUIFA-CAJÚA\Cajua\[CAJUA_CF_SEC_New_27-Feb-2024Rev3.xlsx]D-PND'!$CA$48</t>
  </si>
  <si>
    <t>='C:\Users\jaime.benazar\Quorum Business Solutions\Ecopetrol Prometeo - Documents\Planning Space Implementation\3. Analysis &amp; Design\Design\FC22\DRR Jaime\QUIFA-CAJÚA\Cajua\[CAJUA_CF_SEC_New_27-Feb-2024Rev3.xlsx]D-PRB'!$CA$12</t>
  </si>
  <si>
    <t>='C:\Users\jaime.benazar\Quorum Business Solutions\Ecopetrol Prometeo - Documents\Planning Space Implementation\3. Analysis &amp; Design\Design\FC22\DRR Jaime\QUIFA-CAJÚA\Cajua\[CAJUA_CF_SEC_New_27-Feb-2024Rev3.xlsx]D-PRB'!$CA$13</t>
  </si>
  <si>
    <t>='C:\Users\jaime.benazar\Quorum Business Solutions\Ecopetrol Prometeo - Documents\Planning Space Implementation\3. Analysis &amp; Design\Design\FC22\DRR Jaime\QUIFA-CAJÚA\Cajua\[CAJUA_CF_SEC_New_27-Feb-2024Rev3.xlsx]D-PRB'!$CA$14</t>
  </si>
  <si>
    <t>='C:\Users\jaime.benazar\Quorum Business Solutions\Ecopetrol Prometeo - Documents\Planning Space Implementation\3. Analysis &amp; Design\Design\FC22\DRR Jaime\QUIFA-CAJÚA\Cajua\[CAJUA_CF_SEC_New_27-Feb-2024Rev3.xlsx]D-PRB'!$CA$15</t>
  </si>
  <si>
    <t>='C:\Users\jaime.benazar\Quorum Business Solutions\Ecopetrol Prometeo - Documents\Planning Space Implementation\3. Analysis &amp; Design\Design\FC22\DRR Jaime\QUIFA-CAJÚA\Cajua\[CAJUA_CF_SEC_New_27-Feb-2024Rev3.xlsx]D-PRB'!$CA$16</t>
  </si>
  <si>
    <t>='C:\Users\jaime.benazar\Quorum Business Solutions\Ecopetrol Prometeo - Documents\Planning Space Implementation\3. Analysis &amp; Design\Design\FC22\DRR Jaime\QUIFA-CAJÚA\Cajua\[CAJUA_CF_SEC_New_27-Feb-2024Rev3.xlsx]D-PRB'!$CA$17</t>
  </si>
  <si>
    <t>='C:\Users\jaime.benazar\Quorum Business Solutions\Ecopetrol Prometeo - Documents\Planning Space Implementation\3. Analysis &amp; Design\Design\FC22\DRR Jaime\QUIFA-CAJÚA\Cajua\[CAJUA_CF_SEC_New_27-Feb-2024Rev3.xlsx]D-PRB'!$CA$18</t>
  </si>
  <si>
    <t>='C:\Users\jaime.benazar\Quorum Business Solutions\Ecopetrol Prometeo - Documents\Planning Space Implementation\3. Analysis &amp; Design\Design\FC22\DRR Jaime\QUIFA-CAJÚA\Cajua\[CAJUA_CF_SEC_New_27-Feb-2024Rev3.xlsx]D-PRB'!$CA$19</t>
  </si>
  <si>
    <t>='C:\Users\jaime.benazar\Quorum Business Solutions\Ecopetrol Prometeo - Documents\Planning Space Implementation\3. Analysis &amp; Design\Design\FC22\DRR Jaime\QUIFA-CAJÚA\Cajua\[CAJUA_CF_SEC_New_27-Feb-2024Rev3.xlsx]D-PRB'!$CA$20</t>
  </si>
  <si>
    <t>='C:\Users\jaime.benazar\Quorum Business Solutions\Ecopetrol Prometeo - Documents\Planning Space Implementation\3. Analysis &amp; Design\Design\FC22\DRR Jaime\QUIFA-CAJÚA\Cajua\[CAJUA_CF_SEC_New_27-Feb-2024Rev3.xlsx]D-PRB'!$CA$21</t>
  </si>
  <si>
    <t>='C:\Users\jaime.benazar\Quorum Business Solutions\Ecopetrol Prometeo - Documents\Planning Space Implementation\3. Analysis &amp; Design\Design\FC22\DRR Jaime\QUIFA-CAJÚA\Cajua\[CAJUA_CF_SEC_New_27-Feb-2024Rev3.xlsx]D-PRB'!$CA$22</t>
  </si>
  <si>
    <t>='C:\Users\jaime.benazar\Quorum Business Solutions\Ecopetrol Prometeo - Documents\Planning Space Implementation\3. Analysis &amp; Design\Design\FC22\DRR Jaime\QUIFA-CAJÚA\Cajua\[CAJUA_CF_SEC_New_27-Feb-2024Rev3.xlsx]D-PRB'!$CA$23</t>
  </si>
  <si>
    <t>='C:\Users\jaime.benazar\Quorum Business Solutions\Ecopetrol Prometeo - Documents\Planning Space Implementation\3. Analysis &amp; Design\Design\FC22\DRR Jaime\QUIFA-CAJÚA\Cajua\[CAJUA_CF_SEC_New_27-Feb-2024Rev3.xlsx]D-PRB'!$CA$24</t>
  </si>
  <si>
    <t>='C:\Users\jaime.benazar\Quorum Business Solutions\Ecopetrol Prometeo - Documents\Planning Space Implementation\3. Analysis &amp; Design\Design\FC22\DRR Jaime\QUIFA-CAJÚA\Cajua\[CAJUA_CF_SEC_New_27-Feb-2024Rev3.xlsx]D-PRB'!$CA$25</t>
  </si>
  <si>
    <t>='C:\Users\jaime.benazar\Quorum Business Solutions\Ecopetrol Prometeo - Documents\Planning Space Implementation\3. Analysis &amp; Design\Design\FC22\DRR Jaime\QUIFA-CAJÚA\Cajua\[CAJUA_CF_SEC_New_27-Feb-2024Rev3.xlsx]D-PRB'!$CA$26</t>
  </si>
  <si>
    <t>='C:\Users\jaime.benazar\Quorum Business Solutions\Ecopetrol Prometeo - Documents\Planning Space Implementation\3. Analysis &amp; Design\Design\FC22\DRR Jaime\QUIFA-CAJÚA\Cajua\[CAJUA_CF_SEC_New_27-Feb-2024Rev3.xlsx]D-PRB'!$CA$27</t>
  </si>
  <si>
    <t>='C:\Users\jaime.benazar\Quorum Business Solutions\Ecopetrol Prometeo - Documents\Planning Space Implementation\3. Analysis &amp; Design\Design\FC22\DRR Jaime\QUIFA-CAJÚA\Cajua\[CAJUA_CF_SEC_New_27-Feb-2024Rev3.xlsx]D-PRB'!$CA$28</t>
  </si>
  <si>
    <t>='C:\Users\jaime.benazar\Quorum Business Solutions\Ecopetrol Prometeo - Documents\Planning Space Implementation\3. Analysis &amp; Design\Design\FC22\DRR Jaime\QUIFA-CAJÚA\Cajua\[CAJUA_CF_SEC_New_27-Feb-2024Rev3.xlsx]D-PRB'!$CA$29</t>
  </si>
  <si>
    <t>='C:\Users\jaime.benazar\Quorum Business Solutions\Ecopetrol Prometeo - Documents\Planning Space Implementation\3. Analysis &amp; Design\Design\FC22\DRR Jaime\QUIFA-CAJÚA\Cajua\[CAJUA_CF_SEC_New_27-Feb-2024Rev3.xlsx]D-PRB'!$CA$30</t>
  </si>
  <si>
    <t>='C:\Users\jaime.benazar\Quorum Business Solutions\Ecopetrol Prometeo - Documents\Planning Space Implementation\3. Analysis &amp; Design\Design\FC22\DRR Jaime\QUIFA-CAJÚA\Cajua\[CAJUA_CF_SEC_New_27-Feb-2024Rev3.xlsx]D-PRB'!$CA$31</t>
  </si>
  <si>
    <t>='C:\Users\jaime.benazar\Quorum Business Solutions\Ecopetrol Prometeo - Documents\Planning Space Implementation\3. Analysis &amp; Design\Design\FC22\DRR Jaime\QUIFA-CAJÚA\Cajua\[CAJUA_CF_SEC_New_27-Feb-2024Rev3.xlsx]D-PRB'!$CA$32</t>
  </si>
  <si>
    <t>='C:\Users\jaime.benazar\Quorum Business Solutions\Ecopetrol Prometeo - Documents\Planning Space Implementation\3. Analysis &amp; Design\Design\FC22\DRR Jaime\QUIFA-CAJÚA\Cajua\[CAJUA_CF_SEC_New_27-Feb-2024Rev3.xlsx]D-PRB'!$CA$33</t>
  </si>
  <si>
    <t>='C:\Users\jaime.benazar\Quorum Business Solutions\Ecopetrol Prometeo - Documents\Planning Space Implementation\3. Analysis &amp; Design\Design\FC22\DRR Jaime\QUIFA-CAJÚA\Cajua\[CAJUA_CF_SEC_New_27-Feb-2024Rev3.xlsx]D-PRB'!$CA$34</t>
  </si>
  <si>
    <t>='C:\Users\jaime.benazar\Quorum Business Solutions\Ecopetrol Prometeo - Documents\Planning Space Implementation\3. Analysis &amp; Design\Design\FC22\DRR Jaime\QUIFA-CAJÚA\Cajua\[CAJUA_CF_SEC_New_27-Feb-2024Rev3.xlsx]D-PRB'!$CA$35</t>
  </si>
  <si>
    <t>='C:\Users\jaime.benazar\Quorum Business Solutions\Ecopetrol Prometeo - Documents\Planning Space Implementation\3. Analysis &amp; Design\Design\FC22\DRR Jaime\QUIFA-CAJÚA\Cajua\[CAJUA_CF_SEC_New_27-Feb-2024Rev3.xlsx]D-PRB'!$CA$36</t>
  </si>
  <si>
    <t>='C:\Users\jaime.benazar\Quorum Business Solutions\Ecopetrol Prometeo - Documents\Planning Space Implementation\3. Analysis &amp; Design\Design\FC22\DRR Jaime\QUIFA-CAJÚA\Cajua\[CAJUA_CF_SEC_New_27-Feb-2024Rev3.xlsx]D-PRB'!$CA$37</t>
  </si>
  <si>
    <t>='C:\Users\jaime.benazar\Quorum Business Solutions\Ecopetrol Prometeo - Documents\Planning Space Implementation\3. Analysis &amp; Design\Design\FC22\DRR Jaime\QUIFA-CAJÚA\Cajua\[CAJUA_CF_SEC_New_27-Feb-2024Rev3.xlsx]D-PRB'!$CA$38</t>
  </si>
  <si>
    <t>='C:\Users\jaime.benazar\Quorum Business Solutions\Ecopetrol Prometeo - Documents\Planning Space Implementation\3. Analysis &amp; Design\Design\FC22\DRR Jaime\QUIFA-CAJÚA\Cajua\[CAJUA_CF_SEC_New_27-Feb-2024Rev3.xlsx]D-PRB'!$CA$39</t>
  </si>
  <si>
    <t>='C:\Users\jaime.benazar\Quorum Business Solutions\Ecopetrol Prometeo - Documents\Planning Space Implementation\3. Analysis &amp; Design\Design\FC22\DRR Jaime\QUIFA-CAJÚA\Cajua\[CAJUA_CF_SEC_New_27-Feb-2024Rev3.xlsx]D-PRB'!$CA$40</t>
  </si>
  <si>
    <t>='C:\Users\jaime.benazar\Quorum Business Solutions\Ecopetrol Prometeo - Documents\Planning Space Implementation\3. Analysis &amp; Design\Design\FC22\DRR Jaime\QUIFA-CAJÚA\Cajua\[CAJUA_CF_SEC_New_27-Feb-2024Rev3.xlsx]D-PRB'!$CA$41</t>
  </si>
  <si>
    <t>='C:\Users\jaime.benazar\Quorum Business Solutions\Ecopetrol Prometeo - Documents\Planning Space Implementation\3. Analysis &amp; Design\Design\FC22\DRR Jaime\QUIFA-CAJÚA\Cajua\[CAJUA_CF_SEC_New_27-Feb-2024Rev3.xlsx]D-PRB'!$CA$42</t>
  </si>
  <si>
    <t>='C:\Users\jaime.benazar\Quorum Business Solutions\Ecopetrol Prometeo - Documents\Planning Space Implementation\3. Analysis &amp; Design\Design\FC22\DRR Jaime\QUIFA-CAJÚA\Cajua\[CAJUA_CF_SEC_New_27-Feb-2024Rev3.xlsx]D-PRB'!$CA$43</t>
  </si>
  <si>
    <t>='C:\Users\jaime.benazar\Quorum Business Solutions\Ecopetrol Prometeo - Documents\Planning Space Implementation\3. Analysis &amp; Design\Design\FC22\DRR Jaime\QUIFA-CAJÚA\Cajua\[CAJUA_CF_SEC_New_27-Feb-2024Rev3.xlsx]D-PRB'!$CA$44</t>
  </si>
  <si>
    <t>='C:\Users\jaime.benazar\Quorum Business Solutions\Ecopetrol Prometeo - Documents\Planning Space Implementation\3. Analysis &amp; Design\Design\FC22\DRR Jaime\QUIFA-CAJÚA\Cajua\[CAJUA_CF_SEC_New_27-Feb-2024Rev3.xlsx]D-PRB'!$CA$45</t>
  </si>
  <si>
    <t>='C:\Users\jaime.benazar\Quorum Business Solutions\Ecopetrol Prometeo - Documents\Planning Space Implementation\3. Analysis &amp; Design\Design\FC22\DRR Jaime\QUIFA-CAJÚA\Cajua\[CAJUA_CF_SEC_New_27-Feb-2024Rev3.xlsx]D-PRB'!$CA$46</t>
  </si>
  <si>
    <t>='C:\Users\jaime.benazar\Quorum Business Solutions\Ecopetrol Prometeo - Documents\Planning Space Implementation\3. Analysis &amp; Design\Design\FC22\DRR Jaime\QUIFA-CAJÚA\Cajua\[CAJUA_CF_SEC_New_27-Feb-2024Rev3.xlsx]D-PRB'!$CA$47</t>
  </si>
  <si>
    <t>='C:\Users\jaime.benazar\Quorum Business Solutions\Ecopetrol Prometeo - Documents\Planning Space Implementation\3. Analysis &amp; Design\Design\FC22\DRR Jaime\QUIFA-CAJÚA\Cajua\[CAJUA_CF_SEC_New_27-Feb-2024Rev3.xlsx]D-PRB'!$CA$48</t>
  </si>
  <si>
    <t>='C:\Users\jaime.benazar\Quorum Business Solutions\Ecopetrol Prometeo - Documents\Planning Space Implementation\3. Analysis &amp; Design\Design\FC22\DRR Jaime\QUIFA-CAJÚA\Cajua\[CAJUA_CF_SEC_New_27-Feb-2024Rev3.xlsx]D-PS'!$CA$12</t>
  </si>
  <si>
    <t>='C:\Users\jaime.benazar\Quorum Business Solutions\Ecopetrol Prometeo - Documents\Planning Space Implementation\3. Analysis &amp; Design\Design\FC22\DRR Jaime\QUIFA-CAJÚA\Cajua\[CAJUA_CF_SEC_New_27-Feb-2024Rev3.xlsx]D-PS'!$CA$13</t>
  </si>
  <si>
    <t>='C:\Users\jaime.benazar\Quorum Business Solutions\Ecopetrol Prometeo - Documents\Planning Space Implementation\3. Analysis &amp; Design\Design\FC22\DRR Jaime\QUIFA-CAJÚA\Cajua\[CAJUA_CF_SEC_New_27-Feb-2024Rev3.xlsx]D-PS'!$CA$14</t>
  </si>
  <si>
    <t>='C:\Users\jaime.benazar\Quorum Business Solutions\Ecopetrol Prometeo - Documents\Planning Space Implementation\3. Analysis &amp; Design\Design\FC22\DRR Jaime\QUIFA-CAJÚA\Cajua\[CAJUA_CF_SEC_New_27-Feb-2024Rev3.xlsx]D-PS'!$CA$15</t>
  </si>
  <si>
    <t>='C:\Users\jaime.benazar\Quorum Business Solutions\Ecopetrol Prometeo - Documents\Planning Space Implementation\3. Analysis &amp; Design\Design\FC22\DRR Jaime\QUIFA-CAJÚA\Cajua\[CAJUA_CF_SEC_New_27-Feb-2024Rev3.xlsx]D-PS'!$CA$16</t>
  </si>
  <si>
    <t>='C:\Users\jaime.benazar\Quorum Business Solutions\Ecopetrol Prometeo - Documents\Planning Space Implementation\3. Analysis &amp; Design\Design\FC22\DRR Jaime\QUIFA-CAJÚA\Cajua\[CAJUA_CF_SEC_New_27-Feb-2024Rev3.xlsx]D-PS'!$CA$17</t>
  </si>
  <si>
    <t>='C:\Users\jaime.benazar\Quorum Business Solutions\Ecopetrol Prometeo - Documents\Planning Space Implementation\3. Analysis &amp; Design\Design\FC22\DRR Jaime\QUIFA-CAJÚA\Cajua\[CAJUA_CF_SEC_New_27-Feb-2024Rev3.xlsx]D-PS'!$CA$18</t>
  </si>
  <si>
    <t>='C:\Users\jaime.benazar\Quorum Business Solutions\Ecopetrol Prometeo - Documents\Planning Space Implementation\3. Analysis &amp; Design\Design\FC22\DRR Jaime\QUIFA-CAJÚA\Cajua\[CAJUA_CF_SEC_New_27-Feb-2024Rev3.xlsx]D-PS'!$CA$19</t>
  </si>
  <si>
    <t>='C:\Users\jaime.benazar\Quorum Business Solutions\Ecopetrol Prometeo - Documents\Planning Space Implementation\3. Analysis &amp; Design\Design\FC22\DRR Jaime\QUIFA-CAJÚA\Cajua\[CAJUA_CF_SEC_New_27-Feb-2024Rev3.xlsx]D-PS'!$CA$20</t>
  </si>
  <si>
    <t>='C:\Users\jaime.benazar\Quorum Business Solutions\Ecopetrol Prometeo - Documents\Planning Space Implementation\3. Analysis &amp; Design\Design\FC22\DRR Jaime\QUIFA-CAJÚA\Cajua\[CAJUA_CF_SEC_New_27-Feb-2024Rev3.xlsx]D-PS'!$CA$21</t>
  </si>
  <si>
    <t>='C:\Users\jaime.benazar\Quorum Business Solutions\Ecopetrol Prometeo - Documents\Planning Space Implementation\3. Analysis &amp; Design\Design\FC22\DRR Jaime\QUIFA-CAJÚA\Cajua\[CAJUA_CF_SEC_New_27-Feb-2024Rev3.xlsx]D-PS'!$CA$22</t>
  </si>
  <si>
    <t>='C:\Users\jaime.benazar\Quorum Business Solutions\Ecopetrol Prometeo - Documents\Planning Space Implementation\3. Analysis &amp; Design\Design\FC22\DRR Jaime\QUIFA-CAJÚA\Cajua\[CAJUA_CF_SEC_New_27-Feb-2024Rev3.xlsx]D-PS'!$CA$23</t>
  </si>
  <si>
    <t>='C:\Users\jaime.benazar\Quorum Business Solutions\Ecopetrol Prometeo - Documents\Planning Space Implementation\3. Analysis &amp; Design\Design\FC22\DRR Jaime\QUIFA-CAJÚA\Cajua\[CAJUA_CF_SEC_New_27-Feb-2024Rev3.xlsx]D-PS'!$CA$24</t>
  </si>
  <si>
    <t>='C:\Users\jaime.benazar\Quorum Business Solutions\Ecopetrol Prometeo - Documents\Planning Space Implementation\3. Analysis &amp; Design\Design\FC22\DRR Jaime\QUIFA-CAJÚA\Cajua\[CAJUA_CF_SEC_New_27-Feb-2024Rev3.xlsx]D-PS'!$CA$25</t>
  </si>
  <si>
    <t>='C:\Users\jaime.benazar\Quorum Business Solutions\Ecopetrol Prometeo - Documents\Planning Space Implementation\3. Analysis &amp; Design\Design\FC22\DRR Jaime\QUIFA-CAJÚA\Cajua\[CAJUA_CF_SEC_New_27-Feb-2024Rev3.xlsx]D-PS'!$CA$26</t>
  </si>
  <si>
    <t>='C:\Users\jaime.benazar\Quorum Business Solutions\Ecopetrol Prometeo - Documents\Planning Space Implementation\3. Analysis &amp; Design\Design\FC22\DRR Jaime\QUIFA-CAJÚA\Cajua\[CAJUA_CF_SEC_New_27-Feb-2024Rev3.xlsx]D-PS'!$CA$27</t>
  </si>
  <si>
    <t>='C:\Users\jaime.benazar\Quorum Business Solutions\Ecopetrol Prometeo - Documents\Planning Space Implementation\3. Analysis &amp; Design\Design\FC22\DRR Jaime\QUIFA-CAJÚA\Cajua\[CAJUA_CF_SEC_New_27-Feb-2024Rev3.xlsx]D-PS'!$CA$28</t>
  </si>
  <si>
    <t>='C:\Users\jaime.benazar\Quorum Business Solutions\Ecopetrol Prometeo - Documents\Planning Space Implementation\3. Analysis &amp; Design\Design\FC22\DRR Jaime\QUIFA-CAJÚA\Cajua\[CAJUA_CF_SEC_New_27-Feb-2024Rev3.xlsx]D-PS'!$CA$29</t>
  </si>
  <si>
    <t>='C:\Users\jaime.benazar\Quorum Business Solutions\Ecopetrol Prometeo - Documents\Planning Space Implementation\3. Analysis &amp; Design\Design\FC22\DRR Jaime\QUIFA-CAJÚA\Cajua\[CAJUA_CF_SEC_New_27-Feb-2024Rev3.xlsx]D-PS'!$CA$30</t>
  </si>
  <si>
    <t>='C:\Users\jaime.benazar\Quorum Business Solutions\Ecopetrol Prometeo - Documents\Planning Space Implementation\3. Analysis &amp; Design\Design\FC22\DRR Jaime\QUIFA-CAJÚA\Cajua\[CAJUA_CF_SEC_New_27-Feb-2024Rev3.xlsx]D-PS'!$CA$31</t>
  </si>
  <si>
    <t>='C:\Users\jaime.benazar\Quorum Business Solutions\Ecopetrol Prometeo - Documents\Planning Space Implementation\3. Analysis &amp; Design\Design\FC22\DRR Jaime\QUIFA-CAJÚA\Cajua\[CAJUA_CF_SEC_New_27-Feb-2024Rev3.xlsx]D-PS'!$CA$32</t>
  </si>
  <si>
    <t>='C:\Users\jaime.benazar\Quorum Business Solutions\Ecopetrol Prometeo - Documents\Planning Space Implementation\3. Analysis &amp; Design\Design\FC22\DRR Jaime\QUIFA-CAJÚA\Cajua\[CAJUA_CF_SEC_New_27-Feb-2024Rev3.xlsx]D-PS'!$CA$33</t>
  </si>
  <si>
    <t>='C:\Users\jaime.benazar\Quorum Business Solutions\Ecopetrol Prometeo - Documents\Planning Space Implementation\3. Analysis &amp; Design\Design\FC22\DRR Jaime\QUIFA-CAJÚA\Cajua\[CAJUA_CF_SEC_New_27-Feb-2024Rev3.xlsx]D-PS'!$CA$34</t>
  </si>
  <si>
    <t>='C:\Users\jaime.benazar\Quorum Business Solutions\Ecopetrol Prometeo - Documents\Planning Space Implementation\3. Analysis &amp; Design\Design\FC22\DRR Jaime\QUIFA-CAJÚA\Cajua\[CAJUA_CF_SEC_New_27-Feb-2024Rev3.xlsx]D-PS'!$CA$35</t>
  </si>
  <si>
    <t>='C:\Users\jaime.benazar\Quorum Business Solutions\Ecopetrol Prometeo - Documents\Planning Space Implementation\3. Analysis &amp; Design\Design\FC22\DRR Jaime\QUIFA-CAJÚA\Cajua\[CAJUA_CF_SEC_New_27-Feb-2024Rev3.xlsx]D-PS'!$CA$36</t>
  </si>
  <si>
    <t>='C:\Users\jaime.benazar\Quorum Business Solutions\Ecopetrol Prometeo - Documents\Planning Space Implementation\3. Analysis &amp; Design\Design\FC22\DRR Jaime\QUIFA-CAJÚA\Cajua\[CAJUA_CF_SEC_New_27-Feb-2024Rev3.xlsx]D-PS'!$CA$37</t>
  </si>
  <si>
    <t>='C:\Users\jaime.benazar\Quorum Business Solutions\Ecopetrol Prometeo - Documents\Planning Space Implementation\3. Analysis &amp; Design\Design\FC22\DRR Jaime\QUIFA-CAJÚA\Cajua\[CAJUA_CF_SEC_New_27-Feb-2024Rev3.xlsx]D-PS'!$CA$38</t>
  </si>
  <si>
    <t>='C:\Users\jaime.benazar\Quorum Business Solutions\Ecopetrol Prometeo - Documents\Planning Space Implementation\3. Analysis &amp; Design\Design\FC22\DRR Jaime\QUIFA-CAJÚA\Cajua\[CAJUA_CF_SEC_New_27-Feb-2024Rev3.xlsx]D-PS'!$CA$39</t>
  </si>
  <si>
    <t>='C:\Users\jaime.benazar\Quorum Business Solutions\Ecopetrol Prometeo - Documents\Planning Space Implementation\3. Analysis &amp; Design\Design\FC22\DRR Jaime\QUIFA-CAJÚA\Cajua\[CAJUA_CF_SEC_New_27-Feb-2024Rev3.xlsx]D-PS'!$CA$40</t>
  </si>
  <si>
    <t>='C:\Users\jaime.benazar\Quorum Business Solutions\Ecopetrol Prometeo - Documents\Planning Space Implementation\3. Analysis &amp; Design\Design\FC22\DRR Jaime\QUIFA-CAJÚA\Cajua\[CAJUA_CF_SEC_New_27-Feb-2024Rev3.xlsx]D-PS'!$CA$41</t>
  </si>
  <si>
    <t>='C:\Users\jaime.benazar\Quorum Business Solutions\Ecopetrol Prometeo - Documents\Planning Space Implementation\3. Analysis &amp; Design\Design\FC22\DRR Jaime\QUIFA-CAJÚA\Cajua\[CAJUA_CF_SEC_New_27-Feb-2024Rev3.xlsx]D-PS'!$CA$42</t>
  </si>
  <si>
    <t>='C:\Users\jaime.benazar\Quorum Business Solutions\Ecopetrol Prometeo - Documents\Planning Space Implementation\3. Analysis &amp; Design\Design\FC22\DRR Jaime\QUIFA-CAJÚA\Cajua\[CAJUA_CF_SEC_New_27-Feb-2024Rev3.xlsx]D-PS'!$CA$43</t>
  </si>
  <si>
    <t>='C:\Users\jaime.benazar\Quorum Business Solutions\Ecopetrol Prometeo - Documents\Planning Space Implementation\3. Analysis &amp; Design\Design\FC22\DRR Jaime\QUIFA-CAJÚA\Cajua\[CAJUA_CF_SEC_New_27-Feb-2024Rev3.xlsx]D-PS'!$CA$44</t>
  </si>
  <si>
    <t>='C:\Users\jaime.benazar\Quorum Business Solutions\Ecopetrol Prometeo - Documents\Planning Space Implementation\3. Analysis &amp; Design\Design\FC22\DRR Jaime\QUIFA-CAJÚA\Cajua\[CAJUA_CF_SEC_New_27-Feb-2024Rev3.xlsx]D-PS'!$CA$45</t>
  </si>
  <si>
    <t>='C:\Users\jaime.benazar\Quorum Business Solutions\Ecopetrol Prometeo - Documents\Planning Space Implementation\3. Analysis &amp; Design\Design\FC22\DRR Jaime\QUIFA-CAJÚA\Cajua\[CAJUA_CF_SEC_New_27-Feb-2024Rev3.xlsx]D-PS'!$CA$46</t>
  </si>
  <si>
    <t>='C:\Users\jaime.benazar\Quorum Business Solutions\Ecopetrol Prometeo - Documents\Planning Space Implementation\3. Analysis &amp; Design\Design\FC22\DRR Jaime\QUIFA-CAJÚA\Cajua\[CAJUA_CF_SEC_New_27-Feb-2024Rev3.xlsx]D-PS'!$CA$47</t>
  </si>
  <si>
    <t>='C:\Users\jaime.benazar\Quorum Business Solutions\Ecopetrol Prometeo - Documents\Planning Space Implementation\3. Analysis &amp; Design\Design\FC22\DRR Jaime\QUIFA-CAJÚA\Cajua\[CAJUA_CF_SEC_New_27-Feb-2024Rev3.xlsx]D-PS'!$CA$48</t>
  </si>
  <si>
    <t>='C:\Users\jaime.benazar\Quorum Business Solutions\Ecopetrol Prometeo - Documents\Planning Space Implementation\3. Analysis &amp; Design\Design\FC22\DRR Jaime\QUIFA-CAJÚA\Cajua\[CAJUA_CF_SEC_New_27-Feb-2024Rev3.xlsx]D-PDP'!$BX$12</t>
  </si>
  <si>
    <t>='C:\Users\jaime.benazar\Quorum Business Solutions\Ecopetrol Prometeo - Documents\Planning Space Implementation\3. Analysis &amp; Design\Design\FC22\DRR Jaime\QUIFA-CAJÚA\Cajua\[CAJUA_CF_SEC_New_27-Feb-2024Rev3.xlsx]D-PDP'!$BX$13</t>
  </si>
  <si>
    <t>='C:\Users\jaime.benazar\Quorum Business Solutions\Ecopetrol Prometeo - Documents\Planning Space Implementation\3. Analysis &amp; Design\Design\FC22\DRR Jaime\QUIFA-CAJÚA\Cajua\[CAJUA_CF_SEC_New_27-Feb-2024Rev3.xlsx]D-PDP'!$BX$14</t>
  </si>
  <si>
    <t>='C:\Users\jaime.benazar\Quorum Business Solutions\Ecopetrol Prometeo - Documents\Planning Space Implementation\3. Analysis &amp; Design\Design\FC22\DRR Jaime\QUIFA-CAJÚA\Cajua\[CAJUA_CF_SEC_New_27-Feb-2024Rev3.xlsx]D-PDP'!$BX$15</t>
  </si>
  <si>
    <t>='C:\Users\jaime.benazar\Quorum Business Solutions\Ecopetrol Prometeo - Documents\Planning Space Implementation\3. Analysis &amp; Design\Design\FC22\DRR Jaime\QUIFA-CAJÚA\Cajua\[CAJUA_CF_SEC_New_27-Feb-2024Rev3.xlsx]D-PDP'!$BX$16</t>
  </si>
  <si>
    <t>='C:\Users\jaime.benazar\Quorum Business Solutions\Ecopetrol Prometeo - Documents\Planning Space Implementation\3. Analysis &amp; Design\Design\FC22\DRR Jaime\QUIFA-CAJÚA\Cajua\[CAJUA_CF_SEC_New_27-Feb-2024Rev3.xlsx]D-PDP'!$BX$17</t>
  </si>
  <si>
    <t>='C:\Users\jaime.benazar\Quorum Business Solutions\Ecopetrol Prometeo - Documents\Planning Space Implementation\3. Analysis &amp; Design\Design\FC22\DRR Jaime\QUIFA-CAJÚA\Cajua\[CAJUA_CF_SEC_New_27-Feb-2024Rev3.xlsx]D-PDP'!$BX$18</t>
  </si>
  <si>
    <t>='C:\Users\jaime.benazar\Quorum Business Solutions\Ecopetrol Prometeo - Documents\Planning Space Implementation\3. Analysis &amp; Design\Design\FC22\DRR Jaime\QUIFA-CAJÚA\Cajua\[CAJUA_CF_SEC_New_27-Feb-2024Rev3.xlsx]D-PDP'!$BX$19</t>
  </si>
  <si>
    <t>='C:\Users\jaime.benazar\Quorum Business Solutions\Ecopetrol Prometeo - Documents\Planning Space Implementation\3. Analysis &amp; Design\Design\FC22\DRR Jaime\QUIFA-CAJÚA\Cajua\[CAJUA_CF_SEC_New_27-Feb-2024Rev3.xlsx]D-PDP'!$BX$20</t>
  </si>
  <si>
    <t>='C:\Users\jaime.benazar\Quorum Business Solutions\Ecopetrol Prometeo - Documents\Planning Space Implementation\3. Analysis &amp; Design\Design\FC22\DRR Jaime\QUIFA-CAJÚA\Cajua\[CAJUA_CF_SEC_New_27-Feb-2024Rev3.xlsx]D-PDP'!$BX$21</t>
  </si>
  <si>
    <t>='C:\Users\jaime.benazar\Quorum Business Solutions\Ecopetrol Prometeo - Documents\Planning Space Implementation\3. Analysis &amp; Design\Design\FC22\DRR Jaime\QUIFA-CAJÚA\Cajua\[CAJUA_CF_SEC_New_27-Feb-2024Rev3.xlsx]D-PDP'!$BX$22</t>
  </si>
  <si>
    <t>='C:\Users\jaime.benazar\Quorum Business Solutions\Ecopetrol Prometeo - Documents\Planning Space Implementation\3. Analysis &amp; Design\Design\FC22\DRR Jaime\QUIFA-CAJÚA\Cajua\[CAJUA_CF_SEC_New_27-Feb-2024Rev3.xlsx]D-PDP'!$BX$23</t>
  </si>
  <si>
    <t>='C:\Users\jaime.benazar\Quorum Business Solutions\Ecopetrol Prometeo - Documents\Planning Space Implementation\3. Analysis &amp; Design\Design\FC22\DRR Jaime\QUIFA-CAJÚA\Cajua\[CAJUA_CF_SEC_New_27-Feb-2024Rev3.xlsx]D-PDP'!$BX$24</t>
  </si>
  <si>
    <t>='C:\Users\jaime.benazar\Quorum Business Solutions\Ecopetrol Prometeo - Documents\Planning Space Implementation\3. Analysis &amp; Design\Design\FC22\DRR Jaime\QUIFA-CAJÚA\Cajua\[CAJUA_CF_SEC_New_27-Feb-2024Rev3.xlsx]D-PDP'!$BX$25</t>
  </si>
  <si>
    <t>='C:\Users\jaime.benazar\Quorum Business Solutions\Ecopetrol Prometeo - Documents\Planning Space Implementation\3. Analysis &amp; Design\Design\FC22\DRR Jaime\QUIFA-CAJÚA\Cajua\[CAJUA_CF_SEC_New_27-Feb-2024Rev3.xlsx]D-PDP'!$BX$26</t>
  </si>
  <si>
    <t>='C:\Users\jaime.benazar\Quorum Business Solutions\Ecopetrol Prometeo - Documents\Planning Space Implementation\3. Analysis &amp; Design\Design\FC22\DRR Jaime\QUIFA-CAJÚA\Cajua\[CAJUA_CF_SEC_New_27-Feb-2024Rev3.xlsx]D-PDP'!$BX$27</t>
  </si>
  <si>
    <t>='C:\Users\jaime.benazar\Quorum Business Solutions\Ecopetrol Prometeo - Documents\Planning Space Implementation\3. Analysis &amp; Design\Design\FC22\DRR Jaime\QUIFA-CAJÚA\Cajua\[CAJUA_CF_SEC_New_27-Feb-2024Rev3.xlsx]D-PDP'!$BX$28</t>
  </si>
  <si>
    <t>='C:\Users\jaime.benazar\Quorum Business Solutions\Ecopetrol Prometeo - Documents\Planning Space Implementation\3. Analysis &amp; Design\Design\FC22\DRR Jaime\QUIFA-CAJÚA\Cajua\[CAJUA_CF_SEC_New_27-Feb-2024Rev3.xlsx]D-PDP'!$BX$29</t>
  </si>
  <si>
    <t>='C:\Users\jaime.benazar\Quorum Business Solutions\Ecopetrol Prometeo - Documents\Planning Space Implementation\3. Analysis &amp; Design\Design\FC22\DRR Jaime\QUIFA-CAJÚA\Cajua\[CAJUA_CF_SEC_New_27-Feb-2024Rev3.xlsx]D-PDP'!$BX$30</t>
  </si>
  <si>
    <t>='C:\Users\jaime.benazar\Quorum Business Solutions\Ecopetrol Prometeo - Documents\Planning Space Implementation\3. Analysis &amp; Design\Design\FC22\DRR Jaime\QUIFA-CAJÚA\Cajua\[CAJUA_CF_SEC_New_27-Feb-2024Rev3.xlsx]D-PDP'!$BX$31</t>
  </si>
  <si>
    <t>='C:\Users\jaime.benazar\Quorum Business Solutions\Ecopetrol Prometeo - Documents\Planning Space Implementation\3. Analysis &amp; Design\Design\FC22\DRR Jaime\QUIFA-CAJÚA\Cajua\[CAJUA_CF_SEC_New_27-Feb-2024Rev3.xlsx]D-PDP'!$BX$32</t>
  </si>
  <si>
    <t>='C:\Users\jaime.benazar\Quorum Business Solutions\Ecopetrol Prometeo - Documents\Planning Space Implementation\3. Analysis &amp; Design\Design\FC22\DRR Jaime\QUIFA-CAJÚA\Cajua\[CAJUA_CF_SEC_New_27-Feb-2024Rev3.xlsx]D-PDP'!$BX$33</t>
  </si>
  <si>
    <t>='C:\Users\jaime.benazar\Quorum Business Solutions\Ecopetrol Prometeo - Documents\Planning Space Implementation\3. Analysis &amp; Design\Design\FC22\DRR Jaime\QUIFA-CAJÚA\Cajua\[CAJUA_CF_SEC_New_27-Feb-2024Rev3.xlsx]D-PDP'!$BX$34</t>
  </si>
  <si>
    <t>='C:\Users\jaime.benazar\Quorum Business Solutions\Ecopetrol Prometeo - Documents\Planning Space Implementation\3. Analysis &amp; Design\Design\FC22\DRR Jaime\QUIFA-CAJÚA\Cajua\[CAJUA_CF_SEC_New_27-Feb-2024Rev3.xlsx]D-PDP'!$BX$35</t>
  </si>
  <si>
    <t>='C:\Users\jaime.benazar\Quorum Business Solutions\Ecopetrol Prometeo - Documents\Planning Space Implementation\3. Analysis &amp; Design\Design\FC22\DRR Jaime\QUIFA-CAJÚA\Cajua\[CAJUA_CF_SEC_New_27-Feb-2024Rev3.xlsx]D-PDP'!$BX$36</t>
  </si>
  <si>
    <t>='C:\Users\jaime.benazar\Quorum Business Solutions\Ecopetrol Prometeo - Documents\Planning Space Implementation\3. Analysis &amp; Design\Design\FC22\DRR Jaime\QUIFA-CAJÚA\Cajua\[CAJUA_CF_SEC_New_27-Feb-2024Rev3.xlsx]D-PDP'!$BX$37</t>
  </si>
  <si>
    <t>='C:\Users\jaime.benazar\Quorum Business Solutions\Ecopetrol Prometeo - Documents\Planning Space Implementation\3. Analysis &amp; Design\Design\FC22\DRR Jaime\QUIFA-CAJÚA\Cajua\[CAJUA_CF_SEC_New_27-Feb-2024Rev3.xlsx]D-PDP'!$BX$38</t>
  </si>
  <si>
    <t>='C:\Users\jaime.benazar\Quorum Business Solutions\Ecopetrol Prometeo - Documents\Planning Space Implementation\3. Analysis &amp; Design\Design\FC22\DRR Jaime\QUIFA-CAJÚA\Cajua\[CAJUA_CF_SEC_New_27-Feb-2024Rev3.xlsx]D-PDP'!$BX$39</t>
  </si>
  <si>
    <t>='C:\Users\jaime.benazar\Quorum Business Solutions\Ecopetrol Prometeo - Documents\Planning Space Implementation\3. Analysis &amp; Design\Design\FC22\DRR Jaime\QUIFA-CAJÚA\Cajua\[CAJUA_CF_SEC_New_27-Feb-2024Rev3.xlsx]D-PDP'!$BX$40</t>
  </si>
  <si>
    <t>='C:\Users\jaime.benazar\Quorum Business Solutions\Ecopetrol Prometeo - Documents\Planning Space Implementation\3. Analysis &amp; Design\Design\FC22\DRR Jaime\QUIFA-CAJÚA\Cajua\[CAJUA_CF_SEC_New_27-Feb-2024Rev3.xlsx]D-PDP'!$BX$41</t>
  </si>
  <si>
    <t>='C:\Users\jaime.benazar\Quorum Business Solutions\Ecopetrol Prometeo - Documents\Planning Space Implementation\3. Analysis &amp; Design\Design\FC22\DRR Jaime\QUIFA-CAJÚA\Cajua\[CAJUA_CF_SEC_New_27-Feb-2024Rev3.xlsx]D-PDP'!$BX$42</t>
  </si>
  <si>
    <t>='C:\Users\jaime.benazar\Quorum Business Solutions\Ecopetrol Prometeo - Documents\Planning Space Implementation\3. Analysis &amp; Design\Design\FC22\DRR Jaime\QUIFA-CAJÚA\Cajua\[CAJUA_CF_SEC_New_27-Feb-2024Rev3.xlsx]D-PDP'!$BX$43</t>
  </si>
  <si>
    <t>='C:\Users\jaime.benazar\Quorum Business Solutions\Ecopetrol Prometeo - Documents\Planning Space Implementation\3. Analysis &amp; Design\Design\FC22\DRR Jaime\QUIFA-CAJÚA\Cajua\[CAJUA_CF_SEC_New_27-Feb-2024Rev3.xlsx]D-PDP'!$BX$44</t>
  </si>
  <si>
    <t>='C:\Users\jaime.benazar\Quorum Business Solutions\Ecopetrol Prometeo - Documents\Planning Space Implementation\3. Analysis &amp; Design\Design\FC22\DRR Jaime\QUIFA-CAJÚA\Cajua\[CAJUA_CF_SEC_New_27-Feb-2024Rev3.xlsx]D-PDP'!$BX$45</t>
  </si>
  <si>
    <t>='C:\Users\jaime.benazar\Quorum Business Solutions\Ecopetrol Prometeo - Documents\Planning Space Implementation\3. Analysis &amp; Design\Design\FC22\DRR Jaime\QUIFA-CAJÚA\Cajua\[CAJUA_CF_SEC_New_27-Feb-2024Rev3.xlsx]D-PDP'!$BX$46</t>
  </si>
  <si>
    <t>='C:\Users\jaime.benazar\Quorum Business Solutions\Ecopetrol Prometeo - Documents\Planning Space Implementation\3. Analysis &amp; Design\Design\FC22\DRR Jaime\QUIFA-CAJÚA\Cajua\[CAJUA_CF_SEC_New_27-Feb-2024Rev3.xlsx]D-PDP'!$BX$47</t>
  </si>
  <si>
    <t>='C:\Users\jaime.benazar\Quorum Business Solutions\Ecopetrol Prometeo - Documents\Planning Space Implementation\3. Analysis &amp; Design\Design\FC22\DRR Jaime\QUIFA-CAJÚA\Cajua\[CAJUA_CF_SEC_New_27-Feb-2024Rev3.xlsx]D-PDP'!$BX$48</t>
  </si>
  <si>
    <t>='C:\Users\jaime.benazar\Quorum Business Solutions\Ecopetrol Prometeo - Documents\Planning Space Implementation\3. Analysis &amp; Design\Design\FC22\DRR Jaime\QUIFA-CAJÚA\Cajua\[CAJUA_CF_SEC_New_27-Feb-2024Rev3.xlsx]D-PNP'!$BX$12</t>
  </si>
  <si>
    <t>='C:\Users\jaime.benazar\Quorum Business Solutions\Ecopetrol Prometeo - Documents\Planning Space Implementation\3. Analysis &amp; Design\Design\FC22\DRR Jaime\QUIFA-CAJÚA\Cajua\[CAJUA_CF_SEC_New_27-Feb-2024Rev3.xlsx]D-PNP'!$BX$13</t>
  </si>
  <si>
    <t>='C:\Users\jaime.benazar\Quorum Business Solutions\Ecopetrol Prometeo - Documents\Planning Space Implementation\3. Analysis &amp; Design\Design\FC22\DRR Jaime\QUIFA-CAJÚA\Cajua\[CAJUA_CF_SEC_New_27-Feb-2024Rev3.xlsx]D-PNP'!$BX$14</t>
  </si>
  <si>
    <t>='C:\Users\jaime.benazar\Quorum Business Solutions\Ecopetrol Prometeo - Documents\Planning Space Implementation\3. Analysis &amp; Design\Design\FC22\DRR Jaime\QUIFA-CAJÚA\Cajua\[CAJUA_CF_SEC_New_27-Feb-2024Rev3.xlsx]D-PNP'!$BX$15</t>
  </si>
  <si>
    <t>='C:\Users\jaime.benazar\Quorum Business Solutions\Ecopetrol Prometeo - Documents\Planning Space Implementation\3. Analysis &amp; Design\Design\FC22\DRR Jaime\QUIFA-CAJÚA\Cajua\[CAJUA_CF_SEC_New_27-Feb-2024Rev3.xlsx]D-PNP'!$BX$16</t>
  </si>
  <si>
    <t>='C:\Users\jaime.benazar\Quorum Business Solutions\Ecopetrol Prometeo - Documents\Planning Space Implementation\3. Analysis &amp; Design\Design\FC22\DRR Jaime\QUIFA-CAJÚA\Cajua\[CAJUA_CF_SEC_New_27-Feb-2024Rev3.xlsx]D-PNP'!$BX$17</t>
  </si>
  <si>
    <t>='C:\Users\jaime.benazar\Quorum Business Solutions\Ecopetrol Prometeo - Documents\Planning Space Implementation\3. Analysis &amp; Design\Design\FC22\DRR Jaime\QUIFA-CAJÚA\Cajua\[CAJUA_CF_SEC_New_27-Feb-2024Rev3.xlsx]D-PNP'!$BX$18</t>
  </si>
  <si>
    <t>='C:\Users\jaime.benazar\Quorum Business Solutions\Ecopetrol Prometeo - Documents\Planning Space Implementation\3. Analysis &amp; Design\Design\FC22\DRR Jaime\QUIFA-CAJÚA\Cajua\[CAJUA_CF_SEC_New_27-Feb-2024Rev3.xlsx]D-PNP'!$BX$19</t>
  </si>
  <si>
    <t>='C:\Users\jaime.benazar\Quorum Business Solutions\Ecopetrol Prometeo - Documents\Planning Space Implementation\3. Analysis &amp; Design\Design\FC22\DRR Jaime\QUIFA-CAJÚA\Cajua\[CAJUA_CF_SEC_New_27-Feb-2024Rev3.xlsx]D-PNP'!$BX$20</t>
  </si>
  <si>
    <t>='C:\Users\jaime.benazar\Quorum Business Solutions\Ecopetrol Prometeo - Documents\Planning Space Implementation\3. Analysis &amp; Design\Design\FC22\DRR Jaime\QUIFA-CAJÚA\Cajua\[CAJUA_CF_SEC_New_27-Feb-2024Rev3.xlsx]D-PNP'!$BX$21</t>
  </si>
  <si>
    <t>='C:\Users\jaime.benazar\Quorum Business Solutions\Ecopetrol Prometeo - Documents\Planning Space Implementation\3. Analysis &amp; Design\Design\FC22\DRR Jaime\QUIFA-CAJÚA\Cajua\[CAJUA_CF_SEC_New_27-Feb-2024Rev3.xlsx]D-PNP'!$BX$22</t>
  </si>
  <si>
    <t>='C:\Users\jaime.benazar\Quorum Business Solutions\Ecopetrol Prometeo - Documents\Planning Space Implementation\3. Analysis &amp; Design\Design\FC22\DRR Jaime\QUIFA-CAJÚA\Cajua\[CAJUA_CF_SEC_New_27-Feb-2024Rev3.xlsx]D-PNP'!$BX$23</t>
  </si>
  <si>
    <t>='C:\Users\jaime.benazar\Quorum Business Solutions\Ecopetrol Prometeo - Documents\Planning Space Implementation\3. Analysis &amp; Design\Design\FC22\DRR Jaime\QUIFA-CAJÚA\Cajua\[CAJUA_CF_SEC_New_27-Feb-2024Rev3.xlsx]D-PNP'!$BX$24</t>
  </si>
  <si>
    <t>='C:\Users\jaime.benazar\Quorum Business Solutions\Ecopetrol Prometeo - Documents\Planning Space Implementation\3. Analysis &amp; Design\Design\FC22\DRR Jaime\QUIFA-CAJÚA\Cajua\[CAJUA_CF_SEC_New_27-Feb-2024Rev3.xlsx]D-PNP'!$BX$25</t>
  </si>
  <si>
    <t>='C:\Users\jaime.benazar\Quorum Business Solutions\Ecopetrol Prometeo - Documents\Planning Space Implementation\3. Analysis &amp; Design\Design\FC22\DRR Jaime\QUIFA-CAJÚA\Cajua\[CAJUA_CF_SEC_New_27-Feb-2024Rev3.xlsx]D-PNP'!$BX$26</t>
  </si>
  <si>
    <t>='C:\Users\jaime.benazar\Quorum Business Solutions\Ecopetrol Prometeo - Documents\Planning Space Implementation\3. Analysis &amp; Design\Design\FC22\DRR Jaime\QUIFA-CAJÚA\Cajua\[CAJUA_CF_SEC_New_27-Feb-2024Rev3.xlsx]D-PNP'!$BX$27</t>
  </si>
  <si>
    <t>='C:\Users\jaime.benazar\Quorum Business Solutions\Ecopetrol Prometeo - Documents\Planning Space Implementation\3. Analysis &amp; Design\Design\FC22\DRR Jaime\QUIFA-CAJÚA\Cajua\[CAJUA_CF_SEC_New_27-Feb-2024Rev3.xlsx]D-PNP'!$BX$28</t>
  </si>
  <si>
    <t>='C:\Users\jaime.benazar\Quorum Business Solutions\Ecopetrol Prometeo - Documents\Planning Space Implementation\3. Analysis &amp; Design\Design\FC22\DRR Jaime\QUIFA-CAJÚA\Cajua\[CAJUA_CF_SEC_New_27-Feb-2024Rev3.xlsx]D-PNP'!$BX$29</t>
  </si>
  <si>
    <t>='C:\Users\jaime.benazar\Quorum Business Solutions\Ecopetrol Prometeo - Documents\Planning Space Implementation\3. Analysis &amp; Design\Design\FC22\DRR Jaime\QUIFA-CAJÚA\Cajua\[CAJUA_CF_SEC_New_27-Feb-2024Rev3.xlsx]D-PNP'!$BX$30</t>
  </si>
  <si>
    <t>='C:\Users\jaime.benazar\Quorum Business Solutions\Ecopetrol Prometeo - Documents\Planning Space Implementation\3. Analysis &amp; Design\Design\FC22\DRR Jaime\QUIFA-CAJÚA\Cajua\[CAJUA_CF_SEC_New_27-Feb-2024Rev3.xlsx]D-PNP'!$BX$31</t>
  </si>
  <si>
    <t>='C:\Users\jaime.benazar\Quorum Business Solutions\Ecopetrol Prometeo - Documents\Planning Space Implementation\3. Analysis &amp; Design\Design\FC22\DRR Jaime\QUIFA-CAJÚA\Cajua\[CAJUA_CF_SEC_New_27-Feb-2024Rev3.xlsx]D-PNP'!$BX$32</t>
  </si>
  <si>
    <t>='C:\Users\jaime.benazar\Quorum Business Solutions\Ecopetrol Prometeo - Documents\Planning Space Implementation\3. Analysis &amp; Design\Design\FC22\DRR Jaime\QUIFA-CAJÚA\Cajua\[CAJUA_CF_SEC_New_27-Feb-2024Rev3.xlsx]D-PNP'!$BX$33</t>
  </si>
  <si>
    <t>='C:\Users\jaime.benazar\Quorum Business Solutions\Ecopetrol Prometeo - Documents\Planning Space Implementation\3. Analysis &amp; Design\Design\FC22\DRR Jaime\QUIFA-CAJÚA\Cajua\[CAJUA_CF_SEC_New_27-Feb-2024Rev3.xlsx]D-PNP'!$BX$34</t>
  </si>
  <si>
    <t>='C:\Users\jaime.benazar\Quorum Business Solutions\Ecopetrol Prometeo - Documents\Planning Space Implementation\3. Analysis &amp; Design\Design\FC22\DRR Jaime\QUIFA-CAJÚA\Cajua\[CAJUA_CF_SEC_New_27-Feb-2024Rev3.xlsx]D-PNP'!$BX$35</t>
  </si>
  <si>
    <t>='C:\Users\jaime.benazar\Quorum Business Solutions\Ecopetrol Prometeo - Documents\Planning Space Implementation\3. Analysis &amp; Design\Design\FC22\DRR Jaime\QUIFA-CAJÚA\Cajua\[CAJUA_CF_SEC_New_27-Feb-2024Rev3.xlsx]D-PNP'!$BX$36</t>
  </si>
  <si>
    <t>='C:\Users\jaime.benazar\Quorum Business Solutions\Ecopetrol Prometeo - Documents\Planning Space Implementation\3. Analysis &amp; Design\Design\FC22\DRR Jaime\QUIFA-CAJÚA\Cajua\[CAJUA_CF_SEC_New_27-Feb-2024Rev3.xlsx]D-PNP'!$BX$37</t>
  </si>
  <si>
    <t>='C:\Users\jaime.benazar\Quorum Business Solutions\Ecopetrol Prometeo - Documents\Planning Space Implementation\3. Analysis &amp; Design\Design\FC22\DRR Jaime\QUIFA-CAJÚA\Cajua\[CAJUA_CF_SEC_New_27-Feb-2024Rev3.xlsx]D-PNP'!$BX$38</t>
  </si>
  <si>
    <t>='C:\Users\jaime.benazar\Quorum Business Solutions\Ecopetrol Prometeo - Documents\Planning Space Implementation\3. Analysis &amp; Design\Design\FC22\DRR Jaime\QUIFA-CAJÚA\Cajua\[CAJUA_CF_SEC_New_27-Feb-2024Rev3.xlsx]D-PNP'!$BX$39</t>
  </si>
  <si>
    <t>='C:\Users\jaime.benazar\Quorum Business Solutions\Ecopetrol Prometeo - Documents\Planning Space Implementation\3. Analysis &amp; Design\Design\FC22\DRR Jaime\QUIFA-CAJÚA\Cajua\[CAJUA_CF_SEC_New_27-Feb-2024Rev3.xlsx]D-PNP'!$BX$40</t>
  </si>
  <si>
    <t>='C:\Users\jaime.benazar\Quorum Business Solutions\Ecopetrol Prometeo - Documents\Planning Space Implementation\3. Analysis &amp; Design\Design\FC22\DRR Jaime\QUIFA-CAJÚA\Cajua\[CAJUA_CF_SEC_New_27-Feb-2024Rev3.xlsx]D-PNP'!$BX$41</t>
  </si>
  <si>
    <t>='C:\Users\jaime.benazar\Quorum Business Solutions\Ecopetrol Prometeo - Documents\Planning Space Implementation\3. Analysis &amp; Design\Design\FC22\DRR Jaime\QUIFA-CAJÚA\Cajua\[CAJUA_CF_SEC_New_27-Feb-2024Rev3.xlsx]D-PNP'!$BX$42</t>
  </si>
  <si>
    <t>='C:\Users\jaime.benazar\Quorum Business Solutions\Ecopetrol Prometeo - Documents\Planning Space Implementation\3. Analysis &amp; Design\Design\FC22\DRR Jaime\QUIFA-CAJÚA\Cajua\[CAJUA_CF_SEC_New_27-Feb-2024Rev3.xlsx]D-PNP'!$BX$43</t>
  </si>
  <si>
    <t>='C:\Users\jaime.benazar\Quorum Business Solutions\Ecopetrol Prometeo - Documents\Planning Space Implementation\3. Analysis &amp; Design\Design\FC22\DRR Jaime\QUIFA-CAJÚA\Cajua\[CAJUA_CF_SEC_New_27-Feb-2024Rev3.xlsx]D-PNP'!$BX$44</t>
  </si>
  <si>
    <t>='C:\Users\jaime.benazar\Quorum Business Solutions\Ecopetrol Prometeo - Documents\Planning Space Implementation\3. Analysis &amp; Design\Design\FC22\DRR Jaime\QUIFA-CAJÚA\Cajua\[CAJUA_CF_SEC_New_27-Feb-2024Rev3.xlsx]D-PNP'!$BX$45</t>
  </si>
  <si>
    <t>='C:\Users\jaime.benazar\Quorum Business Solutions\Ecopetrol Prometeo - Documents\Planning Space Implementation\3. Analysis &amp; Design\Design\FC22\DRR Jaime\QUIFA-CAJÚA\Cajua\[CAJUA_CF_SEC_New_27-Feb-2024Rev3.xlsx]D-PNP'!$BX$46</t>
  </si>
  <si>
    <t>='C:\Users\jaime.benazar\Quorum Business Solutions\Ecopetrol Prometeo - Documents\Planning Space Implementation\3. Analysis &amp; Design\Design\FC22\DRR Jaime\QUIFA-CAJÚA\Cajua\[CAJUA_CF_SEC_New_27-Feb-2024Rev3.xlsx]D-PNP'!$BX$47</t>
  </si>
  <si>
    <t>='C:\Users\jaime.benazar\Quorum Business Solutions\Ecopetrol Prometeo - Documents\Planning Space Implementation\3. Analysis &amp; Design\Design\FC22\DRR Jaime\QUIFA-CAJÚA\Cajua\[CAJUA_CF_SEC_New_27-Feb-2024Rev3.xlsx]D-PNP'!$BX$48</t>
  </si>
  <si>
    <t>='C:\Users\jaime.benazar\Quorum Business Solutions\Ecopetrol Prometeo - Documents\Planning Space Implementation\3. Analysis &amp; Design\Design\FC22\DRR Jaime\QUIFA-CAJÚA\Cajua\[CAJUA_CF_SEC_New_27-Feb-2024Rev3.xlsx]D-PND'!$BX$12</t>
  </si>
  <si>
    <t>='C:\Users\jaime.benazar\Quorum Business Solutions\Ecopetrol Prometeo - Documents\Planning Space Implementation\3. Analysis &amp; Design\Design\FC22\DRR Jaime\QUIFA-CAJÚA\Cajua\[CAJUA_CF_SEC_New_27-Feb-2024Rev3.xlsx]D-PND'!$BX$13</t>
  </si>
  <si>
    <t>='C:\Users\jaime.benazar\Quorum Business Solutions\Ecopetrol Prometeo - Documents\Planning Space Implementation\3. Analysis &amp; Design\Design\FC22\DRR Jaime\QUIFA-CAJÚA\Cajua\[CAJUA_CF_SEC_New_27-Feb-2024Rev3.xlsx]D-PND'!$BX$14</t>
  </si>
  <si>
    <t>='C:\Users\jaime.benazar\Quorum Business Solutions\Ecopetrol Prometeo - Documents\Planning Space Implementation\3. Analysis &amp; Design\Design\FC22\DRR Jaime\QUIFA-CAJÚA\Cajua\[CAJUA_CF_SEC_New_27-Feb-2024Rev3.xlsx]D-PND'!$BX$15</t>
  </si>
  <si>
    <t>='C:\Users\jaime.benazar\Quorum Business Solutions\Ecopetrol Prometeo - Documents\Planning Space Implementation\3. Analysis &amp; Design\Design\FC22\DRR Jaime\QUIFA-CAJÚA\Cajua\[CAJUA_CF_SEC_New_27-Feb-2024Rev3.xlsx]D-PND'!$BX$16</t>
  </si>
  <si>
    <t>='C:\Users\jaime.benazar\Quorum Business Solutions\Ecopetrol Prometeo - Documents\Planning Space Implementation\3. Analysis &amp; Design\Design\FC22\DRR Jaime\QUIFA-CAJÚA\Cajua\[CAJUA_CF_SEC_New_27-Feb-2024Rev3.xlsx]D-PND'!$BX$17</t>
  </si>
  <si>
    <t>='C:\Users\jaime.benazar\Quorum Business Solutions\Ecopetrol Prometeo - Documents\Planning Space Implementation\3. Analysis &amp; Design\Design\FC22\DRR Jaime\QUIFA-CAJÚA\Cajua\[CAJUA_CF_SEC_New_27-Feb-2024Rev3.xlsx]D-PND'!$BX$18</t>
  </si>
  <si>
    <t>='C:\Users\jaime.benazar\Quorum Business Solutions\Ecopetrol Prometeo - Documents\Planning Space Implementation\3. Analysis &amp; Design\Design\FC22\DRR Jaime\QUIFA-CAJÚA\Cajua\[CAJUA_CF_SEC_New_27-Feb-2024Rev3.xlsx]D-PND'!$BX$19</t>
  </si>
  <si>
    <t>='C:\Users\jaime.benazar\Quorum Business Solutions\Ecopetrol Prometeo - Documents\Planning Space Implementation\3. Analysis &amp; Design\Design\FC22\DRR Jaime\QUIFA-CAJÚA\Cajua\[CAJUA_CF_SEC_New_27-Feb-2024Rev3.xlsx]D-PND'!$BX$20</t>
  </si>
  <si>
    <t>='C:\Users\jaime.benazar\Quorum Business Solutions\Ecopetrol Prometeo - Documents\Planning Space Implementation\3. Analysis &amp; Design\Design\FC22\DRR Jaime\QUIFA-CAJÚA\Cajua\[CAJUA_CF_SEC_New_27-Feb-2024Rev3.xlsx]D-PND'!$BX$21</t>
  </si>
  <si>
    <t>='C:\Users\jaime.benazar\Quorum Business Solutions\Ecopetrol Prometeo - Documents\Planning Space Implementation\3. Analysis &amp; Design\Design\FC22\DRR Jaime\QUIFA-CAJÚA\Cajua\[CAJUA_CF_SEC_New_27-Feb-2024Rev3.xlsx]D-PND'!$BX$22</t>
  </si>
  <si>
    <t>='C:\Users\jaime.benazar\Quorum Business Solutions\Ecopetrol Prometeo - Documents\Planning Space Implementation\3. Analysis &amp; Design\Design\FC22\DRR Jaime\QUIFA-CAJÚA\Cajua\[CAJUA_CF_SEC_New_27-Feb-2024Rev3.xlsx]D-PND'!$BX$23</t>
  </si>
  <si>
    <t>='C:\Users\jaime.benazar\Quorum Business Solutions\Ecopetrol Prometeo - Documents\Planning Space Implementation\3. Analysis &amp; Design\Design\FC22\DRR Jaime\QUIFA-CAJÚA\Cajua\[CAJUA_CF_SEC_New_27-Feb-2024Rev3.xlsx]D-PND'!$BX$24</t>
  </si>
  <si>
    <t>='C:\Users\jaime.benazar\Quorum Business Solutions\Ecopetrol Prometeo - Documents\Planning Space Implementation\3. Analysis &amp; Design\Design\FC22\DRR Jaime\QUIFA-CAJÚA\Cajua\[CAJUA_CF_SEC_New_27-Feb-2024Rev3.xlsx]D-PND'!$BX$25</t>
  </si>
  <si>
    <t>='C:\Users\jaime.benazar\Quorum Business Solutions\Ecopetrol Prometeo - Documents\Planning Space Implementation\3. Analysis &amp; Design\Design\FC22\DRR Jaime\QUIFA-CAJÚA\Cajua\[CAJUA_CF_SEC_New_27-Feb-2024Rev3.xlsx]D-PND'!$BX$26</t>
  </si>
  <si>
    <t>='C:\Users\jaime.benazar\Quorum Business Solutions\Ecopetrol Prometeo - Documents\Planning Space Implementation\3. Analysis &amp; Design\Design\FC22\DRR Jaime\QUIFA-CAJÚA\Cajua\[CAJUA_CF_SEC_New_27-Feb-2024Rev3.xlsx]D-PND'!$BX$27</t>
  </si>
  <si>
    <t>='C:\Users\jaime.benazar\Quorum Business Solutions\Ecopetrol Prometeo - Documents\Planning Space Implementation\3. Analysis &amp; Design\Design\FC22\DRR Jaime\QUIFA-CAJÚA\Cajua\[CAJUA_CF_SEC_New_27-Feb-2024Rev3.xlsx]D-PND'!$BX$28</t>
  </si>
  <si>
    <t>='C:\Users\jaime.benazar\Quorum Business Solutions\Ecopetrol Prometeo - Documents\Planning Space Implementation\3. Analysis &amp; Design\Design\FC22\DRR Jaime\QUIFA-CAJÚA\Cajua\[CAJUA_CF_SEC_New_27-Feb-2024Rev3.xlsx]D-PND'!$BX$29</t>
  </si>
  <si>
    <t>='C:\Users\jaime.benazar\Quorum Business Solutions\Ecopetrol Prometeo - Documents\Planning Space Implementation\3. Analysis &amp; Design\Design\FC22\DRR Jaime\QUIFA-CAJÚA\Cajua\[CAJUA_CF_SEC_New_27-Feb-2024Rev3.xlsx]D-PND'!$BX$30</t>
  </si>
  <si>
    <t>='C:\Users\jaime.benazar\Quorum Business Solutions\Ecopetrol Prometeo - Documents\Planning Space Implementation\3. Analysis &amp; Design\Design\FC22\DRR Jaime\QUIFA-CAJÚA\Cajua\[CAJUA_CF_SEC_New_27-Feb-2024Rev3.xlsx]D-PND'!$BX$31</t>
  </si>
  <si>
    <t>='C:\Users\jaime.benazar\Quorum Business Solutions\Ecopetrol Prometeo - Documents\Planning Space Implementation\3. Analysis &amp; Design\Design\FC22\DRR Jaime\QUIFA-CAJÚA\Cajua\[CAJUA_CF_SEC_New_27-Feb-2024Rev3.xlsx]D-PND'!$BX$32</t>
  </si>
  <si>
    <t>='C:\Users\jaime.benazar\Quorum Business Solutions\Ecopetrol Prometeo - Documents\Planning Space Implementation\3. Analysis &amp; Design\Design\FC22\DRR Jaime\QUIFA-CAJÚA\Cajua\[CAJUA_CF_SEC_New_27-Feb-2024Rev3.xlsx]D-PND'!$BX$33</t>
  </si>
  <si>
    <t>='C:\Users\jaime.benazar\Quorum Business Solutions\Ecopetrol Prometeo - Documents\Planning Space Implementation\3. Analysis &amp; Design\Design\FC22\DRR Jaime\QUIFA-CAJÚA\Cajua\[CAJUA_CF_SEC_New_27-Feb-2024Rev3.xlsx]D-PND'!$BX$34</t>
  </si>
  <si>
    <t>='C:\Users\jaime.benazar\Quorum Business Solutions\Ecopetrol Prometeo - Documents\Planning Space Implementation\3. Analysis &amp; Design\Design\FC22\DRR Jaime\QUIFA-CAJÚA\Cajua\[CAJUA_CF_SEC_New_27-Feb-2024Rev3.xlsx]D-PND'!$BX$35</t>
  </si>
  <si>
    <t>='C:\Users\jaime.benazar\Quorum Business Solutions\Ecopetrol Prometeo - Documents\Planning Space Implementation\3. Analysis &amp; Design\Design\FC22\DRR Jaime\QUIFA-CAJÚA\Cajua\[CAJUA_CF_SEC_New_27-Feb-2024Rev3.xlsx]D-PND'!$BX$36</t>
  </si>
  <si>
    <t>='C:\Users\jaime.benazar\Quorum Business Solutions\Ecopetrol Prometeo - Documents\Planning Space Implementation\3. Analysis &amp; Design\Design\FC22\DRR Jaime\QUIFA-CAJÚA\Cajua\[CAJUA_CF_SEC_New_27-Feb-2024Rev3.xlsx]D-PND'!$BX$37</t>
  </si>
  <si>
    <t>='C:\Users\jaime.benazar\Quorum Business Solutions\Ecopetrol Prometeo - Documents\Planning Space Implementation\3. Analysis &amp; Design\Design\FC22\DRR Jaime\QUIFA-CAJÚA\Cajua\[CAJUA_CF_SEC_New_27-Feb-2024Rev3.xlsx]D-PND'!$BX$38</t>
  </si>
  <si>
    <t>='C:\Users\jaime.benazar\Quorum Business Solutions\Ecopetrol Prometeo - Documents\Planning Space Implementation\3. Analysis &amp; Design\Design\FC22\DRR Jaime\QUIFA-CAJÚA\Cajua\[CAJUA_CF_SEC_New_27-Feb-2024Rev3.xlsx]D-PND'!$BX$39</t>
  </si>
  <si>
    <t>='C:\Users\jaime.benazar\Quorum Business Solutions\Ecopetrol Prometeo - Documents\Planning Space Implementation\3. Analysis &amp; Design\Design\FC22\DRR Jaime\QUIFA-CAJÚA\Cajua\[CAJUA_CF_SEC_New_27-Feb-2024Rev3.xlsx]D-PND'!$BX$40</t>
  </si>
  <si>
    <t>='C:\Users\jaime.benazar\Quorum Business Solutions\Ecopetrol Prometeo - Documents\Planning Space Implementation\3. Analysis &amp; Design\Design\FC22\DRR Jaime\QUIFA-CAJÚA\Cajua\[CAJUA_CF_SEC_New_27-Feb-2024Rev3.xlsx]D-PND'!$BX$41</t>
  </si>
  <si>
    <t>='C:\Users\jaime.benazar\Quorum Business Solutions\Ecopetrol Prometeo - Documents\Planning Space Implementation\3. Analysis &amp; Design\Design\FC22\DRR Jaime\QUIFA-CAJÚA\Cajua\[CAJUA_CF_SEC_New_27-Feb-2024Rev3.xlsx]D-PND'!$BX$42</t>
  </si>
  <si>
    <t>='C:\Users\jaime.benazar\Quorum Business Solutions\Ecopetrol Prometeo - Documents\Planning Space Implementation\3. Analysis &amp; Design\Design\FC22\DRR Jaime\QUIFA-CAJÚA\Cajua\[CAJUA_CF_SEC_New_27-Feb-2024Rev3.xlsx]D-PND'!$BX$43</t>
  </si>
  <si>
    <t>='C:\Users\jaime.benazar\Quorum Business Solutions\Ecopetrol Prometeo - Documents\Planning Space Implementation\3. Analysis &amp; Design\Design\FC22\DRR Jaime\QUIFA-CAJÚA\Cajua\[CAJUA_CF_SEC_New_27-Feb-2024Rev3.xlsx]D-PND'!$BX$44</t>
  </si>
  <si>
    <t>='C:\Users\jaime.benazar\Quorum Business Solutions\Ecopetrol Prometeo - Documents\Planning Space Implementation\3. Analysis &amp; Design\Design\FC22\DRR Jaime\QUIFA-CAJÚA\Cajua\[CAJUA_CF_SEC_New_27-Feb-2024Rev3.xlsx]D-PND'!$BX$45</t>
  </si>
  <si>
    <t>='C:\Users\jaime.benazar\Quorum Business Solutions\Ecopetrol Prometeo - Documents\Planning Space Implementation\3. Analysis &amp; Design\Design\FC22\DRR Jaime\QUIFA-CAJÚA\Cajua\[CAJUA_CF_SEC_New_27-Feb-2024Rev3.xlsx]D-PND'!$BX$46</t>
  </si>
  <si>
    <t>='C:\Users\jaime.benazar\Quorum Business Solutions\Ecopetrol Prometeo - Documents\Planning Space Implementation\3. Analysis &amp; Design\Design\FC22\DRR Jaime\QUIFA-CAJÚA\Cajua\[CAJUA_CF_SEC_New_27-Feb-2024Rev3.xlsx]D-PND'!$BX$47</t>
  </si>
  <si>
    <t>='C:\Users\jaime.benazar\Quorum Business Solutions\Ecopetrol Prometeo - Documents\Planning Space Implementation\3. Analysis &amp; Design\Design\FC22\DRR Jaime\QUIFA-CAJÚA\Cajua\[CAJUA_CF_SEC_New_27-Feb-2024Rev3.xlsx]D-PND'!$BX$48</t>
  </si>
  <si>
    <t>='C:\Users\jaime.benazar\Quorum Business Solutions\Ecopetrol Prometeo - Documents\Planning Space Implementation\3. Analysis &amp; Design\Design\FC22\DRR Jaime\QUIFA-CAJÚA\Cajua\[CAJUA_CF_SEC_New_27-Feb-2024Rev3.xlsx]D-PRB'!$BX$12</t>
  </si>
  <si>
    <t>='C:\Users\jaime.benazar\Quorum Business Solutions\Ecopetrol Prometeo - Documents\Planning Space Implementation\3. Analysis &amp; Design\Design\FC22\DRR Jaime\QUIFA-CAJÚA\Cajua\[CAJUA_CF_SEC_New_27-Feb-2024Rev3.xlsx]D-PRB'!$BX$13</t>
  </si>
  <si>
    <t>='C:\Users\jaime.benazar\Quorum Business Solutions\Ecopetrol Prometeo - Documents\Planning Space Implementation\3. Analysis &amp; Design\Design\FC22\DRR Jaime\QUIFA-CAJÚA\Cajua\[CAJUA_CF_SEC_New_27-Feb-2024Rev3.xlsx]D-PRB'!$BX$14</t>
  </si>
  <si>
    <t>='C:\Users\jaime.benazar\Quorum Business Solutions\Ecopetrol Prometeo - Documents\Planning Space Implementation\3. Analysis &amp; Design\Design\FC22\DRR Jaime\QUIFA-CAJÚA\Cajua\[CAJUA_CF_SEC_New_27-Feb-2024Rev3.xlsx]D-PRB'!$BX$15</t>
  </si>
  <si>
    <t>='C:\Users\jaime.benazar\Quorum Business Solutions\Ecopetrol Prometeo - Documents\Planning Space Implementation\3. Analysis &amp; Design\Design\FC22\DRR Jaime\QUIFA-CAJÚA\Cajua\[CAJUA_CF_SEC_New_27-Feb-2024Rev3.xlsx]D-PRB'!$BX$16</t>
  </si>
  <si>
    <t>='C:\Users\jaime.benazar\Quorum Business Solutions\Ecopetrol Prometeo - Documents\Planning Space Implementation\3. Analysis &amp; Design\Design\FC22\DRR Jaime\QUIFA-CAJÚA\Cajua\[CAJUA_CF_SEC_New_27-Feb-2024Rev3.xlsx]D-PRB'!$BX$17</t>
  </si>
  <si>
    <t>='C:\Users\jaime.benazar\Quorum Business Solutions\Ecopetrol Prometeo - Documents\Planning Space Implementation\3. Analysis &amp; Design\Design\FC22\DRR Jaime\QUIFA-CAJÚA\Cajua\[CAJUA_CF_SEC_New_27-Feb-2024Rev3.xlsx]D-PRB'!$BX$18</t>
  </si>
  <si>
    <t>='C:\Users\jaime.benazar\Quorum Business Solutions\Ecopetrol Prometeo - Documents\Planning Space Implementation\3. Analysis &amp; Design\Design\FC22\DRR Jaime\QUIFA-CAJÚA\Cajua\[CAJUA_CF_SEC_New_27-Feb-2024Rev3.xlsx]D-PRB'!$BX$19</t>
  </si>
  <si>
    <t>='C:\Users\jaime.benazar\Quorum Business Solutions\Ecopetrol Prometeo - Documents\Planning Space Implementation\3. Analysis &amp; Design\Design\FC22\DRR Jaime\QUIFA-CAJÚA\Cajua\[CAJUA_CF_SEC_New_27-Feb-2024Rev3.xlsx]D-PRB'!$BX$20</t>
  </si>
  <si>
    <t>='C:\Users\jaime.benazar\Quorum Business Solutions\Ecopetrol Prometeo - Documents\Planning Space Implementation\3. Analysis &amp; Design\Design\FC22\DRR Jaime\QUIFA-CAJÚA\Cajua\[CAJUA_CF_SEC_New_27-Feb-2024Rev3.xlsx]D-PRB'!$BX$21</t>
  </si>
  <si>
    <t>='C:\Users\jaime.benazar\Quorum Business Solutions\Ecopetrol Prometeo - Documents\Planning Space Implementation\3. Analysis &amp; Design\Design\FC22\DRR Jaime\QUIFA-CAJÚA\Cajua\[CAJUA_CF_SEC_New_27-Feb-2024Rev3.xlsx]D-PRB'!$BX$22</t>
  </si>
  <si>
    <t>='C:\Users\jaime.benazar\Quorum Business Solutions\Ecopetrol Prometeo - Documents\Planning Space Implementation\3. Analysis &amp; Design\Design\FC22\DRR Jaime\QUIFA-CAJÚA\Cajua\[CAJUA_CF_SEC_New_27-Feb-2024Rev3.xlsx]D-PRB'!$BX$23</t>
  </si>
  <si>
    <t>='C:\Users\jaime.benazar\Quorum Business Solutions\Ecopetrol Prometeo - Documents\Planning Space Implementation\3. Analysis &amp; Design\Design\FC22\DRR Jaime\QUIFA-CAJÚA\Cajua\[CAJUA_CF_SEC_New_27-Feb-2024Rev3.xlsx]D-PRB'!$BX$24</t>
  </si>
  <si>
    <t>='C:\Users\jaime.benazar\Quorum Business Solutions\Ecopetrol Prometeo - Documents\Planning Space Implementation\3. Analysis &amp; Design\Design\FC22\DRR Jaime\QUIFA-CAJÚA\Cajua\[CAJUA_CF_SEC_New_27-Feb-2024Rev3.xlsx]D-PRB'!$BX$25</t>
  </si>
  <si>
    <t>='C:\Users\jaime.benazar\Quorum Business Solutions\Ecopetrol Prometeo - Documents\Planning Space Implementation\3. Analysis &amp; Design\Design\FC22\DRR Jaime\QUIFA-CAJÚA\Cajua\[CAJUA_CF_SEC_New_27-Feb-2024Rev3.xlsx]D-PRB'!$BX$26</t>
  </si>
  <si>
    <t>='C:\Users\jaime.benazar\Quorum Business Solutions\Ecopetrol Prometeo - Documents\Planning Space Implementation\3. Analysis &amp; Design\Design\FC22\DRR Jaime\QUIFA-CAJÚA\Cajua\[CAJUA_CF_SEC_New_27-Feb-2024Rev3.xlsx]D-PRB'!$BX$27</t>
  </si>
  <si>
    <t>='C:\Users\jaime.benazar\Quorum Business Solutions\Ecopetrol Prometeo - Documents\Planning Space Implementation\3. Analysis &amp; Design\Design\FC22\DRR Jaime\QUIFA-CAJÚA\Cajua\[CAJUA_CF_SEC_New_27-Feb-2024Rev3.xlsx]D-PRB'!$BX$28</t>
  </si>
  <si>
    <t>='C:\Users\jaime.benazar\Quorum Business Solutions\Ecopetrol Prometeo - Documents\Planning Space Implementation\3. Analysis &amp; Design\Design\FC22\DRR Jaime\QUIFA-CAJÚA\Cajua\[CAJUA_CF_SEC_New_27-Feb-2024Rev3.xlsx]D-PRB'!$BX$29</t>
  </si>
  <si>
    <t>='C:\Users\jaime.benazar\Quorum Business Solutions\Ecopetrol Prometeo - Documents\Planning Space Implementation\3. Analysis &amp; Design\Design\FC22\DRR Jaime\QUIFA-CAJÚA\Cajua\[CAJUA_CF_SEC_New_27-Feb-2024Rev3.xlsx]D-PRB'!$BX$30</t>
  </si>
  <si>
    <t>='C:\Users\jaime.benazar\Quorum Business Solutions\Ecopetrol Prometeo - Documents\Planning Space Implementation\3. Analysis &amp; Design\Design\FC22\DRR Jaime\QUIFA-CAJÚA\Cajua\[CAJUA_CF_SEC_New_27-Feb-2024Rev3.xlsx]D-PRB'!$BX$31</t>
  </si>
  <si>
    <t>='C:\Users\jaime.benazar\Quorum Business Solutions\Ecopetrol Prometeo - Documents\Planning Space Implementation\3. Analysis &amp; Design\Design\FC22\DRR Jaime\QUIFA-CAJÚA\Cajua\[CAJUA_CF_SEC_New_27-Feb-2024Rev3.xlsx]D-PRB'!$BX$32</t>
  </si>
  <si>
    <t>='C:\Users\jaime.benazar\Quorum Business Solutions\Ecopetrol Prometeo - Documents\Planning Space Implementation\3. Analysis &amp; Design\Design\FC22\DRR Jaime\QUIFA-CAJÚA\Cajua\[CAJUA_CF_SEC_New_27-Feb-2024Rev3.xlsx]D-PRB'!$BX$33</t>
  </si>
  <si>
    <t>='C:\Users\jaime.benazar\Quorum Business Solutions\Ecopetrol Prometeo - Documents\Planning Space Implementation\3. Analysis &amp; Design\Design\FC22\DRR Jaime\QUIFA-CAJÚA\Cajua\[CAJUA_CF_SEC_New_27-Feb-2024Rev3.xlsx]D-PRB'!$BX$34</t>
  </si>
  <si>
    <t>='C:\Users\jaime.benazar\Quorum Business Solutions\Ecopetrol Prometeo - Documents\Planning Space Implementation\3. Analysis &amp; Design\Design\FC22\DRR Jaime\QUIFA-CAJÚA\Cajua\[CAJUA_CF_SEC_New_27-Feb-2024Rev3.xlsx]D-PRB'!$BX$35</t>
  </si>
  <si>
    <t>='C:\Users\jaime.benazar\Quorum Business Solutions\Ecopetrol Prometeo - Documents\Planning Space Implementation\3. Analysis &amp; Design\Design\FC22\DRR Jaime\QUIFA-CAJÚA\Cajua\[CAJUA_CF_SEC_New_27-Feb-2024Rev3.xlsx]D-PRB'!$BX$36</t>
  </si>
  <si>
    <t>='C:\Users\jaime.benazar\Quorum Business Solutions\Ecopetrol Prometeo - Documents\Planning Space Implementation\3. Analysis &amp; Design\Design\FC22\DRR Jaime\QUIFA-CAJÚA\Cajua\[CAJUA_CF_SEC_New_27-Feb-2024Rev3.xlsx]D-PRB'!$BX$37</t>
  </si>
  <si>
    <t>='C:\Users\jaime.benazar\Quorum Business Solutions\Ecopetrol Prometeo - Documents\Planning Space Implementation\3. Analysis &amp; Design\Design\FC22\DRR Jaime\QUIFA-CAJÚA\Cajua\[CAJUA_CF_SEC_New_27-Feb-2024Rev3.xlsx]D-PRB'!$BX$38</t>
  </si>
  <si>
    <t>='C:\Users\jaime.benazar\Quorum Business Solutions\Ecopetrol Prometeo - Documents\Planning Space Implementation\3. Analysis &amp; Design\Design\FC22\DRR Jaime\QUIFA-CAJÚA\Cajua\[CAJUA_CF_SEC_New_27-Feb-2024Rev3.xlsx]D-PRB'!$BX$39</t>
  </si>
  <si>
    <t>='C:\Users\jaime.benazar\Quorum Business Solutions\Ecopetrol Prometeo - Documents\Planning Space Implementation\3. Analysis &amp; Design\Design\FC22\DRR Jaime\QUIFA-CAJÚA\Cajua\[CAJUA_CF_SEC_New_27-Feb-2024Rev3.xlsx]D-PRB'!$BX$40</t>
  </si>
  <si>
    <t>='C:\Users\jaime.benazar\Quorum Business Solutions\Ecopetrol Prometeo - Documents\Planning Space Implementation\3. Analysis &amp; Design\Design\FC22\DRR Jaime\QUIFA-CAJÚA\Cajua\[CAJUA_CF_SEC_New_27-Feb-2024Rev3.xlsx]D-PRB'!$BX$41</t>
  </si>
  <si>
    <t>='C:\Users\jaime.benazar\Quorum Business Solutions\Ecopetrol Prometeo - Documents\Planning Space Implementation\3. Analysis &amp; Design\Design\FC22\DRR Jaime\QUIFA-CAJÚA\Cajua\[CAJUA_CF_SEC_New_27-Feb-2024Rev3.xlsx]D-PRB'!$BX$42</t>
  </si>
  <si>
    <t>='C:\Users\jaime.benazar\Quorum Business Solutions\Ecopetrol Prometeo - Documents\Planning Space Implementation\3. Analysis &amp; Design\Design\FC22\DRR Jaime\QUIFA-CAJÚA\Cajua\[CAJUA_CF_SEC_New_27-Feb-2024Rev3.xlsx]D-PRB'!$BX$43</t>
  </si>
  <si>
    <t>='C:\Users\jaime.benazar\Quorum Business Solutions\Ecopetrol Prometeo - Documents\Planning Space Implementation\3. Analysis &amp; Design\Design\FC22\DRR Jaime\QUIFA-CAJÚA\Cajua\[CAJUA_CF_SEC_New_27-Feb-2024Rev3.xlsx]D-PRB'!$BX$44</t>
  </si>
  <si>
    <t>='C:\Users\jaime.benazar\Quorum Business Solutions\Ecopetrol Prometeo - Documents\Planning Space Implementation\3. Analysis &amp; Design\Design\FC22\DRR Jaime\QUIFA-CAJÚA\Cajua\[CAJUA_CF_SEC_New_27-Feb-2024Rev3.xlsx]D-PRB'!$BX$45</t>
  </si>
  <si>
    <t>='C:\Users\jaime.benazar\Quorum Business Solutions\Ecopetrol Prometeo - Documents\Planning Space Implementation\3. Analysis &amp; Design\Design\FC22\DRR Jaime\QUIFA-CAJÚA\Cajua\[CAJUA_CF_SEC_New_27-Feb-2024Rev3.xlsx]D-PRB'!$BX$46</t>
  </si>
  <si>
    <t>='C:\Users\jaime.benazar\Quorum Business Solutions\Ecopetrol Prometeo - Documents\Planning Space Implementation\3. Analysis &amp; Design\Design\FC22\DRR Jaime\QUIFA-CAJÚA\Cajua\[CAJUA_CF_SEC_New_27-Feb-2024Rev3.xlsx]D-PRB'!$BX$47</t>
  </si>
  <si>
    <t>='C:\Users\jaime.benazar\Quorum Business Solutions\Ecopetrol Prometeo - Documents\Planning Space Implementation\3. Analysis &amp; Design\Design\FC22\DRR Jaime\QUIFA-CAJÚA\Cajua\[CAJUA_CF_SEC_New_27-Feb-2024Rev3.xlsx]D-PRB'!$BX$48</t>
  </si>
  <si>
    <t>='C:\Users\jaime.benazar\Quorum Business Solutions\Ecopetrol Prometeo - Documents\Planning Space Implementation\3. Analysis &amp; Design\Design\FC22\DRR Jaime\QUIFA-CAJÚA\Cajua\[CAJUA_CF_SEC_New_27-Feb-2024Rev3.xlsx]D-PS'!$BX$12</t>
  </si>
  <si>
    <t>='C:\Users\jaime.benazar\Quorum Business Solutions\Ecopetrol Prometeo - Documents\Planning Space Implementation\3. Analysis &amp; Design\Design\FC22\DRR Jaime\QUIFA-CAJÚA\Cajua\[CAJUA_CF_SEC_New_27-Feb-2024Rev3.xlsx]D-PS'!$BX$13</t>
  </si>
  <si>
    <t>='C:\Users\jaime.benazar\Quorum Business Solutions\Ecopetrol Prometeo - Documents\Planning Space Implementation\3. Analysis &amp; Design\Design\FC22\DRR Jaime\QUIFA-CAJÚA\Cajua\[CAJUA_CF_SEC_New_27-Feb-2024Rev3.xlsx]D-PS'!$BX$14</t>
  </si>
  <si>
    <t>='C:\Users\jaime.benazar\Quorum Business Solutions\Ecopetrol Prometeo - Documents\Planning Space Implementation\3. Analysis &amp; Design\Design\FC22\DRR Jaime\QUIFA-CAJÚA\Cajua\[CAJUA_CF_SEC_New_27-Feb-2024Rev3.xlsx]D-PS'!$BX$15</t>
  </si>
  <si>
    <t>='C:\Users\jaime.benazar\Quorum Business Solutions\Ecopetrol Prometeo - Documents\Planning Space Implementation\3. Analysis &amp; Design\Design\FC22\DRR Jaime\QUIFA-CAJÚA\Cajua\[CAJUA_CF_SEC_New_27-Feb-2024Rev3.xlsx]D-PS'!$BX$16</t>
  </si>
  <si>
    <t>='C:\Users\jaime.benazar\Quorum Business Solutions\Ecopetrol Prometeo - Documents\Planning Space Implementation\3. Analysis &amp; Design\Design\FC22\DRR Jaime\QUIFA-CAJÚA\Cajua\[CAJUA_CF_SEC_New_27-Feb-2024Rev3.xlsx]D-PS'!$BX$17</t>
  </si>
  <si>
    <t>='C:\Users\jaime.benazar\Quorum Business Solutions\Ecopetrol Prometeo - Documents\Planning Space Implementation\3. Analysis &amp; Design\Design\FC22\DRR Jaime\QUIFA-CAJÚA\Cajua\[CAJUA_CF_SEC_New_27-Feb-2024Rev3.xlsx]D-PS'!$BX$18</t>
  </si>
  <si>
    <t>='C:\Users\jaime.benazar\Quorum Business Solutions\Ecopetrol Prometeo - Documents\Planning Space Implementation\3. Analysis &amp; Design\Design\FC22\DRR Jaime\QUIFA-CAJÚA\Cajua\[CAJUA_CF_SEC_New_27-Feb-2024Rev3.xlsx]D-PS'!$BX$19</t>
  </si>
  <si>
    <t>='C:\Users\jaime.benazar\Quorum Business Solutions\Ecopetrol Prometeo - Documents\Planning Space Implementation\3. Analysis &amp; Design\Design\FC22\DRR Jaime\QUIFA-CAJÚA\Cajua\[CAJUA_CF_SEC_New_27-Feb-2024Rev3.xlsx]D-PS'!$BX$20</t>
  </si>
  <si>
    <t>='C:\Users\jaime.benazar\Quorum Business Solutions\Ecopetrol Prometeo - Documents\Planning Space Implementation\3. Analysis &amp; Design\Design\FC22\DRR Jaime\QUIFA-CAJÚA\Cajua\[CAJUA_CF_SEC_New_27-Feb-2024Rev3.xlsx]D-PS'!$BX$21</t>
  </si>
  <si>
    <t>='C:\Users\jaime.benazar\Quorum Business Solutions\Ecopetrol Prometeo - Documents\Planning Space Implementation\3. Analysis &amp; Design\Design\FC22\DRR Jaime\QUIFA-CAJÚA\Cajua\[CAJUA_CF_SEC_New_27-Feb-2024Rev3.xlsx]D-PS'!$BX$22</t>
  </si>
  <si>
    <t>='C:\Users\jaime.benazar\Quorum Business Solutions\Ecopetrol Prometeo - Documents\Planning Space Implementation\3. Analysis &amp; Design\Design\FC22\DRR Jaime\QUIFA-CAJÚA\Cajua\[CAJUA_CF_SEC_New_27-Feb-2024Rev3.xlsx]D-PS'!$BX$23</t>
  </si>
  <si>
    <t>='C:\Users\jaime.benazar\Quorum Business Solutions\Ecopetrol Prometeo - Documents\Planning Space Implementation\3. Analysis &amp; Design\Design\FC22\DRR Jaime\QUIFA-CAJÚA\Cajua\[CAJUA_CF_SEC_New_27-Feb-2024Rev3.xlsx]D-PS'!$BX$24</t>
  </si>
  <si>
    <t>='C:\Users\jaime.benazar\Quorum Business Solutions\Ecopetrol Prometeo - Documents\Planning Space Implementation\3. Analysis &amp; Design\Design\FC22\DRR Jaime\QUIFA-CAJÚA\Cajua\[CAJUA_CF_SEC_New_27-Feb-2024Rev3.xlsx]D-PS'!$BX$25</t>
  </si>
  <si>
    <t>='C:\Users\jaime.benazar\Quorum Business Solutions\Ecopetrol Prometeo - Documents\Planning Space Implementation\3. Analysis &amp; Design\Design\FC22\DRR Jaime\QUIFA-CAJÚA\Cajua\[CAJUA_CF_SEC_New_27-Feb-2024Rev3.xlsx]D-PS'!$BX$26</t>
  </si>
  <si>
    <t>='C:\Users\jaime.benazar\Quorum Business Solutions\Ecopetrol Prometeo - Documents\Planning Space Implementation\3. Analysis &amp; Design\Design\FC22\DRR Jaime\QUIFA-CAJÚA\Cajua\[CAJUA_CF_SEC_New_27-Feb-2024Rev3.xlsx]D-PS'!$BX$27</t>
  </si>
  <si>
    <t>='C:\Users\jaime.benazar\Quorum Business Solutions\Ecopetrol Prometeo - Documents\Planning Space Implementation\3. Analysis &amp; Design\Design\FC22\DRR Jaime\QUIFA-CAJÚA\Cajua\[CAJUA_CF_SEC_New_27-Feb-2024Rev3.xlsx]D-PS'!$BX$28</t>
  </si>
  <si>
    <t>='C:\Users\jaime.benazar\Quorum Business Solutions\Ecopetrol Prometeo - Documents\Planning Space Implementation\3. Analysis &amp; Design\Design\FC22\DRR Jaime\QUIFA-CAJÚA\Cajua\[CAJUA_CF_SEC_New_27-Feb-2024Rev3.xlsx]D-PS'!$BX$29</t>
  </si>
  <si>
    <t>='C:\Users\jaime.benazar\Quorum Business Solutions\Ecopetrol Prometeo - Documents\Planning Space Implementation\3. Analysis &amp; Design\Design\FC22\DRR Jaime\QUIFA-CAJÚA\Cajua\[CAJUA_CF_SEC_New_27-Feb-2024Rev3.xlsx]D-PS'!$BX$30</t>
  </si>
  <si>
    <t>='C:\Users\jaime.benazar\Quorum Business Solutions\Ecopetrol Prometeo - Documents\Planning Space Implementation\3. Analysis &amp; Design\Design\FC22\DRR Jaime\QUIFA-CAJÚA\Cajua\[CAJUA_CF_SEC_New_27-Feb-2024Rev3.xlsx]D-PS'!$BX$31</t>
  </si>
  <si>
    <t>='C:\Users\jaime.benazar\Quorum Business Solutions\Ecopetrol Prometeo - Documents\Planning Space Implementation\3. Analysis &amp; Design\Design\FC22\DRR Jaime\QUIFA-CAJÚA\Cajua\[CAJUA_CF_SEC_New_27-Feb-2024Rev3.xlsx]D-PS'!$BX$32</t>
  </si>
  <si>
    <t>='C:\Users\jaime.benazar\Quorum Business Solutions\Ecopetrol Prometeo - Documents\Planning Space Implementation\3. Analysis &amp; Design\Design\FC22\DRR Jaime\QUIFA-CAJÚA\Cajua\[CAJUA_CF_SEC_New_27-Feb-2024Rev3.xlsx]D-PS'!$BX$33</t>
  </si>
  <si>
    <t>='C:\Users\jaime.benazar\Quorum Business Solutions\Ecopetrol Prometeo - Documents\Planning Space Implementation\3. Analysis &amp; Design\Design\FC22\DRR Jaime\QUIFA-CAJÚA\Cajua\[CAJUA_CF_SEC_New_27-Feb-2024Rev3.xlsx]D-PS'!$BX$34</t>
  </si>
  <si>
    <t>='C:\Users\jaime.benazar\Quorum Business Solutions\Ecopetrol Prometeo - Documents\Planning Space Implementation\3. Analysis &amp; Design\Design\FC22\DRR Jaime\QUIFA-CAJÚA\Cajua\[CAJUA_CF_SEC_New_27-Feb-2024Rev3.xlsx]D-PS'!$BX$35</t>
  </si>
  <si>
    <t>='C:\Users\jaime.benazar\Quorum Business Solutions\Ecopetrol Prometeo - Documents\Planning Space Implementation\3. Analysis &amp; Design\Design\FC22\DRR Jaime\QUIFA-CAJÚA\Cajua\[CAJUA_CF_SEC_New_27-Feb-2024Rev3.xlsx]D-PS'!$BX$36</t>
  </si>
  <si>
    <t>='C:\Users\jaime.benazar\Quorum Business Solutions\Ecopetrol Prometeo - Documents\Planning Space Implementation\3. Analysis &amp; Design\Design\FC22\DRR Jaime\QUIFA-CAJÚA\Cajua\[CAJUA_CF_SEC_New_27-Feb-2024Rev3.xlsx]D-PS'!$BX$37</t>
  </si>
  <si>
    <t>='C:\Users\jaime.benazar\Quorum Business Solutions\Ecopetrol Prometeo - Documents\Planning Space Implementation\3. Analysis &amp; Design\Design\FC22\DRR Jaime\QUIFA-CAJÚA\Cajua\[CAJUA_CF_SEC_New_27-Feb-2024Rev3.xlsx]D-PS'!$BX$38</t>
  </si>
  <si>
    <t>='C:\Users\jaime.benazar\Quorum Business Solutions\Ecopetrol Prometeo - Documents\Planning Space Implementation\3. Analysis &amp; Design\Design\FC22\DRR Jaime\QUIFA-CAJÚA\Cajua\[CAJUA_CF_SEC_New_27-Feb-2024Rev3.xlsx]D-PS'!$BX$39</t>
  </si>
  <si>
    <t>='C:\Users\jaime.benazar\Quorum Business Solutions\Ecopetrol Prometeo - Documents\Planning Space Implementation\3. Analysis &amp; Design\Design\FC22\DRR Jaime\QUIFA-CAJÚA\Cajua\[CAJUA_CF_SEC_New_27-Feb-2024Rev3.xlsx]D-PS'!$BX$40</t>
  </si>
  <si>
    <t>='C:\Users\jaime.benazar\Quorum Business Solutions\Ecopetrol Prometeo - Documents\Planning Space Implementation\3. Analysis &amp; Design\Design\FC22\DRR Jaime\QUIFA-CAJÚA\Cajua\[CAJUA_CF_SEC_New_27-Feb-2024Rev3.xlsx]D-PS'!$BX$41</t>
  </si>
  <si>
    <t>='C:\Users\jaime.benazar\Quorum Business Solutions\Ecopetrol Prometeo - Documents\Planning Space Implementation\3. Analysis &amp; Design\Design\FC22\DRR Jaime\QUIFA-CAJÚA\Cajua\[CAJUA_CF_SEC_New_27-Feb-2024Rev3.xlsx]D-PS'!$BX$42</t>
  </si>
  <si>
    <t>='C:\Users\jaime.benazar\Quorum Business Solutions\Ecopetrol Prometeo - Documents\Planning Space Implementation\3. Analysis &amp; Design\Design\FC22\DRR Jaime\QUIFA-CAJÚA\Cajua\[CAJUA_CF_SEC_New_27-Feb-2024Rev3.xlsx]D-PS'!$BX$43</t>
  </si>
  <si>
    <t>='C:\Users\jaime.benazar\Quorum Business Solutions\Ecopetrol Prometeo - Documents\Planning Space Implementation\3. Analysis &amp; Design\Design\FC22\DRR Jaime\QUIFA-CAJÚA\Cajua\[CAJUA_CF_SEC_New_27-Feb-2024Rev3.xlsx]D-PS'!$BX$44</t>
  </si>
  <si>
    <t>='C:\Users\jaime.benazar\Quorum Business Solutions\Ecopetrol Prometeo - Documents\Planning Space Implementation\3. Analysis &amp; Design\Design\FC22\DRR Jaime\QUIFA-CAJÚA\Cajua\[CAJUA_CF_SEC_New_27-Feb-2024Rev3.xlsx]D-PS'!$BX$45</t>
  </si>
  <si>
    <t>='C:\Users\jaime.benazar\Quorum Business Solutions\Ecopetrol Prometeo - Documents\Planning Space Implementation\3. Analysis &amp; Design\Design\FC22\DRR Jaime\QUIFA-CAJÚA\Cajua\[CAJUA_CF_SEC_New_27-Feb-2024Rev3.xlsx]D-PS'!$BX$46</t>
  </si>
  <si>
    <t>='C:\Users\jaime.benazar\Quorum Business Solutions\Ecopetrol Prometeo - Documents\Planning Space Implementation\3. Analysis &amp; Design\Design\FC22\DRR Jaime\QUIFA-CAJÚA\Cajua\[CAJUA_CF_SEC_New_27-Feb-2024Rev3.xlsx]D-PS'!$BX$47</t>
  </si>
  <si>
    <t>='C:\Users\jaime.benazar\Quorum Business Solutions\Ecopetrol Prometeo - Documents\Planning Space Implementation\3. Analysis &amp; Design\Design\FC22\DRR Jaime\QUIFA-CAJÚA\Cajua\[CAJUA_CF_SEC_New_27-Feb-2024Rev3.xlsx]D-PS'!$BX$48</t>
  </si>
  <si>
    <t>='C:\Users\jaime.benazar\Quorum Business Solutions\Ecopetrol Prometeo - Documents\Planning Space Implementation\3. Analysis &amp; Design\Design\FC22\DRR Jaime\QUIFA-CAJÚA\Cajua\[CAJUA_CF_SEC_New_27-Feb-2024Rev3.xlsx]D-PDP'!$DC$12</t>
  </si>
  <si>
    <t>='C:\Users\jaime.benazar\Quorum Business Solutions\Ecopetrol Prometeo - Documents\Planning Space Implementation\3. Analysis &amp; Design\Design\FC22\DRR Jaime\QUIFA-CAJÚA\Cajua\[CAJUA_CF_SEC_New_27-Feb-2024Rev3.xlsx]D-PDP'!$DC$13</t>
  </si>
  <si>
    <t>='C:\Users\jaime.benazar\Quorum Business Solutions\Ecopetrol Prometeo - Documents\Planning Space Implementation\3. Analysis &amp; Design\Design\FC22\DRR Jaime\QUIFA-CAJÚA\Cajua\[CAJUA_CF_SEC_New_27-Feb-2024Rev3.xlsx]D-PDP'!$DC$14</t>
  </si>
  <si>
    <t>='C:\Users\jaime.benazar\Quorum Business Solutions\Ecopetrol Prometeo - Documents\Planning Space Implementation\3. Analysis &amp; Design\Design\FC22\DRR Jaime\QUIFA-CAJÚA\Cajua\[CAJUA_CF_SEC_New_27-Feb-2024Rev3.xlsx]D-PDP'!$DC$15</t>
  </si>
  <si>
    <t>='C:\Users\jaime.benazar\Quorum Business Solutions\Ecopetrol Prometeo - Documents\Planning Space Implementation\3. Analysis &amp; Design\Design\FC22\DRR Jaime\QUIFA-CAJÚA\Cajua\[CAJUA_CF_SEC_New_27-Feb-2024Rev3.xlsx]D-PDP'!$DC$16</t>
  </si>
  <si>
    <t>='C:\Users\jaime.benazar\Quorum Business Solutions\Ecopetrol Prometeo - Documents\Planning Space Implementation\3. Analysis &amp; Design\Design\FC22\DRR Jaime\QUIFA-CAJÚA\Cajua\[CAJUA_CF_SEC_New_27-Feb-2024Rev3.xlsx]D-PDP'!$DC$17</t>
  </si>
  <si>
    <t>='C:\Users\jaime.benazar\Quorum Business Solutions\Ecopetrol Prometeo - Documents\Planning Space Implementation\3. Analysis &amp; Design\Design\FC22\DRR Jaime\QUIFA-CAJÚA\Cajua\[CAJUA_CF_SEC_New_27-Feb-2024Rev3.xlsx]D-PDP'!$DC$18</t>
  </si>
  <si>
    <t>='C:\Users\jaime.benazar\Quorum Business Solutions\Ecopetrol Prometeo - Documents\Planning Space Implementation\3. Analysis &amp; Design\Design\FC22\DRR Jaime\QUIFA-CAJÚA\Cajua\[CAJUA_CF_SEC_New_27-Feb-2024Rev3.xlsx]D-PDP'!$DC$19</t>
  </si>
  <si>
    <t>='C:\Users\jaime.benazar\Quorum Business Solutions\Ecopetrol Prometeo - Documents\Planning Space Implementation\3. Analysis &amp; Design\Design\FC22\DRR Jaime\QUIFA-CAJÚA\Cajua\[CAJUA_CF_SEC_New_27-Feb-2024Rev3.xlsx]D-PDP'!$DC$20</t>
  </si>
  <si>
    <t>='C:\Users\jaime.benazar\Quorum Business Solutions\Ecopetrol Prometeo - Documents\Planning Space Implementation\3. Analysis &amp; Design\Design\FC22\DRR Jaime\QUIFA-CAJÚA\Cajua\[CAJUA_CF_SEC_New_27-Feb-2024Rev3.xlsx]D-PDP'!$DC$21</t>
  </si>
  <si>
    <t>='C:\Users\jaime.benazar\Quorum Business Solutions\Ecopetrol Prometeo - Documents\Planning Space Implementation\3. Analysis &amp; Design\Design\FC22\DRR Jaime\QUIFA-CAJÚA\Cajua\[CAJUA_CF_SEC_New_27-Feb-2024Rev3.xlsx]D-PDP'!$DC$22</t>
  </si>
  <si>
    <t>='C:\Users\jaime.benazar\Quorum Business Solutions\Ecopetrol Prometeo - Documents\Planning Space Implementation\3. Analysis &amp; Design\Design\FC22\DRR Jaime\QUIFA-CAJÚA\Cajua\[CAJUA_CF_SEC_New_27-Feb-2024Rev3.xlsx]D-PDP'!$DC$23</t>
  </si>
  <si>
    <t>='C:\Users\jaime.benazar\Quorum Business Solutions\Ecopetrol Prometeo - Documents\Planning Space Implementation\3. Analysis &amp; Design\Design\FC22\DRR Jaime\QUIFA-CAJÚA\Cajua\[CAJUA_CF_SEC_New_27-Feb-2024Rev3.xlsx]D-PDP'!$DC$24</t>
  </si>
  <si>
    <t>='C:\Users\jaime.benazar\Quorum Business Solutions\Ecopetrol Prometeo - Documents\Planning Space Implementation\3. Analysis &amp; Design\Design\FC22\DRR Jaime\QUIFA-CAJÚA\Cajua\[CAJUA_CF_SEC_New_27-Feb-2024Rev3.xlsx]D-PDP'!$DC$25</t>
  </si>
  <si>
    <t>='C:\Users\jaime.benazar\Quorum Business Solutions\Ecopetrol Prometeo - Documents\Planning Space Implementation\3. Analysis &amp; Design\Design\FC22\DRR Jaime\QUIFA-CAJÚA\Cajua\[CAJUA_CF_SEC_New_27-Feb-2024Rev3.xlsx]D-PDP'!$DC$26</t>
  </si>
  <si>
    <t>='C:\Users\jaime.benazar\Quorum Business Solutions\Ecopetrol Prometeo - Documents\Planning Space Implementation\3. Analysis &amp; Design\Design\FC22\DRR Jaime\QUIFA-CAJÚA\Cajua\[CAJUA_CF_SEC_New_27-Feb-2024Rev3.xlsx]D-PDP'!$DC$27</t>
  </si>
  <si>
    <t>='C:\Users\jaime.benazar\Quorum Business Solutions\Ecopetrol Prometeo - Documents\Planning Space Implementation\3. Analysis &amp; Design\Design\FC22\DRR Jaime\QUIFA-CAJÚA\Cajua\[CAJUA_CF_SEC_New_27-Feb-2024Rev3.xlsx]D-PDP'!$DC$28</t>
  </si>
  <si>
    <t>='C:\Users\jaime.benazar\Quorum Business Solutions\Ecopetrol Prometeo - Documents\Planning Space Implementation\3. Analysis &amp; Design\Design\FC22\DRR Jaime\QUIFA-CAJÚA\Cajua\[CAJUA_CF_SEC_New_27-Feb-2024Rev3.xlsx]D-PDP'!$DC$29</t>
  </si>
  <si>
    <t>='C:\Users\jaime.benazar\Quorum Business Solutions\Ecopetrol Prometeo - Documents\Planning Space Implementation\3. Analysis &amp; Design\Design\FC22\DRR Jaime\QUIFA-CAJÚA\Cajua\[CAJUA_CF_SEC_New_27-Feb-2024Rev3.xlsx]D-PDP'!$DC$30</t>
  </si>
  <si>
    <t>='C:\Users\jaime.benazar\Quorum Business Solutions\Ecopetrol Prometeo - Documents\Planning Space Implementation\3. Analysis &amp; Design\Design\FC22\DRR Jaime\QUIFA-CAJÚA\Cajua\[CAJUA_CF_SEC_New_27-Feb-2024Rev3.xlsx]D-PDP'!$DC$31</t>
  </si>
  <si>
    <t>='C:\Users\jaime.benazar\Quorum Business Solutions\Ecopetrol Prometeo - Documents\Planning Space Implementation\3. Analysis &amp; Design\Design\FC22\DRR Jaime\QUIFA-CAJÚA\Cajua\[CAJUA_CF_SEC_New_27-Feb-2024Rev3.xlsx]D-PDP'!$DC$32</t>
  </si>
  <si>
    <t>='C:\Users\jaime.benazar\Quorum Business Solutions\Ecopetrol Prometeo - Documents\Planning Space Implementation\3. Analysis &amp; Design\Design\FC22\DRR Jaime\QUIFA-CAJÚA\Cajua\[CAJUA_CF_SEC_New_27-Feb-2024Rev3.xlsx]D-PDP'!$DC$33</t>
  </si>
  <si>
    <t>='C:\Users\jaime.benazar\Quorum Business Solutions\Ecopetrol Prometeo - Documents\Planning Space Implementation\3. Analysis &amp; Design\Design\FC22\DRR Jaime\QUIFA-CAJÚA\Cajua\[CAJUA_CF_SEC_New_27-Feb-2024Rev3.xlsx]D-PDP'!$DC$34</t>
  </si>
  <si>
    <t>='C:\Users\jaime.benazar\Quorum Business Solutions\Ecopetrol Prometeo - Documents\Planning Space Implementation\3. Analysis &amp; Design\Design\FC22\DRR Jaime\QUIFA-CAJÚA\Cajua\[CAJUA_CF_SEC_New_27-Feb-2024Rev3.xlsx]D-PDP'!$DC$35</t>
  </si>
  <si>
    <t>='C:\Users\jaime.benazar\Quorum Business Solutions\Ecopetrol Prometeo - Documents\Planning Space Implementation\3. Analysis &amp; Design\Design\FC22\DRR Jaime\QUIFA-CAJÚA\Cajua\[CAJUA_CF_SEC_New_27-Feb-2024Rev3.xlsx]D-PDP'!$DC$36</t>
  </si>
  <si>
    <t>='C:\Users\jaime.benazar\Quorum Business Solutions\Ecopetrol Prometeo - Documents\Planning Space Implementation\3. Analysis &amp; Design\Design\FC22\DRR Jaime\QUIFA-CAJÚA\Cajua\[CAJUA_CF_SEC_New_27-Feb-2024Rev3.xlsx]D-PDP'!$DC$37</t>
  </si>
  <si>
    <t>='C:\Users\jaime.benazar\Quorum Business Solutions\Ecopetrol Prometeo - Documents\Planning Space Implementation\3. Analysis &amp; Design\Design\FC22\DRR Jaime\QUIFA-CAJÚA\Cajua\[CAJUA_CF_SEC_New_27-Feb-2024Rev3.xlsx]D-PDP'!$DC$38</t>
  </si>
  <si>
    <t>='C:\Users\jaime.benazar\Quorum Business Solutions\Ecopetrol Prometeo - Documents\Planning Space Implementation\3. Analysis &amp; Design\Design\FC22\DRR Jaime\QUIFA-CAJÚA\Cajua\[CAJUA_CF_SEC_New_27-Feb-2024Rev3.xlsx]D-PDP'!$DC$39</t>
  </si>
  <si>
    <t>='C:\Users\jaime.benazar\Quorum Business Solutions\Ecopetrol Prometeo - Documents\Planning Space Implementation\3. Analysis &amp; Design\Design\FC22\DRR Jaime\QUIFA-CAJÚA\Cajua\[CAJUA_CF_SEC_New_27-Feb-2024Rev3.xlsx]D-PDP'!$DC$40</t>
  </si>
  <si>
    <t>='C:\Users\jaime.benazar\Quorum Business Solutions\Ecopetrol Prometeo - Documents\Planning Space Implementation\3. Analysis &amp; Design\Design\FC22\DRR Jaime\QUIFA-CAJÚA\Cajua\[CAJUA_CF_SEC_New_27-Feb-2024Rev3.xlsx]D-PDP'!$DC$41</t>
  </si>
  <si>
    <t>='C:\Users\jaime.benazar\Quorum Business Solutions\Ecopetrol Prometeo - Documents\Planning Space Implementation\3. Analysis &amp; Design\Design\FC22\DRR Jaime\QUIFA-CAJÚA\Cajua\[CAJUA_CF_SEC_New_27-Feb-2024Rev3.xlsx]D-PDP'!$DC$42</t>
  </si>
  <si>
    <t>='C:\Users\jaime.benazar\Quorum Business Solutions\Ecopetrol Prometeo - Documents\Planning Space Implementation\3. Analysis &amp; Design\Design\FC22\DRR Jaime\QUIFA-CAJÚA\Cajua\[CAJUA_CF_SEC_New_27-Feb-2024Rev3.xlsx]D-PDP'!$DC$43</t>
  </si>
  <si>
    <t>='C:\Users\jaime.benazar\Quorum Business Solutions\Ecopetrol Prometeo - Documents\Planning Space Implementation\3. Analysis &amp; Design\Design\FC22\DRR Jaime\QUIFA-CAJÚA\Cajua\[CAJUA_CF_SEC_New_27-Feb-2024Rev3.xlsx]D-PDP'!$DC$44</t>
  </si>
  <si>
    <t>='C:\Users\jaime.benazar\Quorum Business Solutions\Ecopetrol Prometeo - Documents\Planning Space Implementation\3. Analysis &amp; Design\Design\FC22\DRR Jaime\QUIFA-CAJÚA\Cajua\[CAJUA_CF_SEC_New_27-Feb-2024Rev3.xlsx]D-PDP'!$DC$45</t>
  </si>
  <si>
    <t>='C:\Users\jaime.benazar\Quorum Business Solutions\Ecopetrol Prometeo - Documents\Planning Space Implementation\3. Analysis &amp; Design\Design\FC22\DRR Jaime\QUIFA-CAJÚA\Cajua\[CAJUA_CF_SEC_New_27-Feb-2024Rev3.xlsx]D-PDP'!$DC$46</t>
  </si>
  <si>
    <t>='C:\Users\jaime.benazar\Quorum Business Solutions\Ecopetrol Prometeo - Documents\Planning Space Implementation\3. Analysis &amp; Design\Design\FC22\DRR Jaime\QUIFA-CAJÚA\Cajua\[CAJUA_CF_SEC_New_27-Feb-2024Rev3.xlsx]D-PDP'!$DC$47</t>
  </si>
  <si>
    <t>='C:\Users\jaime.benazar\Quorum Business Solutions\Ecopetrol Prometeo - Documents\Planning Space Implementation\3. Analysis &amp; Design\Design\FC22\DRR Jaime\QUIFA-CAJÚA\Cajua\[CAJUA_CF_SEC_New_27-Feb-2024Rev3.xlsx]D-PDP'!$DC$48</t>
  </si>
  <si>
    <t>='C:\Users\jaime.benazar\Quorum Business Solutions\Ecopetrol Prometeo - Documents\Planning Space Implementation\3. Analysis &amp; Design\Design\FC22\DRR Jaime\QUIFA-CAJÚA\Cajua\[CAJUA_CF_SEC_New_27-Feb-2024Rev3.xlsx]D-PNP'!$DC$12</t>
  </si>
  <si>
    <t>='C:\Users\jaime.benazar\Quorum Business Solutions\Ecopetrol Prometeo - Documents\Planning Space Implementation\3. Analysis &amp; Design\Design\FC22\DRR Jaime\QUIFA-CAJÚA\Cajua\[CAJUA_CF_SEC_New_27-Feb-2024Rev3.xlsx]D-PNP'!$DC$13</t>
  </si>
  <si>
    <t>='C:\Users\jaime.benazar\Quorum Business Solutions\Ecopetrol Prometeo - Documents\Planning Space Implementation\3. Analysis &amp; Design\Design\FC22\DRR Jaime\QUIFA-CAJÚA\Cajua\[CAJUA_CF_SEC_New_27-Feb-2024Rev3.xlsx]D-PNP'!$DC$14</t>
  </si>
  <si>
    <t>='C:\Users\jaime.benazar\Quorum Business Solutions\Ecopetrol Prometeo - Documents\Planning Space Implementation\3. Analysis &amp; Design\Design\FC22\DRR Jaime\QUIFA-CAJÚA\Cajua\[CAJUA_CF_SEC_New_27-Feb-2024Rev3.xlsx]D-PNP'!$DC$15</t>
  </si>
  <si>
    <t>='C:\Users\jaime.benazar\Quorum Business Solutions\Ecopetrol Prometeo - Documents\Planning Space Implementation\3. Analysis &amp; Design\Design\FC22\DRR Jaime\QUIFA-CAJÚA\Cajua\[CAJUA_CF_SEC_New_27-Feb-2024Rev3.xlsx]D-PNP'!$DC$16</t>
  </si>
  <si>
    <t>='C:\Users\jaime.benazar\Quorum Business Solutions\Ecopetrol Prometeo - Documents\Planning Space Implementation\3. Analysis &amp; Design\Design\FC22\DRR Jaime\QUIFA-CAJÚA\Cajua\[CAJUA_CF_SEC_New_27-Feb-2024Rev3.xlsx]D-PNP'!$DC$17</t>
  </si>
  <si>
    <t>='C:\Users\jaime.benazar\Quorum Business Solutions\Ecopetrol Prometeo - Documents\Planning Space Implementation\3. Analysis &amp; Design\Design\FC22\DRR Jaime\QUIFA-CAJÚA\Cajua\[CAJUA_CF_SEC_New_27-Feb-2024Rev3.xlsx]D-PNP'!$DC$18</t>
  </si>
  <si>
    <t>='C:\Users\jaime.benazar\Quorum Business Solutions\Ecopetrol Prometeo - Documents\Planning Space Implementation\3. Analysis &amp; Design\Design\FC22\DRR Jaime\QUIFA-CAJÚA\Cajua\[CAJUA_CF_SEC_New_27-Feb-2024Rev3.xlsx]D-PNP'!$DC$19</t>
  </si>
  <si>
    <t>='C:\Users\jaime.benazar\Quorum Business Solutions\Ecopetrol Prometeo - Documents\Planning Space Implementation\3. Analysis &amp; Design\Design\FC22\DRR Jaime\QUIFA-CAJÚA\Cajua\[CAJUA_CF_SEC_New_27-Feb-2024Rev3.xlsx]D-PNP'!$DC$20</t>
  </si>
  <si>
    <t>='C:\Users\jaime.benazar\Quorum Business Solutions\Ecopetrol Prometeo - Documents\Planning Space Implementation\3. Analysis &amp; Design\Design\FC22\DRR Jaime\QUIFA-CAJÚA\Cajua\[CAJUA_CF_SEC_New_27-Feb-2024Rev3.xlsx]D-PNP'!$DC$21</t>
  </si>
  <si>
    <t>='C:\Users\jaime.benazar\Quorum Business Solutions\Ecopetrol Prometeo - Documents\Planning Space Implementation\3. Analysis &amp; Design\Design\FC22\DRR Jaime\QUIFA-CAJÚA\Cajua\[CAJUA_CF_SEC_New_27-Feb-2024Rev3.xlsx]D-PNP'!$DC$22</t>
  </si>
  <si>
    <t>='C:\Users\jaime.benazar\Quorum Business Solutions\Ecopetrol Prometeo - Documents\Planning Space Implementation\3. Analysis &amp; Design\Design\FC22\DRR Jaime\QUIFA-CAJÚA\Cajua\[CAJUA_CF_SEC_New_27-Feb-2024Rev3.xlsx]D-PNP'!$DC$23</t>
  </si>
  <si>
    <t>='C:\Users\jaime.benazar\Quorum Business Solutions\Ecopetrol Prometeo - Documents\Planning Space Implementation\3. Analysis &amp; Design\Design\FC22\DRR Jaime\QUIFA-CAJÚA\Cajua\[CAJUA_CF_SEC_New_27-Feb-2024Rev3.xlsx]D-PNP'!$DC$24</t>
  </si>
  <si>
    <t>='C:\Users\jaime.benazar\Quorum Business Solutions\Ecopetrol Prometeo - Documents\Planning Space Implementation\3. Analysis &amp; Design\Design\FC22\DRR Jaime\QUIFA-CAJÚA\Cajua\[CAJUA_CF_SEC_New_27-Feb-2024Rev3.xlsx]D-PNP'!$DC$25</t>
  </si>
  <si>
    <t>='C:\Users\jaime.benazar\Quorum Business Solutions\Ecopetrol Prometeo - Documents\Planning Space Implementation\3. Analysis &amp; Design\Design\FC22\DRR Jaime\QUIFA-CAJÚA\Cajua\[CAJUA_CF_SEC_New_27-Feb-2024Rev3.xlsx]D-PNP'!$DC$26</t>
  </si>
  <si>
    <t>='C:\Users\jaime.benazar\Quorum Business Solutions\Ecopetrol Prometeo - Documents\Planning Space Implementation\3. Analysis &amp; Design\Design\FC22\DRR Jaime\QUIFA-CAJÚA\Cajua\[CAJUA_CF_SEC_New_27-Feb-2024Rev3.xlsx]D-PNP'!$DC$27</t>
  </si>
  <si>
    <t>='C:\Users\jaime.benazar\Quorum Business Solutions\Ecopetrol Prometeo - Documents\Planning Space Implementation\3. Analysis &amp; Design\Design\FC22\DRR Jaime\QUIFA-CAJÚA\Cajua\[CAJUA_CF_SEC_New_27-Feb-2024Rev3.xlsx]D-PNP'!$DC$28</t>
  </si>
  <si>
    <t>='C:\Users\jaime.benazar\Quorum Business Solutions\Ecopetrol Prometeo - Documents\Planning Space Implementation\3. Analysis &amp; Design\Design\FC22\DRR Jaime\QUIFA-CAJÚA\Cajua\[CAJUA_CF_SEC_New_27-Feb-2024Rev3.xlsx]D-PNP'!$DC$29</t>
  </si>
  <si>
    <t>='C:\Users\jaime.benazar\Quorum Business Solutions\Ecopetrol Prometeo - Documents\Planning Space Implementation\3. Analysis &amp; Design\Design\FC22\DRR Jaime\QUIFA-CAJÚA\Cajua\[CAJUA_CF_SEC_New_27-Feb-2024Rev3.xlsx]D-PNP'!$DC$30</t>
  </si>
  <si>
    <t>='C:\Users\jaime.benazar\Quorum Business Solutions\Ecopetrol Prometeo - Documents\Planning Space Implementation\3. Analysis &amp; Design\Design\FC22\DRR Jaime\QUIFA-CAJÚA\Cajua\[CAJUA_CF_SEC_New_27-Feb-2024Rev3.xlsx]D-PNP'!$DC$31</t>
  </si>
  <si>
    <t>='C:\Users\jaime.benazar\Quorum Business Solutions\Ecopetrol Prometeo - Documents\Planning Space Implementation\3. Analysis &amp; Design\Design\FC22\DRR Jaime\QUIFA-CAJÚA\Cajua\[CAJUA_CF_SEC_New_27-Feb-2024Rev3.xlsx]D-PNP'!$DC$32</t>
  </si>
  <si>
    <t>='C:\Users\jaime.benazar\Quorum Business Solutions\Ecopetrol Prometeo - Documents\Planning Space Implementation\3. Analysis &amp; Design\Design\FC22\DRR Jaime\QUIFA-CAJÚA\Cajua\[CAJUA_CF_SEC_New_27-Feb-2024Rev3.xlsx]D-PNP'!$DC$33</t>
  </si>
  <si>
    <t>='C:\Users\jaime.benazar\Quorum Business Solutions\Ecopetrol Prometeo - Documents\Planning Space Implementation\3. Analysis &amp; Design\Design\FC22\DRR Jaime\QUIFA-CAJÚA\Cajua\[CAJUA_CF_SEC_New_27-Feb-2024Rev3.xlsx]D-PNP'!$DC$34</t>
  </si>
  <si>
    <t>='C:\Users\jaime.benazar\Quorum Business Solutions\Ecopetrol Prometeo - Documents\Planning Space Implementation\3. Analysis &amp; Design\Design\FC22\DRR Jaime\QUIFA-CAJÚA\Cajua\[CAJUA_CF_SEC_New_27-Feb-2024Rev3.xlsx]D-PNP'!$DC$35</t>
  </si>
  <si>
    <t>='C:\Users\jaime.benazar\Quorum Business Solutions\Ecopetrol Prometeo - Documents\Planning Space Implementation\3. Analysis &amp; Design\Design\FC22\DRR Jaime\QUIFA-CAJÚA\Cajua\[CAJUA_CF_SEC_New_27-Feb-2024Rev3.xlsx]D-PNP'!$DC$36</t>
  </si>
  <si>
    <t>='C:\Users\jaime.benazar\Quorum Business Solutions\Ecopetrol Prometeo - Documents\Planning Space Implementation\3. Analysis &amp; Design\Design\FC22\DRR Jaime\QUIFA-CAJÚA\Cajua\[CAJUA_CF_SEC_New_27-Feb-2024Rev3.xlsx]D-PNP'!$DC$37</t>
  </si>
  <si>
    <t>='C:\Users\jaime.benazar\Quorum Business Solutions\Ecopetrol Prometeo - Documents\Planning Space Implementation\3. Analysis &amp; Design\Design\FC22\DRR Jaime\QUIFA-CAJÚA\Cajua\[CAJUA_CF_SEC_New_27-Feb-2024Rev3.xlsx]D-PNP'!$DC$38</t>
  </si>
  <si>
    <t>='C:\Users\jaime.benazar\Quorum Business Solutions\Ecopetrol Prometeo - Documents\Planning Space Implementation\3. Analysis &amp; Design\Design\FC22\DRR Jaime\QUIFA-CAJÚA\Cajua\[CAJUA_CF_SEC_New_27-Feb-2024Rev3.xlsx]D-PNP'!$DC$39</t>
  </si>
  <si>
    <t>='C:\Users\jaime.benazar\Quorum Business Solutions\Ecopetrol Prometeo - Documents\Planning Space Implementation\3. Analysis &amp; Design\Design\FC22\DRR Jaime\QUIFA-CAJÚA\Cajua\[CAJUA_CF_SEC_New_27-Feb-2024Rev3.xlsx]D-PNP'!$DC$40</t>
  </si>
  <si>
    <t>='C:\Users\jaime.benazar\Quorum Business Solutions\Ecopetrol Prometeo - Documents\Planning Space Implementation\3. Analysis &amp; Design\Design\FC22\DRR Jaime\QUIFA-CAJÚA\Cajua\[CAJUA_CF_SEC_New_27-Feb-2024Rev3.xlsx]D-PNP'!$DC$41</t>
  </si>
  <si>
    <t>='C:\Users\jaime.benazar\Quorum Business Solutions\Ecopetrol Prometeo - Documents\Planning Space Implementation\3. Analysis &amp; Design\Design\FC22\DRR Jaime\QUIFA-CAJÚA\Cajua\[CAJUA_CF_SEC_New_27-Feb-2024Rev3.xlsx]D-PNP'!$DC$42</t>
  </si>
  <si>
    <t>='C:\Users\jaime.benazar\Quorum Business Solutions\Ecopetrol Prometeo - Documents\Planning Space Implementation\3. Analysis &amp; Design\Design\FC22\DRR Jaime\QUIFA-CAJÚA\Cajua\[CAJUA_CF_SEC_New_27-Feb-2024Rev3.xlsx]D-PNP'!$DC$43</t>
  </si>
  <si>
    <t>='C:\Users\jaime.benazar\Quorum Business Solutions\Ecopetrol Prometeo - Documents\Planning Space Implementation\3. Analysis &amp; Design\Design\FC22\DRR Jaime\QUIFA-CAJÚA\Cajua\[CAJUA_CF_SEC_New_27-Feb-2024Rev3.xlsx]D-PNP'!$DC$44</t>
  </si>
  <si>
    <t>='C:\Users\jaime.benazar\Quorum Business Solutions\Ecopetrol Prometeo - Documents\Planning Space Implementation\3. Analysis &amp; Design\Design\FC22\DRR Jaime\QUIFA-CAJÚA\Cajua\[CAJUA_CF_SEC_New_27-Feb-2024Rev3.xlsx]D-PNP'!$DC$45</t>
  </si>
  <si>
    <t>='C:\Users\jaime.benazar\Quorum Business Solutions\Ecopetrol Prometeo - Documents\Planning Space Implementation\3. Analysis &amp; Design\Design\FC22\DRR Jaime\QUIFA-CAJÚA\Cajua\[CAJUA_CF_SEC_New_27-Feb-2024Rev3.xlsx]D-PNP'!$DC$46</t>
  </si>
  <si>
    <t>='C:\Users\jaime.benazar\Quorum Business Solutions\Ecopetrol Prometeo - Documents\Planning Space Implementation\3. Analysis &amp; Design\Design\FC22\DRR Jaime\QUIFA-CAJÚA\Cajua\[CAJUA_CF_SEC_New_27-Feb-2024Rev3.xlsx]D-PNP'!$DC$47</t>
  </si>
  <si>
    <t>='C:\Users\jaime.benazar\Quorum Business Solutions\Ecopetrol Prometeo - Documents\Planning Space Implementation\3. Analysis &amp; Design\Design\FC22\DRR Jaime\QUIFA-CAJÚA\Cajua\[CAJUA_CF_SEC_New_27-Feb-2024Rev3.xlsx]D-PNP'!$DC$48</t>
  </si>
  <si>
    <t>='C:\Users\jaime.benazar\Quorum Business Solutions\Ecopetrol Prometeo - Documents\Planning Space Implementation\3. Analysis &amp; Design\Design\FC22\DRR Jaime\QUIFA-CAJÚA\Cajua\[CAJUA_CF_SEC_New_27-Feb-2024Rev3.xlsx]D-PND'!$DC$12</t>
  </si>
  <si>
    <t>='C:\Users\jaime.benazar\Quorum Business Solutions\Ecopetrol Prometeo - Documents\Planning Space Implementation\3. Analysis &amp; Design\Design\FC22\DRR Jaime\QUIFA-CAJÚA\Cajua\[CAJUA_CF_SEC_New_27-Feb-2024Rev3.xlsx]D-PND'!$DC$13</t>
  </si>
  <si>
    <t>='C:\Users\jaime.benazar\Quorum Business Solutions\Ecopetrol Prometeo - Documents\Planning Space Implementation\3. Analysis &amp; Design\Design\FC22\DRR Jaime\QUIFA-CAJÚA\Cajua\[CAJUA_CF_SEC_New_27-Feb-2024Rev3.xlsx]D-PND'!$DC$14</t>
  </si>
  <si>
    <t>='C:\Users\jaime.benazar\Quorum Business Solutions\Ecopetrol Prometeo - Documents\Planning Space Implementation\3. Analysis &amp; Design\Design\FC22\DRR Jaime\QUIFA-CAJÚA\Cajua\[CAJUA_CF_SEC_New_27-Feb-2024Rev3.xlsx]D-PND'!$DC$15</t>
  </si>
  <si>
    <t>='C:\Users\jaime.benazar\Quorum Business Solutions\Ecopetrol Prometeo - Documents\Planning Space Implementation\3. Analysis &amp; Design\Design\FC22\DRR Jaime\QUIFA-CAJÚA\Cajua\[CAJUA_CF_SEC_New_27-Feb-2024Rev3.xlsx]D-PND'!$DC$16</t>
  </si>
  <si>
    <t>='C:\Users\jaime.benazar\Quorum Business Solutions\Ecopetrol Prometeo - Documents\Planning Space Implementation\3. Analysis &amp; Design\Design\FC22\DRR Jaime\QUIFA-CAJÚA\Cajua\[CAJUA_CF_SEC_New_27-Feb-2024Rev3.xlsx]D-PND'!$DC$17</t>
  </si>
  <si>
    <t>='C:\Users\jaime.benazar\Quorum Business Solutions\Ecopetrol Prometeo - Documents\Planning Space Implementation\3. Analysis &amp; Design\Design\FC22\DRR Jaime\QUIFA-CAJÚA\Cajua\[CAJUA_CF_SEC_New_27-Feb-2024Rev3.xlsx]D-PND'!$DC$18</t>
  </si>
  <si>
    <t>='C:\Users\jaime.benazar\Quorum Business Solutions\Ecopetrol Prometeo - Documents\Planning Space Implementation\3. Analysis &amp; Design\Design\FC22\DRR Jaime\QUIFA-CAJÚA\Cajua\[CAJUA_CF_SEC_New_27-Feb-2024Rev3.xlsx]D-PND'!$DC$19</t>
  </si>
  <si>
    <t>='C:\Users\jaime.benazar\Quorum Business Solutions\Ecopetrol Prometeo - Documents\Planning Space Implementation\3. Analysis &amp; Design\Design\FC22\DRR Jaime\QUIFA-CAJÚA\Cajua\[CAJUA_CF_SEC_New_27-Feb-2024Rev3.xlsx]D-PND'!$DC$20</t>
  </si>
  <si>
    <t>='C:\Users\jaime.benazar\Quorum Business Solutions\Ecopetrol Prometeo - Documents\Planning Space Implementation\3. Analysis &amp; Design\Design\FC22\DRR Jaime\QUIFA-CAJÚA\Cajua\[CAJUA_CF_SEC_New_27-Feb-2024Rev3.xlsx]D-PND'!$DC$21</t>
  </si>
  <si>
    <t>='C:\Users\jaime.benazar\Quorum Business Solutions\Ecopetrol Prometeo - Documents\Planning Space Implementation\3. Analysis &amp; Design\Design\FC22\DRR Jaime\QUIFA-CAJÚA\Cajua\[CAJUA_CF_SEC_New_27-Feb-2024Rev3.xlsx]D-PND'!$DC$22</t>
  </si>
  <si>
    <t>='C:\Users\jaime.benazar\Quorum Business Solutions\Ecopetrol Prometeo - Documents\Planning Space Implementation\3. Analysis &amp; Design\Design\FC22\DRR Jaime\QUIFA-CAJÚA\Cajua\[CAJUA_CF_SEC_New_27-Feb-2024Rev3.xlsx]D-PND'!$DC$23</t>
  </si>
  <si>
    <t>='C:\Users\jaime.benazar\Quorum Business Solutions\Ecopetrol Prometeo - Documents\Planning Space Implementation\3. Analysis &amp; Design\Design\FC22\DRR Jaime\QUIFA-CAJÚA\Cajua\[CAJUA_CF_SEC_New_27-Feb-2024Rev3.xlsx]D-PND'!$DC$24</t>
  </si>
  <si>
    <t>='C:\Users\jaime.benazar\Quorum Business Solutions\Ecopetrol Prometeo - Documents\Planning Space Implementation\3. Analysis &amp; Design\Design\FC22\DRR Jaime\QUIFA-CAJÚA\Cajua\[CAJUA_CF_SEC_New_27-Feb-2024Rev3.xlsx]D-PND'!$DC$25</t>
  </si>
  <si>
    <t>='C:\Users\jaime.benazar\Quorum Business Solutions\Ecopetrol Prometeo - Documents\Planning Space Implementation\3. Analysis &amp; Design\Design\FC22\DRR Jaime\QUIFA-CAJÚA\Cajua\[CAJUA_CF_SEC_New_27-Feb-2024Rev3.xlsx]D-PND'!$DC$26</t>
  </si>
  <si>
    <t>='C:\Users\jaime.benazar\Quorum Business Solutions\Ecopetrol Prometeo - Documents\Planning Space Implementation\3. Analysis &amp; Design\Design\FC22\DRR Jaime\QUIFA-CAJÚA\Cajua\[CAJUA_CF_SEC_New_27-Feb-2024Rev3.xlsx]D-PND'!$DC$27</t>
  </si>
  <si>
    <t>='C:\Users\jaime.benazar\Quorum Business Solutions\Ecopetrol Prometeo - Documents\Planning Space Implementation\3. Analysis &amp; Design\Design\FC22\DRR Jaime\QUIFA-CAJÚA\Cajua\[CAJUA_CF_SEC_New_27-Feb-2024Rev3.xlsx]D-PND'!$DC$28</t>
  </si>
  <si>
    <t>='C:\Users\jaime.benazar\Quorum Business Solutions\Ecopetrol Prometeo - Documents\Planning Space Implementation\3. Analysis &amp; Design\Design\FC22\DRR Jaime\QUIFA-CAJÚA\Cajua\[CAJUA_CF_SEC_New_27-Feb-2024Rev3.xlsx]D-PND'!$DC$29</t>
  </si>
  <si>
    <t>='C:\Users\jaime.benazar\Quorum Business Solutions\Ecopetrol Prometeo - Documents\Planning Space Implementation\3. Analysis &amp; Design\Design\FC22\DRR Jaime\QUIFA-CAJÚA\Cajua\[CAJUA_CF_SEC_New_27-Feb-2024Rev3.xlsx]D-PND'!$DC$30</t>
  </si>
  <si>
    <t>='C:\Users\jaime.benazar\Quorum Business Solutions\Ecopetrol Prometeo - Documents\Planning Space Implementation\3. Analysis &amp; Design\Design\FC22\DRR Jaime\QUIFA-CAJÚA\Cajua\[CAJUA_CF_SEC_New_27-Feb-2024Rev3.xlsx]D-PND'!$DC$31</t>
  </si>
  <si>
    <t>='C:\Users\jaime.benazar\Quorum Business Solutions\Ecopetrol Prometeo - Documents\Planning Space Implementation\3. Analysis &amp; Design\Design\FC22\DRR Jaime\QUIFA-CAJÚA\Cajua\[CAJUA_CF_SEC_New_27-Feb-2024Rev3.xlsx]D-PND'!$DC$32</t>
  </si>
  <si>
    <t>='C:\Users\jaime.benazar\Quorum Business Solutions\Ecopetrol Prometeo - Documents\Planning Space Implementation\3. Analysis &amp; Design\Design\FC22\DRR Jaime\QUIFA-CAJÚA\Cajua\[CAJUA_CF_SEC_New_27-Feb-2024Rev3.xlsx]D-PND'!$DC$33</t>
  </si>
  <si>
    <t>='C:\Users\jaime.benazar\Quorum Business Solutions\Ecopetrol Prometeo - Documents\Planning Space Implementation\3. Analysis &amp; Design\Design\FC22\DRR Jaime\QUIFA-CAJÚA\Cajua\[CAJUA_CF_SEC_New_27-Feb-2024Rev3.xlsx]D-PND'!$DC$34</t>
  </si>
  <si>
    <t>='C:\Users\jaime.benazar\Quorum Business Solutions\Ecopetrol Prometeo - Documents\Planning Space Implementation\3. Analysis &amp; Design\Design\FC22\DRR Jaime\QUIFA-CAJÚA\Cajua\[CAJUA_CF_SEC_New_27-Feb-2024Rev3.xlsx]D-PND'!$DC$35</t>
  </si>
  <si>
    <t>='C:\Users\jaime.benazar\Quorum Business Solutions\Ecopetrol Prometeo - Documents\Planning Space Implementation\3. Analysis &amp; Design\Design\FC22\DRR Jaime\QUIFA-CAJÚA\Cajua\[CAJUA_CF_SEC_New_27-Feb-2024Rev3.xlsx]D-PND'!$DC$36</t>
  </si>
  <si>
    <t>='C:\Users\jaime.benazar\Quorum Business Solutions\Ecopetrol Prometeo - Documents\Planning Space Implementation\3. Analysis &amp; Design\Design\FC22\DRR Jaime\QUIFA-CAJÚA\Cajua\[CAJUA_CF_SEC_New_27-Feb-2024Rev3.xlsx]D-PND'!$DC$37</t>
  </si>
  <si>
    <t>='C:\Users\jaime.benazar\Quorum Business Solutions\Ecopetrol Prometeo - Documents\Planning Space Implementation\3. Analysis &amp; Design\Design\FC22\DRR Jaime\QUIFA-CAJÚA\Cajua\[CAJUA_CF_SEC_New_27-Feb-2024Rev3.xlsx]D-PND'!$DC$38</t>
  </si>
  <si>
    <t>='C:\Users\jaime.benazar\Quorum Business Solutions\Ecopetrol Prometeo - Documents\Planning Space Implementation\3. Analysis &amp; Design\Design\FC22\DRR Jaime\QUIFA-CAJÚA\Cajua\[CAJUA_CF_SEC_New_27-Feb-2024Rev3.xlsx]D-PND'!$DC$39</t>
  </si>
  <si>
    <t>='C:\Users\jaime.benazar\Quorum Business Solutions\Ecopetrol Prometeo - Documents\Planning Space Implementation\3. Analysis &amp; Design\Design\FC22\DRR Jaime\QUIFA-CAJÚA\Cajua\[CAJUA_CF_SEC_New_27-Feb-2024Rev3.xlsx]D-PND'!$DC$40</t>
  </si>
  <si>
    <t>='C:\Users\jaime.benazar\Quorum Business Solutions\Ecopetrol Prometeo - Documents\Planning Space Implementation\3. Analysis &amp; Design\Design\FC22\DRR Jaime\QUIFA-CAJÚA\Cajua\[CAJUA_CF_SEC_New_27-Feb-2024Rev3.xlsx]D-PND'!$DC$41</t>
  </si>
  <si>
    <t>='C:\Users\jaime.benazar\Quorum Business Solutions\Ecopetrol Prometeo - Documents\Planning Space Implementation\3. Analysis &amp; Design\Design\FC22\DRR Jaime\QUIFA-CAJÚA\Cajua\[CAJUA_CF_SEC_New_27-Feb-2024Rev3.xlsx]D-PND'!$DC$42</t>
  </si>
  <si>
    <t>='C:\Users\jaime.benazar\Quorum Business Solutions\Ecopetrol Prometeo - Documents\Planning Space Implementation\3. Analysis &amp; Design\Design\FC22\DRR Jaime\QUIFA-CAJÚA\Cajua\[CAJUA_CF_SEC_New_27-Feb-2024Rev3.xlsx]D-PND'!$DC$43</t>
  </si>
  <si>
    <t>='C:\Users\jaime.benazar\Quorum Business Solutions\Ecopetrol Prometeo - Documents\Planning Space Implementation\3. Analysis &amp; Design\Design\FC22\DRR Jaime\QUIFA-CAJÚA\Cajua\[CAJUA_CF_SEC_New_27-Feb-2024Rev3.xlsx]D-PND'!$DC$44</t>
  </si>
  <si>
    <t>='C:\Users\jaime.benazar\Quorum Business Solutions\Ecopetrol Prometeo - Documents\Planning Space Implementation\3. Analysis &amp; Design\Design\FC22\DRR Jaime\QUIFA-CAJÚA\Cajua\[CAJUA_CF_SEC_New_27-Feb-2024Rev3.xlsx]D-PND'!$DC$45</t>
  </si>
  <si>
    <t>='C:\Users\jaime.benazar\Quorum Business Solutions\Ecopetrol Prometeo - Documents\Planning Space Implementation\3. Analysis &amp; Design\Design\FC22\DRR Jaime\QUIFA-CAJÚA\Cajua\[CAJUA_CF_SEC_New_27-Feb-2024Rev3.xlsx]D-PND'!$DC$46</t>
  </si>
  <si>
    <t>='C:\Users\jaime.benazar\Quorum Business Solutions\Ecopetrol Prometeo - Documents\Planning Space Implementation\3. Analysis &amp; Design\Design\FC22\DRR Jaime\QUIFA-CAJÚA\Cajua\[CAJUA_CF_SEC_New_27-Feb-2024Rev3.xlsx]D-PND'!$DC$47</t>
  </si>
  <si>
    <t>='C:\Users\jaime.benazar\Quorum Business Solutions\Ecopetrol Prometeo - Documents\Planning Space Implementation\3. Analysis &amp; Design\Design\FC22\DRR Jaime\QUIFA-CAJÚA\Cajua\[CAJUA_CF_SEC_New_27-Feb-2024Rev3.xlsx]D-PND'!$DC$48</t>
  </si>
  <si>
    <t>='C:\Users\jaime.benazar\Quorum Business Solutions\Ecopetrol Prometeo - Documents\Planning Space Implementation\3. Analysis &amp; Design\Design\FC22\DRR Jaime\QUIFA-CAJÚA\Cajua\[CAJUA_CF_SEC_New_27-Feb-2024Rev3.xlsx]D-PRB'!$DC$12</t>
  </si>
  <si>
    <t>='C:\Users\jaime.benazar\Quorum Business Solutions\Ecopetrol Prometeo - Documents\Planning Space Implementation\3. Analysis &amp; Design\Design\FC22\DRR Jaime\QUIFA-CAJÚA\Cajua\[CAJUA_CF_SEC_New_27-Feb-2024Rev3.xlsx]D-PRB'!$DC$13</t>
  </si>
  <si>
    <t>='C:\Users\jaime.benazar\Quorum Business Solutions\Ecopetrol Prometeo - Documents\Planning Space Implementation\3. Analysis &amp; Design\Design\FC22\DRR Jaime\QUIFA-CAJÚA\Cajua\[CAJUA_CF_SEC_New_27-Feb-2024Rev3.xlsx]D-PRB'!$DC$14</t>
  </si>
  <si>
    <t>='C:\Users\jaime.benazar\Quorum Business Solutions\Ecopetrol Prometeo - Documents\Planning Space Implementation\3. Analysis &amp; Design\Design\FC22\DRR Jaime\QUIFA-CAJÚA\Cajua\[CAJUA_CF_SEC_New_27-Feb-2024Rev3.xlsx]D-PRB'!$DC$15</t>
  </si>
  <si>
    <t>='C:\Users\jaime.benazar\Quorum Business Solutions\Ecopetrol Prometeo - Documents\Planning Space Implementation\3. Analysis &amp; Design\Design\FC22\DRR Jaime\QUIFA-CAJÚA\Cajua\[CAJUA_CF_SEC_New_27-Feb-2024Rev3.xlsx]D-PRB'!$DC$16</t>
  </si>
  <si>
    <t>='C:\Users\jaime.benazar\Quorum Business Solutions\Ecopetrol Prometeo - Documents\Planning Space Implementation\3. Analysis &amp; Design\Design\FC22\DRR Jaime\QUIFA-CAJÚA\Cajua\[CAJUA_CF_SEC_New_27-Feb-2024Rev3.xlsx]D-PRB'!$DC$17</t>
  </si>
  <si>
    <t>='C:\Users\jaime.benazar\Quorum Business Solutions\Ecopetrol Prometeo - Documents\Planning Space Implementation\3. Analysis &amp; Design\Design\FC22\DRR Jaime\QUIFA-CAJÚA\Cajua\[CAJUA_CF_SEC_New_27-Feb-2024Rev3.xlsx]D-PRB'!$DC$18</t>
  </si>
  <si>
    <t>='C:\Users\jaime.benazar\Quorum Business Solutions\Ecopetrol Prometeo - Documents\Planning Space Implementation\3. Analysis &amp; Design\Design\FC22\DRR Jaime\QUIFA-CAJÚA\Cajua\[CAJUA_CF_SEC_New_27-Feb-2024Rev3.xlsx]D-PRB'!$DC$19</t>
  </si>
  <si>
    <t>='C:\Users\jaime.benazar\Quorum Business Solutions\Ecopetrol Prometeo - Documents\Planning Space Implementation\3. Analysis &amp; Design\Design\FC22\DRR Jaime\QUIFA-CAJÚA\Cajua\[CAJUA_CF_SEC_New_27-Feb-2024Rev3.xlsx]D-PRB'!$DC$20</t>
  </si>
  <si>
    <t>='C:\Users\jaime.benazar\Quorum Business Solutions\Ecopetrol Prometeo - Documents\Planning Space Implementation\3. Analysis &amp; Design\Design\FC22\DRR Jaime\QUIFA-CAJÚA\Cajua\[CAJUA_CF_SEC_New_27-Feb-2024Rev3.xlsx]D-PRB'!$DC$21</t>
  </si>
  <si>
    <t>='C:\Users\jaime.benazar\Quorum Business Solutions\Ecopetrol Prometeo - Documents\Planning Space Implementation\3. Analysis &amp; Design\Design\FC22\DRR Jaime\QUIFA-CAJÚA\Cajua\[CAJUA_CF_SEC_New_27-Feb-2024Rev3.xlsx]D-PRB'!$DC$22</t>
  </si>
  <si>
    <t>='C:\Users\jaime.benazar\Quorum Business Solutions\Ecopetrol Prometeo - Documents\Planning Space Implementation\3. Analysis &amp; Design\Design\FC22\DRR Jaime\QUIFA-CAJÚA\Cajua\[CAJUA_CF_SEC_New_27-Feb-2024Rev3.xlsx]D-PRB'!$DC$23</t>
  </si>
  <si>
    <t>='C:\Users\jaime.benazar\Quorum Business Solutions\Ecopetrol Prometeo - Documents\Planning Space Implementation\3. Analysis &amp; Design\Design\FC22\DRR Jaime\QUIFA-CAJÚA\Cajua\[CAJUA_CF_SEC_New_27-Feb-2024Rev3.xlsx]D-PRB'!$DC$24</t>
  </si>
  <si>
    <t>='C:\Users\jaime.benazar\Quorum Business Solutions\Ecopetrol Prometeo - Documents\Planning Space Implementation\3. Analysis &amp; Design\Design\FC22\DRR Jaime\QUIFA-CAJÚA\Cajua\[CAJUA_CF_SEC_New_27-Feb-2024Rev3.xlsx]D-PRB'!$DC$25</t>
  </si>
  <si>
    <t>='C:\Users\jaime.benazar\Quorum Business Solutions\Ecopetrol Prometeo - Documents\Planning Space Implementation\3. Analysis &amp; Design\Design\FC22\DRR Jaime\QUIFA-CAJÚA\Cajua\[CAJUA_CF_SEC_New_27-Feb-2024Rev3.xlsx]D-PRB'!$DC$26</t>
  </si>
  <si>
    <t>='C:\Users\jaime.benazar\Quorum Business Solutions\Ecopetrol Prometeo - Documents\Planning Space Implementation\3. Analysis &amp; Design\Design\FC22\DRR Jaime\QUIFA-CAJÚA\Cajua\[CAJUA_CF_SEC_New_27-Feb-2024Rev3.xlsx]D-PRB'!$DC$27</t>
  </si>
  <si>
    <t>='C:\Users\jaime.benazar\Quorum Business Solutions\Ecopetrol Prometeo - Documents\Planning Space Implementation\3. Analysis &amp; Design\Design\FC22\DRR Jaime\QUIFA-CAJÚA\Cajua\[CAJUA_CF_SEC_New_27-Feb-2024Rev3.xlsx]D-PRB'!$DC$28</t>
  </si>
  <si>
    <t>='C:\Users\jaime.benazar\Quorum Business Solutions\Ecopetrol Prometeo - Documents\Planning Space Implementation\3. Analysis &amp; Design\Design\FC22\DRR Jaime\QUIFA-CAJÚA\Cajua\[CAJUA_CF_SEC_New_27-Feb-2024Rev3.xlsx]D-PRB'!$DC$29</t>
  </si>
  <si>
    <t>='C:\Users\jaime.benazar\Quorum Business Solutions\Ecopetrol Prometeo - Documents\Planning Space Implementation\3. Analysis &amp; Design\Design\FC22\DRR Jaime\QUIFA-CAJÚA\Cajua\[CAJUA_CF_SEC_New_27-Feb-2024Rev3.xlsx]D-PRB'!$DC$30</t>
  </si>
  <si>
    <t>='C:\Users\jaime.benazar\Quorum Business Solutions\Ecopetrol Prometeo - Documents\Planning Space Implementation\3. Analysis &amp; Design\Design\FC22\DRR Jaime\QUIFA-CAJÚA\Cajua\[CAJUA_CF_SEC_New_27-Feb-2024Rev3.xlsx]D-PRB'!$DC$31</t>
  </si>
  <si>
    <t>='C:\Users\jaime.benazar\Quorum Business Solutions\Ecopetrol Prometeo - Documents\Planning Space Implementation\3. Analysis &amp; Design\Design\FC22\DRR Jaime\QUIFA-CAJÚA\Cajua\[CAJUA_CF_SEC_New_27-Feb-2024Rev3.xlsx]D-PRB'!$DC$32</t>
  </si>
  <si>
    <t>='C:\Users\jaime.benazar\Quorum Business Solutions\Ecopetrol Prometeo - Documents\Planning Space Implementation\3. Analysis &amp; Design\Design\FC22\DRR Jaime\QUIFA-CAJÚA\Cajua\[CAJUA_CF_SEC_New_27-Feb-2024Rev3.xlsx]D-PRB'!$DC$33</t>
  </si>
  <si>
    <t>='C:\Users\jaime.benazar\Quorum Business Solutions\Ecopetrol Prometeo - Documents\Planning Space Implementation\3. Analysis &amp; Design\Design\FC22\DRR Jaime\QUIFA-CAJÚA\Cajua\[CAJUA_CF_SEC_New_27-Feb-2024Rev3.xlsx]D-PRB'!$DC$34</t>
  </si>
  <si>
    <t>='C:\Users\jaime.benazar\Quorum Business Solutions\Ecopetrol Prometeo - Documents\Planning Space Implementation\3. Analysis &amp; Design\Design\FC22\DRR Jaime\QUIFA-CAJÚA\Cajua\[CAJUA_CF_SEC_New_27-Feb-2024Rev3.xlsx]D-PRB'!$DC$35</t>
  </si>
  <si>
    <t>='C:\Users\jaime.benazar\Quorum Business Solutions\Ecopetrol Prometeo - Documents\Planning Space Implementation\3. Analysis &amp; Design\Design\FC22\DRR Jaime\QUIFA-CAJÚA\Cajua\[CAJUA_CF_SEC_New_27-Feb-2024Rev3.xlsx]D-PRB'!$DC$36</t>
  </si>
  <si>
    <t>='C:\Users\jaime.benazar\Quorum Business Solutions\Ecopetrol Prometeo - Documents\Planning Space Implementation\3. Analysis &amp; Design\Design\FC22\DRR Jaime\QUIFA-CAJÚA\Cajua\[CAJUA_CF_SEC_New_27-Feb-2024Rev3.xlsx]D-PRB'!$DC$37</t>
  </si>
  <si>
    <t>='C:\Users\jaime.benazar\Quorum Business Solutions\Ecopetrol Prometeo - Documents\Planning Space Implementation\3. Analysis &amp; Design\Design\FC22\DRR Jaime\QUIFA-CAJÚA\Cajua\[CAJUA_CF_SEC_New_27-Feb-2024Rev3.xlsx]D-PRB'!$DC$38</t>
  </si>
  <si>
    <t>='C:\Users\jaime.benazar\Quorum Business Solutions\Ecopetrol Prometeo - Documents\Planning Space Implementation\3. Analysis &amp; Design\Design\FC22\DRR Jaime\QUIFA-CAJÚA\Cajua\[CAJUA_CF_SEC_New_27-Feb-2024Rev3.xlsx]D-PRB'!$DC$39</t>
  </si>
  <si>
    <t>='C:\Users\jaime.benazar\Quorum Business Solutions\Ecopetrol Prometeo - Documents\Planning Space Implementation\3. Analysis &amp; Design\Design\FC22\DRR Jaime\QUIFA-CAJÚA\Cajua\[CAJUA_CF_SEC_New_27-Feb-2024Rev3.xlsx]D-PRB'!$DC$40</t>
  </si>
  <si>
    <t>='C:\Users\jaime.benazar\Quorum Business Solutions\Ecopetrol Prometeo - Documents\Planning Space Implementation\3. Analysis &amp; Design\Design\FC22\DRR Jaime\QUIFA-CAJÚA\Cajua\[CAJUA_CF_SEC_New_27-Feb-2024Rev3.xlsx]D-PRB'!$DC$41</t>
  </si>
  <si>
    <t>='C:\Users\jaime.benazar\Quorum Business Solutions\Ecopetrol Prometeo - Documents\Planning Space Implementation\3. Analysis &amp; Design\Design\FC22\DRR Jaime\QUIFA-CAJÚA\Cajua\[CAJUA_CF_SEC_New_27-Feb-2024Rev3.xlsx]D-PRB'!$DC$42</t>
  </si>
  <si>
    <t>='C:\Users\jaime.benazar\Quorum Business Solutions\Ecopetrol Prometeo - Documents\Planning Space Implementation\3. Analysis &amp; Design\Design\FC22\DRR Jaime\QUIFA-CAJÚA\Cajua\[CAJUA_CF_SEC_New_27-Feb-2024Rev3.xlsx]D-PRB'!$DC$43</t>
  </si>
  <si>
    <t>='C:\Users\jaime.benazar\Quorum Business Solutions\Ecopetrol Prometeo - Documents\Planning Space Implementation\3. Analysis &amp; Design\Design\FC22\DRR Jaime\QUIFA-CAJÚA\Cajua\[CAJUA_CF_SEC_New_27-Feb-2024Rev3.xlsx]D-PRB'!$DC$44</t>
  </si>
  <si>
    <t>='C:\Users\jaime.benazar\Quorum Business Solutions\Ecopetrol Prometeo - Documents\Planning Space Implementation\3. Analysis &amp; Design\Design\FC22\DRR Jaime\QUIFA-CAJÚA\Cajua\[CAJUA_CF_SEC_New_27-Feb-2024Rev3.xlsx]D-PRB'!$DC$45</t>
  </si>
  <si>
    <t>='C:\Users\jaime.benazar\Quorum Business Solutions\Ecopetrol Prometeo - Documents\Planning Space Implementation\3. Analysis &amp; Design\Design\FC22\DRR Jaime\QUIFA-CAJÚA\Cajua\[CAJUA_CF_SEC_New_27-Feb-2024Rev3.xlsx]D-PRB'!$DC$46</t>
  </si>
  <si>
    <t>='C:\Users\jaime.benazar\Quorum Business Solutions\Ecopetrol Prometeo - Documents\Planning Space Implementation\3. Analysis &amp; Design\Design\FC22\DRR Jaime\QUIFA-CAJÚA\Cajua\[CAJUA_CF_SEC_New_27-Feb-2024Rev3.xlsx]D-PRB'!$DC$47</t>
  </si>
  <si>
    <t>='C:\Users\jaime.benazar\Quorum Business Solutions\Ecopetrol Prometeo - Documents\Planning Space Implementation\3. Analysis &amp; Design\Design\FC22\DRR Jaime\QUIFA-CAJÚA\Cajua\[CAJUA_CF_SEC_New_27-Feb-2024Rev3.xlsx]D-PRB'!$DC$48</t>
  </si>
  <si>
    <t>='C:\Users\jaime.benazar\Quorum Business Solutions\Ecopetrol Prometeo - Documents\Planning Space Implementation\3. Analysis &amp; Design\Design\FC22\DRR Jaime\QUIFA-CAJÚA\Cajua\[CAJUA_CF_SEC_New_27-Feb-2024Rev3.xlsx]D-PS'!$DC$12</t>
  </si>
  <si>
    <t>='C:\Users\jaime.benazar\Quorum Business Solutions\Ecopetrol Prometeo - Documents\Planning Space Implementation\3. Analysis &amp; Design\Design\FC22\DRR Jaime\QUIFA-CAJÚA\Cajua\[CAJUA_CF_SEC_New_27-Feb-2024Rev3.xlsx]D-PS'!$DC$13</t>
  </si>
  <si>
    <t>='C:\Users\jaime.benazar\Quorum Business Solutions\Ecopetrol Prometeo - Documents\Planning Space Implementation\3. Analysis &amp; Design\Design\FC22\DRR Jaime\QUIFA-CAJÚA\Cajua\[CAJUA_CF_SEC_New_27-Feb-2024Rev3.xlsx]D-PS'!$DC$14</t>
  </si>
  <si>
    <t>='C:\Users\jaime.benazar\Quorum Business Solutions\Ecopetrol Prometeo - Documents\Planning Space Implementation\3. Analysis &amp; Design\Design\FC22\DRR Jaime\QUIFA-CAJÚA\Cajua\[CAJUA_CF_SEC_New_27-Feb-2024Rev3.xlsx]D-PS'!$DC$15</t>
  </si>
  <si>
    <t>='C:\Users\jaime.benazar\Quorum Business Solutions\Ecopetrol Prometeo - Documents\Planning Space Implementation\3. Analysis &amp; Design\Design\FC22\DRR Jaime\QUIFA-CAJÚA\Cajua\[CAJUA_CF_SEC_New_27-Feb-2024Rev3.xlsx]D-PS'!$DC$16</t>
  </si>
  <si>
    <t>='C:\Users\jaime.benazar\Quorum Business Solutions\Ecopetrol Prometeo - Documents\Planning Space Implementation\3. Analysis &amp; Design\Design\FC22\DRR Jaime\QUIFA-CAJÚA\Cajua\[CAJUA_CF_SEC_New_27-Feb-2024Rev3.xlsx]D-PS'!$DC$17</t>
  </si>
  <si>
    <t>='C:\Users\jaime.benazar\Quorum Business Solutions\Ecopetrol Prometeo - Documents\Planning Space Implementation\3. Analysis &amp; Design\Design\FC22\DRR Jaime\QUIFA-CAJÚA\Cajua\[CAJUA_CF_SEC_New_27-Feb-2024Rev3.xlsx]D-PS'!$DC$18</t>
  </si>
  <si>
    <t>='C:\Users\jaime.benazar\Quorum Business Solutions\Ecopetrol Prometeo - Documents\Planning Space Implementation\3. Analysis &amp; Design\Design\FC22\DRR Jaime\QUIFA-CAJÚA\Cajua\[CAJUA_CF_SEC_New_27-Feb-2024Rev3.xlsx]D-PS'!$DC$19</t>
  </si>
  <si>
    <t>='C:\Users\jaime.benazar\Quorum Business Solutions\Ecopetrol Prometeo - Documents\Planning Space Implementation\3. Analysis &amp; Design\Design\FC22\DRR Jaime\QUIFA-CAJÚA\Cajua\[CAJUA_CF_SEC_New_27-Feb-2024Rev3.xlsx]D-PS'!$DC$20</t>
  </si>
  <si>
    <t>='C:\Users\jaime.benazar\Quorum Business Solutions\Ecopetrol Prometeo - Documents\Planning Space Implementation\3. Analysis &amp; Design\Design\FC22\DRR Jaime\QUIFA-CAJÚA\Cajua\[CAJUA_CF_SEC_New_27-Feb-2024Rev3.xlsx]D-PS'!$DC$21</t>
  </si>
  <si>
    <t>='C:\Users\jaime.benazar\Quorum Business Solutions\Ecopetrol Prometeo - Documents\Planning Space Implementation\3. Analysis &amp; Design\Design\FC22\DRR Jaime\QUIFA-CAJÚA\Cajua\[CAJUA_CF_SEC_New_27-Feb-2024Rev3.xlsx]D-PS'!$DC$22</t>
  </si>
  <si>
    <t>='C:\Users\jaime.benazar\Quorum Business Solutions\Ecopetrol Prometeo - Documents\Planning Space Implementation\3. Analysis &amp; Design\Design\FC22\DRR Jaime\QUIFA-CAJÚA\Cajua\[CAJUA_CF_SEC_New_27-Feb-2024Rev3.xlsx]D-PS'!$DC$23</t>
  </si>
  <si>
    <t>='C:\Users\jaime.benazar\Quorum Business Solutions\Ecopetrol Prometeo - Documents\Planning Space Implementation\3. Analysis &amp; Design\Design\FC22\DRR Jaime\QUIFA-CAJÚA\Cajua\[CAJUA_CF_SEC_New_27-Feb-2024Rev3.xlsx]D-PS'!$DC$24</t>
  </si>
  <si>
    <t>='C:\Users\jaime.benazar\Quorum Business Solutions\Ecopetrol Prometeo - Documents\Planning Space Implementation\3. Analysis &amp; Design\Design\FC22\DRR Jaime\QUIFA-CAJÚA\Cajua\[CAJUA_CF_SEC_New_27-Feb-2024Rev3.xlsx]D-PS'!$DC$25</t>
  </si>
  <si>
    <t>='C:\Users\jaime.benazar\Quorum Business Solutions\Ecopetrol Prometeo - Documents\Planning Space Implementation\3. Analysis &amp; Design\Design\FC22\DRR Jaime\QUIFA-CAJÚA\Cajua\[CAJUA_CF_SEC_New_27-Feb-2024Rev3.xlsx]D-PS'!$DC$26</t>
  </si>
  <si>
    <t>='C:\Users\jaime.benazar\Quorum Business Solutions\Ecopetrol Prometeo - Documents\Planning Space Implementation\3. Analysis &amp; Design\Design\FC22\DRR Jaime\QUIFA-CAJÚA\Cajua\[CAJUA_CF_SEC_New_27-Feb-2024Rev3.xlsx]D-PS'!$DC$27</t>
  </si>
  <si>
    <t>='C:\Users\jaime.benazar\Quorum Business Solutions\Ecopetrol Prometeo - Documents\Planning Space Implementation\3. Analysis &amp; Design\Design\FC22\DRR Jaime\QUIFA-CAJÚA\Cajua\[CAJUA_CF_SEC_New_27-Feb-2024Rev3.xlsx]D-PS'!$DC$28</t>
  </si>
  <si>
    <t>='C:\Users\jaime.benazar\Quorum Business Solutions\Ecopetrol Prometeo - Documents\Planning Space Implementation\3. Analysis &amp; Design\Design\FC22\DRR Jaime\QUIFA-CAJÚA\Cajua\[CAJUA_CF_SEC_New_27-Feb-2024Rev3.xlsx]D-PS'!$DC$29</t>
  </si>
  <si>
    <t>='C:\Users\jaime.benazar\Quorum Business Solutions\Ecopetrol Prometeo - Documents\Planning Space Implementation\3. Analysis &amp; Design\Design\FC22\DRR Jaime\QUIFA-CAJÚA\Cajua\[CAJUA_CF_SEC_New_27-Feb-2024Rev3.xlsx]D-PS'!$DC$30</t>
  </si>
  <si>
    <t>='C:\Users\jaime.benazar\Quorum Business Solutions\Ecopetrol Prometeo - Documents\Planning Space Implementation\3. Analysis &amp; Design\Design\FC22\DRR Jaime\QUIFA-CAJÚA\Cajua\[CAJUA_CF_SEC_New_27-Feb-2024Rev3.xlsx]D-PS'!$DC$31</t>
  </si>
  <si>
    <t>='C:\Users\jaime.benazar\Quorum Business Solutions\Ecopetrol Prometeo - Documents\Planning Space Implementation\3. Analysis &amp; Design\Design\FC22\DRR Jaime\QUIFA-CAJÚA\Cajua\[CAJUA_CF_SEC_New_27-Feb-2024Rev3.xlsx]D-PS'!$DC$32</t>
  </si>
  <si>
    <t>='C:\Users\jaime.benazar\Quorum Business Solutions\Ecopetrol Prometeo - Documents\Planning Space Implementation\3. Analysis &amp; Design\Design\FC22\DRR Jaime\QUIFA-CAJÚA\Cajua\[CAJUA_CF_SEC_New_27-Feb-2024Rev3.xlsx]D-PS'!$DC$33</t>
  </si>
  <si>
    <t>='C:\Users\jaime.benazar\Quorum Business Solutions\Ecopetrol Prometeo - Documents\Planning Space Implementation\3. Analysis &amp; Design\Design\FC22\DRR Jaime\QUIFA-CAJÚA\Cajua\[CAJUA_CF_SEC_New_27-Feb-2024Rev3.xlsx]D-PS'!$DC$34</t>
  </si>
  <si>
    <t>='C:\Users\jaime.benazar\Quorum Business Solutions\Ecopetrol Prometeo - Documents\Planning Space Implementation\3. Analysis &amp; Design\Design\FC22\DRR Jaime\QUIFA-CAJÚA\Cajua\[CAJUA_CF_SEC_New_27-Feb-2024Rev3.xlsx]D-PS'!$DC$35</t>
  </si>
  <si>
    <t>='C:\Users\jaime.benazar\Quorum Business Solutions\Ecopetrol Prometeo - Documents\Planning Space Implementation\3. Analysis &amp; Design\Design\FC22\DRR Jaime\QUIFA-CAJÚA\Cajua\[CAJUA_CF_SEC_New_27-Feb-2024Rev3.xlsx]D-PS'!$DC$36</t>
  </si>
  <si>
    <t>='C:\Users\jaime.benazar\Quorum Business Solutions\Ecopetrol Prometeo - Documents\Planning Space Implementation\3. Analysis &amp; Design\Design\FC22\DRR Jaime\QUIFA-CAJÚA\Cajua\[CAJUA_CF_SEC_New_27-Feb-2024Rev3.xlsx]D-PS'!$DC$37</t>
  </si>
  <si>
    <t>='C:\Users\jaime.benazar\Quorum Business Solutions\Ecopetrol Prometeo - Documents\Planning Space Implementation\3. Analysis &amp; Design\Design\FC22\DRR Jaime\QUIFA-CAJÚA\Cajua\[CAJUA_CF_SEC_New_27-Feb-2024Rev3.xlsx]D-PS'!$DC$38</t>
  </si>
  <si>
    <t>='C:\Users\jaime.benazar\Quorum Business Solutions\Ecopetrol Prometeo - Documents\Planning Space Implementation\3. Analysis &amp; Design\Design\FC22\DRR Jaime\QUIFA-CAJÚA\Cajua\[CAJUA_CF_SEC_New_27-Feb-2024Rev3.xlsx]D-PS'!$DC$39</t>
  </si>
  <si>
    <t>='C:\Users\jaime.benazar\Quorum Business Solutions\Ecopetrol Prometeo - Documents\Planning Space Implementation\3. Analysis &amp; Design\Design\FC22\DRR Jaime\QUIFA-CAJÚA\Cajua\[CAJUA_CF_SEC_New_27-Feb-2024Rev3.xlsx]D-PS'!$DC$40</t>
  </si>
  <si>
    <t>='C:\Users\jaime.benazar\Quorum Business Solutions\Ecopetrol Prometeo - Documents\Planning Space Implementation\3. Analysis &amp; Design\Design\FC22\DRR Jaime\QUIFA-CAJÚA\Cajua\[CAJUA_CF_SEC_New_27-Feb-2024Rev3.xlsx]D-PS'!$DC$41</t>
  </si>
  <si>
    <t>='C:\Users\jaime.benazar\Quorum Business Solutions\Ecopetrol Prometeo - Documents\Planning Space Implementation\3. Analysis &amp; Design\Design\FC22\DRR Jaime\QUIFA-CAJÚA\Cajua\[CAJUA_CF_SEC_New_27-Feb-2024Rev3.xlsx]D-PS'!$DC$42</t>
  </si>
  <si>
    <t>='C:\Users\jaime.benazar\Quorum Business Solutions\Ecopetrol Prometeo - Documents\Planning Space Implementation\3. Analysis &amp; Design\Design\FC22\DRR Jaime\QUIFA-CAJÚA\Cajua\[CAJUA_CF_SEC_New_27-Feb-2024Rev3.xlsx]D-PS'!$DC$43</t>
  </si>
  <si>
    <t>='C:\Users\jaime.benazar\Quorum Business Solutions\Ecopetrol Prometeo - Documents\Planning Space Implementation\3. Analysis &amp; Design\Design\FC22\DRR Jaime\QUIFA-CAJÚA\Cajua\[CAJUA_CF_SEC_New_27-Feb-2024Rev3.xlsx]D-PS'!$DC$44</t>
  </si>
  <si>
    <t>='C:\Users\jaime.benazar\Quorum Business Solutions\Ecopetrol Prometeo - Documents\Planning Space Implementation\3. Analysis &amp; Design\Design\FC22\DRR Jaime\QUIFA-CAJÚA\Cajua\[CAJUA_CF_SEC_New_27-Feb-2024Rev3.xlsx]D-PS'!$DC$45</t>
  </si>
  <si>
    <t>='C:\Users\jaime.benazar\Quorum Business Solutions\Ecopetrol Prometeo - Documents\Planning Space Implementation\3. Analysis &amp; Design\Design\FC22\DRR Jaime\QUIFA-CAJÚA\Cajua\[CAJUA_CF_SEC_New_27-Feb-2024Rev3.xlsx]D-PS'!$DC$46</t>
  </si>
  <si>
    <t>='C:\Users\jaime.benazar\Quorum Business Solutions\Ecopetrol Prometeo - Documents\Planning Space Implementation\3. Analysis &amp; Design\Design\FC22\DRR Jaime\QUIFA-CAJÚA\Cajua\[CAJUA_CF_SEC_New_27-Feb-2024Rev3.xlsx]D-PS'!$DC$47</t>
  </si>
  <si>
    <t>='C:\Users\jaime.benazar\Quorum Business Solutions\Ecopetrol Prometeo - Documents\Planning Space Implementation\3. Analysis &amp; Design\Design\FC22\DRR Jaime\QUIFA-CAJÚA\Cajua\[CAJUA_CF_SEC_New_27-Feb-2024Rev3.xlsx]D-PS'!$DC$48</t>
  </si>
  <si>
    <t>='C:\Users\jaime.benazar\Quorum Business Solutions\Ecopetrol Prometeo - Documents\Planning Space Implementation\3. Analysis &amp; Design\Design\FC22\DRR Jaime\QUIFA-CAJÚA\Cajua\[CAJUA_CF_SEC_New_27-Feb-2024Rev3.xlsx]D-PDP'!$EA$12</t>
  </si>
  <si>
    <t>='C:\Users\jaime.benazar\Quorum Business Solutions\Ecopetrol Prometeo - Documents\Planning Space Implementation\3. Analysis &amp; Design\Design\FC22\DRR Jaime\QUIFA-CAJÚA\Cajua\[CAJUA_CF_SEC_New_27-Feb-2024Rev3.xlsx]D-PDP'!$EA$13</t>
  </si>
  <si>
    <t>='C:\Users\jaime.benazar\Quorum Business Solutions\Ecopetrol Prometeo - Documents\Planning Space Implementation\3. Analysis &amp; Design\Design\FC22\DRR Jaime\QUIFA-CAJÚA\Cajua\[CAJUA_CF_SEC_New_27-Feb-2024Rev3.xlsx]D-PDP'!$EA$14</t>
  </si>
  <si>
    <t>='C:\Users\jaime.benazar\Quorum Business Solutions\Ecopetrol Prometeo - Documents\Planning Space Implementation\3. Analysis &amp; Design\Design\FC22\DRR Jaime\QUIFA-CAJÚA\Cajua\[CAJUA_CF_SEC_New_27-Feb-2024Rev3.xlsx]D-PDP'!$EA$15</t>
  </si>
  <si>
    <t>='C:\Users\jaime.benazar\Quorum Business Solutions\Ecopetrol Prometeo - Documents\Planning Space Implementation\3. Analysis &amp; Design\Design\FC22\DRR Jaime\QUIFA-CAJÚA\Cajua\[CAJUA_CF_SEC_New_27-Feb-2024Rev3.xlsx]D-PDP'!$EA$16</t>
  </si>
  <si>
    <t>='C:\Users\jaime.benazar\Quorum Business Solutions\Ecopetrol Prometeo - Documents\Planning Space Implementation\3. Analysis &amp; Design\Design\FC22\DRR Jaime\QUIFA-CAJÚA\Cajua\[CAJUA_CF_SEC_New_27-Feb-2024Rev3.xlsx]D-PDP'!$EA$17</t>
  </si>
  <si>
    <t>='C:\Users\jaime.benazar\Quorum Business Solutions\Ecopetrol Prometeo - Documents\Planning Space Implementation\3. Analysis &amp; Design\Design\FC22\DRR Jaime\QUIFA-CAJÚA\Cajua\[CAJUA_CF_SEC_New_27-Feb-2024Rev3.xlsx]D-PDP'!$EA$18</t>
  </si>
  <si>
    <t>='C:\Users\jaime.benazar\Quorum Business Solutions\Ecopetrol Prometeo - Documents\Planning Space Implementation\3. Analysis &amp; Design\Design\FC22\DRR Jaime\QUIFA-CAJÚA\Cajua\[CAJUA_CF_SEC_New_27-Feb-2024Rev3.xlsx]D-PDP'!$EA$19</t>
  </si>
  <si>
    <t>='C:\Users\jaime.benazar\Quorum Business Solutions\Ecopetrol Prometeo - Documents\Planning Space Implementation\3. Analysis &amp; Design\Design\FC22\DRR Jaime\QUIFA-CAJÚA\Cajua\[CAJUA_CF_SEC_New_27-Feb-2024Rev3.xlsx]D-PDP'!$EA$20</t>
  </si>
  <si>
    <t>='C:\Users\jaime.benazar\Quorum Business Solutions\Ecopetrol Prometeo - Documents\Planning Space Implementation\3. Analysis &amp; Design\Design\FC22\DRR Jaime\QUIFA-CAJÚA\Cajua\[CAJUA_CF_SEC_New_27-Feb-2024Rev3.xlsx]D-PDP'!$EA$21</t>
  </si>
  <si>
    <t>='C:\Users\jaime.benazar\Quorum Business Solutions\Ecopetrol Prometeo - Documents\Planning Space Implementation\3. Analysis &amp; Design\Design\FC22\DRR Jaime\QUIFA-CAJÚA\Cajua\[CAJUA_CF_SEC_New_27-Feb-2024Rev3.xlsx]D-PDP'!$EA$22</t>
  </si>
  <si>
    <t>='C:\Users\jaime.benazar\Quorum Business Solutions\Ecopetrol Prometeo - Documents\Planning Space Implementation\3. Analysis &amp; Design\Design\FC22\DRR Jaime\QUIFA-CAJÚA\Cajua\[CAJUA_CF_SEC_New_27-Feb-2024Rev3.xlsx]D-PDP'!$EA$23</t>
  </si>
  <si>
    <t>='C:\Users\jaime.benazar\Quorum Business Solutions\Ecopetrol Prometeo - Documents\Planning Space Implementation\3. Analysis &amp; Design\Design\FC22\DRR Jaime\QUIFA-CAJÚA\Cajua\[CAJUA_CF_SEC_New_27-Feb-2024Rev3.xlsx]D-PDP'!$EA$24</t>
  </si>
  <si>
    <t>='C:\Users\jaime.benazar\Quorum Business Solutions\Ecopetrol Prometeo - Documents\Planning Space Implementation\3. Analysis &amp; Design\Design\FC22\DRR Jaime\QUIFA-CAJÚA\Cajua\[CAJUA_CF_SEC_New_27-Feb-2024Rev3.xlsx]D-PDP'!$EA$25</t>
  </si>
  <si>
    <t>='C:\Users\jaime.benazar\Quorum Business Solutions\Ecopetrol Prometeo - Documents\Planning Space Implementation\3. Analysis &amp; Design\Design\FC22\DRR Jaime\QUIFA-CAJÚA\Cajua\[CAJUA_CF_SEC_New_27-Feb-2024Rev3.xlsx]D-PDP'!$EA$26</t>
  </si>
  <si>
    <t>='C:\Users\jaime.benazar\Quorum Business Solutions\Ecopetrol Prometeo - Documents\Planning Space Implementation\3. Analysis &amp; Design\Design\FC22\DRR Jaime\QUIFA-CAJÚA\Cajua\[CAJUA_CF_SEC_New_27-Feb-2024Rev3.xlsx]D-PDP'!$EA$27</t>
  </si>
  <si>
    <t>='C:\Users\jaime.benazar\Quorum Business Solutions\Ecopetrol Prometeo - Documents\Planning Space Implementation\3. Analysis &amp; Design\Design\FC22\DRR Jaime\QUIFA-CAJÚA\Cajua\[CAJUA_CF_SEC_New_27-Feb-2024Rev3.xlsx]D-PDP'!$EA$28</t>
  </si>
  <si>
    <t>='C:\Users\jaime.benazar\Quorum Business Solutions\Ecopetrol Prometeo - Documents\Planning Space Implementation\3. Analysis &amp; Design\Design\FC22\DRR Jaime\QUIFA-CAJÚA\Cajua\[CAJUA_CF_SEC_New_27-Feb-2024Rev3.xlsx]D-PDP'!$EA$29</t>
  </si>
  <si>
    <t>='C:\Users\jaime.benazar\Quorum Business Solutions\Ecopetrol Prometeo - Documents\Planning Space Implementation\3. Analysis &amp; Design\Design\FC22\DRR Jaime\QUIFA-CAJÚA\Cajua\[CAJUA_CF_SEC_New_27-Feb-2024Rev3.xlsx]D-PDP'!$EA$30</t>
  </si>
  <si>
    <t>='C:\Users\jaime.benazar\Quorum Business Solutions\Ecopetrol Prometeo - Documents\Planning Space Implementation\3. Analysis &amp; Design\Design\FC22\DRR Jaime\QUIFA-CAJÚA\Cajua\[CAJUA_CF_SEC_New_27-Feb-2024Rev3.xlsx]D-PDP'!$EA$31</t>
  </si>
  <si>
    <t>='C:\Users\jaime.benazar\Quorum Business Solutions\Ecopetrol Prometeo - Documents\Planning Space Implementation\3. Analysis &amp; Design\Design\FC22\DRR Jaime\QUIFA-CAJÚA\Cajua\[CAJUA_CF_SEC_New_27-Feb-2024Rev3.xlsx]D-PDP'!$EA$32</t>
  </si>
  <si>
    <t>='C:\Users\jaime.benazar\Quorum Business Solutions\Ecopetrol Prometeo - Documents\Planning Space Implementation\3. Analysis &amp; Design\Design\FC22\DRR Jaime\QUIFA-CAJÚA\Cajua\[CAJUA_CF_SEC_New_27-Feb-2024Rev3.xlsx]D-PDP'!$EA$33</t>
  </si>
  <si>
    <t>='C:\Users\jaime.benazar\Quorum Business Solutions\Ecopetrol Prometeo - Documents\Planning Space Implementation\3. Analysis &amp; Design\Design\FC22\DRR Jaime\QUIFA-CAJÚA\Cajua\[CAJUA_CF_SEC_New_27-Feb-2024Rev3.xlsx]D-PDP'!$EA$34</t>
  </si>
  <si>
    <t>='C:\Users\jaime.benazar\Quorum Business Solutions\Ecopetrol Prometeo - Documents\Planning Space Implementation\3. Analysis &amp; Design\Design\FC22\DRR Jaime\QUIFA-CAJÚA\Cajua\[CAJUA_CF_SEC_New_27-Feb-2024Rev3.xlsx]D-PDP'!$EA$35</t>
  </si>
  <si>
    <t>='C:\Users\jaime.benazar\Quorum Business Solutions\Ecopetrol Prometeo - Documents\Planning Space Implementation\3. Analysis &amp; Design\Design\FC22\DRR Jaime\QUIFA-CAJÚA\Cajua\[CAJUA_CF_SEC_New_27-Feb-2024Rev3.xlsx]D-PDP'!$EA$36</t>
  </si>
  <si>
    <t>='C:\Users\jaime.benazar\Quorum Business Solutions\Ecopetrol Prometeo - Documents\Planning Space Implementation\3. Analysis &amp; Design\Design\FC22\DRR Jaime\QUIFA-CAJÚA\Cajua\[CAJUA_CF_SEC_New_27-Feb-2024Rev3.xlsx]D-PDP'!$EA$37</t>
  </si>
  <si>
    <t>='C:\Users\jaime.benazar\Quorum Business Solutions\Ecopetrol Prometeo - Documents\Planning Space Implementation\3. Analysis &amp; Design\Design\FC22\DRR Jaime\QUIFA-CAJÚA\Cajua\[CAJUA_CF_SEC_New_27-Feb-2024Rev3.xlsx]D-PDP'!$EA$38</t>
  </si>
  <si>
    <t>='C:\Users\jaime.benazar\Quorum Business Solutions\Ecopetrol Prometeo - Documents\Planning Space Implementation\3. Analysis &amp; Design\Design\FC22\DRR Jaime\QUIFA-CAJÚA\Cajua\[CAJUA_CF_SEC_New_27-Feb-2024Rev3.xlsx]D-PDP'!$EA$39</t>
  </si>
  <si>
    <t>='C:\Users\jaime.benazar\Quorum Business Solutions\Ecopetrol Prometeo - Documents\Planning Space Implementation\3. Analysis &amp; Design\Design\FC22\DRR Jaime\QUIFA-CAJÚA\Cajua\[CAJUA_CF_SEC_New_27-Feb-2024Rev3.xlsx]D-PDP'!$EA$40</t>
  </si>
  <si>
    <t>='C:\Users\jaime.benazar\Quorum Business Solutions\Ecopetrol Prometeo - Documents\Planning Space Implementation\3. Analysis &amp; Design\Design\FC22\DRR Jaime\QUIFA-CAJÚA\Cajua\[CAJUA_CF_SEC_New_27-Feb-2024Rev3.xlsx]D-PDP'!$EA$41</t>
  </si>
  <si>
    <t>='C:\Users\jaime.benazar\Quorum Business Solutions\Ecopetrol Prometeo - Documents\Planning Space Implementation\3. Analysis &amp; Design\Design\FC22\DRR Jaime\QUIFA-CAJÚA\Cajua\[CAJUA_CF_SEC_New_27-Feb-2024Rev3.xlsx]D-PDP'!$EA$42</t>
  </si>
  <si>
    <t>='C:\Users\jaime.benazar\Quorum Business Solutions\Ecopetrol Prometeo - Documents\Planning Space Implementation\3. Analysis &amp; Design\Design\FC22\DRR Jaime\QUIFA-CAJÚA\Cajua\[CAJUA_CF_SEC_New_27-Feb-2024Rev3.xlsx]D-PDP'!$EA$43</t>
  </si>
  <si>
    <t>='C:\Users\jaime.benazar\Quorum Business Solutions\Ecopetrol Prometeo - Documents\Planning Space Implementation\3. Analysis &amp; Design\Design\FC22\DRR Jaime\QUIFA-CAJÚA\Cajua\[CAJUA_CF_SEC_New_27-Feb-2024Rev3.xlsx]D-PDP'!$EA$44</t>
  </si>
  <si>
    <t>='C:\Users\jaime.benazar\Quorum Business Solutions\Ecopetrol Prometeo - Documents\Planning Space Implementation\3. Analysis &amp; Design\Design\FC22\DRR Jaime\QUIFA-CAJÚA\Cajua\[CAJUA_CF_SEC_New_27-Feb-2024Rev3.xlsx]D-PDP'!$EA$45</t>
  </si>
  <si>
    <t>='C:\Users\jaime.benazar\Quorum Business Solutions\Ecopetrol Prometeo - Documents\Planning Space Implementation\3. Analysis &amp; Design\Design\FC22\DRR Jaime\QUIFA-CAJÚA\Cajua\[CAJUA_CF_SEC_New_27-Feb-2024Rev3.xlsx]D-PDP'!$EA$46</t>
  </si>
  <si>
    <t>='C:\Users\jaime.benazar\Quorum Business Solutions\Ecopetrol Prometeo - Documents\Planning Space Implementation\3. Analysis &amp; Design\Design\FC22\DRR Jaime\QUIFA-CAJÚA\Cajua\[CAJUA_CF_SEC_New_27-Feb-2024Rev3.xlsx]D-PDP'!$EA$47</t>
  </si>
  <si>
    <t>='C:\Users\jaime.benazar\Quorum Business Solutions\Ecopetrol Prometeo - Documents\Planning Space Implementation\3. Analysis &amp; Design\Design\FC22\DRR Jaime\QUIFA-CAJÚA\Cajua\[CAJUA_CF_SEC_New_27-Feb-2024Rev3.xlsx]D-PDP'!$EA$48</t>
  </si>
  <si>
    <t>='C:\Users\jaime.benazar\Quorum Business Solutions\Ecopetrol Prometeo - Documents\Planning Space Implementation\3. Analysis &amp; Design\Design\FC22\DRR Jaime\QUIFA-CAJÚA\Cajua\[CAJUA_CF_SEC_New_27-Feb-2024Rev3.xlsx]D-PNP'!$EA$12</t>
  </si>
  <si>
    <t>='C:\Users\jaime.benazar\Quorum Business Solutions\Ecopetrol Prometeo - Documents\Planning Space Implementation\3. Analysis &amp; Design\Design\FC22\DRR Jaime\QUIFA-CAJÚA\Cajua\[CAJUA_CF_SEC_New_27-Feb-2024Rev3.xlsx]D-PNP'!$EA$13</t>
  </si>
  <si>
    <t>='C:\Users\jaime.benazar\Quorum Business Solutions\Ecopetrol Prometeo - Documents\Planning Space Implementation\3. Analysis &amp; Design\Design\FC22\DRR Jaime\QUIFA-CAJÚA\Cajua\[CAJUA_CF_SEC_New_27-Feb-2024Rev3.xlsx]D-PNP'!$EA$14</t>
  </si>
  <si>
    <t>='C:\Users\jaime.benazar\Quorum Business Solutions\Ecopetrol Prometeo - Documents\Planning Space Implementation\3. Analysis &amp; Design\Design\FC22\DRR Jaime\QUIFA-CAJÚA\Cajua\[CAJUA_CF_SEC_New_27-Feb-2024Rev3.xlsx]D-PNP'!$EA$15</t>
  </si>
  <si>
    <t>='C:\Users\jaime.benazar\Quorum Business Solutions\Ecopetrol Prometeo - Documents\Planning Space Implementation\3. Analysis &amp; Design\Design\FC22\DRR Jaime\QUIFA-CAJÚA\Cajua\[CAJUA_CF_SEC_New_27-Feb-2024Rev3.xlsx]D-PNP'!$EA$16</t>
  </si>
  <si>
    <t>='C:\Users\jaime.benazar\Quorum Business Solutions\Ecopetrol Prometeo - Documents\Planning Space Implementation\3. Analysis &amp; Design\Design\FC22\DRR Jaime\QUIFA-CAJÚA\Cajua\[CAJUA_CF_SEC_New_27-Feb-2024Rev3.xlsx]D-PNP'!$EA$17</t>
  </si>
  <si>
    <t>='C:\Users\jaime.benazar\Quorum Business Solutions\Ecopetrol Prometeo - Documents\Planning Space Implementation\3. Analysis &amp; Design\Design\FC22\DRR Jaime\QUIFA-CAJÚA\Cajua\[CAJUA_CF_SEC_New_27-Feb-2024Rev3.xlsx]D-PNP'!$EA$18</t>
  </si>
  <si>
    <t>='C:\Users\jaime.benazar\Quorum Business Solutions\Ecopetrol Prometeo - Documents\Planning Space Implementation\3. Analysis &amp; Design\Design\FC22\DRR Jaime\QUIFA-CAJÚA\Cajua\[CAJUA_CF_SEC_New_27-Feb-2024Rev3.xlsx]D-PNP'!$EA$19</t>
  </si>
  <si>
    <t>='C:\Users\jaime.benazar\Quorum Business Solutions\Ecopetrol Prometeo - Documents\Planning Space Implementation\3. Analysis &amp; Design\Design\FC22\DRR Jaime\QUIFA-CAJÚA\Cajua\[CAJUA_CF_SEC_New_27-Feb-2024Rev3.xlsx]D-PNP'!$EA$20</t>
  </si>
  <si>
    <t>='C:\Users\jaime.benazar\Quorum Business Solutions\Ecopetrol Prometeo - Documents\Planning Space Implementation\3. Analysis &amp; Design\Design\FC22\DRR Jaime\QUIFA-CAJÚA\Cajua\[CAJUA_CF_SEC_New_27-Feb-2024Rev3.xlsx]D-PNP'!$EA$21</t>
  </si>
  <si>
    <t>='C:\Users\jaime.benazar\Quorum Business Solutions\Ecopetrol Prometeo - Documents\Planning Space Implementation\3. Analysis &amp; Design\Design\FC22\DRR Jaime\QUIFA-CAJÚA\Cajua\[CAJUA_CF_SEC_New_27-Feb-2024Rev3.xlsx]D-PNP'!$EA$22</t>
  </si>
  <si>
    <t>='C:\Users\jaime.benazar\Quorum Business Solutions\Ecopetrol Prometeo - Documents\Planning Space Implementation\3. Analysis &amp; Design\Design\FC22\DRR Jaime\QUIFA-CAJÚA\Cajua\[CAJUA_CF_SEC_New_27-Feb-2024Rev3.xlsx]D-PNP'!$EA$23</t>
  </si>
  <si>
    <t>='C:\Users\jaime.benazar\Quorum Business Solutions\Ecopetrol Prometeo - Documents\Planning Space Implementation\3. Analysis &amp; Design\Design\FC22\DRR Jaime\QUIFA-CAJÚA\Cajua\[CAJUA_CF_SEC_New_27-Feb-2024Rev3.xlsx]D-PNP'!$EA$24</t>
  </si>
  <si>
    <t>='C:\Users\jaime.benazar\Quorum Business Solutions\Ecopetrol Prometeo - Documents\Planning Space Implementation\3. Analysis &amp; Design\Design\FC22\DRR Jaime\QUIFA-CAJÚA\Cajua\[CAJUA_CF_SEC_New_27-Feb-2024Rev3.xlsx]D-PNP'!$EA$25</t>
  </si>
  <si>
    <t>='C:\Users\jaime.benazar\Quorum Business Solutions\Ecopetrol Prometeo - Documents\Planning Space Implementation\3. Analysis &amp; Design\Design\FC22\DRR Jaime\QUIFA-CAJÚA\Cajua\[CAJUA_CF_SEC_New_27-Feb-2024Rev3.xlsx]D-PNP'!$EA$26</t>
  </si>
  <si>
    <t>='C:\Users\jaime.benazar\Quorum Business Solutions\Ecopetrol Prometeo - Documents\Planning Space Implementation\3. Analysis &amp; Design\Design\FC22\DRR Jaime\QUIFA-CAJÚA\Cajua\[CAJUA_CF_SEC_New_27-Feb-2024Rev3.xlsx]D-PNP'!$EA$27</t>
  </si>
  <si>
    <t>='C:\Users\jaime.benazar\Quorum Business Solutions\Ecopetrol Prometeo - Documents\Planning Space Implementation\3. Analysis &amp; Design\Design\FC22\DRR Jaime\QUIFA-CAJÚA\Cajua\[CAJUA_CF_SEC_New_27-Feb-2024Rev3.xlsx]D-PNP'!$EA$28</t>
  </si>
  <si>
    <t>='C:\Users\jaime.benazar\Quorum Business Solutions\Ecopetrol Prometeo - Documents\Planning Space Implementation\3. Analysis &amp; Design\Design\FC22\DRR Jaime\QUIFA-CAJÚA\Cajua\[CAJUA_CF_SEC_New_27-Feb-2024Rev3.xlsx]D-PNP'!$EA$29</t>
  </si>
  <si>
    <t>='C:\Users\jaime.benazar\Quorum Business Solutions\Ecopetrol Prometeo - Documents\Planning Space Implementation\3. Analysis &amp; Design\Design\FC22\DRR Jaime\QUIFA-CAJÚA\Cajua\[CAJUA_CF_SEC_New_27-Feb-2024Rev3.xlsx]D-PNP'!$EA$30</t>
  </si>
  <si>
    <t>='C:\Users\jaime.benazar\Quorum Business Solutions\Ecopetrol Prometeo - Documents\Planning Space Implementation\3. Analysis &amp; Design\Design\FC22\DRR Jaime\QUIFA-CAJÚA\Cajua\[CAJUA_CF_SEC_New_27-Feb-2024Rev3.xlsx]D-PNP'!$EA$31</t>
  </si>
  <si>
    <t>='C:\Users\jaime.benazar\Quorum Business Solutions\Ecopetrol Prometeo - Documents\Planning Space Implementation\3. Analysis &amp; Design\Design\FC22\DRR Jaime\QUIFA-CAJÚA\Cajua\[CAJUA_CF_SEC_New_27-Feb-2024Rev3.xlsx]D-PNP'!$EA$32</t>
  </si>
  <si>
    <t>='C:\Users\jaime.benazar\Quorum Business Solutions\Ecopetrol Prometeo - Documents\Planning Space Implementation\3. Analysis &amp; Design\Design\FC22\DRR Jaime\QUIFA-CAJÚA\Cajua\[CAJUA_CF_SEC_New_27-Feb-2024Rev3.xlsx]D-PNP'!$EA$33</t>
  </si>
  <si>
    <t>='C:\Users\jaime.benazar\Quorum Business Solutions\Ecopetrol Prometeo - Documents\Planning Space Implementation\3. Analysis &amp; Design\Design\FC22\DRR Jaime\QUIFA-CAJÚA\Cajua\[CAJUA_CF_SEC_New_27-Feb-2024Rev3.xlsx]D-PNP'!$EA$34</t>
  </si>
  <si>
    <t>='C:\Users\jaime.benazar\Quorum Business Solutions\Ecopetrol Prometeo - Documents\Planning Space Implementation\3. Analysis &amp; Design\Design\FC22\DRR Jaime\QUIFA-CAJÚA\Cajua\[CAJUA_CF_SEC_New_27-Feb-2024Rev3.xlsx]D-PNP'!$EA$35</t>
  </si>
  <si>
    <t>='C:\Users\jaime.benazar\Quorum Business Solutions\Ecopetrol Prometeo - Documents\Planning Space Implementation\3. Analysis &amp; Design\Design\FC22\DRR Jaime\QUIFA-CAJÚA\Cajua\[CAJUA_CF_SEC_New_27-Feb-2024Rev3.xlsx]D-PNP'!$EA$36</t>
  </si>
  <si>
    <t>='C:\Users\jaime.benazar\Quorum Business Solutions\Ecopetrol Prometeo - Documents\Planning Space Implementation\3. Analysis &amp; Design\Design\FC22\DRR Jaime\QUIFA-CAJÚA\Cajua\[CAJUA_CF_SEC_New_27-Feb-2024Rev3.xlsx]D-PNP'!$EA$37</t>
  </si>
  <si>
    <t>='C:\Users\jaime.benazar\Quorum Business Solutions\Ecopetrol Prometeo - Documents\Planning Space Implementation\3. Analysis &amp; Design\Design\FC22\DRR Jaime\QUIFA-CAJÚA\Cajua\[CAJUA_CF_SEC_New_27-Feb-2024Rev3.xlsx]D-PNP'!$EA$38</t>
  </si>
  <si>
    <t>='C:\Users\jaime.benazar\Quorum Business Solutions\Ecopetrol Prometeo - Documents\Planning Space Implementation\3. Analysis &amp; Design\Design\FC22\DRR Jaime\QUIFA-CAJÚA\Cajua\[CAJUA_CF_SEC_New_27-Feb-2024Rev3.xlsx]D-PNP'!$EA$39</t>
  </si>
  <si>
    <t>='C:\Users\jaime.benazar\Quorum Business Solutions\Ecopetrol Prometeo - Documents\Planning Space Implementation\3. Analysis &amp; Design\Design\FC22\DRR Jaime\QUIFA-CAJÚA\Cajua\[CAJUA_CF_SEC_New_27-Feb-2024Rev3.xlsx]D-PNP'!$EA$40</t>
  </si>
  <si>
    <t>='C:\Users\jaime.benazar\Quorum Business Solutions\Ecopetrol Prometeo - Documents\Planning Space Implementation\3. Analysis &amp; Design\Design\FC22\DRR Jaime\QUIFA-CAJÚA\Cajua\[CAJUA_CF_SEC_New_27-Feb-2024Rev3.xlsx]D-PNP'!$EA$41</t>
  </si>
  <si>
    <t>='C:\Users\jaime.benazar\Quorum Business Solutions\Ecopetrol Prometeo - Documents\Planning Space Implementation\3. Analysis &amp; Design\Design\FC22\DRR Jaime\QUIFA-CAJÚA\Cajua\[CAJUA_CF_SEC_New_27-Feb-2024Rev3.xlsx]D-PNP'!$EA$42</t>
  </si>
  <si>
    <t>='C:\Users\jaime.benazar\Quorum Business Solutions\Ecopetrol Prometeo - Documents\Planning Space Implementation\3. Analysis &amp; Design\Design\FC22\DRR Jaime\QUIFA-CAJÚA\Cajua\[CAJUA_CF_SEC_New_27-Feb-2024Rev3.xlsx]D-PNP'!$EA$43</t>
  </si>
  <si>
    <t>='C:\Users\jaime.benazar\Quorum Business Solutions\Ecopetrol Prometeo - Documents\Planning Space Implementation\3. Analysis &amp; Design\Design\FC22\DRR Jaime\QUIFA-CAJÚA\Cajua\[CAJUA_CF_SEC_New_27-Feb-2024Rev3.xlsx]D-PNP'!$EA$44</t>
  </si>
  <si>
    <t>='C:\Users\jaime.benazar\Quorum Business Solutions\Ecopetrol Prometeo - Documents\Planning Space Implementation\3. Analysis &amp; Design\Design\FC22\DRR Jaime\QUIFA-CAJÚA\Cajua\[CAJUA_CF_SEC_New_27-Feb-2024Rev3.xlsx]D-PNP'!$EA$45</t>
  </si>
  <si>
    <t>='C:\Users\jaime.benazar\Quorum Business Solutions\Ecopetrol Prometeo - Documents\Planning Space Implementation\3. Analysis &amp; Design\Design\FC22\DRR Jaime\QUIFA-CAJÚA\Cajua\[CAJUA_CF_SEC_New_27-Feb-2024Rev3.xlsx]D-PNP'!$EA$46</t>
  </si>
  <si>
    <t>='C:\Users\jaime.benazar\Quorum Business Solutions\Ecopetrol Prometeo - Documents\Planning Space Implementation\3. Analysis &amp; Design\Design\FC22\DRR Jaime\QUIFA-CAJÚA\Cajua\[CAJUA_CF_SEC_New_27-Feb-2024Rev3.xlsx]D-PNP'!$EA$47</t>
  </si>
  <si>
    <t>='C:\Users\jaime.benazar\Quorum Business Solutions\Ecopetrol Prometeo - Documents\Planning Space Implementation\3. Analysis &amp; Design\Design\FC22\DRR Jaime\QUIFA-CAJÚA\Cajua\[CAJUA_CF_SEC_New_27-Feb-2024Rev3.xlsx]D-PNP'!$EA$48</t>
  </si>
  <si>
    <t>='C:\Users\jaime.benazar\Quorum Business Solutions\Ecopetrol Prometeo - Documents\Planning Space Implementation\3. Analysis &amp; Design\Design\FC22\DRR Jaime\QUIFA-CAJÚA\Cajua\[CAJUA_CF_SEC_New_27-Feb-2024Rev3.xlsx]D-PND'!$EA$12</t>
  </si>
  <si>
    <t>='C:\Users\jaime.benazar\Quorum Business Solutions\Ecopetrol Prometeo - Documents\Planning Space Implementation\3. Analysis &amp; Design\Design\FC22\DRR Jaime\QUIFA-CAJÚA\Cajua\[CAJUA_CF_SEC_New_27-Feb-2024Rev3.xlsx]D-PND'!$EA$13</t>
  </si>
  <si>
    <t>='C:\Users\jaime.benazar\Quorum Business Solutions\Ecopetrol Prometeo - Documents\Planning Space Implementation\3. Analysis &amp; Design\Design\FC22\DRR Jaime\QUIFA-CAJÚA\Cajua\[CAJUA_CF_SEC_New_27-Feb-2024Rev3.xlsx]D-PND'!$EA$14</t>
  </si>
  <si>
    <t>='C:\Users\jaime.benazar\Quorum Business Solutions\Ecopetrol Prometeo - Documents\Planning Space Implementation\3. Analysis &amp; Design\Design\FC22\DRR Jaime\QUIFA-CAJÚA\Cajua\[CAJUA_CF_SEC_New_27-Feb-2024Rev3.xlsx]D-PND'!$EA$15</t>
  </si>
  <si>
    <t>='C:\Users\jaime.benazar\Quorum Business Solutions\Ecopetrol Prometeo - Documents\Planning Space Implementation\3. Analysis &amp; Design\Design\FC22\DRR Jaime\QUIFA-CAJÚA\Cajua\[CAJUA_CF_SEC_New_27-Feb-2024Rev3.xlsx]D-PND'!$EA$16</t>
  </si>
  <si>
    <t>='C:\Users\jaime.benazar\Quorum Business Solutions\Ecopetrol Prometeo - Documents\Planning Space Implementation\3. Analysis &amp; Design\Design\FC22\DRR Jaime\QUIFA-CAJÚA\Cajua\[CAJUA_CF_SEC_New_27-Feb-2024Rev3.xlsx]D-PND'!$EA$17</t>
  </si>
  <si>
    <t>='C:\Users\jaime.benazar\Quorum Business Solutions\Ecopetrol Prometeo - Documents\Planning Space Implementation\3. Analysis &amp; Design\Design\FC22\DRR Jaime\QUIFA-CAJÚA\Cajua\[CAJUA_CF_SEC_New_27-Feb-2024Rev3.xlsx]D-PND'!$EA$18</t>
  </si>
  <si>
    <t>='C:\Users\jaime.benazar\Quorum Business Solutions\Ecopetrol Prometeo - Documents\Planning Space Implementation\3. Analysis &amp; Design\Design\FC22\DRR Jaime\QUIFA-CAJÚA\Cajua\[CAJUA_CF_SEC_New_27-Feb-2024Rev3.xlsx]D-PND'!$EA$19</t>
  </si>
  <si>
    <t>='C:\Users\jaime.benazar\Quorum Business Solutions\Ecopetrol Prometeo - Documents\Planning Space Implementation\3. Analysis &amp; Design\Design\FC22\DRR Jaime\QUIFA-CAJÚA\Cajua\[CAJUA_CF_SEC_New_27-Feb-2024Rev3.xlsx]D-PND'!$EA$20</t>
  </si>
  <si>
    <t>='C:\Users\jaime.benazar\Quorum Business Solutions\Ecopetrol Prometeo - Documents\Planning Space Implementation\3. Analysis &amp; Design\Design\FC22\DRR Jaime\QUIFA-CAJÚA\Cajua\[CAJUA_CF_SEC_New_27-Feb-2024Rev3.xlsx]D-PND'!$EA$21</t>
  </si>
  <si>
    <t>='C:\Users\jaime.benazar\Quorum Business Solutions\Ecopetrol Prometeo - Documents\Planning Space Implementation\3. Analysis &amp; Design\Design\FC22\DRR Jaime\QUIFA-CAJÚA\Cajua\[CAJUA_CF_SEC_New_27-Feb-2024Rev3.xlsx]D-PND'!$EA$22</t>
  </si>
  <si>
    <t>='C:\Users\jaime.benazar\Quorum Business Solutions\Ecopetrol Prometeo - Documents\Planning Space Implementation\3. Analysis &amp; Design\Design\FC22\DRR Jaime\QUIFA-CAJÚA\Cajua\[CAJUA_CF_SEC_New_27-Feb-2024Rev3.xlsx]D-PND'!$EA$23</t>
  </si>
  <si>
    <t>='C:\Users\jaime.benazar\Quorum Business Solutions\Ecopetrol Prometeo - Documents\Planning Space Implementation\3. Analysis &amp; Design\Design\FC22\DRR Jaime\QUIFA-CAJÚA\Cajua\[CAJUA_CF_SEC_New_27-Feb-2024Rev3.xlsx]D-PND'!$EA$24</t>
  </si>
  <si>
    <t>='C:\Users\jaime.benazar\Quorum Business Solutions\Ecopetrol Prometeo - Documents\Planning Space Implementation\3. Analysis &amp; Design\Design\FC22\DRR Jaime\QUIFA-CAJÚA\Cajua\[CAJUA_CF_SEC_New_27-Feb-2024Rev3.xlsx]D-PND'!$EA$25</t>
  </si>
  <si>
    <t>='C:\Users\jaime.benazar\Quorum Business Solutions\Ecopetrol Prometeo - Documents\Planning Space Implementation\3. Analysis &amp; Design\Design\FC22\DRR Jaime\QUIFA-CAJÚA\Cajua\[CAJUA_CF_SEC_New_27-Feb-2024Rev3.xlsx]D-PND'!$EA$26</t>
  </si>
  <si>
    <t>='C:\Users\jaime.benazar\Quorum Business Solutions\Ecopetrol Prometeo - Documents\Planning Space Implementation\3. Analysis &amp; Design\Design\FC22\DRR Jaime\QUIFA-CAJÚA\Cajua\[CAJUA_CF_SEC_New_27-Feb-2024Rev3.xlsx]D-PND'!$EA$27</t>
  </si>
  <si>
    <t>='C:\Users\jaime.benazar\Quorum Business Solutions\Ecopetrol Prometeo - Documents\Planning Space Implementation\3. Analysis &amp; Design\Design\FC22\DRR Jaime\QUIFA-CAJÚA\Cajua\[CAJUA_CF_SEC_New_27-Feb-2024Rev3.xlsx]D-PND'!$EA$28</t>
  </si>
  <si>
    <t>='C:\Users\jaime.benazar\Quorum Business Solutions\Ecopetrol Prometeo - Documents\Planning Space Implementation\3. Analysis &amp; Design\Design\FC22\DRR Jaime\QUIFA-CAJÚA\Cajua\[CAJUA_CF_SEC_New_27-Feb-2024Rev3.xlsx]D-PND'!$EA$29</t>
  </si>
  <si>
    <t>='C:\Users\jaime.benazar\Quorum Business Solutions\Ecopetrol Prometeo - Documents\Planning Space Implementation\3. Analysis &amp; Design\Design\FC22\DRR Jaime\QUIFA-CAJÚA\Cajua\[CAJUA_CF_SEC_New_27-Feb-2024Rev3.xlsx]D-PND'!$EA$30</t>
  </si>
  <si>
    <t>='C:\Users\jaime.benazar\Quorum Business Solutions\Ecopetrol Prometeo - Documents\Planning Space Implementation\3. Analysis &amp; Design\Design\FC22\DRR Jaime\QUIFA-CAJÚA\Cajua\[CAJUA_CF_SEC_New_27-Feb-2024Rev3.xlsx]D-PND'!$EA$31</t>
  </si>
  <si>
    <t>='C:\Users\jaime.benazar\Quorum Business Solutions\Ecopetrol Prometeo - Documents\Planning Space Implementation\3. Analysis &amp; Design\Design\FC22\DRR Jaime\QUIFA-CAJÚA\Cajua\[CAJUA_CF_SEC_New_27-Feb-2024Rev3.xlsx]D-PND'!$EA$32</t>
  </si>
  <si>
    <t>='C:\Users\jaime.benazar\Quorum Business Solutions\Ecopetrol Prometeo - Documents\Planning Space Implementation\3. Analysis &amp; Design\Design\FC22\DRR Jaime\QUIFA-CAJÚA\Cajua\[CAJUA_CF_SEC_New_27-Feb-2024Rev3.xlsx]D-PND'!$EA$33</t>
  </si>
  <si>
    <t>='C:\Users\jaime.benazar\Quorum Business Solutions\Ecopetrol Prometeo - Documents\Planning Space Implementation\3. Analysis &amp; Design\Design\FC22\DRR Jaime\QUIFA-CAJÚA\Cajua\[CAJUA_CF_SEC_New_27-Feb-2024Rev3.xlsx]D-PND'!$EA$34</t>
  </si>
  <si>
    <t>='C:\Users\jaime.benazar\Quorum Business Solutions\Ecopetrol Prometeo - Documents\Planning Space Implementation\3. Analysis &amp; Design\Design\FC22\DRR Jaime\QUIFA-CAJÚA\Cajua\[CAJUA_CF_SEC_New_27-Feb-2024Rev3.xlsx]D-PND'!$EA$35</t>
  </si>
  <si>
    <t>='C:\Users\jaime.benazar\Quorum Business Solutions\Ecopetrol Prometeo - Documents\Planning Space Implementation\3. Analysis &amp; Design\Design\FC22\DRR Jaime\QUIFA-CAJÚA\Cajua\[CAJUA_CF_SEC_New_27-Feb-2024Rev3.xlsx]D-PND'!$EA$36</t>
  </si>
  <si>
    <t>='C:\Users\jaime.benazar\Quorum Business Solutions\Ecopetrol Prometeo - Documents\Planning Space Implementation\3. Analysis &amp; Design\Design\FC22\DRR Jaime\QUIFA-CAJÚA\Cajua\[CAJUA_CF_SEC_New_27-Feb-2024Rev3.xlsx]D-PND'!$EA$37</t>
  </si>
  <si>
    <t>='C:\Users\jaime.benazar\Quorum Business Solutions\Ecopetrol Prometeo - Documents\Planning Space Implementation\3. Analysis &amp; Design\Design\FC22\DRR Jaime\QUIFA-CAJÚA\Cajua\[CAJUA_CF_SEC_New_27-Feb-2024Rev3.xlsx]D-PND'!$EA$38</t>
  </si>
  <si>
    <t>='C:\Users\jaime.benazar\Quorum Business Solutions\Ecopetrol Prometeo - Documents\Planning Space Implementation\3. Analysis &amp; Design\Design\FC22\DRR Jaime\QUIFA-CAJÚA\Cajua\[CAJUA_CF_SEC_New_27-Feb-2024Rev3.xlsx]D-PND'!$EA$39</t>
  </si>
  <si>
    <t>='C:\Users\jaime.benazar\Quorum Business Solutions\Ecopetrol Prometeo - Documents\Planning Space Implementation\3. Analysis &amp; Design\Design\FC22\DRR Jaime\QUIFA-CAJÚA\Cajua\[CAJUA_CF_SEC_New_27-Feb-2024Rev3.xlsx]D-PND'!$EA$40</t>
  </si>
  <si>
    <t>='C:\Users\jaime.benazar\Quorum Business Solutions\Ecopetrol Prometeo - Documents\Planning Space Implementation\3. Analysis &amp; Design\Design\FC22\DRR Jaime\QUIFA-CAJÚA\Cajua\[CAJUA_CF_SEC_New_27-Feb-2024Rev3.xlsx]D-PND'!$EA$41</t>
  </si>
  <si>
    <t>='C:\Users\jaime.benazar\Quorum Business Solutions\Ecopetrol Prometeo - Documents\Planning Space Implementation\3. Analysis &amp; Design\Design\FC22\DRR Jaime\QUIFA-CAJÚA\Cajua\[CAJUA_CF_SEC_New_27-Feb-2024Rev3.xlsx]D-PND'!$EA$42</t>
  </si>
  <si>
    <t>='C:\Users\jaime.benazar\Quorum Business Solutions\Ecopetrol Prometeo - Documents\Planning Space Implementation\3. Analysis &amp; Design\Design\FC22\DRR Jaime\QUIFA-CAJÚA\Cajua\[CAJUA_CF_SEC_New_27-Feb-2024Rev3.xlsx]D-PND'!$EA$43</t>
  </si>
  <si>
    <t>='C:\Users\jaime.benazar\Quorum Business Solutions\Ecopetrol Prometeo - Documents\Planning Space Implementation\3. Analysis &amp; Design\Design\FC22\DRR Jaime\QUIFA-CAJÚA\Cajua\[CAJUA_CF_SEC_New_27-Feb-2024Rev3.xlsx]D-PND'!$EA$44</t>
  </si>
  <si>
    <t>='C:\Users\jaime.benazar\Quorum Business Solutions\Ecopetrol Prometeo - Documents\Planning Space Implementation\3. Analysis &amp; Design\Design\FC22\DRR Jaime\QUIFA-CAJÚA\Cajua\[CAJUA_CF_SEC_New_27-Feb-2024Rev3.xlsx]D-PND'!$EA$45</t>
  </si>
  <si>
    <t>='C:\Users\jaime.benazar\Quorum Business Solutions\Ecopetrol Prometeo - Documents\Planning Space Implementation\3. Analysis &amp; Design\Design\FC22\DRR Jaime\QUIFA-CAJÚA\Cajua\[CAJUA_CF_SEC_New_27-Feb-2024Rev3.xlsx]D-PND'!$EA$46</t>
  </si>
  <si>
    <t>='C:\Users\jaime.benazar\Quorum Business Solutions\Ecopetrol Prometeo - Documents\Planning Space Implementation\3. Analysis &amp; Design\Design\FC22\DRR Jaime\QUIFA-CAJÚA\Cajua\[CAJUA_CF_SEC_New_27-Feb-2024Rev3.xlsx]D-PND'!$EA$47</t>
  </si>
  <si>
    <t>='C:\Users\jaime.benazar\Quorum Business Solutions\Ecopetrol Prometeo - Documents\Planning Space Implementation\3. Analysis &amp; Design\Design\FC22\DRR Jaime\QUIFA-CAJÚA\Cajua\[CAJUA_CF_SEC_New_27-Feb-2024Rev3.xlsx]D-PND'!$EA$48</t>
  </si>
  <si>
    <t>='C:\Users\jaime.benazar\Quorum Business Solutions\Ecopetrol Prometeo - Documents\Planning Space Implementation\3. Analysis &amp; Design\Design\FC22\DRR Jaime\QUIFA-CAJÚA\Cajua\[CAJUA_CF_SEC_New_27-Feb-2024Rev3.xlsx]D-PRB'!$EA$12</t>
  </si>
  <si>
    <t>='C:\Users\jaime.benazar\Quorum Business Solutions\Ecopetrol Prometeo - Documents\Planning Space Implementation\3. Analysis &amp; Design\Design\FC22\DRR Jaime\QUIFA-CAJÚA\Cajua\[CAJUA_CF_SEC_New_27-Feb-2024Rev3.xlsx]D-PRB'!$EA$13</t>
  </si>
  <si>
    <t>='C:\Users\jaime.benazar\Quorum Business Solutions\Ecopetrol Prometeo - Documents\Planning Space Implementation\3. Analysis &amp; Design\Design\FC22\DRR Jaime\QUIFA-CAJÚA\Cajua\[CAJUA_CF_SEC_New_27-Feb-2024Rev3.xlsx]D-PRB'!$EA$14</t>
  </si>
  <si>
    <t>='C:\Users\jaime.benazar\Quorum Business Solutions\Ecopetrol Prometeo - Documents\Planning Space Implementation\3. Analysis &amp; Design\Design\FC22\DRR Jaime\QUIFA-CAJÚA\Cajua\[CAJUA_CF_SEC_New_27-Feb-2024Rev3.xlsx]D-PRB'!$EA$15</t>
  </si>
  <si>
    <t>='C:\Users\jaime.benazar\Quorum Business Solutions\Ecopetrol Prometeo - Documents\Planning Space Implementation\3. Analysis &amp; Design\Design\FC22\DRR Jaime\QUIFA-CAJÚA\Cajua\[CAJUA_CF_SEC_New_27-Feb-2024Rev3.xlsx]D-PRB'!$EA$16</t>
  </si>
  <si>
    <t>='C:\Users\jaime.benazar\Quorum Business Solutions\Ecopetrol Prometeo - Documents\Planning Space Implementation\3. Analysis &amp; Design\Design\FC22\DRR Jaime\QUIFA-CAJÚA\Cajua\[CAJUA_CF_SEC_New_27-Feb-2024Rev3.xlsx]D-PRB'!$EA$17</t>
  </si>
  <si>
    <t>='C:\Users\jaime.benazar\Quorum Business Solutions\Ecopetrol Prometeo - Documents\Planning Space Implementation\3. Analysis &amp; Design\Design\FC22\DRR Jaime\QUIFA-CAJÚA\Cajua\[CAJUA_CF_SEC_New_27-Feb-2024Rev3.xlsx]D-PRB'!$EA$18</t>
  </si>
  <si>
    <t>='C:\Users\jaime.benazar\Quorum Business Solutions\Ecopetrol Prometeo - Documents\Planning Space Implementation\3. Analysis &amp; Design\Design\FC22\DRR Jaime\QUIFA-CAJÚA\Cajua\[CAJUA_CF_SEC_New_27-Feb-2024Rev3.xlsx]D-PRB'!$EA$19</t>
  </si>
  <si>
    <t>='C:\Users\jaime.benazar\Quorum Business Solutions\Ecopetrol Prometeo - Documents\Planning Space Implementation\3. Analysis &amp; Design\Design\FC22\DRR Jaime\QUIFA-CAJÚA\Cajua\[CAJUA_CF_SEC_New_27-Feb-2024Rev3.xlsx]D-PRB'!$EA$20</t>
  </si>
  <si>
    <t>='C:\Users\jaime.benazar\Quorum Business Solutions\Ecopetrol Prometeo - Documents\Planning Space Implementation\3. Analysis &amp; Design\Design\FC22\DRR Jaime\QUIFA-CAJÚA\Cajua\[CAJUA_CF_SEC_New_27-Feb-2024Rev3.xlsx]D-PRB'!$EA$21</t>
  </si>
  <si>
    <t>='C:\Users\jaime.benazar\Quorum Business Solutions\Ecopetrol Prometeo - Documents\Planning Space Implementation\3. Analysis &amp; Design\Design\FC22\DRR Jaime\QUIFA-CAJÚA\Cajua\[CAJUA_CF_SEC_New_27-Feb-2024Rev3.xlsx]D-PRB'!$EA$22</t>
  </si>
  <si>
    <t>='C:\Users\jaime.benazar\Quorum Business Solutions\Ecopetrol Prometeo - Documents\Planning Space Implementation\3. Analysis &amp; Design\Design\FC22\DRR Jaime\QUIFA-CAJÚA\Cajua\[CAJUA_CF_SEC_New_27-Feb-2024Rev3.xlsx]D-PRB'!$EA$23</t>
  </si>
  <si>
    <t>='C:\Users\jaime.benazar\Quorum Business Solutions\Ecopetrol Prometeo - Documents\Planning Space Implementation\3. Analysis &amp; Design\Design\FC22\DRR Jaime\QUIFA-CAJÚA\Cajua\[CAJUA_CF_SEC_New_27-Feb-2024Rev3.xlsx]D-PRB'!$EA$24</t>
  </si>
  <si>
    <t>='C:\Users\jaime.benazar\Quorum Business Solutions\Ecopetrol Prometeo - Documents\Planning Space Implementation\3. Analysis &amp; Design\Design\FC22\DRR Jaime\QUIFA-CAJÚA\Cajua\[CAJUA_CF_SEC_New_27-Feb-2024Rev3.xlsx]D-PRB'!$EA$25</t>
  </si>
  <si>
    <t>='C:\Users\jaime.benazar\Quorum Business Solutions\Ecopetrol Prometeo - Documents\Planning Space Implementation\3. Analysis &amp; Design\Design\FC22\DRR Jaime\QUIFA-CAJÚA\Cajua\[CAJUA_CF_SEC_New_27-Feb-2024Rev3.xlsx]D-PRB'!$EA$26</t>
  </si>
  <si>
    <t>='C:\Users\jaime.benazar\Quorum Business Solutions\Ecopetrol Prometeo - Documents\Planning Space Implementation\3. Analysis &amp; Design\Design\FC22\DRR Jaime\QUIFA-CAJÚA\Cajua\[CAJUA_CF_SEC_New_27-Feb-2024Rev3.xlsx]D-PRB'!$EA$27</t>
  </si>
  <si>
    <t>='C:\Users\jaime.benazar\Quorum Business Solutions\Ecopetrol Prometeo - Documents\Planning Space Implementation\3. Analysis &amp; Design\Design\FC22\DRR Jaime\QUIFA-CAJÚA\Cajua\[CAJUA_CF_SEC_New_27-Feb-2024Rev3.xlsx]D-PRB'!$EA$28</t>
  </si>
  <si>
    <t>='C:\Users\jaime.benazar\Quorum Business Solutions\Ecopetrol Prometeo - Documents\Planning Space Implementation\3. Analysis &amp; Design\Design\FC22\DRR Jaime\QUIFA-CAJÚA\Cajua\[CAJUA_CF_SEC_New_27-Feb-2024Rev3.xlsx]D-PRB'!$EA$29</t>
  </si>
  <si>
    <t>='C:\Users\jaime.benazar\Quorum Business Solutions\Ecopetrol Prometeo - Documents\Planning Space Implementation\3. Analysis &amp; Design\Design\FC22\DRR Jaime\QUIFA-CAJÚA\Cajua\[CAJUA_CF_SEC_New_27-Feb-2024Rev3.xlsx]D-PRB'!$EA$30</t>
  </si>
  <si>
    <t>='C:\Users\jaime.benazar\Quorum Business Solutions\Ecopetrol Prometeo - Documents\Planning Space Implementation\3. Analysis &amp; Design\Design\FC22\DRR Jaime\QUIFA-CAJÚA\Cajua\[CAJUA_CF_SEC_New_27-Feb-2024Rev3.xlsx]D-PRB'!$EA$31</t>
  </si>
  <si>
    <t>='C:\Users\jaime.benazar\Quorum Business Solutions\Ecopetrol Prometeo - Documents\Planning Space Implementation\3. Analysis &amp; Design\Design\FC22\DRR Jaime\QUIFA-CAJÚA\Cajua\[CAJUA_CF_SEC_New_27-Feb-2024Rev3.xlsx]D-PRB'!$EA$32</t>
  </si>
  <si>
    <t>='C:\Users\jaime.benazar\Quorum Business Solutions\Ecopetrol Prometeo - Documents\Planning Space Implementation\3. Analysis &amp; Design\Design\FC22\DRR Jaime\QUIFA-CAJÚA\Cajua\[CAJUA_CF_SEC_New_27-Feb-2024Rev3.xlsx]D-PRB'!$EA$33</t>
  </si>
  <si>
    <t>='C:\Users\jaime.benazar\Quorum Business Solutions\Ecopetrol Prometeo - Documents\Planning Space Implementation\3. Analysis &amp; Design\Design\FC22\DRR Jaime\QUIFA-CAJÚA\Cajua\[CAJUA_CF_SEC_New_27-Feb-2024Rev3.xlsx]D-PRB'!$EA$34</t>
  </si>
  <si>
    <t>='C:\Users\jaime.benazar\Quorum Business Solutions\Ecopetrol Prometeo - Documents\Planning Space Implementation\3. Analysis &amp; Design\Design\FC22\DRR Jaime\QUIFA-CAJÚA\Cajua\[CAJUA_CF_SEC_New_27-Feb-2024Rev3.xlsx]D-PRB'!$EA$35</t>
  </si>
  <si>
    <t>='C:\Users\jaime.benazar\Quorum Business Solutions\Ecopetrol Prometeo - Documents\Planning Space Implementation\3. Analysis &amp; Design\Design\FC22\DRR Jaime\QUIFA-CAJÚA\Cajua\[CAJUA_CF_SEC_New_27-Feb-2024Rev3.xlsx]D-PRB'!$EA$36</t>
  </si>
  <si>
    <t>='C:\Users\jaime.benazar\Quorum Business Solutions\Ecopetrol Prometeo - Documents\Planning Space Implementation\3. Analysis &amp; Design\Design\FC22\DRR Jaime\QUIFA-CAJÚA\Cajua\[CAJUA_CF_SEC_New_27-Feb-2024Rev3.xlsx]D-PRB'!$EA$37</t>
  </si>
  <si>
    <t>='C:\Users\jaime.benazar\Quorum Business Solutions\Ecopetrol Prometeo - Documents\Planning Space Implementation\3. Analysis &amp; Design\Design\FC22\DRR Jaime\QUIFA-CAJÚA\Cajua\[CAJUA_CF_SEC_New_27-Feb-2024Rev3.xlsx]D-PRB'!$EA$38</t>
  </si>
  <si>
    <t>='C:\Users\jaime.benazar\Quorum Business Solutions\Ecopetrol Prometeo - Documents\Planning Space Implementation\3. Analysis &amp; Design\Design\FC22\DRR Jaime\QUIFA-CAJÚA\Cajua\[CAJUA_CF_SEC_New_27-Feb-2024Rev3.xlsx]D-PRB'!$EA$39</t>
  </si>
  <si>
    <t>='C:\Users\jaime.benazar\Quorum Business Solutions\Ecopetrol Prometeo - Documents\Planning Space Implementation\3. Analysis &amp; Design\Design\FC22\DRR Jaime\QUIFA-CAJÚA\Cajua\[CAJUA_CF_SEC_New_27-Feb-2024Rev3.xlsx]D-PRB'!$EA$40</t>
  </si>
  <si>
    <t>='C:\Users\jaime.benazar\Quorum Business Solutions\Ecopetrol Prometeo - Documents\Planning Space Implementation\3. Analysis &amp; Design\Design\FC22\DRR Jaime\QUIFA-CAJÚA\Cajua\[CAJUA_CF_SEC_New_27-Feb-2024Rev3.xlsx]D-PRB'!$EA$41</t>
  </si>
  <si>
    <t>='C:\Users\jaime.benazar\Quorum Business Solutions\Ecopetrol Prometeo - Documents\Planning Space Implementation\3. Analysis &amp; Design\Design\FC22\DRR Jaime\QUIFA-CAJÚA\Cajua\[CAJUA_CF_SEC_New_27-Feb-2024Rev3.xlsx]D-PRB'!$EA$42</t>
  </si>
  <si>
    <t>='C:\Users\jaime.benazar\Quorum Business Solutions\Ecopetrol Prometeo - Documents\Planning Space Implementation\3. Analysis &amp; Design\Design\FC22\DRR Jaime\QUIFA-CAJÚA\Cajua\[CAJUA_CF_SEC_New_27-Feb-2024Rev3.xlsx]D-PRB'!$EA$43</t>
  </si>
  <si>
    <t>='C:\Users\jaime.benazar\Quorum Business Solutions\Ecopetrol Prometeo - Documents\Planning Space Implementation\3. Analysis &amp; Design\Design\FC22\DRR Jaime\QUIFA-CAJÚA\Cajua\[CAJUA_CF_SEC_New_27-Feb-2024Rev3.xlsx]D-PRB'!$EA$44</t>
  </si>
  <si>
    <t>='C:\Users\jaime.benazar\Quorum Business Solutions\Ecopetrol Prometeo - Documents\Planning Space Implementation\3. Analysis &amp; Design\Design\FC22\DRR Jaime\QUIFA-CAJÚA\Cajua\[CAJUA_CF_SEC_New_27-Feb-2024Rev3.xlsx]D-PRB'!$EA$45</t>
  </si>
  <si>
    <t>='C:\Users\jaime.benazar\Quorum Business Solutions\Ecopetrol Prometeo - Documents\Planning Space Implementation\3. Analysis &amp; Design\Design\FC22\DRR Jaime\QUIFA-CAJÚA\Cajua\[CAJUA_CF_SEC_New_27-Feb-2024Rev3.xlsx]D-PRB'!$EA$46</t>
  </si>
  <si>
    <t>='C:\Users\jaime.benazar\Quorum Business Solutions\Ecopetrol Prometeo - Documents\Planning Space Implementation\3. Analysis &amp; Design\Design\FC22\DRR Jaime\QUIFA-CAJÚA\Cajua\[CAJUA_CF_SEC_New_27-Feb-2024Rev3.xlsx]D-PRB'!$EA$47</t>
  </si>
  <si>
    <t>='C:\Users\jaime.benazar\Quorum Business Solutions\Ecopetrol Prometeo - Documents\Planning Space Implementation\3. Analysis &amp; Design\Design\FC22\DRR Jaime\QUIFA-CAJÚA\Cajua\[CAJUA_CF_SEC_New_27-Feb-2024Rev3.xlsx]D-PRB'!$EA$48</t>
  </si>
  <si>
    <t>='C:\Users\jaime.benazar\Quorum Business Solutions\Ecopetrol Prometeo - Documents\Planning Space Implementation\3. Analysis &amp; Design\Design\FC22\DRR Jaime\QUIFA-CAJÚA\Cajua\[CAJUA_CF_SEC_New_27-Feb-2024Rev3.xlsx]D-PS'!$EA$12</t>
  </si>
  <si>
    <t>='C:\Users\jaime.benazar\Quorum Business Solutions\Ecopetrol Prometeo - Documents\Planning Space Implementation\3. Analysis &amp; Design\Design\FC22\DRR Jaime\QUIFA-CAJÚA\Cajua\[CAJUA_CF_SEC_New_27-Feb-2024Rev3.xlsx]D-PS'!$EA$13</t>
  </si>
  <si>
    <t>='C:\Users\jaime.benazar\Quorum Business Solutions\Ecopetrol Prometeo - Documents\Planning Space Implementation\3. Analysis &amp; Design\Design\FC22\DRR Jaime\QUIFA-CAJÚA\Cajua\[CAJUA_CF_SEC_New_27-Feb-2024Rev3.xlsx]D-PS'!$EA$14</t>
  </si>
  <si>
    <t>='C:\Users\jaime.benazar\Quorum Business Solutions\Ecopetrol Prometeo - Documents\Planning Space Implementation\3. Analysis &amp; Design\Design\FC22\DRR Jaime\QUIFA-CAJÚA\Cajua\[CAJUA_CF_SEC_New_27-Feb-2024Rev3.xlsx]D-PS'!$EA$15</t>
  </si>
  <si>
    <t>='C:\Users\jaime.benazar\Quorum Business Solutions\Ecopetrol Prometeo - Documents\Planning Space Implementation\3. Analysis &amp; Design\Design\FC22\DRR Jaime\QUIFA-CAJÚA\Cajua\[CAJUA_CF_SEC_New_27-Feb-2024Rev3.xlsx]D-PS'!$EA$16</t>
  </si>
  <si>
    <t>='C:\Users\jaime.benazar\Quorum Business Solutions\Ecopetrol Prometeo - Documents\Planning Space Implementation\3. Analysis &amp; Design\Design\FC22\DRR Jaime\QUIFA-CAJÚA\Cajua\[CAJUA_CF_SEC_New_27-Feb-2024Rev3.xlsx]D-PS'!$EA$17</t>
  </si>
  <si>
    <t>='C:\Users\jaime.benazar\Quorum Business Solutions\Ecopetrol Prometeo - Documents\Planning Space Implementation\3. Analysis &amp; Design\Design\FC22\DRR Jaime\QUIFA-CAJÚA\Cajua\[CAJUA_CF_SEC_New_27-Feb-2024Rev3.xlsx]D-PS'!$EA$18</t>
  </si>
  <si>
    <t>='C:\Users\jaime.benazar\Quorum Business Solutions\Ecopetrol Prometeo - Documents\Planning Space Implementation\3. Analysis &amp; Design\Design\FC22\DRR Jaime\QUIFA-CAJÚA\Cajua\[CAJUA_CF_SEC_New_27-Feb-2024Rev3.xlsx]D-PS'!$EA$19</t>
  </si>
  <si>
    <t>='C:\Users\jaime.benazar\Quorum Business Solutions\Ecopetrol Prometeo - Documents\Planning Space Implementation\3. Analysis &amp; Design\Design\FC22\DRR Jaime\QUIFA-CAJÚA\Cajua\[CAJUA_CF_SEC_New_27-Feb-2024Rev3.xlsx]D-PS'!$EA$20</t>
  </si>
  <si>
    <t>='C:\Users\jaime.benazar\Quorum Business Solutions\Ecopetrol Prometeo - Documents\Planning Space Implementation\3. Analysis &amp; Design\Design\FC22\DRR Jaime\QUIFA-CAJÚA\Cajua\[CAJUA_CF_SEC_New_27-Feb-2024Rev3.xlsx]D-PS'!$EA$21</t>
  </si>
  <si>
    <t>='C:\Users\jaime.benazar\Quorum Business Solutions\Ecopetrol Prometeo - Documents\Planning Space Implementation\3. Analysis &amp; Design\Design\FC22\DRR Jaime\QUIFA-CAJÚA\Cajua\[CAJUA_CF_SEC_New_27-Feb-2024Rev3.xlsx]D-PS'!$EA$22</t>
  </si>
  <si>
    <t>='C:\Users\jaime.benazar\Quorum Business Solutions\Ecopetrol Prometeo - Documents\Planning Space Implementation\3. Analysis &amp; Design\Design\FC22\DRR Jaime\QUIFA-CAJÚA\Cajua\[CAJUA_CF_SEC_New_27-Feb-2024Rev3.xlsx]D-PS'!$EA$23</t>
  </si>
  <si>
    <t>='C:\Users\jaime.benazar\Quorum Business Solutions\Ecopetrol Prometeo - Documents\Planning Space Implementation\3. Analysis &amp; Design\Design\FC22\DRR Jaime\QUIFA-CAJÚA\Cajua\[CAJUA_CF_SEC_New_27-Feb-2024Rev3.xlsx]D-PS'!$EA$24</t>
  </si>
  <si>
    <t>='C:\Users\jaime.benazar\Quorum Business Solutions\Ecopetrol Prometeo - Documents\Planning Space Implementation\3. Analysis &amp; Design\Design\FC22\DRR Jaime\QUIFA-CAJÚA\Cajua\[CAJUA_CF_SEC_New_27-Feb-2024Rev3.xlsx]D-PS'!$EA$25</t>
  </si>
  <si>
    <t>='C:\Users\jaime.benazar\Quorum Business Solutions\Ecopetrol Prometeo - Documents\Planning Space Implementation\3. Analysis &amp; Design\Design\FC22\DRR Jaime\QUIFA-CAJÚA\Cajua\[CAJUA_CF_SEC_New_27-Feb-2024Rev3.xlsx]D-PS'!$EA$26</t>
  </si>
  <si>
    <t>='C:\Users\jaime.benazar\Quorum Business Solutions\Ecopetrol Prometeo - Documents\Planning Space Implementation\3. Analysis &amp; Design\Design\FC22\DRR Jaime\QUIFA-CAJÚA\Cajua\[CAJUA_CF_SEC_New_27-Feb-2024Rev3.xlsx]D-PS'!$EA$27</t>
  </si>
  <si>
    <t>='C:\Users\jaime.benazar\Quorum Business Solutions\Ecopetrol Prometeo - Documents\Planning Space Implementation\3. Analysis &amp; Design\Design\FC22\DRR Jaime\QUIFA-CAJÚA\Cajua\[CAJUA_CF_SEC_New_27-Feb-2024Rev3.xlsx]D-PS'!$EA$28</t>
  </si>
  <si>
    <t>='C:\Users\jaime.benazar\Quorum Business Solutions\Ecopetrol Prometeo - Documents\Planning Space Implementation\3. Analysis &amp; Design\Design\FC22\DRR Jaime\QUIFA-CAJÚA\Cajua\[CAJUA_CF_SEC_New_27-Feb-2024Rev3.xlsx]D-PS'!$EA$29</t>
  </si>
  <si>
    <t>='C:\Users\jaime.benazar\Quorum Business Solutions\Ecopetrol Prometeo - Documents\Planning Space Implementation\3. Analysis &amp; Design\Design\FC22\DRR Jaime\QUIFA-CAJÚA\Cajua\[CAJUA_CF_SEC_New_27-Feb-2024Rev3.xlsx]D-PS'!$EA$30</t>
  </si>
  <si>
    <t>='C:\Users\jaime.benazar\Quorum Business Solutions\Ecopetrol Prometeo - Documents\Planning Space Implementation\3. Analysis &amp; Design\Design\FC22\DRR Jaime\QUIFA-CAJÚA\Cajua\[CAJUA_CF_SEC_New_27-Feb-2024Rev3.xlsx]D-PS'!$EA$31</t>
  </si>
  <si>
    <t>='C:\Users\jaime.benazar\Quorum Business Solutions\Ecopetrol Prometeo - Documents\Planning Space Implementation\3. Analysis &amp; Design\Design\FC22\DRR Jaime\QUIFA-CAJÚA\Cajua\[CAJUA_CF_SEC_New_27-Feb-2024Rev3.xlsx]D-PS'!$EA$32</t>
  </si>
  <si>
    <t>='C:\Users\jaime.benazar\Quorum Business Solutions\Ecopetrol Prometeo - Documents\Planning Space Implementation\3. Analysis &amp; Design\Design\FC22\DRR Jaime\QUIFA-CAJÚA\Cajua\[CAJUA_CF_SEC_New_27-Feb-2024Rev3.xlsx]D-PS'!$EA$33</t>
  </si>
  <si>
    <t>='C:\Users\jaime.benazar\Quorum Business Solutions\Ecopetrol Prometeo - Documents\Planning Space Implementation\3. Analysis &amp; Design\Design\FC22\DRR Jaime\QUIFA-CAJÚA\Cajua\[CAJUA_CF_SEC_New_27-Feb-2024Rev3.xlsx]D-PS'!$EA$34</t>
  </si>
  <si>
    <t>='C:\Users\jaime.benazar\Quorum Business Solutions\Ecopetrol Prometeo - Documents\Planning Space Implementation\3. Analysis &amp; Design\Design\FC22\DRR Jaime\QUIFA-CAJÚA\Cajua\[CAJUA_CF_SEC_New_27-Feb-2024Rev3.xlsx]D-PS'!$EA$35</t>
  </si>
  <si>
    <t>='C:\Users\jaime.benazar\Quorum Business Solutions\Ecopetrol Prometeo - Documents\Planning Space Implementation\3. Analysis &amp; Design\Design\FC22\DRR Jaime\QUIFA-CAJÚA\Cajua\[CAJUA_CF_SEC_New_27-Feb-2024Rev3.xlsx]D-PS'!$EA$36</t>
  </si>
  <si>
    <t>='C:\Users\jaime.benazar\Quorum Business Solutions\Ecopetrol Prometeo - Documents\Planning Space Implementation\3. Analysis &amp; Design\Design\FC22\DRR Jaime\QUIFA-CAJÚA\Cajua\[CAJUA_CF_SEC_New_27-Feb-2024Rev3.xlsx]D-PS'!$EA$37</t>
  </si>
  <si>
    <t>='C:\Users\jaime.benazar\Quorum Business Solutions\Ecopetrol Prometeo - Documents\Planning Space Implementation\3. Analysis &amp; Design\Design\FC22\DRR Jaime\QUIFA-CAJÚA\Cajua\[CAJUA_CF_SEC_New_27-Feb-2024Rev3.xlsx]D-PS'!$EA$38</t>
  </si>
  <si>
    <t>='C:\Users\jaime.benazar\Quorum Business Solutions\Ecopetrol Prometeo - Documents\Planning Space Implementation\3. Analysis &amp; Design\Design\FC22\DRR Jaime\QUIFA-CAJÚA\Cajua\[CAJUA_CF_SEC_New_27-Feb-2024Rev3.xlsx]D-PS'!$EA$39</t>
  </si>
  <si>
    <t>='C:\Users\jaime.benazar\Quorum Business Solutions\Ecopetrol Prometeo - Documents\Planning Space Implementation\3. Analysis &amp; Design\Design\FC22\DRR Jaime\QUIFA-CAJÚA\Cajua\[CAJUA_CF_SEC_New_27-Feb-2024Rev3.xlsx]D-PS'!$EA$40</t>
  </si>
  <si>
    <t>='C:\Users\jaime.benazar\Quorum Business Solutions\Ecopetrol Prometeo - Documents\Planning Space Implementation\3. Analysis &amp; Design\Design\FC22\DRR Jaime\QUIFA-CAJÚA\Cajua\[CAJUA_CF_SEC_New_27-Feb-2024Rev3.xlsx]D-PS'!$EA$41</t>
  </si>
  <si>
    <t>='C:\Users\jaime.benazar\Quorum Business Solutions\Ecopetrol Prometeo - Documents\Planning Space Implementation\3. Analysis &amp; Design\Design\FC22\DRR Jaime\QUIFA-CAJÚA\Cajua\[CAJUA_CF_SEC_New_27-Feb-2024Rev3.xlsx]D-PS'!$EA$42</t>
  </si>
  <si>
    <t>='C:\Users\jaime.benazar\Quorum Business Solutions\Ecopetrol Prometeo - Documents\Planning Space Implementation\3. Analysis &amp; Design\Design\FC22\DRR Jaime\QUIFA-CAJÚA\Cajua\[CAJUA_CF_SEC_New_27-Feb-2024Rev3.xlsx]D-PS'!$EA$43</t>
  </si>
  <si>
    <t>='C:\Users\jaime.benazar\Quorum Business Solutions\Ecopetrol Prometeo - Documents\Planning Space Implementation\3. Analysis &amp; Design\Design\FC22\DRR Jaime\QUIFA-CAJÚA\Cajua\[CAJUA_CF_SEC_New_27-Feb-2024Rev3.xlsx]D-PS'!$EA$44</t>
  </si>
  <si>
    <t>='C:\Users\jaime.benazar\Quorum Business Solutions\Ecopetrol Prometeo - Documents\Planning Space Implementation\3. Analysis &amp; Design\Design\FC22\DRR Jaime\QUIFA-CAJÚA\Cajua\[CAJUA_CF_SEC_New_27-Feb-2024Rev3.xlsx]D-PS'!$EA$45</t>
  </si>
  <si>
    <t>='C:\Users\jaime.benazar\Quorum Business Solutions\Ecopetrol Prometeo - Documents\Planning Space Implementation\3. Analysis &amp; Design\Design\FC22\DRR Jaime\QUIFA-CAJÚA\Cajua\[CAJUA_CF_SEC_New_27-Feb-2024Rev3.xlsx]D-PS'!$EA$46</t>
  </si>
  <si>
    <t>='C:\Users\jaime.benazar\Quorum Business Solutions\Ecopetrol Prometeo - Documents\Planning Space Implementation\3. Analysis &amp; Design\Design\FC22\DRR Jaime\QUIFA-CAJÚA\Cajua\[CAJUA_CF_SEC_New_27-Feb-2024Rev3.xlsx]D-PS'!$EA$47</t>
  </si>
  <si>
    <t>='C:\Users\jaime.benazar\Quorum Business Solutions\Ecopetrol Prometeo - Documents\Planning Space Implementation\3. Analysis &amp; Design\Design\FC22\DRR Jaime\QUIFA-CAJÚA\Cajua\[CAJUA_CF_SEC_New_27-Feb-2024Rev3.xlsx]D-PS'!$EA$48</t>
  </si>
  <si>
    <t>='C:\Users\jaime.benazar\Quorum Business Solutions\Ecopetrol Prometeo - Documents\Planning Space Implementation\3. Analysis &amp; Design\Design\FC22\DRR Jaime\QUIFA-CAJÚA\Cajua\[CAJUA_CF_SEC_New_27-Feb-2024Rev3.xlsx]D-PDP'!$DT$12</t>
  </si>
  <si>
    <t>='C:\Users\jaime.benazar\Quorum Business Solutions\Ecopetrol Prometeo - Documents\Planning Space Implementation\3. Analysis &amp; Design\Design\FC22\DRR Jaime\QUIFA-CAJÚA\Cajua\[CAJUA_CF_SEC_New_27-Feb-2024Rev3.xlsx]D-PDP'!$DT$13</t>
  </si>
  <si>
    <t>='C:\Users\jaime.benazar\Quorum Business Solutions\Ecopetrol Prometeo - Documents\Planning Space Implementation\3. Analysis &amp; Design\Design\FC22\DRR Jaime\QUIFA-CAJÚA\Cajua\[CAJUA_CF_SEC_New_27-Feb-2024Rev3.xlsx]D-PDP'!$DT$14</t>
  </si>
  <si>
    <t>='C:\Users\jaime.benazar\Quorum Business Solutions\Ecopetrol Prometeo - Documents\Planning Space Implementation\3. Analysis &amp; Design\Design\FC22\DRR Jaime\QUIFA-CAJÚA\Cajua\[CAJUA_CF_SEC_New_27-Feb-2024Rev3.xlsx]D-PDP'!$DT$15</t>
  </si>
  <si>
    <t>='C:\Users\jaime.benazar\Quorum Business Solutions\Ecopetrol Prometeo - Documents\Planning Space Implementation\3. Analysis &amp; Design\Design\FC22\DRR Jaime\QUIFA-CAJÚA\Cajua\[CAJUA_CF_SEC_New_27-Feb-2024Rev3.xlsx]D-PDP'!$DT$16</t>
  </si>
  <si>
    <t>='C:\Users\jaime.benazar\Quorum Business Solutions\Ecopetrol Prometeo - Documents\Planning Space Implementation\3. Analysis &amp; Design\Design\FC22\DRR Jaime\QUIFA-CAJÚA\Cajua\[CAJUA_CF_SEC_New_27-Feb-2024Rev3.xlsx]D-PDP'!$DT$17</t>
  </si>
  <si>
    <t>='C:\Users\jaime.benazar\Quorum Business Solutions\Ecopetrol Prometeo - Documents\Planning Space Implementation\3. Analysis &amp; Design\Design\FC22\DRR Jaime\QUIFA-CAJÚA\Cajua\[CAJUA_CF_SEC_New_27-Feb-2024Rev3.xlsx]D-PDP'!$DT$18</t>
  </si>
  <si>
    <t>='C:\Users\jaime.benazar\Quorum Business Solutions\Ecopetrol Prometeo - Documents\Planning Space Implementation\3. Analysis &amp; Design\Design\FC22\DRR Jaime\QUIFA-CAJÚA\Cajua\[CAJUA_CF_SEC_New_27-Feb-2024Rev3.xlsx]D-PDP'!$DT$19</t>
  </si>
  <si>
    <t>='C:\Users\jaime.benazar\Quorum Business Solutions\Ecopetrol Prometeo - Documents\Planning Space Implementation\3. Analysis &amp; Design\Design\FC22\DRR Jaime\QUIFA-CAJÚA\Cajua\[CAJUA_CF_SEC_New_27-Feb-2024Rev3.xlsx]D-PDP'!$DT$20</t>
  </si>
  <si>
    <t>='C:\Users\jaime.benazar\Quorum Business Solutions\Ecopetrol Prometeo - Documents\Planning Space Implementation\3. Analysis &amp; Design\Design\FC22\DRR Jaime\QUIFA-CAJÚA\Cajua\[CAJUA_CF_SEC_New_27-Feb-2024Rev3.xlsx]D-PDP'!$DT$21</t>
  </si>
  <si>
    <t>='C:\Users\jaime.benazar\Quorum Business Solutions\Ecopetrol Prometeo - Documents\Planning Space Implementation\3. Analysis &amp; Design\Design\FC22\DRR Jaime\QUIFA-CAJÚA\Cajua\[CAJUA_CF_SEC_New_27-Feb-2024Rev3.xlsx]D-PDP'!$DT$22</t>
  </si>
  <si>
    <t>='C:\Users\jaime.benazar\Quorum Business Solutions\Ecopetrol Prometeo - Documents\Planning Space Implementation\3. Analysis &amp; Design\Design\FC22\DRR Jaime\QUIFA-CAJÚA\Cajua\[CAJUA_CF_SEC_New_27-Feb-2024Rev3.xlsx]D-PDP'!$DT$23</t>
  </si>
  <si>
    <t>='C:\Users\jaime.benazar\Quorum Business Solutions\Ecopetrol Prometeo - Documents\Planning Space Implementation\3. Analysis &amp; Design\Design\FC22\DRR Jaime\QUIFA-CAJÚA\Cajua\[CAJUA_CF_SEC_New_27-Feb-2024Rev3.xlsx]D-PDP'!$DT$24</t>
  </si>
  <si>
    <t>='C:\Users\jaime.benazar\Quorum Business Solutions\Ecopetrol Prometeo - Documents\Planning Space Implementation\3. Analysis &amp; Design\Design\FC22\DRR Jaime\QUIFA-CAJÚA\Cajua\[CAJUA_CF_SEC_New_27-Feb-2024Rev3.xlsx]D-PDP'!$DT$25</t>
  </si>
  <si>
    <t>='C:\Users\jaime.benazar\Quorum Business Solutions\Ecopetrol Prometeo - Documents\Planning Space Implementation\3. Analysis &amp; Design\Design\FC22\DRR Jaime\QUIFA-CAJÚA\Cajua\[CAJUA_CF_SEC_New_27-Feb-2024Rev3.xlsx]D-PDP'!$DT$26</t>
  </si>
  <si>
    <t>='C:\Users\jaime.benazar\Quorum Business Solutions\Ecopetrol Prometeo - Documents\Planning Space Implementation\3. Analysis &amp; Design\Design\FC22\DRR Jaime\QUIFA-CAJÚA\Cajua\[CAJUA_CF_SEC_New_27-Feb-2024Rev3.xlsx]D-PDP'!$DT$27</t>
  </si>
  <si>
    <t>='C:\Users\jaime.benazar\Quorum Business Solutions\Ecopetrol Prometeo - Documents\Planning Space Implementation\3. Analysis &amp; Design\Design\FC22\DRR Jaime\QUIFA-CAJÚA\Cajua\[CAJUA_CF_SEC_New_27-Feb-2024Rev3.xlsx]D-PDP'!$DT$28</t>
  </si>
  <si>
    <t>='C:\Users\jaime.benazar\Quorum Business Solutions\Ecopetrol Prometeo - Documents\Planning Space Implementation\3. Analysis &amp; Design\Design\FC22\DRR Jaime\QUIFA-CAJÚA\Cajua\[CAJUA_CF_SEC_New_27-Feb-2024Rev3.xlsx]D-PDP'!$DT$29</t>
  </si>
  <si>
    <t>='C:\Users\jaime.benazar\Quorum Business Solutions\Ecopetrol Prometeo - Documents\Planning Space Implementation\3. Analysis &amp; Design\Design\FC22\DRR Jaime\QUIFA-CAJÚA\Cajua\[CAJUA_CF_SEC_New_27-Feb-2024Rev3.xlsx]D-PDP'!$DT$30</t>
  </si>
  <si>
    <t>='C:\Users\jaime.benazar\Quorum Business Solutions\Ecopetrol Prometeo - Documents\Planning Space Implementation\3. Analysis &amp; Design\Design\FC22\DRR Jaime\QUIFA-CAJÚA\Cajua\[CAJUA_CF_SEC_New_27-Feb-2024Rev3.xlsx]D-PDP'!$DT$31</t>
  </si>
  <si>
    <t>='C:\Users\jaime.benazar\Quorum Business Solutions\Ecopetrol Prometeo - Documents\Planning Space Implementation\3. Analysis &amp; Design\Design\FC22\DRR Jaime\QUIFA-CAJÚA\Cajua\[CAJUA_CF_SEC_New_27-Feb-2024Rev3.xlsx]D-PDP'!$DT$32</t>
  </si>
  <si>
    <t>='C:\Users\jaime.benazar\Quorum Business Solutions\Ecopetrol Prometeo - Documents\Planning Space Implementation\3. Analysis &amp; Design\Design\FC22\DRR Jaime\QUIFA-CAJÚA\Cajua\[CAJUA_CF_SEC_New_27-Feb-2024Rev3.xlsx]D-PDP'!$DT$33</t>
  </si>
  <si>
    <t>='C:\Users\jaime.benazar\Quorum Business Solutions\Ecopetrol Prometeo - Documents\Planning Space Implementation\3. Analysis &amp; Design\Design\FC22\DRR Jaime\QUIFA-CAJÚA\Cajua\[CAJUA_CF_SEC_New_27-Feb-2024Rev3.xlsx]D-PDP'!$DT$34</t>
  </si>
  <si>
    <t>='C:\Users\jaime.benazar\Quorum Business Solutions\Ecopetrol Prometeo - Documents\Planning Space Implementation\3. Analysis &amp; Design\Design\FC22\DRR Jaime\QUIFA-CAJÚA\Cajua\[CAJUA_CF_SEC_New_27-Feb-2024Rev3.xlsx]D-PDP'!$DT$35</t>
  </si>
  <si>
    <t>='C:\Users\jaime.benazar\Quorum Business Solutions\Ecopetrol Prometeo - Documents\Planning Space Implementation\3. Analysis &amp; Design\Design\FC22\DRR Jaime\QUIFA-CAJÚA\Cajua\[CAJUA_CF_SEC_New_27-Feb-2024Rev3.xlsx]D-PDP'!$DT$36</t>
  </si>
  <si>
    <t>='C:\Users\jaime.benazar\Quorum Business Solutions\Ecopetrol Prometeo - Documents\Planning Space Implementation\3. Analysis &amp; Design\Design\FC22\DRR Jaime\QUIFA-CAJÚA\Cajua\[CAJUA_CF_SEC_New_27-Feb-2024Rev3.xlsx]D-PDP'!$DT$37</t>
  </si>
  <si>
    <t>='C:\Users\jaime.benazar\Quorum Business Solutions\Ecopetrol Prometeo - Documents\Planning Space Implementation\3. Analysis &amp; Design\Design\FC22\DRR Jaime\QUIFA-CAJÚA\Cajua\[CAJUA_CF_SEC_New_27-Feb-2024Rev3.xlsx]D-PDP'!$DT$38</t>
  </si>
  <si>
    <t>='C:\Users\jaime.benazar\Quorum Business Solutions\Ecopetrol Prometeo - Documents\Planning Space Implementation\3. Analysis &amp; Design\Design\FC22\DRR Jaime\QUIFA-CAJÚA\Cajua\[CAJUA_CF_SEC_New_27-Feb-2024Rev3.xlsx]D-PDP'!$DT$39</t>
  </si>
  <si>
    <t>='C:\Users\jaime.benazar\Quorum Business Solutions\Ecopetrol Prometeo - Documents\Planning Space Implementation\3. Analysis &amp; Design\Design\FC22\DRR Jaime\QUIFA-CAJÚA\Cajua\[CAJUA_CF_SEC_New_27-Feb-2024Rev3.xlsx]D-PDP'!$DT$40</t>
  </si>
  <si>
    <t>='C:\Users\jaime.benazar\Quorum Business Solutions\Ecopetrol Prometeo - Documents\Planning Space Implementation\3. Analysis &amp; Design\Design\FC22\DRR Jaime\QUIFA-CAJÚA\Cajua\[CAJUA_CF_SEC_New_27-Feb-2024Rev3.xlsx]D-PDP'!$DT$41</t>
  </si>
  <si>
    <t>='C:\Users\jaime.benazar\Quorum Business Solutions\Ecopetrol Prometeo - Documents\Planning Space Implementation\3. Analysis &amp; Design\Design\FC22\DRR Jaime\QUIFA-CAJÚA\Cajua\[CAJUA_CF_SEC_New_27-Feb-2024Rev3.xlsx]D-PDP'!$DT$42</t>
  </si>
  <si>
    <t>='C:\Users\jaime.benazar\Quorum Business Solutions\Ecopetrol Prometeo - Documents\Planning Space Implementation\3. Analysis &amp; Design\Design\FC22\DRR Jaime\QUIFA-CAJÚA\Cajua\[CAJUA_CF_SEC_New_27-Feb-2024Rev3.xlsx]D-PDP'!$DT$43</t>
  </si>
  <si>
    <t>='C:\Users\jaime.benazar\Quorum Business Solutions\Ecopetrol Prometeo - Documents\Planning Space Implementation\3. Analysis &amp; Design\Design\FC22\DRR Jaime\QUIFA-CAJÚA\Cajua\[CAJUA_CF_SEC_New_27-Feb-2024Rev3.xlsx]D-PDP'!$DT$44</t>
  </si>
  <si>
    <t>='C:\Users\jaime.benazar\Quorum Business Solutions\Ecopetrol Prometeo - Documents\Planning Space Implementation\3. Analysis &amp; Design\Design\FC22\DRR Jaime\QUIFA-CAJÚA\Cajua\[CAJUA_CF_SEC_New_27-Feb-2024Rev3.xlsx]D-PDP'!$DT$45</t>
  </si>
  <si>
    <t>='C:\Users\jaime.benazar\Quorum Business Solutions\Ecopetrol Prometeo - Documents\Planning Space Implementation\3. Analysis &amp; Design\Design\FC22\DRR Jaime\QUIFA-CAJÚA\Cajua\[CAJUA_CF_SEC_New_27-Feb-2024Rev3.xlsx]D-PDP'!$DT$46</t>
  </si>
  <si>
    <t>='C:\Users\jaime.benazar\Quorum Business Solutions\Ecopetrol Prometeo - Documents\Planning Space Implementation\3. Analysis &amp; Design\Design\FC22\DRR Jaime\QUIFA-CAJÚA\Cajua\[CAJUA_CF_SEC_New_27-Feb-2024Rev3.xlsx]D-PDP'!$DT$47</t>
  </si>
  <si>
    <t>='C:\Users\jaime.benazar\Quorum Business Solutions\Ecopetrol Prometeo - Documents\Planning Space Implementation\3. Analysis &amp; Design\Design\FC22\DRR Jaime\QUIFA-CAJÚA\Cajua\[CAJUA_CF_SEC_New_27-Feb-2024Rev3.xlsx]D-PDP'!$DT$48</t>
  </si>
  <si>
    <t>='C:\Users\jaime.benazar\Quorum Business Solutions\Ecopetrol Prometeo - Documents\Planning Space Implementation\3. Analysis &amp; Design\Design\FC22\DRR Jaime\QUIFA-CAJÚA\Cajua\[CAJUA_CF_SEC_New_27-Feb-2024Rev3.xlsx]D-PNP'!$DT$12</t>
  </si>
  <si>
    <t>='C:\Users\jaime.benazar\Quorum Business Solutions\Ecopetrol Prometeo - Documents\Planning Space Implementation\3. Analysis &amp; Design\Design\FC22\DRR Jaime\QUIFA-CAJÚA\Cajua\[CAJUA_CF_SEC_New_27-Feb-2024Rev3.xlsx]D-PNP'!$DT$13</t>
  </si>
  <si>
    <t>='C:\Users\jaime.benazar\Quorum Business Solutions\Ecopetrol Prometeo - Documents\Planning Space Implementation\3. Analysis &amp; Design\Design\FC22\DRR Jaime\QUIFA-CAJÚA\Cajua\[CAJUA_CF_SEC_New_27-Feb-2024Rev3.xlsx]D-PNP'!$DT$14</t>
  </si>
  <si>
    <t>='C:\Users\jaime.benazar\Quorum Business Solutions\Ecopetrol Prometeo - Documents\Planning Space Implementation\3. Analysis &amp; Design\Design\FC22\DRR Jaime\QUIFA-CAJÚA\Cajua\[CAJUA_CF_SEC_New_27-Feb-2024Rev3.xlsx]D-PNP'!$DT$15</t>
  </si>
  <si>
    <t>='C:\Users\jaime.benazar\Quorum Business Solutions\Ecopetrol Prometeo - Documents\Planning Space Implementation\3. Analysis &amp; Design\Design\FC22\DRR Jaime\QUIFA-CAJÚA\Cajua\[CAJUA_CF_SEC_New_27-Feb-2024Rev3.xlsx]D-PNP'!$DT$16</t>
  </si>
  <si>
    <t>='C:\Users\jaime.benazar\Quorum Business Solutions\Ecopetrol Prometeo - Documents\Planning Space Implementation\3. Analysis &amp; Design\Design\FC22\DRR Jaime\QUIFA-CAJÚA\Cajua\[CAJUA_CF_SEC_New_27-Feb-2024Rev3.xlsx]D-PNP'!$DT$17</t>
  </si>
  <si>
    <t>='C:\Users\jaime.benazar\Quorum Business Solutions\Ecopetrol Prometeo - Documents\Planning Space Implementation\3. Analysis &amp; Design\Design\FC22\DRR Jaime\QUIFA-CAJÚA\Cajua\[CAJUA_CF_SEC_New_27-Feb-2024Rev3.xlsx]D-PNP'!$DT$18</t>
  </si>
  <si>
    <t>='C:\Users\jaime.benazar\Quorum Business Solutions\Ecopetrol Prometeo - Documents\Planning Space Implementation\3. Analysis &amp; Design\Design\FC22\DRR Jaime\QUIFA-CAJÚA\Cajua\[CAJUA_CF_SEC_New_27-Feb-2024Rev3.xlsx]D-PNP'!$DT$19</t>
  </si>
  <si>
    <t>='C:\Users\jaime.benazar\Quorum Business Solutions\Ecopetrol Prometeo - Documents\Planning Space Implementation\3. Analysis &amp; Design\Design\FC22\DRR Jaime\QUIFA-CAJÚA\Cajua\[CAJUA_CF_SEC_New_27-Feb-2024Rev3.xlsx]D-PNP'!$DT$20</t>
  </si>
  <si>
    <t>='C:\Users\jaime.benazar\Quorum Business Solutions\Ecopetrol Prometeo - Documents\Planning Space Implementation\3. Analysis &amp; Design\Design\FC22\DRR Jaime\QUIFA-CAJÚA\Cajua\[CAJUA_CF_SEC_New_27-Feb-2024Rev3.xlsx]D-PNP'!$DT$21</t>
  </si>
  <si>
    <t>='C:\Users\jaime.benazar\Quorum Business Solutions\Ecopetrol Prometeo - Documents\Planning Space Implementation\3. Analysis &amp; Design\Design\FC22\DRR Jaime\QUIFA-CAJÚA\Cajua\[CAJUA_CF_SEC_New_27-Feb-2024Rev3.xlsx]D-PNP'!$DT$22</t>
  </si>
  <si>
    <t>='C:\Users\jaime.benazar\Quorum Business Solutions\Ecopetrol Prometeo - Documents\Planning Space Implementation\3. Analysis &amp; Design\Design\FC22\DRR Jaime\QUIFA-CAJÚA\Cajua\[CAJUA_CF_SEC_New_27-Feb-2024Rev3.xlsx]D-PNP'!$DT$23</t>
  </si>
  <si>
    <t>='C:\Users\jaime.benazar\Quorum Business Solutions\Ecopetrol Prometeo - Documents\Planning Space Implementation\3. Analysis &amp; Design\Design\FC22\DRR Jaime\QUIFA-CAJÚA\Cajua\[CAJUA_CF_SEC_New_27-Feb-2024Rev3.xlsx]D-PNP'!$DT$24</t>
  </si>
  <si>
    <t>='C:\Users\jaime.benazar\Quorum Business Solutions\Ecopetrol Prometeo - Documents\Planning Space Implementation\3. Analysis &amp; Design\Design\FC22\DRR Jaime\QUIFA-CAJÚA\Cajua\[CAJUA_CF_SEC_New_27-Feb-2024Rev3.xlsx]D-PNP'!$DT$25</t>
  </si>
  <si>
    <t>='C:\Users\jaime.benazar\Quorum Business Solutions\Ecopetrol Prometeo - Documents\Planning Space Implementation\3. Analysis &amp; Design\Design\FC22\DRR Jaime\QUIFA-CAJÚA\Cajua\[CAJUA_CF_SEC_New_27-Feb-2024Rev3.xlsx]D-PNP'!$DT$26</t>
  </si>
  <si>
    <t>='C:\Users\jaime.benazar\Quorum Business Solutions\Ecopetrol Prometeo - Documents\Planning Space Implementation\3. Analysis &amp; Design\Design\FC22\DRR Jaime\QUIFA-CAJÚA\Cajua\[CAJUA_CF_SEC_New_27-Feb-2024Rev3.xlsx]D-PNP'!$DT$27</t>
  </si>
  <si>
    <t>='C:\Users\jaime.benazar\Quorum Business Solutions\Ecopetrol Prometeo - Documents\Planning Space Implementation\3. Analysis &amp; Design\Design\FC22\DRR Jaime\QUIFA-CAJÚA\Cajua\[CAJUA_CF_SEC_New_27-Feb-2024Rev3.xlsx]D-PNP'!$DT$28</t>
  </si>
  <si>
    <t>='C:\Users\jaime.benazar\Quorum Business Solutions\Ecopetrol Prometeo - Documents\Planning Space Implementation\3. Analysis &amp; Design\Design\FC22\DRR Jaime\QUIFA-CAJÚA\Cajua\[CAJUA_CF_SEC_New_27-Feb-2024Rev3.xlsx]D-PNP'!$DT$29</t>
  </si>
  <si>
    <t>='C:\Users\jaime.benazar\Quorum Business Solutions\Ecopetrol Prometeo - Documents\Planning Space Implementation\3. Analysis &amp; Design\Design\FC22\DRR Jaime\QUIFA-CAJÚA\Cajua\[CAJUA_CF_SEC_New_27-Feb-2024Rev3.xlsx]D-PNP'!$DT$30</t>
  </si>
  <si>
    <t>='C:\Users\jaime.benazar\Quorum Business Solutions\Ecopetrol Prometeo - Documents\Planning Space Implementation\3. Analysis &amp; Design\Design\FC22\DRR Jaime\QUIFA-CAJÚA\Cajua\[CAJUA_CF_SEC_New_27-Feb-2024Rev3.xlsx]D-PNP'!$DT$31</t>
  </si>
  <si>
    <t>='C:\Users\jaime.benazar\Quorum Business Solutions\Ecopetrol Prometeo - Documents\Planning Space Implementation\3. Analysis &amp; Design\Design\FC22\DRR Jaime\QUIFA-CAJÚA\Cajua\[CAJUA_CF_SEC_New_27-Feb-2024Rev3.xlsx]D-PNP'!$DT$32</t>
  </si>
  <si>
    <t>='C:\Users\jaime.benazar\Quorum Business Solutions\Ecopetrol Prometeo - Documents\Planning Space Implementation\3. Analysis &amp; Design\Design\FC22\DRR Jaime\QUIFA-CAJÚA\Cajua\[CAJUA_CF_SEC_New_27-Feb-2024Rev3.xlsx]D-PNP'!$DT$33</t>
  </si>
  <si>
    <t>='C:\Users\jaime.benazar\Quorum Business Solutions\Ecopetrol Prometeo - Documents\Planning Space Implementation\3. Analysis &amp; Design\Design\FC22\DRR Jaime\QUIFA-CAJÚA\Cajua\[CAJUA_CF_SEC_New_27-Feb-2024Rev3.xlsx]D-PNP'!$DT$34</t>
  </si>
  <si>
    <t>='C:\Users\jaime.benazar\Quorum Business Solutions\Ecopetrol Prometeo - Documents\Planning Space Implementation\3. Analysis &amp; Design\Design\FC22\DRR Jaime\QUIFA-CAJÚA\Cajua\[CAJUA_CF_SEC_New_27-Feb-2024Rev3.xlsx]D-PNP'!$DT$35</t>
  </si>
  <si>
    <t>='C:\Users\jaime.benazar\Quorum Business Solutions\Ecopetrol Prometeo - Documents\Planning Space Implementation\3. Analysis &amp; Design\Design\FC22\DRR Jaime\QUIFA-CAJÚA\Cajua\[CAJUA_CF_SEC_New_27-Feb-2024Rev3.xlsx]D-PNP'!$DT$36</t>
  </si>
  <si>
    <t>='C:\Users\jaime.benazar\Quorum Business Solutions\Ecopetrol Prometeo - Documents\Planning Space Implementation\3. Analysis &amp; Design\Design\FC22\DRR Jaime\QUIFA-CAJÚA\Cajua\[CAJUA_CF_SEC_New_27-Feb-2024Rev3.xlsx]D-PNP'!$DT$37</t>
  </si>
  <si>
    <t>='C:\Users\jaime.benazar\Quorum Business Solutions\Ecopetrol Prometeo - Documents\Planning Space Implementation\3. Analysis &amp; Design\Design\FC22\DRR Jaime\QUIFA-CAJÚA\Cajua\[CAJUA_CF_SEC_New_27-Feb-2024Rev3.xlsx]D-PNP'!$DT$38</t>
  </si>
  <si>
    <t>='C:\Users\jaime.benazar\Quorum Business Solutions\Ecopetrol Prometeo - Documents\Planning Space Implementation\3. Analysis &amp; Design\Design\FC22\DRR Jaime\QUIFA-CAJÚA\Cajua\[CAJUA_CF_SEC_New_27-Feb-2024Rev3.xlsx]D-PNP'!$DT$39</t>
  </si>
  <si>
    <t>='C:\Users\jaime.benazar\Quorum Business Solutions\Ecopetrol Prometeo - Documents\Planning Space Implementation\3. Analysis &amp; Design\Design\FC22\DRR Jaime\QUIFA-CAJÚA\Cajua\[CAJUA_CF_SEC_New_27-Feb-2024Rev3.xlsx]D-PNP'!$DT$40</t>
  </si>
  <si>
    <t>='C:\Users\jaime.benazar\Quorum Business Solutions\Ecopetrol Prometeo - Documents\Planning Space Implementation\3. Analysis &amp; Design\Design\FC22\DRR Jaime\QUIFA-CAJÚA\Cajua\[CAJUA_CF_SEC_New_27-Feb-2024Rev3.xlsx]D-PNP'!$DT$41</t>
  </si>
  <si>
    <t>='C:\Users\jaime.benazar\Quorum Business Solutions\Ecopetrol Prometeo - Documents\Planning Space Implementation\3. Analysis &amp; Design\Design\FC22\DRR Jaime\QUIFA-CAJÚA\Cajua\[CAJUA_CF_SEC_New_27-Feb-2024Rev3.xlsx]D-PNP'!$DT$42</t>
  </si>
  <si>
    <t>='C:\Users\jaime.benazar\Quorum Business Solutions\Ecopetrol Prometeo - Documents\Planning Space Implementation\3. Analysis &amp; Design\Design\FC22\DRR Jaime\QUIFA-CAJÚA\Cajua\[CAJUA_CF_SEC_New_27-Feb-2024Rev3.xlsx]D-PNP'!$DT$43</t>
  </si>
  <si>
    <t>='C:\Users\jaime.benazar\Quorum Business Solutions\Ecopetrol Prometeo - Documents\Planning Space Implementation\3. Analysis &amp; Design\Design\FC22\DRR Jaime\QUIFA-CAJÚA\Cajua\[CAJUA_CF_SEC_New_27-Feb-2024Rev3.xlsx]D-PNP'!$DT$44</t>
  </si>
  <si>
    <t>='C:\Users\jaime.benazar\Quorum Business Solutions\Ecopetrol Prometeo - Documents\Planning Space Implementation\3. Analysis &amp; Design\Design\FC22\DRR Jaime\QUIFA-CAJÚA\Cajua\[CAJUA_CF_SEC_New_27-Feb-2024Rev3.xlsx]D-PNP'!$DT$45</t>
  </si>
  <si>
    <t>='C:\Users\jaime.benazar\Quorum Business Solutions\Ecopetrol Prometeo - Documents\Planning Space Implementation\3. Analysis &amp; Design\Design\FC22\DRR Jaime\QUIFA-CAJÚA\Cajua\[CAJUA_CF_SEC_New_27-Feb-2024Rev3.xlsx]D-PNP'!$DT$46</t>
  </si>
  <si>
    <t>='C:\Users\jaime.benazar\Quorum Business Solutions\Ecopetrol Prometeo - Documents\Planning Space Implementation\3. Analysis &amp; Design\Design\FC22\DRR Jaime\QUIFA-CAJÚA\Cajua\[CAJUA_CF_SEC_New_27-Feb-2024Rev3.xlsx]D-PNP'!$DT$47</t>
  </si>
  <si>
    <t>='C:\Users\jaime.benazar\Quorum Business Solutions\Ecopetrol Prometeo - Documents\Planning Space Implementation\3. Analysis &amp; Design\Design\FC22\DRR Jaime\QUIFA-CAJÚA\Cajua\[CAJUA_CF_SEC_New_27-Feb-2024Rev3.xlsx]D-PNP'!$DT$48</t>
  </si>
  <si>
    <t>='C:\Users\jaime.benazar\Quorum Business Solutions\Ecopetrol Prometeo - Documents\Planning Space Implementation\3. Analysis &amp; Design\Design\FC22\DRR Jaime\QUIFA-CAJÚA\Cajua\[CAJUA_CF_SEC_New_27-Feb-2024Rev3.xlsx]D-PND'!$DT$12</t>
  </si>
  <si>
    <t>='C:\Users\jaime.benazar\Quorum Business Solutions\Ecopetrol Prometeo - Documents\Planning Space Implementation\3. Analysis &amp; Design\Design\FC22\DRR Jaime\QUIFA-CAJÚA\Cajua\[CAJUA_CF_SEC_New_27-Feb-2024Rev3.xlsx]D-PND'!$DT$13</t>
  </si>
  <si>
    <t>='C:\Users\jaime.benazar\Quorum Business Solutions\Ecopetrol Prometeo - Documents\Planning Space Implementation\3. Analysis &amp; Design\Design\FC22\DRR Jaime\QUIFA-CAJÚA\Cajua\[CAJUA_CF_SEC_New_27-Feb-2024Rev3.xlsx]D-PND'!$DT$14</t>
  </si>
  <si>
    <t>='C:\Users\jaime.benazar\Quorum Business Solutions\Ecopetrol Prometeo - Documents\Planning Space Implementation\3. Analysis &amp; Design\Design\FC22\DRR Jaime\QUIFA-CAJÚA\Cajua\[CAJUA_CF_SEC_New_27-Feb-2024Rev3.xlsx]D-PND'!$DT$15</t>
  </si>
  <si>
    <t>='C:\Users\jaime.benazar\Quorum Business Solutions\Ecopetrol Prometeo - Documents\Planning Space Implementation\3. Analysis &amp; Design\Design\FC22\DRR Jaime\QUIFA-CAJÚA\Cajua\[CAJUA_CF_SEC_New_27-Feb-2024Rev3.xlsx]D-PND'!$DT$16</t>
  </si>
  <si>
    <t>='C:\Users\jaime.benazar\Quorum Business Solutions\Ecopetrol Prometeo - Documents\Planning Space Implementation\3. Analysis &amp; Design\Design\FC22\DRR Jaime\QUIFA-CAJÚA\Cajua\[CAJUA_CF_SEC_New_27-Feb-2024Rev3.xlsx]D-PND'!$DT$17</t>
  </si>
  <si>
    <t>='C:\Users\jaime.benazar\Quorum Business Solutions\Ecopetrol Prometeo - Documents\Planning Space Implementation\3. Analysis &amp; Design\Design\FC22\DRR Jaime\QUIFA-CAJÚA\Cajua\[CAJUA_CF_SEC_New_27-Feb-2024Rev3.xlsx]D-PND'!$DT$18</t>
  </si>
  <si>
    <t>='C:\Users\jaime.benazar\Quorum Business Solutions\Ecopetrol Prometeo - Documents\Planning Space Implementation\3. Analysis &amp; Design\Design\FC22\DRR Jaime\QUIFA-CAJÚA\Cajua\[CAJUA_CF_SEC_New_27-Feb-2024Rev3.xlsx]D-PND'!$DT$19</t>
  </si>
  <si>
    <t>='C:\Users\jaime.benazar\Quorum Business Solutions\Ecopetrol Prometeo - Documents\Planning Space Implementation\3. Analysis &amp; Design\Design\FC22\DRR Jaime\QUIFA-CAJÚA\Cajua\[CAJUA_CF_SEC_New_27-Feb-2024Rev3.xlsx]D-PND'!$DT$20</t>
  </si>
  <si>
    <t>='C:\Users\jaime.benazar\Quorum Business Solutions\Ecopetrol Prometeo - Documents\Planning Space Implementation\3. Analysis &amp; Design\Design\FC22\DRR Jaime\QUIFA-CAJÚA\Cajua\[CAJUA_CF_SEC_New_27-Feb-2024Rev3.xlsx]D-PND'!$DT$21</t>
  </si>
  <si>
    <t>='C:\Users\jaime.benazar\Quorum Business Solutions\Ecopetrol Prometeo - Documents\Planning Space Implementation\3. Analysis &amp; Design\Design\FC22\DRR Jaime\QUIFA-CAJÚA\Cajua\[CAJUA_CF_SEC_New_27-Feb-2024Rev3.xlsx]D-PND'!$DT$22</t>
  </si>
  <si>
    <t>='C:\Users\jaime.benazar\Quorum Business Solutions\Ecopetrol Prometeo - Documents\Planning Space Implementation\3. Analysis &amp; Design\Design\FC22\DRR Jaime\QUIFA-CAJÚA\Cajua\[CAJUA_CF_SEC_New_27-Feb-2024Rev3.xlsx]D-PND'!$DT$23</t>
  </si>
  <si>
    <t>='C:\Users\jaime.benazar\Quorum Business Solutions\Ecopetrol Prometeo - Documents\Planning Space Implementation\3. Analysis &amp; Design\Design\FC22\DRR Jaime\QUIFA-CAJÚA\Cajua\[CAJUA_CF_SEC_New_27-Feb-2024Rev3.xlsx]D-PND'!$DT$24</t>
  </si>
  <si>
    <t>='C:\Users\jaime.benazar\Quorum Business Solutions\Ecopetrol Prometeo - Documents\Planning Space Implementation\3. Analysis &amp; Design\Design\FC22\DRR Jaime\QUIFA-CAJÚA\Cajua\[CAJUA_CF_SEC_New_27-Feb-2024Rev3.xlsx]D-PND'!$DT$25</t>
  </si>
  <si>
    <t>='C:\Users\jaime.benazar\Quorum Business Solutions\Ecopetrol Prometeo - Documents\Planning Space Implementation\3. Analysis &amp; Design\Design\FC22\DRR Jaime\QUIFA-CAJÚA\Cajua\[CAJUA_CF_SEC_New_27-Feb-2024Rev3.xlsx]D-PND'!$DT$26</t>
  </si>
  <si>
    <t>='C:\Users\jaime.benazar\Quorum Business Solutions\Ecopetrol Prometeo - Documents\Planning Space Implementation\3. Analysis &amp; Design\Design\FC22\DRR Jaime\QUIFA-CAJÚA\Cajua\[CAJUA_CF_SEC_New_27-Feb-2024Rev3.xlsx]D-PND'!$DT$27</t>
  </si>
  <si>
    <t>='C:\Users\jaime.benazar\Quorum Business Solutions\Ecopetrol Prometeo - Documents\Planning Space Implementation\3. Analysis &amp; Design\Design\FC22\DRR Jaime\QUIFA-CAJÚA\Cajua\[CAJUA_CF_SEC_New_27-Feb-2024Rev3.xlsx]D-PND'!$DT$28</t>
  </si>
  <si>
    <t>='C:\Users\jaime.benazar\Quorum Business Solutions\Ecopetrol Prometeo - Documents\Planning Space Implementation\3. Analysis &amp; Design\Design\FC22\DRR Jaime\QUIFA-CAJÚA\Cajua\[CAJUA_CF_SEC_New_27-Feb-2024Rev3.xlsx]D-PND'!$DT$29</t>
  </si>
  <si>
    <t>='C:\Users\jaime.benazar\Quorum Business Solutions\Ecopetrol Prometeo - Documents\Planning Space Implementation\3. Analysis &amp; Design\Design\FC22\DRR Jaime\QUIFA-CAJÚA\Cajua\[CAJUA_CF_SEC_New_27-Feb-2024Rev3.xlsx]D-PND'!$DT$30</t>
  </si>
  <si>
    <t>='C:\Users\jaime.benazar\Quorum Business Solutions\Ecopetrol Prometeo - Documents\Planning Space Implementation\3. Analysis &amp; Design\Design\FC22\DRR Jaime\QUIFA-CAJÚA\Cajua\[CAJUA_CF_SEC_New_27-Feb-2024Rev3.xlsx]D-PND'!$DT$31</t>
  </si>
  <si>
    <t>='C:\Users\jaime.benazar\Quorum Business Solutions\Ecopetrol Prometeo - Documents\Planning Space Implementation\3. Analysis &amp; Design\Design\FC22\DRR Jaime\QUIFA-CAJÚA\Cajua\[CAJUA_CF_SEC_New_27-Feb-2024Rev3.xlsx]D-PND'!$DT$32</t>
  </si>
  <si>
    <t>='C:\Users\jaime.benazar\Quorum Business Solutions\Ecopetrol Prometeo - Documents\Planning Space Implementation\3. Analysis &amp; Design\Design\FC22\DRR Jaime\QUIFA-CAJÚA\Cajua\[CAJUA_CF_SEC_New_27-Feb-2024Rev3.xlsx]D-PND'!$DT$33</t>
  </si>
  <si>
    <t>='C:\Users\jaime.benazar\Quorum Business Solutions\Ecopetrol Prometeo - Documents\Planning Space Implementation\3. Analysis &amp; Design\Design\FC22\DRR Jaime\QUIFA-CAJÚA\Cajua\[CAJUA_CF_SEC_New_27-Feb-2024Rev3.xlsx]D-PND'!$DT$34</t>
  </si>
  <si>
    <t>='C:\Users\jaime.benazar\Quorum Business Solutions\Ecopetrol Prometeo - Documents\Planning Space Implementation\3. Analysis &amp; Design\Design\FC22\DRR Jaime\QUIFA-CAJÚA\Cajua\[CAJUA_CF_SEC_New_27-Feb-2024Rev3.xlsx]D-PND'!$DT$35</t>
  </si>
  <si>
    <t>='C:\Users\jaime.benazar\Quorum Business Solutions\Ecopetrol Prometeo - Documents\Planning Space Implementation\3. Analysis &amp; Design\Design\FC22\DRR Jaime\QUIFA-CAJÚA\Cajua\[CAJUA_CF_SEC_New_27-Feb-2024Rev3.xlsx]D-PND'!$DT$36</t>
  </si>
  <si>
    <t>='C:\Users\jaime.benazar\Quorum Business Solutions\Ecopetrol Prometeo - Documents\Planning Space Implementation\3. Analysis &amp; Design\Design\FC22\DRR Jaime\QUIFA-CAJÚA\Cajua\[CAJUA_CF_SEC_New_27-Feb-2024Rev3.xlsx]D-PND'!$DT$37</t>
  </si>
  <si>
    <t>='C:\Users\jaime.benazar\Quorum Business Solutions\Ecopetrol Prometeo - Documents\Planning Space Implementation\3. Analysis &amp; Design\Design\FC22\DRR Jaime\QUIFA-CAJÚA\Cajua\[CAJUA_CF_SEC_New_27-Feb-2024Rev3.xlsx]D-PND'!$DT$38</t>
  </si>
  <si>
    <t>='C:\Users\jaime.benazar\Quorum Business Solutions\Ecopetrol Prometeo - Documents\Planning Space Implementation\3. Analysis &amp; Design\Design\FC22\DRR Jaime\QUIFA-CAJÚA\Cajua\[CAJUA_CF_SEC_New_27-Feb-2024Rev3.xlsx]D-PND'!$DT$39</t>
  </si>
  <si>
    <t>='C:\Users\jaime.benazar\Quorum Business Solutions\Ecopetrol Prometeo - Documents\Planning Space Implementation\3. Analysis &amp; Design\Design\FC22\DRR Jaime\QUIFA-CAJÚA\Cajua\[CAJUA_CF_SEC_New_27-Feb-2024Rev3.xlsx]D-PND'!$DT$40</t>
  </si>
  <si>
    <t>='C:\Users\jaime.benazar\Quorum Business Solutions\Ecopetrol Prometeo - Documents\Planning Space Implementation\3. Analysis &amp; Design\Design\FC22\DRR Jaime\QUIFA-CAJÚA\Cajua\[CAJUA_CF_SEC_New_27-Feb-2024Rev3.xlsx]D-PND'!$DT$41</t>
  </si>
  <si>
    <t>='C:\Users\jaime.benazar\Quorum Business Solutions\Ecopetrol Prometeo - Documents\Planning Space Implementation\3. Analysis &amp; Design\Design\FC22\DRR Jaime\QUIFA-CAJÚA\Cajua\[CAJUA_CF_SEC_New_27-Feb-2024Rev3.xlsx]D-PND'!$DT$42</t>
  </si>
  <si>
    <t>='C:\Users\jaime.benazar\Quorum Business Solutions\Ecopetrol Prometeo - Documents\Planning Space Implementation\3. Analysis &amp; Design\Design\FC22\DRR Jaime\QUIFA-CAJÚA\Cajua\[CAJUA_CF_SEC_New_27-Feb-2024Rev3.xlsx]D-PND'!$DT$43</t>
  </si>
  <si>
    <t>='C:\Users\jaime.benazar\Quorum Business Solutions\Ecopetrol Prometeo - Documents\Planning Space Implementation\3. Analysis &amp; Design\Design\FC22\DRR Jaime\QUIFA-CAJÚA\Cajua\[CAJUA_CF_SEC_New_27-Feb-2024Rev3.xlsx]D-PND'!$DT$44</t>
  </si>
  <si>
    <t>='C:\Users\jaime.benazar\Quorum Business Solutions\Ecopetrol Prometeo - Documents\Planning Space Implementation\3. Analysis &amp; Design\Design\FC22\DRR Jaime\QUIFA-CAJÚA\Cajua\[CAJUA_CF_SEC_New_27-Feb-2024Rev3.xlsx]D-PND'!$DT$45</t>
  </si>
  <si>
    <t>='C:\Users\jaime.benazar\Quorum Business Solutions\Ecopetrol Prometeo - Documents\Planning Space Implementation\3. Analysis &amp; Design\Design\FC22\DRR Jaime\QUIFA-CAJÚA\Cajua\[CAJUA_CF_SEC_New_27-Feb-2024Rev3.xlsx]D-PND'!$DT$46</t>
  </si>
  <si>
    <t>='C:\Users\jaime.benazar\Quorum Business Solutions\Ecopetrol Prometeo - Documents\Planning Space Implementation\3. Analysis &amp; Design\Design\FC22\DRR Jaime\QUIFA-CAJÚA\Cajua\[CAJUA_CF_SEC_New_27-Feb-2024Rev3.xlsx]D-PND'!$DT$47</t>
  </si>
  <si>
    <t>='C:\Users\jaime.benazar\Quorum Business Solutions\Ecopetrol Prometeo - Documents\Planning Space Implementation\3. Analysis &amp; Design\Design\FC22\DRR Jaime\QUIFA-CAJÚA\Cajua\[CAJUA_CF_SEC_New_27-Feb-2024Rev3.xlsx]D-PND'!$DT$48</t>
  </si>
  <si>
    <t>='C:\Users\jaime.benazar\Quorum Business Solutions\Ecopetrol Prometeo - Documents\Planning Space Implementation\3. Analysis &amp; Design\Design\FC22\DRR Jaime\QUIFA-CAJÚA\Cajua\[CAJUA_CF_SEC_New_27-Feb-2024Rev3.xlsx]D-PRB'!$DT$12</t>
  </si>
  <si>
    <t>='C:\Users\jaime.benazar\Quorum Business Solutions\Ecopetrol Prometeo - Documents\Planning Space Implementation\3. Analysis &amp; Design\Design\FC22\DRR Jaime\QUIFA-CAJÚA\Cajua\[CAJUA_CF_SEC_New_27-Feb-2024Rev3.xlsx]D-PRB'!$DT$13</t>
  </si>
  <si>
    <t>='C:\Users\jaime.benazar\Quorum Business Solutions\Ecopetrol Prometeo - Documents\Planning Space Implementation\3. Analysis &amp; Design\Design\FC22\DRR Jaime\QUIFA-CAJÚA\Cajua\[CAJUA_CF_SEC_New_27-Feb-2024Rev3.xlsx]D-PRB'!$DT$14</t>
  </si>
  <si>
    <t>='C:\Users\jaime.benazar\Quorum Business Solutions\Ecopetrol Prometeo - Documents\Planning Space Implementation\3. Analysis &amp; Design\Design\FC22\DRR Jaime\QUIFA-CAJÚA\Cajua\[CAJUA_CF_SEC_New_27-Feb-2024Rev3.xlsx]D-PRB'!$DT$15</t>
  </si>
  <si>
    <t>='C:\Users\jaime.benazar\Quorum Business Solutions\Ecopetrol Prometeo - Documents\Planning Space Implementation\3. Analysis &amp; Design\Design\FC22\DRR Jaime\QUIFA-CAJÚA\Cajua\[CAJUA_CF_SEC_New_27-Feb-2024Rev3.xlsx]D-PRB'!$DT$16</t>
  </si>
  <si>
    <t>='C:\Users\jaime.benazar\Quorum Business Solutions\Ecopetrol Prometeo - Documents\Planning Space Implementation\3. Analysis &amp; Design\Design\FC22\DRR Jaime\QUIFA-CAJÚA\Cajua\[CAJUA_CF_SEC_New_27-Feb-2024Rev3.xlsx]D-PRB'!$DT$17</t>
  </si>
  <si>
    <t>='C:\Users\jaime.benazar\Quorum Business Solutions\Ecopetrol Prometeo - Documents\Planning Space Implementation\3. Analysis &amp; Design\Design\FC22\DRR Jaime\QUIFA-CAJÚA\Cajua\[CAJUA_CF_SEC_New_27-Feb-2024Rev3.xlsx]D-PRB'!$DT$18</t>
  </si>
  <si>
    <t>='C:\Users\jaime.benazar\Quorum Business Solutions\Ecopetrol Prometeo - Documents\Planning Space Implementation\3. Analysis &amp; Design\Design\FC22\DRR Jaime\QUIFA-CAJÚA\Cajua\[CAJUA_CF_SEC_New_27-Feb-2024Rev3.xlsx]D-PRB'!$DT$19</t>
  </si>
  <si>
    <t>='C:\Users\jaime.benazar\Quorum Business Solutions\Ecopetrol Prometeo - Documents\Planning Space Implementation\3. Analysis &amp; Design\Design\FC22\DRR Jaime\QUIFA-CAJÚA\Cajua\[CAJUA_CF_SEC_New_27-Feb-2024Rev3.xlsx]D-PRB'!$DT$20</t>
  </si>
  <si>
    <t>='C:\Users\jaime.benazar\Quorum Business Solutions\Ecopetrol Prometeo - Documents\Planning Space Implementation\3. Analysis &amp; Design\Design\FC22\DRR Jaime\QUIFA-CAJÚA\Cajua\[CAJUA_CF_SEC_New_27-Feb-2024Rev3.xlsx]D-PRB'!$DT$21</t>
  </si>
  <si>
    <t>='C:\Users\jaime.benazar\Quorum Business Solutions\Ecopetrol Prometeo - Documents\Planning Space Implementation\3. Analysis &amp; Design\Design\FC22\DRR Jaime\QUIFA-CAJÚA\Cajua\[CAJUA_CF_SEC_New_27-Feb-2024Rev3.xlsx]D-PRB'!$DT$22</t>
  </si>
  <si>
    <t>='C:\Users\jaime.benazar\Quorum Business Solutions\Ecopetrol Prometeo - Documents\Planning Space Implementation\3. Analysis &amp; Design\Design\FC22\DRR Jaime\QUIFA-CAJÚA\Cajua\[CAJUA_CF_SEC_New_27-Feb-2024Rev3.xlsx]D-PRB'!$DT$23</t>
  </si>
  <si>
    <t>='C:\Users\jaime.benazar\Quorum Business Solutions\Ecopetrol Prometeo - Documents\Planning Space Implementation\3. Analysis &amp; Design\Design\FC22\DRR Jaime\QUIFA-CAJÚA\Cajua\[CAJUA_CF_SEC_New_27-Feb-2024Rev3.xlsx]D-PRB'!$DT$24</t>
  </si>
  <si>
    <t>='C:\Users\jaime.benazar\Quorum Business Solutions\Ecopetrol Prometeo - Documents\Planning Space Implementation\3. Analysis &amp; Design\Design\FC22\DRR Jaime\QUIFA-CAJÚA\Cajua\[CAJUA_CF_SEC_New_27-Feb-2024Rev3.xlsx]D-PRB'!$DT$25</t>
  </si>
  <si>
    <t>='C:\Users\jaime.benazar\Quorum Business Solutions\Ecopetrol Prometeo - Documents\Planning Space Implementation\3. Analysis &amp; Design\Design\FC22\DRR Jaime\QUIFA-CAJÚA\Cajua\[CAJUA_CF_SEC_New_27-Feb-2024Rev3.xlsx]D-PRB'!$DT$26</t>
  </si>
  <si>
    <t>='C:\Users\jaime.benazar\Quorum Business Solutions\Ecopetrol Prometeo - Documents\Planning Space Implementation\3. Analysis &amp; Design\Design\FC22\DRR Jaime\QUIFA-CAJÚA\Cajua\[CAJUA_CF_SEC_New_27-Feb-2024Rev3.xlsx]D-PRB'!$DT$27</t>
  </si>
  <si>
    <t>='C:\Users\jaime.benazar\Quorum Business Solutions\Ecopetrol Prometeo - Documents\Planning Space Implementation\3. Analysis &amp; Design\Design\FC22\DRR Jaime\QUIFA-CAJÚA\Cajua\[CAJUA_CF_SEC_New_27-Feb-2024Rev3.xlsx]D-PRB'!$DT$28</t>
  </si>
  <si>
    <t>='C:\Users\jaime.benazar\Quorum Business Solutions\Ecopetrol Prometeo - Documents\Planning Space Implementation\3. Analysis &amp; Design\Design\FC22\DRR Jaime\QUIFA-CAJÚA\Cajua\[CAJUA_CF_SEC_New_27-Feb-2024Rev3.xlsx]D-PRB'!$DT$29</t>
  </si>
  <si>
    <t>='C:\Users\jaime.benazar\Quorum Business Solutions\Ecopetrol Prometeo - Documents\Planning Space Implementation\3. Analysis &amp; Design\Design\FC22\DRR Jaime\QUIFA-CAJÚA\Cajua\[CAJUA_CF_SEC_New_27-Feb-2024Rev3.xlsx]D-PRB'!$DT$30</t>
  </si>
  <si>
    <t>='C:\Users\jaime.benazar\Quorum Business Solutions\Ecopetrol Prometeo - Documents\Planning Space Implementation\3. Analysis &amp; Design\Design\FC22\DRR Jaime\QUIFA-CAJÚA\Cajua\[CAJUA_CF_SEC_New_27-Feb-2024Rev3.xlsx]D-PRB'!$DT$31</t>
  </si>
  <si>
    <t>='C:\Users\jaime.benazar\Quorum Business Solutions\Ecopetrol Prometeo - Documents\Planning Space Implementation\3. Analysis &amp; Design\Design\FC22\DRR Jaime\QUIFA-CAJÚA\Cajua\[CAJUA_CF_SEC_New_27-Feb-2024Rev3.xlsx]D-PRB'!$DT$32</t>
  </si>
  <si>
    <t>='C:\Users\jaime.benazar\Quorum Business Solutions\Ecopetrol Prometeo - Documents\Planning Space Implementation\3. Analysis &amp; Design\Design\FC22\DRR Jaime\QUIFA-CAJÚA\Cajua\[CAJUA_CF_SEC_New_27-Feb-2024Rev3.xlsx]D-PRB'!$DT$33</t>
  </si>
  <si>
    <t>='C:\Users\jaime.benazar\Quorum Business Solutions\Ecopetrol Prometeo - Documents\Planning Space Implementation\3. Analysis &amp; Design\Design\FC22\DRR Jaime\QUIFA-CAJÚA\Cajua\[CAJUA_CF_SEC_New_27-Feb-2024Rev3.xlsx]D-PRB'!$DT$34</t>
  </si>
  <si>
    <t>='C:\Users\jaime.benazar\Quorum Business Solutions\Ecopetrol Prometeo - Documents\Planning Space Implementation\3. Analysis &amp; Design\Design\FC22\DRR Jaime\QUIFA-CAJÚA\Cajua\[CAJUA_CF_SEC_New_27-Feb-2024Rev3.xlsx]D-PRB'!$DT$35</t>
  </si>
  <si>
    <t>='C:\Users\jaime.benazar\Quorum Business Solutions\Ecopetrol Prometeo - Documents\Planning Space Implementation\3. Analysis &amp; Design\Design\FC22\DRR Jaime\QUIFA-CAJÚA\Cajua\[CAJUA_CF_SEC_New_27-Feb-2024Rev3.xlsx]D-PRB'!$DT$36</t>
  </si>
  <si>
    <t>='C:\Users\jaime.benazar\Quorum Business Solutions\Ecopetrol Prometeo - Documents\Planning Space Implementation\3. Analysis &amp; Design\Design\FC22\DRR Jaime\QUIFA-CAJÚA\Cajua\[CAJUA_CF_SEC_New_27-Feb-2024Rev3.xlsx]D-PRB'!$DT$37</t>
  </si>
  <si>
    <t>='C:\Users\jaime.benazar\Quorum Business Solutions\Ecopetrol Prometeo - Documents\Planning Space Implementation\3. Analysis &amp; Design\Design\FC22\DRR Jaime\QUIFA-CAJÚA\Cajua\[CAJUA_CF_SEC_New_27-Feb-2024Rev3.xlsx]D-PRB'!$DT$38</t>
  </si>
  <si>
    <t>='C:\Users\jaime.benazar\Quorum Business Solutions\Ecopetrol Prometeo - Documents\Planning Space Implementation\3. Analysis &amp; Design\Design\FC22\DRR Jaime\QUIFA-CAJÚA\Cajua\[CAJUA_CF_SEC_New_27-Feb-2024Rev3.xlsx]D-PRB'!$DT$39</t>
  </si>
  <si>
    <t>='C:\Users\jaime.benazar\Quorum Business Solutions\Ecopetrol Prometeo - Documents\Planning Space Implementation\3. Analysis &amp; Design\Design\FC22\DRR Jaime\QUIFA-CAJÚA\Cajua\[CAJUA_CF_SEC_New_27-Feb-2024Rev3.xlsx]D-PRB'!$DT$40</t>
  </si>
  <si>
    <t>='C:\Users\jaime.benazar\Quorum Business Solutions\Ecopetrol Prometeo - Documents\Planning Space Implementation\3. Analysis &amp; Design\Design\FC22\DRR Jaime\QUIFA-CAJÚA\Cajua\[CAJUA_CF_SEC_New_27-Feb-2024Rev3.xlsx]D-PRB'!$DT$41</t>
  </si>
  <si>
    <t>='C:\Users\jaime.benazar\Quorum Business Solutions\Ecopetrol Prometeo - Documents\Planning Space Implementation\3. Analysis &amp; Design\Design\FC22\DRR Jaime\QUIFA-CAJÚA\Cajua\[CAJUA_CF_SEC_New_27-Feb-2024Rev3.xlsx]D-PRB'!$DT$42</t>
  </si>
  <si>
    <t>='C:\Users\jaime.benazar\Quorum Business Solutions\Ecopetrol Prometeo - Documents\Planning Space Implementation\3. Analysis &amp; Design\Design\FC22\DRR Jaime\QUIFA-CAJÚA\Cajua\[CAJUA_CF_SEC_New_27-Feb-2024Rev3.xlsx]D-PRB'!$DT$43</t>
  </si>
  <si>
    <t>='C:\Users\jaime.benazar\Quorum Business Solutions\Ecopetrol Prometeo - Documents\Planning Space Implementation\3. Analysis &amp; Design\Design\FC22\DRR Jaime\QUIFA-CAJÚA\Cajua\[CAJUA_CF_SEC_New_27-Feb-2024Rev3.xlsx]D-PRB'!$DT$44</t>
  </si>
  <si>
    <t>='C:\Users\jaime.benazar\Quorum Business Solutions\Ecopetrol Prometeo - Documents\Planning Space Implementation\3. Analysis &amp; Design\Design\FC22\DRR Jaime\QUIFA-CAJÚA\Cajua\[CAJUA_CF_SEC_New_27-Feb-2024Rev3.xlsx]D-PRB'!$DT$45</t>
  </si>
  <si>
    <t>='C:\Users\jaime.benazar\Quorum Business Solutions\Ecopetrol Prometeo - Documents\Planning Space Implementation\3. Analysis &amp; Design\Design\FC22\DRR Jaime\QUIFA-CAJÚA\Cajua\[CAJUA_CF_SEC_New_27-Feb-2024Rev3.xlsx]D-PRB'!$DT$46</t>
  </si>
  <si>
    <t>='C:\Users\jaime.benazar\Quorum Business Solutions\Ecopetrol Prometeo - Documents\Planning Space Implementation\3. Analysis &amp; Design\Design\FC22\DRR Jaime\QUIFA-CAJÚA\Cajua\[CAJUA_CF_SEC_New_27-Feb-2024Rev3.xlsx]D-PRB'!$DT$47</t>
  </si>
  <si>
    <t>='C:\Users\jaime.benazar\Quorum Business Solutions\Ecopetrol Prometeo - Documents\Planning Space Implementation\3. Analysis &amp; Design\Design\FC22\DRR Jaime\QUIFA-CAJÚA\Cajua\[CAJUA_CF_SEC_New_27-Feb-2024Rev3.xlsx]D-PRB'!$DT$48</t>
  </si>
  <si>
    <t>='C:\Users\jaime.benazar\Quorum Business Solutions\Ecopetrol Prometeo - Documents\Planning Space Implementation\3. Analysis &amp; Design\Design\FC22\DRR Jaime\QUIFA-CAJÚA\Cajua\[CAJUA_CF_SEC_New_27-Feb-2024Rev3.xlsx]D-PS'!$DT$12</t>
  </si>
  <si>
    <t>='C:\Users\jaime.benazar\Quorum Business Solutions\Ecopetrol Prometeo - Documents\Planning Space Implementation\3. Analysis &amp; Design\Design\FC22\DRR Jaime\QUIFA-CAJÚA\Cajua\[CAJUA_CF_SEC_New_27-Feb-2024Rev3.xlsx]D-PS'!$DT$13</t>
  </si>
  <si>
    <t>='C:\Users\jaime.benazar\Quorum Business Solutions\Ecopetrol Prometeo - Documents\Planning Space Implementation\3. Analysis &amp; Design\Design\FC22\DRR Jaime\QUIFA-CAJÚA\Cajua\[CAJUA_CF_SEC_New_27-Feb-2024Rev3.xlsx]D-PS'!$DT$14</t>
  </si>
  <si>
    <t>='C:\Users\jaime.benazar\Quorum Business Solutions\Ecopetrol Prometeo - Documents\Planning Space Implementation\3. Analysis &amp; Design\Design\FC22\DRR Jaime\QUIFA-CAJÚA\Cajua\[CAJUA_CF_SEC_New_27-Feb-2024Rev3.xlsx]D-PS'!$DT$15</t>
  </si>
  <si>
    <t>='C:\Users\jaime.benazar\Quorum Business Solutions\Ecopetrol Prometeo - Documents\Planning Space Implementation\3. Analysis &amp; Design\Design\FC22\DRR Jaime\QUIFA-CAJÚA\Cajua\[CAJUA_CF_SEC_New_27-Feb-2024Rev3.xlsx]D-PS'!$DT$16</t>
  </si>
  <si>
    <t>='C:\Users\jaime.benazar\Quorum Business Solutions\Ecopetrol Prometeo - Documents\Planning Space Implementation\3. Analysis &amp; Design\Design\FC22\DRR Jaime\QUIFA-CAJÚA\Cajua\[CAJUA_CF_SEC_New_27-Feb-2024Rev3.xlsx]D-PS'!$DT$17</t>
  </si>
  <si>
    <t>='C:\Users\jaime.benazar\Quorum Business Solutions\Ecopetrol Prometeo - Documents\Planning Space Implementation\3. Analysis &amp; Design\Design\FC22\DRR Jaime\QUIFA-CAJÚA\Cajua\[CAJUA_CF_SEC_New_27-Feb-2024Rev3.xlsx]D-PS'!$DT$18</t>
  </si>
  <si>
    <t>='C:\Users\jaime.benazar\Quorum Business Solutions\Ecopetrol Prometeo - Documents\Planning Space Implementation\3. Analysis &amp; Design\Design\FC22\DRR Jaime\QUIFA-CAJÚA\Cajua\[CAJUA_CF_SEC_New_27-Feb-2024Rev3.xlsx]D-PS'!$DT$19</t>
  </si>
  <si>
    <t>='C:\Users\jaime.benazar\Quorum Business Solutions\Ecopetrol Prometeo - Documents\Planning Space Implementation\3. Analysis &amp; Design\Design\FC22\DRR Jaime\QUIFA-CAJÚA\Cajua\[CAJUA_CF_SEC_New_27-Feb-2024Rev3.xlsx]D-PS'!$DT$20</t>
  </si>
  <si>
    <t>='C:\Users\jaime.benazar\Quorum Business Solutions\Ecopetrol Prometeo - Documents\Planning Space Implementation\3. Analysis &amp; Design\Design\FC22\DRR Jaime\QUIFA-CAJÚA\Cajua\[CAJUA_CF_SEC_New_27-Feb-2024Rev3.xlsx]D-PS'!$DT$21</t>
  </si>
  <si>
    <t>='C:\Users\jaime.benazar\Quorum Business Solutions\Ecopetrol Prometeo - Documents\Planning Space Implementation\3. Analysis &amp; Design\Design\FC22\DRR Jaime\QUIFA-CAJÚA\Cajua\[CAJUA_CF_SEC_New_27-Feb-2024Rev3.xlsx]D-PS'!$DT$22</t>
  </si>
  <si>
    <t>='C:\Users\jaime.benazar\Quorum Business Solutions\Ecopetrol Prometeo - Documents\Planning Space Implementation\3. Analysis &amp; Design\Design\FC22\DRR Jaime\QUIFA-CAJÚA\Cajua\[CAJUA_CF_SEC_New_27-Feb-2024Rev3.xlsx]D-PS'!$DT$23</t>
  </si>
  <si>
    <t>='C:\Users\jaime.benazar\Quorum Business Solutions\Ecopetrol Prometeo - Documents\Planning Space Implementation\3. Analysis &amp; Design\Design\FC22\DRR Jaime\QUIFA-CAJÚA\Cajua\[CAJUA_CF_SEC_New_27-Feb-2024Rev3.xlsx]D-PS'!$DT$24</t>
  </si>
  <si>
    <t>='C:\Users\jaime.benazar\Quorum Business Solutions\Ecopetrol Prometeo - Documents\Planning Space Implementation\3. Analysis &amp; Design\Design\FC22\DRR Jaime\QUIFA-CAJÚA\Cajua\[CAJUA_CF_SEC_New_27-Feb-2024Rev3.xlsx]D-PS'!$DT$25</t>
  </si>
  <si>
    <t>='C:\Users\jaime.benazar\Quorum Business Solutions\Ecopetrol Prometeo - Documents\Planning Space Implementation\3. Analysis &amp; Design\Design\FC22\DRR Jaime\QUIFA-CAJÚA\Cajua\[CAJUA_CF_SEC_New_27-Feb-2024Rev3.xlsx]D-PS'!$DT$26</t>
  </si>
  <si>
    <t>='C:\Users\jaime.benazar\Quorum Business Solutions\Ecopetrol Prometeo - Documents\Planning Space Implementation\3. Analysis &amp; Design\Design\FC22\DRR Jaime\QUIFA-CAJÚA\Cajua\[CAJUA_CF_SEC_New_27-Feb-2024Rev3.xlsx]D-PS'!$DT$27</t>
  </si>
  <si>
    <t>='C:\Users\jaime.benazar\Quorum Business Solutions\Ecopetrol Prometeo - Documents\Planning Space Implementation\3. Analysis &amp; Design\Design\FC22\DRR Jaime\QUIFA-CAJÚA\Cajua\[CAJUA_CF_SEC_New_27-Feb-2024Rev3.xlsx]D-PS'!$DT$28</t>
  </si>
  <si>
    <t>='C:\Users\jaime.benazar\Quorum Business Solutions\Ecopetrol Prometeo - Documents\Planning Space Implementation\3. Analysis &amp; Design\Design\FC22\DRR Jaime\QUIFA-CAJÚA\Cajua\[CAJUA_CF_SEC_New_27-Feb-2024Rev3.xlsx]D-PS'!$DT$29</t>
  </si>
  <si>
    <t>='C:\Users\jaime.benazar\Quorum Business Solutions\Ecopetrol Prometeo - Documents\Planning Space Implementation\3. Analysis &amp; Design\Design\FC22\DRR Jaime\QUIFA-CAJÚA\Cajua\[CAJUA_CF_SEC_New_27-Feb-2024Rev3.xlsx]D-PS'!$DT$30</t>
  </si>
  <si>
    <t>='C:\Users\jaime.benazar\Quorum Business Solutions\Ecopetrol Prometeo - Documents\Planning Space Implementation\3. Analysis &amp; Design\Design\FC22\DRR Jaime\QUIFA-CAJÚA\Cajua\[CAJUA_CF_SEC_New_27-Feb-2024Rev3.xlsx]D-PS'!$DT$31</t>
  </si>
  <si>
    <t>='C:\Users\jaime.benazar\Quorum Business Solutions\Ecopetrol Prometeo - Documents\Planning Space Implementation\3. Analysis &amp; Design\Design\FC22\DRR Jaime\QUIFA-CAJÚA\Cajua\[CAJUA_CF_SEC_New_27-Feb-2024Rev3.xlsx]D-PS'!$DT$32</t>
  </si>
  <si>
    <t>='C:\Users\jaime.benazar\Quorum Business Solutions\Ecopetrol Prometeo - Documents\Planning Space Implementation\3. Analysis &amp; Design\Design\FC22\DRR Jaime\QUIFA-CAJÚA\Cajua\[CAJUA_CF_SEC_New_27-Feb-2024Rev3.xlsx]D-PS'!$DT$33</t>
  </si>
  <si>
    <t>='C:\Users\jaime.benazar\Quorum Business Solutions\Ecopetrol Prometeo - Documents\Planning Space Implementation\3. Analysis &amp; Design\Design\FC22\DRR Jaime\QUIFA-CAJÚA\Cajua\[CAJUA_CF_SEC_New_27-Feb-2024Rev3.xlsx]D-PS'!$DT$34</t>
  </si>
  <si>
    <t>='C:\Users\jaime.benazar\Quorum Business Solutions\Ecopetrol Prometeo - Documents\Planning Space Implementation\3. Analysis &amp; Design\Design\FC22\DRR Jaime\QUIFA-CAJÚA\Cajua\[CAJUA_CF_SEC_New_27-Feb-2024Rev3.xlsx]D-PS'!$DT$35</t>
  </si>
  <si>
    <t>='C:\Users\jaime.benazar\Quorum Business Solutions\Ecopetrol Prometeo - Documents\Planning Space Implementation\3. Analysis &amp; Design\Design\FC22\DRR Jaime\QUIFA-CAJÚA\Cajua\[CAJUA_CF_SEC_New_27-Feb-2024Rev3.xlsx]D-PS'!$DT$36</t>
  </si>
  <si>
    <t>='C:\Users\jaime.benazar\Quorum Business Solutions\Ecopetrol Prometeo - Documents\Planning Space Implementation\3. Analysis &amp; Design\Design\FC22\DRR Jaime\QUIFA-CAJÚA\Cajua\[CAJUA_CF_SEC_New_27-Feb-2024Rev3.xlsx]D-PS'!$DT$37</t>
  </si>
  <si>
    <t>='C:\Users\jaime.benazar\Quorum Business Solutions\Ecopetrol Prometeo - Documents\Planning Space Implementation\3. Analysis &amp; Design\Design\FC22\DRR Jaime\QUIFA-CAJÚA\Cajua\[CAJUA_CF_SEC_New_27-Feb-2024Rev3.xlsx]D-PS'!$DT$38</t>
  </si>
  <si>
    <t>='C:\Users\jaime.benazar\Quorum Business Solutions\Ecopetrol Prometeo - Documents\Planning Space Implementation\3. Analysis &amp; Design\Design\FC22\DRR Jaime\QUIFA-CAJÚA\Cajua\[CAJUA_CF_SEC_New_27-Feb-2024Rev3.xlsx]D-PS'!$DT$39</t>
  </si>
  <si>
    <t>='C:\Users\jaime.benazar\Quorum Business Solutions\Ecopetrol Prometeo - Documents\Planning Space Implementation\3. Analysis &amp; Design\Design\FC22\DRR Jaime\QUIFA-CAJÚA\Cajua\[CAJUA_CF_SEC_New_27-Feb-2024Rev3.xlsx]D-PS'!$DT$40</t>
  </si>
  <si>
    <t>='C:\Users\jaime.benazar\Quorum Business Solutions\Ecopetrol Prometeo - Documents\Planning Space Implementation\3. Analysis &amp; Design\Design\FC22\DRR Jaime\QUIFA-CAJÚA\Cajua\[CAJUA_CF_SEC_New_27-Feb-2024Rev3.xlsx]D-PS'!$DT$41</t>
  </si>
  <si>
    <t>='C:\Users\jaime.benazar\Quorum Business Solutions\Ecopetrol Prometeo - Documents\Planning Space Implementation\3. Analysis &amp; Design\Design\FC22\DRR Jaime\QUIFA-CAJÚA\Cajua\[CAJUA_CF_SEC_New_27-Feb-2024Rev3.xlsx]D-PS'!$DT$42</t>
  </si>
  <si>
    <t>='C:\Users\jaime.benazar\Quorum Business Solutions\Ecopetrol Prometeo - Documents\Planning Space Implementation\3. Analysis &amp; Design\Design\FC22\DRR Jaime\QUIFA-CAJÚA\Cajua\[CAJUA_CF_SEC_New_27-Feb-2024Rev3.xlsx]D-PS'!$DT$43</t>
  </si>
  <si>
    <t>='C:\Users\jaime.benazar\Quorum Business Solutions\Ecopetrol Prometeo - Documents\Planning Space Implementation\3. Analysis &amp; Design\Design\FC22\DRR Jaime\QUIFA-CAJÚA\Cajua\[CAJUA_CF_SEC_New_27-Feb-2024Rev3.xlsx]D-PS'!$DT$44</t>
  </si>
  <si>
    <t>='C:\Users\jaime.benazar\Quorum Business Solutions\Ecopetrol Prometeo - Documents\Planning Space Implementation\3. Analysis &amp; Design\Design\FC22\DRR Jaime\QUIFA-CAJÚA\Cajua\[CAJUA_CF_SEC_New_27-Feb-2024Rev3.xlsx]D-PS'!$DT$45</t>
  </si>
  <si>
    <t>='C:\Users\jaime.benazar\Quorum Business Solutions\Ecopetrol Prometeo - Documents\Planning Space Implementation\3. Analysis &amp; Design\Design\FC22\DRR Jaime\QUIFA-CAJÚA\Cajua\[CAJUA_CF_SEC_New_27-Feb-2024Rev3.xlsx]D-PS'!$DT$46</t>
  </si>
  <si>
    <t>='C:\Users\jaime.benazar\Quorum Business Solutions\Ecopetrol Prometeo - Documents\Planning Space Implementation\3. Analysis &amp; Design\Design\FC22\DRR Jaime\QUIFA-CAJÚA\Cajua\[CAJUA_CF_SEC_New_27-Feb-2024Rev3.xlsx]D-PS'!$DT$47</t>
  </si>
  <si>
    <t>='C:\Users\jaime.benazar\Quorum Business Solutions\Ecopetrol Prometeo - Documents\Planning Space Implementation\3. Analysis &amp; Design\Design\FC22\DRR Jaime\QUIFA-CAJÚA\Cajua\[CAJUA_CF_SEC_New_27-Feb-2024Rev3.xlsx]D-PS'!$DT$48</t>
  </si>
  <si>
    <t>='C:\Users\jaime.benazar\Quorum Business Solutions\Ecopetrol Prometeo - Documents\Planning Space Implementation\3. Analysis &amp; Design\Design\FC22\DRR Jaime\QUIFA-CAJÚA\Cajua\[CAJUA_CF_SEC_New_27-Feb-2024Rev3.xlsx]D-PDP'!$BE$12</t>
  </si>
  <si>
    <t>='C:\Users\jaime.benazar\Quorum Business Solutions\Ecopetrol Prometeo - Documents\Planning Space Implementation\3. Analysis &amp; Design\Design\FC22\DRR Jaime\QUIFA-CAJÚA\Cajua\[CAJUA_CF_SEC_New_27-Feb-2024Rev3.xlsx]D-PDP'!$BE$13</t>
  </si>
  <si>
    <t>='C:\Users\jaime.benazar\Quorum Business Solutions\Ecopetrol Prometeo - Documents\Planning Space Implementation\3. Analysis &amp; Design\Design\FC22\DRR Jaime\QUIFA-CAJÚA\Cajua\[CAJUA_CF_SEC_New_27-Feb-2024Rev3.xlsx]D-PDP'!$BE$14</t>
  </si>
  <si>
    <t>='C:\Users\jaime.benazar\Quorum Business Solutions\Ecopetrol Prometeo - Documents\Planning Space Implementation\3. Analysis &amp; Design\Design\FC22\DRR Jaime\QUIFA-CAJÚA\Cajua\[CAJUA_CF_SEC_New_27-Feb-2024Rev3.xlsx]D-PDP'!$BE$15</t>
  </si>
  <si>
    <t>='C:\Users\jaime.benazar\Quorum Business Solutions\Ecopetrol Prometeo - Documents\Planning Space Implementation\3. Analysis &amp; Design\Design\FC22\DRR Jaime\QUIFA-CAJÚA\Cajua\[CAJUA_CF_SEC_New_27-Feb-2024Rev3.xlsx]D-PDP'!$BE$16</t>
  </si>
  <si>
    <t>='C:\Users\jaime.benazar\Quorum Business Solutions\Ecopetrol Prometeo - Documents\Planning Space Implementation\3. Analysis &amp; Design\Design\FC22\DRR Jaime\QUIFA-CAJÚA\Cajua\[CAJUA_CF_SEC_New_27-Feb-2024Rev3.xlsx]D-PDP'!$BE$17</t>
  </si>
  <si>
    <t>='C:\Users\jaime.benazar\Quorum Business Solutions\Ecopetrol Prometeo - Documents\Planning Space Implementation\3. Analysis &amp; Design\Design\FC22\DRR Jaime\QUIFA-CAJÚA\Cajua\[CAJUA_CF_SEC_New_27-Feb-2024Rev3.xlsx]D-PDP'!$BE$18</t>
  </si>
  <si>
    <t>='C:\Users\jaime.benazar\Quorum Business Solutions\Ecopetrol Prometeo - Documents\Planning Space Implementation\3. Analysis &amp; Design\Design\FC22\DRR Jaime\QUIFA-CAJÚA\Cajua\[CAJUA_CF_SEC_New_27-Feb-2024Rev3.xlsx]D-PDP'!$BE$19</t>
  </si>
  <si>
    <t>='C:\Users\jaime.benazar\Quorum Business Solutions\Ecopetrol Prometeo - Documents\Planning Space Implementation\3. Analysis &amp; Design\Design\FC22\DRR Jaime\QUIFA-CAJÚA\Cajua\[CAJUA_CF_SEC_New_27-Feb-2024Rev3.xlsx]D-PDP'!$BE$20</t>
  </si>
  <si>
    <t>='C:\Users\jaime.benazar\Quorum Business Solutions\Ecopetrol Prometeo - Documents\Planning Space Implementation\3. Analysis &amp; Design\Design\FC22\DRR Jaime\QUIFA-CAJÚA\Cajua\[CAJUA_CF_SEC_New_27-Feb-2024Rev3.xlsx]D-PDP'!$BE$21</t>
  </si>
  <si>
    <t>='C:\Users\jaime.benazar\Quorum Business Solutions\Ecopetrol Prometeo - Documents\Planning Space Implementation\3. Analysis &amp; Design\Design\FC22\DRR Jaime\QUIFA-CAJÚA\Cajua\[CAJUA_CF_SEC_New_27-Feb-2024Rev3.xlsx]D-PDP'!$BE$22</t>
  </si>
  <si>
    <t>='C:\Users\jaime.benazar\Quorum Business Solutions\Ecopetrol Prometeo - Documents\Planning Space Implementation\3. Analysis &amp; Design\Design\FC22\DRR Jaime\QUIFA-CAJÚA\Cajua\[CAJUA_CF_SEC_New_27-Feb-2024Rev3.xlsx]D-PDP'!$BE$23</t>
  </si>
  <si>
    <t>='C:\Users\jaime.benazar\Quorum Business Solutions\Ecopetrol Prometeo - Documents\Planning Space Implementation\3. Analysis &amp; Design\Design\FC22\DRR Jaime\QUIFA-CAJÚA\Cajua\[CAJUA_CF_SEC_New_27-Feb-2024Rev3.xlsx]D-PDP'!$BE$24</t>
  </si>
  <si>
    <t>='C:\Users\jaime.benazar\Quorum Business Solutions\Ecopetrol Prometeo - Documents\Planning Space Implementation\3. Analysis &amp; Design\Design\FC22\DRR Jaime\QUIFA-CAJÚA\Cajua\[CAJUA_CF_SEC_New_27-Feb-2024Rev3.xlsx]D-PDP'!$BE$25</t>
  </si>
  <si>
    <t>='C:\Users\jaime.benazar\Quorum Business Solutions\Ecopetrol Prometeo - Documents\Planning Space Implementation\3. Analysis &amp; Design\Design\FC22\DRR Jaime\QUIFA-CAJÚA\Cajua\[CAJUA_CF_SEC_New_27-Feb-2024Rev3.xlsx]D-PDP'!$BE$26</t>
  </si>
  <si>
    <t>='C:\Users\jaime.benazar\Quorum Business Solutions\Ecopetrol Prometeo - Documents\Planning Space Implementation\3. Analysis &amp; Design\Design\FC22\DRR Jaime\QUIFA-CAJÚA\Cajua\[CAJUA_CF_SEC_New_27-Feb-2024Rev3.xlsx]D-PDP'!$BE$27</t>
  </si>
  <si>
    <t>='C:\Users\jaime.benazar\Quorum Business Solutions\Ecopetrol Prometeo - Documents\Planning Space Implementation\3. Analysis &amp; Design\Design\FC22\DRR Jaime\QUIFA-CAJÚA\Cajua\[CAJUA_CF_SEC_New_27-Feb-2024Rev3.xlsx]D-PDP'!$BE$28</t>
  </si>
  <si>
    <t>='C:\Users\jaime.benazar\Quorum Business Solutions\Ecopetrol Prometeo - Documents\Planning Space Implementation\3. Analysis &amp; Design\Design\FC22\DRR Jaime\QUIFA-CAJÚA\Cajua\[CAJUA_CF_SEC_New_27-Feb-2024Rev3.xlsx]D-PDP'!$BE$29</t>
  </si>
  <si>
    <t>='C:\Users\jaime.benazar\Quorum Business Solutions\Ecopetrol Prometeo - Documents\Planning Space Implementation\3. Analysis &amp; Design\Design\FC22\DRR Jaime\QUIFA-CAJÚA\Cajua\[CAJUA_CF_SEC_New_27-Feb-2024Rev3.xlsx]D-PDP'!$BE$30</t>
  </si>
  <si>
    <t>='C:\Users\jaime.benazar\Quorum Business Solutions\Ecopetrol Prometeo - Documents\Planning Space Implementation\3. Analysis &amp; Design\Design\FC22\DRR Jaime\QUIFA-CAJÚA\Cajua\[CAJUA_CF_SEC_New_27-Feb-2024Rev3.xlsx]D-PDP'!$BE$31</t>
  </si>
  <si>
    <t>='C:\Users\jaime.benazar\Quorum Business Solutions\Ecopetrol Prometeo - Documents\Planning Space Implementation\3. Analysis &amp; Design\Design\FC22\DRR Jaime\QUIFA-CAJÚA\Cajua\[CAJUA_CF_SEC_New_27-Feb-2024Rev3.xlsx]D-PDP'!$BE$32</t>
  </si>
  <si>
    <t>='C:\Users\jaime.benazar\Quorum Business Solutions\Ecopetrol Prometeo - Documents\Planning Space Implementation\3. Analysis &amp; Design\Design\FC22\DRR Jaime\QUIFA-CAJÚA\Cajua\[CAJUA_CF_SEC_New_27-Feb-2024Rev3.xlsx]D-PDP'!$BE$33</t>
  </si>
  <si>
    <t>='C:\Users\jaime.benazar\Quorum Business Solutions\Ecopetrol Prometeo - Documents\Planning Space Implementation\3. Analysis &amp; Design\Design\FC22\DRR Jaime\QUIFA-CAJÚA\Cajua\[CAJUA_CF_SEC_New_27-Feb-2024Rev3.xlsx]D-PDP'!$BE$34</t>
  </si>
  <si>
    <t>='C:\Users\jaime.benazar\Quorum Business Solutions\Ecopetrol Prometeo - Documents\Planning Space Implementation\3. Analysis &amp; Design\Design\FC22\DRR Jaime\QUIFA-CAJÚA\Cajua\[CAJUA_CF_SEC_New_27-Feb-2024Rev3.xlsx]D-PDP'!$BE$35</t>
  </si>
  <si>
    <t>='C:\Users\jaime.benazar\Quorum Business Solutions\Ecopetrol Prometeo - Documents\Planning Space Implementation\3. Analysis &amp; Design\Design\FC22\DRR Jaime\QUIFA-CAJÚA\Cajua\[CAJUA_CF_SEC_New_27-Feb-2024Rev3.xlsx]D-PDP'!$BE$36</t>
  </si>
  <si>
    <t>='C:\Users\jaime.benazar\Quorum Business Solutions\Ecopetrol Prometeo - Documents\Planning Space Implementation\3. Analysis &amp; Design\Design\FC22\DRR Jaime\QUIFA-CAJÚA\Cajua\[CAJUA_CF_SEC_New_27-Feb-2024Rev3.xlsx]D-PDP'!$BE$37</t>
  </si>
  <si>
    <t>='C:\Users\jaime.benazar\Quorum Business Solutions\Ecopetrol Prometeo - Documents\Planning Space Implementation\3. Analysis &amp; Design\Design\FC22\DRR Jaime\QUIFA-CAJÚA\Cajua\[CAJUA_CF_SEC_New_27-Feb-2024Rev3.xlsx]D-PDP'!$BE$38</t>
  </si>
  <si>
    <t>='C:\Users\jaime.benazar\Quorum Business Solutions\Ecopetrol Prometeo - Documents\Planning Space Implementation\3. Analysis &amp; Design\Design\FC22\DRR Jaime\QUIFA-CAJÚA\Cajua\[CAJUA_CF_SEC_New_27-Feb-2024Rev3.xlsx]D-PDP'!$BE$39</t>
  </si>
  <si>
    <t>='C:\Users\jaime.benazar\Quorum Business Solutions\Ecopetrol Prometeo - Documents\Planning Space Implementation\3. Analysis &amp; Design\Design\FC22\DRR Jaime\QUIFA-CAJÚA\Cajua\[CAJUA_CF_SEC_New_27-Feb-2024Rev3.xlsx]D-PDP'!$BE$40</t>
  </si>
  <si>
    <t>='C:\Users\jaime.benazar\Quorum Business Solutions\Ecopetrol Prometeo - Documents\Planning Space Implementation\3. Analysis &amp; Design\Design\FC22\DRR Jaime\QUIFA-CAJÚA\Cajua\[CAJUA_CF_SEC_New_27-Feb-2024Rev3.xlsx]D-PDP'!$BE$41</t>
  </si>
  <si>
    <t>='C:\Users\jaime.benazar\Quorum Business Solutions\Ecopetrol Prometeo - Documents\Planning Space Implementation\3. Analysis &amp; Design\Design\FC22\DRR Jaime\QUIFA-CAJÚA\Cajua\[CAJUA_CF_SEC_New_27-Feb-2024Rev3.xlsx]D-PDP'!$BE$42</t>
  </si>
  <si>
    <t>='C:\Users\jaime.benazar\Quorum Business Solutions\Ecopetrol Prometeo - Documents\Planning Space Implementation\3. Analysis &amp; Design\Design\FC22\DRR Jaime\QUIFA-CAJÚA\Cajua\[CAJUA_CF_SEC_New_27-Feb-2024Rev3.xlsx]D-PDP'!$BE$43</t>
  </si>
  <si>
    <t>='C:\Users\jaime.benazar\Quorum Business Solutions\Ecopetrol Prometeo - Documents\Planning Space Implementation\3. Analysis &amp; Design\Design\FC22\DRR Jaime\QUIFA-CAJÚA\Cajua\[CAJUA_CF_SEC_New_27-Feb-2024Rev3.xlsx]D-PDP'!$BE$44</t>
  </si>
  <si>
    <t>='C:\Users\jaime.benazar\Quorum Business Solutions\Ecopetrol Prometeo - Documents\Planning Space Implementation\3. Analysis &amp; Design\Design\FC22\DRR Jaime\QUIFA-CAJÚA\Cajua\[CAJUA_CF_SEC_New_27-Feb-2024Rev3.xlsx]D-PDP'!$BE$45</t>
  </si>
  <si>
    <t>='C:\Users\jaime.benazar\Quorum Business Solutions\Ecopetrol Prometeo - Documents\Planning Space Implementation\3. Analysis &amp; Design\Design\FC22\DRR Jaime\QUIFA-CAJÚA\Cajua\[CAJUA_CF_SEC_New_27-Feb-2024Rev3.xlsx]D-PDP'!$BE$46</t>
  </si>
  <si>
    <t>='C:\Users\jaime.benazar\Quorum Business Solutions\Ecopetrol Prometeo - Documents\Planning Space Implementation\3. Analysis &amp; Design\Design\FC22\DRR Jaime\QUIFA-CAJÚA\Cajua\[CAJUA_CF_SEC_New_27-Feb-2024Rev3.xlsx]D-PDP'!$BE$47</t>
  </si>
  <si>
    <t>='C:\Users\jaime.benazar\Quorum Business Solutions\Ecopetrol Prometeo - Documents\Planning Space Implementation\3. Analysis &amp; Design\Design\FC22\DRR Jaime\QUIFA-CAJÚA\Cajua\[CAJUA_CF_SEC_New_27-Feb-2024Rev3.xlsx]D-PDP'!$BE$48</t>
  </si>
  <si>
    <t>='C:\Users\jaime.benazar\Quorum Business Solutions\Ecopetrol Prometeo - Documents\Planning Space Implementation\3. Analysis &amp; Design\Design\FC22\DRR Jaime\QUIFA-CAJÚA\Cajua\[CAJUA_CF_SEC_New_27-Feb-2024Rev3.xlsx]D-PNP'!$BE$12</t>
  </si>
  <si>
    <t>='C:\Users\jaime.benazar\Quorum Business Solutions\Ecopetrol Prometeo - Documents\Planning Space Implementation\3. Analysis &amp; Design\Design\FC22\DRR Jaime\QUIFA-CAJÚA\Cajua\[CAJUA_CF_SEC_New_27-Feb-2024Rev3.xlsx]D-PNP'!$BE$13</t>
  </si>
  <si>
    <t>='C:\Users\jaime.benazar\Quorum Business Solutions\Ecopetrol Prometeo - Documents\Planning Space Implementation\3. Analysis &amp; Design\Design\FC22\DRR Jaime\QUIFA-CAJÚA\Cajua\[CAJUA_CF_SEC_New_27-Feb-2024Rev3.xlsx]D-PNP'!$BE$14</t>
  </si>
  <si>
    <t>='C:\Users\jaime.benazar\Quorum Business Solutions\Ecopetrol Prometeo - Documents\Planning Space Implementation\3. Analysis &amp; Design\Design\FC22\DRR Jaime\QUIFA-CAJÚA\Cajua\[CAJUA_CF_SEC_New_27-Feb-2024Rev3.xlsx]D-PNP'!$BE$15</t>
  </si>
  <si>
    <t>='C:\Users\jaime.benazar\Quorum Business Solutions\Ecopetrol Prometeo - Documents\Planning Space Implementation\3. Analysis &amp; Design\Design\FC22\DRR Jaime\QUIFA-CAJÚA\Cajua\[CAJUA_CF_SEC_New_27-Feb-2024Rev3.xlsx]D-PNP'!$BE$16</t>
  </si>
  <si>
    <t>='C:\Users\jaime.benazar\Quorum Business Solutions\Ecopetrol Prometeo - Documents\Planning Space Implementation\3. Analysis &amp; Design\Design\FC22\DRR Jaime\QUIFA-CAJÚA\Cajua\[CAJUA_CF_SEC_New_27-Feb-2024Rev3.xlsx]D-PNP'!$BE$17</t>
  </si>
  <si>
    <t>='C:\Users\jaime.benazar\Quorum Business Solutions\Ecopetrol Prometeo - Documents\Planning Space Implementation\3. Analysis &amp; Design\Design\FC22\DRR Jaime\QUIFA-CAJÚA\Cajua\[CAJUA_CF_SEC_New_27-Feb-2024Rev3.xlsx]D-PNP'!$BE$18</t>
  </si>
  <si>
    <t>='C:\Users\jaime.benazar\Quorum Business Solutions\Ecopetrol Prometeo - Documents\Planning Space Implementation\3. Analysis &amp; Design\Design\FC22\DRR Jaime\QUIFA-CAJÚA\Cajua\[CAJUA_CF_SEC_New_27-Feb-2024Rev3.xlsx]D-PNP'!$BE$19</t>
  </si>
  <si>
    <t>='C:\Users\jaime.benazar\Quorum Business Solutions\Ecopetrol Prometeo - Documents\Planning Space Implementation\3. Analysis &amp; Design\Design\FC22\DRR Jaime\QUIFA-CAJÚA\Cajua\[CAJUA_CF_SEC_New_27-Feb-2024Rev3.xlsx]D-PNP'!$BE$20</t>
  </si>
  <si>
    <t>='C:\Users\jaime.benazar\Quorum Business Solutions\Ecopetrol Prometeo - Documents\Planning Space Implementation\3. Analysis &amp; Design\Design\FC22\DRR Jaime\QUIFA-CAJÚA\Cajua\[CAJUA_CF_SEC_New_27-Feb-2024Rev3.xlsx]D-PNP'!$BE$21</t>
  </si>
  <si>
    <t>='C:\Users\jaime.benazar\Quorum Business Solutions\Ecopetrol Prometeo - Documents\Planning Space Implementation\3. Analysis &amp; Design\Design\FC22\DRR Jaime\QUIFA-CAJÚA\Cajua\[CAJUA_CF_SEC_New_27-Feb-2024Rev3.xlsx]D-PNP'!$BE$22</t>
  </si>
  <si>
    <t>='C:\Users\jaime.benazar\Quorum Business Solutions\Ecopetrol Prometeo - Documents\Planning Space Implementation\3. Analysis &amp; Design\Design\FC22\DRR Jaime\QUIFA-CAJÚA\Cajua\[CAJUA_CF_SEC_New_27-Feb-2024Rev3.xlsx]D-PNP'!$BE$23</t>
  </si>
  <si>
    <t>='C:\Users\jaime.benazar\Quorum Business Solutions\Ecopetrol Prometeo - Documents\Planning Space Implementation\3. Analysis &amp; Design\Design\FC22\DRR Jaime\QUIFA-CAJÚA\Cajua\[CAJUA_CF_SEC_New_27-Feb-2024Rev3.xlsx]D-PNP'!$BE$24</t>
  </si>
  <si>
    <t>='C:\Users\jaime.benazar\Quorum Business Solutions\Ecopetrol Prometeo - Documents\Planning Space Implementation\3. Analysis &amp; Design\Design\FC22\DRR Jaime\QUIFA-CAJÚA\Cajua\[CAJUA_CF_SEC_New_27-Feb-2024Rev3.xlsx]D-PNP'!$BE$25</t>
  </si>
  <si>
    <t>='C:\Users\jaime.benazar\Quorum Business Solutions\Ecopetrol Prometeo - Documents\Planning Space Implementation\3. Analysis &amp; Design\Design\FC22\DRR Jaime\QUIFA-CAJÚA\Cajua\[CAJUA_CF_SEC_New_27-Feb-2024Rev3.xlsx]D-PNP'!$BE$26</t>
  </si>
  <si>
    <t>='C:\Users\jaime.benazar\Quorum Business Solutions\Ecopetrol Prometeo - Documents\Planning Space Implementation\3. Analysis &amp; Design\Design\FC22\DRR Jaime\QUIFA-CAJÚA\Cajua\[CAJUA_CF_SEC_New_27-Feb-2024Rev3.xlsx]D-PNP'!$BE$27</t>
  </si>
  <si>
    <t>='C:\Users\jaime.benazar\Quorum Business Solutions\Ecopetrol Prometeo - Documents\Planning Space Implementation\3. Analysis &amp; Design\Design\FC22\DRR Jaime\QUIFA-CAJÚA\Cajua\[CAJUA_CF_SEC_New_27-Feb-2024Rev3.xlsx]D-PNP'!$BE$28</t>
  </si>
  <si>
    <t>='C:\Users\jaime.benazar\Quorum Business Solutions\Ecopetrol Prometeo - Documents\Planning Space Implementation\3. Analysis &amp; Design\Design\FC22\DRR Jaime\QUIFA-CAJÚA\Cajua\[CAJUA_CF_SEC_New_27-Feb-2024Rev3.xlsx]D-PNP'!$BE$29</t>
  </si>
  <si>
    <t>='C:\Users\jaime.benazar\Quorum Business Solutions\Ecopetrol Prometeo - Documents\Planning Space Implementation\3. Analysis &amp; Design\Design\FC22\DRR Jaime\QUIFA-CAJÚA\Cajua\[CAJUA_CF_SEC_New_27-Feb-2024Rev3.xlsx]D-PNP'!$BE$30</t>
  </si>
  <si>
    <t>='C:\Users\jaime.benazar\Quorum Business Solutions\Ecopetrol Prometeo - Documents\Planning Space Implementation\3. Analysis &amp; Design\Design\FC22\DRR Jaime\QUIFA-CAJÚA\Cajua\[CAJUA_CF_SEC_New_27-Feb-2024Rev3.xlsx]D-PNP'!$BE$31</t>
  </si>
  <si>
    <t>='C:\Users\jaime.benazar\Quorum Business Solutions\Ecopetrol Prometeo - Documents\Planning Space Implementation\3. Analysis &amp; Design\Design\FC22\DRR Jaime\QUIFA-CAJÚA\Cajua\[CAJUA_CF_SEC_New_27-Feb-2024Rev3.xlsx]D-PNP'!$BE$32</t>
  </si>
  <si>
    <t>='C:\Users\jaime.benazar\Quorum Business Solutions\Ecopetrol Prometeo - Documents\Planning Space Implementation\3. Analysis &amp; Design\Design\FC22\DRR Jaime\QUIFA-CAJÚA\Cajua\[CAJUA_CF_SEC_New_27-Feb-2024Rev3.xlsx]D-PNP'!$BE$33</t>
  </si>
  <si>
    <t>='C:\Users\jaime.benazar\Quorum Business Solutions\Ecopetrol Prometeo - Documents\Planning Space Implementation\3. Analysis &amp; Design\Design\FC22\DRR Jaime\QUIFA-CAJÚA\Cajua\[CAJUA_CF_SEC_New_27-Feb-2024Rev3.xlsx]D-PNP'!$BE$34</t>
  </si>
  <si>
    <t>='C:\Users\jaime.benazar\Quorum Business Solutions\Ecopetrol Prometeo - Documents\Planning Space Implementation\3. Analysis &amp; Design\Design\FC22\DRR Jaime\QUIFA-CAJÚA\Cajua\[CAJUA_CF_SEC_New_27-Feb-2024Rev3.xlsx]D-PNP'!$BE$35</t>
  </si>
  <si>
    <t>='C:\Users\jaime.benazar\Quorum Business Solutions\Ecopetrol Prometeo - Documents\Planning Space Implementation\3. Analysis &amp; Design\Design\FC22\DRR Jaime\QUIFA-CAJÚA\Cajua\[CAJUA_CF_SEC_New_27-Feb-2024Rev3.xlsx]D-PNP'!$BE$36</t>
  </si>
  <si>
    <t>='C:\Users\jaime.benazar\Quorum Business Solutions\Ecopetrol Prometeo - Documents\Planning Space Implementation\3. Analysis &amp; Design\Design\FC22\DRR Jaime\QUIFA-CAJÚA\Cajua\[CAJUA_CF_SEC_New_27-Feb-2024Rev3.xlsx]D-PNP'!$BE$37</t>
  </si>
  <si>
    <t>='C:\Users\jaime.benazar\Quorum Business Solutions\Ecopetrol Prometeo - Documents\Planning Space Implementation\3. Analysis &amp; Design\Design\FC22\DRR Jaime\QUIFA-CAJÚA\Cajua\[CAJUA_CF_SEC_New_27-Feb-2024Rev3.xlsx]D-PNP'!$BE$38</t>
  </si>
  <si>
    <t>='C:\Users\jaime.benazar\Quorum Business Solutions\Ecopetrol Prometeo - Documents\Planning Space Implementation\3. Analysis &amp; Design\Design\FC22\DRR Jaime\QUIFA-CAJÚA\Cajua\[CAJUA_CF_SEC_New_27-Feb-2024Rev3.xlsx]D-PNP'!$BE$39</t>
  </si>
  <si>
    <t>='C:\Users\jaime.benazar\Quorum Business Solutions\Ecopetrol Prometeo - Documents\Planning Space Implementation\3. Analysis &amp; Design\Design\FC22\DRR Jaime\QUIFA-CAJÚA\Cajua\[CAJUA_CF_SEC_New_27-Feb-2024Rev3.xlsx]D-PNP'!$BE$40</t>
  </si>
  <si>
    <t>='C:\Users\jaime.benazar\Quorum Business Solutions\Ecopetrol Prometeo - Documents\Planning Space Implementation\3. Analysis &amp; Design\Design\FC22\DRR Jaime\QUIFA-CAJÚA\Cajua\[CAJUA_CF_SEC_New_27-Feb-2024Rev3.xlsx]D-PNP'!$BE$41</t>
  </si>
  <si>
    <t>='C:\Users\jaime.benazar\Quorum Business Solutions\Ecopetrol Prometeo - Documents\Planning Space Implementation\3. Analysis &amp; Design\Design\FC22\DRR Jaime\QUIFA-CAJÚA\Cajua\[CAJUA_CF_SEC_New_27-Feb-2024Rev3.xlsx]D-PNP'!$BE$42</t>
  </si>
  <si>
    <t>='C:\Users\jaime.benazar\Quorum Business Solutions\Ecopetrol Prometeo - Documents\Planning Space Implementation\3. Analysis &amp; Design\Design\FC22\DRR Jaime\QUIFA-CAJÚA\Cajua\[CAJUA_CF_SEC_New_27-Feb-2024Rev3.xlsx]D-PNP'!$BE$43</t>
  </si>
  <si>
    <t>='C:\Users\jaime.benazar\Quorum Business Solutions\Ecopetrol Prometeo - Documents\Planning Space Implementation\3. Analysis &amp; Design\Design\FC22\DRR Jaime\QUIFA-CAJÚA\Cajua\[CAJUA_CF_SEC_New_27-Feb-2024Rev3.xlsx]D-PNP'!$BE$44</t>
  </si>
  <si>
    <t>='C:\Users\jaime.benazar\Quorum Business Solutions\Ecopetrol Prometeo - Documents\Planning Space Implementation\3. Analysis &amp; Design\Design\FC22\DRR Jaime\QUIFA-CAJÚA\Cajua\[CAJUA_CF_SEC_New_27-Feb-2024Rev3.xlsx]D-PNP'!$BE$45</t>
  </si>
  <si>
    <t>='C:\Users\jaime.benazar\Quorum Business Solutions\Ecopetrol Prometeo - Documents\Planning Space Implementation\3. Analysis &amp; Design\Design\FC22\DRR Jaime\QUIFA-CAJÚA\Cajua\[CAJUA_CF_SEC_New_27-Feb-2024Rev3.xlsx]D-PNP'!$BE$46</t>
  </si>
  <si>
    <t>='C:\Users\jaime.benazar\Quorum Business Solutions\Ecopetrol Prometeo - Documents\Planning Space Implementation\3. Analysis &amp; Design\Design\FC22\DRR Jaime\QUIFA-CAJÚA\Cajua\[CAJUA_CF_SEC_New_27-Feb-2024Rev3.xlsx]D-PNP'!$BE$47</t>
  </si>
  <si>
    <t>='C:\Users\jaime.benazar\Quorum Business Solutions\Ecopetrol Prometeo - Documents\Planning Space Implementation\3. Analysis &amp; Design\Design\FC22\DRR Jaime\QUIFA-CAJÚA\Cajua\[CAJUA_CF_SEC_New_27-Feb-2024Rev3.xlsx]D-PNP'!$BE$48</t>
  </si>
  <si>
    <t>='C:\Users\jaime.benazar\Quorum Business Solutions\Ecopetrol Prometeo - Documents\Planning Space Implementation\3. Analysis &amp; Design\Design\FC22\DRR Jaime\QUIFA-CAJÚA\Cajua\[CAJUA_CF_SEC_New_27-Feb-2024Rev3.xlsx]D-PND'!$BE$12</t>
  </si>
  <si>
    <t>='C:\Users\jaime.benazar\Quorum Business Solutions\Ecopetrol Prometeo - Documents\Planning Space Implementation\3. Analysis &amp; Design\Design\FC22\DRR Jaime\QUIFA-CAJÚA\Cajua\[CAJUA_CF_SEC_New_27-Feb-2024Rev3.xlsx]D-PND'!$BE$13</t>
  </si>
  <si>
    <t>='C:\Users\jaime.benazar\Quorum Business Solutions\Ecopetrol Prometeo - Documents\Planning Space Implementation\3. Analysis &amp; Design\Design\FC22\DRR Jaime\QUIFA-CAJÚA\Cajua\[CAJUA_CF_SEC_New_27-Feb-2024Rev3.xlsx]D-PND'!$BE$14</t>
  </si>
  <si>
    <t>='C:\Users\jaime.benazar\Quorum Business Solutions\Ecopetrol Prometeo - Documents\Planning Space Implementation\3. Analysis &amp; Design\Design\FC22\DRR Jaime\QUIFA-CAJÚA\Cajua\[CAJUA_CF_SEC_New_27-Feb-2024Rev3.xlsx]D-PND'!$BE$15</t>
  </si>
  <si>
    <t>='C:\Users\jaime.benazar\Quorum Business Solutions\Ecopetrol Prometeo - Documents\Planning Space Implementation\3. Analysis &amp; Design\Design\FC22\DRR Jaime\QUIFA-CAJÚA\Cajua\[CAJUA_CF_SEC_New_27-Feb-2024Rev3.xlsx]D-PND'!$BE$16</t>
  </si>
  <si>
    <t>='C:\Users\jaime.benazar\Quorum Business Solutions\Ecopetrol Prometeo - Documents\Planning Space Implementation\3. Analysis &amp; Design\Design\FC22\DRR Jaime\QUIFA-CAJÚA\Cajua\[CAJUA_CF_SEC_New_27-Feb-2024Rev3.xlsx]D-PND'!$BE$17</t>
  </si>
  <si>
    <t>='C:\Users\jaime.benazar\Quorum Business Solutions\Ecopetrol Prometeo - Documents\Planning Space Implementation\3. Analysis &amp; Design\Design\FC22\DRR Jaime\QUIFA-CAJÚA\Cajua\[CAJUA_CF_SEC_New_27-Feb-2024Rev3.xlsx]D-PND'!$BE$18</t>
  </si>
  <si>
    <t>='C:\Users\jaime.benazar\Quorum Business Solutions\Ecopetrol Prometeo - Documents\Planning Space Implementation\3. Analysis &amp; Design\Design\FC22\DRR Jaime\QUIFA-CAJÚA\Cajua\[CAJUA_CF_SEC_New_27-Feb-2024Rev3.xlsx]D-PND'!$BE$19</t>
  </si>
  <si>
    <t>='C:\Users\jaime.benazar\Quorum Business Solutions\Ecopetrol Prometeo - Documents\Planning Space Implementation\3. Analysis &amp; Design\Design\FC22\DRR Jaime\QUIFA-CAJÚA\Cajua\[CAJUA_CF_SEC_New_27-Feb-2024Rev3.xlsx]D-PND'!$BE$20</t>
  </si>
  <si>
    <t>='C:\Users\jaime.benazar\Quorum Business Solutions\Ecopetrol Prometeo - Documents\Planning Space Implementation\3. Analysis &amp; Design\Design\FC22\DRR Jaime\QUIFA-CAJÚA\Cajua\[CAJUA_CF_SEC_New_27-Feb-2024Rev3.xlsx]D-PND'!$BE$21</t>
  </si>
  <si>
    <t>='C:\Users\jaime.benazar\Quorum Business Solutions\Ecopetrol Prometeo - Documents\Planning Space Implementation\3. Analysis &amp; Design\Design\FC22\DRR Jaime\QUIFA-CAJÚA\Cajua\[CAJUA_CF_SEC_New_27-Feb-2024Rev3.xlsx]D-PND'!$BE$22</t>
  </si>
  <si>
    <t>='C:\Users\jaime.benazar\Quorum Business Solutions\Ecopetrol Prometeo - Documents\Planning Space Implementation\3. Analysis &amp; Design\Design\FC22\DRR Jaime\QUIFA-CAJÚA\Cajua\[CAJUA_CF_SEC_New_27-Feb-2024Rev3.xlsx]D-PND'!$BE$23</t>
  </si>
  <si>
    <t>='C:\Users\jaime.benazar\Quorum Business Solutions\Ecopetrol Prometeo - Documents\Planning Space Implementation\3. Analysis &amp; Design\Design\FC22\DRR Jaime\QUIFA-CAJÚA\Cajua\[CAJUA_CF_SEC_New_27-Feb-2024Rev3.xlsx]D-PND'!$BE$24</t>
  </si>
  <si>
    <t>='C:\Users\jaime.benazar\Quorum Business Solutions\Ecopetrol Prometeo - Documents\Planning Space Implementation\3. Analysis &amp; Design\Design\FC22\DRR Jaime\QUIFA-CAJÚA\Cajua\[CAJUA_CF_SEC_New_27-Feb-2024Rev3.xlsx]D-PND'!$BE$25</t>
  </si>
  <si>
    <t>='C:\Users\jaime.benazar\Quorum Business Solutions\Ecopetrol Prometeo - Documents\Planning Space Implementation\3. Analysis &amp; Design\Design\FC22\DRR Jaime\QUIFA-CAJÚA\Cajua\[CAJUA_CF_SEC_New_27-Feb-2024Rev3.xlsx]D-PND'!$BE$26</t>
  </si>
  <si>
    <t>='C:\Users\jaime.benazar\Quorum Business Solutions\Ecopetrol Prometeo - Documents\Planning Space Implementation\3. Analysis &amp; Design\Design\FC22\DRR Jaime\QUIFA-CAJÚA\Cajua\[CAJUA_CF_SEC_New_27-Feb-2024Rev3.xlsx]D-PND'!$BE$27</t>
  </si>
  <si>
    <t>='C:\Users\jaime.benazar\Quorum Business Solutions\Ecopetrol Prometeo - Documents\Planning Space Implementation\3. Analysis &amp; Design\Design\FC22\DRR Jaime\QUIFA-CAJÚA\Cajua\[CAJUA_CF_SEC_New_27-Feb-2024Rev3.xlsx]D-PND'!$BE$28</t>
  </si>
  <si>
    <t>='C:\Users\jaime.benazar\Quorum Business Solutions\Ecopetrol Prometeo - Documents\Planning Space Implementation\3. Analysis &amp; Design\Design\FC22\DRR Jaime\QUIFA-CAJÚA\Cajua\[CAJUA_CF_SEC_New_27-Feb-2024Rev3.xlsx]D-PND'!$BE$29</t>
  </si>
  <si>
    <t>='C:\Users\jaime.benazar\Quorum Business Solutions\Ecopetrol Prometeo - Documents\Planning Space Implementation\3. Analysis &amp; Design\Design\FC22\DRR Jaime\QUIFA-CAJÚA\Cajua\[CAJUA_CF_SEC_New_27-Feb-2024Rev3.xlsx]D-PND'!$BE$30</t>
  </si>
  <si>
    <t>='C:\Users\jaime.benazar\Quorum Business Solutions\Ecopetrol Prometeo - Documents\Planning Space Implementation\3. Analysis &amp; Design\Design\FC22\DRR Jaime\QUIFA-CAJÚA\Cajua\[CAJUA_CF_SEC_New_27-Feb-2024Rev3.xlsx]D-PND'!$BE$31</t>
  </si>
  <si>
    <t>='C:\Users\jaime.benazar\Quorum Business Solutions\Ecopetrol Prometeo - Documents\Planning Space Implementation\3. Analysis &amp; Design\Design\FC22\DRR Jaime\QUIFA-CAJÚA\Cajua\[CAJUA_CF_SEC_New_27-Feb-2024Rev3.xlsx]D-PND'!$BE$32</t>
  </si>
  <si>
    <t>='C:\Users\jaime.benazar\Quorum Business Solutions\Ecopetrol Prometeo - Documents\Planning Space Implementation\3. Analysis &amp; Design\Design\FC22\DRR Jaime\QUIFA-CAJÚA\Cajua\[CAJUA_CF_SEC_New_27-Feb-2024Rev3.xlsx]D-PND'!$BE$33</t>
  </si>
  <si>
    <t>='C:\Users\jaime.benazar\Quorum Business Solutions\Ecopetrol Prometeo - Documents\Planning Space Implementation\3. Analysis &amp; Design\Design\FC22\DRR Jaime\QUIFA-CAJÚA\Cajua\[CAJUA_CF_SEC_New_27-Feb-2024Rev3.xlsx]D-PND'!$BE$34</t>
  </si>
  <si>
    <t>='C:\Users\jaime.benazar\Quorum Business Solutions\Ecopetrol Prometeo - Documents\Planning Space Implementation\3. Analysis &amp; Design\Design\FC22\DRR Jaime\QUIFA-CAJÚA\Cajua\[CAJUA_CF_SEC_New_27-Feb-2024Rev3.xlsx]D-PND'!$BE$35</t>
  </si>
  <si>
    <t>='C:\Users\jaime.benazar\Quorum Business Solutions\Ecopetrol Prometeo - Documents\Planning Space Implementation\3. Analysis &amp; Design\Design\FC22\DRR Jaime\QUIFA-CAJÚA\Cajua\[CAJUA_CF_SEC_New_27-Feb-2024Rev3.xlsx]D-PND'!$BE$36</t>
  </si>
  <si>
    <t>='C:\Users\jaime.benazar\Quorum Business Solutions\Ecopetrol Prometeo - Documents\Planning Space Implementation\3. Analysis &amp; Design\Design\FC22\DRR Jaime\QUIFA-CAJÚA\Cajua\[CAJUA_CF_SEC_New_27-Feb-2024Rev3.xlsx]D-PND'!$BE$37</t>
  </si>
  <si>
    <t>='C:\Users\jaime.benazar\Quorum Business Solutions\Ecopetrol Prometeo - Documents\Planning Space Implementation\3. Analysis &amp; Design\Design\FC22\DRR Jaime\QUIFA-CAJÚA\Cajua\[CAJUA_CF_SEC_New_27-Feb-2024Rev3.xlsx]D-PND'!$BE$38</t>
  </si>
  <si>
    <t>='C:\Users\jaime.benazar\Quorum Business Solutions\Ecopetrol Prometeo - Documents\Planning Space Implementation\3. Analysis &amp; Design\Design\FC22\DRR Jaime\QUIFA-CAJÚA\Cajua\[CAJUA_CF_SEC_New_27-Feb-2024Rev3.xlsx]D-PND'!$BE$39</t>
  </si>
  <si>
    <t>='C:\Users\jaime.benazar\Quorum Business Solutions\Ecopetrol Prometeo - Documents\Planning Space Implementation\3. Analysis &amp; Design\Design\FC22\DRR Jaime\QUIFA-CAJÚA\Cajua\[CAJUA_CF_SEC_New_27-Feb-2024Rev3.xlsx]D-PND'!$BE$40</t>
  </si>
  <si>
    <t>='C:\Users\jaime.benazar\Quorum Business Solutions\Ecopetrol Prometeo - Documents\Planning Space Implementation\3. Analysis &amp; Design\Design\FC22\DRR Jaime\QUIFA-CAJÚA\Cajua\[CAJUA_CF_SEC_New_27-Feb-2024Rev3.xlsx]D-PND'!$BE$41</t>
  </si>
  <si>
    <t>='C:\Users\jaime.benazar\Quorum Business Solutions\Ecopetrol Prometeo - Documents\Planning Space Implementation\3. Analysis &amp; Design\Design\FC22\DRR Jaime\QUIFA-CAJÚA\Cajua\[CAJUA_CF_SEC_New_27-Feb-2024Rev3.xlsx]D-PND'!$BE$42</t>
  </si>
  <si>
    <t>='C:\Users\jaime.benazar\Quorum Business Solutions\Ecopetrol Prometeo - Documents\Planning Space Implementation\3. Analysis &amp; Design\Design\FC22\DRR Jaime\QUIFA-CAJÚA\Cajua\[CAJUA_CF_SEC_New_27-Feb-2024Rev3.xlsx]D-PND'!$BE$43</t>
  </si>
  <si>
    <t>='C:\Users\jaime.benazar\Quorum Business Solutions\Ecopetrol Prometeo - Documents\Planning Space Implementation\3. Analysis &amp; Design\Design\FC22\DRR Jaime\QUIFA-CAJÚA\Cajua\[CAJUA_CF_SEC_New_27-Feb-2024Rev3.xlsx]D-PND'!$BE$44</t>
  </si>
  <si>
    <t>='C:\Users\jaime.benazar\Quorum Business Solutions\Ecopetrol Prometeo - Documents\Planning Space Implementation\3. Analysis &amp; Design\Design\FC22\DRR Jaime\QUIFA-CAJÚA\Cajua\[CAJUA_CF_SEC_New_27-Feb-2024Rev3.xlsx]D-PND'!$BE$45</t>
  </si>
  <si>
    <t>='C:\Users\jaime.benazar\Quorum Business Solutions\Ecopetrol Prometeo - Documents\Planning Space Implementation\3. Analysis &amp; Design\Design\FC22\DRR Jaime\QUIFA-CAJÚA\Cajua\[CAJUA_CF_SEC_New_27-Feb-2024Rev3.xlsx]D-PND'!$BE$46</t>
  </si>
  <si>
    <t>='C:\Users\jaime.benazar\Quorum Business Solutions\Ecopetrol Prometeo - Documents\Planning Space Implementation\3. Analysis &amp; Design\Design\FC22\DRR Jaime\QUIFA-CAJÚA\Cajua\[CAJUA_CF_SEC_New_27-Feb-2024Rev3.xlsx]D-PND'!$BE$47</t>
  </si>
  <si>
    <t>='C:\Users\jaime.benazar\Quorum Business Solutions\Ecopetrol Prometeo - Documents\Planning Space Implementation\3. Analysis &amp; Design\Design\FC22\DRR Jaime\QUIFA-CAJÚA\Cajua\[CAJUA_CF_SEC_New_27-Feb-2024Rev3.xlsx]D-PND'!$BE$48</t>
  </si>
  <si>
    <t>='C:\Users\jaime.benazar\Quorum Business Solutions\Ecopetrol Prometeo - Documents\Planning Space Implementation\3. Analysis &amp; Design\Design\FC22\DRR Jaime\QUIFA-CAJÚA\Cajua\[CAJUA_CF_SEC_New_27-Feb-2024Rev3.xlsx]D-PRBDP'!$BE$12</t>
  </si>
  <si>
    <t>='C:\Users\jaime.benazar\Quorum Business Solutions\Ecopetrol Prometeo - Documents\Planning Space Implementation\3. Analysis &amp; Design\Design\FC22\DRR Jaime\QUIFA-CAJÚA\Cajua\[CAJUA_CF_SEC_New_27-Feb-2024Rev3.xlsx]D-PRBDP'!$BE$13</t>
  </si>
  <si>
    <t>='C:\Users\jaime.benazar\Quorum Business Solutions\Ecopetrol Prometeo - Documents\Planning Space Implementation\3. Analysis &amp; Design\Design\FC22\DRR Jaime\QUIFA-CAJÚA\Cajua\[CAJUA_CF_SEC_New_27-Feb-2024Rev3.xlsx]D-PRBDP'!$BE$14</t>
  </si>
  <si>
    <t>='C:\Users\jaime.benazar\Quorum Business Solutions\Ecopetrol Prometeo - Documents\Planning Space Implementation\3. Analysis &amp; Design\Design\FC22\DRR Jaime\QUIFA-CAJÚA\Cajua\[CAJUA_CF_SEC_New_27-Feb-2024Rev3.xlsx]D-PRBDP'!$BE$15</t>
  </si>
  <si>
    <t>='C:\Users\jaime.benazar\Quorum Business Solutions\Ecopetrol Prometeo - Documents\Planning Space Implementation\3. Analysis &amp; Design\Design\FC22\DRR Jaime\QUIFA-CAJÚA\Cajua\[CAJUA_CF_SEC_New_27-Feb-2024Rev3.xlsx]D-PRBDP'!$BE$16</t>
  </si>
  <si>
    <t>='C:\Users\jaime.benazar\Quorum Business Solutions\Ecopetrol Prometeo - Documents\Planning Space Implementation\3. Analysis &amp; Design\Design\FC22\DRR Jaime\QUIFA-CAJÚA\Cajua\[CAJUA_CF_SEC_New_27-Feb-2024Rev3.xlsx]D-PRBDP'!$BE$17</t>
  </si>
  <si>
    <t>='C:\Users\jaime.benazar\Quorum Business Solutions\Ecopetrol Prometeo - Documents\Planning Space Implementation\3. Analysis &amp; Design\Design\FC22\DRR Jaime\QUIFA-CAJÚA\Cajua\[CAJUA_CF_SEC_New_27-Feb-2024Rev3.xlsx]D-PRBDP'!$BE$18</t>
  </si>
  <si>
    <t>='C:\Users\jaime.benazar\Quorum Business Solutions\Ecopetrol Prometeo - Documents\Planning Space Implementation\3. Analysis &amp; Design\Design\FC22\DRR Jaime\QUIFA-CAJÚA\Cajua\[CAJUA_CF_SEC_New_27-Feb-2024Rev3.xlsx]D-PRBDP'!$BE$19</t>
  </si>
  <si>
    <t>='C:\Users\jaime.benazar\Quorum Business Solutions\Ecopetrol Prometeo - Documents\Planning Space Implementation\3. Analysis &amp; Design\Design\FC22\DRR Jaime\QUIFA-CAJÚA\Cajua\[CAJUA_CF_SEC_New_27-Feb-2024Rev3.xlsx]D-PRBDP'!$BE$20</t>
  </si>
  <si>
    <t>='C:\Users\jaime.benazar\Quorum Business Solutions\Ecopetrol Prometeo - Documents\Planning Space Implementation\3. Analysis &amp; Design\Design\FC22\DRR Jaime\QUIFA-CAJÚA\Cajua\[CAJUA_CF_SEC_New_27-Feb-2024Rev3.xlsx]D-PRBDP'!$BE$21</t>
  </si>
  <si>
    <t>='C:\Users\jaime.benazar\Quorum Business Solutions\Ecopetrol Prometeo - Documents\Planning Space Implementation\3. Analysis &amp; Design\Design\FC22\DRR Jaime\QUIFA-CAJÚA\Cajua\[CAJUA_CF_SEC_New_27-Feb-2024Rev3.xlsx]D-PRBDP'!$BE$22</t>
  </si>
  <si>
    <t>='C:\Users\jaime.benazar\Quorum Business Solutions\Ecopetrol Prometeo - Documents\Planning Space Implementation\3. Analysis &amp; Design\Design\FC22\DRR Jaime\QUIFA-CAJÚA\Cajua\[CAJUA_CF_SEC_New_27-Feb-2024Rev3.xlsx]D-PRBDP'!$BE$23</t>
  </si>
  <si>
    <t>='C:\Users\jaime.benazar\Quorum Business Solutions\Ecopetrol Prometeo - Documents\Planning Space Implementation\3. Analysis &amp; Design\Design\FC22\DRR Jaime\QUIFA-CAJÚA\Cajua\[CAJUA_CF_SEC_New_27-Feb-2024Rev3.xlsx]D-PRBDP'!$BE$24</t>
  </si>
  <si>
    <t>='C:\Users\jaime.benazar\Quorum Business Solutions\Ecopetrol Prometeo - Documents\Planning Space Implementation\3. Analysis &amp; Design\Design\FC22\DRR Jaime\QUIFA-CAJÚA\Cajua\[CAJUA_CF_SEC_New_27-Feb-2024Rev3.xlsx]D-PRBDP'!$BE$25</t>
  </si>
  <si>
    <t>='C:\Users\jaime.benazar\Quorum Business Solutions\Ecopetrol Prometeo - Documents\Planning Space Implementation\3. Analysis &amp; Design\Design\FC22\DRR Jaime\QUIFA-CAJÚA\Cajua\[CAJUA_CF_SEC_New_27-Feb-2024Rev3.xlsx]D-PRBDP'!$BE$26</t>
  </si>
  <si>
    <t>='C:\Users\jaime.benazar\Quorum Business Solutions\Ecopetrol Prometeo - Documents\Planning Space Implementation\3. Analysis &amp; Design\Design\FC22\DRR Jaime\QUIFA-CAJÚA\Cajua\[CAJUA_CF_SEC_New_27-Feb-2024Rev3.xlsx]D-PRBDP'!$BE$27</t>
  </si>
  <si>
    <t>='C:\Users\jaime.benazar\Quorum Business Solutions\Ecopetrol Prometeo - Documents\Planning Space Implementation\3. Analysis &amp; Design\Design\FC22\DRR Jaime\QUIFA-CAJÚA\Cajua\[CAJUA_CF_SEC_New_27-Feb-2024Rev3.xlsx]D-PRBDP'!$BE$28</t>
  </si>
  <si>
    <t>='C:\Users\jaime.benazar\Quorum Business Solutions\Ecopetrol Prometeo - Documents\Planning Space Implementation\3. Analysis &amp; Design\Design\FC22\DRR Jaime\QUIFA-CAJÚA\Cajua\[CAJUA_CF_SEC_New_27-Feb-2024Rev3.xlsx]D-PRBDP'!$BE$29</t>
  </si>
  <si>
    <t>='C:\Users\jaime.benazar\Quorum Business Solutions\Ecopetrol Prometeo - Documents\Planning Space Implementation\3. Analysis &amp; Design\Design\FC22\DRR Jaime\QUIFA-CAJÚA\Cajua\[CAJUA_CF_SEC_New_27-Feb-2024Rev3.xlsx]D-PRBDP'!$BE$30</t>
  </si>
  <si>
    <t>='C:\Users\jaime.benazar\Quorum Business Solutions\Ecopetrol Prometeo - Documents\Planning Space Implementation\3. Analysis &amp; Design\Design\FC22\DRR Jaime\QUIFA-CAJÚA\Cajua\[CAJUA_CF_SEC_New_27-Feb-2024Rev3.xlsx]D-PRBDP'!$BE$31</t>
  </si>
  <si>
    <t>='C:\Users\jaime.benazar\Quorum Business Solutions\Ecopetrol Prometeo - Documents\Planning Space Implementation\3. Analysis &amp; Design\Design\FC22\DRR Jaime\QUIFA-CAJÚA\Cajua\[CAJUA_CF_SEC_New_27-Feb-2024Rev3.xlsx]D-PRBDP'!$BE$32</t>
  </si>
  <si>
    <t>='C:\Users\jaime.benazar\Quorum Business Solutions\Ecopetrol Prometeo - Documents\Planning Space Implementation\3. Analysis &amp; Design\Design\FC22\DRR Jaime\QUIFA-CAJÚA\Cajua\[CAJUA_CF_SEC_New_27-Feb-2024Rev3.xlsx]D-PRBDP'!$BE$33</t>
  </si>
  <si>
    <t>='C:\Users\jaime.benazar\Quorum Business Solutions\Ecopetrol Prometeo - Documents\Planning Space Implementation\3. Analysis &amp; Design\Design\FC22\DRR Jaime\QUIFA-CAJÚA\Cajua\[CAJUA_CF_SEC_New_27-Feb-2024Rev3.xlsx]D-PRBDP'!$BE$34</t>
  </si>
  <si>
    <t>='C:\Users\jaime.benazar\Quorum Business Solutions\Ecopetrol Prometeo - Documents\Planning Space Implementation\3. Analysis &amp; Design\Design\FC22\DRR Jaime\QUIFA-CAJÚA\Cajua\[CAJUA_CF_SEC_New_27-Feb-2024Rev3.xlsx]D-PRBDP'!$BE$35</t>
  </si>
  <si>
    <t>='C:\Users\jaime.benazar\Quorum Business Solutions\Ecopetrol Prometeo - Documents\Planning Space Implementation\3. Analysis &amp; Design\Design\FC22\DRR Jaime\QUIFA-CAJÚA\Cajua\[CAJUA_CF_SEC_New_27-Feb-2024Rev3.xlsx]D-PRBDP'!$BE$36</t>
  </si>
  <si>
    <t>='C:\Users\jaime.benazar\Quorum Business Solutions\Ecopetrol Prometeo - Documents\Planning Space Implementation\3. Analysis &amp; Design\Design\FC22\DRR Jaime\QUIFA-CAJÚA\Cajua\[CAJUA_CF_SEC_New_27-Feb-2024Rev3.xlsx]D-PRBDP'!$BE$37</t>
  </si>
  <si>
    <t>='C:\Users\jaime.benazar\Quorum Business Solutions\Ecopetrol Prometeo - Documents\Planning Space Implementation\3. Analysis &amp; Design\Design\FC22\DRR Jaime\QUIFA-CAJÚA\Cajua\[CAJUA_CF_SEC_New_27-Feb-2024Rev3.xlsx]D-PRBDP'!$BE$38</t>
  </si>
  <si>
    <t>='C:\Users\jaime.benazar\Quorum Business Solutions\Ecopetrol Prometeo - Documents\Planning Space Implementation\3. Analysis &amp; Design\Design\FC22\DRR Jaime\QUIFA-CAJÚA\Cajua\[CAJUA_CF_SEC_New_27-Feb-2024Rev3.xlsx]D-PRBDP'!$BE$39</t>
  </si>
  <si>
    <t>='C:\Users\jaime.benazar\Quorum Business Solutions\Ecopetrol Prometeo - Documents\Planning Space Implementation\3. Analysis &amp; Design\Design\FC22\DRR Jaime\QUIFA-CAJÚA\Cajua\[CAJUA_CF_SEC_New_27-Feb-2024Rev3.xlsx]D-PRBDP'!$BE$40</t>
  </si>
  <si>
    <t>='C:\Users\jaime.benazar\Quorum Business Solutions\Ecopetrol Prometeo - Documents\Planning Space Implementation\3. Analysis &amp; Design\Design\FC22\DRR Jaime\QUIFA-CAJÚA\Cajua\[CAJUA_CF_SEC_New_27-Feb-2024Rev3.xlsx]D-PRBDP'!$BE$41</t>
  </si>
  <si>
    <t>='C:\Users\jaime.benazar\Quorum Business Solutions\Ecopetrol Prometeo - Documents\Planning Space Implementation\3. Analysis &amp; Design\Design\FC22\DRR Jaime\QUIFA-CAJÚA\Cajua\[CAJUA_CF_SEC_New_27-Feb-2024Rev3.xlsx]D-PRBDP'!$BE$42</t>
  </si>
  <si>
    <t>='C:\Users\jaime.benazar\Quorum Business Solutions\Ecopetrol Prometeo - Documents\Planning Space Implementation\3. Analysis &amp; Design\Design\FC22\DRR Jaime\QUIFA-CAJÚA\Cajua\[CAJUA_CF_SEC_New_27-Feb-2024Rev3.xlsx]D-PRBDP'!$BE$43</t>
  </si>
  <si>
    <t>='C:\Users\jaime.benazar\Quorum Business Solutions\Ecopetrol Prometeo - Documents\Planning Space Implementation\3. Analysis &amp; Design\Design\FC22\DRR Jaime\QUIFA-CAJÚA\Cajua\[CAJUA_CF_SEC_New_27-Feb-2024Rev3.xlsx]D-PRBDP'!$BE$44</t>
  </si>
  <si>
    <t>='C:\Users\jaime.benazar\Quorum Business Solutions\Ecopetrol Prometeo - Documents\Planning Space Implementation\3. Analysis &amp; Design\Design\FC22\DRR Jaime\QUIFA-CAJÚA\Cajua\[CAJUA_CF_SEC_New_27-Feb-2024Rev3.xlsx]D-PRBDP'!$BE$45</t>
  </si>
  <si>
    <t>='C:\Users\jaime.benazar\Quorum Business Solutions\Ecopetrol Prometeo - Documents\Planning Space Implementation\3. Analysis &amp; Design\Design\FC22\DRR Jaime\QUIFA-CAJÚA\Cajua\[CAJUA_CF_SEC_New_27-Feb-2024Rev3.xlsx]D-PRBDP'!$BE$46</t>
  </si>
  <si>
    <t>='C:\Users\jaime.benazar\Quorum Business Solutions\Ecopetrol Prometeo - Documents\Planning Space Implementation\3. Analysis &amp; Design\Design\FC22\DRR Jaime\QUIFA-CAJÚA\Cajua\[CAJUA_CF_SEC_New_27-Feb-2024Rev3.xlsx]D-PRBDP'!$BE$47</t>
  </si>
  <si>
    <t>='C:\Users\jaime.benazar\Quorum Business Solutions\Ecopetrol Prometeo - Documents\Planning Space Implementation\3. Analysis &amp; Design\Design\FC22\DRR Jaime\QUIFA-CAJÚA\Cajua\[CAJUA_CF_SEC_New_27-Feb-2024Rev3.xlsx]D-PRBDP'!$BE$48</t>
  </si>
  <si>
    <t>='C:\Users\jaime.benazar\Quorum Business Solutions\Ecopetrol Prometeo - Documents\Planning Space Implementation\3. Analysis &amp; Design\Design\FC22\DRR Jaime\QUIFA-CAJÚA\Cajua\[CAJUA_CF_SEC_New_27-Feb-2024Rev3.xlsx]D-PRBNP'!$BE$12</t>
  </si>
  <si>
    <t>='C:\Users\jaime.benazar\Quorum Business Solutions\Ecopetrol Prometeo - Documents\Planning Space Implementation\3. Analysis &amp; Design\Design\FC22\DRR Jaime\QUIFA-CAJÚA\Cajua\[CAJUA_CF_SEC_New_27-Feb-2024Rev3.xlsx]D-PRBNP'!$BE$13</t>
  </si>
  <si>
    <t>='C:\Users\jaime.benazar\Quorum Business Solutions\Ecopetrol Prometeo - Documents\Planning Space Implementation\3. Analysis &amp; Design\Design\FC22\DRR Jaime\QUIFA-CAJÚA\Cajua\[CAJUA_CF_SEC_New_27-Feb-2024Rev3.xlsx]D-PRBNP'!$BE$14</t>
  </si>
  <si>
    <t>='C:\Users\jaime.benazar\Quorum Business Solutions\Ecopetrol Prometeo - Documents\Planning Space Implementation\3. Analysis &amp; Design\Design\FC22\DRR Jaime\QUIFA-CAJÚA\Cajua\[CAJUA_CF_SEC_New_27-Feb-2024Rev3.xlsx]D-PRBNP'!$BE$15</t>
  </si>
  <si>
    <t>='C:\Users\jaime.benazar\Quorum Business Solutions\Ecopetrol Prometeo - Documents\Planning Space Implementation\3. Analysis &amp; Design\Design\FC22\DRR Jaime\QUIFA-CAJÚA\Cajua\[CAJUA_CF_SEC_New_27-Feb-2024Rev3.xlsx]D-PRBNP'!$BE$16</t>
  </si>
  <si>
    <t>='C:\Users\jaime.benazar\Quorum Business Solutions\Ecopetrol Prometeo - Documents\Planning Space Implementation\3. Analysis &amp; Design\Design\FC22\DRR Jaime\QUIFA-CAJÚA\Cajua\[CAJUA_CF_SEC_New_27-Feb-2024Rev3.xlsx]D-PRBNP'!$BE$17</t>
  </si>
  <si>
    <t>='C:\Users\jaime.benazar\Quorum Business Solutions\Ecopetrol Prometeo - Documents\Planning Space Implementation\3. Analysis &amp; Design\Design\FC22\DRR Jaime\QUIFA-CAJÚA\Cajua\[CAJUA_CF_SEC_New_27-Feb-2024Rev3.xlsx]D-PRBNP'!$BE$18</t>
  </si>
  <si>
    <t>='C:\Users\jaime.benazar\Quorum Business Solutions\Ecopetrol Prometeo - Documents\Planning Space Implementation\3. Analysis &amp; Design\Design\FC22\DRR Jaime\QUIFA-CAJÚA\Cajua\[CAJUA_CF_SEC_New_27-Feb-2024Rev3.xlsx]D-PRBNP'!$BE$19</t>
  </si>
  <si>
    <t>='C:\Users\jaime.benazar\Quorum Business Solutions\Ecopetrol Prometeo - Documents\Planning Space Implementation\3. Analysis &amp; Design\Design\FC22\DRR Jaime\QUIFA-CAJÚA\Cajua\[CAJUA_CF_SEC_New_27-Feb-2024Rev3.xlsx]D-PRBNP'!$BE$20</t>
  </si>
  <si>
    <t>='C:\Users\jaime.benazar\Quorum Business Solutions\Ecopetrol Prometeo - Documents\Planning Space Implementation\3. Analysis &amp; Design\Design\FC22\DRR Jaime\QUIFA-CAJÚA\Cajua\[CAJUA_CF_SEC_New_27-Feb-2024Rev3.xlsx]D-PRBNP'!$BE$21</t>
  </si>
  <si>
    <t>='C:\Users\jaime.benazar\Quorum Business Solutions\Ecopetrol Prometeo - Documents\Planning Space Implementation\3. Analysis &amp; Design\Design\FC22\DRR Jaime\QUIFA-CAJÚA\Cajua\[CAJUA_CF_SEC_New_27-Feb-2024Rev3.xlsx]D-PRBNP'!$BE$22</t>
  </si>
  <si>
    <t>='C:\Users\jaime.benazar\Quorum Business Solutions\Ecopetrol Prometeo - Documents\Planning Space Implementation\3. Analysis &amp; Design\Design\FC22\DRR Jaime\QUIFA-CAJÚA\Cajua\[CAJUA_CF_SEC_New_27-Feb-2024Rev3.xlsx]D-PRBNP'!$BE$23</t>
  </si>
  <si>
    <t>='C:\Users\jaime.benazar\Quorum Business Solutions\Ecopetrol Prometeo - Documents\Planning Space Implementation\3. Analysis &amp; Design\Design\FC22\DRR Jaime\QUIFA-CAJÚA\Cajua\[CAJUA_CF_SEC_New_27-Feb-2024Rev3.xlsx]D-PRBNP'!$BE$24</t>
  </si>
  <si>
    <t>='C:\Users\jaime.benazar\Quorum Business Solutions\Ecopetrol Prometeo - Documents\Planning Space Implementation\3. Analysis &amp; Design\Design\FC22\DRR Jaime\QUIFA-CAJÚA\Cajua\[CAJUA_CF_SEC_New_27-Feb-2024Rev3.xlsx]D-PRBNP'!$BE$25</t>
  </si>
  <si>
    <t>='C:\Users\jaime.benazar\Quorum Business Solutions\Ecopetrol Prometeo - Documents\Planning Space Implementation\3. Analysis &amp; Design\Design\FC22\DRR Jaime\QUIFA-CAJÚA\Cajua\[CAJUA_CF_SEC_New_27-Feb-2024Rev3.xlsx]D-PRBNP'!$BE$26</t>
  </si>
  <si>
    <t>='C:\Users\jaime.benazar\Quorum Business Solutions\Ecopetrol Prometeo - Documents\Planning Space Implementation\3. Analysis &amp; Design\Design\FC22\DRR Jaime\QUIFA-CAJÚA\Cajua\[CAJUA_CF_SEC_New_27-Feb-2024Rev3.xlsx]D-PRBNP'!$BE$27</t>
  </si>
  <si>
    <t>='C:\Users\jaime.benazar\Quorum Business Solutions\Ecopetrol Prometeo - Documents\Planning Space Implementation\3. Analysis &amp; Design\Design\FC22\DRR Jaime\QUIFA-CAJÚA\Cajua\[CAJUA_CF_SEC_New_27-Feb-2024Rev3.xlsx]D-PRBNP'!$BE$28</t>
  </si>
  <si>
    <t>='C:\Users\jaime.benazar\Quorum Business Solutions\Ecopetrol Prometeo - Documents\Planning Space Implementation\3. Analysis &amp; Design\Design\FC22\DRR Jaime\QUIFA-CAJÚA\Cajua\[CAJUA_CF_SEC_New_27-Feb-2024Rev3.xlsx]D-PRBNP'!$BE$29</t>
  </si>
  <si>
    <t>='C:\Users\jaime.benazar\Quorum Business Solutions\Ecopetrol Prometeo - Documents\Planning Space Implementation\3. Analysis &amp; Design\Design\FC22\DRR Jaime\QUIFA-CAJÚA\Cajua\[CAJUA_CF_SEC_New_27-Feb-2024Rev3.xlsx]D-PRBNP'!$BE$30</t>
  </si>
  <si>
    <t>='C:\Users\jaime.benazar\Quorum Business Solutions\Ecopetrol Prometeo - Documents\Planning Space Implementation\3. Analysis &amp; Design\Design\FC22\DRR Jaime\QUIFA-CAJÚA\Cajua\[CAJUA_CF_SEC_New_27-Feb-2024Rev3.xlsx]D-PRBNP'!$BE$31</t>
  </si>
  <si>
    <t>='C:\Users\jaime.benazar\Quorum Business Solutions\Ecopetrol Prometeo - Documents\Planning Space Implementation\3. Analysis &amp; Design\Design\FC22\DRR Jaime\QUIFA-CAJÚA\Cajua\[CAJUA_CF_SEC_New_27-Feb-2024Rev3.xlsx]D-PRBNP'!$BE$32</t>
  </si>
  <si>
    <t>='C:\Users\jaime.benazar\Quorum Business Solutions\Ecopetrol Prometeo - Documents\Planning Space Implementation\3. Analysis &amp; Design\Design\FC22\DRR Jaime\QUIFA-CAJÚA\Cajua\[CAJUA_CF_SEC_New_27-Feb-2024Rev3.xlsx]D-PRBNP'!$BE$33</t>
  </si>
  <si>
    <t>='C:\Users\jaime.benazar\Quorum Business Solutions\Ecopetrol Prometeo - Documents\Planning Space Implementation\3. Analysis &amp; Design\Design\FC22\DRR Jaime\QUIFA-CAJÚA\Cajua\[CAJUA_CF_SEC_New_27-Feb-2024Rev3.xlsx]D-PRBNP'!$BE$34</t>
  </si>
  <si>
    <t>='C:\Users\jaime.benazar\Quorum Business Solutions\Ecopetrol Prometeo - Documents\Planning Space Implementation\3. Analysis &amp; Design\Design\FC22\DRR Jaime\QUIFA-CAJÚA\Cajua\[CAJUA_CF_SEC_New_27-Feb-2024Rev3.xlsx]D-PRBNP'!$BE$35</t>
  </si>
  <si>
    <t>='C:\Users\jaime.benazar\Quorum Business Solutions\Ecopetrol Prometeo - Documents\Planning Space Implementation\3. Analysis &amp; Design\Design\FC22\DRR Jaime\QUIFA-CAJÚA\Cajua\[CAJUA_CF_SEC_New_27-Feb-2024Rev3.xlsx]D-PRBNP'!$BE$36</t>
  </si>
  <si>
    <t>='C:\Users\jaime.benazar\Quorum Business Solutions\Ecopetrol Prometeo - Documents\Planning Space Implementation\3. Analysis &amp; Design\Design\FC22\DRR Jaime\QUIFA-CAJÚA\Cajua\[CAJUA_CF_SEC_New_27-Feb-2024Rev3.xlsx]D-PRBNP'!$BE$37</t>
  </si>
  <si>
    <t>='C:\Users\jaime.benazar\Quorum Business Solutions\Ecopetrol Prometeo - Documents\Planning Space Implementation\3. Analysis &amp; Design\Design\FC22\DRR Jaime\QUIFA-CAJÚA\Cajua\[CAJUA_CF_SEC_New_27-Feb-2024Rev3.xlsx]D-PRBNP'!$BE$38</t>
  </si>
  <si>
    <t>='C:\Users\jaime.benazar\Quorum Business Solutions\Ecopetrol Prometeo - Documents\Planning Space Implementation\3. Analysis &amp; Design\Design\FC22\DRR Jaime\QUIFA-CAJÚA\Cajua\[CAJUA_CF_SEC_New_27-Feb-2024Rev3.xlsx]D-PRBNP'!$BE$39</t>
  </si>
  <si>
    <t>='C:\Users\jaime.benazar\Quorum Business Solutions\Ecopetrol Prometeo - Documents\Planning Space Implementation\3. Analysis &amp; Design\Design\FC22\DRR Jaime\QUIFA-CAJÚA\Cajua\[CAJUA_CF_SEC_New_27-Feb-2024Rev3.xlsx]D-PRBNP'!$BE$40</t>
  </si>
  <si>
    <t>='C:\Users\jaime.benazar\Quorum Business Solutions\Ecopetrol Prometeo - Documents\Planning Space Implementation\3. Analysis &amp; Design\Design\FC22\DRR Jaime\QUIFA-CAJÚA\Cajua\[CAJUA_CF_SEC_New_27-Feb-2024Rev3.xlsx]D-PRBNP'!$BE$41</t>
  </si>
  <si>
    <t>='C:\Users\jaime.benazar\Quorum Business Solutions\Ecopetrol Prometeo - Documents\Planning Space Implementation\3. Analysis &amp; Design\Design\FC22\DRR Jaime\QUIFA-CAJÚA\Cajua\[CAJUA_CF_SEC_New_27-Feb-2024Rev3.xlsx]D-PRBNP'!$BE$42</t>
  </si>
  <si>
    <t>='C:\Users\jaime.benazar\Quorum Business Solutions\Ecopetrol Prometeo - Documents\Planning Space Implementation\3. Analysis &amp; Design\Design\FC22\DRR Jaime\QUIFA-CAJÚA\Cajua\[CAJUA_CF_SEC_New_27-Feb-2024Rev3.xlsx]D-PRBNP'!$BE$43</t>
  </si>
  <si>
    <t>='C:\Users\jaime.benazar\Quorum Business Solutions\Ecopetrol Prometeo - Documents\Planning Space Implementation\3. Analysis &amp; Design\Design\FC22\DRR Jaime\QUIFA-CAJÚA\Cajua\[CAJUA_CF_SEC_New_27-Feb-2024Rev3.xlsx]D-PRBNP'!$BE$44</t>
  </si>
  <si>
    <t>='C:\Users\jaime.benazar\Quorum Business Solutions\Ecopetrol Prometeo - Documents\Planning Space Implementation\3. Analysis &amp; Design\Design\FC22\DRR Jaime\QUIFA-CAJÚA\Cajua\[CAJUA_CF_SEC_New_27-Feb-2024Rev3.xlsx]D-PRBNP'!$BE$45</t>
  </si>
  <si>
    <t>='C:\Users\jaime.benazar\Quorum Business Solutions\Ecopetrol Prometeo - Documents\Planning Space Implementation\3. Analysis &amp; Design\Design\FC22\DRR Jaime\QUIFA-CAJÚA\Cajua\[CAJUA_CF_SEC_New_27-Feb-2024Rev3.xlsx]D-PRBNP'!$BE$46</t>
  </si>
  <si>
    <t>='C:\Users\jaime.benazar\Quorum Business Solutions\Ecopetrol Prometeo - Documents\Planning Space Implementation\3. Analysis &amp; Design\Design\FC22\DRR Jaime\QUIFA-CAJÚA\Cajua\[CAJUA_CF_SEC_New_27-Feb-2024Rev3.xlsx]D-PRBNP'!$BE$47</t>
  </si>
  <si>
    <t>='C:\Users\jaime.benazar\Quorum Business Solutions\Ecopetrol Prometeo - Documents\Planning Space Implementation\3. Analysis &amp; Design\Design\FC22\DRR Jaime\QUIFA-CAJÚA\Cajua\[CAJUA_CF_SEC_New_27-Feb-2024Rev3.xlsx]D-PRBNP'!$BE$48</t>
  </si>
  <si>
    <t>='C:\Users\jaime.benazar\Quorum Business Solutions\Ecopetrol Prometeo - Documents\Planning Space Implementation\3. Analysis &amp; Design\Design\FC22\DRR Jaime\QUIFA-CAJÚA\Cajua\[CAJUA_CF_SEC_New_27-Feb-2024Rev3.xlsx]D-PRBND'!$BE$12</t>
  </si>
  <si>
    <t>='C:\Users\jaime.benazar\Quorum Business Solutions\Ecopetrol Prometeo - Documents\Planning Space Implementation\3. Analysis &amp; Design\Design\FC22\DRR Jaime\QUIFA-CAJÚA\Cajua\[CAJUA_CF_SEC_New_27-Feb-2024Rev3.xlsx]D-PRBND'!$BE$13</t>
  </si>
  <si>
    <t>='C:\Users\jaime.benazar\Quorum Business Solutions\Ecopetrol Prometeo - Documents\Planning Space Implementation\3. Analysis &amp; Design\Design\FC22\DRR Jaime\QUIFA-CAJÚA\Cajua\[CAJUA_CF_SEC_New_27-Feb-2024Rev3.xlsx]D-PRBND'!$BE$14</t>
  </si>
  <si>
    <t>='C:\Users\jaime.benazar\Quorum Business Solutions\Ecopetrol Prometeo - Documents\Planning Space Implementation\3. Analysis &amp; Design\Design\FC22\DRR Jaime\QUIFA-CAJÚA\Cajua\[CAJUA_CF_SEC_New_27-Feb-2024Rev3.xlsx]D-PRBND'!$BE$15</t>
  </si>
  <si>
    <t>='C:\Users\jaime.benazar\Quorum Business Solutions\Ecopetrol Prometeo - Documents\Planning Space Implementation\3. Analysis &amp; Design\Design\FC22\DRR Jaime\QUIFA-CAJÚA\Cajua\[CAJUA_CF_SEC_New_27-Feb-2024Rev3.xlsx]D-PRBND'!$BE$16</t>
  </si>
  <si>
    <t>='C:\Users\jaime.benazar\Quorum Business Solutions\Ecopetrol Prometeo - Documents\Planning Space Implementation\3. Analysis &amp; Design\Design\FC22\DRR Jaime\QUIFA-CAJÚA\Cajua\[CAJUA_CF_SEC_New_27-Feb-2024Rev3.xlsx]D-PRBND'!$BE$17</t>
  </si>
  <si>
    <t>='C:\Users\jaime.benazar\Quorum Business Solutions\Ecopetrol Prometeo - Documents\Planning Space Implementation\3. Analysis &amp; Design\Design\FC22\DRR Jaime\QUIFA-CAJÚA\Cajua\[CAJUA_CF_SEC_New_27-Feb-2024Rev3.xlsx]D-PRBND'!$BE$18</t>
  </si>
  <si>
    <t>='C:\Users\jaime.benazar\Quorum Business Solutions\Ecopetrol Prometeo - Documents\Planning Space Implementation\3. Analysis &amp; Design\Design\FC22\DRR Jaime\QUIFA-CAJÚA\Cajua\[CAJUA_CF_SEC_New_27-Feb-2024Rev3.xlsx]D-PRBND'!$BE$19</t>
  </si>
  <si>
    <t>='C:\Users\jaime.benazar\Quorum Business Solutions\Ecopetrol Prometeo - Documents\Planning Space Implementation\3. Analysis &amp; Design\Design\FC22\DRR Jaime\QUIFA-CAJÚA\Cajua\[CAJUA_CF_SEC_New_27-Feb-2024Rev3.xlsx]D-PRBND'!$BE$20</t>
  </si>
  <si>
    <t>='C:\Users\jaime.benazar\Quorum Business Solutions\Ecopetrol Prometeo - Documents\Planning Space Implementation\3. Analysis &amp; Design\Design\FC22\DRR Jaime\QUIFA-CAJÚA\Cajua\[CAJUA_CF_SEC_New_27-Feb-2024Rev3.xlsx]D-PRBND'!$BE$21</t>
  </si>
  <si>
    <t>='C:\Users\jaime.benazar\Quorum Business Solutions\Ecopetrol Prometeo - Documents\Planning Space Implementation\3. Analysis &amp; Design\Design\FC22\DRR Jaime\QUIFA-CAJÚA\Cajua\[CAJUA_CF_SEC_New_27-Feb-2024Rev3.xlsx]D-PRBND'!$BE$22</t>
  </si>
  <si>
    <t>='C:\Users\jaime.benazar\Quorum Business Solutions\Ecopetrol Prometeo - Documents\Planning Space Implementation\3. Analysis &amp; Design\Design\FC22\DRR Jaime\QUIFA-CAJÚA\Cajua\[CAJUA_CF_SEC_New_27-Feb-2024Rev3.xlsx]D-PRBND'!$BE$23</t>
  </si>
  <si>
    <t>='C:\Users\jaime.benazar\Quorum Business Solutions\Ecopetrol Prometeo - Documents\Planning Space Implementation\3. Analysis &amp; Design\Design\FC22\DRR Jaime\QUIFA-CAJÚA\Cajua\[CAJUA_CF_SEC_New_27-Feb-2024Rev3.xlsx]D-PRBND'!$BE$24</t>
  </si>
  <si>
    <t>='C:\Users\jaime.benazar\Quorum Business Solutions\Ecopetrol Prometeo - Documents\Planning Space Implementation\3. Analysis &amp; Design\Design\FC22\DRR Jaime\QUIFA-CAJÚA\Cajua\[CAJUA_CF_SEC_New_27-Feb-2024Rev3.xlsx]D-PRBND'!$BE$25</t>
  </si>
  <si>
    <t>='C:\Users\jaime.benazar\Quorum Business Solutions\Ecopetrol Prometeo - Documents\Planning Space Implementation\3. Analysis &amp; Design\Design\FC22\DRR Jaime\QUIFA-CAJÚA\Cajua\[CAJUA_CF_SEC_New_27-Feb-2024Rev3.xlsx]D-PRBND'!$BE$26</t>
  </si>
  <si>
    <t>='C:\Users\jaime.benazar\Quorum Business Solutions\Ecopetrol Prometeo - Documents\Planning Space Implementation\3. Analysis &amp; Design\Design\FC22\DRR Jaime\QUIFA-CAJÚA\Cajua\[CAJUA_CF_SEC_New_27-Feb-2024Rev3.xlsx]D-PRBND'!$BE$27</t>
  </si>
  <si>
    <t>='C:\Users\jaime.benazar\Quorum Business Solutions\Ecopetrol Prometeo - Documents\Planning Space Implementation\3. Analysis &amp; Design\Design\FC22\DRR Jaime\QUIFA-CAJÚA\Cajua\[CAJUA_CF_SEC_New_27-Feb-2024Rev3.xlsx]D-PRBND'!$BE$28</t>
  </si>
  <si>
    <t>='C:\Users\jaime.benazar\Quorum Business Solutions\Ecopetrol Prometeo - Documents\Planning Space Implementation\3. Analysis &amp; Design\Design\FC22\DRR Jaime\QUIFA-CAJÚA\Cajua\[CAJUA_CF_SEC_New_27-Feb-2024Rev3.xlsx]D-PRBND'!$BE$29</t>
  </si>
  <si>
    <t>='C:\Users\jaime.benazar\Quorum Business Solutions\Ecopetrol Prometeo - Documents\Planning Space Implementation\3. Analysis &amp; Design\Design\FC22\DRR Jaime\QUIFA-CAJÚA\Cajua\[CAJUA_CF_SEC_New_27-Feb-2024Rev3.xlsx]D-PRBND'!$BE$30</t>
  </si>
  <si>
    <t>='C:\Users\jaime.benazar\Quorum Business Solutions\Ecopetrol Prometeo - Documents\Planning Space Implementation\3. Analysis &amp; Design\Design\FC22\DRR Jaime\QUIFA-CAJÚA\Cajua\[CAJUA_CF_SEC_New_27-Feb-2024Rev3.xlsx]D-PRBND'!$BE$31</t>
  </si>
  <si>
    <t>='C:\Users\jaime.benazar\Quorum Business Solutions\Ecopetrol Prometeo - Documents\Planning Space Implementation\3. Analysis &amp; Design\Design\FC22\DRR Jaime\QUIFA-CAJÚA\Cajua\[CAJUA_CF_SEC_New_27-Feb-2024Rev3.xlsx]D-PRBND'!$BE$32</t>
  </si>
  <si>
    <t>='C:\Users\jaime.benazar\Quorum Business Solutions\Ecopetrol Prometeo - Documents\Planning Space Implementation\3. Analysis &amp; Design\Design\FC22\DRR Jaime\QUIFA-CAJÚA\Cajua\[CAJUA_CF_SEC_New_27-Feb-2024Rev3.xlsx]D-PRBND'!$BE$33</t>
  </si>
  <si>
    <t>='C:\Users\jaime.benazar\Quorum Business Solutions\Ecopetrol Prometeo - Documents\Planning Space Implementation\3. Analysis &amp; Design\Design\FC22\DRR Jaime\QUIFA-CAJÚA\Cajua\[CAJUA_CF_SEC_New_27-Feb-2024Rev3.xlsx]D-PRBND'!$BE$34</t>
  </si>
  <si>
    <t>='C:\Users\jaime.benazar\Quorum Business Solutions\Ecopetrol Prometeo - Documents\Planning Space Implementation\3. Analysis &amp; Design\Design\FC22\DRR Jaime\QUIFA-CAJÚA\Cajua\[CAJUA_CF_SEC_New_27-Feb-2024Rev3.xlsx]D-PRBND'!$BE$35</t>
  </si>
  <si>
    <t>='C:\Users\jaime.benazar\Quorum Business Solutions\Ecopetrol Prometeo - Documents\Planning Space Implementation\3. Analysis &amp; Design\Design\FC22\DRR Jaime\QUIFA-CAJÚA\Cajua\[CAJUA_CF_SEC_New_27-Feb-2024Rev3.xlsx]D-PRBND'!$BE$36</t>
  </si>
  <si>
    <t>='C:\Users\jaime.benazar\Quorum Business Solutions\Ecopetrol Prometeo - Documents\Planning Space Implementation\3. Analysis &amp; Design\Design\FC22\DRR Jaime\QUIFA-CAJÚA\Cajua\[CAJUA_CF_SEC_New_27-Feb-2024Rev3.xlsx]D-PRBND'!$BE$37</t>
  </si>
  <si>
    <t>='C:\Users\jaime.benazar\Quorum Business Solutions\Ecopetrol Prometeo - Documents\Planning Space Implementation\3. Analysis &amp; Design\Design\FC22\DRR Jaime\QUIFA-CAJÚA\Cajua\[CAJUA_CF_SEC_New_27-Feb-2024Rev3.xlsx]D-PRBND'!$BE$38</t>
  </si>
  <si>
    <t>='C:\Users\jaime.benazar\Quorum Business Solutions\Ecopetrol Prometeo - Documents\Planning Space Implementation\3. Analysis &amp; Design\Design\FC22\DRR Jaime\QUIFA-CAJÚA\Cajua\[CAJUA_CF_SEC_New_27-Feb-2024Rev3.xlsx]D-PRBND'!$BE$39</t>
  </si>
  <si>
    <t>='C:\Users\jaime.benazar\Quorum Business Solutions\Ecopetrol Prometeo - Documents\Planning Space Implementation\3. Analysis &amp; Design\Design\FC22\DRR Jaime\QUIFA-CAJÚA\Cajua\[CAJUA_CF_SEC_New_27-Feb-2024Rev3.xlsx]D-PRBND'!$BE$40</t>
  </si>
  <si>
    <t>='C:\Users\jaime.benazar\Quorum Business Solutions\Ecopetrol Prometeo - Documents\Planning Space Implementation\3. Analysis &amp; Design\Design\FC22\DRR Jaime\QUIFA-CAJÚA\Cajua\[CAJUA_CF_SEC_New_27-Feb-2024Rev3.xlsx]D-PRBND'!$BE$41</t>
  </si>
  <si>
    <t>='C:\Users\jaime.benazar\Quorum Business Solutions\Ecopetrol Prometeo - Documents\Planning Space Implementation\3. Analysis &amp; Design\Design\FC22\DRR Jaime\QUIFA-CAJÚA\Cajua\[CAJUA_CF_SEC_New_27-Feb-2024Rev3.xlsx]D-PRBND'!$BE$42</t>
  </si>
  <si>
    <t>='C:\Users\jaime.benazar\Quorum Business Solutions\Ecopetrol Prometeo - Documents\Planning Space Implementation\3. Analysis &amp; Design\Design\FC22\DRR Jaime\QUIFA-CAJÚA\Cajua\[CAJUA_CF_SEC_New_27-Feb-2024Rev3.xlsx]D-PRBND'!$BE$43</t>
  </si>
  <si>
    <t>='C:\Users\jaime.benazar\Quorum Business Solutions\Ecopetrol Prometeo - Documents\Planning Space Implementation\3. Analysis &amp; Design\Design\FC22\DRR Jaime\QUIFA-CAJÚA\Cajua\[CAJUA_CF_SEC_New_27-Feb-2024Rev3.xlsx]D-PRBND'!$BE$44</t>
  </si>
  <si>
    <t>='C:\Users\jaime.benazar\Quorum Business Solutions\Ecopetrol Prometeo - Documents\Planning Space Implementation\3. Analysis &amp; Design\Design\FC22\DRR Jaime\QUIFA-CAJÚA\Cajua\[CAJUA_CF_SEC_New_27-Feb-2024Rev3.xlsx]D-PRBND'!$BE$45</t>
  </si>
  <si>
    <t>='C:\Users\jaime.benazar\Quorum Business Solutions\Ecopetrol Prometeo - Documents\Planning Space Implementation\3. Analysis &amp; Design\Design\FC22\DRR Jaime\QUIFA-CAJÚA\Cajua\[CAJUA_CF_SEC_New_27-Feb-2024Rev3.xlsx]D-PRBND'!$BE$46</t>
  </si>
  <si>
    <t>='C:\Users\jaime.benazar\Quorum Business Solutions\Ecopetrol Prometeo - Documents\Planning Space Implementation\3. Analysis &amp; Design\Design\FC22\DRR Jaime\QUIFA-CAJÚA\Cajua\[CAJUA_CF_SEC_New_27-Feb-2024Rev3.xlsx]D-PRBND'!$BE$47</t>
  </si>
  <si>
    <t>='C:\Users\jaime.benazar\Quorum Business Solutions\Ecopetrol Prometeo - Documents\Planning Space Implementation\3. Analysis &amp; Design\Design\FC22\DRR Jaime\QUIFA-CAJÚA\Cajua\[CAJUA_CF_SEC_New_27-Feb-2024Rev3.xlsx]D-PRBND'!$BE$48</t>
  </si>
  <si>
    <t>='C:\Users\jaime.benazar\Quorum Business Solutions\Ecopetrol Prometeo - Documents\Planning Space Implementation\3. Analysis &amp; Design\Design\FC22\DRR Jaime\QUIFA-CAJÚA\Cajua\[CAJUA_CF_SEC_New_27-Feb-2024Rev3.xlsx]D-PRB'!$BE$12</t>
  </si>
  <si>
    <t>='C:\Users\jaime.benazar\Quorum Business Solutions\Ecopetrol Prometeo - Documents\Planning Space Implementation\3. Analysis &amp; Design\Design\FC22\DRR Jaime\QUIFA-CAJÚA\Cajua\[CAJUA_CF_SEC_New_27-Feb-2024Rev3.xlsx]D-PRB'!$BE$13</t>
  </si>
  <si>
    <t>='C:\Users\jaime.benazar\Quorum Business Solutions\Ecopetrol Prometeo - Documents\Planning Space Implementation\3. Analysis &amp; Design\Design\FC22\DRR Jaime\QUIFA-CAJÚA\Cajua\[CAJUA_CF_SEC_New_27-Feb-2024Rev3.xlsx]D-PRB'!$BE$14</t>
  </si>
  <si>
    <t>='C:\Users\jaime.benazar\Quorum Business Solutions\Ecopetrol Prometeo - Documents\Planning Space Implementation\3. Analysis &amp; Design\Design\FC22\DRR Jaime\QUIFA-CAJÚA\Cajua\[CAJUA_CF_SEC_New_27-Feb-2024Rev3.xlsx]D-PRB'!$BE$15</t>
  </si>
  <si>
    <t>='C:\Users\jaime.benazar\Quorum Business Solutions\Ecopetrol Prometeo - Documents\Planning Space Implementation\3. Analysis &amp; Design\Design\FC22\DRR Jaime\QUIFA-CAJÚA\Cajua\[CAJUA_CF_SEC_New_27-Feb-2024Rev3.xlsx]D-PRB'!$BE$16</t>
  </si>
  <si>
    <t>='C:\Users\jaime.benazar\Quorum Business Solutions\Ecopetrol Prometeo - Documents\Planning Space Implementation\3. Analysis &amp; Design\Design\FC22\DRR Jaime\QUIFA-CAJÚA\Cajua\[CAJUA_CF_SEC_New_27-Feb-2024Rev3.xlsx]D-PRB'!$BE$17</t>
  </si>
  <si>
    <t>='C:\Users\jaime.benazar\Quorum Business Solutions\Ecopetrol Prometeo - Documents\Planning Space Implementation\3. Analysis &amp; Design\Design\FC22\DRR Jaime\QUIFA-CAJÚA\Cajua\[CAJUA_CF_SEC_New_27-Feb-2024Rev3.xlsx]D-PRB'!$BE$18</t>
  </si>
  <si>
    <t>='C:\Users\jaime.benazar\Quorum Business Solutions\Ecopetrol Prometeo - Documents\Planning Space Implementation\3. Analysis &amp; Design\Design\FC22\DRR Jaime\QUIFA-CAJÚA\Cajua\[CAJUA_CF_SEC_New_27-Feb-2024Rev3.xlsx]D-PRB'!$BE$19</t>
  </si>
  <si>
    <t>='C:\Users\jaime.benazar\Quorum Business Solutions\Ecopetrol Prometeo - Documents\Planning Space Implementation\3. Analysis &amp; Design\Design\FC22\DRR Jaime\QUIFA-CAJÚA\Cajua\[CAJUA_CF_SEC_New_27-Feb-2024Rev3.xlsx]D-PRB'!$BE$20</t>
  </si>
  <si>
    <t>='C:\Users\jaime.benazar\Quorum Business Solutions\Ecopetrol Prometeo - Documents\Planning Space Implementation\3. Analysis &amp; Design\Design\FC22\DRR Jaime\QUIFA-CAJÚA\Cajua\[CAJUA_CF_SEC_New_27-Feb-2024Rev3.xlsx]D-PRB'!$BE$21</t>
  </si>
  <si>
    <t>='C:\Users\jaime.benazar\Quorum Business Solutions\Ecopetrol Prometeo - Documents\Planning Space Implementation\3. Analysis &amp; Design\Design\FC22\DRR Jaime\QUIFA-CAJÚA\Cajua\[CAJUA_CF_SEC_New_27-Feb-2024Rev3.xlsx]D-PRB'!$BE$22</t>
  </si>
  <si>
    <t>='C:\Users\jaime.benazar\Quorum Business Solutions\Ecopetrol Prometeo - Documents\Planning Space Implementation\3. Analysis &amp; Design\Design\FC22\DRR Jaime\QUIFA-CAJÚA\Cajua\[CAJUA_CF_SEC_New_27-Feb-2024Rev3.xlsx]D-PRB'!$BE$23</t>
  </si>
  <si>
    <t>='C:\Users\jaime.benazar\Quorum Business Solutions\Ecopetrol Prometeo - Documents\Planning Space Implementation\3. Analysis &amp; Design\Design\FC22\DRR Jaime\QUIFA-CAJÚA\Cajua\[CAJUA_CF_SEC_New_27-Feb-2024Rev3.xlsx]D-PRB'!$BE$24</t>
  </si>
  <si>
    <t>='C:\Users\jaime.benazar\Quorum Business Solutions\Ecopetrol Prometeo - Documents\Planning Space Implementation\3. Analysis &amp; Design\Design\FC22\DRR Jaime\QUIFA-CAJÚA\Cajua\[CAJUA_CF_SEC_New_27-Feb-2024Rev3.xlsx]D-PRB'!$BE$25</t>
  </si>
  <si>
    <t>='C:\Users\jaime.benazar\Quorum Business Solutions\Ecopetrol Prometeo - Documents\Planning Space Implementation\3. Analysis &amp; Design\Design\FC22\DRR Jaime\QUIFA-CAJÚA\Cajua\[CAJUA_CF_SEC_New_27-Feb-2024Rev3.xlsx]D-PRB'!$BE$26</t>
  </si>
  <si>
    <t>='C:\Users\jaime.benazar\Quorum Business Solutions\Ecopetrol Prometeo - Documents\Planning Space Implementation\3. Analysis &amp; Design\Design\FC22\DRR Jaime\QUIFA-CAJÚA\Cajua\[CAJUA_CF_SEC_New_27-Feb-2024Rev3.xlsx]D-PRB'!$BE$27</t>
  </si>
  <si>
    <t>='C:\Users\jaime.benazar\Quorum Business Solutions\Ecopetrol Prometeo - Documents\Planning Space Implementation\3. Analysis &amp; Design\Design\FC22\DRR Jaime\QUIFA-CAJÚA\Cajua\[CAJUA_CF_SEC_New_27-Feb-2024Rev3.xlsx]D-PRB'!$BE$28</t>
  </si>
  <si>
    <t>='C:\Users\jaime.benazar\Quorum Business Solutions\Ecopetrol Prometeo - Documents\Planning Space Implementation\3. Analysis &amp; Design\Design\FC22\DRR Jaime\QUIFA-CAJÚA\Cajua\[CAJUA_CF_SEC_New_27-Feb-2024Rev3.xlsx]D-PRB'!$BE$29</t>
  </si>
  <si>
    <t>='C:\Users\jaime.benazar\Quorum Business Solutions\Ecopetrol Prometeo - Documents\Planning Space Implementation\3. Analysis &amp; Design\Design\FC22\DRR Jaime\QUIFA-CAJÚA\Cajua\[CAJUA_CF_SEC_New_27-Feb-2024Rev3.xlsx]D-PRB'!$BE$30</t>
  </si>
  <si>
    <t>='C:\Users\jaime.benazar\Quorum Business Solutions\Ecopetrol Prometeo - Documents\Planning Space Implementation\3. Analysis &amp; Design\Design\FC22\DRR Jaime\QUIFA-CAJÚA\Cajua\[CAJUA_CF_SEC_New_27-Feb-2024Rev3.xlsx]D-PRB'!$BE$31</t>
  </si>
  <si>
    <t>='C:\Users\jaime.benazar\Quorum Business Solutions\Ecopetrol Prometeo - Documents\Planning Space Implementation\3. Analysis &amp; Design\Design\FC22\DRR Jaime\QUIFA-CAJÚA\Cajua\[CAJUA_CF_SEC_New_27-Feb-2024Rev3.xlsx]D-PRB'!$BE$32</t>
  </si>
  <si>
    <t>='C:\Users\jaime.benazar\Quorum Business Solutions\Ecopetrol Prometeo - Documents\Planning Space Implementation\3. Analysis &amp; Design\Design\FC22\DRR Jaime\QUIFA-CAJÚA\Cajua\[CAJUA_CF_SEC_New_27-Feb-2024Rev3.xlsx]D-PRB'!$BE$33</t>
  </si>
  <si>
    <t>='C:\Users\jaime.benazar\Quorum Business Solutions\Ecopetrol Prometeo - Documents\Planning Space Implementation\3. Analysis &amp; Design\Design\FC22\DRR Jaime\QUIFA-CAJÚA\Cajua\[CAJUA_CF_SEC_New_27-Feb-2024Rev3.xlsx]D-PRB'!$BE$34</t>
  </si>
  <si>
    <t>='C:\Users\jaime.benazar\Quorum Business Solutions\Ecopetrol Prometeo - Documents\Planning Space Implementation\3. Analysis &amp; Design\Design\FC22\DRR Jaime\QUIFA-CAJÚA\Cajua\[CAJUA_CF_SEC_New_27-Feb-2024Rev3.xlsx]D-PRB'!$BE$35</t>
  </si>
  <si>
    <t>='C:\Users\jaime.benazar\Quorum Business Solutions\Ecopetrol Prometeo - Documents\Planning Space Implementation\3. Analysis &amp; Design\Design\FC22\DRR Jaime\QUIFA-CAJÚA\Cajua\[CAJUA_CF_SEC_New_27-Feb-2024Rev3.xlsx]D-PRB'!$BE$36</t>
  </si>
  <si>
    <t>='C:\Users\jaime.benazar\Quorum Business Solutions\Ecopetrol Prometeo - Documents\Planning Space Implementation\3. Analysis &amp; Design\Design\FC22\DRR Jaime\QUIFA-CAJÚA\Cajua\[CAJUA_CF_SEC_New_27-Feb-2024Rev3.xlsx]D-PRB'!$BE$37</t>
  </si>
  <si>
    <t>='C:\Users\jaime.benazar\Quorum Business Solutions\Ecopetrol Prometeo - Documents\Planning Space Implementation\3. Analysis &amp; Design\Design\FC22\DRR Jaime\QUIFA-CAJÚA\Cajua\[CAJUA_CF_SEC_New_27-Feb-2024Rev3.xlsx]D-PRB'!$BE$38</t>
  </si>
  <si>
    <t>='C:\Users\jaime.benazar\Quorum Business Solutions\Ecopetrol Prometeo - Documents\Planning Space Implementation\3. Analysis &amp; Design\Design\FC22\DRR Jaime\QUIFA-CAJÚA\Cajua\[CAJUA_CF_SEC_New_27-Feb-2024Rev3.xlsx]D-PRB'!$BE$39</t>
  </si>
  <si>
    <t>='C:\Users\jaime.benazar\Quorum Business Solutions\Ecopetrol Prometeo - Documents\Planning Space Implementation\3. Analysis &amp; Design\Design\FC22\DRR Jaime\QUIFA-CAJÚA\Cajua\[CAJUA_CF_SEC_New_27-Feb-2024Rev3.xlsx]D-PRB'!$BE$40</t>
  </si>
  <si>
    <t>='C:\Users\jaime.benazar\Quorum Business Solutions\Ecopetrol Prometeo - Documents\Planning Space Implementation\3. Analysis &amp; Design\Design\FC22\DRR Jaime\QUIFA-CAJÚA\Cajua\[CAJUA_CF_SEC_New_27-Feb-2024Rev3.xlsx]D-PRB'!$BE$41</t>
  </si>
  <si>
    <t>='C:\Users\jaime.benazar\Quorum Business Solutions\Ecopetrol Prometeo - Documents\Planning Space Implementation\3. Analysis &amp; Design\Design\FC22\DRR Jaime\QUIFA-CAJÚA\Cajua\[CAJUA_CF_SEC_New_27-Feb-2024Rev3.xlsx]D-PRB'!$BE$42</t>
  </si>
  <si>
    <t>='C:\Users\jaime.benazar\Quorum Business Solutions\Ecopetrol Prometeo - Documents\Planning Space Implementation\3. Analysis &amp; Design\Design\FC22\DRR Jaime\QUIFA-CAJÚA\Cajua\[CAJUA_CF_SEC_New_27-Feb-2024Rev3.xlsx]D-PRB'!$BE$43</t>
  </si>
  <si>
    <t>='C:\Users\jaime.benazar\Quorum Business Solutions\Ecopetrol Prometeo - Documents\Planning Space Implementation\3. Analysis &amp; Design\Design\FC22\DRR Jaime\QUIFA-CAJÚA\Cajua\[CAJUA_CF_SEC_New_27-Feb-2024Rev3.xlsx]D-PRB'!$BE$44</t>
  </si>
  <si>
    <t>='C:\Users\jaime.benazar\Quorum Business Solutions\Ecopetrol Prometeo - Documents\Planning Space Implementation\3. Analysis &amp; Design\Design\FC22\DRR Jaime\QUIFA-CAJÚA\Cajua\[CAJUA_CF_SEC_New_27-Feb-2024Rev3.xlsx]D-PRB'!$BE$45</t>
  </si>
  <si>
    <t>='C:\Users\jaime.benazar\Quorum Business Solutions\Ecopetrol Prometeo - Documents\Planning Space Implementation\3. Analysis &amp; Design\Design\FC22\DRR Jaime\QUIFA-CAJÚA\Cajua\[CAJUA_CF_SEC_New_27-Feb-2024Rev3.xlsx]D-PRB'!$BE$46</t>
  </si>
  <si>
    <t>='C:\Users\jaime.benazar\Quorum Business Solutions\Ecopetrol Prometeo - Documents\Planning Space Implementation\3. Analysis &amp; Design\Design\FC22\DRR Jaime\QUIFA-CAJÚA\Cajua\[CAJUA_CF_SEC_New_27-Feb-2024Rev3.xlsx]D-PRB'!$BE$47</t>
  </si>
  <si>
    <t>='C:\Users\jaime.benazar\Quorum Business Solutions\Ecopetrol Prometeo - Documents\Planning Space Implementation\3. Analysis &amp; Design\Design\FC22\DRR Jaime\QUIFA-CAJÚA\Cajua\[CAJUA_CF_SEC_New_27-Feb-2024Rev3.xlsx]D-PRB'!$BE$48</t>
  </si>
  <si>
    <t>='C:\Users\jaime.benazar\Quorum Business Solutions\Ecopetrol Prometeo - Documents\Planning Space Implementation\3. Analysis &amp; Design\Design\FC22\DRR Jaime\QUIFA-CAJÚA\Cajua\[CAJUA_CF_SEC_New_27-Feb-2024Rev3.xlsx]D-PSDP'!$BE$12</t>
  </si>
  <si>
    <t>='C:\Users\jaime.benazar\Quorum Business Solutions\Ecopetrol Prometeo - Documents\Planning Space Implementation\3. Analysis &amp; Design\Design\FC22\DRR Jaime\QUIFA-CAJÚA\Cajua\[CAJUA_CF_SEC_New_27-Feb-2024Rev3.xlsx]D-PSDP'!$BE$13</t>
  </si>
  <si>
    <t>='C:\Users\jaime.benazar\Quorum Business Solutions\Ecopetrol Prometeo - Documents\Planning Space Implementation\3. Analysis &amp; Design\Design\FC22\DRR Jaime\QUIFA-CAJÚA\Cajua\[CAJUA_CF_SEC_New_27-Feb-2024Rev3.xlsx]D-PSDP'!$BE$14</t>
  </si>
  <si>
    <t>='C:\Users\jaime.benazar\Quorum Business Solutions\Ecopetrol Prometeo - Documents\Planning Space Implementation\3. Analysis &amp; Design\Design\FC22\DRR Jaime\QUIFA-CAJÚA\Cajua\[CAJUA_CF_SEC_New_27-Feb-2024Rev3.xlsx]D-PSDP'!$BE$15</t>
  </si>
  <si>
    <t>='C:\Users\jaime.benazar\Quorum Business Solutions\Ecopetrol Prometeo - Documents\Planning Space Implementation\3. Analysis &amp; Design\Design\FC22\DRR Jaime\QUIFA-CAJÚA\Cajua\[CAJUA_CF_SEC_New_27-Feb-2024Rev3.xlsx]D-PSDP'!$BE$16</t>
  </si>
  <si>
    <t>='C:\Users\jaime.benazar\Quorum Business Solutions\Ecopetrol Prometeo - Documents\Planning Space Implementation\3. Analysis &amp; Design\Design\FC22\DRR Jaime\QUIFA-CAJÚA\Cajua\[CAJUA_CF_SEC_New_27-Feb-2024Rev3.xlsx]D-PSDP'!$BE$17</t>
  </si>
  <si>
    <t>='C:\Users\jaime.benazar\Quorum Business Solutions\Ecopetrol Prometeo - Documents\Planning Space Implementation\3. Analysis &amp; Design\Design\FC22\DRR Jaime\QUIFA-CAJÚA\Cajua\[CAJUA_CF_SEC_New_27-Feb-2024Rev3.xlsx]D-PSDP'!$BE$18</t>
  </si>
  <si>
    <t>='C:\Users\jaime.benazar\Quorum Business Solutions\Ecopetrol Prometeo - Documents\Planning Space Implementation\3. Analysis &amp; Design\Design\FC22\DRR Jaime\QUIFA-CAJÚA\Cajua\[CAJUA_CF_SEC_New_27-Feb-2024Rev3.xlsx]D-PSDP'!$BE$19</t>
  </si>
  <si>
    <t>='C:\Users\jaime.benazar\Quorum Business Solutions\Ecopetrol Prometeo - Documents\Planning Space Implementation\3. Analysis &amp; Design\Design\FC22\DRR Jaime\QUIFA-CAJÚA\Cajua\[CAJUA_CF_SEC_New_27-Feb-2024Rev3.xlsx]D-PSDP'!$BE$20</t>
  </si>
  <si>
    <t>='C:\Users\jaime.benazar\Quorum Business Solutions\Ecopetrol Prometeo - Documents\Planning Space Implementation\3. Analysis &amp; Design\Design\FC22\DRR Jaime\QUIFA-CAJÚA\Cajua\[CAJUA_CF_SEC_New_27-Feb-2024Rev3.xlsx]D-PSDP'!$BE$21</t>
  </si>
  <si>
    <t>='C:\Users\jaime.benazar\Quorum Business Solutions\Ecopetrol Prometeo - Documents\Planning Space Implementation\3. Analysis &amp; Design\Design\FC22\DRR Jaime\QUIFA-CAJÚA\Cajua\[CAJUA_CF_SEC_New_27-Feb-2024Rev3.xlsx]D-PSDP'!$BE$22</t>
  </si>
  <si>
    <t>='C:\Users\jaime.benazar\Quorum Business Solutions\Ecopetrol Prometeo - Documents\Planning Space Implementation\3. Analysis &amp; Design\Design\FC22\DRR Jaime\QUIFA-CAJÚA\Cajua\[CAJUA_CF_SEC_New_27-Feb-2024Rev3.xlsx]D-PSDP'!$BE$23</t>
  </si>
  <si>
    <t>='C:\Users\jaime.benazar\Quorum Business Solutions\Ecopetrol Prometeo - Documents\Planning Space Implementation\3. Analysis &amp; Design\Design\FC22\DRR Jaime\QUIFA-CAJÚA\Cajua\[CAJUA_CF_SEC_New_27-Feb-2024Rev3.xlsx]D-PSDP'!$BE$24</t>
  </si>
  <si>
    <t>='C:\Users\jaime.benazar\Quorum Business Solutions\Ecopetrol Prometeo - Documents\Planning Space Implementation\3. Analysis &amp; Design\Design\FC22\DRR Jaime\QUIFA-CAJÚA\Cajua\[CAJUA_CF_SEC_New_27-Feb-2024Rev3.xlsx]D-PSDP'!$BE$25</t>
  </si>
  <si>
    <t>='C:\Users\jaime.benazar\Quorum Business Solutions\Ecopetrol Prometeo - Documents\Planning Space Implementation\3. Analysis &amp; Design\Design\FC22\DRR Jaime\QUIFA-CAJÚA\Cajua\[CAJUA_CF_SEC_New_27-Feb-2024Rev3.xlsx]D-PSDP'!$BE$26</t>
  </si>
  <si>
    <t>='C:\Users\jaime.benazar\Quorum Business Solutions\Ecopetrol Prometeo - Documents\Planning Space Implementation\3. Analysis &amp; Design\Design\FC22\DRR Jaime\QUIFA-CAJÚA\Cajua\[CAJUA_CF_SEC_New_27-Feb-2024Rev3.xlsx]D-PSDP'!$BE$27</t>
  </si>
  <si>
    <t>='C:\Users\jaime.benazar\Quorum Business Solutions\Ecopetrol Prometeo - Documents\Planning Space Implementation\3. Analysis &amp; Design\Design\FC22\DRR Jaime\QUIFA-CAJÚA\Cajua\[CAJUA_CF_SEC_New_27-Feb-2024Rev3.xlsx]D-PSDP'!$BE$28</t>
  </si>
  <si>
    <t>='C:\Users\jaime.benazar\Quorum Business Solutions\Ecopetrol Prometeo - Documents\Planning Space Implementation\3. Analysis &amp; Design\Design\FC22\DRR Jaime\QUIFA-CAJÚA\Cajua\[CAJUA_CF_SEC_New_27-Feb-2024Rev3.xlsx]D-PSDP'!$BE$29</t>
  </si>
  <si>
    <t>='C:\Users\jaime.benazar\Quorum Business Solutions\Ecopetrol Prometeo - Documents\Planning Space Implementation\3. Analysis &amp; Design\Design\FC22\DRR Jaime\QUIFA-CAJÚA\Cajua\[CAJUA_CF_SEC_New_27-Feb-2024Rev3.xlsx]D-PSDP'!$BE$30</t>
  </si>
  <si>
    <t>='C:\Users\jaime.benazar\Quorum Business Solutions\Ecopetrol Prometeo - Documents\Planning Space Implementation\3. Analysis &amp; Design\Design\FC22\DRR Jaime\QUIFA-CAJÚA\Cajua\[CAJUA_CF_SEC_New_27-Feb-2024Rev3.xlsx]D-PSDP'!$BE$31</t>
  </si>
  <si>
    <t>='C:\Users\jaime.benazar\Quorum Business Solutions\Ecopetrol Prometeo - Documents\Planning Space Implementation\3. Analysis &amp; Design\Design\FC22\DRR Jaime\QUIFA-CAJÚA\Cajua\[CAJUA_CF_SEC_New_27-Feb-2024Rev3.xlsx]D-PSDP'!$BE$32</t>
  </si>
  <si>
    <t>='C:\Users\jaime.benazar\Quorum Business Solutions\Ecopetrol Prometeo - Documents\Planning Space Implementation\3. Analysis &amp; Design\Design\FC22\DRR Jaime\QUIFA-CAJÚA\Cajua\[CAJUA_CF_SEC_New_27-Feb-2024Rev3.xlsx]D-PSDP'!$BE$33</t>
  </si>
  <si>
    <t>='C:\Users\jaime.benazar\Quorum Business Solutions\Ecopetrol Prometeo - Documents\Planning Space Implementation\3. Analysis &amp; Design\Design\FC22\DRR Jaime\QUIFA-CAJÚA\Cajua\[CAJUA_CF_SEC_New_27-Feb-2024Rev3.xlsx]D-PSDP'!$BE$34</t>
  </si>
  <si>
    <t>='C:\Users\jaime.benazar\Quorum Business Solutions\Ecopetrol Prometeo - Documents\Planning Space Implementation\3. Analysis &amp; Design\Design\FC22\DRR Jaime\QUIFA-CAJÚA\Cajua\[CAJUA_CF_SEC_New_27-Feb-2024Rev3.xlsx]D-PSDP'!$BE$35</t>
  </si>
  <si>
    <t>='C:\Users\jaime.benazar\Quorum Business Solutions\Ecopetrol Prometeo - Documents\Planning Space Implementation\3. Analysis &amp; Design\Design\FC22\DRR Jaime\QUIFA-CAJÚA\Cajua\[CAJUA_CF_SEC_New_27-Feb-2024Rev3.xlsx]D-PSDP'!$BE$36</t>
  </si>
  <si>
    <t>='C:\Users\jaime.benazar\Quorum Business Solutions\Ecopetrol Prometeo - Documents\Planning Space Implementation\3. Analysis &amp; Design\Design\FC22\DRR Jaime\QUIFA-CAJÚA\Cajua\[CAJUA_CF_SEC_New_27-Feb-2024Rev3.xlsx]D-PSDP'!$BE$37</t>
  </si>
  <si>
    <t>='C:\Users\jaime.benazar\Quorum Business Solutions\Ecopetrol Prometeo - Documents\Planning Space Implementation\3. Analysis &amp; Design\Design\FC22\DRR Jaime\QUIFA-CAJÚA\Cajua\[CAJUA_CF_SEC_New_27-Feb-2024Rev3.xlsx]D-PSDP'!$BE$38</t>
  </si>
  <si>
    <t>='C:\Users\jaime.benazar\Quorum Business Solutions\Ecopetrol Prometeo - Documents\Planning Space Implementation\3. Analysis &amp; Design\Design\FC22\DRR Jaime\QUIFA-CAJÚA\Cajua\[CAJUA_CF_SEC_New_27-Feb-2024Rev3.xlsx]D-PSDP'!$BE$39</t>
  </si>
  <si>
    <t>='C:\Users\jaime.benazar\Quorum Business Solutions\Ecopetrol Prometeo - Documents\Planning Space Implementation\3. Analysis &amp; Design\Design\FC22\DRR Jaime\QUIFA-CAJÚA\Cajua\[CAJUA_CF_SEC_New_27-Feb-2024Rev3.xlsx]D-PSDP'!$BE$40</t>
  </si>
  <si>
    <t>='C:\Users\jaime.benazar\Quorum Business Solutions\Ecopetrol Prometeo - Documents\Planning Space Implementation\3. Analysis &amp; Design\Design\FC22\DRR Jaime\QUIFA-CAJÚA\Cajua\[CAJUA_CF_SEC_New_27-Feb-2024Rev3.xlsx]D-PSDP'!$BE$41</t>
  </si>
  <si>
    <t>='C:\Users\jaime.benazar\Quorum Business Solutions\Ecopetrol Prometeo - Documents\Planning Space Implementation\3. Analysis &amp; Design\Design\FC22\DRR Jaime\QUIFA-CAJÚA\Cajua\[CAJUA_CF_SEC_New_27-Feb-2024Rev3.xlsx]D-PSDP'!$BE$42</t>
  </si>
  <si>
    <t>='C:\Users\jaime.benazar\Quorum Business Solutions\Ecopetrol Prometeo - Documents\Planning Space Implementation\3. Analysis &amp; Design\Design\FC22\DRR Jaime\QUIFA-CAJÚA\Cajua\[CAJUA_CF_SEC_New_27-Feb-2024Rev3.xlsx]D-PSDP'!$BE$43</t>
  </si>
  <si>
    <t>='C:\Users\jaime.benazar\Quorum Business Solutions\Ecopetrol Prometeo - Documents\Planning Space Implementation\3. Analysis &amp; Design\Design\FC22\DRR Jaime\QUIFA-CAJÚA\Cajua\[CAJUA_CF_SEC_New_27-Feb-2024Rev3.xlsx]D-PSDP'!$BE$44</t>
  </si>
  <si>
    <t>='C:\Users\jaime.benazar\Quorum Business Solutions\Ecopetrol Prometeo - Documents\Planning Space Implementation\3. Analysis &amp; Design\Design\FC22\DRR Jaime\QUIFA-CAJÚA\Cajua\[CAJUA_CF_SEC_New_27-Feb-2024Rev3.xlsx]D-PSDP'!$BE$45</t>
  </si>
  <si>
    <t>='C:\Users\jaime.benazar\Quorum Business Solutions\Ecopetrol Prometeo - Documents\Planning Space Implementation\3. Analysis &amp; Design\Design\FC22\DRR Jaime\QUIFA-CAJÚA\Cajua\[CAJUA_CF_SEC_New_27-Feb-2024Rev3.xlsx]D-PSDP'!$BE$46</t>
  </si>
  <si>
    <t>='C:\Users\jaime.benazar\Quorum Business Solutions\Ecopetrol Prometeo - Documents\Planning Space Implementation\3. Analysis &amp; Design\Design\FC22\DRR Jaime\QUIFA-CAJÚA\Cajua\[CAJUA_CF_SEC_New_27-Feb-2024Rev3.xlsx]D-PSDP'!$BE$47</t>
  </si>
  <si>
    <t>='C:\Users\jaime.benazar\Quorum Business Solutions\Ecopetrol Prometeo - Documents\Planning Space Implementation\3. Analysis &amp; Design\Design\FC22\DRR Jaime\QUIFA-CAJÚA\Cajua\[CAJUA_CF_SEC_New_27-Feb-2024Rev3.xlsx]D-PSDP'!$BE$48</t>
  </si>
  <si>
    <t>='C:\Users\jaime.benazar\Quorum Business Solutions\Ecopetrol Prometeo - Documents\Planning Space Implementation\3. Analysis &amp; Design\Design\FC22\DRR Jaime\QUIFA-CAJÚA\Cajua\[CAJUA_CF_SEC_New_27-Feb-2024Rev3.xlsx]D-PSNP'!$BE$12</t>
  </si>
  <si>
    <t>='C:\Users\jaime.benazar\Quorum Business Solutions\Ecopetrol Prometeo - Documents\Planning Space Implementation\3. Analysis &amp; Design\Design\FC22\DRR Jaime\QUIFA-CAJÚA\Cajua\[CAJUA_CF_SEC_New_27-Feb-2024Rev3.xlsx]D-PSNP'!$BE$13</t>
  </si>
  <si>
    <t>='C:\Users\jaime.benazar\Quorum Business Solutions\Ecopetrol Prometeo - Documents\Planning Space Implementation\3. Analysis &amp; Design\Design\FC22\DRR Jaime\QUIFA-CAJÚA\Cajua\[CAJUA_CF_SEC_New_27-Feb-2024Rev3.xlsx]D-PSNP'!$BE$14</t>
  </si>
  <si>
    <t>='C:\Users\jaime.benazar\Quorum Business Solutions\Ecopetrol Prometeo - Documents\Planning Space Implementation\3. Analysis &amp; Design\Design\FC22\DRR Jaime\QUIFA-CAJÚA\Cajua\[CAJUA_CF_SEC_New_27-Feb-2024Rev3.xlsx]D-PSNP'!$BE$15</t>
  </si>
  <si>
    <t>='C:\Users\jaime.benazar\Quorum Business Solutions\Ecopetrol Prometeo - Documents\Planning Space Implementation\3. Analysis &amp; Design\Design\FC22\DRR Jaime\QUIFA-CAJÚA\Cajua\[CAJUA_CF_SEC_New_27-Feb-2024Rev3.xlsx]D-PSNP'!$BE$16</t>
  </si>
  <si>
    <t>='C:\Users\jaime.benazar\Quorum Business Solutions\Ecopetrol Prometeo - Documents\Planning Space Implementation\3. Analysis &amp; Design\Design\FC22\DRR Jaime\QUIFA-CAJÚA\Cajua\[CAJUA_CF_SEC_New_27-Feb-2024Rev3.xlsx]D-PSNP'!$BE$17</t>
  </si>
  <si>
    <t>='C:\Users\jaime.benazar\Quorum Business Solutions\Ecopetrol Prometeo - Documents\Planning Space Implementation\3. Analysis &amp; Design\Design\FC22\DRR Jaime\QUIFA-CAJÚA\Cajua\[CAJUA_CF_SEC_New_27-Feb-2024Rev3.xlsx]D-PSNP'!$BE$18</t>
  </si>
  <si>
    <t>='C:\Users\jaime.benazar\Quorum Business Solutions\Ecopetrol Prometeo - Documents\Planning Space Implementation\3. Analysis &amp; Design\Design\FC22\DRR Jaime\QUIFA-CAJÚA\Cajua\[CAJUA_CF_SEC_New_27-Feb-2024Rev3.xlsx]D-PSNP'!$BE$19</t>
  </si>
  <si>
    <t>='C:\Users\jaime.benazar\Quorum Business Solutions\Ecopetrol Prometeo - Documents\Planning Space Implementation\3. Analysis &amp; Design\Design\FC22\DRR Jaime\QUIFA-CAJÚA\Cajua\[CAJUA_CF_SEC_New_27-Feb-2024Rev3.xlsx]D-PSNP'!$BE$20</t>
  </si>
  <si>
    <t>='C:\Users\jaime.benazar\Quorum Business Solutions\Ecopetrol Prometeo - Documents\Planning Space Implementation\3. Analysis &amp; Design\Design\FC22\DRR Jaime\QUIFA-CAJÚA\Cajua\[CAJUA_CF_SEC_New_27-Feb-2024Rev3.xlsx]D-PSNP'!$BE$21</t>
  </si>
  <si>
    <t>='C:\Users\jaime.benazar\Quorum Business Solutions\Ecopetrol Prometeo - Documents\Planning Space Implementation\3. Analysis &amp; Design\Design\FC22\DRR Jaime\QUIFA-CAJÚA\Cajua\[CAJUA_CF_SEC_New_27-Feb-2024Rev3.xlsx]D-PSNP'!$BE$22</t>
  </si>
  <si>
    <t>='C:\Users\jaime.benazar\Quorum Business Solutions\Ecopetrol Prometeo - Documents\Planning Space Implementation\3. Analysis &amp; Design\Design\FC22\DRR Jaime\QUIFA-CAJÚA\Cajua\[CAJUA_CF_SEC_New_27-Feb-2024Rev3.xlsx]D-PSNP'!$BE$23</t>
  </si>
  <si>
    <t>='C:\Users\jaime.benazar\Quorum Business Solutions\Ecopetrol Prometeo - Documents\Planning Space Implementation\3. Analysis &amp; Design\Design\FC22\DRR Jaime\QUIFA-CAJÚA\Cajua\[CAJUA_CF_SEC_New_27-Feb-2024Rev3.xlsx]D-PSNP'!$BE$24</t>
  </si>
  <si>
    <t>='C:\Users\jaime.benazar\Quorum Business Solutions\Ecopetrol Prometeo - Documents\Planning Space Implementation\3. Analysis &amp; Design\Design\FC22\DRR Jaime\QUIFA-CAJÚA\Cajua\[CAJUA_CF_SEC_New_27-Feb-2024Rev3.xlsx]D-PSNP'!$BE$25</t>
  </si>
  <si>
    <t>='C:\Users\jaime.benazar\Quorum Business Solutions\Ecopetrol Prometeo - Documents\Planning Space Implementation\3. Analysis &amp; Design\Design\FC22\DRR Jaime\QUIFA-CAJÚA\Cajua\[CAJUA_CF_SEC_New_27-Feb-2024Rev3.xlsx]D-PSNP'!$BE$26</t>
  </si>
  <si>
    <t>='C:\Users\jaime.benazar\Quorum Business Solutions\Ecopetrol Prometeo - Documents\Planning Space Implementation\3. Analysis &amp; Design\Design\FC22\DRR Jaime\QUIFA-CAJÚA\Cajua\[CAJUA_CF_SEC_New_27-Feb-2024Rev3.xlsx]D-PSNP'!$BE$27</t>
  </si>
  <si>
    <t>='C:\Users\jaime.benazar\Quorum Business Solutions\Ecopetrol Prometeo - Documents\Planning Space Implementation\3. Analysis &amp; Design\Design\FC22\DRR Jaime\QUIFA-CAJÚA\Cajua\[CAJUA_CF_SEC_New_27-Feb-2024Rev3.xlsx]D-PSNP'!$BE$28</t>
  </si>
  <si>
    <t>='C:\Users\jaime.benazar\Quorum Business Solutions\Ecopetrol Prometeo - Documents\Planning Space Implementation\3. Analysis &amp; Design\Design\FC22\DRR Jaime\QUIFA-CAJÚA\Cajua\[CAJUA_CF_SEC_New_27-Feb-2024Rev3.xlsx]D-PSNP'!$BE$29</t>
  </si>
  <si>
    <t>='C:\Users\jaime.benazar\Quorum Business Solutions\Ecopetrol Prometeo - Documents\Planning Space Implementation\3. Analysis &amp; Design\Design\FC22\DRR Jaime\QUIFA-CAJÚA\Cajua\[CAJUA_CF_SEC_New_27-Feb-2024Rev3.xlsx]D-PSNP'!$BE$30</t>
  </si>
  <si>
    <t>='C:\Users\jaime.benazar\Quorum Business Solutions\Ecopetrol Prometeo - Documents\Planning Space Implementation\3. Analysis &amp; Design\Design\FC22\DRR Jaime\QUIFA-CAJÚA\Cajua\[CAJUA_CF_SEC_New_27-Feb-2024Rev3.xlsx]D-PSNP'!$BE$31</t>
  </si>
  <si>
    <t>='C:\Users\jaime.benazar\Quorum Business Solutions\Ecopetrol Prometeo - Documents\Planning Space Implementation\3. Analysis &amp; Design\Design\FC22\DRR Jaime\QUIFA-CAJÚA\Cajua\[CAJUA_CF_SEC_New_27-Feb-2024Rev3.xlsx]D-PSNP'!$BE$32</t>
  </si>
  <si>
    <t>='C:\Users\jaime.benazar\Quorum Business Solutions\Ecopetrol Prometeo - Documents\Planning Space Implementation\3. Analysis &amp; Design\Design\FC22\DRR Jaime\QUIFA-CAJÚA\Cajua\[CAJUA_CF_SEC_New_27-Feb-2024Rev3.xlsx]D-PSNP'!$BE$33</t>
  </si>
  <si>
    <t>='C:\Users\jaime.benazar\Quorum Business Solutions\Ecopetrol Prometeo - Documents\Planning Space Implementation\3. Analysis &amp; Design\Design\FC22\DRR Jaime\QUIFA-CAJÚA\Cajua\[CAJUA_CF_SEC_New_27-Feb-2024Rev3.xlsx]D-PSNP'!$BE$34</t>
  </si>
  <si>
    <t>='C:\Users\jaime.benazar\Quorum Business Solutions\Ecopetrol Prometeo - Documents\Planning Space Implementation\3. Analysis &amp; Design\Design\FC22\DRR Jaime\QUIFA-CAJÚA\Cajua\[CAJUA_CF_SEC_New_27-Feb-2024Rev3.xlsx]D-PSNP'!$BE$35</t>
  </si>
  <si>
    <t>='C:\Users\jaime.benazar\Quorum Business Solutions\Ecopetrol Prometeo - Documents\Planning Space Implementation\3. Analysis &amp; Design\Design\FC22\DRR Jaime\QUIFA-CAJÚA\Cajua\[CAJUA_CF_SEC_New_27-Feb-2024Rev3.xlsx]D-PSNP'!$BE$36</t>
  </si>
  <si>
    <t>='C:\Users\jaime.benazar\Quorum Business Solutions\Ecopetrol Prometeo - Documents\Planning Space Implementation\3. Analysis &amp; Design\Design\FC22\DRR Jaime\QUIFA-CAJÚA\Cajua\[CAJUA_CF_SEC_New_27-Feb-2024Rev3.xlsx]D-PSNP'!$BE$37</t>
  </si>
  <si>
    <t>='C:\Users\jaime.benazar\Quorum Business Solutions\Ecopetrol Prometeo - Documents\Planning Space Implementation\3. Analysis &amp; Design\Design\FC22\DRR Jaime\QUIFA-CAJÚA\Cajua\[CAJUA_CF_SEC_New_27-Feb-2024Rev3.xlsx]D-PSNP'!$BE$38</t>
  </si>
  <si>
    <t>='C:\Users\jaime.benazar\Quorum Business Solutions\Ecopetrol Prometeo - Documents\Planning Space Implementation\3. Analysis &amp; Design\Design\FC22\DRR Jaime\QUIFA-CAJÚA\Cajua\[CAJUA_CF_SEC_New_27-Feb-2024Rev3.xlsx]D-PSNP'!$BE$39</t>
  </si>
  <si>
    <t>='C:\Users\jaime.benazar\Quorum Business Solutions\Ecopetrol Prometeo - Documents\Planning Space Implementation\3. Analysis &amp; Design\Design\FC22\DRR Jaime\QUIFA-CAJÚA\Cajua\[CAJUA_CF_SEC_New_27-Feb-2024Rev3.xlsx]D-PSNP'!$BE$40</t>
  </si>
  <si>
    <t>='C:\Users\jaime.benazar\Quorum Business Solutions\Ecopetrol Prometeo - Documents\Planning Space Implementation\3. Analysis &amp; Design\Design\FC22\DRR Jaime\QUIFA-CAJÚA\Cajua\[CAJUA_CF_SEC_New_27-Feb-2024Rev3.xlsx]D-PSNP'!$BE$41</t>
  </si>
  <si>
    <t>='C:\Users\jaime.benazar\Quorum Business Solutions\Ecopetrol Prometeo - Documents\Planning Space Implementation\3. Analysis &amp; Design\Design\FC22\DRR Jaime\QUIFA-CAJÚA\Cajua\[CAJUA_CF_SEC_New_27-Feb-2024Rev3.xlsx]D-PSNP'!$BE$42</t>
  </si>
  <si>
    <t>='C:\Users\jaime.benazar\Quorum Business Solutions\Ecopetrol Prometeo - Documents\Planning Space Implementation\3. Analysis &amp; Design\Design\FC22\DRR Jaime\QUIFA-CAJÚA\Cajua\[CAJUA_CF_SEC_New_27-Feb-2024Rev3.xlsx]D-PSNP'!$BE$43</t>
  </si>
  <si>
    <t>='C:\Users\jaime.benazar\Quorum Business Solutions\Ecopetrol Prometeo - Documents\Planning Space Implementation\3. Analysis &amp; Design\Design\FC22\DRR Jaime\QUIFA-CAJÚA\Cajua\[CAJUA_CF_SEC_New_27-Feb-2024Rev3.xlsx]D-PSNP'!$BE$44</t>
  </si>
  <si>
    <t>='C:\Users\jaime.benazar\Quorum Business Solutions\Ecopetrol Prometeo - Documents\Planning Space Implementation\3. Analysis &amp; Design\Design\FC22\DRR Jaime\QUIFA-CAJÚA\Cajua\[CAJUA_CF_SEC_New_27-Feb-2024Rev3.xlsx]D-PSNP'!$BE$45</t>
  </si>
  <si>
    <t>='C:\Users\jaime.benazar\Quorum Business Solutions\Ecopetrol Prometeo - Documents\Planning Space Implementation\3. Analysis &amp; Design\Design\FC22\DRR Jaime\QUIFA-CAJÚA\Cajua\[CAJUA_CF_SEC_New_27-Feb-2024Rev3.xlsx]D-PSNP'!$BE$46</t>
  </si>
  <si>
    <t>='C:\Users\jaime.benazar\Quorum Business Solutions\Ecopetrol Prometeo - Documents\Planning Space Implementation\3. Analysis &amp; Design\Design\FC22\DRR Jaime\QUIFA-CAJÚA\Cajua\[CAJUA_CF_SEC_New_27-Feb-2024Rev3.xlsx]D-PSNP'!$BE$47</t>
  </si>
  <si>
    <t>='C:\Users\jaime.benazar\Quorum Business Solutions\Ecopetrol Prometeo - Documents\Planning Space Implementation\3. Analysis &amp; Design\Design\FC22\DRR Jaime\QUIFA-CAJÚA\Cajua\[CAJUA_CF_SEC_New_27-Feb-2024Rev3.xlsx]D-PSNP'!$BE$48</t>
  </si>
  <si>
    <t>='C:\Users\jaime.benazar\Quorum Business Solutions\Ecopetrol Prometeo - Documents\Planning Space Implementation\3. Analysis &amp; Design\Design\FC22\DRR Jaime\QUIFA-CAJÚA\Cajua\[CAJUA_CF_SEC_New_27-Feb-2024Rev3.xlsx]D-PSND'!$BE$12</t>
  </si>
  <si>
    <t>='C:\Users\jaime.benazar\Quorum Business Solutions\Ecopetrol Prometeo - Documents\Planning Space Implementation\3. Analysis &amp; Design\Design\FC22\DRR Jaime\QUIFA-CAJÚA\Cajua\[CAJUA_CF_SEC_New_27-Feb-2024Rev3.xlsx]D-PSND'!$BE$13</t>
  </si>
  <si>
    <t>='C:\Users\jaime.benazar\Quorum Business Solutions\Ecopetrol Prometeo - Documents\Planning Space Implementation\3. Analysis &amp; Design\Design\FC22\DRR Jaime\QUIFA-CAJÚA\Cajua\[CAJUA_CF_SEC_New_27-Feb-2024Rev3.xlsx]D-PSND'!$BE$14</t>
  </si>
  <si>
    <t>='C:\Users\jaime.benazar\Quorum Business Solutions\Ecopetrol Prometeo - Documents\Planning Space Implementation\3. Analysis &amp; Design\Design\FC22\DRR Jaime\QUIFA-CAJÚA\Cajua\[CAJUA_CF_SEC_New_27-Feb-2024Rev3.xlsx]D-PSND'!$BE$15</t>
  </si>
  <si>
    <t>='C:\Users\jaime.benazar\Quorum Business Solutions\Ecopetrol Prometeo - Documents\Planning Space Implementation\3. Analysis &amp; Design\Design\FC22\DRR Jaime\QUIFA-CAJÚA\Cajua\[CAJUA_CF_SEC_New_27-Feb-2024Rev3.xlsx]D-PSND'!$BE$16</t>
  </si>
  <si>
    <t>='C:\Users\jaime.benazar\Quorum Business Solutions\Ecopetrol Prometeo - Documents\Planning Space Implementation\3. Analysis &amp; Design\Design\FC22\DRR Jaime\QUIFA-CAJÚA\Cajua\[CAJUA_CF_SEC_New_27-Feb-2024Rev3.xlsx]D-PSND'!$BE$17</t>
  </si>
  <si>
    <t>='C:\Users\jaime.benazar\Quorum Business Solutions\Ecopetrol Prometeo - Documents\Planning Space Implementation\3. Analysis &amp; Design\Design\FC22\DRR Jaime\QUIFA-CAJÚA\Cajua\[CAJUA_CF_SEC_New_27-Feb-2024Rev3.xlsx]D-PSND'!$BE$18</t>
  </si>
  <si>
    <t>='C:\Users\jaime.benazar\Quorum Business Solutions\Ecopetrol Prometeo - Documents\Planning Space Implementation\3. Analysis &amp; Design\Design\FC22\DRR Jaime\QUIFA-CAJÚA\Cajua\[CAJUA_CF_SEC_New_27-Feb-2024Rev3.xlsx]D-PSND'!$BE$19</t>
  </si>
  <si>
    <t>='C:\Users\jaime.benazar\Quorum Business Solutions\Ecopetrol Prometeo - Documents\Planning Space Implementation\3. Analysis &amp; Design\Design\FC22\DRR Jaime\QUIFA-CAJÚA\Cajua\[CAJUA_CF_SEC_New_27-Feb-2024Rev3.xlsx]D-PSND'!$BE$20</t>
  </si>
  <si>
    <t>='C:\Users\jaime.benazar\Quorum Business Solutions\Ecopetrol Prometeo - Documents\Planning Space Implementation\3. Analysis &amp; Design\Design\FC22\DRR Jaime\QUIFA-CAJÚA\Cajua\[CAJUA_CF_SEC_New_27-Feb-2024Rev3.xlsx]D-PSND'!$BE$21</t>
  </si>
  <si>
    <t>='C:\Users\jaime.benazar\Quorum Business Solutions\Ecopetrol Prometeo - Documents\Planning Space Implementation\3. Analysis &amp; Design\Design\FC22\DRR Jaime\QUIFA-CAJÚA\Cajua\[CAJUA_CF_SEC_New_27-Feb-2024Rev3.xlsx]D-PSND'!$BE$22</t>
  </si>
  <si>
    <t>='C:\Users\jaime.benazar\Quorum Business Solutions\Ecopetrol Prometeo - Documents\Planning Space Implementation\3. Analysis &amp; Design\Design\FC22\DRR Jaime\QUIFA-CAJÚA\Cajua\[CAJUA_CF_SEC_New_27-Feb-2024Rev3.xlsx]D-PSND'!$BE$23</t>
  </si>
  <si>
    <t>='C:\Users\jaime.benazar\Quorum Business Solutions\Ecopetrol Prometeo - Documents\Planning Space Implementation\3. Analysis &amp; Design\Design\FC22\DRR Jaime\QUIFA-CAJÚA\Cajua\[CAJUA_CF_SEC_New_27-Feb-2024Rev3.xlsx]D-PSND'!$BE$24</t>
  </si>
  <si>
    <t>='C:\Users\jaime.benazar\Quorum Business Solutions\Ecopetrol Prometeo - Documents\Planning Space Implementation\3. Analysis &amp; Design\Design\FC22\DRR Jaime\QUIFA-CAJÚA\Cajua\[CAJUA_CF_SEC_New_27-Feb-2024Rev3.xlsx]D-PSND'!$BE$25</t>
  </si>
  <si>
    <t>='C:\Users\jaime.benazar\Quorum Business Solutions\Ecopetrol Prometeo - Documents\Planning Space Implementation\3. Analysis &amp; Design\Design\FC22\DRR Jaime\QUIFA-CAJÚA\Cajua\[CAJUA_CF_SEC_New_27-Feb-2024Rev3.xlsx]D-PSND'!$BE$26</t>
  </si>
  <si>
    <t>='C:\Users\jaime.benazar\Quorum Business Solutions\Ecopetrol Prometeo - Documents\Planning Space Implementation\3. Analysis &amp; Design\Design\FC22\DRR Jaime\QUIFA-CAJÚA\Cajua\[CAJUA_CF_SEC_New_27-Feb-2024Rev3.xlsx]D-PSND'!$BE$27</t>
  </si>
  <si>
    <t>='C:\Users\jaime.benazar\Quorum Business Solutions\Ecopetrol Prometeo - Documents\Planning Space Implementation\3. Analysis &amp; Design\Design\FC22\DRR Jaime\QUIFA-CAJÚA\Cajua\[CAJUA_CF_SEC_New_27-Feb-2024Rev3.xlsx]D-PSND'!$BE$28</t>
  </si>
  <si>
    <t>='C:\Users\jaime.benazar\Quorum Business Solutions\Ecopetrol Prometeo - Documents\Planning Space Implementation\3. Analysis &amp; Design\Design\FC22\DRR Jaime\QUIFA-CAJÚA\Cajua\[CAJUA_CF_SEC_New_27-Feb-2024Rev3.xlsx]D-PSND'!$BE$29</t>
  </si>
  <si>
    <t>='C:\Users\jaime.benazar\Quorum Business Solutions\Ecopetrol Prometeo - Documents\Planning Space Implementation\3. Analysis &amp; Design\Design\FC22\DRR Jaime\QUIFA-CAJÚA\Cajua\[CAJUA_CF_SEC_New_27-Feb-2024Rev3.xlsx]D-PSND'!$BE$30</t>
  </si>
  <si>
    <t>='C:\Users\jaime.benazar\Quorum Business Solutions\Ecopetrol Prometeo - Documents\Planning Space Implementation\3. Analysis &amp; Design\Design\FC22\DRR Jaime\QUIFA-CAJÚA\Cajua\[CAJUA_CF_SEC_New_27-Feb-2024Rev3.xlsx]D-PSND'!$BE$31</t>
  </si>
  <si>
    <t>='C:\Users\jaime.benazar\Quorum Business Solutions\Ecopetrol Prometeo - Documents\Planning Space Implementation\3. Analysis &amp; Design\Design\FC22\DRR Jaime\QUIFA-CAJÚA\Cajua\[CAJUA_CF_SEC_New_27-Feb-2024Rev3.xlsx]D-PSND'!$BE$32</t>
  </si>
  <si>
    <t>='C:\Users\jaime.benazar\Quorum Business Solutions\Ecopetrol Prometeo - Documents\Planning Space Implementation\3. Analysis &amp; Design\Design\FC22\DRR Jaime\QUIFA-CAJÚA\Cajua\[CAJUA_CF_SEC_New_27-Feb-2024Rev3.xlsx]D-PSND'!$BE$33</t>
  </si>
  <si>
    <t>='C:\Users\jaime.benazar\Quorum Business Solutions\Ecopetrol Prometeo - Documents\Planning Space Implementation\3. Analysis &amp; Design\Design\FC22\DRR Jaime\QUIFA-CAJÚA\Cajua\[CAJUA_CF_SEC_New_27-Feb-2024Rev3.xlsx]D-PSND'!$BE$34</t>
  </si>
  <si>
    <t>='C:\Users\jaime.benazar\Quorum Business Solutions\Ecopetrol Prometeo - Documents\Planning Space Implementation\3. Analysis &amp; Design\Design\FC22\DRR Jaime\QUIFA-CAJÚA\Cajua\[CAJUA_CF_SEC_New_27-Feb-2024Rev3.xlsx]D-PSND'!$BE$35</t>
  </si>
  <si>
    <t>='C:\Users\jaime.benazar\Quorum Business Solutions\Ecopetrol Prometeo - Documents\Planning Space Implementation\3. Analysis &amp; Design\Design\FC22\DRR Jaime\QUIFA-CAJÚA\Cajua\[CAJUA_CF_SEC_New_27-Feb-2024Rev3.xlsx]D-PSND'!$BE$36</t>
  </si>
  <si>
    <t>='C:\Users\jaime.benazar\Quorum Business Solutions\Ecopetrol Prometeo - Documents\Planning Space Implementation\3. Analysis &amp; Design\Design\FC22\DRR Jaime\QUIFA-CAJÚA\Cajua\[CAJUA_CF_SEC_New_27-Feb-2024Rev3.xlsx]D-PSND'!$BE$37</t>
  </si>
  <si>
    <t>='C:\Users\jaime.benazar\Quorum Business Solutions\Ecopetrol Prometeo - Documents\Planning Space Implementation\3. Analysis &amp; Design\Design\FC22\DRR Jaime\QUIFA-CAJÚA\Cajua\[CAJUA_CF_SEC_New_27-Feb-2024Rev3.xlsx]D-PSND'!$BE$38</t>
  </si>
  <si>
    <t>='C:\Users\jaime.benazar\Quorum Business Solutions\Ecopetrol Prometeo - Documents\Planning Space Implementation\3. Analysis &amp; Design\Design\FC22\DRR Jaime\QUIFA-CAJÚA\Cajua\[CAJUA_CF_SEC_New_27-Feb-2024Rev3.xlsx]D-PSND'!$BE$39</t>
  </si>
  <si>
    <t>='C:\Users\jaime.benazar\Quorum Business Solutions\Ecopetrol Prometeo - Documents\Planning Space Implementation\3. Analysis &amp; Design\Design\FC22\DRR Jaime\QUIFA-CAJÚA\Cajua\[CAJUA_CF_SEC_New_27-Feb-2024Rev3.xlsx]D-PSND'!$BE$40</t>
  </si>
  <si>
    <t>='C:\Users\jaime.benazar\Quorum Business Solutions\Ecopetrol Prometeo - Documents\Planning Space Implementation\3. Analysis &amp; Design\Design\FC22\DRR Jaime\QUIFA-CAJÚA\Cajua\[CAJUA_CF_SEC_New_27-Feb-2024Rev3.xlsx]D-PSND'!$BE$41</t>
  </si>
  <si>
    <t>='C:\Users\jaime.benazar\Quorum Business Solutions\Ecopetrol Prometeo - Documents\Planning Space Implementation\3. Analysis &amp; Design\Design\FC22\DRR Jaime\QUIFA-CAJÚA\Cajua\[CAJUA_CF_SEC_New_27-Feb-2024Rev3.xlsx]D-PSND'!$BE$42</t>
  </si>
  <si>
    <t>='C:\Users\jaime.benazar\Quorum Business Solutions\Ecopetrol Prometeo - Documents\Planning Space Implementation\3. Analysis &amp; Design\Design\FC22\DRR Jaime\QUIFA-CAJÚA\Cajua\[CAJUA_CF_SEC_New_27-Feb-2024Rev3.xlsx]D-PSND'!$BE$43</t>
  </si>
  <si>
    <t>='C:\Users\jaime.benazar\Quorum Business Solutions\Ecopetrol Prometeo - Documents\Planning Space Implementation\3. Analysis &amp; Design\Design\FC22\DRR Jaime\QUIFA-CAJÚA\Cajua\[CAJUA_CF_SEC_New_27-Feb-2024Rev3.xlsx]D-PSND'!$BE$44</t>
  </si>
  <si>
    <t>='C:\Users\jaime.benazar\Quorum Business Solutions\Ecopetrol Prometeo - Documents\Planning Space Implementation\3. Analysis &amp; Design\Design\FC22\DRR Jaime\QUIFA-CAJÚA\Cajua\[CAJUA_CF_SEC_New_27-Feb-2024Rev3.xlsx]D-PSND'!$BE$45</t>
  </si>
  <si>
    <t>='C:\Users\jaime.benazar\Quorum Business Solutions\Ecopetrol Prometeo - Documents\Planning Space Implementation\3. Analysis &amp; Design\Design\FC22\DRR Jaime\QUIFA-CAJÚA\Cajua\[CAJUA_CF_SEC_New_27-Feb-2024Rev3.xlsx]D-PSND'!$BE$46</t>
  </si>
  <si>
    <t>='C:\Users\jaime.benazar\Quorum Business Solutions\Ecopetrol Prometeo - Documents\Planning Space Implementation\3. Analysis &amp; Design\Design\FC22\DRR Jaime\QUIFA-CAJÚA\Cajua\[CAJUA_CF_SEC_New_27-Feb-2024Rev3.xlsx]D-PSND'!$BE$47</t>
  </si>
  <si>
    <t>='C:\Users\jaime.benazar\Quorum Business Solutions\Ecopetrol Prometeo - Documents\Planning Space Implementation\3. Analysis &amp; Design\Design\FC22\DRR Jaime\QUIFA-CAJÚA\Cajua\[CAJUA_CF_SEC_New_27-Feb-2024Rev3.xlsx]D-PSND'!$BE$48</t>
  </si>
  <si>
    <t>='C:\Users\jaime.benazar\Quorum Business Solutions\Ecopetrol Prometeo - Documents\Planning Space Implementation\3. Analysis &amp; Design\Design\FC22\DRR Jaime\QUIFA-CAJÚA\Cajua\[CAJUA_CF_SEC_New_27-Feb-2024Rev3.xlsx]D-PS'!$BE$12</t>
  </si>
  <si>
    <t>='C:\Users\jaime.benazar\Quorum Business Solutions\Ecopetrol Prometeo - Documents\Planning Space Implementation\3. Analysis &amp; Design\Design\FC22\DRR Jaime\QUIFA-CAJÚA\Cajua\[CAJUA_CF_SEC_New_27-Feb-2024Rev3.xlsx]D-PS'!$BE$13</t>
  </si>
  <si>
    <t>='C:\Users\jaime.benazar\Quorum Business Solutions\Ecopetrol Prometeo - Documents\Planning Space Implementation\3. Analysis &amp; Design\Design\FC22\DRR Jaime\QUIFA-CAJÚA\Cajua\[CAJUA_CF_SEC_New_27-Feb-2024Rev3.xlsx]D-PS'!$BE$14</t>
  </si>
  <si>
    <t>='C:\Users\jaime.benazar\Quorum Business Solutions\Ecopetrol Prometeo - Documents\Planning Space Implementation\3. Analysis &amp; Design\Design\FC22\DRR Jaime\QUIFA-CAJÚA\Cajua\[CAJUA_CF_SEC_New_27-Feb-2024Rev3.xlsx]D-PS'!$BE$15</t>
  </si>
  <si>
    <t>='C:\Users\jaime.benazar\Quorum Business Solutions\Ecopetrol Prometeo - Documents\Planning Space Implementation\3. Analysis &amp; Design\Design\FC22\DRR Jaime\QUIFA-CAJÚA\Cajua\[CAJUA_CF_SEC_New_27-Feb-2024Rev3.xlsx]D-PS'!$BE$16</t>
  </si>
  <si>
    <t>='C:\Users\jaime.benazar\Quorum Business Solutions\Ecopetrol Prometeo - Documents\Planning Space Implementation\3. Analysis &amp; Design\Design\FC22\DRR Jaime\QUIFA-CAJÚA\Cajua\[CAJUA_CF_SEC_New_27-Feb-2024Rev3.xlsx]D-PS'!$BE$17</t>
  </si>
  <si>
    <t>='C:\Users\jaime.benazar\Quorum Business Solutions\Ecopetrol Prometeo - Documents\Planning Space Implementation\3. Analysis &amp; Design\Design\FC22\DRR Jaime\QUIFA-CAJÚA\Cajua\[CAJUA_CF_SEC_New_27-Feb-2024Rev3.xlsx]D-PS'!$BE$18</t>
  </si>
  <si>
    <t>='C:\Users\jaime.benazar\Quorum Business Solutions\Ecopetrol Prometeo - Documents\Planning Space Implementation\3. Analysis &amp; Design\Design\FC22\DRR Jaime\QUIFA-CAJÚA\Cajua\[CAJUA_CF_SEC_New_27-Feb-2024Rev3.xlsx]D-PS'!$BE$19</t>
  </si>
  <si>
    <t>='C:\Users\jaime.benazar\Quorum Business Solutions\Ecopetrol Prometeo - Documents\Planning Space Implementation\3. Analysis &amp; Design\Design\FC22\DRR Jaime\QUIFA-CAJÚA\Cajua\[CAJUA_CF_SEC_New_27-Feb-2024Rev3.xlsx]D-PS'!$BE$20</t>
  </si>
  <si>
    <t>='C:\Users\jaime.benazar\Quorum Business Solutions\Ecopetrol Prometeo - Documents\Planning Space Implementation\3. Analysis &amp; Design\Design\FC22\DRR Jaime\QUIFA-CAJÚA\Cajua\[CAJUA_CF_SEC_New_27-Feb-2024Rev3.xlsx]D-PS'!$BE$21</t>
  </si>
  <si>
    <t>='C:\Users\jaime.benazar\Quorum Business Solutions\Ecopetrol Prometeo - Documents\Planning Space Implementation\3. Analysis &amp; Design\Design\FC22\DRR Jaime\QUIFA-CAJÚA\Cajua\[CAJUA_CF_SEC_New_27-Feb-2024Rev3.xlsx]D-PS'!$BE$22</t>
  </si>
  <si>
    <t>='C:\Users\jaime.benazar\Quorum Business Solutions\Ecopetrol Prometeo - Documents\Planning Space Implementation\3. Analysis &amp; Design\Design\FC22\DRR Jaime\QUIFA-CAJÚA\Cajua\[CAJUA_CF_SEC_New_27-Feb-2024Rev3.xlsx]D-PS'!$BE$23</t>
  </si>
  <si>
    <t>='C:\Users\jaime.benazar\Quorum Business Solutions\Ecopetrol Prometeo - Documents\Planning Space Implementation\3. Analysis &amp; Design\Design\FC22\DRR Jaime\QUIFA-CAJÚA\Cajua\[CAJUA_CF_SEC_New_27-Feb-2024Rev3.xlsx]D-PS'!$BE$24</t>
  </si>
  <si>
    <t>='C:\Users\jaime.benazar\Quorum Business Solutions\Ecopetrol Prometeo - Documents\Planning Space Implementation\3. Analysis &amp; Design\Design\FC22\DRR Jaime\QUIFA-CAJÚA\Cajua\[CAJUA_CF_SEC_New_27-Feb-2024Rev3.xlsx]D-PS'!$BE$25</t>
  </si>
  <si>
    <t>='C:\Users\jaime.benazar\Quorum Business Solutions\Ecopetrol Prometeo - Documents\Planning Space Implementation\3. Analysis &amp; Design\Design\FC22\DRR Jaime\QUIFA-CAJÚA\Cajua\[CAJUA_CF_SEC_New_27-Feb-2024Rev3.xlsx]D-PS'!$BE$26</t>
  </si>
  <si>
    <t>='C:\Users\jaime.benazar\Quorum Business Solutions\Ecopetrol Prometeo - Documents\Planning Space Implementation\3. Analysis &amp; Design\Design\FC22\DRR Jaime\QUIFA-CAJÚA\Cajua\[CAJUA_CF_SEC_New_27-Feb-2024Rev3.xlsx]D-PS'!$BE$27</t>
  </si>
  <si>
    <t>='C:\Users\jaime.benazar\Quorum Business Solutions\Ecopetrol Prometeo - Documents\Planning Space Implementation\3. Analysis &amp; Design\Design\FC22\DRR Jaime\QUIFA-CAJÚA\Cajua\[CAJUA_CF_SEC_New_27-Feb-2024Rev3.xlsx]D-PS'!$BE$28</t>
  </si>
  <si>
    <t>='C:\Users\jaime.benazar\Quorum Business Solutions\Ecopetrol Prometeo - Documents\Planning Space Implementation\3. Analysis &amp; Design\Design\FC22\DRR Jaime\QUIFA-CAJÚA\Cajua\[CAJUA_CF_SEC_New_27-Feb-2024Rev3.xlsx]D-PS'!$BE$29</t>
  </si>
  <si>
    <t>='C:\Users\jaime.benazar\Quorum Business Solutions\Ecopetrol Prometeo - Documents\Planning Space Implementation\3. Analysis &amp; Design\Design\FC22\DRR Jaime\QUIFA-CAJÚA\Cajua\[CAJUA_CF_SEC_New_27-Feb-2024Rev3.xlsx]D-PS'!$BE$30</t>
  </si>
  <si>
    <t>='C:\Users\jaime.benazar\Quorum Business Solutions\Ecopetrol Prometeo - Documents\Planning Space Implementation\3. Analysis &amp; Design\Design\FC22\DRR Jaime\QUIFA-CAJÚA\Cajua\[CAJUA_CF_SEC_New_27-Feb-2024Rev3.xlsx]D-PS'!$BE$31</t>
  </si>
  <si>
    <t>='C:\Users\jaime.benazar\Quorum Business Solutions\Ecopetrol Prometeo - Documents\Planning Space Implementation\3. Analysis &amp; Design\Design\FC22\DRR Jaime\QUIFA-CAJÚA\Cajua\[CAJUA_CF_SEC_New_27-Feb-2024Rev3.xlsx]D-PS'!$BE$32</t>
  </si>
  <si>
    <t>='C:\Users\jaime.benazar\Quorum Business Solutions\Ecopetrol Prometeo - Documents\Planning Space Implementation\3. Analysis &amp; Design\Design\FC22\DRR Jaime\QUIFA-CAJÚA\Cajua\[CAJUA_CF_SEC_New_27-Feb-2024Rev3.xlsx]D-PS'!$BE$33</t>
  </si>
  <si>
    <t>='C:\Users\jaime.benazar\Quorum Business Solutions\Ecopetrol Prometeo - Documents\Planning Space Implementation\3. Analysis &amp; Design\Design\FC22\DRR Jaime\QUIFA-CAJÚA\Cajua\[CAJUA_CF_SEC_New_27-Feb-2024Rev3.xlsx]D-PS'!$BE$34</t>
  </si>
  <si>
    <t>='C:\Users\jaime.benazar\Quorum Business Solutions\Ecopetrol Prometeo - Documents\Planning Space Implementation\3. Analysis &amp; Design\Design\FC22\DRR Jaime\QUIFA-CAJÚA\Cajua\[CAJUA_CF_SEC_New_27-Feb-2024Rev3.xlsx]D-PS'!$BE$35</t>
  </si>
  <si>
    <t>='C:\Users\jaime.benazar\Quorum Business Solutions\Ecopetrol Prometeo - Documents\Planning Space Implementation\3. Analysis &amp; Design\Design\FC22\DRR Jaime\QUIFA-CAJÚA\Cajua\[CAJUA_CF_SEC_New_27-Feb-2024Rev3.xlsx]D-PS'!$BE$36</t>
  </si>
  <si>
    <t>='C:\Users\jaime.benazar\Quorum Business Solutions\Ecopetrol Prometeo - Documents\Planning Space Implementation\3. Analysis &amp; Design\Design\FC22\DRR Jaime\QUIFA-CAJÚA\Cajua\[CAJUA_CF_SEC_New_27-Feb-2024Rev3.xlsx]D-PS'!$BE$37</t>
  </si>
  <si>
    <t>='C:\Users\jaime.benazar\Quorum Business Solutions\Ecopetrol Prometeo - Documents\Planning Space Implementation\3. Analysis &amp; Design\Design\FC22\DRR Jaime\QUIFA-CAJÚA\Cajua\[CAJUA_CF_SEC_New_27-Feb-2024Rev3.xlsx]D-PS'!$BE$38</t>
  </si>
  <si>
    <t>='C:\Users\jaime.benazar\Quorum Business Solutions\Ecopetrol Prometeo - Documents\Planning Space Implementation\3. Analysis &amp; Design\Design\FC22\DRR Jaime\QUIFA-CAJÚA\Cajua\[CAJUA_CF_SEC_New_27-Feb-2024Rev3.xlsx]D-PS'!$BE$39</t>
  </si>
  <si>
    <t>='C:\Users\jaime.benazar\Quorum Business Solutions\Ecopetrol Prometeo - Documents\Planning Space Implementation\3. Analysis &amp; Design\Design\FC22\DRR Jaime\QUIFA-CAJÚA\Cajua\[CAJUA_CF_SEC_New_27-Feb-2024Rev3.xlsx]D-PS'!$BE$40</t>
  </si>
  <si>
    <t>='C:\Users\jaime.benazar\Quorum Business Solutions\Ecopetrol Prometeo - Documents\Planning Space Implementation\3. Analysis &amp; Design\Design\FC22\DRR Jaime\QUIFA-CAJÚA\Cajua\[CAJUA_CF_SEC_New_27-Feb-2024Rev3.xlsx]D-PS'!$BE$41</t>
  </si>
  <si>
    <t>='C:\Users\jaime.benazar\Quorum Business Solutions\Ecopetrol Prometeo - Documents\Planning Space Implementation\3. Analysis &amp; Design\Design\FC22\DRR Jaime\QUIFA-CAJÚA\Cajua\[CAJUA_CF_SEC_New_27-Feb-2024Rev3.xlsx]D-PS'!$BE$42</t>
  </si>
  <si>
    <t>='C:\Users\jaime.benazar\Quorum Business Solutions\Ecopetrol Prometeo - Documents\Planning Space Implementation\3. Analysis &amp; Design\Design\FC22\DRR Jaime\QUIFA-CAJÚA\Cajua\[CAJUA_CF_SEC_New_27-Feb-2024Rev3.xlsx]D-PS'!$BE$43</t>
  </si>
  <si>
    <t>='C:\Users\jaime.benazar\Quorum Business Solutions\Ecopetrol Prometeo - Documents\Planning Space Implementation\3. Analysis &amp; Design\Design\FC22\DRR Jaime\QUIFA-CAJÚA\Cajua\[CAJUA_CF_SEC_New_27-Feb-2024Rev3.xlsx]D-PS'!$BE$44</t>
  </si>
  <si>
    <t>='C:\Users\jaime.benazar\Quorum Business Solutions\Ecopetrol Prometeo - Documents\Planning Space Implementation\3. Analysis &amp; Design\Design\FC22\DRR Jaime\QUIFA-CAJÚA\Cajua\[CAJUA_CF_SEC_New_27-Feb-2024Rev3.xlsx]D-PS'!$BE$45</t>
  </si>
  <si>
    <t>='C:\Users\jaime.benazar\Quorum Business Solutions\Ecopetrol Prometeo - Documents\Planning Space Implementation\3. Analysis &amp; Design\Design\FC22\DRR Jaime\QUIFA-CAJÚA\Cajua\[CAJUA_CF_SEC_New_27-Feb-2024Rev3.xlsx]D-PS'!$BE$46</t>
  </si>
  <si>
    <t>='C:\Users\jaime.benazar\Quorum Business Solutions\Ecopetrol Prometeo - Documents\Planning Space Implementation\3. Analysis &amp; Design\Design\FC22\DRR Jaime\QUIFA-CAJÚA\Cajua\[CAJUA_CF_SEC_New_27-Feb-2024Rev3.xlsx]D-PS'!$BE$47</t>
  </si>
  <si>
    <t>='C:\Users\jaime.benazar\Quorum Business Solutions\Ecopetrol Prometeo - Documents\Planning Space Implementation\3. Analysis &amp; Design\Design\FC22\DRR Jaime\QUIFA-CAJÚA\Cajua\[CAJUA_CF_SEC_New_27-Feb-2024Rev3.xlsx]D-PS'!$BE$48</t>
  </si>
  <si>
    <t>='C:\Users\jaime.benazar\Quorum Business Solutions\Ecopetrol Prometeo - Documents\Planning Space Implementation\3. Analysis &amp; Design\Design\FC22\DRR Jaime\QUIFA-CAJÚA\Cajua\[CAJUA_CF_SEC_New_27-Feb-2024Rev3.xlsx]D-PDP'!$CB$12</t>
  </si>
  <si>
    <t>='C:\Users\jaime.benazar\Quorum Business Solutions\Ecopetrol Prometeo - Documents\Planning Space Implementation\3. Analysis &amp; Design\Design\FC22\DRR Jaime\QUIFA-CAJÚA\Cajua\[CAJUA_CF_SEC_New_27-Feb-2024Rev3.xlsx]D-PDP'!$CB$13</t>
  </si>
  <si>
    <t>='C:\Users\jaime.benazar\Quorum Business Solutions\Ecopetrol Prometeo - Documents\Planning Space Implementation\3. Analysis &amp; Design\Design\FC22\DRR Jaime\QUIFA-CAJÚA\Cajua\[CAJUA_CF_SEC_New_27-Feb-2024Rev3.xlsx]D-PDP'!$CB$14</t>
  </si>
  <si>
    <t>='C:\Users\jaime.benazar\Quorum Business Solutions\Ecopetrol Prometeo - Documents\Planning Space Implementation\3. Analysis &amp; Design\Design\FC22\DRR Jaime\QUIFA-CAJÚA\Cajua\[CAJUA_CF_SEC_New_27-Feb-2024Rev3.xlsx]D-PDP'!$CB$15</t>
  </si>
  <si>
    <t>='C:\Users\jaime.benazar\Quorum Business Solutions\Ecopetrol Prometeo - Documents\Planning Space Implementation\3. Analysis &amp; Design\Design\FC22\DRR Jaime\QUIFA-CAJÚA\Cajua\[CAJUA_CF_SEC_New_27-Feb-2024Rev3.xlsx]D-PDP'!$CB$16</t>
  </si>
  <si>
    <t>='C:\Users\jaime.benazar\Quorum Business Solutions\Ecopetrol Prometeo - Documents\Planning Space Implementation\3. Analysis &amp; Design\Design\FC22\DRR Jaime\QUIFA-CAJÚA\Cajua\[CAJUA_CF_SEC_New_27-Feb-2024Rev3.xlsx]D-PDP'!$CB$17</t>
  </si>
  <si>
    <t>='C:\Users\jaime.benazar\Quorum Business Solutions\Ecopetrol Prometeo - Documents\Planning Space Implementation\3. Analysis &amp; Design\Design\FC22\DRR Jaime\QUIFA-CAJÚA\Cajua\[CAJUA_CF_SEC_New_27-Feb-2024Rev3.xlsx]D-PDP'!$CB$18</t>
  </si>
  <si>
    <t>='C:\Users\jaime.benazar\Quorum Business Solutions\Ecopetrol Prometeo - Documents\Planning Space Implementation\3. Analysis &amp; Design\Design\FC22\DRR Jaime\QUIFA-CAJÚA\Cajua\[CAJUA_CF_SEC_New_27-Feb-2024Rev3.xlsx]D-PDP'!$CB$19</t>
  </si>
  <si>
    <t>='C:\Users\jaime.benazar\Quorum Business Solutions\Ecopetrol Prometeo - Documents\Planning Space Implementation\3. Analysis &amp; Design\Design\FC22\DRR Jaime\QUIFA-CAJÚA\Cajua\[CAJUA_CF_SEC_New_27-Feb-2024Rev3.xlsx]D-PDP'!$CB$20</t>
  </si>
  <si>
    <t>='C:\Users\jaime.benazar\Quorum Business Solutions\Ecopetrol Prometeo - Documents\Planning Space Implementation\3. Analysis &amp; Design\Design\FC22\DRR Jaime\QUIFA-CAJÚA\Cajua\[CAJUA_CF_SEC_New_27-Feb-2024Rev3.xlsx]D-PDP'!$CB$21</t>
  </si>
  <si>
    <t>='C:\Users\jaime.benazar\Quorum Business Solutions\Ecopetrol Prometeo - Documents\Planning Space Implementation\3. Analysis &amp; Design\Design\FC22\DRR Jaime\QUIFA-CAJÚA\Cajua\[CAJUA_CF_SEC_New_27-Feb-2024Rev3.xlsx]D-PDP'!$CB$22</t>
  </si>
  <si>
    <t>='C:\Users\jaime.benazar\Quorum Business Solutions\Ecopetrol Prometeo - Documents\Planning Space Implementation\3. Analysis &amp; Design\Design\FC22\DRR Jaime\QUIFA-CAJÚA\Cajua\[CAJUA_CF_SEC_New_27-Feb-2024Rev3.xlsx]D-PDP'!$CB$23</t>
  </si>
  <si>
    <t>='C:\Users\jaime.benazar\Quorum Business Solutions\Ecopetrol Prometeo - Documents\Planning Space Implementation\3. Analysis &amp; Design\Design\FC22\DRR Jaime\QUIFA-CAJÚA\Cajua\[CAJUA_CF_SEC_New_27-Feb-2024Rev3.xlsx]D-PDP'!$CB$24</t>
  </si>
  <si>
    <t>='C:\Users\jaime.benazar\Quorum Business Solutions\Ecopetrol Prometeo - Documents\Planning Space Implementation\3. Analysis &amp; Design\Design\FC22\DRR Jaime\QUIFA-CAJÚA\Cajua\[CAJUA_CF_SEC_New_27-Feb-2024Rev3.xlsx]D-PDP'!$CB$25</t>
  </si>
  <si>
    <t>='C:\Users\jaime.benazar\Quorum Business Solutions\Ecopetrol Prometeo - Documents\Planning Space Implementation\3. Analysis &amp; Design\Design\FC22\DRR Jaime\QUIFA-CAJÚA\Cajua\[CAJUA_CF_SEC_New_27-Feb-2024Rev3.xlsx]D-PDP'!$CB$26</t>
  </si>
  <si>
    <t>='C:\Users\jaime.benazar\Quorum Business Solutions\Ecopetrol Prometeo - Documents\Planning Space Implementation\3. Analysis &amp; Design\Design\FC22\DRR Jaime\QUIFA-CAJÚA\Cajua\[CAJUA_CF_SEC_New_27-Feb-2024Rev3.xlsx]D-PDP'!$CB$27</t>
  </si>
  <si>
    <t>='C:\Users\jaime.benazar\Quorum Business Solutions\Ecopetrol Prometeo - Documents\Planning Space Implementation\3. Analysis &amp; Design\Design\FC22\DRR Jaime\QUIFA-CAJÚA\Cajua\[CAJUA_CF_SEC_New_27-Feb-2024Rev3.xlsx]D-PDP'!$CB$28</t>
  </si>
  <si>
    <t>='C:\Users\jaime.benazar\Quorum Business Solutions\Ecopetrol Prometeo - Documents\Planning Space Implementation\3. Analysis &amp; Design\Design\FC22\DRR Jaime\QUIFA-CAJÚA\Cajua\[CAJUA_CF_SEC_New_27-Feb-2024Rev3.xlsx]D-PDP'!$CB$29</t>
  </si>
  <si>
    <t>='C:\Users\jaime.benazar\Quorum Business Solutions\Ecopetrol Prometeo - Documents\Planning Space Implementation\3. Analysis &amp; Design\Design\FC22\DRR Jaime\QUIFA-CAJÚA\Cajua\[CAJUA_CF_SEC_New_27-Feb-2024Rev3.xlsx]D-PDP'!$CB$30</t>
  </si>
  <si>
    <t>='C:\Users\jaime.benazar\Quorum Business Solutions\Ecopetrol Prometeo - Documents\Planning Space Implementation\3. Analysis &amp; Design\Design\FC22\DRR Jaime\QUIFA-CAJÚA\Cajua\[CAJUA_CF_SEC_New_27-Feb-2024Rev3.xlsx]D-PDP'!$CB$31</t>
  </si>
  <si>
    <t>='C:\Users\jaime.benazar\Quorum Business Solutions\Ecopetrol Prometeo - Documents\Planning Space Implementation\3. Analysis &amp; Design\Design\FC22\DRR Jaime\QUIFA-CAJÚA\Cajua\[CAJUA_CF_SEC_New_27-Feb-2024Rev3.xlsx]D-PDP'!$CB$32</t>
  </si>
  <si>
    <t>='C:\Users\jaime.benazar\Quorum Business Solutions\Ecopetrol Prometeo - Documents\Planning Space Implementation\3. Analysis &amp; Design\Design\FC22\DRR Jaime\QUIFA-CAJÚA\Cajua\[CAJUA_CF_SEC_New_27-Feb-2024Rev3.xlsx]D-PDP'!$CB$33</t>
  </si>
  <si>
    <t>='C:\Users\jaime.benazar\Quorum Business Solutions\Ecopetrol Prometeo - Documents\Planning Space Implementation\3. Analysis &amp; Design\Design\FC22\DRR Jaime\QUIFA-CAJÚA\Cajua\[CAJUA_CF_SEC_New_27-Feb-2024Rev3.xlsx]D-PDP'!$CB$34</t>
  </si>
  <si>
    <t>='C:\Users\jaime.benazar\Quorum Business Solutions\Ecopetrol Prometeo - Documents\Planning Space Implementation\3. Analysis &amp; Design\Design\FC22\DRR Jaime\QUIFA-CAJÚA\Cajua\[CAJUA_CF_SEC_New_27-Feb-2024Rev3.xlsx]D-PDP'!$CB$35</t>
  </si>
  <si>
    <t>='C:\Users\jaime.benazar\Quorum Business Solutions\Ecopetrol Prometeo - Documents\Planning Space Implementation\3. Analysis &amp; Design\Design\FC22\DRR Jaime\QUIFA-CAJÚA\Cajua\[CAJUA_CF_SEC_New_27-Feb-2024Rev3.xlsx]D-PDP'!$CB$36</t>
  </si>
  <si>
    <t>='C:\Users\jaime.benazar\Quorum Business Solutions\Ecopetrol Prometeo - Documents\Planning Space Implementation\3. Analysis &amp; Design\Design\FC22\DRR Jaime\QUIFA-CAJÚA\Cajua\[CAJUA_CF_SEC_New_27-Feb-2024Rev3.xlsx]D-PDP'!$CB$37</t>
  </si>
  <si>
    <t>='C:\Users\jaime.benazar\Quorum Business Solutions\Ecopetrol Prometeo - Documents\Planning Space Implementation\3. Analysis &amp; Design\Design\FC22\DRR Jaime\QUIFA-CAJÚA\Cajua\[CAJUA_CF_SEC_New_27-Feb-2024Rev3.xlsx]D-PDP'!$CB$38</t>
  </si>
  <si>
    <t>='C:\Users\jaime.benazar\Quorum Business Solutions\Ecopetrol Prometeo - Documents\Planning Space Implementation\3. Analysis &amp; Design\Design\FC22\DRR Jaime\QUIFA-CAJÚA\Cajua\[CAJUA_CF_SEC_New_27-Feb-2024Rev3.xlsx]D-PDP'!$CB$39</t>
  </si>
  <si>
    <t>='C:\Users\jaime.benazar\Quorum Business Solutions\Ecopetrol Prometeo - Documents\Planning Space Implementation\3. Analysis &amp; Design\Design\FC22\DRR Jaime\QUIFA-CAJÚA\Cajua\[CAJUA_CF_SEC_New_27-Feb-2024Rev3.xlsx]D-PDP'!$CB$40</t>
  </si>
  <si>
    <t>='C:\Users\jaime.benazar\Quorum Business Solutions\Ecopetrol Prometeo - Documents\Planning Space Implementation\3. Analysis &amp; Design\Design\FC22\DRR Jaime\QUIFA-CAJÚA\Cajua\[CAJUA_CF_SEC_New_27-Feb-2024Rev3.xlsx]D-PDP'!$CB$41</t>
  </si>
  <si>
    <t>='C:\Users\jaime.benazar\Quorum Business Solutions\Ecopetrol Prometeo - Documents\Planning Space Implementation\3. Analysis &amp; Design\Design\FC22\DRR Jaime\QUIFA-CAJÚA\Cajua\[CAJUA_CF_SEC_New_27-Feb-2024Rev3.xlsx]D-PDP'!$CB$42</t>
  </si>
  <si>
    <t>='C:\Users\jaime.benazar\Quorum Business Solutions\Ecopetrol Prometeo - Documents\Planning Space Implementation\3. Analysis &amp; Design\Design\FC22\DRR Jaime\QUIFA-CAJÚA\Cajua\[CAJUA_CF_SEC_New_27-Feb-2024Rev3.xlsx]D-PDP'!$CB$43</t>
  </si>
  <si>
    <t>='C:\Users\jaime.benazar\Quorum Business Solutions\Ecopetrol Prometeo - Documents\Planning Space Implementation\3. Analysis &amp; Design\Design\FC22\DRR Jaime\QUIFA-CAJÚA\Cajua\[CAJUA_CF_SEC_New_27-Feb-2024Rev3.xlsx]D-PDP'!$CB$44</t>
  </si>
  <si>
    <t>='C:\Users\jaime.benazar\Quorum Business Solutions\Ecopetrol Prometeo - Documents\Planning Space Implementation\3. Analysis &amp; Design\Design\FC22\DRR Jaime\QUIFA-CAJÚA\Cajua\[CAJUA_CF_SEC_New_27-Feb-2024Rev3.xlsx]D-PDP'!$CB$45</t>
  </si>
  <si>
    <t>='C:\Users\jaime.benazar\Quorum Business Solutions\Ecopetrol Prometeo - Documents\Planning Space Implementation\3. Analysis &amp; Design\Design\FC22\DRR Jaime\QUIFA-CAJÚA\Cajua\[CAJUA_CF_SEC_New_27-Feb-2024Rev3.xlsx]D-PDP'!$CB$46</t>
  </si>
  <si>
    <t>='C:\Users\jaime.benazar\Quorum Business Solutions\Ecopetrol Prometeo - Documents\Planning Space Implementation\3. Analysis &amp; Design\Design\FC22\DRR Jaime\QUIFA-CAJÚA\Cajua\[CAJUA_CF_SEC_New_27-Feb-2024Rev3.xlsx]D-PDP'!$CB$47</t>
  </si>
  <si>
    <t>='C:\Users\jaime.benazar\Quorum Business Solutions\Ecopetrol Prometeo - Documents\Planning Space Implementation\3. Analysis &amp; Design\Design\FC22\DRR Jaime\QUIFA-CAJÚA\Cajua\[CAJUA_CF_SEC_New_27-Feb-2024Rev3.xlsx]D-PDP'!$CB$48</t>
  </si>
  <si>
    <t>='C:\Users\jaime.benazar\Quorum Business Solutions\Ecopetrol Prometeo - Documents\Planning Space Implementation\3. Analysis &amp; Design\Design\FC22\DRR Jaime\QUIFA-CAJÚA\Cajua\[CAJUA_CF_SEC_New_27-Feb-2024Rev3.xlsx]D-PNP'!$CB$12</t>
  </si>
  <si>
    <t>='C:\Users\jaime.benazar\Quorum Business Solutions\Ecopetrol Prometeo - Documents\Planning Space Implementation\3. Analysis &amp; Design\Design\FC22\DRR Jaime\QUIFA-CAJÚA\Cajua\[CAJUA_CF_SEC_New_27-Feb-2024Rev3.xlsx]D-PNP'!$CB$13</t>
  </si>
  <si>
    <t>='C:\Users\jaime.benazar\Quorum Business Solutions\Ecopetrol Prometeo - Documents\Planning Space Implementation\3. Analysis &amp; Design\Design\FC22\DRR Jaime\QUIFA-CAJÚA\Cajua\[CAJUA_CF_SEC_New_27-Feb-2024Rev3.xlsx]D-PNP'!$CB$14</t>
  </si>
  <si>
    <t>='C:\Users\jaime.benazar\Quorum Business Solutions\Ecopetrol Prometeo - Documents\Planning Space Implementation\3. Analysis &amp; Design\Design\FC22\DRR Jaime\QUIFA-CAJÚA\Cajua\[CAJUA_CF_SEC_New_27-Feb-2024Rev3.xlsx]D-PNP'!$CB$15</t>
  </si>
  <si>
    <t>='C:\Users\jaime.benazar\Quorum Business Solutions\Ecopetrol Prometeo - Documents\Planning Space Implementation\3. Analysis &amp; Design\Design\FC22\DRR Jaime\QUIFA-CAJÚA\Cajua\[CAJUA_CF_SEC_New_27-Feb-2024Rev3.xlsx]D-PNP'!$CB$16</t>
  </si>
  <si>
    <t>='C:\Users\jaime.benazar\Quorum Business Solutions\Ecopetrol Prometeo - Documents\Planning Space Implementation\3. Analysis &amp; Design\Design\FC22\DRR Jaime\QUIFA-CAJÚA\Cajua\[CAJUA_CF_SEC_New_27-Feb-2024Rev3.xlsx]D-PNP'!$CB$17</t>
  </si>
  <si>
    <t>='C:\Users\jaime.benazar\Quorum Business Solutions\Ecopetrol Prometeo - Documents\Planning Space Implementation\3. Analysis &amp; Design\Design\FC22\DRR Jaime\QUIFA-CAJÚA\Cajua\[CAJUA_CF_SEC_New_27-Feb-2024Rev3.xlsx]D-PNP'!$CB$18</t>
  </si>
  <si>
    <t>='C:\Users\jaime.benazar\Quorum Business Solutions\Ecopetrol Prometeo - Documents\Planning Space Implementation\3. Analysis &amp; Design\Design\FC22\DRR Jaime\QUIFA-CAJÚA\Cajua\[CAJUA_CF_SEC_New_27-Feb-2024Rev3.xlsx]D-PNP'!$CB$19</t>
  </si>
  <si>
    <t>='C:\Users\jaime.benazar\Quorum Business Solutions\Ecopetrol Prometeo - Documents\Planning Space Implementation\3. Analysis &amp; Design\Design\FC22\DRR Jaime\QUIFA-CAJÚA\Cajua\[CAJUA_CF_SEC_New_27-Feb-2024Rev3.xlsx]D-PNP'!$CB$20</t>
  </si>
  <si>
    <t>='C:\Users\jaime.benazar\Quorum Business Solutions\Ecopetrol Prometeo - Documents\Planning Space Implementation\3. Analysis &amp; Design\Design\FC22\DRR Jaime\QUIFA-CAJÚA\Cajua\[CAJUA_CF_SEC_New_27-Feb-2024Rev3.xlsx]D-PNP'!$CB$21</t>
  </si>
  <si>
    <t>='C:\Users\jaime.benazar\Quorum Business Solutions\Ecopetrol Prometeo - Documents\Planning Space Implementation\3. Analysis &amp; Design\Design\FC22\DRR Jaime\QUIFA-CAJÚA\Cajua\[CAJUA_CF_SEC_New_27-Feb-2024Rev3.xlsx]D-PNP'!$CB$22</t>
  </si>
  <si>
    <t>='C:\Users\jaime.benazar\Quorum Business Solutions\Ecopetrol Prometeo - Documents\Planning Space Implementation\3. Analysis &amp; Design\Design\FC22\DRR Jaime\QUIFA-CAJÚA\Cajua\[CAJUA_CF_SEC_New_27-Feb-2024Rev3.xlsx]D-PNP'!$CB$23</t>
  </si>
  <si>
    <t>='C:\Users\jaime.benazar\Quorum Business Solutions\Ecopetrol Prometeo - Documents\Planning Space Implementation\3. Analysis &amp; Design\Design\FC22\DRR Jaime\QUIFA-CAJÚA\Cajua\[CAJUA_CF_SEC_New_27-Feb-2024Rev3.xlsx]D-PNP'!$CB$24</t>
  </si>
  <si>
    <t>='C:\Users\jaime.benazar\Quorum Business Solutions\Ecopetrol Prometeo - Documents\Planning Space Implementation\3. Analysis &amp; Design\Design\FC22\DRR Jaime\QUIFA-CAJÚA\Cajua\[CAJUA_CF_SEC_New_27-Feb-2024Rev3.xlsx]D-PNP'!$CB$25</t>
  </si>
  <si>
    <t>='C:\Users\jaime.benazar\Quorum Business Solutions\Ecopetrol Prometeo - Documents\Planning Space Implementation\3. Analysis &amp; Design\Design\FC22\DRR Jaime\QUIFA-CAJÚA\Cajua\[CAJUA_CF_SEC_New_27-Feb-2024Rev3.xlsx]D-PNP'!$CB$26</t>
  </si>
  <si>
    <t>='C:\Users\jaime.benazar\Quorum Business Solutions\Ecopetrol Prometeo - Documents\Planning Space Implementation\3. Analysis &amp; Design\Design\FC22\DRR Jaime\QUIFA-CAJÚA\Cajua\[CAJUA_CF_SEC_New_27-Feb-2024Rev3.xlsx]D-PNP'!$CB$27</t>
  </si>
  <si>
    <t>='C:\Users\jaime.benazar\Quorum Business Solutions\Ecopetrol Prometeo - Documents\Planning Space Implementation\3. Analysis &amp; Design\Design\FC22\DRR Jaime\QUIFA-CAJÚA\Cajua\[CAJUA_CF_SEC_New_27-Feb-2024Rev3.xlsx]D-PNP'!$CB$28</t>
  </si>
  <si>
    <t>='C:\Users\jaime.benazar\Quorum Business Solutions\Ecopetrol Prometeo - Documents\Planning Space Implementation\3. Analysis &amp; Design\Design\FC22\DRR Jaime\QUIFA-CAJÚA\Cajua\[CAJUA_CF_SEC_New_27-Feb-2024Rev3.xlsx]D-PNP'!$CB$29</t>
  </si>
  <si>
    <t>='C:\Users\jaime.benazar\Quorum Business Solutions\Ecopetrol Prometeo - Documents\Planning Space Implementation\3. Analysis &amp; Design\Design\FC22\DRR Jaime\QUIFA-CAJÚA\Cajua\[CAJUA_CF_SEC_New_27-Feb-2024Rev3.xlsx]D-PNP'!$CB$30</t>
  </si>
  <si>
    <t>='C:\Users\jaime.benazar\Quorum Business Solutions\Ecopetrol Prometeo - Documents\Planning Space Implementation\3. Analysis &amp; Design\Design\FC22\DRR Jaime\QUIFA-CAJÚA\Cajua\[CAJUA_CF_SEC_New_27-Feb-2024Rev3.xlsx]D-PNP'!$CB$31</t>
  </si>
  <si>
    <t>='C:\Users\jaime.benazar\Quorum Business Solutions\Ecopetrol Prometeo - Documents\Planning Space Implementation\3. Analysis &amp; Design\Design\FC22\DRR Jaime\QUIFA-CAJÚA\Cajua\[CAJUA_CF_SEC_New_27-Feb-2024Rev3.xlsx]D-PNP'!$CB$32</t>
  </si>
  <si>
    <t>='C:\Users\jaime.benazar\Quorum Business Solutions\Ecopetrol Prometeo - Documents\Planning Space Implementation\3. Analysis &amp; Design\Design\FC22\DRR Jaime\QUIFA-CAJÚA\Cajua\[CAJUA_CF_SEC_New_27-Feb-2024Rev3.xlsx]D-PNP'!$CB$33</t>
  </si>
  <si>
    <t>='C:\Users\jaime.benazar\Quorum Business Solutions\Ecopetrol Prometeo - Documents\Planning Space Implementation\3. Analysis &amp; Design\Design\FC22\DRR Jaime\QUIFA-CAJÚA\Cajua\[CAJUA_CF_SEC_New_27-Feb-2024Rev3.xlsx]D-PNP'!$CB$34</t>
  </si>
  <si>
    <t>='C:\Users\jaime.benazar\Quorum Business Solutions\Ecopetrol Prometeo - Documents\Planning Space Implementation\3. Analysis &amp; Design\Design\FC22\DRR Jaime\QUIFA-CAJÚA\Cajua\[CAJUA_CF_SEC_New_27-Feb-2024Rev3.xlsx]D-PNP'!$CB$35</t>
  </si>
  <si>
    <t>='C:\Users\jaime.benazar\Quorum Business Solutions\Ecopetrol Prometeo - Documents\Planning Space Implementation\3. Analysis &amp; Design\Design\FC22\DRR Jaime\QUIFA-CAJÚA\Cajua\[CAJUA_CF_SEC_New_27-Feb-2024Rev3.xlsx]D-PNP'!$CB$36</t>
  </si>
  <si>
    <t>='C:\Users\jaime.benazar\Quorum Business Solutions\Ecopetrol Prometeo - Documents\Planning Space Implementation\3. Analysis &amp; Design\Design\FC22\DRR Jaime\QUIFA-CAJÚA\Cajua\[CAJUA_CF_SEC_New_27-Feb-2024Rev3.xlsx]D-PNP'!$CB$37</t>
  </si>
  <si>
    <t>='C:\Users\jaime.benazar\Quorum Business Solutions\Ecopetrol Prometeo - Documents\Planning Space Implementation\3. Analysis &amp; Design\Design\FC22\DRR Jaime\QUIFA-CAJÚA\Cajua\[CAJUA_CF_SEC_New_27-Feb-2024Rev3.xlsx]D-PNP'!$CB$38</t>
  </si>
  <si>
    <t>='C:\Users\jaime.benazar\Quorum Business Solutions\Ecopetrol Prometeo - Documents\Planning Space Implementation\3. Analysis &amp; Design\Design\FC22\DRR Jaime\QUIFA-CAJÚA\Cajua\[CAJUA_CF_SEC_New_27-Feb-2024Rev3.xlsx]D-PNP'!$CB$39</t>
  </si>
  <si>
    <t>='C:\Users\jaime.benazar\Quorum Business Solutions\Ecopetrol Prometeo - Documents\Planning Space Implementation\3. Analysis &amp; Design\Design\FC22\DRR Jaime\QUIFA-CAJÚA\Cajua\[CAJUA_CF_SEC_New_27-Feb-2024Rev3.xlsx]D-PNP'!$CB$40</t>
  </si>
  <si>
    <t>='C:\Users\jaime.benazar\Quorum Business Solutions\Ecopetrol Prometeo - Documents\Planning Space Implementation\3. Analysis &amp; Design\Design\FC22\DRR Jaime\QUIFA-CAJÚA\Cajua\[CAJUA_CF_SEC_New_27-Feb-2024Rev3.xlsx]D-PNP'!$CB$41</t>
  </si>
  <si>
    <t>='C:\Users\jaime.benazar\Quorum Business Solutions\Ecopetrol Prometeo - Documents\Planning Space Implementation\3. Analysis &amp; Design\Design\FC22\DRR Jaime\QUIFA-CAJÚA\Cajua\[CAJUA_CF_SEC_New_27-Feb-2024Rev3.xlsx]D-PNP'!$CB$42</t>
  </si>
  <si>
    <t>='C:\Users\jaime.benazar\Quorum Business Solutions\Ecopetrol Prometeo - Documents\Planning Space Implementation\3. Analysis &amp; Design\Design\FC22\DRR Jaime\QUIFA-CAJÚA\Cajua\[CAJUA_CF_SEC_New_27-Feb-2024Rev3.xlsx]D-PNP'!$CB$43</t>
  </si>
  <si>
    <t>='C:\Users\jaime.benazar\Quorum Business Solutions\Ecopetrol Prometeo - Documents\Planning Space Implementation\3. Analysis &amp; Design\Design\FC22\DRR Jaime\QUIFA-CAJÚA\Cajua\[CAJUA_CF_SEC_New_27-Feb-2024Rev3.xlsx]D-PNP'!$CB$44</t>
  </si>
  <si>
    <t>='C:\Users\jaime.benazar\Quorum Business Solutions\Ecopetrol Prometeo - Documents\Planning Space Implementation\3. Analysis &amp; Design\Design\FC22\DRR Jaime\QUIFA-CAJÚA\Cajua\[CAJUA_CF_SEC_New_27-Feb-2024Rev3.xlsx]D-PNP'!$CB$45</t>
  </si>
  <si>
    <t>='C:\Users\jaime.benazar\Quorum Business Solutions\Ecopetrol Prometeo - Documents\Planning Space Implementation\3. Analysis &amp; Design\Design\FC22\DRR Jaime\QUIFA-CAJÚA\Cajua\[CAJUA_CF_SEC_New_27-Feb-2024Rev3.xlsx]D-PNP'!$CB$46</t>
  </si>
  <si>
    <t>='C:\Users\jaime.benazar\Quorum Business Solutions\Ecopetrol Prometeo - Documents\Planning Space Implementation\3. Analysis &amp; Design\Design\FC22\DRR Jaime\QUIFA-CAJÚA\Cajua\[CAJUA_CF_SEC_New_27-Feb-2024Rev3.xlsx]D-PNP'!$CB$47</t>
  </si>
  <si>
    <t>='C:\Users\jaime.benazar\Quorum Business Solutions\Ecopetrol Prometeo - Documents\Planning Space Implementation\3. Analysis &amp; Design\Design\FC22\DRR Jaime\QUIFA-CAJÚA\Cajua\[CAJUA_CF_SEC_New_27-Feb-2024Rev3.xlsx]D-PNP'!$CB$48</t>
  </si>
  <si>
    <t>='C:\Users\jaime.benazar\Quorum Business Solutions\Ecopetrol Prometeo - Documents\Planning Space Implementation\3. Analysis &amp; Design\Design\FC22\DRR Jaime\QUIFA-CAJÚA\Cajua\[CAJUA_CF_SEC_New_27-Feb-2024Rev3.xlsx]D-PND'!$CB$12</t>
  </si>
  <si>
    <t>='C:\Users\jaime.benazar\Quorum Business Solutions\Ecopetrol Prometeo - Documents\Planning Space Implementation\3. Analysis &amp; Design\Design\FC22\DRR Jaime\QUIFA-CAJÚA\Cajua\[CAJUA_CF_SEC_New_27-Feb-2024Rev3.xlsx]D-PND'!$CB$13</t>
  </si>
  <si>
    <t>='C:\Users\jaime.benazar\Quorum Business Solutions\Ecopetrol Prometeo - Documents\Planning Space Implementation\3. Analysis &amp; Design\Design\FC22\DRR Jaime\QUIFA-CAJÚA\Cajua\[CAJUA_CF_SEC_New_27-Feb-2024Rev3.xlsx]D-PND'!$CB$14</t>
  </si>
  <si>
    <t>='C:\Users\jaime.benazar\Quorum Business Solutions\Ecopetrol Prometeo - Documents\Planning Space Implementation\3. Analysis &amp; Design\Design\FC22\DRR Jaime\QUIFA-CAJÚA\Cajua\[CAJUA_CF_SEC_New_27-Feb-2024Rev3.xlsx]D-PND'!$CB$15</t>
  </si>
  <si>
    <t>='C:\Users\jaime.benazar\Quorum Business Solutions\Ecopetrol Prometeo - Documents\Planning Space Implementation\3. Analysis &amp; Design\Design\FC22\DRR Jaime\QUIFA-CAJÚA\Cajua\[CAJUA_CF_SEC_New_27-Feb-2024Rev3.xlsx]D-PND'!$CB$16</t>
  </si>
  <si>
    <t>='C:\Users\jaime.benazar\Quorum Business Solutions\Ecopetrol Prometeo - Documents\Planning Space Implementation\3. Analysis &amp; Design\Design\FC22\DRR Jaime\QUIFA-CAJÚA\Cajua\[CAJUA_CF_SEC_New_27-Feb-2024Rev3.xlsx]D-PND'!$CB$17</t>
  </si>
  <si>
    <t>='C:\Users\jaime.benazar\Quorum Business Solutions\Ecopetrol Prometeo - Documents\Planning Space Implementation\3. Analysis &amp; Design\Design\FC22\DRR Jaime\QUIFA-CAJÚA\Cajua\[CAJUA_CF_SEC_New_27-Feb-2024Rev3.xlsx]D-PND'!$CB$18</t>
  </si>
  <si>
    <t>='C:\Users\jaime.benazar\Quorum Business Solutions\Ecopetrol Prometeo - Documents\Planning Space Implementation\3. Analysis &amp; Design\Design\FC22\DRR Jaime\QUIFA-CAJÚA\Cajua\[CAJUA_CF_SEC_New_27-Feb-2024Rev3.xlsx]D-PND'!$CB$19</t>
  </si>
  <si>
    <t>='C:\Users\jaime.benazar\Quorum Business Solutions\Ecopetrol Prometeo - Documents\Planning Space Implementation\3. Analysis &amp; Design\Design\FC22\DRR Jaime\QUIFA-CAJÚA\Cajua\[CAJUA_CF_SEC_New_27-Feb-2024Rev3.xlsx]D-PND'!$CB$20</t>
  </si>
  <si>
    <t>='C:\Users\jaime.benazar\Quorum Business Solutions\Ecopetrol Prometeo - Documents\Planning Space Implementation\3. Analysis &amp; Design\Design\FC22\DRR Jaime\QUIFA-CAJÚA\Cajua\[CAJUA_CF_SEC_New_27-Feb-2024Rev3.xlsx]D-PND'!$CB$21</t>
  </si>
  <si>
    <t>='C:\Users\jaime.benazar\Quorum Business Solutions\Ecopetrol Prometeo - Documents\Planning Space Implementation\3. Analysis &amp; Design\Design\FC22\DRR Jaime\QUIFA-CAJÚA\Cajua\[CAJUA_CF_SEC_New_27-Feb-2024Rev3.xlsx]D-PND'!$CB$22</t>
  </si>
  <si>
    <t>='C:\Users\jaime.benazar\Quorum Business Solutions\Ecopetrol Prometeo - Documents\Planning Space Implementation\3. Analysis &amp; Design\Design\FC22\DRR Jaime\QUIFA-CAJÚA\Cajua\[CAJUA_CF_SEC_New_27-Feb-2024Rev3.xlsx]D-PND'!$CB$23</t>
  </si>
  <si>
    <t>='C:\Users\jaime.benazar\Quorum Business Solutions\Ecopetrol Prometeo - Documents\Planning Space Implementation\3. Analysis &amp; Design\Design\FC22\DRR Jaime\QUIFA-CAJÚA\Cajua\[CAJUA_CF_SEC_New_27-Feb-2024Rev3.xlsx]D-PND'!$CB$24</t>
  </si>
  <si>
    <t>='C:\Users\jaime.benazar\Quorum Business Solutions\Ecopetrol Prometeo - Documents\Planning Space Implementation\3. Analysis &amp; Design\Design\FC22\DRR Jaime\QUIFA-CAJÚA\Cajua\[CAJUA_CF_SEC_New_27-Feb-2024Rev3.xlsx]D-PND'!$CB$25</t>
  </si>
  <si>
    <t>='C:\Users\jaime.benazar\Quorum Business Solutions\Ecopetrol Prometeo - Documents\Planning Space Implementation\3. Analysis &amp; Design\Design\FC22\DRR Jaime\QUIFA-CAJÚA\Cajua\[CAJUA_CF_SEC_New_27-Feb-2024Rev3.xlsx]D-PND'!$CB$26</t>
  </si>
  <si>
    <t>='C:\Users\jaime.benazar\Quorum Business Solutions\Ecopetrol Prometeo - Documents\Planning Space Implementation\3. Analysis &amp; Design\Design\FC22\DRR Jaime\QUIFA-CAJÚA\Cajua\[CAJUA_CF_SEC_New_27-Feb-2024Rev3.xlsx]D-PND'!$CB$27</t>
  </si>
  <si>
    <t>='C:\Users\jaime.benazar\Quorum Business Solutions\Ecopetrol Prometeo - Documents\Planning Space Implementation\3. Analysis &amp; Design\Design\FC22\DRR Jaime\QUIFA-CAJÚA\Cajua\[CAJUA_CF_SEC_New_27-Feb-2024Rev3.xlsx]D-PND'!$CB$28</t>
  </si>
  <si>
    <t>='C:\Users\jaime.benazar\Quorum Business Solutions\Ecopetrol Prometeo - Documents\Planning Space Implementation\3. Analysis &amp; Design\Design\FC22\DRR Jaime\QUIFA-CAJÚA\Cajua\[CAJUA_CF_SEC_New_27-Feb-2024Rev3.xlsx]D-PND'!$CB$29</t>
  </si>
  <si>
    <t>='C:\Users\jaime.benazar\Quorum Business Solutions\Ecopetrol Prometeo - Documents\Planning Space Implementation\3. Analysis &amp; Design\Design\FC22\DRR Jaime\QUIFA-CAJÚA\Cajua\[CAJUA_CF_SEC_New_27-Feb-2024Rev3.xlsx]D-PND'!$CB$30</t>
  </si>
  <si>
    <t>='C:\Users\jaime.benazar\Quorum Business Solutions\Ecopetrol Prometeo - Documents\Planning Space Implementation\3. Analysis &amp; Design\Design\FC22\DRR Jaime\QUIFA-CAJÚA\Cajua\[CAJUA_CF_SEC_New_27-Feb-2024Rev3.xlsx]D-PND'!$CB$31</t>
  </si>
  <si>
    <t>='C:\Users\jaime.benazar\Quorum Business Solutions\Ecopetrol Prometeo - Documents\Planning Space Implementation\3. Analysis &amp; Design\Design\FC22\DRR Jaime\QUIFA-CAJÚA\Cajua\[CAJUA_CF_SEC_New_27-Feb-2024Rev3.xlsx]D-PND'!$CB$32</t>
  </si>
  <si>
    <t>='C:\Users\jaime.benazar\Quorum Business Solutions\Ecopetrol Prometeo - Documents\Planning Space Implementation\3. Analysis &amp; Design\Design\FC22\DRR Jaime\QUIFA-CAJÚA\Cajua\[CAJUA_CF_SEC_New_27-Feb-2024Rev3.xlsx]D-PND'!$CB$33</t>
  </si>
  <si>
    <t>='C:\Users\jaime.benazar\Quorum Business Solutions\Ecopetrol Prometeo - Documents\Planning Space Implementation\3. Analysis &amp; Design\Design\FC22\DRR Jaime\QUIFA-CAJÚA\Cajua\[CAJUA_CF_SEC_New_27-Feb-2024Rev3.xlsx]D-PND'!$CB$34</t>
  </si>
  <si>
    <t>='C:\Users\jaime.benazar\Quorum Business Solutions\Ecopetrol Prometeo - Documents\Planning Space Implementation\3. Analysis &amp; Design\Design\FC22\DRR Jaime\QUIFA-CAJÚA\Cajua\[CAJUA_CF_SEC_New_27-Feb-2024Rev3.xlsx]D-PND'!$CB$35</t>
  </si>
  <si>
    <t>='C:\Users\jaime.benazar\Quorum Business Solutions\Ecopetrol Prometeo - Documents\Planning Space Implementation\3. Analysis &amp; Design\Design\FC22\DRR Jaime\QUIFA-CAJÚA\Cajua\[CAJUA_CF_SEC_New_27-Feb-2024Rev3.xlsx]D-PND'!$CB$36</t>
  </si>
  <si>
    <t>='C:\Users\jaime.benazar\Quorum Business Solutions\Ecopetrol Prometeo - Documents\Planning Space Implementation\3. Analysis &amp; Design\Design\FC22\DRR Jaime\QUIFA-CAJÚA\Cajua\[CAJUA_CF_SEC_New_27-Feb-2024Rev3.xlsx]D-PND'!$CB$37</t>
  </si>
  <si>
    <t>='C:\Users\jaime.benazar\Quorum Business Solutions\Ecopetrol Prometeo - Documents\Planning Space Implementation\3. Analysis &amp; Design\Design\FC22\DRR Jaime\QUIFA-CAJÚA\Cajua\[CAJUA_CF_SEC_New_27-Feb-2024Rev3.xlsx]D-PND'!$CB$38</t>
  </si>
  <si>
    <t>='C:\Users\jaime.benazar\Quorum Business Solutions\Ecopetrol Prometeo - Documents\Planning Space Implementation\3. Analysis &amp; Design\Design\FC22\DRR Jaime\QUIFA-CAJÚA\Cajua\[CAJUA_CF_SEC_New_27-Feb-2024Rev3.xlsx]D-PND'!$CB$39</t>
  </si>
  <si>
    <t>='C:\Users\jaime.benazar\Quorum Business Solutions\Ecopetrol Prometeo - Documents\Planning Space Implementation\3. Analysis &amp; Design\Design\FC22\DRR Jaime\QUIFA-CAJÚA\Cajua\[CAJUA_CF_SEC_New_27-Feb-2024Rev3.xlsx]D-PND'!$CB$40</t>
  </si>
  <si>
    <t>='C:\Users\jaime.benazar\Quorum Business Solutions\Ecopetrol Prometeo - Documents\Planning Space Implementation\3. Analysis &amp; Design\Design\FC22\DRR Jaime\QUIFA-CAJÚA\Cajua\[CAJUA_CF_SEC_New_27-Feb-2024Rev3.xlsx]D-PND'!$CB$41</t>
  </si>
  <si>
    <t>='C:\Users\jaime.benazar\Quorum Business Solutions\Ecopetrol Prometeo - Documents\Planning Space Implementation\3. Analysis &amp; Design\Design\FC22\DRR Jaime\QUIFA-CAJÚA\Cajua\[CAJUA_CF_SEC_New_27-Feb-2024Rev3.xlsx]D-PND'!$CB$42</t>
  </si>
  <si>
    <t>='C:\Users\jaime.benazar\Quorum Business Solutions\Ecopetrol Prometeo - Documents\Planning Space Implementation\3. Analysis &amp; Design\Design\FC22\DRR Jaime\QUIFA-CAJÚA\Cajua\[CAJUA_CF_SEC_New_27-Feb-2024Rev3.xlsx]D-PND'!$CB$43</t>
  </si>
  <si>
    <t>='C:\Users\jaime.benazar\Quorum Business Solutions\Ecopetrol Prometeo - Documents\Planning Space Implementation\3. Analysis &amp; Design\Design\FC22\DRR Jaime\QUIFA-CAJÚA\Cajua\[CAJUA_CF_SEC_New_27-Feb-2024Rev3.xlsx]D-PND'!$CB$44</t>
  </si>
  <si>
    <t>='C:\Users\jaime.benazar\Quorum Business Solutions\Ecopetrol Prometeo - Documents\Planning Space Implementation\3. Analysis &amp; Design\Design\FC22\DRR Jaime\QUIFA-CAJÚA\Cajua\[CAJUA_CF_SEC_New_27-Feb-2024Rev3.xlsx]D-PND'!$CB$45</t>
  </si>
  <si>
    <t>='C:\Users\jaime.benazar\Quorum Business Solutions\Ecopetrol Prometeo - Documents\Planning Space Implementation\3. Analysis &amp; Design\Design\FC22\DRR Jaime\QUIFA-CAJÚA\Cajua\[CAJUA_CF_SEC_New_27-Feb-2024Rev3.xlsx]D-PND'!$CB$46</t>
  </si>
  <si>
    <t>='C:\Users\jaime.benazar\Quorum Business Solutions\Ecopetrol Prometeo - Documents\Planning Space Implementation\3. Analysis &amp; Design\Design\FC22\DRR Jaime\QUIFA-CAJÚA\Cajua\[CAJUA_CF_SEC_New_27-Feb-2024Rev3.xlsx]D-PND'!$CB$47</t>
  </si>
  <si>
    <t>='C:\Users\jaime.benazar\Quorum Business Solutions\Ecopetrol Prometeo - Documents\Planning Space Implementation\3. Analysis &amp; Design\Design\FC22\DRR Jaime\QUIFA-CAJÚA\Cajua\[CAJUA_CF_SEC_New_27-Feb-2024Rev3.xlsx]D-PND'!$CB$48</t>
  </si>
  <si>
    <t>='C:\Users\jaime.benazar\Quorum Business Solutions\Ecopetrol Prometeo - Documents\Planning Space Implementation\3. Analysis &amp; Design\Design\FC22\DRR Jaime\QUIFA-CAJÚA\Cajua\[CAJUA_CF_SEC_New_27-Feb-2024Rev3.xlsx]D-PRB'!$CB$12</t>
  </si>
  <si>
    <t>='C:\Users\jaime.benazar\Quorum Business Solutions\Ecopetrol Prometeo - Documents\Planning Space Implementation\3. Analysis &amp; Design\Design\FC22\DRR Jaime\QUIFA-CAJÚA\Cajua\[CAJUA_CF_SEC_New_27-Feb-2024Rev3.xlsx]D-PRB'!$CB$13</t>
  </si>
  <si>
    <t>='C:\Users\jaime.benazar\Quorum Business Solutions\Ecopetrol Prometeo - Documents\Planning Space Implementation\3. Analysis &amp; Design\Design\FC22\DRR Jaime\QUIFA-CAJÚA\Cajua\[CAJUA_CF_SEC_New_27-Feb-2024Rev3.xlsx]D-PRB'!$CB$14</t>
  </si>
  <si>
    <t>='C:\Users\jaime.benazar\Quorum Business Solutions\Ecopetrol Prometeo - Documents\Planning Space Implementation\3. Analysis &amp; Design\Design\FC22\DRR Jaime\QUIFA-CAJÚA\Cajua\[CAJUA_CF_SEC_New_27-Feb-2024Rev3.xlsx]D-PRB'!$CB$15</t>
  </si>
  <si>
    <t>='C:\Users\jaime.benazar\Quorum Business Solutions\Ecopetrol Prometeo - Documents\Planning Space Implementation\3. Analysis &amp; Design\Design\FC22\DRR Jaime\QUIFA-CAJÚA\Cajua\[CAJUA_CF_SEC_New_27-Feb-2024Rev3.xlsx]D-PRB'!$CB$16</t>
  </si>
  <si>
    <t>='C:\Users\jaime.benazar\Quorum Business Solutions\Ecopetrol Prometeo - Documents\Planning Space Implementation\3. Analysis &amp; Design\Design\FC22\DRR Jaime\QUIFA-CAJÚA\Cajua\[CAJUA_CF_SEC_New_27-Feb-2024Rev3.xlsx]D-PRB'!$CB$17</t>
  </si>
  <si>
    <t>='C:\Users\jaime.benazar\Quorum Business Solutions\Ecopetrol Prometeo - Documents\Planning Space Implementation\3. Analysis &amp; Design\Design\FC22\DRR Jaime\QUIFA-CAJÚA\Cajua\[CAJUA_CF_SEC_New_27-Feb-2024Rev3.xlsx]D-PRB'!$CB$18</t>
  </si>
  <si>
    <t>='C:\Users\jaime.benazar\Quorum Business Solutions\Ecopetrol Prometeo - Documents\Planning Space Implementation\3. Analysis &amp; Design\Design\FC22\DRR Jaime\QUIFA-CAJÚA\Cajua\[CAJUA_CF_SEC_New_27-Feb-2024Rev3.xlsx]D-PRB'!$CB$19</t>
  </si>
  <si>
    <t>='C:\Users\jaime.benazar\Quorum Business Solutions\Ecopetrol Prometeo - Documents\Planning Space Implementation\3. Analysis &amp; Design\Design\FC22\DRR Jaime\QUIFA-CAJÚA\Cajua\[CAJUA_CF_SEC_New_27-Feb-2024Rev3.xlsx]D-PRB'!$CB$20</t>
  </si>
  <si>
    <t>='C:\Users\jaime.benazar\Quorum Business Solutions\Ecopetrol Prometeo - Documents\Planning Space Implementation\3. Analysis &amp; Design\Design\FC22\DRR Jaime\QUIFA-CAJÚA\Cajua\[CAJUA_CF_SEC_New_27-Feb-2024Rev3.xlsx]D-PRB'!$CB$21</t>
  </si>
  <si>
    <t>='C:\Users\jaime.benazar\Quorum Business Solutions\Ecopetrol Prometeo - Documents\Planning Space Implementation\3. Analysis &amp; Design\Design\FC22\DRR Jaime\QUIFA-CAJÚA\Cajua\[CAJUA_CF_SEC_New_27-Feb-2024Rev3.xlsx]D-PRB'!$CB$22</t>
  </si>
  <si>
    <t>='C:\Users\jaime.benazar\Quorum Business Solutions\Ecopetrol Prometeo - Documents\Planning Space Implementation\3. Analysis &amp; Design\Design\FC22\DRR Jaime\QUIFA-CAJÚA\Cajua\[CAJUA_CF_SEC_New_27-Feb-2024Rev3.xlsx]D-PRB'!$CB$23</t>
  </si>
  <si>
    <t>='C:\Users\jaime.benazar\Quorum Business Solutions\Ecopetrol Prometeo - Documents\Planning Space Implementation\3. Analysis &amp; Design\Design\FC22\DRR Jaime\QUIFA-CAJÚA\Cajua\[CAJUA_CF_SEC_New_27-Feb-2024Rev3.xlsx]D-PRB'!$CB$24</t>
  </si>
  <si>
    <t>='C:\Users\jaime.benazar\Quorum Business Solutions\Ecopetrol Prometeo - Documents\Planning Space Implementation\3. Analysis &amp; Design\Design\FC22\DRR Jaime\QUIFA-CAJÚA\Cajua\[CAJUA_CF_SEC_New_27-Feb-2024Rev3.xlsx]D-PRB'!$CB$25</t>
  </si>
  <si>
    <t>='C:\Users\jaime.benazar\Quorum Business Solutions\Ecopetrol Prometeo - Documents\Planning Space Implementation\3. Analysis &amp; Design\Design\FC22\DRR Jaime\QUIFA-CAJÚA\Cajua\[CAJUA_CF_SEC_New_27-Feb-2024Rev3.xlsx]D-PRB'!$CB$26</t>
  </si>
  <si>
    <t>='C:\Users\jaime.benazar\Quorum Business Solutions\Ecopetrol Prometeo - Documents\Planning Space Implementation\3. Analysis &amp; Design\Design\FC22\DRR Jaime\QUIFA-CAJÚA\Cajua\[CAJUA_CF_SEC_New_27-Feb-2024Rev3.xlsx]D-PRB'!$CB$27</t>
  </si>
  <si>
    <t>='C:\Users\jaime.benazar\Quorum Business Solutions\Ecopetrol Prometeo - Documents\Planning Space Implementation\3. Analysis &amp; Design\Design\FC22\DRR Jaime\QUIFA-CAJÚA\Cajua\[CAJUA_CF_SEC_New_27-Feb-2024Rev3.xlsx]D-PRB'!$CB$28</t>
  </si>
  <si>
    <t>='C:\Users\jaime.benazar\Quorum Business Solutions\Ecopetrol Prometeo - Documents\Planning Space Implementation\3. Analysis &amp; Design\Design\FC22\DRR Jaime\QUIFA-CAJÚA\Cajua\[CAJUA_CF_SEC_New_27-Feb-2024Rev3.xlsx]D-PRB'!$CB$29</t>
  </si>
  <si>
    <t>='C:\Users\jaime.benazar\Quorum Business Solutions\Ecopetrol Prometeo - Documents\Planning Space Implementation\3. Analysis &amp; Design\Design\FC22\DRR Jaime\QUIFA-CAJÚA\Cajua\[CAJUA_CF_SEC_New_27-Feb-2024Rev3.xlsx]D-PRB'!$CB$30</t>
  </si>
  <si>
    <t>='C:\Users\jaime.benazar\Quorum Business Solutions\Ecopetrol Prometeo - Documents\Planning Space Implementation\3. Analysis &amp; Design\Design\FC22\DRR Jaime\QUIFA-CAJÚA\Cajua\[CAJUA_CF_SEC_New_27-Feb-2024Rev3.xlsx]D-PRB'!$CB$31</t>
  </si>
  <si>
    <t>='C:\Users\jaime.benazar\Quorum Business Solutions\Ecopetrol Prometeo - Documents\Planning Space Implementation\3. Analysis &amp; Design\Design\FC22\DRR Jaime\QUIFA-CAJÚA\Cajua\[CAJUA_CF_SEC_New_27-Feb-2024Rev3.xlsx]D-PRB'!$CB$32</t>
  </si>
  <si>
    <t>='C:\Users\jaime.benazar\Quorum Business Solutions\Ecopetrol Prometeo - Documents\Planning Space Implementation\3. Analysis &amp; Design\Design\FC22\DRR Jaime\QUIFA-CAJÚA\Cajua\[CAJUA_CF_SEC_New_27-Feb-2024Rev3.xlsx]D-PRB'!$CB$33</t>
  </si>
  <si>
    <t>='C:\Users\jaime.benazar\Quorum Business Solutions\Ecopetrol Prometeo - Documents\Planning Space Implementation\3. Analysis &amp; Design\Design\FC22\DRR Jaime\QUIFA-CAJÚA\Cajua\[CAJUA_CF_SEC_New_27-Feb-2024Rev3.xlsx]D-PRB'!$CB$34</t>
  </si>
  <si>
    <t>='C:\Users\jaime.benazar\Quorum Business Solutions\Ecopetrol Prometeo - Documents\Planning Space Implementation\3. Analysis &amp; Design\Design\FC22\DRR Jaime\QUIFA-CAJÚA\Cajua\[CAJUA_CF_SEC_New_27-Feb-2024Rev3.xlsx]D-PRB'!$CB$35</t>
  </si>
  <si>
    <t>='C:\Users\jaime.benazar\Quorum Business Solutions\Ecopetrol Prometeo - Documents\Planning Space Implementation\3. Analysis &amp; Design\Design\FC22\DRR Jaime\QUIFA-CAJÚA\Cajua\[CAJUA_CF_SEC_New_27-Feb-2024Rev3.xlsx]D-PRB'!$CB$36</t>
  </si>
  <si>
    <t>='C:\Users\jaime.benazar\Quorum Business Solutions\Ecopetrol Prometeo - Documents\Planning Space Implementation\3. Analysis &amp; Design\Design\FC22\DRR Jaime\QUIFA-CAJÚA\Cajua\[CAJUA_CF_SEC_New_27-Feb-2024Rev3.xlsx]D-PRB'!$CB$37</t>
  </si>
  <si>
    <t>='C:\Users\jaime.benazar\Quorum Business Solutions\Ecopetrol Prometeo - Documents\Planning Space Implementation\3. Analysis &amp; Design\Design\FC22\DRR Jaime\QUIFA-CAJÚA\Cajua\[CAJUA_CF_SEC_New_27-Feb-2024Rev3.xlsx]D-PRB'!$CB$38</t>
  </si>
  <si>
    <t>='C:\Users\jaime.benazar\Quorum Business Solutions\Ecopetrol Prometeo - Documents\Planning Space Implementation\3. Analysis &amp; Design\Design\FC22\DRR Jaime\QUIFA-CAJÚA\Cajua\[CAJUA_CF_SEC_New_27-Feb-2024Rev3.xlsx]D-PRB'!$CB$39</t>
  </si>
  <si>
    <t>='C:\Users\jaime.benazar\Quorum Business Solutions\Ecopetrol Prometeo - Documents\Planning Space Implementation\3. Analysis &amp; Design\Design\FC22\DRR Jaime\QUIFA-CAJÚA\Cajua\[CAJUA_CF_SEC_New_27-Feb-2024Rev3.xlsx]D-PRB'!$CB$40</t>
  </si>
  <si>
    <t>='C:\Users\jaime.benazar\Quorum Business Solutions\Ecopetrol Prometeo - Documents\Planning Space Implementation\3. Analysis &amp; Design\Design\FC22\DRR Jaime\QUIFA-CAJÚA\Cajua\[CAJUA_CF_SEC_New_27-Feb-2024Rev3.xlsx]D-PRB'!$CB$41</t>
  </si>
  <si>
    <t>='C:\Users\jaime.benazar\Quorum Business Solutions\Ecopetrol Prometeo - Documents\Planning Space Implementation\3. Analysis &amp; Design\Design\FC22\DRR Jaime\QUIFA-CAJÚA\Cajua\[CAJUA_CF_SEC_New_27-Feb-2024Rev3.xlsx]D-PRB'!$CB$42</t>
  </si>
  <si>
    <t>='C:\Users\jaime.benazar\Quorum Business Solutions\Ecopetrol Prometeo - Documents\Planning Space Implementation\3. Analysis &amp; Design\Design\FC22\DRR Jaime\QUIFA-CAJÚA\Cajua\[CAJUA_CF_SEC_New_27-Feb-2024Rev3.xlsx]D-PRB'!$CB$43</t>
  </si>
  <si>
    <t>='C:\Users\jaime.benazar\Quorum Business Solutions\Ecopetrol Prometeo - Documents\Planning Space Implementation\3. Analysis &amp; Design\Design\FC22\DRR Jaime\QUIFA-CAJÚA\Cajua\[CAJUA_CF_SEC_New_27-Feb-2024Rev3.xlsx]D-PRB'!$CB$44</t>
  </si>
  <si>
    <t>='C:\Users\jaime.benazar\Quorum Business Solutions\Ecopetrol Prometeo - Documents\Planning Space Implementation\3. Analysis &amp; Design\Design\FC22\DRR Jaime\QUIFA-CAJÚA\Cajua\[CAJUA_CF_SEC_New_27-Feb-2024Rev3.xlsx]D-PRB'!$CB$45</t>
  </si>
  <si>
    <t>='C:\Users\jaime.benazar\Quorum Business Solutions\Ecopetrol Prometeo - Documents\Planning Space Implementation\3. Analysis &amp; Design\Design\FC22\DRR Jaime\QUIFA-CAJÚA\Cajua\[CAJUA_CF_SEC_New_27-Feb-2024Rev3.xlsx]D-PRB'!$CB$46</t>
  </si>
  <si>
    <t>='C:\Users\jaime.benazar\Quorum Business Solutions\Ecopetrol Prometeo - Documents\Planning Space Implementation\3. Analysis &amp; Design\Design\FC22\DRR Jaime\QUIFA-CAJÚA\Cajua\[CAJUA_CF_SEC_New_27-Feb-2024Rev3.xlsx]D-PRB'!$CB$47</t>
  </si>
  <si>
    <t>='C:\Users\jaime.benazar\Quorum Business Solutions\Ecopetrol Prometeo - Documents\Planning Space Implementation\3. Analysis &amp; Design\Design\FC22\DRR Jaime\QUIFA-CAJÚA\Cajua\[CAJUA_CF_SEC_New_27-Feb-2024Rev3.xlsx]D-PRB'!$CB$48</t>
  </si>
  <si>
    <t>='C:\Users\jaime.benazar\Quorum Business Solutions\Ecopetrol Prometeo - Documents\Planning Space Implementation\3. Analysis &amp; Design\Design\FC22\DRR Jaime\QUIFA-CAJÚA\Cajua\[CAJUA_CF_SEC_New_27-Feb-2024Rev3.xlsx]D-PS'!$CB$12</t>
  </si>
  <si>
    <t>='C:\Users\jaime.benazar\Quorum Business Solutions\Ecopetrol Prometeo - Documents\Planning Space Implementation\3. Analysis &amp; Design\Design\FC22\DRR Jaime\QUIFA-CAJÚA\Cajua\[CAJUA_CF_SEC_New_27-Feb-2024Rev3.xlsx]D-PS'!$CB$13</t>
  </si>
  <si>
    <t>='C:\Users\jaime.benazar\Quorum Business Solutions\Ecopetrol Prometeo - Documents\Planning Space Implementation\3. Analysis &amp; Design\Design\FC22\DRR Jaime\QUIFA-CAJÚA\Cajua\[CAJUA_CF_SEC_New_27-Feb-2024Rev3.xlsx]D-PS'!$CB$14</t>
  </si>
  <si>
    <t>='C:\Users\jaime.benazar\Quorum Business Solutions\Ecopetrol Prometeo - Documents\Planning Space Implementation\3. Analysis &amp; Design\Design\FC22\DRR Jaime\QUIFA-CAJÚA\Cajua\[CAJUA_CF_SEC_New_27-Feb-2024Rev3.xlsx]D-PS'!$CB$15</t>
  </si>
  <si>
    <t>='C:\Users\jaime.benazar\Quorum Business Solutions\Ecopetrol Prometeo - Documents\Planning Space Implementation\3. Analysis &amp; Design\Design\FC22\DRR Jaime\QUIFA-CAJÚA\Cajua\[CAJUA_CF_SEC_New_27-Feb-2024Rev3.xlsx]D-PS'!$CB$16</t>
  </si>
  <si>
    <t>='C:\Users\jaime.benazar\Quorum Business Solutions\Ecopetrol Prometeo - Documents\Planning Space Implementation\3. Analysis &amp; Design\Design\FC22\DRR Jaime\QUIFA-CAJÚA\Cajua\[CAJUA_CF_SEC_New_27-Feb-2024Rev3.xlsx]D-PS'!$CB$17</t>
  </si>
  <si>
    <t>='C:\Users\jaime.benazar\Quorum Business Solutions\Ecopetrol Prometeo - Documents\Planning Space Implementation\3. Analysis &amp; Design\Design\FC22\DRR Jaime\QUIFA-CAJÚA\Cajua\[CAJUA_CF_SEC_New_27-Feb-2024Rev3.xlsx]D-PS'!$CB$18</t>
  </si>
  <si>
    <t>='C:\Users\jaime.benazar\Quorum Business Solutions\Ecopetrol Prometeo - Documents\Planning Space Implementation\3. Analysis &amp; Design\Design\FC22\DRR Jaime\QUIFA-CAJÚA\Cajua\[CAJUA_CF_SEC_New_27-Feb-2024Rev3.xlsx]D-PS'!$CB$19</t>
  </si>
  <si>
    <t>='C:\Users\jaime.benazar\Quorum Business Solutions\Ecopetrol Prometeo - Documents\Planning Space Implementation\3. Analysis &amp; Design\Design\FC22\DRR Jaime\QUIFA-CAJÚA\Cajua\[CAJUA_CF_SEC_New_27-Feb-2024Rev3.xlsx]D-PS'!$CB$20</t>
  </si>
  <si>
    <t>='C:\Users\jaime.benazar\Quorum Business Solutions\Ecopetrol Prometeo - Documents\Planning Space Implementation\3. Analysis &amp; Design\Design\FC22\DRR Jaime\QUIFA-CAJÚA\Cajua\[CAJUA_CF_SEC_New_27-Feb-2024Rev3.xlsx]D-PS'!$CB$21</t>
  </si>
  <si>
    <t>='C:\Users\jaime.benazar\Quorum Business Solutions\Ecopetrol Prometeo - Documents\Planning Space Implementation\3. Analysis &amp; Design\Design\FC22\DRR Jaime\QUIFA-CAJÚA\Cajua\[CAJUA_CF_SEC_New_27-Feb-2024Rev3.xlsx]D-PS'!$CB$22</t>
  </si>
  <si>
    <t>='C:\Users\jaime.benazar\Quorum Business Solutions\Ecopetrol Prometeo - Documents\Planning Space Implementation\3. Analysis &amp; Design\Design\FC22\DRR Jaime\QUIFA-CAJÚA\Cajua\[CAJUA_CF_SEC_New_27-Feb-2024Rev3.xlsx]D-PS'!$CB$23</t>
  </si>
  <si>
    <t>='C:\Users\jaime.benazar\Quorum Business Solutions\Ecopetrol Prometeo - Documents\Planning Space Implementation\3. Analysis &amp; Design\Design\FC22\DRR Jaime\QUIFA-CAJÚA\Cajua\[CAJUA_CF_SEC_New_27-Feb-2024Rev3.xlsx]D-PS'!$CB$24</t>
  </si>
  <si>
    <t>='C:\Users\jaime.benazar\Quorum Business Solutions\Ecopetrol Prometeo - Documents\Planning Space Implementation\3. Analysis &amp; Design\Design\FC22\DRR Jaime\QUIFA-CAJÚA\Cajua\[CAJUA_CF_SEC_New_27-Feb-2024Rev3.xlsx]D-PS'!$CB$25</t>
  </si>
  <si>
    <t>='C:\Users\jaime.benazar\Quorum Business Solutions\Ecopetrol Prometeo - Documents\Planning Space Implementation\3. Analysis &amp; Design\Design\FC22\DRR Jaime\QUIFA-CAJÚA\Cajua\[CAJUA_CF_SEC_New_27-Feb-2024Rev3.xlsx]D-PS'!$CB$26</t>
  </si>
  <si>
    <t>='C:\Users\jaime.benazar\Quorum Business Solutions\Ecopetrol Prometeo - Documents\Planning Space Implementation\3. Analysis &amp; Design\Design\FC22\DRR Jaime\QUIFA-CAJÚA\Cajua\[CAJUA_CF_SEC_New_27-Feb-2024Rev3.xlsx]D-PS'!$CB$27</t>
  </si>
  <si>
    <t>='C:\Users\jaime.benazar\Quorum Business Solutions\Ecopetrol Prometeo - Documents\Planning Space Implementation\3. Analysis &amp; Design\Design\FC22\DRR Jaime\QUIFA-CAJÚA\Cajua\[CAJUA_CF_SEC_New_27-Feb-2024Rev3.xlsx]D-PS'!$CB$28</t>
  </si>
  <si>
    <t>='C:\Users\jaime.benazar\Quorum Business Solutions\Ecopetrol Prometeo - Documents\Planning Space Implementation\3. Analysis &amp; Design\Design\FC22\DRR Jaime\QUIFA-CAJÚA\Cajua\[CAJUA_CF_SEC_New_27-Feb-2024Rev3.xlsx]D-PS'!$CB$29</t>
  </si>
  <si>
    <t>='C:\Users\jaime.benazar\Quorum Business Solutions\Ecopetrol Prometeo - Documents\Planning Space Implementation\3. Analysis &amp; Design\Design\FC22\DRR Jaime\QUIFA-CAJÚA\Cajua\[CAJUA_CF_SEC_New_27-Feb-2024Rev3.xlsx]D-PS'!$CB$30</t>
  </si>
  <si>
    <t>='C:\Users\jaime.benazar\Quorum Business Solutions\Ecopetrol Prometeo - Documents\Planning Space Implementation\3. Analysis &amp; Design\Design\FC22\DRR Jaime\QUIFA-CAJÚA\Cajua\[CAJUA_CF_SEC_New_27-Feb-2024Rev3.xlsx]D-PS'!$CB$31</t>
  </si>
  <si>
    <t>='C:\Users\jaime.benazar\Quorum Business Solutions\Ecopetrol Prometeo - Documents\Planning Space Implementation\3. Analysis &amp; Design\Design\FC22\DRR Jaime\QUIFA-CAJÚA\Cajua\[CAJUA_CF_SEC_New_27-Feb-2024Rev3.xlsx]D-PS'!$CB$32</t>
  </si>
  <si>
    <t>='C:\Users\jaime.benazar\Quorum Business Solutions\Ecopetrol Prometeo - Documents\Planning Space Implementation\3. Analysis &amp; Design\Design\FC22\DRR Jaime\QUIFA-CAJÚA\Cajua\[CAJUA_CF_SEC_New_27-Feb-2024Rev3.xlsx]D-PS'!$CB$33</t>
  </si>
  <si>
    <t>='C:\Users\jaime.benazar\Quorum Business Solutions\Ecopetrol Prometeo - Documents\Planning Space Implementation\3. Analysis &amp; Design\Design\FC22\DRR Jaime\QUIFA-CAJÚA\Cajua\[CAJUA_CF_SEC_New_27-Feb-2024Rev3.xlsx]D-PS'!$CB$34</t>
  </si>
  <si>
    <t>='C:\Users\jaime.benazar\Quorum Business Solutions\Ecopetrol Prometeo - Documents\Planning Space Implementation\3. Analysis &amp; Design\Design\FC22\DRR Jaime\QUIFA-CAJÚA\Cajua\[CAJUA_CF_SEC_New_27-Feb-2024Rev3.xlsx]D-PS'!$CB$35</t>
  </si>
  <si>
    <t>='C:\Users\jaime.benazar\Quorum Business Solutions\Ecopetrol Prometeo - Documents\Planning Space Implementation\3. Analysis &amp; Design\Design\FC22\DRR Jaime\QUIFA-CAJÚA\Cajua\[CAJUA_CF_SEC_New_27-Feb-2024Rev3.xlsx]D-PS'!$CB$36</t>
  </si>
  <si>
    <t>='C:\Users\jaime.benazar\Quorum Business Solutions\Ecopetrol Prometeo - Documents\Planning Space Implementation\3. Analysis &amp; Design\Design\FC22\DRR Jaime\QUIFA-CAJÚA\Cajua\[CAJUA_CF_SEC_New_27-Feb-2024Rev3.xlsx]D-PS'!$CB$37</t>
  </si>
  <si>
    <t>='C:\Users\jaime.benazar\Quorum Business Solutions\Ecopetrol Prometeo - Documents\Planning Space Implementation\3. Analysis &amp; Design\Design\FC22\DRR Jaime\QUIFA-CAJÚA\Cajua\[CAJUA_CF_SEC_New_27-Feb-2024Rev3.xlsx]D-PS'!$CB$38</t>
  </si>
  <si>
    <t>='C:\Users\jaime.benazar\Quorum Business Solutions\Ecopetrol Prometeo - Documents\Planning Space Implementation\3. Analysis &amp; Design\Design\FC22\DRR Jaime\QUIFA-CAJÚA\Cajua\[CAJUA_CF_SEC_New_27-Feb-2024Rev3.xlsx]D-PS'!$CB$39</t>
  </si>
  <si>
    <t>='C:\Users\jaime.benazar\Quorum Business Solutions\Ecopetrol Prometeo - Documents\Planning Space Implementation\3. Analysis &amp; Design\Design\FC22\DRR Jaime\QUIFA-CAJÚA\Cajua\[CAJUA_CF_SEC_New_27-Feb-2024Rev3.xlsx]D-PS'!$CB$40</t>
  </si>
  <si>
    <t>='C:\Users\jaime.benazar\Quorum Business Solutions\Ecopetrol Prometeo - Documents\Planning Space Implementation\3. Analysis &amp; Design\Design\FC22\DRR Jaime\QUIFA-CAJÚA\Cajua\[CAJUA_CF_SEC_New_27-Feb-2024Rev3.xlsx]D-PS'!$CB$41</t>
  </si>
  <si>
    <t>='C:\Users\jaime.benazar\Quorum Business Solutions\Ecopetrol Prometeo - Documents\Planning Space Implementation\3. Analysis &amp; Design\Design\FC22\DRR Jaime\QUIFA-CAJÚA\Cajua\[CAJUA_CF_SEC_New_27-Feb-2024Rev3.xlsx]D-PS'!$CB$42</t>
  </si>
  <si>
    <t>='C:\Users\jaime.benazar\Quorum Business Solutions\Ecopetrol Prometeo - Documents\Planning Space Implementation\3. Analysis &amp; Design\Design\FC22\DRR Jaime\QUIFA-CAJÚA\Cajua\[CAJUA_CF_SEC_New_27-Feb-2024Rev3.xlsx]D-PS'!$CB$43</t>
  </si>
  <si>
    <t>='C:\Users\jaime.benazar\Quorum Business Solutions\Ecopetrol Prometeo - Documents\Planning Space Implementation\3. Analysis &amp; Design\Design\FC22\DRR Jaime\QUIFA-CAJÚA\Cajua\[CAJUA_CF_SEC_New_27-Feb-2024Rev3.xlsx]D-PS'!$CB$44</t>
  </si>
  <si>
    <t>='C:\Users\jaime.benazar\Quorum Business Solutions\Ecopetrol Prometeo - Documents\Planning Space Implementation\3. Analysis &amp; Design\Design\FC22\DRR Jaime\QUIFA-CAJÚA\Cajua\[CAJUA_CF_SEC_New_27-Feb-2024Rev3.xlsx]D-PS'!$CB$45</t>
  </si>
  <si>
    <t>='C:\Users\jaime.benazar\Quorum Business Solutions\Ecopetrol Prometeo - Documents\Planning Space Implementation\3. Analysis &amp; Design\Design\FC22\DRR Jaime\QUIFA-CAJÚA\Cajua\[CAJUA_CF_SEC_New_27-Feb-2024Rev3.xlsx]D-PS'!$CB$46</t>
  </si>
  <si>
    <t>='C:\Users\jaime.benazar\Quorum Business Solutions\Ecopetrol Prometeo - Documents\Planning Space Implementation\3. Analysis &amp; Design\Design\FC22\DRR Jaime\QUIFA-CAJÚA\Cajua\[CAJUA_CF_SEC_New_27-Feb-2024Rev3.xlsx]D-PS'!$CB$47</t>
  </si>
  <si>
    <t>='C:\Users\jaime.benazar\Quorum Business Solutions\Ecopetrol Prometeo - Documents\Planning Space Implementation\3. Analysis &amp; Design\Design\FC22\DRR Jaime\QUIFA-CAJÚA\Cajua\[CAJUA_CF_SEC_New_27-Feb-2024Rev3.xlsx]D-PS'!$CB$48</t>
  </si>
  <si>
    <t>='C:\Users\jaime.benazar\Quorum Business Solutions\Ecopetrol Prometeo - Documents\Planning Space Implementation\3. Analysis &amp; Design\Design\FC22\DRR Jaime\QUIFA-CAJÚA\Cajua\[CAJUA_CF_SEC_New_27-Feb-2024Rev3.xlsx]Consolidado'!$J$12</t>
  </si>
  <si>
    <t>='C:\Users\jaime.benazar\Quorum Business Solutions\Ecopetrol Prometeo - Documents\Planning Space Implementation\3. Analysis &amp; Design\Design\FC22\DRR Jaime\QUIFA-CAJÚA\Cajua\[CAJUA_CF_SEC_New_27-Feb-2024Rev3.xlsx]Consolidado'!$J$13</t>
  </si>
  <si>
    <t>='C:\Users\jaime.benazar\Quorum Business Solutions\Ecopetrol Prometeo - Documents\Planning Space Implementation\3. Analysis &amp; Design\Design\FC22\DRR Jaime\QUIFA-CAJÚA\Cajua\[CAJUA_CF_SEC_New_27-Feb-2024Rev3.xlsx]Consolidado'!$J$14</t>
  </si>
  <si>
    <t>='C:\Users\jaime.benazar\Quorum Business Solutions\Ecopetrol Prometeo - Documents\Planning Space Implementation\3. Analysis &amp; Design\Design\FC22\DRR Jaime\QUIFA-CAJÚA\Cajua\[CAJUA_CF_SEC_New_27-Feb-2024Rev3.xlsx]Consolidado'!$J$17</t>
  </si>
  <si>
    <t>='C:\Users\jaime.benazar\Quorum Business Solutions\Ecopetrol Prometeo - Documents\Planning Space Implementation\3. Analysis &amp; Design\Design\FC22\DRR Jaime\QUIFA-CAJÚA\Cajua\[CAJUA_CF_SEC_New_27-Feb-2024Rev3.xlsx]Consolidado'!$J$18</t>
  </si>
  <si>
    <t>='C:\Users\jaime.benazar\Quorum Business Solutions\Ecopetrol Prometeo - Documents\Planning Space Implementation\3. Analysis &amp; Design\Design\FC22\DRR Jaime\QUIFA-CAJÚA\Cajua\[CAJUA_CF_SEC_New_27-Feb-2024Rev3.xlsx]Consolidado'!$J$19</t>
  </si>
  <si>
    <t>='C:\Users\jaime.benazar\Quorum Business Solutions\Ecopetrol Prometeo - Documents\Planning Space Implementation\3. Analysis &amp; Design\Design\FC22\DRR Jaime\QUIFA-CAJÚA\Cajua\[CAJUA_CF_SEC_New_27-Feb-2024Rev3.xlsx]Consolidado'!$J$20</t>
  </si>
  <si>
    <t>='C:\Users\jaime.benazar\Quorum Business Solutions\Ecopetrol Prometeo - Documents\Planning Space Implementation\3. Analysis &amp; Design\Design\FC22\DRR Jaime\QUIFA-CAJÚA\Cajua\[CAJUA_CF_SEC_New_27-Feb-2024Rev3.xlsx]Consolidado'!$J$22</t>
  </si>
  <si>
    <t>='C:\Users\jaime.benazar\Quorum Business Solutions\Ecopetrol Prometeo - Documents\Planning Space Implementation\3. Analysis &amp; Design\Design\FC22\DRR Jaime\QUIFA-CAJÚA\Cajua\[CAJUA_CF_SEC_New_27-Feb-2024Rev3.xlsx]Consolidado'!$J$23</t>
  </si>
  <si>
    <t>='C:\Users\jaime.benazar\Quorum Business Solutions\Ecopetrol Prometeo - Documents\Planning Space Implementation\3. Analysis &amp; Design\Design\FC22\DRR Jaime\QUIFA-CAJÚA\Cajua\[CAJUA_CF_SEC_New_27-Feb-2024Rev3.xlsx]Consolidado'!$J$24</t>
  </si>
  <si>
    <t>='C:\Users\jaime.benazar\Quorum Business Solutions\Ecopetrol Prometeo - Documents\Planning Space Implementation\3. Analysis &amp; Design\Design\FC22\DRR Jaime\QUIFA-CAJÚA\Cajua\[CAJUA_CF_SEC_New_27-Feb-2024Rev3.xlsx]Consolidado'!$J$25</t>
  </si>
  <si>
    <t>='C:\Users\jaime.benazar\Quorum Business Solutions\Ecopetrol Prometeo - Documents\Planning Space Implementation\3. Analysis &amp; Design\Design\FC22\DRR Jaime\QUIFA-CAJÚA\Cajua\[CAJUA_CF_SEC_New_27-Feb-2024Rev3.xlsx]Consolidado'!$L$26</t>
  </si>
  <si>
    <t>='C:\Users\jaime.benazar\Quorum Business Solutions\Ecopetrol Prometeo - Documents\Planning Space Implementation\3. Analysis &amp; Design\Design\FC22\DRR Jaime\QUIFA-CAJÚA\Cajua\[CAJUA_CF_SEC_New_27-Feb-2024Rev3.xlsx]Consolidado'!$L$27</t>
  </si>
  <si>
    <t>='C:\Users\jaime.benazar\Quorum Business Solutions\Ecopetrol Prometeo - Documents\Planning Space Implementation\3. Analysis &amp; Design\Design\FC22\DRR Jaime\QUIFA-CAJÚA\Cajua\[CAJUA_CF_SEC_New_27-Feb-2024Rev3.xlsx]Consolidado'!$L$14</t>
  </si>
  <si>
    <t>='C:\Users\jaime.benazar\Quorum Business Solutions\Ecopetrol Prometeo - Documents\Planning Space Implementation\3. Analysis &amp; Design\Design\FC22\DRR Jaime\QUIFA-CAJÚA\Cajua\[CAJUA_CF_SEC_New_27-Feb-2024Rev3.xlsx]Consolidado'!$L$17</t>
  </si>
  <si>
    <t>='C:\Users\jaime.benazar\Quorum Business Solutions\Ecopetrol Prometeo - Documents\Planning Space Implementation\3. Analysis &amp; Design\Design\FC22\DRR Jaime\QUIFA-CAJÚA\Cajua\[CAJUA_CF_SEC_New_27-Feb-2024Rev3.xlsx]Consolidado'!$L$18</t>
  </si>
  <si>
    <t>='C:\Users\jaime.benazar\Quorum Business Solutions\Ecopetrol Prometeo - Documents\Planning Space Implementation\3. Analysis &amp; Design\Design\FC22\DRR Jaime\QUIFA-CAJÚA\Cajua\[CAJUA_CF_SEC_New_27-Feb-2024Rev3.xlsx]Consolidado'!$L$19</t>
  </si>
  <si>
    <t>='C:\Users\jaime.benazar\Quorum Business Solutions\Ecopetrol Prometeo - Documents\Planning Space Implementation\3. Analysis &amp; Design\Design\FC22\DRR Jaime\QUIFA-CAJÚA\Cajua\[CAJUA_CF_SEC_New_27-Feb-2024Rev3.xlsx]Consolidado'!$L$20</t>
  </si>
  <si>
    <t>='C:\Users\jaime.benazar\Quorum Business Solutions\Ecopetrol Prometeo - Documents\Planning Space Implementation\3. Analysis &amp; Design\Design\FC22\DRR Jaime\QUIFA-CAJÚA\Cajua\[CAJUA_CF_SEC_New_27-Feb-2024Rev3.xlsx]Consolidado'!$L$22</t>
  </si>
  <si>
    <t>='C:\Users\jaime.benazar\Quorum Business Solutions\Ecopetrol Prometeo - Documents\Planning Space Implementation\3. Analysis &amp; Design\Design\FC22\DRR Jaime\QUIFA-CAJÚA\Cajua\[CAJUA_CF_SEC_New_27-Feb-2024Rev3.xlsx]Consolidado'!$L$23</t>
  </si>
  <si>
    <t>='C:\Users\jaime.benazar\Quorum Business Solutions\Ecopetrol Prometeo - Documents\Planning Space Implementation\3. Analysis &amp; Design\Design\FC22\DRR Jaime\QUIFA-CAJÚA\Cajua\[CAJUA_CF_SEC_New_27-Feb-2024Rev3.xlsx]Consolidado'!$L$24</t>
  </si>
  <si>
    <t>='C:\Users\jaime.benazar\Quorum Business Solutions\Ecopetrol Prometeo - Documents\Planning Space Implementation\3. Analysis &amp; Design\Design\FC22\DRR Jaime\QUIFA-CAJÚA\Cajua\[CAJUA_CF_SEC_New_27-Feb-2024Rev3.xlsx]Consolidado'!$L$25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</si>
</sst>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_(* #,##0_);_(* \(#,##0\);_(* &quot;-&quot;??_);_(@_)"/>
    <numFmt numFmtId="165" formatCode="0.0%"/>
    <numFmt numFmtId="166" formatCode="0.000"/>
    <numFmt numFmtId="167" formatCode="0.0000"/>
    <numFmt numFmtId="168" formatCode="_(* #,##0.0000_);_(* \(#,##0.0000\);_(* &quot;-&quot;??_);_(@_)"/>
    <numFmt numFmtId="169" formatCode="0.000%"/>
    <numFmt numFmtId="170" formatCode="_(* #,##0.00000_);_(* \(#,##0.00000\);_(* &quot;-&quot;??_);_(@_)"/>
    <numFmt numFmtId="171" formatCode="0.00000"/>
    <numFmt numFmtId="172" formatCode="0.00000%"/>
  </numFmts>
  <fonts count="14"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171">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7" fillId="0" borderId="15" xfId="0" applyFont="1" applyBorder="1" applyAlignment="1">
      <alignment horizontal="center" vertical="center"/>
    </xf>
    <xf numFmtId="164" fontId="6" fillId="0" borderId="0" xfId="0" applyNumberFormat="1" applyFont="1"/>
    <xf numFmtId="43" fontId="6" fillId="0" borderId="0" xfId="3" applyFont="1" applyFill="1" applyBorder="1" applyAlignment="1"/>
    <xf numFmtId="10" fontId="6" fillId="0" borderId="0" xfId="4" applyNumberFormat="1" applyFont="1"/>
    <xf numFmtId="170" fontId="6" fillId="0" borderId="0" xfId="0" applyNumberFormat="1" applyFont="1" applyAlignment="1">
      <alignment horizontal="center"/>
    </xf>
    <xf numFmtId="169" fontId="6" fillId="0" borderId="0" xfId="4" applyNumberFormat="1" applyFont="1" applyAlignment="1">
      <alignment horizontal="center"/>
    </xf>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164" fontId="13" fillId="0" borderId="8" xfId="3" applyNumberFormat="1" applyFont="1" applyFill="1" applyBorder="1" applyAlignment="1">
      <alignment horizontal="center" vertical="center"/>
    </xf>
    <xf numFmtId="164" fontId="13" fillId="0" borderId="6" xfId="3" applyNumberFormat="1" applyFont="1" applyFill="1" applyBorder="1" applyAlignment="1">
      <alignment horizontal="center" vertical="center"/>
    </xf>
    <xf numFmtId="164" fontId="13" fillId="0" borderId="7" xfId="3" applyNumberFormat="1" applyFont="1" applyFill="1" applyBorder="1" applyAlignment="1">
      <alignment horizontal="center" vertical="center"/>
    </xf>
    <xf numFmtId="167" fontId="6" fillId="0" borderId="8" xfId="0" applyNumberFormat="1" applyFont="1" applyBorder="1" applyAlignment="1">
      <alignment horizontal="center"/>
    </xf>
    <xf numFmtId="167" fontId="6" fillId="0" borderId="6" xfId="0" applyNumberFormat="1" applyFont="1" applyBorder="1" applyAlignment="1">
      <alignment horizontal="center"/>
    </xf>
    <xf numFmtId="167" fontId="6" fillId="0" borderId="7" xfId="0" applyNumberFormat="1" applyFont="1" applyBorder="1" applyAlignment="1">
      <alignment horizont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169" fontId="6" fillId="0" borderId="9" xfId="2" applyNumberFormat="1" applyFont="1" applyFill="1" applyBorder="1" applyAlignment="1">
      <alignment horizontal="center"/>
    </xf>
    <xf numFmtId="169" fontId="6" fillId="0" borderId="3" xfId="2" applyNumberFormat="1" applyFont="1" applyFill="1" applyBorder="1" applyAlignment="1">
      <alignment horizontal="center"/>
    </xf>
    <xf numFmtId="169" fontId="6" fillId="0" borderId="2"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171" fontId="6" fillId="0" borderId="5" xfId="0" applyNumberFormat="1" applyFont="1" applyBorder="1" applyAlignment="1">
      <alignment horizontal="center"/>
    </xf>
    <xf numFmtId="171" fontId="6" fillId="0" borderId="0" xfId="0" applyNumberFormat="1" applyFont="1" applyAlignment="1">
      <alignment horizontal="center"/>
    </xf>
    <xf numFmtId="171" fontId="6" fillId="0" borderId="1" xfId="0" applyNumberFormat="1" applyFont="1" applyBorder="1" applyAlignment="1">
      <alignment horizontal="center"/>
    </xf>
    <xf numFmtId="172" fontId="6" fillId="0" borderId="9" xfId="4" applyNumberFormat="1" applyFont="1" applyBorder="1" applyAlignment="1">
      <alignment horizontal="center"/>
    </xf>
    <xf numFmtId="172" fontId="6" fillId="0" borderId="3" xfId="4" applyNumberFormat="1" applyFont="1" applyBorder="1" applyAlignment="1">
      <alignment horizontal="center"/>
    </xf>
    <xf numFmtId="172" fontId="6" fillId="0" borderId="2" xfId="4" applyNumberFormat="1" applyFont="1" applyBorder="1" applyAlignment="1">
      <alignment horizontal="center"/>
    </xf>
    <xf numFmtId="167" fontId="6" fillId="0" borderId="5" xfId="0" applyNumberFormat="1" applyFont="1" applyBorder="1" applyAlignment="1">
      <alignment horizontal="center"/>
    </xf>
    <xf numFmtId="167" fontId="6" fillId="0" borderId="0" xfId="0" applyNumberFormat="1" applyFont="1" applyAlignment="1">
      <alignment horizontal="center"/>
    </xf>
    <xf numFmtId="167" fontId="6" fillId="0" borderId="1" xfId="0" applyNumberFormat="1" applyFont="1" applyBorder="1" applyAlignment="1">
      <alignment horizontal="center"/>
    </xf>
    <xf numFmtId="170" fontId="6" fillId="0" borderId="8" xfId="3" applyNumberFormat="1" applyFont="1" applyFill="1" applyBorder="1" applyAlignment="1">
      <alignment horizontal="center" vertical="center"/>
    </xf>
    <xf numFmtId="170" fontId="6" fillId="0" borderId="6" xfId="3" applyNumberFormat="1" applyFont="1" applyFill="1" applyBorder="1" applyAlignment="1">
      <alignment horizontal="center" vertical="center"/>
    </xf>
    <xf numFmtId="170" fontId="6" fillId="0" borderId="7" xfId="3" applyNumberFormat="1" applyFont="1" applyFill="1" applyBorder="1" applyAlignment="1">
      <alignment horizontal="center" vertical="center"/>
    </xf>
    <xf numFmtId="168" fontId="6" fillId="0" borderId="8" xfId="3" applyNumberFormat="1" applyFont="1" applyFill="1" applyBorder="1" applyAlignment="1">
      <alignment horizontal="center" vertical="center"/>
    </xf>
    <xf numFmtId="168" fontId="6" fillId="0" borderId="6" xfId="3" applyNumberFormat="1" applyFont="1" applyFill="1" applyBorder="1" applyAlignment="1">
      <alignment horizontal="center" vertical="center"/>
    </xf>
    <xf numFmtId="168" fontId="6" fillId="0" borderId="7" xfId="3" applyNumberFormat="1" applyFont="1" applyFill="1" applyBorder="1" applyAlignment="1">
      <alignment horizontal="center" vertical="center"/>
    </xf>
    <xf numFmtId="168" fontId="6" fillId="0" borderId="5" xfId="3" applyNumberFormat="1" applyFont="1" applyBorder="1" applyAlignment="1">
      <alignment horizontal="center"/>
    </xf>
    <xf numFmtId="168" fontId="6" fillId="0" borderId="0" xfId="3" applyNumberFormat="1" applyFont="1" applyBorder="1" applyAlignment="1">
      <alignment horizontal="center"/>
    </xf>
    <xf numFmtId="168" fontId="6" fillId="0" borderId="1" xfId="3" applyNumberFormat="1" applyFont="1" applyBorder="1" applyAlignment="1">
      <alignment horizontal="center"/>
    </xf>
    <xf numFmtId="169" fontId="6" fillId="0" borderId="9" xfId="4" applyNumberFormat="1" applyFont="1" applyBorder="1" applyAlignment="1">
      <alignment horizontal="center"/>
    </xf>
    <xf numFmtId="169" fontId="6" fillId="0" borderId="3" xfId="4" applyNumberFormat="1" applyFont="1" applyBorder="1" applyAlignment="1">
      <alignment horizontal="center"/>
    </xf>
    <xf numFmtId="169" fontId="6" fillId="0" borderId="2" xfId="4" applyNumberFormat="1" applyFont="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5" fontId="6" fillId="0" borderId="9" xfId="2" applyNumberFormat="1" applyFont="1" applyFill="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cellXfs>
  <cellStyles count="6">
    <cellStyle name="Comma" xfId="3" builtinId="3"/>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9">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20</xdr:row>
          <xdr:rowOff>19050</xdr:rowOff>
        </xdr:from>
        <xdr:to>
          <xdr:col>4</xdr:col>
          <xdr:colOff>742950</xdr:colOff>
          <xdr:row>21</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16</xdr:row>
          <xdr:rowOff>19050</xdr:rowOff>
        </xdr:from>
        <xdr:to>
          <xdr:col>4</xdr:col>
          <xdr:colOff>752475</xdr:colOff>
          <xdr:row>17</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752475</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ime.benazar\Quorum%20Business%20Solutions\Ecopetrol%20Prometeo%20-%20Documents\Planning%20Space%20Implementation\3.%20Analysis%20&amp;%20Design\Design\FC22\DRR%20Jaime\QUIFA-CAJ&#218;A\Cajua\CAJUA_CF_SEC_New_27-Feb-2024Rev3.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qbsol.sharepoint.com/sites/EcopetrolPrometeo/Shared%20Documents/Planning%20Space%20Implementation/3.%20Analysis%20&amp;%20Design/Design/FC22/DRR%20Jaime/Por%20presentar%20a%20ECP/Aprobados%20ECP/Quifa-Cajua/Cajua/VAS_CAJUA_CF_SEC_20230125.xlsx" TargetMode="External"/><Relationship Id="rId1" Type="http://schemas.openxmlformats.org/officeDocument/2006/relationships/externalLinkPath" Target="VAS_CAJUA_CF_SEC_202301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18165.78125</v>
          </cell>
          <cell r="BE12">
            <v>284597.21875</v>
          </cell>
          <cell r="BW12">
            <v>27197058</v>
          </cell>
          <cell r="BX12">
            <v>3424593</v>
          </cell>
          <cell r="BZ12">
            <v>1911986.625</v>
          </cell>
          <cell r="CA12">
            <v>186873.65625</v>
          </cell>
          <cell r="CB12">
            <v>9277339</v>
          </cell>
          <cell r="DC12">
            <v>424875.03125</v>
          </cell>
          <cell r="DT12">
            <v>0</v>
          </cell>
          <cell r="EA12">
            <v>23772466</v>
          </cell>
        </row>
        <row r="13">
          <cell r="BB13">
            <v>11822.90234375</v>
          </cell>
          <cell r="BE13">
            <v>185225.5</v>
          </cell>
          <cell r="BW13">
            <v>17700766</v>
          </cell>
          <cell r="BX13">
            <v>2982805.75</v>
          </cell>
          <cell r="BZ13">
            <v>1684096.875</v>
          </cell>
          <cell r="CA13">
            <v>131997.546875</v>
          </cell>
          <cell r="CB13">
            <v>8062819.5</v>
          </cell>
          <cell r="DC13">
            <v>376500.03125</v>
          </cell>
          <cell r="DT13">
            <v>0</v>
          </cell>
          <cell r="EA13">
            <v>14717960</v>
          </cell>
        </row>
        <row r="14">
          <cell r="BB14">
            <v>7483.27197265625</v>
          </cell>
          <cell r="BE14">
            <v>117237.9296875</v>
          </cell>
          <cell r="BW14">
            <v>11203647</v>
          </cell>
          <cell r="BX14">
            <v>2387305.25</v>
          </cell>
          <cell r="BZ14">
            <v>1484908.625</v>
          </cell>
          <cell r="CA14">
            <v>74177.546875</v>
          </cell>
          <cell r="CB14">
            <v>6317045</v>
          </cell>
          <cell r="DC14">
            <v>156750.015625</v>
          </cell>
          <cell r="DT14">
            <v>0</v>
          </cell>
          <cell r="EA14">
            <v>8816343</v>
          </cell>
        </row>
        <row r="15">
          <cell r="BB15">
            <v>4798.5</v>
          </cell>
          <cell r="BE15">
            <v>75176.5</v>
          </cell>
          <cell r="BW15">
            <v>7184117</v>
          </cell>
          <cell r="BX15">
            <v>1848287.5</v>
          </cell>
          <cell r="BZ15">
            <v>1266414.875</v>
          </cell>
          <cell r="CA15">
            <v>39343.7109375</v>
          </cell>
          <cell r="CB15">
            <v>4762471.5</v>
          </cell>
          <cell r="DC15">
            <v>74507.0703125</v>
          </cell>
          <cell r="DT15">
            <v>0</v>
          </cell>
          <cell r="EA15">
            <v>5335829.5</v>
          </cell>
        </row>
        <row r="16">
          <cell r="BB16">
            <v>3246.11474609375</v>
          </cell>
          <cell r="BE16">
            <v>50855.796875</v>
          </cell>
          <cell r="BW16">
            <v>4859949.5</v>
          </cell>
          <cell r="BX16">
            <v>1358955.875</v>
          </cell>
          <cell r="BZ16">
            <v>379160.25</v>
          </cell>
          <cell r="CA16">
            <v>26624.865234375</v>
          </cell>
          <cell r="CB16">
            <v>4033230.5</v>
          </cell>
          <cell r="DC16">
            <v>173849.828125</v>
          </cell>
          <cell r="DT16">
            <v>0</v>
          </cell>
          <cell r="EA16">
            <v>3500994</v>
          </cell>
        </row>
        <row r="17">
          <cell r="BB17">
            <v>2060.843017578125</v>
          </cell>
          <cell r="BE17">
            <v>32286.537109375</v>
          </cell>
          <cell r="BW17">
            <v>3085409.5</v>
          </cell>
          <cell r="BX17">
            <v>1002953.8125</v>
          </cell>
          <cell r="BZ17">
            <v>162165.34375</v>
          </cell>
          <cell r="CA17">
            <v>21621.513671875</v>
          </cell>
          <cell r="CB17">
            <v>3093849</v>
          </cell>
          <cell r="DC17">
            <v>0</v>
          </cell>
          <cell r="DT17">
            <v>0</v>
          </cell>
          <cell r="EA17">
            <v>2082455.625</v>
          </cell>
        </row>
        <row r="18">
          <cell r="BB18">
            <v>982.14129638671875</v>
          </cell>
          <cell r="BE18">
            <v>15386.880859375</v>
          </cell>
          <cell r="BW18">
            <v>1470421.625</v>
          </cell>
          <cell r="BX18">
            <v>501302.34375</v>
          </cell>
          <cell r="BZ18">
            <v>68633.078125</v>
          </cell>
          <cell r="CA18">
            <v>15626.49609375</v>
          </cell>
          <cell r="CB18">
            <v>1553249</v>
          </cell>
          <cell r="DC18">
            <v>0</v>
          </cell>
          <cell r="DT18">
            <v>0</v>
          </cell>
          <cell r="EA18">
            <v>969119.3125</v>
          </cell>
        </row>
        <row r="19">
          <cell r="BB19">
            <v>394.83395385742188</v>
          </cell>
          <cell r="BE19">
            <v>6185.73193359375</v>
          </cell>
          <cell r="BW19">
            <v>591129.125</v>
          </cell>
          <cell r="BX19">
            <v>201924.640625</v>
          </cell>
          <cell r="BZ19">
            <v>43242.34375</v>
          </cell>
          <cell r="CA19">
            <v>13340.3037109375</v>
          </cell>
          <cell r="CB19">
            <v>598249.75</v>
          </cell>
          <cell r="DC19">
            <v>0</v>
          </cell>
          <cell r="DT19">
            <v>0</v>
          </cell>
          <cell r="EA19">
            <v>389204.5</v>
          </cell>
        </row>
        <row r="20">
          <cell r="BB20">
            <v>200.79124450683594</v>
          </cell>
          <cell r="BE20">
            <v>3040.835693359375</v>
          </cell>
          <cell r="BW20">
            <v>290592.40625</v>
          </cell>
          <cell r="BX20">
            <v>111384.7421875</v>
          </cell>
          <cell r="BZ20">
            <v>34792.3515625</v>
          </cell>
          <cell r="CA20">
            <v>28451.90234375</v>
          </cell>
          <cell r="CB20">
            <v>290703.3125</v>
          </cell>
          <cell r="DC20">
            <v>0</v>
          </cell>
          <cell r="DT20">
            <v>0</v>
          </cell>
          <cell r="EA20">
            <v>179207.65625</v>
          </cell>
        </row>
        <row r="21">
          <cell r="BB21">
            <v>424.260009765625</v>
          </cell>
          <cell r="BE21">
            <v>1932.739990234375</v>
          </cell>
          <cell r="BW21">
            <v>184699.0625</v>
          </cell>
          <cell r="BX21">
            <v>130482.1484375</v>
          </cell>
          <cell r="BZ21">
            <v>27624.603515625</v>
          </cell>
          <cell r="CA21">
            <v>29777.078125</v>
          </cell>
          <cell r="CB21">
            <v>73080.4609375</v>
          </cell>
          <cell r="DC21">
            <v>0</v>
          </cell>
          <cell r="DT21">
            <v>0</v>
          </cell>
          <cell r="EA21">
            <v>54216.9296875</v>
          </cell>
        </row>
        <row r="22">
          <cell r="BB22">
            <v>210.06001281738281</v>
          </cell>
          <cell r="BE22">
            <v>956.94000244140625</v>
          </cell>
          <cell r="BW22">
            <v>91448.375</v>
          </cell>
          <cell r="BX22">
            <v>82946.0859375</v>
          </cell>
          <cell r="BZ22">
            <v>19608.84375</v>
          </cell>
          <cell r="CA22">
            <v>21136.7421875</v>
          </cell>
          <cell r="CB22">
            <v>42200.5</v>
          </cell>
          <cell r="DC22">
            <v>0</v>
          </cell>
          <cell r="DT22">
            <v>0</v>
          </cell>
          <cell r="EA22">
            <v>8502.2900390625</v>
          </cell>
        </row>
        <row r="23">
          <cell r="BB23">
            <v>0</v>
          </cell>
          <cell r="BE23">
            <v>0</v>
          </cell>
          <cell r="BW23">
            <v>0</v>
          </cell>
          <cell r="BX23">
            <v>0</v>
          </cell>
          <cell r="BZ23">
            <v>0</v>
          </cell>
          <cell r="CA23">
            <v>0</v>
          </cell>
          <cell r="CB23">
            <v>0</v>
          </cell>
          <cell r="DC23">
            <v>0</v>
          </cell>
          <cell r="DT23">
            <v>12239414</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1832.732177734375</v>
          </cell>
          <cell r="BE12">
            <v>28712.81640625</v>
          </cell>
          <cell r="BW12">
            <v>2743892.5</v>
          </cell>
          <cell r="BX12">
            <v>156392.1875</v>
          </cell>
          <cell r="BZ12">
            <v>221809.921875</v>
          </cell>
          <cell r="CA12">
            <v>21639.0546875</v>
          </cell>
          <cell r="CB12">
            <v>288119.59375</v>
          </cell>
          <cell r="DC12">
            <v>0</v>
          </cell>
          <cell r="DT12">
            <v>0</v>
          </cell>
          <cell r="EA12">
            <v>2587500.5</v>
          </cell>
        </row>
        <row r="13">
          <cell r="BB13">
            <v>1587.8985595703125</v>
          </cell>
          <cell r="BE13">
            <v>24877.07421875</v>
          </cell>
          <cell r="BW13">
            <v>2377336.25</v>
          </cell>
          <cell r="BX13">
            <v>199594.953125</v>
          </cell>
          <cell r="BZ13">
            <v>276699.96875</v>
          </cell>
          <cell r="CA13">
            <v>21329.7109375</v>
          </cell>
          <cell r="CB13">
            <v>381975</v>
          </cell>
          <cell r="DC13">
            <v>0</v>
          </cell>
          <cell r="DT13">
            <v>0</v>
          </cell>
          <cell r="EA13">
            <v>2177741.25</v>
          </cell>
        </row>
        <row r="14">
          <cell r="BB14">
            <v>1705.310546875</v>
          </cell>
          <cell r="BE14">
            <v>26716.533203125</v>
          </cell>
          <cell r="BW14">
            <v>2553120.75</v>
          </cell>
          <cell r="BX14">
            <v>305397.65625</v>
          </cell>
          <cell r="BZ14">
            <v>423427.34375</v>
          </cell>
          <cell r="CA14">
            <v>20856.416015625</v>
          </cell>
          <cell r="CB14">
            <v>595586.0625</v>
          </cell>
          <cell r="DC14">
            <v>0</v>
          </cell>
          <cell r="DT14">
            <v>0</v>
          </cell>
          <cell r="EA14">
            <v>2247723.5</v>
          </cell>
        </row>
        <row r="15">
          <cell r="BB15">
            <v>1273.54638671875</v>
          </cell>
          <cell r="BE15">
            <v>19952.23046875</v>
          </cell>
          <cell r="BW15">
            <v>1906701.75</v>
          </cell>
          <cell r="BX15">
            <v>303456.8125</v>
          </cell>
          <cell r="BZ15">
            <v>428435.9375</v>
          </cell>
          <cell r="CA15">
            <v>13295.3837890625</v>
          </cell>
          <cell r="CB15">
            <v>591200.5625</v>
          </cell>
          <cell r="DC15">
            <v>0</v>
          </cell>
          <cell r="DT15">
            <v>0</v>
          </cell>
          <cell r="EA15">
            <v>1603244.875</v>
          </cell>
        </row>
        <row r="16">
          <cell r="BB16">
            <v>910.683837890625</v>
          </cell>
          <cell r="BE16">
            <v>14267.3798828125</v>
          </cell>
          <cell r="BW16">
            <v>1363438.375</v>
          </cell>
          <cell r="BX16">
            <v>208625.21875</v>
          </cell>
          <cell r="BZ16">
            <v>148408.28125</v>
          </cell>
          <cell r="CA16">
            <v>10472.2109375</v>
          </cell>
          <cell r="CB16">
            <v>531416.3125</v>
          </cell>
          <cell r="DC16">
            <v>0</v>
          </cell>
          <cell r="DT16">
            <v>0</v>
          </cell>
          <cell r="EA16">
            <v>1154813.25</v>
          </cell>
        </row>
        <row r="17">
          <cell r="BB17">
            <v>684.69903564453125</v>
          </cell>
          <cell r="BE17">
            <v>10726.953125</v>
          </cell>
          <cell r="BW17">
            <v>1025103.5</v>
          </cell>
          <cell r="BX17">
            <v>188431.25</v>
          </cell>
          <cell r="BZ17">
            <v>82163.21875</v>
          </cell>
          <cell r="CA17">
            <v>11000.9677734375</v>
          </cell>
          <cell r="CB17">
            <v>527330.75</v>
          </cell>
          <cell r="DC17">
            <v>0</v>
          </cell>
          <cell r="DT17">
            <v>0</v>
          </cell>
          <cell r="EA17">
            <v>836672.25</v>
          </cell>
        </row>
        <row r="18">
          <cell r="BB18">
            <v>422.24652099609375</v>
          </cell>
          <cell r="BE18">
            <v>6615.1962890625</v>
          </cell>
          <cell r="BW18">
            <v>632170.25</v>
          </cell>
          <cell r="BX18">
            <v>141611.875</v>
          </cell>
          <cell r="BZ18">
            <v>43566.51171875</v>
          </cell>
          <cell r="CA18">
            <v>9964.4716796875</v>
          </cell>
          <cell r="CB18">
            <v>411182.84375</v>
          </cell>
          <cell r="DC18">
            <v>0</v>
          </cell>
          <cell r="DT18">
            <v>0</v>
          </cell>
          <cell r="EA18">
            <v>490558.3125</v>
          </cell>
        </row>
        <row r="19">
          <cell r="BB19">
            <v>216.86758422851563</v>
          </cell>
          <cell r="BE19">
            <v>3397.59228515625</v>
          </cell>
          <cell r="BW19">
            <v>324685.28125</v>
          </cell>
          <cell r="BX19">
            <v>108676.0625</v>
          </cell>
          <cell r="BZ19">
            <v>24565.01953125</v>
          </cell>
          <cell r="CA19">
            <v>7620.2822265625</v>
          </cell>
          <cell r="CB19">
            <v>320111.53125</v>
          </cell>
          <cell r="DC19">
            <v>0</v>
          </cell>
          <cell r="DT19">
            <v>0</v>
          </cell>
          <cell r="EA19">
            <v>216009.203125</v>
          </cell>
        </row>
        <row r="20">
          <cell r="BB20">
            <v>85.287094116210938</v>
          </cell>
          <cell r="BE20">
            <v>1336.164306640625</v>
          </cell>
          <cell r="BW20">
            <v>127688.3203125</v>
          </cell>
          <cell r="BX20">
            <v>54677.1015625</v>
          </cell>
          <cell r="BZ20">
            <v>10121.4375</v>
          </cell>
          <cell r="CA20">
            <v>5703.27880859375</v>
          </cell>
          <cell r="CB20">
            <v>159335.265625</v>
          </cell>
          <cell r="DC20">
            <v>0</v>
          </cell>
          <cell r="DT20">
            <v>0</v>
          </cell>
          <cell r="EA20">
            <v>73011.234375</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4648.59326171875</v>
          </cell>
          <cell r="BE12">
            <v>72827.9609375</v>
          </cell>
          <cell r="BW12">
            <v>6959682.5</v>
          </cell>
          <cell r="BX12">
            <v>339462.21875</v>
          </cell>
          <cell r="BZ12">
            <v>558838.4375</v>
          </cell>
          <cell r="CA12">
            <v>55576.953125</v>
          </cell>
          <cell r="CB12">
            <v>546250.8125</v>
          </cell>
          <cell r="DC12">
            <v>2487991</v>
          </cell>
          <cell r="DT12">
            <v>0</v>
          </cell>
          <cell r="EA12">
            <v>6620220</v>
          </cell>
        </row>
        <row r="13">
          <cell r="BB13">
            <v>4195.576171875</v>
          </cell>
          <cell r="BE13">
            <v>65730.6953125</v>
          </cell>
          <cell r="BW13">
            <v>6281445</v>
          </cell>
          <cell r="BX13">
            <v>469387.40625</v>
          </cell>
          <cell r="BZ13">
            <v>731838.0625</v>
          </cell>
          <cell r="CA13">
            <v>57128.75390625</v>
          </cell>
          <cell r="CB13">
            <v>819265.5</v>
          </cell>
          <cell r="DC13">
            <v>0</v>
          </cell>
          <cell r="DT13">
            <v>0</v>
          </cell>
          <cell r="EA13">
            <v>5812057.5</v>
          </cell>
        </row>
        <row r="14">
          <cell r="BB14">
            <v>3079.606689453125</v>
          </cell>
          <cell r="BE14">
            <v>48247.16015625</v>
          </cell>
          <cell r="BW14">
            <v>4610659.5</v>
          </cell>
          <cell r="BX14">
            <v>486484.875</v>
          </cell>
          <cell r="BZ14">
            <v>784299.0625</v>
          </cell>
          <cell r="CA14">
            <v>38818.28125</v>
          </cell>
          <cell r="CB14">
            <v>848822.375</v>
          </cell>
          <cell r="DC14">
            <v>0</v>
          </cell>
          <cell r="DT14">
            <v>0</v>
          </cell>
          <cell r="EA14">
            <v>4124175.25</v>
          </cell>
        </row>
        <row r="15">
          <cell r="BB15">
            <v>3541.555419921875</v>
          </cell>
          <cell r="BE15">
            <v>55484.35546875</v>
          </cell>
          <cell r="BW15">
            <v>5302270</v>
          </cell>
          <cell r="BX15">
            <v>547923.1875</v>
          </cell>
          <cell r="BZ15">
            <v>997784.0625</v>
          </cell>
          <cell r="CA15">
            <v>40869.8046875</v>
          </cell>
          <cell r="CB15">
            <v>849999.25</v>
          </cell>
          <cell r="DC15">
            <v>2805508.75</v>
          </cell>
          <cell r="DT15">
            <v>0</v>
          </cell>
          <cell r="EA15">
            <v>4754347</v>
          </cell>
        </row>
        <row r="16">
          <cell r="BB16">
            <v>11672.78125</v>
          </cell>
          <cell r="BE16">
            <v>182873.5625</v>
          </cell>
          <cell r="BW16">
            <v>17476008</v>
          </cell>
          <cell r="BX16">
            <v>1226687.375</v>
          </cell>
          <cell r="BZ16">
            <v>2165066.5</v>
          </cell>
          <cell r="CA16">
            <v>161599.9375</v>
          </cell>
          <cell r="CB16">
            <v>1857095.875</v>
          </cell>
          <cell r="DC16">
            <v>2805508.75</v>
          </cell>
          <cell r="DT16">
            <v>0</v>
          </cell>
          <cell r="EA16">
            <v>16249320</v>
          </cell>
        </row>
        <row r="17">
          <cell r="BB17">
            <v>16355.9013671875</v>
          </cell>
          <cell r="BE17">
            <v>256242.46875</v>
          </cell>
          <cell r="BW17">
            <v>24487382</v>
          </cell>
          <cell r="BX17">
            <v>1755844.75</v>
          </cell>
          <cell r="BZ17">
            <v>2448306.5</v>
          </cell>
          <cell r="CA17">
            <v>339128.15625</v>
          </cell>
          <cell r="CB17">
            <v>3151252.75</v>
          </cell>
          <cell r="DC17">
            <v>2805508.75</v>
          </cell>
          <cell r="DT17">
            <v>0</v>
          </cell>
          <cell r="EA17">
            <v>22731540</v>
          </cell>
        </row>
        <row r="18">
          <cell r="BB18">
            <v>18000.904296875</v>
          </cell>
          <cell r="BE18">
            <v>282014.15625</v>
          </cell>
          <cell r="BW18">
            <v>26950214</v>
          </cell>
          <cell r="BX18">
            <v>2183160.75</v>
          </cell>
          <cell r="BZ18">
            <v>2580435.25</v>
          </cell>
          <cell r="CA18">
            <v>592209.5</v>
          </cell>
          <cell r="CB18">
            <v>4192151</v>
          </cell>
          <cell r="DC18">
            <v>2805508.75</v>
          </cell>
          <cell r="DT18">
            <v>0</v>
          </cell>
          <cell r="EA18">
            <v>24767054</v>
          </cell>
        </row>
        <row r="19">
          <cell r="BB19">
            <v>12801.41015625</v>
          </cell>
          <cell r="BE19">
            <v>200555.421875</v>
          </cell>
          <cell r="BW19">
            <v>19165746</v>
          </cell>
          <cell r="BX19">
            <v>2241086.75</v>
          </cell>
          <cell r="BZ19">
            <v>2624827.75</v>
          </cell>
          <cell r="CA19">
            <v>820690.4375</v>
          </cell>
          <cell r="CB19">
            <v>4167254</v>
          </cell>
          <cell r="DC19">
            <v>3466266.25</v>
          </cell>
          <cell r="DT19">
            <v>0</v>
          </cell>
          <cell r="EA19">
            <v>16924660</v>
          </cell>
        </row>
        <row r="20">
          <cell r="BB20">
            <v>8999.953125</v>
          </cell>
          <cell r="BE20">
            <v>132625.546875</v>
          </cell>
          <cell r="BW20">
            <v>12674140</v>
          </cell>
          <cell r="BX20">
            <v>2555296</v>
          </cell>
          <cell r="BZ20">
            <v>2647721.25</v>
          </cell>
          <cell r="CA20">
            <v>2182942.75</v>
          </cell>
          <cell r="CB20">
            <v>3854339</v>
          </cell>
          <cell r="DC20">
            <v>0</v>
          </cell>
          <cell r="DT20">
            <v>0</v>
          </cell>
          <cell r="EA20">
            <v>10118844</v>
          </cell>
        </row>
        <row r="21">
          <cell r="BB21">
            <v>32653.98046875</v>
          </cell>
          <cell r="BE21">
            <v>148757.015625</v>
          </cell>
          <cell r="BW21">
            <v>14215716</v>
          </cell>
          <cell r="BX21">
            <v>8955599</v>
          </cell>
          <cell r="BZ21">
            <v>2665010.25</v>
          </cell>
          <cell r="CA21">
            <v>2872664.75</v>
          </cell>
          <cell r="CB21">
            <v>3417923.25</v>
          </cell>
          <cell r="DC21">
            <v>0</v>
          </cell>
          <cell r="DT21">
            <v>0</v>
          </cell>
          <cell r="EA21">
            <v>5260117</v>
          </cell>
        </row>
        <row r="22">
          <cell r="BB22">
            <v>12857.939453125</v>
          </cell>
          <cell r="BE22">
            <v>58575.0625</v>
          </cell>
          <cell r="BW22">
            <v>5597628</v>
          </cell>
          <cell r="BX22">
            <v>4877174</v>
          </cell>
          <cell r="BZ22">
            <v>1551094.875</v>
          </cell>
          <cell r="CA22">
            <v>1671954.375</v>
          </cell>
          <cell r="CB22">
            <v>1654124.125</v>
          </cell>
          <cell r="DC22">
            <v>0</v>
          </cell>
          <cell r="DT22">
            <v>0</v>
          </cell>
          <cell r="EA22">
            <v>720454.375</v>
          </cell>
        </row>
        <row r="23">
          <cell r="BB23">
            <v>0</v>
          </cell>
          <cell r="BE23">
            <v>0</v>
          </cell>
          <cell r="BW23">
            <v>0</v>
          </cell>
          <cell r="BX23">
            <v>0</v>
          </cell>
          <cell r="BZ23">
            <v>0</v>
          </cell>
          <cell r="CA23">
            <v>0</v>
          </cell>
          <cell r="CB23">
            <v>0</v>
          </cell>
          <cell r="DC23">
            <v>0</v>
          </cell>
          <cell r="DT23">
            <v>2223508</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5">
        <row r="12">
          <cell r="BE12">
            <v>58168</v>
          </cell>
        </row>
        <row r="13">
          <cell r="BE13">
            <v>42982</v>
          </cell>
        </row>
        <row r="14">
          <cell r="BE14">
            <v>32335.998046875</v>
          </cell>
        </row>
        <row r="15">
          <cell r="BE15">
            <v>27859</v>
          </cell>
        </row>
        <row r="16">
          <cell r="BE16">
            <v>21085.001953125</v>
          </cell>
        </row>
        <row r="17">
          <cell r="BE17">
            <v>15907</v>
          </cell>
        </row>
        <row r="18">
          <cell r="BE18">
            <v>10871</v>
          </cell>
        </row>
        <row r="19">
          <cell r="BE19">
            <v>4910</v>
          </cell>
        </row>
        <row r="20">
          <cell r="BE20">
            <v>2830.999755859375</v>
          </cell>
        </row>
        <row r="21">
          <cell r="BE21">
            <v>1768</v>
          </cell>
        </row>
        <row r="22">
          <cell r="BE22">
            <v>903</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6">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7">
        <row r="12">
          <cell r="BB12">
            <v>3712.000244140625</v>
          </cell>
          <cell r="BE12">
            <v>58168</v>
          </cell>
          <cell r="BW12">
            <v>5558615.5</v>
          </cell>
          <cell r="BX12">
            <v>171248.4375</v>
          </cell>
          <cell r="BZ12">
            <v>0</v>
          </cell>
          <cell r="CA12">
            <v>0</v>
          </cell>
          <cell r="CB12">
            <v>570828.3125</v>
          </cell>
          <cell r="DC12">
            <v>0</v>
          </cell>
          <cell r="DT12">
            <v>0</v>
          </cell>
          <cell r="EA12">
            <v>5387367</v>
          </cell>
        </row>
        <row r="13">
          <cell r="BB13">
            <v>2744</v>
          </cell>
          <cell r="BE13">
            <v>42982</v>
          </cell>
          <cell r="BW13">
            <v>4107515.25</v>
          </cell>
          <cell r="BX13">
            <v>186661.421875</v>
          </cell>
          <cell r="BZ13">
            <v>0</v>
          </cell>
          <cell r="CA13">
            <v>0</v>
          </cell>
          <cell r="CB13">
            <v>622204.5625</v>
          </cell>
          <cell r="DC13">
            <v>0</v>
          </cell>
          <cell r="DT13">
            <v>0</v>
          </cell>
          <cell r="EA13">
            <v>3920853.5</v>
          </cell>
        </row>
        <row r="14">
          <cell r="BB14">
            <v>2063</v>
          </cell>
          <cell r="BE14">
            <v>32335.998046875</v>
          </cell>
          <cell r="BW14">
            <v>3090159.75</v>
          </cell>
          <cell r="BX14">
            <v>196457.984375</v>
          </cell>
          <cell r="BZ14">
            <v>0</v>
          </cell>
          <cell r="CA14">
            <v>0</v>
          </cell>
          <cell r="CB14">
            <v>654859.875</v>
          </cell>
          <cell r="DC14">
            <v>0</v>
          </cell>
          <cell r="DT14">
            <v>0</v>
          </cell>
          <cell r="EA14">
            <v>2893701.75</v>
          </cell>
        </row>
        <row r="15">
          <cell r="BB15">
            <v>1778</v>
          </cell>
          <cell r="BE15">
            <v>27859</v>
          </cell>
          <cell r="BW15">
            <v>2662317.75</v>
          </cell>
          <cell r="BX15">
            <v>239403.53125</v>
          </cell>
          <cell r="BZ15">
            <v>0</v>
          </cell>
          <cell r="CA15">
            <v>0</v>
          </cell>
          <cell r="CB15">
            <v>798011.75</v>
          </cell>
          <cell r="DC15">
            <v>0</v>
          </cell>
          <cell r="DT15">
            <v>0</v>
          </cell>
          <cell r="EA15">
            <v>2422914</v>
          </cell>
        </row>
        <row r="16">
          <cell r="BB16">
            <v>1347</v>
          </cell>
          <cell r="BE16">
            <v>21085.001953125</v>
          </cell>
          <cell r="BW16">
            <v>2014791.875</v>
          </cell>
          <cell r="BX16">
            <v>239846.03125</v>
          </cell>
          <cell r="BZ16">
            <v>0</v>
          </cell>
          <cell r="CA16">
            <v>0</v>
          </cell>
          <cell r="CB16">
            <v>799486.8125</v>
          </cell>
          <cell r="DC16">
            <v>0</v>
          </cell>
          <cell r="DT16">
            <v>0</v>
          </cell>
          <cell r="EA16">
            <v>1774945.75</v>
          </cell>
        </row>
        <row r="17">
          <cell r="BB17">
            <v>1016.0000610351563</v>
          </cell>
          <cell r="BE17">
            <v>15907</v>
          </cell>
          <cell r="BW17">
            <v>1520178.75</v>
          </cell>
          <cell r="BX17">
            <v>242959.40625</v>
          </cell>
          <cell r="BZ17">
            <v>0</v>
          </cell>
          <cell r="CA17">
            <v>0</v>
          </cell>
          <cell r="CB17">
            <v>809864.4375</v>
          </cell>
          <cell r="DC17">
            <v>0</v>
          </cell>
          <cell r="DT17">
            <v>0</v>
          </cell>
          <cell r="EA17">
            <v>1277219.25</v>
          </cell>
        </row>
        <row r="18">
          <cell r="BB18">
            <v>693</v>
          </cell>
          <cell r="BE18">
            <v>10871</v>
          </cell>
          <cell r="BW18">
            <v>1038984.25</v>
          </cell>
          <cell r="BX18">
            <v>216837.9375</v>
          </cell>
          <cell r="BZ18">
            <v>0</v>
          </cell>
          <cell r="CA18">
            <v>0</v>
          </cell>
          <cell r="CB18">
            <v>722793.0625</v>
          </cell>
          <cell r="DC18">
            <v>0</v>
          </cell>
          <cell r="DT18">
            <v>0</v>
          </cell>
          <cell r="EA18">
            <v>822146.25</v>
          </cell>
        </row>
        <row r="19">
          <cell r="BB19">
            <v>313</v>
          </cell>
          <cell r="BE19">
            <v>4910</v>
          </cell>
          <cell r="BW19">
            <v>469066.90625</v>
          </cell>
          <cell r="BX19">
            <v>122168.0546875</v>
          </cell>
          <cell r="BZ19">
            <v>0</v>
          </cell>
          <cell r="CA19">
            <v>0</v>
          </cell>
          <cell r="CB19">
            <v>407227.03125</v>
          </cell>
          <cell r="DC19">
            <v>0</v>
          </cell>
          <cell r="DT19">
            <v>0</v>
          </cell>
          <cell r="EA19">
            <v>346898.84375</v>
          </cell>
        </row>
        <row r="20">
          <cell r="BB20">
            <v>185</v>
          </cell>
          <cell r="BE20">
            <v>2830.999755859375</v>
          </cell>
          <cell r="BW20">
            <v>270536.53125</v>
          </cell>
          <cell r="BX20">
            <v>83267.4296875</v>
          </cell>
          <cell r="BZ20">
            <v>0</v>
          </cell>
          <cell r="CA20">
            <v>0</v>
          </cell>
          <cell r="CB20">
            <v>272101.90625</v>
          </cell>
          <cell r="DC20">
            <v>0</v>
          </cell>
          <cell r="DT20">
            <v>0</v>
          </cell>
          <cell r="EA20">
            <v>187269.09375</v>
          </cell>
        </row>
        <row r="21">
          <cell r="BB21">
            <v>388</v>
          </cell>
          <cell r="BE21">
            <v>1768</v>
          </cell>
          <cell r="BW21">
            <v>168948.28125</v>
          </cell>
          <cell r="BX21">
            <v>83991.390625</v>
          </cell>
          <cell r="BZ21">
            <v>0</v>
          </cell>
          <cell r="CA21">
            <v>0</v>
          </cell>
          <cell r="CB21">
            <v>83991.390625</v>
          </cell>
          <cell r="DC21">
            <v>0</v>
          </cell>
          <cell r="DT21">
            <v>0</v>
          </cell>
          <cell r="EA21">
            <v>84956.890625</v>
          </cell>
        </row>
        <row r="22">
          <cell r="BB22">
            <v>198</v>
          </cell>
          <cell r="BE22">
            <v>903</v>
          </cell>
          <cell r="BW22">
            <v>86276.4765625</v>
          </cell>
          <cell r="BX22">
            <v>48560.546875</v>
          </cell>
          <cell r="BZ22">
            <v>0</v>
          </cell>
          <cell r="CA22">
            <v>0</v>
          </cell>
          <cell r="CB22">
            <v>48560.5625</v>
          </cell>
          <cell r="DC22">
            <v>0</v>
          </cell>
          <cell r="DT22">
            <v>0</v>
          </cell>
          <cell r="EA22">
            <v>37715.92578125</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8">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9">
        <row r="12">
          <cell r="BE12">
            <v>0</v>
          </cell>
        </row>
        <row r="13">
          <cell r="BE13">
            <v>0</v>
          </cell>
        </row>
        <row r="14">
          <cell r="BE14">
            <v>0</v>
          </cell>
        </row>
        <row r="15">
          <cell r="BE15">
            <v>0</v>
          </cell>
        </row>
        <row r="16">
          <cell r="BE16">
            <v>0</v>
          </cell>
        </row>
        <row r="17">
          <cell r="BE17">
            <v>0</v>
          </cell>
        </row>
        <row r="18">
          <cell r="BE18">
            <v>0</v>
          </cell>
        </row>
        <row r="19">
          <cell r="BE19">
            <v>2030.9998779296875</v>
          </cell>
        </row>
        <row r="20">
          <cell r="BE20">
            <v>2321</v>
          </cell>
        </row>
        <row r="21">
          <cell r="BE21">
            <v>2251</v>
          </cell>
        </row>
        <row r="22">
          <cell r="BE22">
            <v>390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0">
        <row r="12">
          <cell r="BE12">
            <v>20384</v>
          </cell>
        </row>
        <row r="13">
          <cell r="BE13">
            <v>16386</v>
          </cell>
        </row>
        <row r="14">
          <cell r="BE14">
            <v>11635</v>
          </cell>
        </row>
        <row r="15">
          <cell r="BE15">
            <v>8286</v>
          </cell>
        </row>
        <row r="16">
          <cell r="BE16">
            <v>5907</v>
          </cell>
        </row>
        <row r="17">
          <cell r="BE17">
            <v>4056.000244140625</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1">
        <row r="12">
          <cell r="BB12">
            <v>1301</v>
          </cell>
          <cell r="BE12">
            <v>20384</v>
          </cell>
          <cell r="BW12">
            <v>1947926.875</v>
          </cell>
          <cell r="BX12">
            <v>76371.9140625</v>
          </cell>
          <cell r="BZ12">
            <v>0</v>
          </cell>
          <cell r="CA12">
            <v>0</v>
          </cell>
          <cell r="CB12">
            <v>254572.875</v>
          </cell>
          <cell r="DC12">
            <v>1243994.75</v>
          </cell>
          <cell r="DT12">
            <v>0</v>
          </cell>
          <cell r="EA12">
            <v>1871555.125</v>
          </cell>
        </row>
        <row r="13">
          <cell r="BB13">
            <v>1045</v>
          </cell>
          <cell r="BE13">
            <v>16386</v>
          </cell>
          <cell r="BW13">
            <v>1565876.75</v>
          </cell>
          <cell r="BX13">
            <v>98952.8828125</v>
          </cell>
          <cell r="BZ13">
            <v>0</v>
          </cell>
          <cell r="CA13">
            <v>0</v>
          </cell>
          <cell r="CB13">
            <v>329843.125</v>
          </cell>
          <cell r="DC13">
            <v>0</v>
          </cell>
          <cell r="DT13">
            <v>0</v>
          </cell>
          <cell r="EA13">
            <v>1466923.5</v>
          </cell>
        </row>
        <row r="14">
          <cell r="BB14">
            <v>743</v>
          </cell>
          <cell r="BE14">
            <v>11635</v>
          </cell>
          <cell r="BW14">
            <v>1111888.75</v>
          </cell>
          <cell r="BX14">
            <v>97577.8828125</v>
          </cell>
          <cell r="BZ14">
            <v>0</v>
          </cell>
          <cell r="CA14">
            <v>0</v>
          </cell>
          <cell r="CB14">
            <v>325259.53125</v>
          </cell>
          <cell r="DC14">
            <v>0</v>
          </cell>
          <cell r="DT14">
            <v>0</v>
          </cell>
          <cell r="EA14">
            <v>1014311.0625</v>
          </cell>
        </row>
        <row r="15">
          <cell r="BB15">
            <v>530</v>
          </cell>
          <cell r="BE15">
            <v>8286</v>
          </cell>
          <cell r="BW15">
            <v>791723.125</v>
          </cell>
          <cell r="BX15">
            <v>94546.5390625</v>
          </cell>
          <cell r="BZ15">
            <v>0</v>
          </cell>
          <cell r="CA15">
            <v>0</v>
          </cell>
          <cell r="CB15">
            <v>315155.03125</v>
          </cell>
          <cell r="DC15">
            <v>0</v>
          </cell>
          <cell r="DT15">
            <v>0</v>
          </cell>
          <cell r="EA15">
            <v>697176.5</v>
          </cell>
        </row>
        <row r="16">
          <cell r="BB16">
            <v>376.99996948242188</v>
          </cell>
          <cell r="BE16">
            <v>5907</v>
          </cell>
          <cell r="BW16">
            <v>564567.75</v>
          </cell>
          <cell r="BX16">
            <v>91563.71875</v>
          </cell>
          <cell r="BZ16">
            <v>0</v>
          </cell>
          <cell r="CA16">
            <v>0</v>
          </cell>
          <cell r="CB16">
            <v>305212.40625</v>
          </cell>
          <cell r="DC16">
            <v>0</v>
          </cell>
          <cell r="DT16">
            <v>0</v>
          </cell>
          <cell r="EA16">
            <v>473004.53125</v>
          </cell>
        </row>
        <row r="17">
          <cell r="BB17">
            <v>260</v>
          </cell>
          <cell r="BE17">
            <v>4056.000244140625</v>
          </cell>
          <cell r="BW17">
            <v>387445.625</v>
          </cell>
          <cell r="BX17">
            <v>86916.2890625</v>
          </cell>
          <cell r="BZ17">
            <v>0</v>
          </cell>
          <cell r="CA17">
            <v>0</v>
          </cell>
          <cell r="CB17">
            <v>289721.125</v>
          </cell>
          <cell r="DC17">
            <v>0</v>
          </cell>
          <cell r="DT17">
            <v>0</v>
          </cell>
          <cell r="EA17">
            <v>300529.90625</v>
          </cell>
        </row>
        <row r="18">
          <cell r="BB18">
            <v>0</v>
          </cell>
          <cell r="BE18">
            <v>0</v>
          </cell>
          <cell r="BW18">
            <v>0</v>
          </cell>
          <cell r="BX18">
            <v>0</v>
          </cell>
          <cell r="BZ18">
            <v>0</v>
          </cell>
          <cell r="CA18">
            <v>0</v>
          </cell>
          <cell r="CB18">
            <v>0</v>
          </cell>
          <cell r="DC18">
            <v>0</v>
          </cell>
          <cell r="DT18">
            <v>0</v>
          </cell>
          <cell r="EA18">
            <v>0</v>
          </cell>
        </row>
        <row r="19">
          <cell r="BB19">
            <v>130</v>
          </cell>
          <cell r="BE19">
            <v>2030.9998779296875</v>
          </cell>
          <cell r="BW19">
            <v>194091.546875</v>
          </cell>
          <cell r="BX19">
            <v>5089.935546875</v>
          </cell>
          <cell r="BZ19">
            <v>0</v>
          </cell>
          <cell r="CA19">
            <v>0</v>
          </cell>
          <cell r="CB19">
            <v>16966.521484375</v>
          </cell>
          <cell r="DC19">
            <v>0</v>
          </cell>
          <cell r="DT19">
            <v>0</v>
          </cell>
          <cell r="EA19">
            <v>189001.828125</v>
          </cell>
        </row>
        <row r="20">
          <cell r="BB20">
            <v>156</v>
          </cell>
          <cell r="BE20">
            <v>2321</v>
          </cell>
          <cell r="BW20">
            <v>221744.109375</v>
          </cell>
          <cell r="BX20">
            <v>7807.15185546875</v>
          </cell>
          <cell r="BZ20">
            <v>0</v>
          </cell>
          <cell r="CA20">
            <v>0</v>
          </cell>
          <cell r="CB20">
            <v>24543.42578125</v>
          </cell>
          <cell r="DC20">
            <v>0</v>
          </cell>
          <cell r="DT20">
            <v>0</v>
          </cell>
          <cell r="EA20">
            <v>213937.25</v>
          </cell>
        </row>
        <row r="21">
          <cell r="BB21">
            <v>493</v>
          </cell>
          <cell r="BE21">
            <v>2251</v>
          </cell>
          <cell r="BW21">
            <v>215025.296875</v>
          </cell>
          <cell r="BX21">
            <v>20717.986328125</v>
          </cell>
          <cell r="BZ21">
            <v>0</v>
          </cell>
          <cell r="CA21">
            <v>0</v>
          </cell>
          <cell r="CB21">
            <v>20717.986328125</v>
          </cell>
          <cell r="DC21">
            <v>0</v>
          </cell>
          <cell r="DT21">
            <v>0</v>
          </cell>
          <cell r="EA21">
            <v>194307.375</v>
          </cell>
        </row>
        <row r="22">
          <cell r="BB22">
            <v>85.999992370605469</v>
          </cell>
          <cell r="BE22">
            <v>390</v>
          </cell>
          <cell r="BW22">
            <v>37300.37109375</v>
          </cell>
          <cell r="BX22">
            <v>4886.29150390625</v>
          </cell>
          <cell r="BZ22">
            <v>0</v>
          </cell>
          <cell r="CA22">
            <v>0</v>
          </cell>
          <cell r="CB22">
            <v>4886.29150390625</v>
          </cell>
          <cell r="DC22">
            <v>0</v>
          </cell>
          <cell r="DT22">
            <v>0</v>
          </cell>
          <cell r="EA22">
            <v>32413.94140625</v>
          </cell>
        </row>
        <row r="23">
          <cell r="BB23">
            <v>0</v>
          </cell>
          <cell r="BE23">
            <v>0</v>
          </cell>
          <cell r="BW23">
            <v>0</v>
          </cell>
          <cell r="BX23">
            <v>0</v>
          </cell>
          <cell r="BZ23">
            <v>0</v>
          </cell>
          <cell r="CA23">
            <v>0</v>
          </cell>
          <cell r="CB23">
            <v>0</v>
          </cell>
          <cell r="DC23">
            <v>0</v>
          </cell>
          <cell r="DT23">
            <v>247057</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2">
        <row r="12">
          <cell r="J12">
            <v>0.77288261090087895</v>
          </cell>
        </row>
        <row r="13">
          <cell r="J13">
            <v>0.13660194018554689</v>
          </cell>
        </row>
        <row r="14">
          <cell r="J14">
            <v>1.50393340625</v>
          </cell>
          <cell r="L14">
            <v>0</v>
          </cell>
        </row>
        <row r="17">
          <cell r="J17">
            <v>0</v>
          </cell>
          <cell r="L17">
            <v>0</v>
          </cell>
        </row>
        <row r="18">
          <cell r="J18">
            <v>0.21961999975585939</v>
          </cell>
          <cell r="L18">
            <v>0</v>
          </cell>
        </row>
        <row r="19">
          <cell r="J19">
            <v>0</v>
          </cell>
          <cell r="L19">
            <v>0</v>
          </cell>
        </row>
        <row r="20">
          <cell r="J20">
            <v>0.21961999975585939</v>
          </cell>
          <cell r="L20">
            <v>0</v>
          </cell>
        </row>
        <row r="22">
          <cell r="J22">
            <v>0</v>
          </cell>
          <cell r="L22">
            <v>0</v>
          </cell>
        </row>
        <row r="23">
          <cell r="J23">
            <v>6.9929998779296879E-3</v>
          </cell>
          <cell r="L23">
            <v>0</v>
          </cell>
        </row>
        <row r="24">
          <cell r="J24">
            <v>6.6654000244140629E-2</v>
          </cell>
          <cell r="L24">
            <v>0</v>
          </cell>
        </row>
        <row r="25">
          <cell r="J25">
            <v>7.3647000122070316E-2</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PDP"/>
      <sheetName val="D-PNP"/>
      <sheetName val="D-PND"/>
      <sheetName val="D-PRB"/>
      <sheetName val="D-PS"/>
      <sheetName val="BM"/>
      <sheetName val="CF PDP"/>
      <sheetName val="CF PNP"/>
      <sheetName val="CF PND"/>
      <sheetName val="CF PRB"/>
      <sheetName val="CF PS"/>
      <sheetName val="PDP"/>
      <sheetName val="PNP"/>
      <sheetName val="PND"/>
      <sheetName val="PRB"/>
      <sheetName val="PS"/>
      <sheetName val="PD"/>
      <sheetName val="1P"/>
      <sheetName val="2P"/>
      <sheetName val="3P"/>
      <sheetName val="Consolidado"/>
      <sheetName val="Lista"/>
    </sheetNames>
    <sheetDataSet>
      <sheetData sheetId="0" refreshError="1"/>
      <sheetData sheetId="1" refreshError="1"/>
      <sheetData sheetId="2" refreshError="1"/>
      <sheetData sheetId="3" refreshError="1"/>
      <sheetData sheetId="4" refreshError="1"/>
      <sheetData sheetId="5" refreshError="1"/>
      <sheetData sheetId="6">
        <row r="36">
          <cell r="AY36">
            <v>18165</v>
          </cell>
          <cell r="BB36">
            <v>284572</v>
          </cell>
          <cell r="BT36">
            <v>27193700</v>
          </cell>
          <cell r="BU36">
            <v>3666179</v>
          </cell>
          <cell r="BW36">
            <v>2692635</v>
          </cell>
          <cell r="BX36">
            <v>238473</v>
          </cell>
          <cell r="BY36">
            <v>9289488</v>
          </cell>
          <cell r="CT36">
            <v>424875</v>
          </cell>
          <cell r="DI36">
            <v>0</v>
          </cell>
          <cell r="DN36">
            <v>23527521</v>
          </cell>
        </row>
        <row r="37">
          <cell r="AY37">
            <v>11822</v>
          </cell>
          <cell r="BB37">
            <v>185209</v>
          </cell>
          <cell r="BT37">
            <v>17698572</v>
          </cell>
          <cell r="BU37">
            <v>3308137</v>
          </cell>
          <cell r="BW37">
            <v>2692635</v>
          </cell>
          <cell r="BX37">
            <v>232145</v>
          </cell>
          <cell r="BY37">
            <v>8102343</v>
          </cell>
          <cell r="CT37">
            <v>376500</v>
          </cell>
          <cell r="DI37">
            <v>0</v>
          </cell>
          <cell r="DN37">
            <v>14390435</v>
          </cell>
        </row>
        <row r="38">
          <cell r="AY38">
            <v>7482</v>
          </cell>
          <cell r="BB38">
            <v>117228</v>
          </cell>
          <cell r="BT38">
            <v>11202308</v>
          </cell>
          <cell r="BU38">
            <v>2790128</v>
          </cell>
          <cell r="BW38">
            <v>2692635</v>
          </cell>
          <cell r="BX38">
            <v>221009</v>
          </cell>
          <cell r="BY38">
            <v>6386783</v>
          </cell>
          <cell r="CT38">
            <v>156750</v>
          </cell>
          <cell r="DI38">
            <v>0</v>
          </cell>
          <cell r="DN38">
            <v>8412180</v>
          </cell>
        </row>
        <row r="39">
          <cell r="AY39">
            <v>4798</v>
          </cell>
          <cell r="BB39">
            <v>75170</v>
          </cell>
          <cell r="BT39">
            <v>7183245</v>
          </cell>
          <cell r="BU39">
            <v>2310056</v>
          </cell>
          <cell r="BW39">
            <v>2692635</v>
          </cell>
          <cell r="BX39">
            <v>212384</v>
          </cell>
          <cell r="BY39">
            <v>4795167</v>
          </cell>
          <cell r="CT39">
            <v>74507</v>
          </cell>
          <cell r="DI39">
            <v>0</v>
          </cell>
          <cell r="DN39">
            <v>4873189</v>
          </cell>
        </row>
        <row r="40">
          <cell r="AY40">
            <v>3245</v>
          </cell>
          <cell r="BB40">
            <v>50852</v>
          </cell>
          <cell r="BT40">
            <v>4859417</v>
          </cell>
          <cell r="BU40">
            <v>2097246</v>
          </cell>
          <cell r="BW40">
            <v>2692635</v>
          </cell>
          <cell r="BX40">
            <v>226615</v>
          </cell>
          <cell r="BY40">
            <v>4071571</v>
          </cell>
          <cell r="CT40">
            <v>173850</v>
          </cell>
          <cell r="DI40">
            <v>0</v>
          </cell>
          <cell r="DN40">
            <v>2762171</v>
          </cell>
        </row>
        <row r="41">
          <cell r="AY41">
            <v>2061</v>
          </cell>
          <cell r="BB41">
            <v>32283</v>
          </cell>
          <cell r="BT41">
            <v>3084963</v>
          </cell>
          <cell r="BU41">
            <v>1832141</v>
          </cell>
          <cell r="BW41">
            <v>2692635</v>
          </cell>
          <cell r="BX41">
            <v>262657</v>
          </cell>
          <cell r="BY41">
            <v>3151843</v>
          </cell>
          <cell r="CT41">
            <v>0</v>
          </cell>
          <cell r="DI41">
            <v>0</v>
          </cell>
          <cell r="DN41">
            <v>1252822</v>
          </cell>
        </row>
        <row r="42">
          <cell r="AY42">
            <v>0</v>
          </cell>
          <cell r="BB42">
            <v>0</v>
          </cell>
          <cell r="BT42">
            <v>0</v>
          </cell>
          <cell r="BU42">
            <v>0</v>
          </cell>
          <cell r="BW42">
            <v>0</v>
          </cell>
          <cell r="BX42">
            <v>0</v>
          </cell>
          <cell r="BY42">
            <v>0</v>
          </cell>
          <cell r="CT42">
            <v>0</v>
          </cell>
          <cell r="DI42">
            <v>12239414</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7">
        <row r="36">
          <cell r="AY36">
            <v>1832</v>
          </cell>
          <cell r="BB36">
            <v>28711</v>
          </cell>
          <cell r="BT36">
            <v>2743623</v>
          </cell>
          <cell r="BU36">
            <v>86436</v>
          </cell>
          <cell r="BW36">
            <v>0</v>
          </cell>
          <cell r="BX36">
            <v>0</v>
          </cell>
          <cell r="BY36">
            <v>288120</v>
          </cell>
          <cell r="CT36">
            <v>0</v>
          </cell>
          <cell r="DI36">
            <v>0</v>
          </cell>
          <cell r="DN36">
            <v>2657187</v>
          </cell>
        </row>
        <row r="37">
          <cell r="AY37">
            <v>1588</v>
          </cell>
          <cell r="BB37">
            <v>24875</v>
          </cell>
          <cell r="BT37">
            <v>2377055</v>
          </cell>
          <cell r="BU37">
            <v>108337</v>
          </cell>
          <cell r="BW37">
            <v>0</v>
          </cell>
          <cell r="BX37">
            <v>0</v>
          </cell>
          <cell r="BY37">
            <v>361122</v>
          </cell>
          <cell r="CT37">
            <v>0</v>
          </cell>
          <cell r="DI37">
            <v>0</v>
          </cell>
          <cell r="DN37">
            <v>2268718</v>
          </cell>
        </row>
        <row r="38">
          <cell r="AY38">
            <v>1706</v>
          </cell>
          <cell r="BB38">
            <v>26714</v>
          </cell>
          <cell r="BT38">
            <v>2552790</v>
          </cell>
          <cell r="BU38">
            <v>179234</v>
          </cell>
          <cell r="BW38">
            <v>0</v>
          </cell>
          <cell r="BX38">
            <v>0</v>
          </cell>
          <cell r="BY38">
            <v>597445</v>
          </cell>
          <cell r="CT38">
            <v>0</v>
          </cell>
          <cell r="DI38">
            <v>0</v>
          </cell>
          <cell r="DN38">
            <v>2373556</v>
          </cell>
        </row>
        <row r="39">
          <cell r="AY39">
            <v>1273</v>
          </cell>
          <cell r="BB39">
            <v>19951</v>
          </cell>
          <cell r="BT39">
            <v>1906518</v>
          </cell>
          <cell r="BU39">
            <v>177360</v>
          </cell>
          <cell r="BW39">
            <v>0</v>
          </cell>
          <cell r="BX39">
            <v>0</v>
          </cell>
          <cell r="BY39">
            <v>591200</v>
          </cell>
          <cell r="CT39">
            <v>0</v>
          </cell>
          <cell r="DI39">
            <v>0</v>
          </cell>
          <cell r="DN39">
            <v>1729158</v>
          </cell>
        </row>
        <row r="40">
          <cell r="AY40">
            <v>911</v>
          </cell>
          <cell r="BB40">
            <v>14266</v>
          </cell>
          <cell r="BT40">
            <v>1363259</v>
          </cell>
          <cell r="BU40">
            <v>159425</v>
          </cell>
          <cell r="BW40">
            <v>0</v>
          </cell>
          <cell r="BX40">
            <v>0</v>
          </cell>
          <cell r="BY40">
            <v>531417</v>
          </cell>
          <cell r="CT40">
            <v>0</v>
          </cell>
          <cell r="DI40">
            <v>0</v>
          </cell>
          <cell r="DN40">
            <v>1203834</v>
          </cell>
        </row>
        <row r="41">
          <cell r="AY41">
            <v>684</v>
          </cell>
          <cell r="BB41">
            <v>10727</v>
          </cell>
          <cell r="BT41">
            <v>1025073</v>
          </cell>
          <cell r="BU41">
            <v>158690</v>
          </cell>
          <cell r="BW41">
            <v>0</v>
          </cell>
          <cell r="BX41">
            <v>0</v>
          </cell>
          <cell r="BY41">
            <v>528967</v>
          </cell>
          <cell r="CT41">
            <v>0</v>
          </cell>
          <cell r="DI41">
            <v>0</v>
          </cell>
          <cell r="DN41">
            <v>866383</v>
          </cell>
        </row>
        <row r="42">
          <cell r="AY42">
            <v>1404</v>
          </cell>
          <cell r="BB42">
            <v>22000</v>
          </cell>
          <cell r="BT42">
            <v>2102320</v>
          </cell>
          <cell r="BU42">
            <v>1566765</v>
          </cell>
          <cell r="BW42">
            <v>2692635</v>
          </cell>
          <cell r="BX42">
            <v>471258</v>
          </cell>
          <cell r="BY42">
            <v>2058656</v>
          </cell>
          <cell r="CT42">
            <v>0</v>
          </cell>
          <cell r="DI42">
            <v>0</v>
          </cell>
          <cell r="DN42">
            <v>535555</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4648</v>
          </cell>
          <cell r="BB36">
            <v>72821</v>
          </cell>
          <cell r="BT36">
            <v>6958775</v>
          </cell>
          <cell r="BU36">
            <v>169569</v>
          </cell>
          <cell r="BW36">
            <v>0</v>
          </cell>
          <cell r="BX36">
            <v>0</v>
          </cell>
          <cell r="BY36">
            <v>565230</v>
          </cell>
          <cell r="CT36">
            <v>1865993</v>
          </cell>
          <cell r="DI36">
            <v>0</v>
          </cell>
          <cell r="DN36">
            <v>6789206</v>
          </cell>
        </row>
        <row r="37">
          <cell r="AY37">
            <v>4195</v>
          </cell>
          <cell r="BB37">
            <v>65725</v>
          </cell>
          <cell r="BT37">
            <v>6280681</v>
          </cell>
          <cell r="BU37">
            <v>245780</v>
          </cell>
          <cell r="BW37">
            <v>0</v>
          </cell>
          <cell r="BX37">
            <v>0</v>
          </cell>
          <cell r="BY37">
            <v>819267</v>
          </cell>
          <cell r="CT37">
            <v>0</v>
          </cell>
          <cell r="DI37">
            <v>0</v>
          </cell>
          <cell r="DN37">
            <v>6034901</v>
          </cell>
        </row>
        <row r="38">
          <cell r="AY38">
            <v>3079</v>
          </cell>
          <cell r="BB38">
            <v>48243</v>
          </cell>
          <cell r="BT38">
            <v>4610101</v>
          </cell>
          <cell r="BU38">
            <v>254646</v>
          </cell>
          <cell r="BW38">
            <v>0</v>
          </cell>
          <cell r="BX38">
            <v>0</v>
          </cell>
          <cell r="BY38">
            <v>848822</v>
          </cell>
          <cell r="CT38">
            <v>0</v>
          </cell>
          <cell r="DI38">
            <v>0</v>
          </cell>
          <cell r="DN38">
            <v>4355455</v>
          </cell>
        </row>
        <row r="39">
          <cell r="AY39">
            <v>3542</v>
          </cell>
          <cell r="BB39">
            <v>55479</v>
          </cell>
          <cell r="BT39">
            <v>5301573</v>
          </cell>
          <cell r="BU39">
            <v>271555</v>
          </cell>
          <cell r="BW39">
            <v>0</v>
          </cell>
          <cell r="BX39">
            <v>0</v>
          </cell>
          <cell r="BY39">
            <v>905184</v>
          </cell>
          <cell r="CT39">
            <v>2805509</v>
          </cell>
          <cell r="DI39">
            <v>0</v>
          </cell>
          <cell r="DN39">
            <v>5030018</v>
          </cell>
        </row>
        <row r="40">
          <cell r="AY40">
            <v>11672</v>
          </cell>
          <cell r="BB40">
            <v>182857</v>
          </cell>
          <cell r="BT40">
            <v>17473815</v>
          </cell>
          <cell r="BU40">
            <v>575568</v>
          </cell>
          <cell r="BW40">
            <v>0</v>
          </cell>
          <cell r="BX40">
            <v>0</v>
          </cell>
          <cell r="BY40">
            <v>1918557</v>
          </cell>
          <cell r="CT40">
            <v>2805508</v>
          </cell>
          <cell r="DI40">
            <v>0</v>
          </cell>
          <cell r="DN40">
            <v>16898247</v>
          </cell>
        </row>
        <row r="41">
          <cell r="AY41">
            <v>16355</v>
          </cell>
          <cell r="BB41">
            <v>256220</v>
          </cell>
          <cell r="BT41">
            <v>24484383</v>
          </cell>
          <cell r="BU41">
            <v>965640</v>
          </cell>
          <cell r="BW41">
            <v>0</v>
          </cell>
          <cell r="BX41">
            <v>0</v>
          </cell>
          <cell r="BY41">
            <v>3218800</v>
          </cell>
          <cell r="CT41">
            <v>2805509</v>
          </cell>
          <cell r="DI41">
            <v>0</v>
          </cell>
          <cell r="DN41">
            <v>23518743</v>
          </cell>
        </row>
        <row r="42">
          <cell r="AY42">
            <v>17999</v>
          </cell>
          <cell r="BB42">
            <v>281990</v>
          </cell>
          <cell r="BT42">
            <v>26946964</v>
          </cell>
          <cell r="BU42">
            <v>1278700</v>
          </cell>
          <cell r="BW42">
            <v>0</v>
          </cell>
          <cell r="BX42">
            <v>0</v>
          </cell>
          <cell r="BY42">
            <v>4262335</v>
          </cell>
          <cell r="CT42">
            <v>234512</v>
          </cell>
          <cell r="DI42">
            <v>0</v>
          </cell>
          <cell r="DN42">
            <v>25668264</v>
          </cell>
        </row>
        <row r="43">
          <cell r="AY43">
            <v>13412</v>
          </cell>
          <cell r="BB43">
            <v>210120</v>
          </cell>
          <cell r="BT43">
            <v>20079067</v>
          </cell>
          <cell r="BU43">
            <v>2573014</v>
          </cell>
          <cell r="BW43">
            <v>2692635</v>
          </cell>
          <cell r="BX43">
            <v>707392</v>
          </cell>
          <cell r="BY43">
            <v>5176687</v>
          </cell>
          <cell r="CT43">
            <v>187181</v>
          </cell>
          <cell r="DI43">
            <v>0</v>
          </cell>
          <cell r="DN43">
            <v>17506053</v>
          </cell>
        </row>
        <row r="44">
          <cell r="AY44">
            <v>8561</v>
          </cell>
          <cell r="BB44">
            <v>134117</v>
          </cell>
          <cell r="BT44">
            <v>12816221</v>
          </cell>
          <cell r="BU44">
            <v>2679125</v>
          </cell>
          <cell r="BW44">
            <v>2692635</v>
          </cell>
          <cell r="BX44">
            <v>1291338</v>
          </cell>
          <cell r="BY44">
            <v>4409276</v>
          </cell>
          <cell r="CT44">
            <v>0</v>
          </cell>
          <cell r="DI44">
            <v>0</v>
          </cell>
          <cell r="DN44">
            <v>10137096</v>
          </cell>
        </row>
        <row r="45">
          <cell r="AY45">
            <v>0</v>
          </cell>
          <cell r="BB45">
            <v>0</v>
          </cell>
          <cell r="BT45">
            <v>0</v>
          </cell>
          <cell r="BU45">
            <v>0</v>
          </cell>
          <cell r="BW45">
            <v>0</v>
          </cell>
          <cell r="BX45">
            <v>0</v>
          </cell>
          <cell r="BY45">
            <v>0</v>
          </cell>
          <cell r="CT45">
            <v>0</v>
          </cell>
          <cell r="DI45">
            <v>2223508</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3713</v>
          </cell>
          <cell r="BB36">
            <v>58162</v>
          </cell>
          <cell r="BT36">
            <v>5557961</v>
          </cell>
          <cell r="BU36">
            <v>171249</v>
          </cell>
          <cell r="BW36">
            <v>0</v>
          </cell>
          <cell r="BX36">
            <v>0</v>
          </cell>
          <cell r="BY36">
            <v>570829</v>
          </cell>
          <cell r="CT36">
            <v>0</v>
          </cell>
          <cell r="DI36">
            <v>0</v>
          </cell>
          <cell r="DN36">
            <v>5386712</v>
          </cell>
        </row>
        <row r="37">
          <cell r="AY37">
            <v>2743</v>
          </cell>
          <cell r="BB37">
            <v>42979</v>
          </cell>
          <cell r="BT37">
            <v>4107073</v>
          </cell>
          <cell r="BU37">
            <v>186661</v>
          </cell>
          <cell r="BW37">
            <v>0</v>
          </cell>
          <cell r="BX37">
            <v>0</v>
          </cell>
          <cell r="BY37">
            <v>622204</v>
          </cell>
          <cell r="CT37">
            <v>0</v>
          </cell>
          <cell r="DI37">
            <v>0</v>
          </cell>
          <cell r="DN37">
            <v>3920412</v>
          </cell>
        </row>
        <row r="38">
          <cell r="AY38">
            <v>2064</v>
          </cell>
          <cell r="BB38">
            <v>32333</v>
          </cell>
          <cell r="BT38">
            <v>3089741</v>
          </cell>
          <cell r="BU38">
            <v>201370</v>
          </cell>
          <cell r="BW38">
            <v>0</v>
          </cell>
          <cell r="BX38">
            <v>0</v>
          </cell>
          <cell r="BY38">
            <v>671231</v>
          </cell>
          <cell r="CT38">
            <v>0</v>
          </cell>
          <cell r="DI38">
            <v>0</v>
          </cell>
          <cell r="DN38">
            <v>2888371</v>
          </cell>
        </row>
        <row r="39">
          <cell r="AY39">
            <v>1778</v>
          </cell>
          <cell r="BB39">
            <v>27857</v>
          </cell>
          <cell r="BT39">
            <v>2662015</v>
          </cell>
          <cell r="BU39">
            <v>239900</v>
          </cell>
          <cell r="BW39">
            <v>0</v>
          </cell>
          <cell r="BX39">
            <v>0</v>
          </cell>
          <cell r="BY39">
            <v>799667</v>
          </cell>
          <cell r="CT39">
            <v>0</v>
          </cell>
          <cell r="DI39">
            <v>0</v>
          </cell>
          <cell r="DN39">
            <v>2422115</v>
          </cell>
        </row>
        <row r="40">
          <cell r="AY40">
            <v>1346</v>
          </cell>
          <cell r="BB40">
            <v>21081</v>
          </cell>
          <cell r="BT40">
            <v>2014500</v>
          </cell>
          <cell r="BU40">
            <v>239846</v>
          </cell>
          <cell r="BW40">
            <v>0</v>
          </cell>
          <cell r="BX40">
            <v>0</v>
          </cell>
          <cell r="BY40">
            <v>799487</v>
          </cell>
          <cell r="CT40">
            <v>0</v>
          </cell>
          <cell r="DI40">
            <v>0</v>
          </cell>
          <cell r="DN40">
            <v>1774654</v>
          </cell>
        </row>
        <row r="41">
          <cell r="AY41">
            <v>1015</v>
          </cell>
          <cell r="BB41">
            <v>15906</v>
          </cell>
          <cell r="BT41">
            <v>1519977</v>
          </cell>
          <cell r="BU41">
            <v>242959</v>
          </cell>
          <cell r="BW41">
            <v>0</v>
          </cell>
          <cell r="BX41">
            <v>0</v>
          </cell>
          <cell r="BY41">
            <v>809864</v>
          </cell>
          <cell r="CT41">
            <v>0</v>
          </cell>
          <cell r="DI41">
            <v>0</v>
          </cell>
          <cell r="DN41">
            <v>1277018</v>
          </cell>
        </row>
        <row r="42">
          <cell r="AY42">
            <v>695</v>
          </cell>
          <cell r="BB42">
            <v>10871</v>
          </cell>
          <cell r="BT42">
            <v>1038833</v>
          </cell>
          <cell r="BU42">
            <v>222089</v>
          </cell>
          <cell r="BW42">
            <v>0</v>
          </cell>
          <cell r="BX42">
            <v>0</v>
          </cell>
          <cell r="BY42">
            <v>740295</v>
          </cell>
          <cell r="CT42">
            <v>0</v>
          </cell>
          <cell r="DI42">
            <v>0</v>
          </cell>
          <cell r="DN42">
            <v>816744</v>
          </cell>
        </row>
        <row r="43">
          <cell r="AY43">
            <v>313</v>
          </cell>
          <cell r="BB43">
            <v>4909</v>
          </cell>
          <cell r="BT43">
            <v>469104</v>
          </cell>
          <cell r="BU43">
            <v>124239</v>
          </cell>
          <cell r="BW43">
            <v>0</v>
          </cell>
          <cell r="BX43">
            <v>0</v>
          </cell>
          <cell r="BY43">
            <v>414130</v>
          </cell>
          <cell r="CT43">
            <v>0</v>
          </cell>
          <cell r="DI43">
            <v>0</v>
          </cell>
          <cell r="DN43">
            <v>344865</v>
          </cell>
        </row>
        <row r="44">
          <cell r="AY44">
            <v>179</v>
          </cell>
          <cell r="BB44">
            <v>2800</v>
          </cell>
          <cell r="BT44">
            <v>267568</v>
          </cell>
          <cell r="BU44">
            <v>90852</v>
          </cell>
          <cell r="BW44">
            <v>0</v>
          </cell>
          <cell r="BX44">
            <v>0</v>
          </cell>
          <cell r="BY44">
            <v>284623</v>
          </cell>
          <cell r="CT44">
            <v>0</v>
          </cell>
          <cell r="DI44">
            <v>0</v>
          </cell>
          <cell r="DN44">
            <v>176716</v>
          </cell>
        </row>
        <row r="45">
          <cell r="AY45">
            <v>33466</v>
          </cell>
          <cell r="BB45">
            <v>152458</v>
          </cell>
          <cell r="BT45">
            <v>14568886</v>
          </cell>
          <cell r="BU45">
            <v>6962366</v>
          </cell>
          <cell r="BW45">
            <v>2692635</v>
          </cell>
          <cell r="BX45">
            <v>618120</v>
          </cell>
          <cell r="BY45">
            <v>3651611</v>
          </cell>
          <cell r="CT45">
            <v>0</v>
          </cell>
          <cell r="DI45">
            <v>0</v>
          </cell>
          <cell r="DN45">
            <v>7606520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1300</v>
          </cell>
          <cell r="BB36">
            <v>20382</v>
          </cell>
          <cell r="BT36">
            <v>1947704</v>
          </cell>
          <cell r="BU36">
            <v>78515</v>
          </cell>
          <cell r="BW36">
            <v>0</v>
          </cell>
          <cell r="BX36">
            <v>0</v>
          </cell>
          <cell r="BY36">
            <v>261719</v>
          </cell>
          <cell r="CT36">
            <v>1243995</v>
          </cell>
          <cell r="DI36">
            <v>0</v>
          </cell>
          <cell r="DN36">
            <v>1869189</v>
          </cell>
        </row>
        <row r="37">
          <cell r="AY37">
            <v>1046</v>
          </cell>
          <cell r="BB37">
            <v>16384</v>
          </cell>
          <cell r="BT37">
            <v>1565655</v>
          </cell>
          <cell r="BU37">
            <v>98953</v>
          </cell>
          <cell r="BW37">
            <v>0</v>
          </cell>
          <cell r="BX37">
            <v>0</v>
          </cell>
          <cell r="BY37">
            <v>329843</v>
          </cell>
          <cell r="CT37">
            <v>0</v>
          </cell>
          <cell r="DI37">
            <v>0</v>
          </cell>
          <cell r="DN37">
            <v>1466702</v>
          </cell>
        </row>
        <row r="38">
          <cell r="AY38">
            <v>743</v>
          </cell>
          <cell r="BB38">
            <v>11634</v>
          </cell>
          <cell r="BT38">
            <v>1111745</v>
          </cell>
          <cell r="BU38">
            <v>97577</v>
          </cell>
          <cell r="BW38">
            <v>0</v>
          </cell>
          <cell r="BX38">
            <v>0</v>
          </cell>
          <cell r="BY38">
            <v>325259</v>
          </cell>
          <cell r="CT38">
            <v>0</v>
          </cell>
          <cell r="DI38">
            <v>0</v>
          </cell>
          <cell r="DN38">
            <v>1014168</v>
          </cell>
        </row>
        <row r="39">
          <cell r="AY39">
            <v>528</v>
          </cell>
          <cell r="BB39">
            <v>8284</v>
          </cell>
          <cell r="BT39">
            <v>791619</v>
          </cell>
          <cell r="BU39">
            <v>94547</v>
          </cell>
          <cell r="BW39">
            <v>0</v>
          </cell>
          <cell r="BX39">
            <v>0</v>
          </cell>
          <cell r="BY39">
            <v>315155</v>
          </cell>
          <cell r="CT39">
            <v>0</v>
          </cell>
          <cell r="DI39">
            <v>0</v>
          </cell>
          <cell r="DN39">
            <v>697072</v>
          </cell>
        </row>
        <row r="40">
          <cell r="AY40">
            <v>377</v>
          </cell>
          <cell r="BB40">
            <v>5908</v>
          </cell>
          <cell r="BT40">
            <v>564569</v>
          </cell>
          <cell r="BU40">
            <v>91563</v>
          </cell>
          <cell r="BW40">
            <v>0</v>
          </cell>
          <cell r="BX40">
            <v>0</v>
          </cell>
          <cell r="BY40">
            <v>305212</v>
          </cell>
          <cell r="CT40">
            <v>0</v>
          </cell>
          <cell r="DI40">
            <v>0</v>
          </cell>
          <cell r="DN40">
            <v>473006</v>
          </cell>
        </row>
        <row r="41">
          <cell r="AY41">
            <v>259</v>
          </cell>
          <cell r="BB41">
            <v>4054</v>
          </cell>
          <cell r="BT41">
            <v>387400</v>
          </cell>
          <cell r="BU41">
            <v>87407</v>
          </cell>
          <cell r="BW41">
            <v>0</v>
          </cell>
          <cell r="BX41">
            <v>0</v>
          </cell>
          <cell r="BY41">
            <v>291357</v>
          </cell>
          <cell r="CT41">
            <v>0</v>
          </cell>
          <cell r="DI41">
            <v>0</v>
          </cell>
          <cell r="DN41">
            <v>299993</v>
          </cell>
        </row>
        <row r="42">
          <cell r="AY42">
            <v>0</v>
          </cell>
          <cell r="BB42">
            <v>0</v>
          </cell>
          <cell r="BT42">
            <v>0</v>
          </cell>
          <cell r="BU42">
            <v>0</v>
          </cell>
          <cell r="BW42">
            <v>0</v>
          </cell>
          <cell r="BX42">
            <v>0</v>
          </cell>
          <cell r="BY42">
            <v>0</v>
          </cell>
          <cell r="CT42">
            <v>0</v>
          </cell>
          <cell r="DI42">
            <v>0</v>
          </cell>
          <cell r="DN42">
            <v>0</v>
          </cell>
        </row>
        <row r="43">
          <cell r="AY43">
            <v>130</v>
          </cell>
          <cell r="BB43">
            <v>2030</v>
          </cell>
          <cell r="BT43">
            <v>193987</v>
          </cell>
          <cell r="BU43">
            <v>7618</v>
          </cell>
          <cell r="BW43">
            <v>0</v>
          </cell>
          <cell r="BX43">
            <v>0</v>
          </cell>
          <cell r="BY43">
            <v>25391</v>
          </cell>
          <cell r="CT43">
            <v>0</v>
          </cell>
          <cell r="DI43">
            <v>0</v>
          </cell>
          <cell r="DN43">
            <v>186369</v>
          </cell>
        </row>
        <row r="44">
          <cell r="AY44">
            <v>144</v>
          </cell>
          <cell r="BB44">
            <v>2273</v>
          </cell>
          <cell r="BT44">
            <v>217207</v>
          </cell>
          <cell r="BU44">
            <v>7837</v>
          </cell>
          <cell r="BW44">
            <v>0</v>
          </cell>
          <cell r="BX44">
            <v>0</v>
          </cell>
          <cell r="BY44">
            <v>24553</v>
          </cell>
          <cell r="CT44">
            <v>0</v>
          </cell>
          <cell r="DI44">
            <v>0</v>
          </cell>
          <cell r="DN44">
            <v>209370</v>
          </cell>
        </row>
        <row r="45">
          <cell r="AY45">
            <v>494</v>
          </cell>
          <cell r="BB45">
            <v>2250</v>
          </cell>
          <cell r="BT45">
            <v>215010</v>
          </cell>
          <cell r="BU45">
            <v>20718</v>
          </cell>
          <cell r="BW45">
            <v>0</v>
          </cell>
          <cell r="BX45">
            <v>0</v>
          </cell>
          <cell r="BY45">
            <v>20718</v>
          </cell>
          <cell r="CT45">
            <v>0</v>
          </cell>
          <cell r="DI45">
            <v>0</v>
          </cell>
          <cell r="DN45">
            <v>194292</v>
          </cell>
        </row>
        <row r="46">
          <cell r="AY46">
            <v>0</v>
          </cell>
          <cell r="BB46">
            <v>0</v>
          </cell>
          <cell r="BT46">
            <v>0</v>
          </cell>
          <cell r="BU46">
            <v>0</v>
          </cell>
          <cell r="BW46">
            <v>0</v>
          </cell>
          <cell r="BX46">
            <v>0</v>
          </cell>
          <cell r="BY46">
            <v>0</v>
          </cell>
          <cell r="CT46">
            <v>0</v>
          </cell>
          <cell r="DI46">
            <v>247057</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2">
          <cell r="J12">
            <v>0.74531400000000003</v>
          </cell>
          <cell r="L12">
            <v>0</v>
          </cell>
        </row>
        <row r="13">
          <cell r="J13">
            <v>0.14724400000000001</v>
          </cell>
          <cell r="L13">
            <v>0</v>
          </cell>
        </row>
        <row r="14">
          <cell r="J14">
            <v>1.307572</v>
          </cell>
          <cell r="L14">
            <v>0</v>
          </cell>
        </row>
        <row r="17">
          <cell r="J17">
            <v>0</v>
          </cell>
          <cell r="L17">
            <v>0</v>
          </cell>
        </row>
        <row r="18">
          <cell r="J18">
            <v>0.36935600000000002</v>
          </cell>
          <cell r="L18">
            <v>0</v>
          </cell>
        </row>
        <row r="19">
          <cell r="J19">
            <v>0.36935600000000002</v>
          </cell>
          <cell r="L19">
            <v>0</v>
          </cell>
        </row>
        <row r="21">
          <cell r="J21">
            <v>0</v>
          </cell>
          <cell r="L21">
            <v>0</v>
          </cell>
        </row>
        <row r="22">
          <cell r="J22">
            <v>7.3199E-2</v>
          </cell>
          <cell r="L22">
            <v>0</v>
          </cell>
        </row>
        <row r="23">
          <cell r="J23">
            <v>7.3199E-2</v>
          </cell>
          <cell r="L23">
            <v>0</v>
          </cell>
        </row>
      </sheetData>
      <sheetData sheetId="21" refreshError="1"/>
    </sheetDataSet>
  </externalBook>
</externalLink>
</file>

<file path=xl/persons/person.xml><?xml version="1.0" encoding="utf-8"?>
<personList xmlns="http://schemas.microsoft.com/office/spreadsheetml/2018/threadedcomments" xmlns:x="http://schemas.openxmlformats.org/spreadsheetml/2006/main">
  <person displayName="Jaime Benazar Irausquin" id="{369DAFB1-6771-44A0-9031-202BD61C6CC7}" userId="S::jaime.benazar@Quorumsoftware.com::90b285ee-16d3-4f4a-b12f-ba7161cffcd6" providerId="AD"/>
  <person displayName="Jaime Benazar Irausquin" id="{E8CCDCD8-8E1F-4B07-BB4E-EAA3A80585CB}" userId="S::jaime.benazar@quorumsoftware.com::90b285ee-16d3-4f4a-b12f-ba7161cffcd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4" dT="2024-02-27T03:18:30.58" personId="{369DAFB1-6771-44A0-9031-202BD61C6CC7}" id="{B639EA58-7981-42E9-9E3D-4A31ABA20DC5}">
    <text>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ext>
  </threadedComment>
  <threadedComment ref="AT4" dT="2024-02-27T03:26:44.28" personId="{369DAFB1-6771-44A0-9031-202BD61C6CC7}" id="{AE73E385-1AAF-4AD3-ADBA-A9B823016565}">
    <text>El auditor, al cortar antes la PDP, trae la cola de PDP a PNP. La metodología RSC que es la utilizada por PlanningSpace no hace moviento de colas entre wedges</text>
  </threadedComment>
  <threadedComment ref="AV4" dT="2024-02-27T03:24:19.56" personId="{369DAFB1-6771-44A0-9031-202BD61C6CC7}" id="{808AF26C-3735-47A3-8575-CBC3F7875DC2}">
    <text>El auditor utiliza una metodología con la cuál se le asigna el 100% del OPEX fijo a PDP hasta que ésta alcance su límite económico. PS, al utilizar metodología RSC, reparte este coto entre los tres wedges ppr FIN, por lo cual alarga la fecha del EL de PDP</text>
  </threadedComment>
  <threadedComment ref="CG4" dT="2024-02-27T03:28:48.18" personId="{369DAFB1-6771-44A0-9031-202BD61C6CC7}" id="{54032A5F-3797-4DFA-B87C-1F2F9959179C}">
    <text>El auditor, al cortar antes la PDP y la PNP y trae las colas a la PND. La metodología RSC que es la utilizada por PlanningSpace no hace movimiento de colas entre wedges</text>
  </threadedComment>
  <threadedComment ref="CJ4" dT="2024-02-27T03:24:48.24" personId="{369DAFB1-6771-44A0-9031-202BD61C6CC7}" id="{32126470-47D7-48ED-B0FF-B7F77579C2C6}">
    <text xml:space="preserve">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ext>
  </threadedComment>
  <threadedComment ref="IE4" dT="2024-02-27T04:23:16.01" personId="{E8CCDCD8-8E1F-4B07-BB4E-EAA3A80585CB}" id="{423665AA-0FB8-4A6B-8202-251CB6646F50}">
    <text>El auditor corta las reservas de probadas en diciembre de 2031, por lo cual trae la cola a Probables desde enero de 2032. Como PlanningSpace corta más adelante, no trae dicha cola</text>
  </threadedComment>
  <threadedComment ref="IF4" dT="2024-02-27T04:24:16.63" personId="{E8CCDCD8-8E1F-4B07-BB4E-EAA3A80585CB}" id="{7D1909C1-B4E8-40D2-99E6-5FB592612B41}">
    <text>PlanningSpace, al calcular el flujo de caja mensualizado, determina que el límite económico es julio de 2033. En cambio el auditor, al hacer el cálculo anualizado, corta en diciembre de 2032</text>
  </threadedComment>
  <threadedComment ref="NZ4" dT="2024-02-27T04:30:22.27" personId="{E8CCDCD8-8E1F-4B07-BB4E-EAA3A80585CB}" id="{B3430717-75E4-41B6-A4B9-D686C7123710}">
    <text>El auditor no considera el cambio de WI en diciembre del 2031 (el 21 de diciembre) para el cálculo del WI de ese año</text>
  </threadedComment>
  <threadedComment ref="OG4" dT="2024-02-18T23:31:08.76" personId="{E8CCDCD8-8E1F-4B07-BB4E-EAA3A80585CB}" id="{185F81EB-CC5A-4093-AE70-5930C863032A}">
    <text>El auditor cortó el EL de probadas en diciembre de 2038 y PS en octubre 2038, por lo cual el PS trae un mes adicional de colas</text>
  </threadedComment>
  <threadedComment ref="OK4" dT="2024-02-19T14:42:34.14" personId="{E8CCDCD8-8E1F-4B07-BB4E-EAA3A80585CB}" id="{467CD750-35CE-43AC-AA7D-681BCCBA7745}">
    <text xml:space="preserve">El auditor hace el cálculo del límite económico tomando el flujo de caja anual, mientras que PlanningSpace lo hace mensualmente. Por esta razón el auditor corta en diciembre 2042 mientras que en PlanningSpace corta en mayo 2042
</text>
  </threadedComment>
  <threadedComment ref="AN7" dT="2024-02-19T14:33:46.38" personId="{E8CCDCD8-8E1F-4B07-BB4E-EAA3A80585CB}" id="{94BCC2B9-DCBC-4726-BB2E-D956437176EE}">
    <text>Cambios importantes en la curva. El auditor toma el % de regalías promedio del año, y PlanningSpace calcula el % mes a mes y lo aplica</text>
  </threadedComment>
  <threadedComment ref="NZ7" dT="2024-02-27T04:29:26.25" personId="{E8CCDCD8-8E1F-4B07-BB4E-EAA3A80585CB}" id="{E8D803B5-E683-4601-93EA-74C524A52051}">
    <text>El auditor no considera el pago de extension royalties los 10 días del mes de diciembre luego de la fecha de finalización del contrato</text>
  </threadedComment>
  <threadedComment ref="B13" dT="2024-02-16T18:42:03.81" personId="{E8CCDCD8-8E1F-4B07-BB4E-EAA3A80585CB}" id="{9221E3EE-8604-4768-BC8F-BBC4F367BD6E}">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3" dT="2024-02-16T19:49:12.56" personId="{369DAFB1-6771-44A0-9031-202BD61C6CC7}" id="{634F85C2-930C-44BD-BED6-02594E8B26A4}">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3" dT="2024-02-27T03:25:17.69" personId="{369DAFB1-6771-44A0-9031-202BD61C6CC7}" id="{CB47723D-2D30-4E73-AC4D-47C771B5F15D}">
    <text xml:space="preserve">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3" dT="2024-02-27T04:25:31.50" personId="{E8CCDCD8-8E1F-4B07-BB4E-EAA3A80585CB}" id="{3420913B-1319-437F-997B-2BDBE447957F}">
    <text>El auditor, al cortar antes las reservas de Probadas, asigna el pago del OPEX fijo a Probables. Como PS corta mucho después, no asigna OPEX fijo a probables</text>
  </threadedComment>
  <threadedComment ref="B16" dT="2024-02-27T03:23:26.57" personId="{369DAFB1-6771-44A0-9031-202BD61C6CC7}" id="{D2EF1578-8FD2-4105-A756-EF5644E63E57}">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6" dT="2024-02-27T03:25:39.13" personId="{369DAFB1-6771-44A0-9031-202BD61C6CC7}" id="{615D5276-06D5-4184-A900-D025B965B03A}">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6" dT="2024-02-27T03:25:29.47" personId="{369DAFB1-6771-44A0-9031-202BD61C6CC7}" id="{45F9C39A-B957-48EB-9BD4-86DB18A02654}">
    <text xml:space="preserve">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6" dT="2024-02-27T04:25:52.43" personId="{E8CCDCD8-8E1F-4B07-BB4E-EAA3A80585CB}" id="{8B5C516B-4A5A-4B77-A6FA-070403A3BF80}">
    <text>El auditor, al cortar antes las reservas de Probadas, asigna el pago del OPEX semifijo a Probables. Como PS corta mucho después, no asigna OPEX semifijo a probables</text>
  </threadedComment>
  <threadedComment ref="B19" dT="2024-02-16T18:47:43.70" personId="{E8CCDCD8-8E1F-4B07-BB4E-EAA3A80585CB}" id="{D9548883-15FD-4EC6-838C-1ED7A0B41A73}">
    <text>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ext>
  </threadedComment>
  <threadedComment ref="HV19" dT="2024-02-18T23:28:13.73" personId="{E8CCDCD8-8E1F-4B07-BB4E-EAA3A80585CB}" id="{090372CE-E3C3-4853-A4B8-E244E17983EB}">
    <text xml:space="preserve">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ext>
  </threadedComment>
  <threadedComment ref="NR19" dT="2024-02-27T04:31:18.31" personId="{E8CCDCD8-8E1F-4B07-BB4E-EAA3A80585CB}" id="{2BB79548-91B4-494E-9808-1D606380102D}">
    <text>Difernecias en conteos de pozos. PS toma un promedio de 1.75 al año y el auditor toma 2. Esto ocurre en otros meses</text>
  </threadedComment>
  <threadedComment ref="B22" dT="2024-02-18T23:22:49.39" personId="{E8CCDCD8-8E1F-4B07-BB4E-EAA3A80585CB}" id="{5D0AF4FF-BF6C-4463-A5FE-10FFFDCA342C}">
    <text>Diferencias se arrastran por explicaciones de puntos anteriores</text>
  </threadedComment>
  <threadedComment ref="AN22" dT="2024-02-18T23:26:21.34" personId="{E8CCDCD8-8E1F-4B07-BB4E-EAA3A80585CB}" id="{98A8644C-2883-4750-B977-F46CA86E345D}">
    <text>Diferencias arrastradas de los comentarios anteriores</text>
  </threadedComment>
  <threadedComment ref="HV22" dT="2024-02-18T23:28:32.73" personId="{E8CCDCD8-8E1F-4B07-BB4E-EAA3A80585CB}" id="{487AEDAE-9D59-4C2F-B0AC-8A483E702367}">
    <text>Diferencias arrastradas de lo antes explicado</text>
  </threadedComment>
  <threadedComment ref="H31" dT="2024-02-27T03:22:44.53" personId="{369DAFB1-6771-44A0-9031-202BD61C6CC7}" id="{41FB26E2-C7F0-4BE0-B8B4-4949551A9DCE}">
    <text>Diferencias en la fecha de aplicación del abando por diferencias en las fechas de límite económico. Los abandonos están OK los montos</text>
  </threadedComment>
  <threadedComment ref="IL31" dT="2024-02-19T14:38:58.05" personId="{E8CCDCD8-8E1F-4B07-BB4E-EAA3A80585CB}" id="{1A396680-6D97-4E45-9CBF-A0DE43E16948}">
    <text xml:space="preserve">El auditor aplica el 100% del Abandono en la fecha de EL, en cambio PS lo asigna 12 meses después por requerimiento de ECP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1" sqref="B21"/>
    </sheetView>
  </sheetViews>
  <sheetFormatPr defaultColWidth="11.42578125" defaultRowHeight="15.75" x14ac:dyDescent="0.3"/>
  <cols>
    <col min="1" max="1" width="4.7109375" style="15" customWidth="1"/>
    <col min="2" max="2" width="11.42578125" style="13" customWidth="1"/>
    <col min="3" max="7" width="11.42578125" style="13"/>
    <col min="8" max="8" width="49.85546875" style="13" customWidth="1"/>
    <col min="9" max="16384" width="11.42578125" style="13"/>
  </cols>
  <sheetData>
    <row r="1" spans="1:8" ht="16.5" thickBot="1" x14ac:dyDescent="0.35">
      <c r="A1" s="82" t="s">
        <v>97</v>
      </c>
      <c r="B1" s="83"/>
      <c r="C1" s="83"/>
      <c r="D1" s="83"/>
      <c r="E1" s="84"/>
    </row>
    <row r="2" spans="1:8" s="18" customFormat="1" x14ac:dyDescent="0.25">
      <c r="A2" s="17">
        <v>1</v>
      </c>
      <c r="B2" s="85" t="s">
        <v>61</v>
      </c>
      <c r="C2" s="85"/>
      <c r="D2" s="85"/>
      <c r="E2" s="86"/>
    </row>
    <row r="3" spans="1:8" s="18" customFormat="1" x14ac:dyDescent="0.25">
      <c r="A3" s="19">
        <v>2</v>
      </c>
      <c r="B3" s="87" t="s">
        <v>44</v>
      </c>
      <c r="C3" s="87"/>
      <c r="D3" s="87"/>
      <c r="E3" s="88"/>
    </row>
    <row r="4" spans="1:8" s="18" customFormat="1" ht="34.5" customHeight="1" x14ac:dyDescent="0.25">
      <c r="A4" s="19">
        <v>3</v>
      </c>
      <c r="B4" s="87" t="s">
        <v>45</v>
      </c>
      <c r="C4" s="87"/>
      <c r="D4" s="87"/>
      <c r="E4" s="88"/>
    </row>
    <row r="5" spans="1:8" s="18" customFormat="1" ht="16.5" thickBot="1" x14ac:dyDescent="0.3">
      <c r="A5" s="20">
        <v>4</v>
      </c>
      <c r="B5" s="89" t="s">
        <v>46</v>
      </c>
      <c r="C5" s="89"/>
      <c r="D5" s="89"/>
      <c r="E5" s="90"/>
    </row>
    <row r="6" spans="1:8" ht="16.5" thickBot="1" x14ac:dyDescent="0.35"/>
    <row r="7" spans="1:8" ht="16.5" thickBot="1" x14ac:dyDescent="0.35">
      <c r="A7" s="82" t="s">
        <v>96</v>
      </c>
      <c r="B7" s="83"/>
      <c r="C7" s="83"/>
      <c r="D7" s="83"/>
      <c r="E7" s="84"/>
    </row>
    <row r="8" spans="1:8" x14ac:dyDescent="0.3">
      <c r="A8" s="17">
        <v>1</v>
      </c>
      <c r="B8" s="85" t="s">
        <v>92</v>
      </c>
      <c r="C8" s="85"/>
      <c r="D8" s="85"/>
      <c r="E8" s="86"/>
    </row>
    <row r="9" spans="1:8" x14ac:dyDescent="0.3">
      <c r="A9" s="19">
        <v>2</v>
      </c>
      <c r="B9" s="87" t="s">
        <v>93</v>
      </c>
      <c r="C9" s="87"/>
      <c r="D9" s="87"/>
      <c r="E9" s="88"/>
    </row>
    <row r="10" spans="1:8" x14ac:dyDescent="0.3">
      <c r="A10" s="19">
        <v>3</v>
      </c>
      <c r="B10" s="87" t="s">
        <v>94</v>
      </c>
      <c r="C10" s="87"/>
      <c r="D10" s="87"/>
      <c r="E10" s="88"/>
    </row>
    <row r="11" spans="1:8" x14ac:dyDescent="0.3">
      <c r="A11" s="19">
        <v>4</v>
      </c>
      <c r="B11" s="91" t="s">
        <v>95</v>
      </c>
      <c r="C11" s="91"/>
      <c r="D11" s="91"/>
      <c r="E11" s="92"/>
    </row>
    <row r="12" spans="1:8" ht="16.5" thickBot="1" x14ac:dyDescent="0.35">
      <c r="A12" s="20">
        <v>5</v>
      </c>
      <c r="B12" s="89" t="s">
        <v>98</v>
      </c>
      <c r="C12" s="89"/>
      <c r="D12" s="89"/>
      <c r="E12" s="90"/>
    </row>
    <row r="14" spans="1:8" ht="16.5" thickBot="1" x14ac:dyDescent="0.35"/>
    <row r="15" spans="1:8" x14ac:dyDescent="0.3">
      <c r="A15" s="50" t="s">
        <v>125</v>
      </c>
      <c r="B15" s="51"/>
      <c r="C15" s="51"/>
      <c r="D15" s="51"/>
      <c r="E15" s="51"/>
      <c r="F15" s="51"/>
      <c r="G15" s="51"/>
      <c r="H15" s="52"/>
    </row>
    <row r="16" spans="1:8" x14ac:dyDescent="0.3">
      <c r="A16" s="53"/>
      <c r="B16" s="13" t="s">
        <v>126</v>
      </c>
      <c r="C16" s="54"/>
      <c r="D16" s="54"/>
      <c r="E16" s="54"/>
      <c r="F16" s="54"/>
      <c r="G16" s="54"/>
      <c r="H16" s="55"/>
    </row>
    <row r="17" spans="1:8" ht="15" customHeight="1" x14ac:dyDescent="0.3">
      <c r="A17" s="53"/>
      <c r="B17" s="56" t="s">
        <v>127</v>
      </c>
      <c r="C17" s="54"/>
      <c r="D17" s="54"/>
      <c r="E17" s="54"/>
      <c r="F17" s="54"/>
      <c r="G17" s="54"/>
      <c r="H17" s="57"/>
    </row>
    <row r="18" spans="1:8" ht="28.5" customHeight="1" thickBot="1" x14ac:dyDescent="0.35">
      <c r="A18" s="58"/>
      <c r="B18" s="59"/>
      <c r="C18" s="59"/>
      <c r="D18" s="59"/>
      <c r="E18" s="59"/>
      <c r="F18" s="59"/>
      <c r="G18" s="59"/>
      <c r="H18" s="60"/>
    </row>
    <row r="19" spans="1:8" x14ac:dyDescent="0.3">
      <c r="A19" s="50" t="s">
        <v>123</v>
      </c>
      <c r="B19" s="51"/>
      <c r="C19" s="51"/>
      <c r="D19" s="51"/>
      <c r="E19" s="51"/>
      <c r="F19" s="51"/>
      <c r="G19" s="51"/>
      <c r="H19" s="61"/>
    </row>
    <row r="20" spans="1:8" ht="27" customHeight="1" x14ac:dyDescent="0.3">
      <c r="A20" s="53"/>
      <c r="B20" s="13" t="s">
        <v>1997</v>
      </c>
      <c r="C20" s="54"/>
      <c r="D20" s="54"/>
      <c r="E20" s="54"/>
      <c r="F20" s="54"/>
      <c r="G20" s="54"/>
      <c r="H20" s="55"/>
    </row>
    <row r="21" spans="1:8" ht="17.25" customHeight="1" x14ac:dyDescent="0.3">
      <c r="A21" s="53"/>
      <c r="B21" s="56" t="s">
        <v>1998</v>
      </c>
      <c r="C21" s="54"/>
      <c r="D21" s="54"/>
      <c r="E21" s="54"/>
      <c r="F21" s="54"/>
      <c r="G21" s="54"/>
      <c r="H21" s="55"/>
    </row>
    <row r="22" spans="1:8" ht="28.5" customHeight="1" thickBot="1" x14ac:dyDescent="0.35">
      <c r="A22" s="58"/>
      <c r="B22" s="59"/>
      <c r="C22" s="59"/>
      <c r="D22" s="59"/>
      <c r="E22" s="59"/>
      <c r="F22" s="59"/>
      <c r="G22" s="59"/>
      <c r="H22" s="60"/>
    </row>
    <row r="23" spans="1:8" ht="9.75" customHeight="1" x14ac:dyDescent="0.3">
      <c r="A23" s="62"/>
      <c r="B23" s="51"/>
      <c r="C23" s="51"/>
      <c r="D23" s="51"/>
      <c r="E23" s="51"/>
      <c r="F23" s="51"/>
      <c r="G23" s="51"/>
      <c r="H23" s="61"/>
    </row>
    <row r="24" spans="1:8" x14ac:dyDescent="0.3">
      <c r="A24" s="53"/>
      <c r="B24" s="54"/>
      <c r="C24" s="54"/>
      <c r="D24" s="54"/>
      <c r="E24" s="54"/>
      <c r="F24" s="54"/>
      <c r="G24" s="54"/>
      <c r="H24" s="55"/>
    </row>
    <row r="25" spans="1:8" x14ac:dyDescent="0.3">
      <c r="A25" s="53"/>
      <c r="B25" s="54"/>
      <c r="C25" s="54"/>
      <c r="D25" s="54"/>
      <c r="E25" s="54"/>
      <c r="F25" s="54"/>
      <c r="G25" s="54"/>
      <c r="H25" s="55"/>
    </row>
    <row r="26" spans="1:8" ht="6" customHeight="1" thickBot="1" x14ac:dyDescent="0.35">
      <c r="A26" s="58"/>
      <c r="B26" s="59"/>
      <c r="C26" s="59"/>
      <c r="D26" s="59"/>
      <c r="E26" s="59"/>
      <c r="F26" s="59"/>
      <c r="G26" s="59"/>
      <c r="H26" s="60"/>
    </row>
  </sheetData>
  <mergeCells count="11">
    <mergeCell ref="A1:E1"/>
    <mergeCell ref="B2:E2"/>
    <mergeCell ref="B3:E3"/>
    <mergeCell ref="B4:E4"/>
    <mergeCell ref="B5:E5"/>
    <mergeCell ref="A7:E7"/>
    <mergeCell ref="B8:E8"/>
    <mergeCell ref="B9:E9"/>
    <mergeCell ref="B10:E10"/>
    <mergeCell ref="B12:E12"/>
    <mergeCell ref="B11:E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9525</xdr:colOff>
                    <xdr:row>20</xdr:row>
                    <xdr:rowOff>19050</xdr:rowOff>
                  </from>
                  <to>
                    <xdr:col>4</xdr:col>
                    <xdr:colOff>742950</xdr:colOff>
                    <xdr:row>21</xdr:row>
                    <xdr:rowOff>304800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314325</xdr:colOff>
                    <xdr:row>16</xdr:row>
                    <xdr:rowOff>19050</xdr:rowOff>
                  </from>
                  <to>
                    <xdr:col>4</xdr:col>
                    <xdr:colOff>752475</xdr:colOff>
                    <xdr:row>17</xdr:row>
                    <xdr:rowOff>276225</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752475</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G2642"/>
  <sheetViews>
    <sheetView tabSelected="1" zoomScale="76" zoomScaleNormal="100" workbookViewId="0">
      <selection activeCell="BY6" sqref="BY6"/>
    </sheetView>
  </sheetViews>
  <sheetFormatPr defaultColWidth="10.28515625" defaultRowHeight="15.75" outlineLevelRow="1" outlineLevelCol="1" x14ac:dyDescent="0.3"/>
  <cols>
    <col min="1" max="1" width="38.85546875" style="13" customWidth="1"/>
    <col min="2" max="2" width="25.5703125" style="13" hidden="1" customWidth="1" outlineLevel="1"/>
    <col min="3" max="3" width="18.42578125" style="13" hidden="1" customWidth="1" outlineLevel="1"/>
    <col min="4" max="4" width="16.85546875" style="13" hidden="1" customWidth="1" outlineLevel="1"/>
    <col min="5" max="5" width="15.7109375" style="13" hidden="1" customWidth="1" outlineLevel="1"/>
    <col min="6" max="6" width="14" style="13" hidden="1" customWidth="1" outlineLevel="1"/>
    <col min="7" max="12" width="14.7109375" style="13" hidden="1" customWidth="1" outlineLevel="1"/>
    <col min="13" max="13" width="16.7109375" style="13" hidden="1" customWidth="1" outlineLevel="1"/>
    <col min="14" max="14" width="12.85546875" style="13" hidden="1" customWidth="1" outlineLevel="1"/>
    <col min="15" max="38" width="10.42578125" style="13" hidden="1" customWidth="1" outlineLevel="1"/>
    <col min="39" max="39" width="19.140625" style="13" customWidth="1" collapsed="1"/>
    <col min="40" max="76" width="16.7109375" style="13" hidden="1" customWidth="1" outlineLevel="1"/>
    <col min="77" max="77" width="16.7109375" style="13" customWidth="1" collapsed="1"/>
    <col min="78" max="114" width="16.7109375" style="13" hidden="1" customWidth="1" outlineLevel="1"/>
    <col min="115" max="115" width="16.7109375" style="13" customWidth="1" collapsed="1"/>
    <col min="116" max="152" width="16.7109375" style="13" hidden="1" customWidth="1" outlineLevel="1"/>
    <col min="153" max="153" width="16.7109375" style="13" customWidth="1" collapsed="1"/>
    <col min="154" max="190" width="16.7109375" style="13" hidden="1" customWidth="1" outlineLevel="1"/>
    <col min="191" max="191" width="16.7109375" style="13" customWidth="1" collapsed="1"/>
    <col min="192" max="228" width="16.7109375" style="13" hidden="1" customWidth="1" outlineLevel="1"/>
    <col min="229" max="229" width="16.7109375" style="13" customWidth="1" collapsed="1"/>
    <col min="230" max="230" width="13.85546875" style="13" hidden="1" customWidth="1" outlineLevel="1"/>
    <col min="231" max="238" width="15.140625" style="13" hidden="1" customWidth="1" outlineLevel="1"/>
    <col min="239" max="266" width="13.85546875" style="13" hidden="1" customWidth="1" outlineLevel="1"/>
    <col min="267" max="267" width="16.7109375" style="13" customWidth="1" collapsed="1"/>
    <col min="268" max="304" width="16.7109375" style="13" hidden="1" customWidth="1" outlineLevel="1"/>
    <col min="305" max="305" width="16.7109375" style="13" customWidth="1" collapsed="1"/>
    <col min="306" max="342" width="16.7109375" style="13" hidden="1" customWidth="1" outlineLevel="1"/>
    <col min="343" max="343" width="16.7109375" style="13" customWidth="1" collapsed="1"/>
    <col min="344" max="380" width="16.7109375" style="13" hidden="1" customWidth="1" outlineLevel="1"/>
    <col min="381" max="381" width="16.7109375" style="13" customWidth="1" collapsed="1"/>
    <col min="382" max="418" width="16.7109375" style="13" hidden="1" customWidth="1" outlineLevel="1"/>
    <col min="419" max="419" width="16.7109375" style="13" customWidth="1" collapsed="1"/>
    <col min="420" max="420" width="10.28515625" style="13"/>
    <col min="421" max="421" width="15.42578125" style="13" customWidth="1"/>
    <col min="422" max="422" width="10.28515625" style="13"/>
    <col min="423" max="423" width="14" style="13" bestFit="1" customWidth="1"/>
    <col min="424" max="16384" width="10.28515625" style="13"/>
  </cols>
  <sheetData>
    <row r="1" spans="1:423" s="11" customFormat="1" ht="15.75" customHeight="1" thickBot="1" x14ac:dyDescent="0.3">
      <c r="A1" s="48" t="s">
        <v>0</v>
      </c>
      <c r="B1" s="93" t="s">
        <v>1</v>
      </c>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4"/>
      <c r="AN1" s="95" t="s">
        <v>2</v>
      </c>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4"/>
      <c r="BZ1" s="117" t="s">
        <v>3</v>
      </c>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9"/>
      <c r="DL1" s="114" t="s">
        <v>99</v>
      </c>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6"/>
      <c r="EX1" s="123" t="s">
        <v>100</v>
      </c>
      <c r="EY1" s="124"/>
      <c r="EZ1" s="124"/>
      <c r="FA1" s="124"/>
      <c r="FB1" s="124"/>
      <c r="FC1" s="124"/>
      <c r="FD1" s="124"/>
      <c r="FE1" s="124"/>
      <c r="FF1" s="124"/>
      <c r="FG1" s="124"/>
      <c r="FH1" s="124"/>
      <c r="FI1" s="124"/>
      <c r="FJ1" s="124"/>
      <c r="FK1" s="124"/>
      <c r="FL1" s="124"/>
      <c r="FM1" s="124"/>
      <c r="FN1" s="124"/>
      <c r="FO1" s="124"/>
      <c r="FP1" s="124"/>
      <c r="FQ1" s="124"/>
      <c r="FR1" s="124"/>
      <c r="FS1" s="124"/>
      <c r="FT1" s="124"/>
      <c r="FU1" s="124"/>
      <c r="FV1" s="124"/>
      <c r="FW1" s="124"/>
      <c r="FX1" s="124"/>
      <c r="FY1" s="124"/>
      <c r="FZ1" s="124"/>
      <c r="GA1" s="124"/>
      <c r="GB1" s="124"/>
      <c r="GC1" s="124"/>
      <c r="GD1" s="124"/>
      <c r="GE1" s="124"/>
      <c r="GF1" s="124"/>
      <c r="GG1" s="124"/>
      <c r="GH1" s="124"/>
      <c r="GI1" s="125"/>
      <c r="GJ1" s="123" t="s">
        <v>101</v>
      </c>
      <c r="GK1" s="124"/>
      <c r="GL1" s="124"/>
      <c r="GM1" s="124"/>
      <c r="GN1" s="124"/>
      <c r="GO1" s="124"/>
      <c r="GP1" s="124"/>
      <c r="GQ1" s="124"/>
      <c r="GR1" s="124"/>
      <c r="GS1" s="124"/>
      <c r="GT1" s="124"/>
      <c r="GU1" s="124"/>
      <c r="GV1" s="124"/>
      <c r="GW1" s="124"/>
      <c r="GX1" s="124"/>
      <c r="GY1" s="124"/>
      <c r="GZ1" s="124"/>
      <c r="HA1" s="124"/>
      <c r="HB1" s="124"/>
      <c r="HC1" s="124"/>
      <c r="HD1" s="124"/>
      <c r="HE1" s="124"/>
      <c r="HF1" s="124"/>
      <c r="HG1" s="124"/>
      <c r="HH1" s="124"/>
      <c r="HI1" s="124"/>
      <c r="HJ1" s="124"/>
      <c r="HK1" s="124"/>
      <c r="HL1" s="124"/>
      <c r="HM1" s="124"/>
      <c r="HN1" s="124"/>
      <c r="HO1" s="124"/>
      <c r="HP1" s="124"/>
      <c r="HQ1" s="124"/>
      <c r="HR1" s="124"/>
      <c r="HS1" s="124"/>
      <c r="HT1" s="124"/>
      <c r="HU1" s="125"/>
      <c r="HV1" s="129" t="s">
        <v>4</v>
      </c>
      <c r="HW1" s="130"/>
      <c r="HX1" s="130"/>
      <c r="HY1" s="130"/>
      <c r="HZ1" s="130"/>
      <c r="IA1" s="130"/>
      <c r="IB1" s="130"/>
      <c r="IC1" s="130"/>
      <c r="ID1" s="130"/>
      <c r="IE1" s="130"/>
      <c r="IF1" s="130"/>
      <c r="IG1" s="130"/>
      <c r="IH1" s="130"/>
      <c r="II1" s="130"/>
      <c r="IJ1" s="130"/>
      <c r="IK1" s="130"/>
      <c r="IL1" s="130"/>
      <c r="IM1" s="130"/>
      <c r="IN1" s="130"/>
      <c r="IO1" s="130"/>
      <c r="IP1" s="130"/>
      <c r="IQ1" s="130"/>
      <c r="IR1" s="130"/>
      <c r="IS1" s="130"/>
      <c r="IT1" s="130"/>
      <c r="IU1" s="130"/>
      <c r="IV1" s="130"/>
      <c r="IW1" s="130"/>
      <c r="IX1" s="130"/>
      <c r="IY1" s="130"/>
      <c r="IZ1" s="130"/>
      <c r="JA1" s="130"/>
      <c r="JB1" s="130"/>
      <c r="JC1" s="130"/>
      <c r="JD1" s="130"/>
      <c r="JE1" s="130"/>
      <c r="JF1" s="130"/>
      <c r="JG1" s="131"/>
      <c r="JH1" s="126" t="s">
        <v>102</v>
      </c>
      <c r="JI1" s="127"/>
      <c r="JJ1" s="127"/>
      <c r="JK1" s="127"/>
      <c r="JL1" s="127"/>
      <c r="JM1" s="127"/>
      <c r="JN1" s="127"/>
      <c r="JO1" s="127"/>
      <c r="JP1" s="127"/>
      <c r="JQ1" s="127"/>
      <c r="JR1" s="127"/>
      <c r="JS1" s="127"/>
      <c r="JT1" s="127"/>
      <c r="JU1" s="127"/>
      <c r="JV1" s="127"/>
      <c r="JW1" s="127"/>
      <c r="JX1" s="127"/>
      <c r="JY1" s="127"/>
      <c r="JZ1" s="127"/>
      <c r="KA1" s="127"/>
      <c r="KB1" s="127"/>
      <c r="KC1" s="127"/>
      <c r="KD1" s="127"/>
      <c r="KE1" s="127"/>
      <c r="KF1" s="127"/>
      <c r="KG1" s="127"/>
      <c r="KH1" s="127"/>
      <c r="KI1" s="127"/>
      <c r="KJ1" s="127"/>
      <c r="KK1" s="127"/>
      <c r="KL1" s="127"/>
      <c r="KM1" s="127"/>
      <c r="KN1" s="127"/>
      <c r="KO1" s="127"/>
      <c r="KP1" s="127"/>
      <c r="KQ1" s="127"/>
      <c r="KR1" s="127"/>
      <c r="KS1" s="128"/>
      <c r="KT1" s="114" t="s">
        <v>103</v>
      </c>
      <c r="KU1" s="115"/>
      <c r="KV1" s="115"/>
      <c r="KW1" s="115"/>
      <c r="KX1" s="115"/>
      <c r="KY1" s="115"/>
      <c r="KZ1" s="115"/>
      <c r="LA1" s="115"/>
      <c r="LB1" s="115"/>
      <c r="LC1" s="115"/>
      <c r="LD1" s="115"/>
      <c r="LE1" s="115"/>
      <c r="LF1" s="115"/>
      <c r="LG1" s="115"/>
      <c r="LH1" s="115"/>
      <c r="LI1" s="115"/>
      <c r="LJ1" s="115"/>
      <c r="LK1" s="115"/>
      <c r="LL1" s="115"/>
      <c r="LM1" s="115"/>
      <c r="LN1" s="115"/>
      <c r="LO1" s="115"/>
      <c r="LP1" s="115"/>
      <c r="LQ1" s="115"/>
      <c r="LR1" s="115"/>
      <c r="LS1" s="115"/>
      <c r="LT1" s="115"/>
      <c r="LU1" s="115"/>
      <c r="LV1" s="115"/>
      <c r="LW1" s="115"/>
      <c r="LX1" s="115"/>
      <c r="LY1" s="115"/>
      <c r="LZ1" s="115"/>
      <c r="MA1" s="115"/>
      <c r="MB1" s="115"/>
      <c r="MC1" s="115"/>
      <c r="MD1" s="115"/>
      <c r="ME1" s="116"/>
      <c r="MF1" s="114" t="s">
        <v>104</v>
      </c>
      <c r="MG1" s="115"/>
      <c r="MH1" s="115"/>
      <c r="MI1" s="115"/>
      <c r="MJ1" s="115"/>
      <c r="MK1" s="115"/>
      <c r="ML1" s="115"/>
      <c r="MM1" s="115"/>
      <c r="MN1" s="115"/>
      <c r="MO1" s="115"/>
      <c r="MP1" s="115"/>
      <c r="MQ1" s="115"/>
      <c r="MR1" s="115"/>
      <c r="MS1" s="115"/>
      <c r="MT1" s="115"/>
      <c r="MU1" s="115"/>
      <c r="MV1" s="115"/>
      <c r="MW1" s="115"/>
      <c r="MX1" s="115"/>
      <c r="MY1" s="115"/>
      <c r="MZ1" s="115"/>
      <c r="NA1" s="115"/>
      <c r="NB1" s="115"/>
      <c r="NC1" s="115"/>
      <c r="ND1" s="115"/>
      <c r="NE1" s="115"/>
      <c r="NF1" s="115"/>
      <c r="NG1" s="115"/>
      <c r="NH1" s="115"/>
      <c r="NI1" s="115"/>
      <c r="NJ1" s="115"/>
      <c r="NK1" s="115"/>
      <c r="NL1" s="115"/>
      <c r="NM1" s="115"/>
      <c r="NN1" s="115"/>
      <c r="NO1" s="115"/>
      <c r="NP1" s="115"/>
      <c r="NQ1" s="116"/>
      <c r="NR1" s="117" t="s">
        <v>34</v>
      </c>
      <c r="NS1" s="118"/>
      <c r="NT1" s="118"/>
      <c r="NU1" s="118"/>
      <c r="NV1" s="118"/>
      <c r="NW1" s="118"/>
      <c r="NX1" s="118"/>
      <c r="NY1" s="118"/>
      <c r="NZ1" s="118"/>
      <c r="OA1" s="118"/>
      <c r="OB1" s="118"/>
      <c r="OC1" s="118"/>
      <c r="OD1" s="118"/>
      <c r="OE1" s="118"/>
      <c r="OF1" s="118"/>
      <c r="OG1" s="118"/>
      <c r="OH1" s="118"/>
      <c r="OI1" s="118"/>
      <c r="OJ1" s="118"/>
      <c r="OK1" s="118"/>
      <c r="OL1" s="118"/>
      <c r="OM1" s="118"/>
      <c r="ON1" s="118"/>
      <c r="OO1" s="118"/>
      <c r="OP1" s="118"/>
      <c r="OQ1" s="118"/>
      <c r="OR1" s="118"/>
      <c r="OS1" s="118"/>
      <c r="OT1" s="118"/>
      <c r="OU1" s="118"/>
      <c r="OV1" s="118"/>
      <c r="OW1" s="118"/>
      <c r="OX1" s="118"/>
      <c r="OY1" s="118"/>
      <c r="OZ1" s="118"/>
      <c r="PA1" s="118"/>
      <c r="PB1" s="118"/>
      <c r="PC1" s="119"/>
    </row>
    <row r="2" spans="1:423" s="31" customFormat="1" ht="15.75" customHeight="1" thickBot="1" x14ac:dyDescent="0.3">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23" outlineLevel="1" x14ac:dyDescent="0.3">
      <c r="A3" s="76" t="s">
        <v>48</v>
      </c>
      <c r="B3" s="14">
        <f>'[1]D-PDP'!$BE$12</f>
        <v>284597.21875</v>
      </c>
      <c r="C3" s="14">
        <f>'[1]D-PDP'!$BE$13</f>
        <v>185225.5</v>
      </c>
      <c r="D3" s="14">
        <f>'[1]D-PDP'!$BE$14</f>
        <v>117237.9296875</v>
      </c>
      <c r="E3" s="14">
        <f>'[1]D-PDP'!$BE$15</f>
        <v>75176.5</v>
      </c>
      <c r="F3" s="14">
        <f>'[1]D-PDP'!$BE$16</f>
        <v>50855.796875</v>
      </c>
      <c r="G3" s="14">
        <f>'[1]D-PDP'!$BE$17</f>
        <v>32286.537109375</v>
      </c>
      <c r="H3" s="14">
        <f>'[1]D-PDP'!$BE$18</f>
        <v>15386.880859375</v>
      </c>
      <c r="I3" s="14">
        <f>'[1]D-PDP'!$BE$19</f>
        <v>6185.73193359375</v>
      </c>
      <c r="J3" s="14">
        <f>'[1]D-PDP'!$BE$20</f>
        <v>3040.835693359375</v>
      </c>
      <c r="K3" s="14">
        <f>'[1]D-PDP'!$BE$21</f>
        <v>1932.739990234375</v>
      </c>
      <c r="L3" s="14">
        <f>'[1]D-PDP'!$BE$22</f>
        <v>956.94000244140625</v>
      </c>
      <c r="M3" s="14">
        <f>'[1]D-PDP'!$BE$23</f>
        <v>0</v>
      </c>
      <c r="N3" s="14">
        <f>'[1]D-PDP'!$BE$24</f>
        <v>0</v>
      </c>
      <c r="O3" s="14">
        <f>'[1]D-PDP'!$BE$25</f>
        <v>0</v>
      </c>
      <c r="P3" s="14">
        <f>'[1]D-PDP'!$BE$26</f>
        <v>0</v>
      </c>
      <c r="Q3" s="14">
        <f>'[1]D-PDP'!$BE$27</f>
        <v>0</v>
      </c>
      <c r="R3" s="14">
        <f>'[1]D-PDP'!$BE$28</f>
        <v>0</v>
      </c>
      <c r="S3" s="14">
        <f>'[1]D-PDP'!$BE$29</f>
        <v>0</v>
      </c>
      <c r="T3" s="14">
        <f>'[1]D-PDP'!$BE$30</f>
        <v>0</v>
      </c>
      <c r="U3" s="14">
        <f>'[1]D-PDP'!$BE$31</f>
        <v>0</v>
      </c>
      <c r="V3" s="14">
        <f>'[1]D-PDP'!$BE$32</f>
        <v>0</v>
      </c>
      <c r="W3" s="14">
        <f>'[1]D-PDP'!$BE$33</f>
        <v>0</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772882.61090087891</v>
      </c>
      <c r="AN3" s="28">
        <f>'[1]D-PNP'!$BE$12</f>
        <v>28712.81640625</v>
      </c>
      <c r="AO3" s="14">
        <f>'[1]D-PNP'!$BE$13</f>
        <v>24877.07421875</v>
      </c>
      <c r="AP3" s="14">
        <f>'[1]D-PNP'!$BE$14</f>
        <v>26716.533203125</v>
      </c>
      <c r="AQ3" s="14">
        <f>'[1]D-PNP'!$BE$15</f>
        <v>19952.23046875</v>
      </c>
      <c r="AR3" s="14">
        <f>'[1]D-PNP'!$BE$16</f>
        <v>14267.3798828125</v>
      </c>
      <c r="AS3" s="14">
        <f>'[1]D-PNP'!$BE$17</f>
        <v>10726.953125</v>
      </c>
      <c r="AT3" s="14">
        <f>'[1]D-PNP'!$BE$18</f>
        <v>6615.1962890625</v>
      </c>
      <c r="AU3" s="14">
        <f>'[1]D-PNP'!$BE$19</f>
        <v>3397.59228515625</v>
      </c>
      <c r="AV3" s="14">
        <f>'[1]D-PNP'!$BE$20</f>
        <v>1336.164306640625</v>
      </c>
      <c r="AW3" s="14">
        <f>'[1]D-PNP'!$BE$21</f>
        <v>0</v>
      </c>
      <c r="AX3" s="14">
        <f>'[1]D-PNP'!$BE$22</f>
        <v>0</v>
      </c>
      <c r="AY3" s="14">
        <f>'[1]D-PNP'!$BE$23</f>
        <v>0</v>
      </c>
      <c r="AZ3" s="14">
        <f>'[1]D-PNP'!$BE$24</f>
        <v>0</v>
      </c>
      <c r="BA3" s="14">
        <f>'[1]D-PNP'!$BE$25</f>
        <v>0</v>
      </c>
      <c r="BB3" s="14">
        <f>'[1]D-PNP'!$BE$26</f>
        <v>0</v>
      </c>
      <c r="BC3" s="14">
        <f>'[1]D-PNP'!$BE$27</f>
        <v>0</v>
      </c>
      <c r="BD3" s="14">
        <f>'[1]D-PNP'!$BE$28</f>
        <v>0</v>
      </c>
      <c r="BE3" s="14">
        <f>'[1]D-PNP'!$BE$29</f>
        <v>0</v>
      </c>
      <c r="BF3" s="14">
        <f>'[1]D-PNP'!$BE$30</f>
        <v>0</v>
      </c>
      <c r="BG3" s="14">
        <f>'[1]D-PNP'!$BE$31</f>
        <v>0</v>
      </c>
      <c r="BH3" s="14">
        <f>'[1]D-PNP'!$BE$32</f>
        <v>0</v>
      </c>
      <c r="BI3" s="14">
        <f>'[1]D-PNP'!$BE$33</f>
        <v>0</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136601.94018554688</v>
      </c>
      <c r="BZ3" s="28">
        <f>'[1]D-PND'!$BE$12</f>
        <v>72827.9609375</v>
      </c>
      <c r="CA3" s="14">
        <f>'[1]D-PND'!$BE$13</f>
        <v>65730.6953125</v>
      </c>
      <c r="CB3" s="14">
        <f>'[1]D-PND'!$BE$14</f>
        <v>48247.16015625</v>
      </c>
      <c r="CC3" s="14">
        <f>'[1]D-PND'!$BE$15</f>
        <v>55484.35546875</v>
      </c>
      <c r="CD3" s="14">
        <f>'[1]D-PND'!$BE$16</f>
        <v>182873.5625</v>
      </c>
      <c r="CE3" s="14">
        <f>'[1]D-PND'!$BE$17</f>
        <v>256242.46875</v>
      </c>
      <c r="CF3" s="14">
        <f>'[1]D-PND'!$BE$18</f>
        <v>282014.15625</v>
      </c>
      <c r="CG3" s="14">
        <f>'[1]D-PND'!$BE$19</f>
        <v>200555.421875</v>
      </c>
      <c r="CH3" s="14">
        <f>'[1]D-PND'!$BE$20</f>
        <v>132625.546875</v>
      </c>
      <c r="CI3" s="14">
        <f>'[1]D-PND'!$BE$21</f>
        <v>148757.015625</v>
      </c>
      <c r="CJ3" s="14">
        <f>'[1]D-PND'!$BE$22</f>
        <v>58575.0625</v>
      </c>
      <c r="CK3" s="14">
        <f>'[1]D-PND'!$BE$23</f>
        <v>0</v>
      </c>
      <c r="CL3" s="14">
        <f>'[1]D-PND'!$BE$24</f>
        <v>0</v>
      </c>
      <c r="CM3" s="14">
        <f>'[1]D-PND'!$BE$25</f>
        <v>0</v>
      </c>
      <c r="CN3" s="14">
        <f>'[1]D-PND'!$BE$26</f>
        <v>0</v>
      </c>
      <c r="CO3" s="14">
        <f>'[1]D-PND'!$BE$27</f>
        <v>0</v>
      </c>
      <c r="CP3" s="14">
        <f>'[1]D-PND'!$BE$28</f>
        <v>0</v>
      </c>
      <c r="CQ3" s="14">
        <f>'[1]D-PND'!$BE$29</f>
        <v>0</v>
      </c>
      <c r="CR3" s="14">
        <f>'[1]D-PND'!$BE$30</f>
        <v>0</v>
      </c>
      <c r="CS3" s="14">
        <f>'[1]D-PND'!$BE$31</f>
        <v>0</v>
      </c>
      <c r="CT3" s="14">
        <f>'[1]D-PND'!$BE$32</f>
        <v>0</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1503933.40625</v>
      </c>
      <c r="DL3" s="66">
        <f>'[1]D-PRBDP'!$BE$12</f>
        <v>0</v>
      </c>
      <c r="DM3" s="67">
        <f>'[1]D-PRBDP'!$BE$13</f>
        <v>0</v>
      </c>
      <c r="DN3" s="67">
        <f>'[1]D-PRBDP'!$BE$14</f>
        <v>0</v>
      </c>
      <c r="DO3" s="67">
        <f>'[1]D-PRBDP'!$BE$15</f>
        <v>0</v>
      </c>
      <c r="DP3" s="67">
        <f>'[1]D-PRBDP'!$BE$16</f>
        <v>0</v>
      </c>
      <c r="DQ3" s="67">
        <f>'[1]D-PRBDP'!$BE$17</f>
        <v>0</v>
      </c>
      <c r="DR3" s="67">
        <f>'[1]D-PRBDP'!$BE$18</f>
        <v>0</v>
      </c>
      <c r="DS3" s="67">
        <f>'[1]D-PRBDP'!$BE$19</f>
        <v>0</v>
      </c>
      <c r="DT3" s="67">
        <f>'[1]D-PRBDP'!$BE$20</f>
        <v>0</v>
      </c>
      <c r="DU3" s="67">
        <f>'[1]D-PRBDP'!$BE$21</f>
        <v>0</v>
      </c>
      <c r="DV3" s="67">
        <f>'[1]D-PRBDP'!$BE$22</f>
        <v>0</v>
      </c>
      <c r="DW3" s="67">
        <f>'[1]D-PRBDP'!$BE$23</f>
        <v>0</v>
      </c>
      <c r="DX3" s="67">
        <f>'[1]D-PRBDP'!$BE$24</f>
        <v>0</v>
      </c>
      <c r="DY3" s="67">
        <f>'[1]D-PRBDP'!$BE$25</f>
        <v>0</v>
      </c>
      <c r="DZ3" s="67">
        <f>'[1]D-PRBDP'!$BE$26</f>
        <v>0</v>
      </c>
      <c r="EA3" s="67">
        <f>'[1]D-PRBDP'!$BE$27</f>
        <v>0</v>
      </c>
      <c r="EB3" s="67">
        <f>'[1]D-PRBDP'!$BE$28</f>
        <v>0</v>
      </c>
      <c r="EC3" s="67">
        <f>'[1]D-PRBDP'!$BE$29</f>
        <v>0</v>
      </c>
      <c r="ED3" s="67">
        <f>'[1]D-PRBDP'!$BE$30</f>
        <v>0</v>
      </c>
      <c r="EE3" s="67">
        <f>'[1]D-PRBDP'!$BE$31</f>
        <v>0</v>
      </c>
      <c r="EF3" s="67">
        <f>'[1]D-PRBDP'!$BE$32</f>
        <v>0</v>
      </c>
      <c r="EG3" s="67">
        <f>'[1]D-PRBDP'!$BE$33</f>
        <v>0</v>
      </c>
      <c r="EH3" s="67">
        <f>'[1]D-PRBDP'!$BE$34</f>
        <v>0</v>
      </c>
      <c r="EI3" s="67">
        <f>'[1]D-PRBDP'!$BE$35</f>
        <v>0</v>
      </c>
      <c r="EJ3" s="67">
        <f>'[1]D-PRBDP'!$BE$36</f>
        <v>0</v>
      </c>
      <c r="EK3" s="67">
        <f>'[1]D-PRBDP'!$BE$37</f>
        <v>0</v>
      </c>
      <c r="EL3" s="67">
        <f>'[1]D-PRBDP'!$BE$38</f>
        <v>0</v>
      </c>
      <c r="EM3" s="67">
        <f>'[1]D-PRBDP'!$BE$39</f>
        <v>0</v>
      </c>
      <c r="EN3" s="67">
        <f>'[1]D-PRBDP'!$BE$40</f>
        <v>0</v>
      </c>
      <c r="EO3" s="67">
        <f>'[1]D-PRBDP'!$BE$41</f>
        <v>0</v>
      </c>
      <c r="EP3" s="67">
        <f>'[1]D-PRBDP'!$BE$42</f>
        <v>0</v>
      </c>
      <c r="EQ3" s="67">
        <f>'[1]D-PRBDP'!$BE$43</f>
        <v>0</v>
      </c>
      <c r="ER3" s="67">
        <f>'[1]D-PRBDP'!$BE$44</f>
        <v>0</v>
      </c>
      <c r="ES3" s="67">
        <f>'[1]D-PRBDP'!$BE$45</f>
        <v>0</v>
      </c>
      <c r="ET3" s="67">
        <f>'[1]D-PRBDP'!$BE$46</f>
        <v>0</v>
      </c>
      <c r="EU3" s="67">
        <f>'[1]D-PRBDP'!$BE$47</f>
        <v>0</v>
      </c>
      <c r="EV3" s="67">
        <f>'[1]D-PRBDP'!$BE$48</f>
        <v>0</v>
      </c>
      <c r="EW3" s="68">
        <f>SUM(DL3:EV3)</f>
        <v>0</v>
      </c>
      <c r="EX3" s="66">
        <f>'[1]D-PRBNP'!$BE$12</f>
        <v>58168</v>
      </c>
      <c r="EY3" s="67">
        <f>'[1]D-PRBNP'!$BE$13</f>
        <v>42982</v>
      </c>
      <c r="EZ3" s="67">
        <f>'[1]D-PRBNP'!$BE$14</f>
        <v>32335.998046875</v>
      </c>
      <c r="FA3" s="67">
        <f>'[1]D-PRBNP'!$BE$15</f>
        <v>27859</v>
      </c>
      <c r="FB3" s="67">
        <f>'[1]D-PRBNP'!$BE$16</f>
        <v>21085.001953125</v>
      </c>
      <c r="FC3" s="67">
        <f>'[1]D-PRBNP'!$BE$17</f>
        <v>15907</v>
      </c>
      <c r="FD3" s="67">
        <f>'[1]D-PRBNP'!$BE$18</f>
        <v>10871</v>
      </c>
      <c r="FE3" s="67">
        <f>'[1]D-PRBNP'!$BE$19</f>
        <v>4910</v>
      </c>
      <c r="FF3" s="67">
        <f>'[1]D-PRBNP'!$BE$20</f>
        <v>2830.999755859375</v>
      </c>
      <c r="FG3" s="67">
        <f>'[1]D-PRBNP'!$BE$21</f>
        <v>1768</v>
      </c>
      <c r="FH3" s="67">
        <f>'[1]D-PRBNP'!$BE$22</f>
        <v>903</v>
      </c>
      <c r="FI3" s="67">
        <f>'[1]D-PRBNP'!$BE$23</f>
        <v>0</v>
      </c>
      <c r="FJ3" s="67">
        <f>'[1]D-PRBNP'!$BE$24</f>
        <v>0</v>
      </c>
      <c r="FK3" s="67">
        <f>'[1]D-PRBNP'!$BE$25</f>
        <v>0</v>
      </c>
      <c r="FL3" s="67">
        <f>'[1]D-PRBNP'!$BE$26</f>
        <v>0</v>
      </c>
      <c r="FM3" s="67">
        <f>'[1]D-PRBNP'!$BE$27</f>
        <v>0</v>
      </c>
      <c r="FN3" s="67">
        <f>'[1]D-PRBNP'!$BE$28</f>
        <v>0</v>
      </c>
      <c r="FO3" s="67">
        <f>'[1]D-PRBNP'!$BE$29</f>
        <v>0</v>
      </c>
      <c r="FP3" s="67">
        <f>'[1]D-PRBNP'!$BE$30</f>
        <v>0</v>
      </c>
      <c r="FQ3" s="67">
        <f>'[1]D-PRBNP'!$BE$31</f>
        <v>0</v>
      </c>
      <c r="FR3" s="67">
        <f>'[1]D-PRBNP'!$BE$32</f>
        <v>0</v>
      </c>
      <c r="FS3" s="67">
        <f>'[1]D-PRBNP'!$BE$33</f>
        <v>0</v>
      </c>
      <c r="FT3" s="67">
        <f>'[1]D-PRBNP'!$BE$34</f>
        <v>0</v>
      </c>
      <c r="FU3" s="67">
        <f>'[1]D-PRBNP'!$BE$35</f>
        <v>0</v>
      </c>
      <c r="FV3" s="67">
        <f>'[1]D-PRBNP'!$BE$36</f>
        <v>0</v>
      </c>
      <c r="FW3" s="67">
        <f>'[1]D-PRBNP'!$BE$37</f>
        <v>0</v>
      </c>
      <c r="FX3" s="67">
        <f>'[1]D-PRBNP'!$BE$38</f>
        <v>0</v>
      </c>
      <c r="FY3" s="67">
        <f>'[1]D-PRBNP'!$BE$39</f>
        <v>0</v>
      </c>
      <c r="FZ3" s="67">
        <f>'[1]D-PRBNP'!$BE$40</f>
        <v>0</v>
      </c>
      <c r="GA3" s="67">
        <f>'[1]D-PRBNP'!$BE$41</f>
        <v>0</v>
      </c>
      <c r="GB3" s="67">
        <f>'[1]D-PRBNP'!$BE$42</f>
        <v>0</v>
      </c>
      <c r="GC3" s="67">
        <f>'[1]D-PRBNP'!$BE$43</f>
        <v>0</v>
      </c>
      <c r="GD3" s="67">
        <f>'[1]D-PRBNP'!$BE$44</f>
        <v>0</v>
      </c>
      <c r="GE3" s="67">
        <f>'[1]D-PRBNP'!$BE$45</f>
        <v>0</v>
      </c>
      <c r="GF3" s="67">
        <f>'[1]D-PRBNP'!$BE$46</f>
        <v>0</v>
      </c>
      <c r="GG3" s="67">
        <f>'[1]D-PRBNP'!$BE$47</f>
        <v>0</v>
      </c>
      <c r="GH3" s="67">
        <f>'[1]D-PRBNP'!$BE$48</f>
        <v>0</v>
      </c>
      <c r="GI3" s="68">
        <f>SUM(EX3:GH3)</f>
        <v>219619.99975585938</v>
      </c>
      <c r="GJ3" s="66">
        <f>'[1]D-PRBND'!$BE$12</f>
        <v>0</v>
      </c>
      <c r="GK3" s="67">
        <f>'[1]D-PRBND'!$BE$13</f>
        <v>0</v>
      </c>
      <c r="GL3" s="67">
        <f>'[1]D-PRBND'!$BE$14</f>
        <v>0</v>
      </c>
      <c r="GM3" s="67">
        <f>'[1]D-PRBND'!$BE$15</f>
        <v>0</v>
      </c>
      <c r="GN3" s="67">
        <f>'[1]D-PRBND'!$BE$16</f>
        <v>0</v>
      </c>
      <c r="GO3" s="67">
        <f>'[1]D-PRBND'!$BE$17</f>
        <v>0</v>
      </c>
      <c r="GP3" s="67">
        <f>'[1]D-PRBND'!$BE$18</f>
        <v>0</v>
      </c>
      <c r="GQ3" s="67">
        <f>'[1]D-PRBND'!$BE$19</f>
        <v>0</v>
      </c>
      <c r="GR3" s="67">
        <f>'[1]D-PRBND'!$BE$20</f>
        <v>0</v>
      </c>
      <c r="GS3" s="67">
        <f>'[1]D-PRBND'!$BE$21</f>
        <v>0</v>
      </c>
      <c r="GT3" s="67">
        <f>'[1]D-PRBND'!$BE$22</f>
        <v>0</v>
      </c>
      <c r="GU3" s="67">
        <f>'[1]D-PRBND'!$BE$23</f>
        <v>0</v>
      </c>
      <c r="GV3" s="67">
        <f>'[1]D-PRBND'!$BE$24</f>
        <v>0</v>
      </c>
      <c r="GW3" s="67">
        <f>'[1]D-PRBND'!$BE$25</f>
        <v>0</v>
      </c>
      <c r="GX3" s="67">
        <f>'[1]D-PRBND'!$BE$26</f>
        <v>0</v>
      </c>
      <c r="GY3" s="67">
        <f>'[1]D-PRBND'!$BE$27</f>
        <v>0</v>
      </c>
      <c r="GZ3" s="67">
        <f>'[1]D-PRBND'!$BE$28</f>
        <v>0</v>
      </c>
      <c r="HA3" s="67">
        <f>'[1]D-PRBND'!$BE$29</f>
        <v>0</v>
      </c>
      <c r="HB3" s="67">
        <f>'[1]D-PRBND'!$BE$30</f>
        <v>0</v>
      </c>
      <c r="HC3" s="67">
        <f>'[1]D-PRBND'!$BE$31</f>
        <v>0</v>
      </c>
      <c r="HD3" s="67">
        <f>'[1]D-PRBND'!$BE$32</f>
        <v>0</v>
      </c>
      <c r="HE3" s="67">
        <f>'[1]D-PRBND'!$BE$33</f>
        <v>0</v>
      </c>
      <c r="HF3" s="67">
        <f>'[1]D-PRBND'!$BE$34</f>
        <v>0</v>
      </c>
      <c r="HG3" s="67">
        <f>'[1]D-PRBND'!$BE$35</f>
        <v>0</v>
      </c>
      <c r="HH3" s="67">
        <f>'[1]D-PRBND'!$BE$36</f>
        <v>0</v>
      </c>
      <c r="HI3" s="67">
        <f>'[1]D-PRBND'!$BE$37</f>
        <v>0</v>
      </c>
      <c r="HJ3" s="67">
        <f>'[1]D-PRBND'!$BE$38</f>
        <v>0</v>
      </c>
      <c r="HK3" s="67">
        <f>'[1]D-PRBND'!$BE$39</f>
        <v>0</v>
      </c>
      <c r="HL3" s="67">
        <f>'[1]D-PRBND'!$BE$40</f>
        <v>0</v>
      </c>
      <c r="HM3" s="67">
        <f>'[1]D-PRBND'!$BE$41</f>
        <v>0</v>
      </c>
      <c r="HN3" s="67">
        <f>'[1]D-PRBND'!$BE$42</f>
        <v>0</v>
      </c>
      <c r="HO3" s="67">
        <f>'[1]D-PRBND'!$BE$43</f>
        <v>0</v>
      </c>
      <c r="HP3" s="67">
        <f>'[1]D-PRBND'!$BE$44</f>
        <v>0</v>
      </c>
      <c r="HQ3" s="67">
        <f>'[1]D-PRBND'!$BE$45</f>
        <v>0</v>
      </c>
      <c r="HR3" s="67">
        <f>'[1]D-PRBND'!$BE$46</f>
        <v>0</v>
      </c>
      <c r="HS3" s="67">
        <f>'[1]D-PRBND'!$BE$47</f>
        <v>0</v>
      </c>
      <c r="HT3" s="67">
        <f>'[1]D-PRBND'!$BE$48</f>
        <v>0</v>
      </c>
      <c r="HU3" s="68">
        <f>SUM(GJ3:HT3)</f>
        <v>0</v>
      </c>
      <c r="HV3" s="28">
        <f>'[1]D-PRB'!$BE$12</f>
        <v>58168</v>
      </c>
      <c r="HW3" s="14">
        <f>'[1]D-PRB'!$BE$13</f>
        <v>42982</v>
      </c>
      <c r="HX3" s="14">
        <f>'[1]D-PRB'!$BE$14</f>
        <v>32335.998046875</v>
      </c>
      <c r="HY3" s="14">
        <f>'[1]D-PRB'!$BE$15</f>
        <v>27859</v>
      </c>
      <c r="HZ3" s="14">
        <f>'[1]D-PRB'!$BE$16</f>
        <v>21085.001953125</v>
      </c>
      <c r="IA3" s="14">
        <f>'[1]D-PRB'!$BE$17</f>
        <v>15907</v>
      </c>
      <c r="IB3" s="14">
        <f>'[1]D-PRB'!$BE$18</f>
        <v>10871</v>
      </c>
      <c r="IC3" s="14">
        <f>'[1]D-PRB'!$BE$19</f>
        <v>4910</v>
      </c>
      <c r="ID3" s="14">
        <f>'[1]D-PRB'!$BE$20</f>
        <v>2830.999755859375</v>
      </c>
      <c r="IE3" s="14">
        <f>'[1]D-PRB'!$BE$21</f>
        <v>1768</v>
      </c>
      <c r="IF3" s="14">
        <f>'[1]D-PRB'!$BE$22</f>
        <v>903</v>
      </c>
      <c r="IG3" s="14">
        <f>'[1]D-PRB'!$BE$23</f>
        <v>0</v>
      </c>
      <c r="IH3" s="14">
        <f>'[1]D-PRB'!$BE$24</f>
        <v>0</v>
      </c>
      <c r="II3" s="14">
        <f>'[1]D-PRB'!$BE$25</f>
        <v>0</v>
      </c>
      <c r="IJ3" s="14">
        <f>'[1]D-PRB'!$BE$26</f>
        <v>0</v>
      </c>
      <c r="IK3" s="14">
        <f>'[1]D-PRB'!$BE$27</f>
        <v>0</v>
      </c>
      <c r="IL3" s="14">
        <f>'[1]D-PRB'!$BE$28</f>
        <v>0</v>
      </c>
      <c r="IM3" s="14">
        <f>'[1]D-PRB'!$BE$29</f>
        <v>0</v>
      </c>
      <c r="IN3" s="14">
        <f>'[1]D-PRB'!$BE$30</f>
        <v>0</v>
      </c>
      <c r="IO3" s="14">
        <f>'[1]D-PRB'!$BE$31</f>
        <v>0</v>
      </c>
      <c r="IP3" s="14">
        <f>'[1]D-PRB'!$BE$32</f>
        <v>0</v>
      </c>
      <c r="IQ3" s="14">
        <f>'[1]D-PRB'!$BE$33</f>
        <v>0</v>
      </c>
      <c r="IR3" s="14">
        <f>'[1]D-PRB'!$BE$34</f>
        <v>0</v>
      </c>
      <c r="IS3" s="14">
        <f>'[1]D-PRB'!$BE$35</f>
        <v>0</v>
      </c>
      <c r="IT3" s="14">
        <f>'[1]D-PRB'!$BE$36</f>
        <v>0</v>
      </c>
      <c r="IU3" s="14">
        <f>'[1]D-PRB'!$BE$37</f>
        <v>0</v>
      </c>
      <c r="IV3" s="14">
        <f>'[1]D-PRB'!$BE$38</f>
        <v>0</v>
      </c>
      <c r="IW3" s="14">
        <f>'[1]D-PRB'!$BE$39</f>
        <v>0</v>
      </c>
      <c r="IX3" s="14">
        <f>'[1]D-PRB'!$BE$40</f>
        <v>0</v>
      </c>
      <c r="IY3" s="14">
        <f>'[1]D-PRB'!$BE$41</f>
        <v>0</v>
      </c>
      <c r="IZ3" s="14">
        <f>'[1]D-PRB'!$BE$42</f>
        <v>0</v>
      </c>
      <c r="JA3" s="14">
        <f>'[1]D-PRB'!$BE$43</f>
        <v>0</v>
      </c>
      <c r="JB3" s="14">
        <f>'[1]D-PRB'!$BE$44</f>
        <v>0</v>
      </c>
      <c r="JC3" s="14">
        <f>'[1]D-PRB'!$BE$45</f>
        <v>0</v>
      </c>
      <c r="JD3" s="14">
        <f>'[1]D-PRB'!$BE$46</f>
        <v>0</v>
      </c>
      <c r="JE3" s="14">
        <f>'[1]D-PRB'!$BE$47</f>
        <v>0</v>
      </c>
      <c r="JF3" s="14">
        <f>'[1]D-PRB'!$BE$48</f>
        <v>0</v>
      </c>
      <c r="JG3" s="16">
        <f>SUM(HV3:JF3)</f>
        <v>219619.99975585938</v>
      </c>
      <c r="JH3" s="66">
        <f>'[1]D-PSDP'!$BE$12</f>
        <v>0</v>
      </c>
      <c r="JI3" s="67">
        <f>'[1]D-PSDP'!$BE$13</f>
        <v>0</v>
      </c>
      <c r="JJ3" s="67">
        <f>'[1]D-PSDP'!$BE$14</f>
        <v>0</v>
      </c>
      <c r="JK3" s="67">
        <f>'[1]D-PSDP'!$BE$15</f>
        <v>0</v>
      </c>
      <c r="JL3" s="67">
        <f>'[1]D-PSDP'!$BE$16</f>
        <v>0</v>
      </c>
      <c r="JM3" s="67">
        <f>'[1]D-PSDP'!$BE$17</f>
        <v>0</v>
      </c>
      <c r="JN3" s="67">
        <f>'[1]D-PSDP'!$BE$18</f>
        <v>0</v>
      </c>
      <c r="JO3" s="67">
        <f>'[1]D-PSDP'!$BE$19</f>
        <v>0</v>
      </c>
      <c r="JP3" s="67">
        <f>'[1]D-PSDP'!$BE$20</f>
        <v>0</v>
      </c>
      <c r="JQ3" s="67">
        <f>'[1]D-PSDP'!$BE$21</f>
        <v>0</v>
      </c>
      <c r="JR3" s="67">
        <f>'[1]D-PSDP'!$BE$22</f>
        <v>0</v>
      </c>
      <c r="JS3" s="67">
        <f>'[1]D-PSDP'!$BE$23</f>
        <v>0</v>
      </c>
      <c r="JT3" s="67">
        <f>'[1]D-PSDP'!$BE$24</f>
        <v>0</v>
      </c>
      <c r="JU3" s="67">
        <f>'[1]D-PSDP'!$BE$25</f>
        <v>0</v>
      </c>
      <c r="JV3" s="67">
        <f>'[1]D-PSDP'!$BE$26</f>
        <v>0</v>
      </c>
      <c r="JW3" s="67">
        <f>'[1]D-PSDP'!$BE$27</f>
        <v>0</v>
      </c>
      <c r="JX3" s="67">
        <f>'[1]D-PSDP'!$BE$28</f>
        <v>0</v>
      </c>
      <c r="JY3" s="67">
        <f>'[1]D-PSDP'!$BE$29</f>
        <v>0</v>
      </c>
      <c r="JZ3" s="67">
        <f>'[1]D-PSDP'!$BE$30</f>
        <v>0</v>
      </c>
      <c r="KA3" s="67">
        <f>'[1]D-PSDP'!$BE$31</f>
        <v>0</v>
      </c>
      <c r="KB3" s="67">
        <f>'[1]D-PSDP'!$BE$32</f>
        <v>0</v>
      </c>
      <c r="KC3" s="67">
        <f>'[1]D-PSDP'!$BE$33</f>
        <v>0</v>
      </c>
      <c r="KD3" s="67">
        <f>'[1]D-PSDP'!$BE$34</f>
        <v>0</v>
      </c>
      <c r="KE3" s="67">
        <f>'[1]D-PSDP'!$BE$35</f>
        <v>0</v>
      </c>
      <c r="KF3" s="67">
        <f>'[1]D-PSDP'!$BE$36</f>
        <v>0</v>
      </c>
      <c r="KG3" s="67">
        <f>'[1]D-PSDP'!$BE$37</f>
        <v>0</v>
      </c>
      <c r="KH3" s="67">
        <f>'[1]D-PSDP'!$BE$38</f>
        <v>0</v>
      </c>
      <c r="KI3" s="67">
        <f>'[1]D-PSDP'!$BE$39</f>
        <v>0</v>
      </c>
      <c r="KJ3" s="67">
        <f>'[1]D-PSDP'!$BE$40</f>
        <v>0</v>
      </c>
      <c r="KK3" s="67">
        <f>'[1]D-PSDP'!$BE$41</f>
        <v>0</v>
      </c>
      <c r="KL3" s="67">
        <f>'[1]D-PSDP'!$BE$42</f>
        <v>0</v>
      </c>
      <c r="KM3" s="67">
        <f>'[1]D-PSDP'!$BE$43</f>
        <v>0</v>
      </c>
      <c r="KN3" s="67">
        <f>'[1]D-PSDP'!$BE$44</f>
        <v>0</v>
      </c>
      <c r="KO3" s="67">
        <f>'[1]D-PSDP'!$BE$45</f>
        <v>0</v>
      </c>
      <c r="KP3" s="67">
        <f>'[1]D-PSDP'!$BE$46</f>
        <v>0</v>
      </c>
      <c r="KQ3" s="67">
        <f>'[1]D-PSDP'!$BE$47</f>
        <v>0</v>
      </c>
      <c r="KR3" s="67">
        <f>'[1]D-PSDP'!$BE$48</f>
        <v>0</v>
      </c>
      <c r="KS3" s="68">
        <f>SUM(JH3:KR3)</f>
        <v>0</v>
      </c>
      <c r="KT3" s="66">
        <f>'[1]D-PSNP'!$BE$12</f>
        <v>0</v>
      </c>
      <c r="KU3" s="67">
        <f>'[1]D-PSNP'!$BE$13</f>
        <v>0</v>
      </c>
      <c r="KV3" s="67">
        <f>'[1]D-PSNP'!$BE$14</f>
        <v>0</v>
      </c>
      <c r="KW3" s="67">
        <f>'[1]D-PSNP'!$BE$15</f>
        <v>0</v>
      </c>
      <c r="KX3" s="67">
        <f>'[1]D-PSNP'!$BE$16</f>
        <v>0</v>
      </c>
      <c r="KY3" s="67">
        <f>'[1]D-PSNP'!$BE$17</f>
        <v>0</v>
      </c>
      <c r="KZ3" s="67">
        <f>'[1]D-PSNP'!$BE$18</f>
        <v>0</v>
      </c>
      <c r="LA3" s="67">
        <f>'[1]D-PSNP'!$BE$19</f>
        <v>2030.9998779296875</v>
      </c>
      <c r="LB3" s="67">
        <f>'[1]D-PSNP'!$BE$20</f>
        <v>2321</v>
      </c>
      <c r="LC3" s="67">
        <f>'[1]D-PSNP'!$BE$21</f>
        <v>2251</v>
      </c>
      <c r="LD3" s="67">
        <f>'[1]D-PSNP'!$BE$22</f>
        <v>390</v>
      </c>
      <c r="LE3" s="67">
        <f>'[1]D-PSNP'!$BE$23</f>
        <v>0</v>
      </c>
      <c r="LF3" s="67">
        <f>'[1]D-PSNP'!$BE$24</f>
        <v>0</v>
      </c>
      <c r="LG3" s="67">
        <f>'[1]D-PSNP'!$BE$25</f>
        <v>0</v>
      </c>
      <c r="LH3" s="67">
        <f>'[1]D-PSNP'!$BE$26</f>
        <v>0</v>
      </c>
      <c r="LI3" s="67">
        <f>'[1]D-PSNP'!$BE$27</f>
        <v>0</v>
      </c>
      <c r="LJ3" s="67">
        <f>'[1]D-PSNP'!$BE$28</f>
        <v>0</v>
      </c>
      <c r="LK3" s="67">
        <f>'[1]D-PSNP'!$BE$29</f>
        <v>0</v>
      </c>
      <c r="LL3" s="67">
        <f>'[1]D-PSNP'!$BE$30</f>
        <v>0</v>
      </c>
      <c r="LM3" s="67">
        <f>'[1]D-PSNP'!$BE$31</f>
        <v>0</v>
      </c>
      <c r="LN3" s="67">
        <f>'[1]D-PSNP'!$BE$32</f>
        <v>0</v>
      </c>
      <c r="LO3" s="67">
        <f>'[1]D-PSNP'!$BE$33</f>
        <v>0</v>
      </c>
      <c r="LP3" s="67">
        <f>'[1]D-PSNP'!$BE$34</f>
        <v>0</v>
      </c>
      <c r="LQ3" s="67">
        <f>'[1]D-PSNP'!$BE$35</f>
        <v>0</v>
      </c>
      <c r="LR3" s="67">
        <f>'[1]D-PSNP'!$BE$36</f>
        <v>0</v>
      </c>
      <c r="LS3" s="67">
        <f>'[1]D-PSNP'!$BE$37</f>
        <v>0</v>
      </c>
      <c r="LT3" s="67">
        <f>'[1]D-PSNP'!$BE$38</f>
        <v>0</v>
      </c>
      <c r="LU3" s="67">
        <f>'[1]D-PSNP'!$BE$39</f>
        <v>0</v>
      </c>
      <c r="LV3" s="67">
        <f>'[1]D-PSNP'!$BE$40</f>
        <v>0</v>
      </c>
      <c r="LW3" s="67">
        <f>'[1]D-PSNP'!$BE$41</f>
        <v>0</v>
      </c>
      <c r="LX3" s="67">
        <f>'[1]D-PSNP'!$BE$42</f>
        <v>0</v>
      </c>
      <c r="LY3" s="67">
        <f>'[1]D-PSNP'!$BE$43</f>
        <v>0</v>
      </c>
      <c r="LZ3" s="67">
        <f>'[1]D-PSNP'!$BE$44</f>
        <v>0</v>
      </c>
      <c r="MA3" s="67">
        <f>'[1]D-PSNP'!$BE$45</f>
        <v>0</v>
      </c>
      <c r="MB3" s="67">
        <f>'[1]D-PSNP'!$BE$46</f>
        <v>0</v>
      </c>
      <c r="MC3" s="67">
        <f>'[1]D-PSNP'!$BE$47</f>
        <v>0</v>
      </c>
      <c r="MD3" s="67">
        <f>'[1]D-PSNP'!$BE$48</f>
        <v>0</v>
      </c>
      <c r="ME3" s="68">
        <f>SUM(KT3:MD3)</f>
        <v>6992.9998779296875</v>
      </c>
      <c r="MF3" s="66">
        <f>'[1]D-PSND'!$BE$12</f>
        <v>20384</v>
      </c>
      <c r="MG3" s="67">
        <f>'[1]D-PSND'!$BE$13</f>
        <v>16386</v>
      </c>
      <c r="MH3" s="67">
        <f>'[1]D-PSND'!$BE$14</f>
        <v>11635</v>
      </c>
      <c r="MI3" s="67">
        <f>'[1]D-PSND'!$BE$15</f>
        <v>8286</v>
      </c>
      <c r="MJ3" s="67">
        <f>'[1]D-PSND'!$BE$16</f>
        <v>5907</v>
      </c>
      <c r="MK3" s="67">
        <f>'[1]D-PSND'!$BE$17</f>
        <v>4056.000244140625</v>
      </c>
      <c r="ML3" s="67">
        <f>'[1]D-PSND'!$BE$18</f>
        <v>0</v>
      </c>
      <c r="MM3" s="67">
        <f>'[1]D-PSND'!$BE$19</f>
        <v>0</v>
      </c>
      <c r="MN3" s="67">
        <f>'[1]D-PSND'!$BE$20</f>
        <v>0</v>
      </c>
      <c r="MO3" s="67">
        <f>'[1]D-PSND'!$BE$21</f>
        <v>0</v>
      </c>
      <c r="MP3" s="67">
        <f>'[1]D-PSND'!$BE$22</f>
        <v>0</v>
      </c>
      <c r="MQ3" s="67">
        <f>'[1]D-PSND'!$BE$23</f>
        <v>0</v>
      </c>
      <c r="MR3" s="67">
        <f>'[1]D-PSND'!$BE$24</f>
        <v>0</v>
      </c>
      <c r="MS3" s="67">
        <f>'[1]D-PSND'!$BE$25</f>
        <v>0</v>
      </c>
      <c r="MT3" s="67">
        <f>'[1]D-PSND'!$BE$26</f>
        <v>0</v>
      </c>
      <c r="MU3" s="67">
        <f>'[1]D-PSND'!$BE$27</f>
        <v>0</v>
      </c>
      <c r="MV3" s="67">
        <f>'[1]D-PSND'!$BE$28</f>
        <v>0</v>
      </c>
      <c r="MW3" s="67">
        <f>'[1]D-PSND'!$BE$29</f>
        <v>0</v>
      </c>
      <c r="MX3" s="67">
        <f>'[1]D-PSND'!$BE$30</f>
        <v>0</v>
      </c>
      <c r="MY3" s="67">
        <f>'[1]D-PSND'!$BE$31</f>
        <v>0</v>
      </c>
      <c r="MZ3" s="67">
        <f>'[1]D-PSND'!$BE$32</f>
        <v>0</v>
      </c>
      <c r="NA3" s="67">
        <f>'[1]D-PSND'!$BE$33</f>
        <v>0</v>
      </c>
      <c r="NB3" s="67">
        <f>'[1]D-PSND'!$BE$34</f>
        <v>0</v>
      </c>
      <c r="NC3" s="67">
        <f>'[1]D-PSND'!$BE$35</f>
        <v>0</v>
      </c>
      <c r="ND3" s="67">
        <f>'[1]D-PSND'!$BE$36</f>
        <v>0</v>
      </c>
      <c r="NE3" s="67">
        <f>'[1]D-PSND'!$BE$37</f>
        <v>0</v>
      </c>
      <c r="NF3" s="67">
        <f>'[1]D-PSND'!$BE$38</f>
        <v>0</v>
      </c>
      <c r="NG3" s="67">
        <f>'[1]D-PSND'!$BE$39</f>
        <v>0</v>
      </c>
      <c r="NH3" s="67">
        <f>'[1]D-PSND'!$BE$40</f>
        <v>0</v>
      </c>
      <c r="NI3" s="67">
        <f>'[1]D-PSND'!$BE$41</f>
        <v>0</v>
      </c>
      <c r="NJ3" s="67">
        <f>'[1]D-PSND'!$BE$42</f>
        <v>0</v>
      </c>
      <c r="NK3" s="67">
        <f>'[1]D-PSND'!$BE$43</f>
        <v>0</v>
      </c>
      <c r="NL3" s="67">
        <f>'[1]D-PSND'!$BE$44</f>
        <v>0</v>
      </c>
      <c r="NM3" s="67">
        <f>'[1]D-PSND'!$BE$45</f>
        <v>0</v>
      </c>
      <c r="NN3" s="67">
        <f>'[1]D-PSND'!$BE$46</f>
        <v>0</v>
      </c>
      <c r="NO3" s="67">
        <f>'[1]D-PSND'!$BE$47</f>
        <v>0</v>
      </c>
      <c r="NP3" s="67">
        <f>'[1]D-PSND'!$BE$48</f>
        <v>0</v>
      </c>
      <c r="NQ3" s="68">
        <f>SUM(MF3:NP3)</f>
        <v>66654.000244140625</v>
      </c>
      <c r="NR3" s="14">
        <f>'[1]D-PS'!$BE$12</f>
        <v>20384</v>
      </c>
      <c r="NS3" s="14">
        <f>'[1]D-PS'!$BE$13</f>
        <v>16386</v>
      </c>
      <c r="NT3" s="14">
        <f>'[1]D-PS'!$BE$14</f>
        <v>11635</v>
      </c>
      <c r="NU3" s="14">
        <f>'[1]D-PS'!$BE$15</f>
        <v>8286</v>
      </c>
      <c r="NV3" s="14">
        <f>'[1]D-PS'!$BE$16</f>
        <v>5907</v>
      </c>
      <c r="NW3" s="14">
        <f>'[1]D-PS'!$BE$17</f>
        <v>4056.000244140625</v>
      </c>
      <c r="NX3" s="14">
        <f>'[1]D-PS'!$BE$18</f>
        <v>0</v>
      </c>
      <c r="NY3" s="14">
        <f>'[1]D-PS'!$BE$19</f>
        <v>2030.9998779296875</v>
      </c>
      <c r="NZ3" s="14">
        <f>'[1]D-PS'!$BE$20</f>
        <v>2321</v>
      </c>
      <c r="OA3" s="14">
        <f>'[1]D-PS'!$BE$21</f>
        <v>2251</v>
      </c>
      <c r="OB3" s="14">
        <f>'[1]D-PS'!$BE$22</f>
        <v>390</v>
      </c>
      <c r="OC3" s="14">
        <f>'[1]D-PS'!$BE$23</f>
        <v>0</v>
      </c>
      <c r="OD3" s="14">
        <f>'[1]D-PS'!$BE$24</f>
        <v>0</v>
      </c>
      <c r="OE3" s="14">
        <f>'[1]D-PS'!$BE$25</f>
        <v>0</v>
      </c>
      <c r="OF3" s="14">
        <f>'[1]D-PS'!$BE$26</f>
        <v>0</v>
      </c>
      <c r="OG3" s="14">
        <f>'[1]D-PS'!$BE$27</f>
        <v>0</v>
      </c>
      <c r="OH3" s="14">
        <f>'[1]D-PS'!$BE$28</f>
        <v>0</v>
      </c>
      <c r="OI3" s="14">
        <f>'[1]D-PS'!$BE$29</f>
        <v>0</v>
      </c>
      <c r="OJ3" s="14">
        <f>'[1]D-PS'!$BE$30</f>
        <v>0</v>
      </c>
      <c r="OK3" s="14">
        <f>'[1]D-PS'!$BE$31</f>
        <v>0</v>
      </c>
      <c r="OL3" s="14">
        <f>'[1]D-PS'!$BE$32</f>
        <v>0</v>
      </c>
      <c r="OM3" s="14">
        <f>'[1]D-PS'!$BE$33</f>
        <v>0</v>
      </c>
      <c r="ON3" s="14">
        <f>'[1]D-PS'!$BE$34</f>
        <v>0</v>
      </c>
      <c r="OO3" s="14">
        <f>'[1]D-PS'!$BE$35</f>
        <v>0</v>
      </c>
      <c r="OP3" s="14">
        <f>'[1]D-PS'!$BE$36</f>
        <v>0</v>
      </c>
      <c r="OQ3" s="14">
        <f>'[1]D-PS'!$BE$37</f>
        <v>0</v>
      </c>
      <c r="OR3" s="14">
        <f>'[1]D-PS'!$BE$38</f>
        <v>0</v>
      </c>
      <c r="OS3" s="14">
        <f>'[1]D-PS'!$BE$39</f>
        <v>0</v>
      </c>
      <c r="OT3" s="14">
        <f>'[1]D-PS'!$BE$40</f>
        <v>0</v>
      </c>
      <c r="OU3" s="14">
        <f>'[1]D-PS'!$BE$41</f>
        <v>0</v>
      </c>
      <c r="OV3" s="14">
        <f>'[1]D-PS'!$BE$42</f>
        <v>0</v>
      </c>
      <c r="OW3" s="14">
        <f>'[1]D-PS'!$BE$43</f>
        <v>0</v>
      </c>
      <c r="OX3" s="14">
        <f>'[1]D-PS'!$BE$44</f>
        <v>0</v>
      </c>
      <c r="OY3" s="14">
        <f>'[1]D-PS'!$BE$45</f>
        <v>0</v>
      </c>
      <c r="OZ3" s="14">
        <f>'[1]D-PS'!$BE$46</f>
        <v>0</v>
      </c>
      <c r="PA3" s="14">
        <f>'[1]D-PS'!$BE$47</f>
        <v>0</v>
      </c>
      <c r="PB3" s="14">
        <f>'[1]D-PS'!$BE$48</f>
        <v>0</v>
      </c>
      <c r="PC3" s="16">
        <f>SUM(NR3:PB3)</f>
        <v>73647.000122070313</v>
      </c>
      <c r="PE3" s="77">
        <f>+DK3+BY3+AM3</f>
        <v>2413417.9573364258</v>
      </c>
      <c r="PG3" s="77">
        <f>+PE3+JG3+PC3</f>
        <v>2706684.9572143555</v>
      </c>
    </row>
    <row r="4" spans="1:423" outlineLevel="1" x14ac:dyDescent="0.3">
      <c r="A4" s="76" t="s">
        <v>49</v>
      </c>
      <c r="B4" s="25">
        <f>'[2]CF PDP'!$BB$36</f>
        <v>284572</v>
      </c>
      <c r="C4" s="25">
        <f>'[2]CF PDP'!$BB$37</f>
        <v>185209</v>
      </c>
      <c r="D4" s="25">
        <f>'[2]CF PDP'!$BB$38</f>
        <v>117228</v>
      </c>
      <c r="E4" s="25">
        <f>'[2]CF PDP'!$BB$39</f>
        <v>75170</v>
      </c>
      <c r="F4" s="25">
        <f>'[2]CF PDP'!$BB$40</f>
        <v>50852</v>
      </c>
      <c r="G4" s="25">
        <f>'[2]CF PDP'!$BB$41</f>
        <v>32283</v>
      </c>
      <c r="H4" s="25">
        <f>'[2]CF PDP'!$BB$42</f>
        <v>0</v>
      </c>
      <c r="I4" s="25">
        <f>'[2]CF PDP'!$BB$43</f>
        <v>0</v>
      </c>
      <c r="J4" s="25">
        <f>'[2]CF PDP'!$BB$44</f>
        <v>0</v>
      </c>
      <c r="K4" s="25">
        <f>'[2]CF PDP'!$BB$45</f>
        <v>0</v>
      </c>
      <c r="L4" s="25">
        <f>'[2]CF PDP'!$BB$46</f>
        <v>0</v>
      </c>
      <c r="M4" s="25">
        <f>'[2]CF PDP'!$BB$47</f>
        <v>0</v>
      </c>
      <c r="N4" s="25">
        <f>'[2]CF PDP'!$BB$48</f>
        <v>0</v>
      </c>
      <c r="O4" s="25">
        <f>'[2]CF PDP'!$BB$49</f>
        <v>0</v>
      </c>
      <c r="P4" s="25">
        <f>'[2]CF PDP'!$BB$50</f>
        <v>0</v>
      </c>
      <c r="Q4" s="25">
        <f>'[2]CF PDP'!$BB$51</f>
        <v>0</v>
      </c>
      <c r="R4" s="25">
        <f>'[2]CF PDP'!$BB$52</f>
        <v>0</v>
      </c>
      <c r="S4" s="25">
        <f>'[2]CF PDP'!$BB$53</f>
        <v>0</v>
      </c>
      <c r="T4" s="25">
        <f>'[2]CF PDP'!$BB$54</f>
        <v>0</v>
      </c>
      <c r="U4" s="25">
        <f>'[2]CF PDP'!$BB$55</f>
        <v>0</v>
      </c>
      <c r="V4" s="25">
        <f>'[2]CF PDP'!$BB$56</f>
        <v>0</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745314</v>
      </c>
      <c r="AN4" s="27">
        <f>'[2]CF PNP'!$BB$36</f>
        <v>28711</v>
      </c>
      <c r="AO4" s="25">
        <f>'[2]CF PNP'!$BB$37</f>
        <v>24875</v>
      </c>
      <c r="AP4" s="25">
        <f>'[2]CF PNP'!$BB$38</f>
        <v>26714</v>
      </c>
      <c r="AQ4" s="25">
        <f>'[2]CF PNP'!$BB$39</f>
        <v>19951</v>
      </c>
      <c r="AR4" s="25">
        <f>'[2]CF PNP'!$BB$40</f>
        <v>14266</v>
      </c>
      <c r="AS4" s="25">
        <f>'[2]CF PNP'!$BB$41</f>
        <v>10727</v>
      </c>
      <c r="AT4" s="25">
        <f>'[2]CF PNP'!$BB$42</f>
        <v>22000</v>
      </c>
      <c r="AU4" s="25">
        <f>'[2]CF PNP'!$BB$43</f>
        <v>0</v>
      </c>
      <c r="AV4" s="25">
        <f>'[2]CF PNP'!$BB$44</f>
        <v>0</v>
      </c>
      <c r="AW4" s="25">
        <f>'[2]CF PNP'!$BB$45</f>
        <v>0</v>
      </c>
      <c r="AX4" s="25">
        <f>'[2]CF PNP'!$BB$46</f>
        <v>0</v>
      </c>
      <c r="AY4" s="25">
        <f>'[2]CF PNP'!$BB$47</f>
        <v>0</v>
      </c>
      <c r="AZ4" s="25">
        <f>'[2]CF PNP'!$BB$48</f>
        <v>0</v>
      </c>
      <c r="BA4" s="25">
        <f>'[2]CF PNP'!$BB$49</f>
        <v>0</v>
      </c>
      <c r="BB4" s="25">
        <f>'[2]CF PNP'!$BB$50</f>
        <v>0</v>
      </c>
      <c r="BC4" s="25">
        <f>'[2]CF PNP'!$BB$51</f>
        <v>0</v>
      </c>
      <c r="BD4" s="25">
        <f>'[2]CF PNP'!$BB$52</f>
        <v>0</v>
      </c>
      <c r="BE4" s="25">
        <f>'[2]CF PNP'!$BB$53</f>
        <v>0</v>
      </c>
      <c r="BF4" s="25">
        <f>'[2]CF PNP'!$BB$54</f>
        <v>0</v>
      </c>
      <c r="BG4" s="25">
        <f>'[2]CF PNP'!$BB$55</f>
        <v>0</v>
      </c>
      <c r="BH4" s="25">
        <f>'[2]CF PNP'!$BB$56</f>
        <v>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147244</v>
      </c>
      <c r="BZ4" s="27">
        <f>'[2]CF PND'!$BB$36</f>
        <v>72821</v>
      </c>
      <c r="CA4" s="25">
        <f>'[2]CF PND'!$BB$37</f>
        <v>65725</v>
      </c>
      <c r="CB4" s="25">
        <f>'[2]CF PND'!$BB$38</f>
        <v>48243</v>
      </c>
      <c r="CC4" s="25">
        <f>'[2]CF PND'!$BB$39</f>
        <v>55479</v>
      </c>
      <c r="CD4" s="25">
        <f>'[2]CF PND'!$BB$40</f>
        <v>182857</v>
      </c>
      <c r="CE4" s="25">
        <f>'[2]CF PND'!$BB$41</f>
        <v>256220</v>
      </c>
      <c r="CF4" s="25">
        <f>'[2]CF PND'!$BB$42</f>
        <v>281990</v>
      </c>
      <c r="CG4" s="25">
        <f>'[2]CF PND'!$BB$43</f>
        <v>210120</v>
      </c>
      <c r="CH4" s="25">
        <f>'[2]CF PND'!$BB$44</f>
        <v>134117</v>
      </c>
      <c r="CI4" s="25">
        <f>'[2]CF PND'!$BB$45</f>
        <v>0</v>
      </c>
      <c r="CJ4" s="25">
        <f>'[2]CF PND'!$BB$46</f>
        <v>0</v>
      </c>
      <c r="CK4" s="25">
        <f>'[2]CF PND'!$BB$47</f>
        <v>0</v>
      </c>
      <c r="CL4" s="25">
        <f>'[2]CF PND'!$BB$48</f>
        <v>0</v>
      </c>
      <c r="CM4" s="25">
        <f>'[2]CF PND'!$BB$49</f>
        <v>0</v>
      </c>
      <c r="CN4" s="25">
        <f>'[2]CF PND'!$BB$50</f>
        <v>0</v>
      </c>
      <c r="CO4" s="25">
        <f>'[2]CF PND'!$BB$51</f>
        <v>0</v>
      </c>
      <c r="CP4" s="25">
        <f>'[2]CF PND'!$BB$52</f>
        <v>0</v>
      </c>
      <c r="CQ4" s="25">
        <f>'[2]CF PND'!$BB$53</f>
        <v>0</v>
      </c>
      <c r="CR4" s="25">
        <f>'[2]CF PND'!$BB$54</f>
        <v>0</v>
      </c>
      <c r="CS4" s="25">
        <f>'[2]CF PND'!$BB$55</f>
        <v>0</v>
      </c>
      <c r="CT4" s="25">
        <f>'[2]CF PND'!$BB$56</f>
        <v>0</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1307572</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58162</v>
      </c>
      <c r="HW4" s="25">
        <f>'[2]CF PRB'!$BB$37</f>
        <v>42979</v>
      </c>
      <c r="HX4" s="25">
        <f>'[2]CF PRB'!$BB$38</f>
        <v>32333</v>
      </c>
      <c r="HY4" s="25">
        <f>'[2]CF PRB'!$BB$39</f>
        <v>27857</v>
      </c>
      <c r="HZ4" s="25">
        <f>'[2]CF PRB'!$BB$40</f>
        <v>21081</v>
      </c>
      <c r="IA4" s="25">
        <f>'[2]CF PRB'!$BB$41</f>
        <v>15906</v>
      </c>
      <c r="IB4" s="25">
        <f>'[2]CF PRB'!$BB$42</f>
        <v>10871</v>
      </c>
      <c r="IC4" s="25">
        <f>'[2]CF PRB'!$BB$43</f>
        <v>4909</v>
      </c>
      <c r="ID4" s="25">
        <f>'[2]CF PRB'!$BB$44</f>
        <v>2800</v>
      </c>
      <c r="IE4" s="25">
        <f>'[2]CF PRB'!$BB$45</f>
        <v>152458</v>
      </c>
      <c r="IF4" s="25">
        <f>'[2]CF PRB'!$BB$46</f>
        <v>0</v>
      </c>
      <c r="IG4" s="25">
        <f>'[2]CF PRB'!$BB$47</f>
        <v>0</v>
      </c>
      <c r="IH4" s="25">
        <f>'[2]CF PRB'!$BB$48</f>
        <v>0</v>
      </c>
      <c r="II4" s="25">
        <f>'[2]CF PRB'!$BB$49</f>
        <v>0</v>
      </c>
      <c r="IJ4" s="25">
        <f>'[2]CF PRB'!$BB$50</f>
        <v>0</v>
      </c>
      <c r="IK4" s="25">
        <f>'[2]CF PRB'!$BB$51</f>
        <v>0</v>
      </c>
      <c r="IL4" s="25">
        <f>'[2]CF PRB'!$BB$52</f>
        <v>0</v>
      </c>
      <c r="IM4" s="25">
        <f>'[2]CF PRB'!$BB$53</f>
        <v>0</v>
      </c>
      <c r="IN4" s="25">
        <f>'[2]CF PRB'!$BB$54</f>
        <v>0</v>
      </c>
      <c r="IO4" s="25">
        <f>'[2]CF PRB'!$BB$55</f>
        <v>0</v>
      </c>
      <c r="IP4" s="25">
        <f>'[2]CF PRB'!$BB$56</f>
        <v>0</v>
      </c>
      <c r="IQ4" s="25">
        <f>'[2]CF PRB'!$BB$57</f>
        <v>0</v>
      </c>
      <c r="IR4" s="25">
        <f>'[2]CF PRB'!$BB$58</f>
        <v>0</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369356</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20382</v>
      </c>
      <c r="NS4" s="25">
        <f>'[2]CF PS'!$BB$37</f>
        <v>16384</v>
      </c>
      <c r="NT4" s="25">
        <f>'[2]CF PS'!$BB$38</f>
        <v>11634</v>
      </c>
      <c r="NU4" s="25">
        <f>'[2]CF PS'!$BB$39</f>
        <v>8284</v>
      </c>
      <c r="NV4" s="25">
        <f>'[2]CF PS'!$BB$40</f>
        <v>5908</v>
      </c>
      <c r="NW4" s="25">
        <f>'[2]CF PS'!$BB$41</f>
        <v>4054</v>
      </c>
      <c r="NX4" s="25">
        <f>'[2]CF PS'!$BB$42</f>
        <v>0</v>
      </c>
      <c r="NY4" s="25">
        <f>'[2]CF PS'!$BB$43</f>
        <v>2030</v>
      </c>
      <c r="NZ4" s="25">
        <f>'[2]CF PS'!$BB$44</f>
        <v>2273</v>
      </c>
      <c r="OA4" s="25">
        <f>'[2]CF PS'!$BB$45</f>
        <v>2250</v>
      </c>
      <c r="OB4" s="25">
        <f>'[2]CF PS'!$BB$46</f>
        <v>0</v>
      </c>
      <c r="OC4" s="25">
        <f>'[2]CF PS'!$BB$47</f>
        <v>0</v>
      </c>
      <c r="OD4" s="25">
        <f>'[2]CF PS'!$BB$48</f>
        <v>0</v>
      </c>
      <c r="OE4" s="25">
        <f>'[2]CF PS'!$BB$49</f>
        <v>0</v>
      </c>
      <c r="OF4" s="25">
        <f>'[2]CF PS'!$BB$50</f>
        <v>0</v>
      </c>
      <c r="OG4" s="25">
        <f>'[2]CF PS'!$BB$51</f>
        <v>0</v>
      </c>
      <c r="OH4" s="25">
        <f>'[2]CF PS'!$BB$52</f>
        <v>0</v>
      </c>
      <c r="OI4" s="25">
        <f>'[2]CF PS'!$BB$53</f>
        <v>0</v>
      </c>
      <c r="OJ4" s="25">
        <f>'[2]CF PS'!$BB$54</f>
        <v>0</v>
      </c>
      <c r="OK4" s="25">
        <f>'[2]CF PS'!$BB$55</f>
        <v>0</v>
      </c>
      <c r="OL4" s="25">
        <f>'[2]CF PS'!$BB$56</f>
        <v>0</v>
      </c>
      <c r="OM4" s="25">
        <f>'[2]CF PS'!$BB$57</f>
        <v>0</v>
      </c>
      <c r="ON4" s="25">
        <f>'[2]CF PS'!$BB$58</f>
        <v>0</v>
      </c>
      <c r="OO4" s="25">
        <f>'[2]CF PS'!$BB$59</f>
        <v>0</v>
      </c>
      <c r="OP4" s="25">
        <f>'[2]CF PS'!$BB$60</f>
        <v>0</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73199</v>
      </c>
      <c r="PE4" s="77">
        <f>+DK4+BY4+AM4</f>
        <v>2200130</v>
      </c>
      <c r="PG4" s="77">
        <f>+PE4+JG4+PC4</f>
        <v>2642685</v>
      </c>
    </row>
    <row r="5" spans="1:423" ht="16.5" thickBot="1" x14ac:dyDescent="0.35">
      <c r="A5" s="47" t="s">
        <v>52</v>
      </c>
      <c r="B5" s="40">
        <f>IF(AND(B3&lt;&gt;0,B4&lt;&gt;0),(B3-B4)/B4,IF(AND(B3=0,B4=0),"",IF(AND(B3="",B4=""),"",IF(AND(B3=0,B4=""),"", IF(AND(B3="",B4=0),"",1)))))</f>
        <v>8.8619927470025164E-5</v>
      </c>
      <c r="C5" s="40">
        <f t="shared" ref="C5" si="0">IF(AND(C3&lt;&gt;0,C4&lt;&gt;0),(C3-C4)/C4,IF(AND(C3=0,C4=0),"",IF(AND(C3="",C4=""),"",IF(AND(C3=0,C4=""),"", IF(AND(C3="",C4=0),"",1)))))</f>
        <v>8.9088543213342768E-5</v>
      </c>
      <c r="D5" s="40">
        <f t="shared" ref="D5" si="1">IF(AND(D3&lt;&gt;0,D4&lt;&gt;0),(D3-D4)/D4,IF(AND(D3=0,D4=0),"",IF(AND(D3="",D4=""),"",IF(AND(D3=0,D4=""),"", IF(AND(D3="",D4=0),"",1)))))</f>
        <v>8.4704059610332005E-5</v>
      </c>
      <c r="E5" s="40">
        <f t="shared" ref="E5" si="2">IF(AND(E3&lt;&gt;0,E4&lt;&gt;0),(E3-E4)/E4,IF(AND(E3=0,E4=0),"",IF(AND(E3="",E4=""),"",IF(AND(E3=0,E4=""),"", IF(AND(E3="",E4=0),"",1)))))</f>
        <v>8.6470666489290939E-5</v>
      </c>
      <c r="F5" s="40">
        <f t="shared" ref="F5" si="3">IF(AND(F3&lt;&gt;0,F4&lt;&gt;0),(F3-F4)/F4,IF(AND(F3=0,F4=0),"",IF(AND(F3="",F4=""),"",IF(AND(F3=0,F4=""),"", IF(AND(F3="",F4=0),"",1)))))</f>
        <v>7.4665204908361523E-5</v>
      </c>
      <c r="G5" s="40">
        <f t="shared" ref="G5" si="4">IF(AND(G3&lt;&gt;0,G4&lt;&gt;0),(G3-G4)/G4,IF(AND(G3=0,G4=0),"",IF(AND(G3="",G4=""),"",IF(AND(G3=0,G4=""),"", IF(AND(G3="",G4=0),"",1)))))</f>
        <v>1.0956569634172785E-4</v>
      </c>
      <c r="H5" s="40">
        <f t="shared" ref="H5" si="5">IF(AND(H3&lt;&gt;0,H4&lt;&gt;0),(H3-H4)/H4,IF(AND(H3=0,H4=0),"",IF(AND(H3="",H4=""),"",IF(AND(H3=0,H4=""),"", IF(AND(H3="",H4=0),"",1)))))</f>
        <v>1</v>
      </c>
      <c r="I5" s="40">
        <f t="shared" ref="I5" si="6">IF(AND(I3&lt;&gt;0,I4&lt;&gt;0),(I3-I4)/I4,IF(AND(I3=0,I4=0),"",IF(AND(I3="",I4=""),"",IF(AND(I3=0,I4=""),"", IF(AND(I3="",I4=0),"",1)))))</f>
        <v>1</v>
      </c>
      <c r="J5" s="40">
        <f t="shared" ref="J5" si="7">IF(AND(J3&lt;&gt;0,J4&lt;&gt;0),(J3-J4)/J4,IF(AND(J3=0,J4=0),"",IF(AND(J3="",J4=""),"",IF(AND(J3=0,J4=""),"", IF(AND(J3="",J4=0),"",1)))))</f>
        <v>1</v>
      </c>
      <c r="K5" s="40">
        <f t="shared" ref="K5" si="8">IF(AND(K3&lt;&gt;0,K4&lt;&gt;0),(K3-K4)/K4,IF(AND(K3=0,K4=0),"",IF(AND(K3="",K4=""),"",IF(AND(K3=0,K4=""),"", IF(AND(K3="",K4=0),"",1)))))</f>
        <v>1</v>
      </c>
      <c r="L5" s="40">
        <f t="shared" ref="L5" si="9">IF(AND(L3&lt;&gt;0,L4&lt;&gt;0),(L3-L4)/L4,IF(AND(L3=0,L4=0),"",IF(AND(L3="",L4=""),"",IF(AND(L3=0,L4=""),"", IF(AND(L3="",L4=0),"",1)))))</f>
        <v>1</v>
      </c>
      <c r="M5" s="40" t="str">
        <f t="shared" ref="M5" si="10">IF(AND(M3&lt;&gt;0,M4&lt;&gt;0),(M3-M4)/M4,IF(AND(M3=0,M4=0),"",IF(AND(M3="",M4=""),"",IF(AND(M3=0,M4=""),"", IF(AND(M3="",M4=0),"",1)))))</f>
        <v/>
      </c>
      <c r="N5" s="40" t="str">
        <f t="shared" ref="N5" si="11">IF(AND(N3&lt;&gt;0,N4&lt;&gt;0),(N3-N4)/N4,IF(AND(N3=0,N4=0),"",IF(AND(N3="",N4=""),"",IF(AND(N3=0,N4=""),"", IF(AND(N3="",N4=0),"",1)))))</f>
        <v/>
      </c>
      <c r="O5" s="40" t="str">
        <f t="shared" ref="O5" si="12">IF(AND(O3&lt;&gt;0,O4&lt;&gt;0),(O3-O4)/O4,IF(AND(O3=0,O4=0),"",IF(AND(O3="",O4=""),"",IF(AND(O3=0,O4=""),"", IF(AND(O3="",O4=0),"",1)))))</f>
        <v/>
      </c>
      <c r="P5" s="40" t="str">
        <f t="shared" ref="P5" si="13">IF(AND(P3&lt;&gt;0,P4&lt;&gt;0),(P3-P4)/P4,IF(AND(P3=0,P4=0),"",IF(AND(P3="",P4=""),"",IF(AND(P3=0,P4=""),"", IF(AND(P3="",P4=0),"",1)))))</f>
        <v/>
      </c>
      <c r="Q5" s="40" t="str">
        <f t="shared" ref="Q5" si="14">IF(AND(Q3&lt;&gt;0,Q4&lt;&gt;0),(Q3-Q4)/Q4,IF(AND(Q3=0,Q4=0),"",IF(AND(Q3="",Q4=""),"",IF(AND(Q3=0,Q4=""),"", IF(AND(Q3="",Q4=0),"",1)))))</f>
        <v/>
      </c>
      <c r="R5" s="40" t="str">
        <f t="shared" ref="R5" si="15">IF(AND(R3&lt;&gt;0,R4&lt;&gt;0),(R3-R4)/R4,IF(AND(R3=0,R4=0),"",IF(AND(R3="",R4=""),"",IF(AND(R3=0,R4=""),"", IF(AND(R3="",R4=0),"",1)))))</f>
        <v/>
      </c>
      <c r="S5" s="40" t="str">
        <f t="shared" ref="S5" si="16">IF(AND(S3&lt;&gt;0,S4&lt;&gt;0),(S3-S4)/S4,IF(AND(S3=0,S4=0),"",IF(AND(S3="",S4=""),"",IF(AND(S3=0,S4=""),"", IF(AND(S3="",S4=0),"",1)))))</f>
        <v/>
      </c>
      <c r="T5" s="40" t="str">
        <f t="shared" ref="T5" si="17">IF(AND(T3&lt;&gt;0,T4&lt;&gt;0),(T3-T4)/T4,IF(AND(T3=0,T4=0),"",IF(AND(T3="",T4=""),"",IF(AND(T3=0,T4=""),"", IF(AND(T3="",T4=0),"",1)))))</f>
        <v/>
      </c>
      <c r="U5" s="40" t="str">
        <f t="shared" ref="U5" si="18">IF(AND(U3&lt;&gt;0,U4&lt;&gt;0),(U3-U4)/U4,IF(AND(U3=0,U4=0),"",IF(AND(U3="",U4=""),"",IF(AND(U3=0,U4=""),"", IF(AND(U3="",U4=0),"",1)))))</f>
        <v/>
      </c>
      <c r="V5" s="40" t="str">
        <f t="shared" ref="V5" si="19">IF(AND(V3&lt;&gt;0,V4&lt;&gt;0),(V3-V4)/V4,IF(AND(V3=0,V4=0),"",IF(AND(V3="",V4=""),"",IF(AND(V3=0,V4=""),"", IF(AND(V3="",V4=0),"",1)))))</f>
        <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3.6989256743974894E-2</v>
      </c>
      <c r="AN5" s="39">
        <f t="shared" ref="AN5" si="22">IF(AND(AN3&lt;&gt;0,AN4&lt;&gt;0),(AN3-AN4)/AN4,IF(AND(AN3=0,AN4=0),"",IF(AND(AN3="",AN4=""),"",IF(AND(AN3=0,AN4=""),"", IF(AND(AN3="",AN4=0),"",1)))))</f>
        <v>6.3265168402354492E-5</v>
      </c>
      <c r="AO5" s="40">
        <f t="shared" ref="AO5" si="23">IF(AND(AO3&lt;&gt;0,AO4&lt;&gt;0),(AO3-AO4)/AO4,IF(AND(AO3=0,AO4=0),"",IF(AND(AO3="",AO4=""),"",IF(AND(AO3=0,AO4=""),"", IF(AND(AO3="",AO4=0),"",1)))))</f>
        <v>8.3385678391959797E-5</v>
      </c>
      <c r="AP5" s="40">
        <f t="shared" ref="AP5" si="24">IF(AND(AP3&lt;&gt;0,AP4&lt;&gt;0),(AP3-AP4)/AP4,IF(AND(AP3=0,AP4=0),"",IF(AND(AP3="",AP4=""),"",IF(AND(AP3=0,AP4=""),"", IF(AND(AP3="",AP4=0),"",1)))))</f>
        <v>9.4826799618177732E-5</v>
      </c>
      <c r="AQ5" s="40">
        <f t="shared" ref="AQ5" si="25">IF(AND(AQ3&lt;&gt;0,AQ4&lt;&gt;0),(AQ3-AQ4)/AQ4,IF(AND(AQ3=0,AQ4=0),"",IF(AND(AQ3="",AQ4=""),"",IF(AND(AQ3=0,AQ4=""),"", IF(AND(AQ3="",AQ4=0),"",1)))))</f>
        <v>6.1674540123302088E-5</v>
      </c>
      <c r="AR5" s="40">
        <f t="shared" ref="AR5" si="26">IF(AND(AR3&lt;&gt;0,AR4&lt;&gt;0),(AR3-AR4)/AR4,IF(AND(AR3=0,AR4=0),"",IF(AND(AR3="",AR4=""),"",IF(AND(AR3=0,AR4=""),"", IF(AND(AR3="",AR4=0),"",1)))))</f>
        <v>9.672527775830646E-5</v>
      </c>
      <c r="AS5" s="40">
        <f t="shared" ref="AS5" si="27">IF(AND(AS3&lt;&gt;0,AS4&lt;&gt;0),(AS3-AS4)/AS4,IF(AND(AS3=0,AS4=0),"",IF(AND(AS3="",AS4=""),"",IF(AND(AS3=0,AS4=""),"", IF(AND(AS3="",AS4=0),"",1)))))</f>
        <v>-4.3698144868089871E-6</v>
      </c>
      <c r="AT5" s="40">
        <f t="shared" ref="AT5" si="28">IF(AND(AT3&lt;&gt;0,AT4&lt;&gt;0),(AT3-AT4)/AT4,IF(AND(AT3=0,AT4=0),"",IF(AND(AT3="",AT4=""),"",IF(AND(AT3=0,AT4=""),"", IF(AND(AT3="",AT4=0),"",1)))))</f>
        <v>-0.69930925958806822</v>
      </c>
      <c r="AU5" s="40">
        <f t="shared" ref="AU5" si="29">IF(AND(AU3&lt;&gt;0,AU4&lt;&gt;0),(AU3-AU4)/AU4,IF(AND(AU3=0,AU4=0),"",IF(AND(AU3="",AU4=""),"",IF(AND(AU3=0,AU4=""),"", IF(AND(AU3="",AU4=0),"",1)))))</f>
        <v>1</v>
      </c>
      <c r="AV5" s="40">
        <f t="shared" ref="AV5" si="30">IF(AND(AV3&lt;&gt;0,AV4&lt;&gt;0),(AV3-AV4)/AV4,IF(AND(AV3=0,AV4=0),"",IF(AND(AV3="",AV4=""),"",IF(AND(AV3=0,AV4=""),"", IF(AND(AV3="",AV4=0),"",1)))))</f>
        <v>1</v>
      </c>
      <c r="AW5" s="40" t="str">
        <f t="shared" ref="AW5" si="31">IF(AND(AW3&lt;&gt;0,AW4&lt;&gt;0),(AW3-AW4)/AW4,IF(AND(AW3=0,AW4=0),"",IF(AND(AW3="",AW4=""),"",IF(AND(AW3=0,AW4=""),"", IF(AND(AW3="",AW4=0),"",1)))))</f>
        <v/>
      </c>
      <c r="AX5" s="40" t="str">
        <f t="shared" ref="AX5" si="32">IF(AND(AX3&lt;&gt;0,AX4&lt;&gt;0),(AX3-AX4)/AX4,IF(AND(AX3=0,AX4=0),"",IF(AND(AX3="",AX4=""),"",IF(AND(AX3=0,AX4=""),"", IF(AND(AX3="",AX4=0),"",1)))))</f>
        <v/>
      </c>
      <c r="AY5" s="40" t="str">
        <f t="shared" ref="AY5" si="33">IF(AND(AY3&lt;&gt;0,AY4&lt;&gt;0),(AY3-AY4)/AY4,IF(AND(AY3=0,AY4=0),"",IF(AND(AY3="",AY4=""),"",IF(AND(AY3=0,AY4=""),"", IF(AND(AY3="",AY4=0),"",1)))))</f>
        <v/>
      </c>
      <c r="AZ5" s="40" t="str">
        <f t="shared" ref="AZ5" si="34">IF(AND(AZ3&lt;&gt;0,AZ4&lt;&gt;0),(AZ3-AZ4)/AZ4,IF(AND(AZ3=0,AZ4=0),"",IF(AND(AZ3="",AZ4=""),"",IF(AND(AZ3=0,AZ4=""),"", IF(AND(AZ3="",AZ4=0),"",1)))))</f>
        <v/>
      </c>
      <c r="BA5" s="40" t="str">
        <f t="shared" ref="BA5" si="35">IF(AND(BA3&lt;&gt;0,BA4&lt;&gt;0),(BA3-BA4)/BA4,IF(AND(BA3=0,BA4=0),"",IF(AND(BA3="",BA4=""),"",IF(AND(BA3=0,BA4=""),"", IF(AND(BA3="",BA4=0),"",1)))))</f>
        <v/>
      </c>
      <c r="BB5" s="40" t="str">
        <f t="shared" ref="BB5" si="36">IF(AND(BB3&lt;&gt;0,BB4&lt;&gt;0),(BB3-BB4)/BB4,IF(AND(BB3=0,BB4=0),"",IF(AND(BB3="",BB4=""),"",IF(AND(BB3=0,BB4=""),"", IF(AND(BB3="",BB4=0),"",1)))))</f>
        <v/>
      </c>
      <c r="BC5" s="40" t="str">
        <f t="shared" ref="BC5" si="37">IF(AND(BC3&lt;&gt;0,BC4&lt;&gt;0),(BC3-BC4)/BC4,IF(AND(BC3=0,BC4=0),"",IF(AND(BC3="",BC4=""),"",IF(AND(BC3=0,BC4=""),"", IF(AND(BC3="",BC4=0),"",1)))))</f>
        <v/>
      </c>
      <c r="BD5" s="40" t="str">
        <f t="shared" ref="BD5" si="38">IF(AND(BD3&lt;&gt;0,BD4&lt;&gt;0),(BD3-BD4)/BD4,IF(AND(BD3=0,BD4=0),"",IF(AND(BD3="",BD4=""),"",IF(AND(BD3=0,BD4=""),"", IF(AND(BD3="",BD4=0),"",1)))))</f>
        <v/>
      </c>
      <c r="BE5" s="40" t="str">
        <f t="shared" ref="BE5" si="39">IF(AND(BE3&lt;&gt;0,BE4&lt;&gt;0),(BE3-BE4)/BE4,IF(AND(BE3=0,BE4=0),"",IF(AND(BE3="",BE4=""),"",IF(AND(BE3=0,BE4=""),"", IF(AND(BE3="",BE4=0),"",1)))))</f>
        <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-7.2274998060723183E-2</v>
      </c>
      <c r="BZ5" s="39">
        <f t="shared" ref="BZ5" si="46">IF(AND(BZ3&lt;&gt;0,BZ4&lt;&gt;0),(BZ3-BZ4)/BZ4,IF(AND(BZ3=0,BZ4=0),"",IF(AND(BZ3="",BZ4=""),"",IF(AND(BZ3=0,BZ4=""),"", IF(AND(BZ3="",BZ4=0),"",1)))))</f>
        <v>9.5589699399898384E-5</v>
      </c>
      <c r="CA5" s="40">
        <f t="shared" ref="CA5" si="47">IF(AND(CA3&lt;&gt;0,CA4&lt;&gt;0),(CA3-CA4)/CA4,IF(AND(CA3=0,CA4=0),"",IF(AND(CA3="",CA4=""),"",IF(AND(CA3=0,CA4=""),"", IF(AND(CA3="",CA4=0),"",1)))))</f>
        <v>8.6653670597185243E-5</v>
      </c>
      <c r="CB5" s="40">
        <f t="shared" ref="CB5" si="48">IF(AND(CB3&lt;&gt;0,CB4&lt;&gt;0),(CB3-CB4)/CB4,IF(AND(CB3=0,CB4=0),"",IF(AND(CB3="",CB4=""),"",IF(AND(CB3=0,CB4=""),"", IF(AND(CB3="",CB4=0),"",1)))))</f>
        <v>8.6233365462346867E-5</v>
      </c>
      <c r="CC5" s="40">
        <f t="shared" ref="CC5" si="49">IF(AND(CC3&lt;&gt;0,CC4&lt;&gt;0),(CC3-CC4)/CC4,IF(AND(CC3=0,CC4=0),"",IF(AND(CC3="",CC4=""),"",IF(AND(CC3=0,CC4=""),"", IF(AND(CC3="",CC4=0),"",1)))))</f>
        <v>9.6531457848915805E-5</v>
      </c>
      <c r="CD5" s="40">
        <f t="shared" ref="CD5" si="50">IF(AND(CD3&lt;&gt;0,CD4&lt;&gt;0),(CD3-CD4)/CD4,IF(AND(CD3=0,CD4=0),"",IF(AND(CD3="",CD4=""),"",IF(AND(CD3=0,CD4=""),"", IF(AND(CD3="",CD4=0),"",1)))))</f>
        <v>9.0576242637689557E-5</v>
      </c>
      <c r="CE5" s="40">
        <f t="shared" ref="CE5" si="51">IF(AND(CE3&lt;&gt;0,CE4&lt;&gt;0),(CE3-CE4)/CE4,IF(AND(CE3=0,CE4=0),"",IF(AND(CE3="",CE4=""),"",IF(AND(CE3=0,CE4=""),"", IF(AND(CE3="",CE4=0),"",1)))))</f>
        <v>8.7693193349465306E-5</v>
      </c>
      <c r="CF5" s="40">
        <f t="shared" ref="CF5" si="52">IF(AND(CF3&lt;&gt;0,CF4&lt;&gt;0),(CF3-CF4)/CF4,IF(AND(CF3=0,CF4=0),"",IF(AND(CF3="",CF4=""),"",IF(AND(CF3=0,CF4=""),"", IF(AND(CF3="",CF4=0),"",1)))))</f>
        <v>8.5663498705627856E-5</v>
      </c>
      <c r="CG5" s="40">
        <f t="shared" ref="CG5" si="53">IF(AND(CG3&lt;&gt;0,CG4&lt;&gt;0),(CG3-CG4)/CG4,IF(AND(CG3=0,CG4=0),"",IF(AND(CG3="",CG4=""),"",IF(AND(CG3=0,CG4=""),"", IF(AND(CG3="",CG4=0),"",1)))))</f>
        <v>-4.5519598919664957E-2</v>
      </c>
      <c r="CH5" s="40">
        <f t="shared" ref="CH5" si="54">IF(AND(CH3&lt;&gt;0,CH4&lt;&gt;0),(CH3-CH4)/CH4,IF(AND(CH3=0,CH4=0),"",IF(AND(CH3="",CH4=""),"",IF(AND(CH3=0,CH4=""),"", IF(AND(CH3="",CH4=0),"",1)))))</f>
        <v>-1.1120537478470291E-2</v>
      </c>
      <c r="CI5" s="40">
        <f t="shared" ref="CI5" si="55">IF(AND(CI3&lt;&gt;0,CI4&lt;&gt;0),(CI3-CI4)/CI4,IF(AND(CI3=0,CI4=0),"",IF(AND(CI3="",CI4=""),"",IF(AND(CI3=0,CI4=""),"", IF(AND(CI3="",CI4=0),"",1)))))</f>
        <v>1</v>
      </c>
      <c r="CJ5" s="40">
        <f t="shared" ref="CJ5" si="56">IF(AND(CJ3&lt;&gt;0,CJ4&lt;&gt;0),(CJ3-CJ4)/CJ4,IF(AND(CJ3=0,CJ4=0),"",IF(AND(CJ3="",CJ4=""),"",IF(AND(CJ3=0,CJ4=""),"", IF(AND(CJ3="",CJ4=0),"",1)))))</f>
        <v>1</v>
      </c>
      <c r="CK5" s="40" t="str">
        <f t="shared" ref="CK5" si="57">IF(AND(CK3&lt;&gt;0,CK4&lt;&gt;0),(CK3-CK4)/CK4,IF(AND(CK3=0,CK4=0),"",IF(AND(CK3="",CK4=""),"",IF(AND(CK3=0,CK4=""),"", IF(AND(CK3="",CK4=0),"",1)))))</f>
        <v/>
      </c>
      <c r="CL5" s="40" t="str">
        <f t="shared" ref="CL5" si="58">IF(AND(CL3&lt;&gt;0,CL4&lt;&gt;0),(CL3-CL4)/CL4,IF(AND(CL3=0,CL4=0),"",IF(AND(CL3="",CL4=""),"",IF(AND(CL3=0,CL4=""),"", IF(AND(CL3="",CL4=0),"",1)))))</f>
        <v/>
      </c>
      <c r="CM5" s="40" t="str">
        <f t="shared" ref="CM5" si="59">IF(AND(CM3&lt;&gt;0,CM4&lt;&gt;0),(CM3-CM4)/CM4,IF(AND(CM3=0,CM4=0),"",IF(AND(CM3="",CM4=""),"",IF(AND(CM3=0,CM4=""),"", IF(AND(CM3="",CM4=0),"",1)))))</f>
        <v/>
      </c>
      <c r="CN5" s="40" t="str">
        <f t="shared" ref="CN5" si="60">IF(AND(CN3&lt;&gt;0,CN4&lt;&gt;0),(CN3-CN4)/CN4,IF(AND(CN3=0,CN4=0),"",IF(AND(CN3="",CN4=""),"",IF(AND(CN3=0,CN4=""),"", IF(AND(CN3="",CN4=0),"",1)))))</f>
        <v/>
      </c>
      <c r="CO5" s="40" t="str">
        <f t="shared" ref="CO5" si="61">IF(AND(CO3&lt;&gt;0,CO4&lt;&gt;0),(CO3-CO4)/CO4,IF(AND(CO3=0,CO4=0),"",IF(AND(CO3="",CO4=""),"",IF(AND(CO3=0,CO4=""),"", IF(AND(CO3="",CO4=0),"",1)))))</f>
        <v/>
      </c>
      <c r="CP5" s="40" t="str">
        <f t="shared" ref="CP5" si="62">IF(AND(CP3&lt;&gt;0,CP4&lt;&gt;0),(CP3-CP4)/CP4,IF(AND(CP3=0,CP4=0),"",IF(AND(CP3="",CP4=""),"",IF(AND(CP3=0,CP4=""),"", IF(AND(CP3="",CP4=0),"",1)))))</f>
        <v/>
      </c>
      <c r="CQ5" s="40" t="str">
        <f t="shared" ref="CQ5" si="63">IF(AND(CQ3&lt;&gt;0,CQ4&lt;&gt;0),(CQ3-CQ4)/CQ4,IF(AND(CQ3=0,CQ4=0),"",IF(AND(CQ3="",CQ4=""),"",IF(AND(CQ3=0,CQ4=""),"", IF(AND(CQ3="",CQ4=0),"",1)))))</f>
        <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f t="shared" ref="DK5:HU5" si="69">IF(AND(DK3&lt;&gt;0,DK4&lt;&gt;0),(DK3-DK4)/DK4,IF(AND(DK3=0,DK4=0),"",IF(AND(DK3="",DK4=""),"",IF(AND(DK3=0,DK4=""),"", IF(AND(DK3="",DK4=0),"",1)))))</f>
        <v>0.15017253829999419</v>
      </c>
      <c r="DL5" s="72" t="str">
        <f t="shared" si="69"/>
        <v/>
      </c>
      <c r="DM5" s="73" t="str">
        <f t="shared" si="69"/>
        <v/>
      </c>
      <c r="DN5" s="73" t="str">
        <f t="shared" si="69"/>
        <v/>
      </c>
      <c r="DO5" s="73" t="str">
        <f t="shared" si="69"/>
        <v/>
      </c>
      <c r="DP5" s="73" t="str">
        <f t="shared" si="69"/>
        <v/>
      </c>
      <c r="DQ5" s="73" t="str">
        <f t="shared" si="69"/>
        <v/>
      </c>
      <c r="DR5" s="73" t="str">
        <f t="shared" si="69"/>
        <v/>
      </c>
      <c r="DS5" s="73" t="str">
        <f t="shared" si="69"/>
        <v/>
      </c>
      <c r="DT5" s="73" t="str">
        <f t="shared" si="69"/>
        <v/>
      </c>
      <c r="DU5" s="73" t="str">
        <f t="shared" si="69"/>
        <v/>
      </c>
      <c r="DV5" s="73" t="str">
        <f t="shared" si="69"/>
        <v/>
      </c>
      <c r="DW5" s="73" t="str">
        <f t="shared" si="69"/>
        <v/>
      </c>
      <c r="DX5" s="73" t="str">
        <f t="shared" si="69"/>
        <v/>
      </c>
      <c r="DY5" s="73" t="str">
        <f t="shared" si="69"/>
        <v/>
      </c>
      <c r="DZ5" s="73" t="str">
        <f t="shared" si="69"/>
        <v/>
      </c>
      <c r="EA5" s="73" t="str">
        <f t="shared" si="69"/>
        <v/>
      </c>
      <c r="EB5" s="73" t="str">
        <f t="shared" si="69"/>
        <v/>
      </c>
      <c r="EC5" s="73" t="str">
        <f t="shared" si="69"/>
        <v/>
      </c>
      <c r="ED5" s="73" t="str">
        <f t="shared" si="69"/>
        <v/>
      </c>
      <c r="EE5" s="73" t="str">
        <f t="shared" si="69"/>
        <v/>
      </c>
      <c r="EF5" s="73" t="str">
        <f t="shared" si="69"/>
        <v/>
      </c>
      <c r="EG5" s="73" t="str">
        <f t="shared" si="69"/>
        <v/>
      </c>
      <c r="EH5" s="73" t="str">
        <f t="shared" si="69"/>
        <v/>
      </c>
      <c r="EI5" s="73" t="str">
        <f t="shared" ref="EI5:EV5" si="70">IF(AND(EI3&lt;&gt;0,EI4&lt;&gt;0),(EI3-EI4)/EI4,IF(AND(EI3=0,EI4=0),"",IF(AND(EI3="",EI4=""),"",IF(AND(EI3=0,EI4=""),"", IF(AND(EI3="",EI4=0),"",1)))))</f>
        <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t="str">
        <f t="shared" si="69"/>
        <v/>
      </c>
      <c r="EX5" s="72">
        <f t="shared" ref="EX5:GI5" si="71">IF(AND(EX3&lt;&gt;0,EX4&lt;&gt;0),(EX3-EX4)/EX4,IF(AND(EX3=0,EX4=0),"",IF(AND(EX3="",EX4=""),"",IF(AND(EX3=0,EX4=""),"", IF(AND(EX3="",EX4=0),"",1)))))</f>
        <v>1</v>
      </c>
      <c r="EY5" s="73">
        <f t="shared" si="71"/>
        <v>1</v>
      </c>
      <c r="EZ5" s="73">
        <f t="shared" si="71"/>
        <v>1</v>
      </c>
      <c r="FA5" s="73">
        <f t="shared" si="71"/>
        <v>1</v>
      </c>
      <c r="FB5" s="73">
        <f t="shared" si="71"/>
        <v>1</v>
      </c>
      <c r="FC5" s="73">
        <f t="shared" si="71"/>
        <v>1</v>
      </c>
      <c r="FD5" s="73">
        <f t="shared" si="71"/>
        <v>1</v>
      </c>
      <c r="FE5" s="73">
        <f t="shared" si="71"/>
        <v>1</v>
      </c>
      <c r="FF5" s="73">
        <f t="shared" si="71"/>
        <v>1</v>
      </c>
      <c r="FG5" s="73">
        <f t="shared" si="71"/>
        <v>1</v>
      </c>
      <c r="FH5" s="73">
        <f t="shared" si="71"/>
        <v>1</v>
      </c>
      <c r="FI5" s="73" t="str">
        <f t="shared" si="71"/>
        <v/>
      </c>
      <c r="FJ5" s="73" t="str">
        <f t="shared" si="71"/>
        <v/>
      </c>
      <c r="FK5" s="73" t="str">
        <f t="shared" si="71"/>
        <v/>
      </c>
      <c r="FL5" s="73" t="str">
        <f t="shared" si="71"/>
        <v/>
      </c>
      <c r="FM5" s="73" t="str">
        <f t="shared" si="71"/>
        <v/>
      </c>
      <c r="FN5" s="73" t="str">
        <f t="shared" si="71"/>
        <v/>
      </c>
      <c r="FO5" s="73" t="str">
        <f t="shared" si="71"/>
        <v/>
      </c>
      <c r="FP5" s="73" t="str">
        <f t="shared" si="71"/>
        <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f t="shared" si="71"/>
        <v>1</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f t="shared" ref="HV5" si="74">IF(AND(HV3&lt;&gt;0,HV4&lt;&gt;0),(HV3-HV4)/HV4,IF(AND(HV3=0,HV4=0),"",IF(AND(HV3="",HV4=""),"",IF(AND(HV3=0,HV4=""),"", IF(AND(HV3="",HV4=0),"",1)))))</f>
        <v>1.0316013892232042E-4</v>
      </c>
      <c r="HW5" s="40">
        <f t="shared" ref="HW5" si="75">IF(AND(HW3&lt;&gt;0,HW4&lt;&gt;0),(HW3-HW4)/HW4,IF(AND(HW3=0,HW4=0),"",IF(AND(HW3="",HW4=""),"",IF(AND(HW3=0,HW4=""),"", IF(AND(HW3="",HW4=0),"",1)))))</f>
        <v>6.9801530980246172E-5</v>
      </c>
      <c r="HX5" s="40">
        <f t="shared" ref="HX5" si="76">IF(AND(HX3&lt;&gt;0,HX4&lt;&gt;0),(HX3-HX4)/HX4,IF(AND(HX3=0,HX4=0),"",IF(AND(HX3="",HX4=""),"",IF(AND(HX3=0,HX4=""),"", IF(AND(HX3="",HX4=0),"",1)))))</f>
        <v>9.2724055144898402E-5</v>
      </c>
      <c r="HY5" s="40">
        <f t="shared" ref="HY5" si="77">IF(AND(HY3&lt;&gt;0,HY4&lt;&gt;0),(HY3-HY4)/HY4,IF(AND(HY3=0,HY4=0),"",IF(AND(HY3="",HY4=""),"",IF(AND(HY3=0,HY4=""),"", IF(AND(HY3="",HY4=0),"",1)))))</f>
        <v>7.1795239975589625E-5</v>
      </c>
      <c r="HZ5" s="40">
        <f t="shared" ref="HZ5" si="78">IF(AND(HZ3&lt;&gt;0,HZ4&lt;&gt;0),(HZ3-HZ4)/HZ4,IF(AND(HZ3=0,HZ4=0),"",IF(AND(HZ3="",HZ4=""),"",IF(AND(HZ3=0,HZ4=""),"", IF(AND(HZ3="",HZ4=0),"",1)))))</f>
        <v>1.8983696812295431E-4</v>
      </c>
      <c r="IA5" s="40">
        <f t="shared" ref="IA5" si="79">IF(AND(IA3&lt;&gt;0,IA4&lt;&gt;0),(IA3-IA4)/IA4,IF(AND(IA3=0,IA4=0),"",IF(AND(IA3="",IA4=""),"",IF(AND(IA3=0,IA4=""),"", IF(AND(IA3="",IA4=0),"",1)))))</f>
        <v>6.2869357475166599E-5</v>
      </c>
      <c r="IB5" s="40">
        <f t="shared" ref="IB5" si="80">IF(AND(IB3&lt;&gt;0,IB4&lt;&gt;0),(IB3-IB4)/IB4,IF(AND(IB3=0,IB4=0),"",IF(AND(IB3="",IB4=""),"",IF(AND(IB3=0,IB4=""),"", IF(AND(IB3="",IB4=0),"",1)))))</f>
        <v>0</v>
      </c>
      <c r="IC5" s="40">
        <f t="shared" ref="IC5" si="81">IF(AND(IC3&lt;&gt;0,IC4&lt;&gt;0),(IC3-IC4)/IC4,IF(AND(IC3=0,IC4=0),"",IF(AND(IC3="",IC4=""),"",IF(AND(IC3=0,IC4=""),"", IF(AND(IC3="",IC4=0),"",1)))))</f>
        <v>2.0370747606437156E-4</v>
      </c>
      <c r="ID5" s="40">
        <f t="shared" ref="ID5" si="82">IF(AND(ID3&lt;&gt;0,ID4&lt;&gt;0),(ID3-ID4)/ID4,IF(AND(ID3=0,ID4=0),"",IF(AND(ID3="",ID4=""),"",IF(AND(ID3=0,ID4=""),"", IF(AND(ID3="",ID4=0),"",1)))))</f>
        <v>1.1071341378348214E-2</v>
      </c>
      <c r="IE5" s="40">
        <f t="shared" ref="IE5" si="83">IF(AND(IE3&lt;&gt;0,IE4&lt;&gt;0),(IE3-IE4)/IE4,IF(AND(IE3=0,IE4=0),"",IF(AND(IE3="",IE4=""),"",IF(AND(IE3=0,IE4=""),"", IF(AND(IE3="",IE4=0),"",1)))))</f>
        <v>-0.98840336354930536</v>
      </c>
      <c r="IF5" s="40">
        <f t="shared" ref="IF5" si="84">IF(AND(IF3&lt;&gt;0,IF4&lt;&gt;0),(IF3-IF4)/IF4,IF(AND(IF3=0,IF4=0),"",IF(AND(IF3="",IF4=""),"",IF(AND(IF3=0,IF4=""),"", IF(AND(IF3="",IF4=0),"",1)))))</f>
        <v>1</v>
      </c>
      <c r="IG5" s="40" t="str">
        <f t="shared" ref="IG5" si="85">IF(AND(IG3&lt;&gt;0,IG4&lt;&gt;0),(IG3-IG4)/IG4,IF(AND(IG3=0,IG4=0),"",IF(AND(IG3="",IG4=""),"",IF(AND(IG3=0,IG4=""),"", IF(AND(IG3="",IG4=0),"",1)))))</f>
        <v/>
      </c>
      <c r="IH5" s="40" t="str">
        <f t="shared" ref="IH5" si="86">IF(AND(IH3&lt;&gt;0,IH4&lt;&gt;0),(IH3-IH4)/IH4,IF(AND(IH3=0,IH4=0),"",IF(AND(IH3="",IH4=""),"",IF(AND(IH3=0,IH4=""),"", IF(AND(IH3="",IH4=0),"",1)))))</f>
        <v/>
      </c>
      <c r="II5" s="40" t="str">
        <f t="shared" ref="II5" si="87">IF(AND(II3&lt;&gt;0,II4&lt;&gt;0),(II3-II4)/II4,IF(AND(II3=0,II4=0),"",IF(AND(II3="",II4=""),"",IF(AND(II3=0,II4=""),"", IF(AND(II3="",II4=0),"",1)))))</f>
        <v/>
      </c>
      <c r="IJ5" s="40" t="str">
        <f t="shared" ref="IJ5" si="88">IF(AND(IJ3&lt;&gt;0,IJ4&lt;&gt;0),(IJ3-IJ4)/IJ4,IF(AND(IJ3=0,IJ4=0),"",IF(AND(IJ3="",IJ4=""),"",IF(AND(IJ3=0,IJ4=""),"", IF(AND(IJ3="",IJ4=0),"",1)))))</f>
        <v/>
      </c>
      <c r="IK5" s="40" t="str">
        <f t="shared" ref="IK5" si="89">IF(AND(IK3&lt;&gt;0,IK4&lt;&gt;0),(IK3-IK4)/IK4,IF(AND(IK3=0,IK4=0),"",IF(AND(IK3="",IK4=""),"",IF(AND(IK3=0,IK4=""),"", IF(AND(IK3="",IK4=0),"",1)))))</f>
        <v/>
      </c>
      <c r="IL5" s="40" t="str">
        <f t="shared" ref="IL5" si="90">IF(AND(IL3&lt;&gt;0,IL4&lt;&gt;0),(IL3-IL4)/IL4,IF(AND(IL3=0,IL4=0),"",IF(AND(IL3="",IL4=""),"",IF(AND(IL3=0,IL4=""),"", IF(AND(IL3="",IL4=0),"",1)))))</f>
        <v/>
      </c>
      <c r="IM5" s="40" t="str">
        <f t="shared" ref="IM5" si="91">IF(AND(IM3&lt;&gt;0,IM4&lt;&gt;0),(IM3-IM4)/IM4,IF(AND(IM3=0,IM4=0),"",IF(AND(IM3="",IM4=""),"",IF(AND(IM3=0,IM4=""),"", IF(AND(IM3="",IM4=0),"",1)))))</f>
        <v/>
      </c>
      <c r="IN5" s="40" t="str">
        <f t="shared" ref="IN5" si="92">IF(AND(IN3&lt;&gt;0,IN4&lt;&gt;0),(IN3-IN4)/IN4,IF(AND(IN3=0,IN4=0),"",IF(AND(IN3="",IN4=""),"",IF(AND(IN3=0,IN4=""),"", IF(AND(IN3="",IN4=0),"",1)))))</f>
        <v/>
      </c>
      <c r="IO5" s="40" t="str">
        <f t="shared" ref="IO5" si="93">IF(AND(IO3&lt;&gt;0,IO4&lt;&gt;0),(IO3-IO4)/IO4,IF(AND(IO3=0,IO4=0),"",IF(AND(IO3="",IO4=""),"",IF(AND(IO3=0,IO4=""),"", IF(AND(IO3="",IO4=0),"",1)))))</f>
        <v/>
      </c>
      <c r="IP5" s="40" t="str">
        <f t="shared" ref="IP5" si="94">IF(AND(IP3&lt;&gt;0,IP4&lt;&gt;0),(IP3-IP4)/IP4,IF(AND(IP3=0,IP4=0),"",IF(AND(IP3="",IP4=""),"",IF(AND(IP3=0,IP4=""),"", IF(AND(IP3="",IP4=0),"",1)))))</f>
        <v/>
      </c>
      <c r="IQ5" s="40" t="str">
        <f t="shared" ref="IQ5" si="95">IF(AND(IQ3&lt;&gt;0,IQ4&lt;&gt;0),(IQ3-IQ4)/IQ4,IF(AND(IQ3=0,IQ4=0),"",IF(AND(IQ3="",IQ4=""),"",IF(AND(IQ3=0,IQ4=""),"", IF(AND(IQ3="",IQ4=0),"",1)))))</f>
        <v/>
      </c>
      <c r="IR5" s="40" t="str">
        <f t="shared" ref="IR5:JF5" si="96">IF(AND(IR3&lt;&gt;0,IR4&lt;&gt;0),(IR3-IR4)/IR4,IF(AND(IR3=0,IR4=0),"",IF(AND(IR3="",IR4=""),"",IF(AND(IR3=0,IR4=""),"", IF(AND(IR3="",IR4=0),"",1)))))</f>
        <v/>
      </c>
      <c r="IS5" s="40" t="str">
        <f t="shared" si="96"/>
        <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-0.4053975033413309</v>
      </c>
      <c r="JH5" s="72" t="str">
        <f t="shared" si="97"/>
        <v/>
      </c>
      <c r="JI5" s="73" t="str">
        <f t="shared" si="97"/>
        <v/>
      </c>
      <c r="JJ5" s="73" t="str">
        <f t="shared" si="97"/>
        <v/>
      </c>
      <c r="JK5" s="73" t="str">
        <f t="shared" si="97"/>
        <v/>
      </c>
      <c r="JL5" s="73" t="str">
        <f t="shared" si="97"/>
        <v/>
      </c>
      <c r="JM5" s="73" t="str">
        <f t="shared" si="97"/>
        <v/>
      </c>
      <c r="JN5" s="73" t="str">
        <f t="shared" si="97"/>
        <v/>
      </c>
      <c r="JO5" s="73" t="str">
        <f t="shared" si="97"/>
        <v/>
      </c>
      <c r="JP5" s="73" t="str">
        <f t="shared" si="97"/>
        <v/>
      </c>
      <c r="JQ5" s="73" t="str">
        <f t="shared" si="97"/>
        <v/>
      </c>
      <c r="JR5" s="73" t="str">
        <f t="shared" si="97"/>
        <v/>
      </c>
      <c r="JS5" s="73" t="str">
        <f t="shared" si="97"/>
        <v/>
      </c>
      <c r="JT5" s="73" t="str">
        <f t="shared" si="97"/>
        <v/>
      </c>
      <c r="JU5" s="73" t="str">
        <f t="shared" si="97"/>
        <v/>
      </c>
      <c r="JV5" s="73" t="str">
        <f t="shared" si="97"/>
        <v/>
      </c>
      <c r="JW5" s="73" t="str">
        <f t="shared" si="97"/>
        <v/>
      </c>
      <c r="JX5" s="73" t="str">
        <f t="shared" si="97"/>
        <v/>
      </c>
      <c r="JY5" s="73" t="str">
        <f t="shared" si="97"/>
        <v/>
      </c>
      <c r="JZ5" s="73" t="str">
        <f t="shared" si="97"/>
        <v/>
      </c>
      <c r="KA5" s="73" t="str">
        <f t="shared" si="97"/>
        <v/>
      </c>
      <c r="KB5" s="73" t="str">
        <f t="shared" si="97"/>
        <v/>
      </c>
      <c r="KC5" s="73" t="str">
        <f t="shared" si="97"/>
        <v/>
      </c>
      <c r="KD5" s="73" t="str">
        <f t="shared" si="97"/>
        <v/>
      </c>
      <c r="KE5" s="73" t="str">
        <f t="shared" ref="KE5:KR5" si="98">IF(AND(KE3&lt;&gt;0,KE4&lt;&gt;0),(KE3-KE4)/KE4,IF(AND(KE3=0,KE4=0),"",IF(AND(KE3="",KE4=""),"",IF(AND(KE3=0,KE4=""),"", IF(AND(KE3="",KE4=0),"",1)))))</f>
        <v/>
      </c>
      <c r="KF5" s="73" t="str">
        <f t="shared" si="98"/>
        <v/>
      </c>
      <c r="KG5" s="73" t="str">
        <f t="shared" si="98"/>
        <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t="str">
        <f t="shared" si="97"/>
        <v/>
      </c>
      <c r="KT5" s="72" t="str">
        <f t="shared" ref="KT5:ME5" si="99">IF(AND(KT3&lt;&gt;0,KT4&lt;&gt;0),(KT3-KT4)/KT4,IF(AND(KT3=0,KT4=0),"",IF(AND(KT3="",KT4=""),"",IF(AND(KT3=0,KT4=""),"", IF(AND(KT3="",KT4=0),"",1)))))</f>
        <v/>
      </c>
      <c r="KU5" s="73" t="str">
        <f t="shared" si="99"/>
        <v/>
      </c>
      <c r="KV5" s="73" t="str">
        <f t="shared" si="99"/>
        <v/>
      </c>
      <c r="KW5" s="73" t="str">
        <f t="shared" si="99"/>
        <v/>
      </c>
      <c r="KX5" s="73" t="str">
        <f t="shared" si="99"/>
        <v/>
      </c>
      <c r="KY5" s="73" t="str">
        <f t="shared" si="99"/>
        <v/>
      </c>
      <c r="KZ5" s="73" t="str">
        <f t="shared" si="99"/>
        <v/>
      </c>
      <c r="LA5" s="73">
        <f t="shared" si="99"/>
        <v>1</v>
      </c>
      <c r="LB5" s="73">
        <f t="shared" si="99"/>
        <v>1</v>
      </c>
      <c r="LC5" s="73">
        <f t="shared" si="99"/>
        <v>1</v>
      </c>
      <c r="LD5" s="73">
        <f t="shared" si="99"/>
        <v>1</v>
      </c>
      <c r="LE5" s="73" t="str">
        <f t="shared" si="99"/>
        <v/>
      </c>
      <c r="LF5" s="73" t="str">
        <f t="shared" si="99"/>
        <v/>
      </c>
      <c r="LG5" s="73" t="str">
        <f t="shared" si="99"/>
        <v/>
      </c>
      <c r="LH5" s="73" t="str">
        <f t="shared" si="99"/>
        <v/>
      </c>
      <c r="LI5" s="73" t="str">
        <f t="shared" si="99"/>
        <v/>
      </c>
      <c r="LJ5" s="73" t="str">
        <f t="shared" si="99"/>
        <v/>
      </c>
      <c r="LK5" s="73" t="str">
        <f t="shared" si="99"/>
        <v/>
      </c>
      <c r="LL5" s="73" t="str">
        <f t="shared" si="99"/>
        <v/>
      </c>
      <c r="LM5" s="73" t="str">
        <f t="shared" si="99"/>
        <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f t="shared" si="99"/>
        <v>1</v>
      </c>
      <c r="MF5" s="72">
        <f t="shared" si="97"/>
        <v>1</v>
      </c>
      <c r="MG5" s="73">
        <f t="shared" si="97"/>
        <v>1</v>
      </c>
      <c r="MH5" s="73">
        <f t="shared" si="97"/>
        <v>1</v>
      </c>
      <c r="MI5" s="73">
        <f t="shared" si="97"/>
        <v>1</v>
      </c>
      <c r="MJ5" s="73">
        <f t="shared" si="97"/>
        <v>1</v>
      </c>
      <c r="MK5" s="73">
        <f t="shared" si="97"/>
        <v>1</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f t="shared" si="97"/>
        <v>1</v>
      </c>
      <c r="NR5" s="40">
        <f t="shared" ref="NR5:NT5" si="102">IF(AND(NR3&lt;&gt;0,NR4&lt;&gt;0),(NR3-NR4)/NR4,IF(AND(NR3=0,NR4=0),"",IF(AND(NR3="",NR4=""),"",IF(AND(NR3=0,NR4=""),"", IF(AND(NR3="",NR4=0),"",1)))))</f>
        <v>9.8125797272102829E-5</v>
      </c>
      <c r="NS5" s="40">
        <f t="shared" si="102"/>
        <v>1.220703125E-4</v>
      </c>
      <c r="NT5" s="40">
        <f t="shared" si="102"/>
        <v>8.5954959601168991E-5</v>
      </c>
      <c r="NU5" s="40">
        <f t="shared" ref="NU5" si="103">IF(AND(NU3&lt;&gt;0,NU4&lt;&gt;0),(NU3-NU4)/NU4,IF(AND(NU3=0,NU4=0),"",IF(AND(NU3="",NU4=""),"",IF(AND(NU3=0,NU4=""),"", IF(AND(NU3="",NU4=0),"",1)))))</f>
        <v>2.4142926122646064E-4</v>
      </c>
      <c r="NV5" s="40">
        <f t="shared" ref="NV5" si="104">IF(AND(NV3&lt;&gt;0,NV4&lt;&gt;0),(NV3-NV4)/NV4,IF(AND(NV3=0,NV4=0),"",IF(AND(NV3="",NV4=""),"",IF(AND(NV3=0,NV4=""),"", IF(AND(NV3="",NV4=0),"",1)))))</f>
        <v>-1.6926201760324982E-4</v>
      </c>
      <c r="NW5" s="40">
        <f t="shared" ref="NW5" si="105">IF(AND(NW3&lt;&gt;0,NW4&lt;&gt;0),(NW3-NW4)/NW4,IF(AND(NW3=0,NW4=0),"",IF(AND(NW3="",NW4=""),"",IF(AND(NW3=0,NW4=""),"", IF(AND(NW3="",NW4=0),"",1)))))</f>
        <v>4.9340013335594473E-4</v>
      </c>
      <c r="NX5" s="40" t="str">
        <f t="shared" ref="NX5" si="106">IF(AND(NX3&lt;&gt;0,NX4&lt;&gt;0),(NX3-NX4)/NX4,IF(AND(NX3=0,NX4=0),"",IF(AND(NX3="",NX4=""),"",IF(AND(NX3=0,NX4=""),"", IF(AND(NX3="",NX4=0),"",1)))))</f>
        <v/>
      </c>
      <c r="NY5" s="40">
        <f t="shared" ref="NY5" si="107">IF(AND(NY3&lt;&gt;0,NY4&lt;&gt;0),(NY3-NY4)/NY4,IF(AND(NY3=0,NY4=0),"",IF(AND(NY3="",NY4=""),"",IF(AND(NY3=0,NY4=""),"", IF(AND(NY3="",NY4=0),"",1)))))</f>
        <v>4.9255070427955668E-4</v>
      </c>
      <c r="NZ5" s="40">
        <f t="shared" ref="NZ5" si="108">IF(AND(NZ3&lt;&gt;0,NZ4&lt;&gt;0),(NZ3-NZ4)/NZ4,IF(AND(NZ3=0,NZ4=0),"",IF(AND(NZ3="",NZ4=""),"",IF(AND(NZ3=0,NZ4=""),"", IF(AND(NZ3="",NZ4=0),"",1)))))</f>
        <v>2.1117465904091508E-2</v>
      </c>
      <c r="OA5" s="40">
        <f t="shared" ref="OA5" si="109">IF(AND(OA3&lt;&gt;0,OA4&lt;&gt;0),(OA3-OA4)/OA4,IF(AND(OA3=0,OA4=0),"",IF(AND(OA3="",OA4=""),"",IF(AND(OA3=0,OA4=""),"", IF(AND(OA3="",OA4=0),"",1)))))</f>
        <v>4.4444444444444447E-4</v>
      </c>
      <c r="OB5" s="40">
        <f t="shared" ref="OB5" si="110">IF(AND(OB3&lt;&gt;0,OB4&lt;&gt;0),(OB3-OB4)/OB4,IF(AND(OB3=0,OB4=0),"",IF(AND(OB3="",OB4=""),"",IF(AND(OB3=0,OB4=""),"", IF(AND(OB3="",OB4=0),"",1)))))</f>
        <v>1</v>
      </c>
      <c r="OC5" s="40" t="str">
        <f t="shared" ref="OC5" si="111">IF(AND(OC3&lt;&gt;0,OC4&lt;&gt;0),(OC3-OC4)/OC4,IF(AND(OC3=0,OC4=0),"",IF(AND(OC3="",OC4=""),"",IF(AND(OC3=0,OC4=""),"", IF(AND(OC3="",OC4=0),"",1)))))</f>
        <v/>
      </c>
      <c r="OD5" s="40" t="str">
        <f t="shared" ref="OD5" si="112">IF(AND(OD3&lt;&gt;0,OD4&lt;&gt;0),(OD3-OD4)/OD4,IF(AND(OD3=0,OD4=0),"",IF(AND(OD3="",OD4=""),"",IF(AND(OD3=0,OD4=""),"", IF(AND(OD3="",OD4=0),"",1)))))</f>
        <v/>
      </c>
      <c r="OE5" s="40" t="str">
        <f t="shared" ref="OE5" si="113">IF(AND(OE3&lt;&gt;0,OE4&lt;&gt;0),(OE3-OE4)/OE4,IF(AND(OE3=0,OE4=0),"",IF(AND(OE3="",OE4=""),"",IF(AND(OE3=0,OE4=""),"", IF(AND(OE3="",OE4=0),"",1)))))</f>
        <v/>
      </c>
      <c r="OF5" s="40" t="str">
        <f t="shared" ref="OF5" si="114">IF(AND(OF3&lt;&gt;0,OF4&lt;&gt;0),(OF3-OF4)/OF4,IF(AND(OF3=0,OF4=0),"",IF(AND(OF3="",OF4=""),"",IF(AND(OF3=0,OF4=""),"", IF(AND(OF3="",OF4=0),"",1)))))</f>
        <v/>
      </c>
      <c r="OG5" s="40" t="str">
        <f t="shared" ref="OG5" si="115">IF(AND(OG3&lt;&gt;0,OG4&lt;&gt;0),(OG3-OG4)/OG4,IF(AND(OG3=0,OG4=0),"",IF(AND(OG3="",OG4=""),"",IF(AND(OG3=0,OG4=""),"", IF(AND(OG3="",OG4=0),"",1)))))</f>
        <v/>
      </c>
      <c r="OH5" s="40" t="str">
        <f t="shared" ref="OH5" si="116">IF(AND(OH3&lt;&gt;0,OH4&lt;&gt;0),(OH3-OH4)/OH4,IF(AND(OH3=0,OH4=0),"",IF(AND(OH3="",OH4=""),"",IF(AND(OH3=0,OH4=""),"", IF(AND(OH3="",OH4=0),"",1)))))</f>
        <v/>
      </c>
      <c r="OI5" s="40" t="str">
        <f t="shared" ref="OI5" si="117">IF(AND(OI3&lt;&gt;0,OI4&lt;&gt;0),(OI3-OI4)/OI4,IF(AND(OI3=0,OI4=0),"",IF(AND(OI3="",OI4=""),"",IF(AND(OI3=0,OI4=""),"", IF(AND(OI3="",OI4=0),"",1)))))</f>
        <v/>
      </c>
      <c r="OJ5" s="40" t="str">
        <f t="shared" ref="OJ5" si="118">IF(AND(OJ3&lt;&gt;0,OJ4&lt;&gt;0),(OJ3-OJ4)/OJ4,IF(AND(OJ3=0,OJ4=0),"",IF(AND(OJ3="",OJ4=""),"",IF(AND(OJ3=0,OJ4=""),"", IF(AND(OJ3="",OJ4=0),"",1)))))</f>
        <v/>
      </c>
      <c r="OK5" s="40" t="str">
        <f t="shared" ref="OK5" si="119">IF(AND(OK3&lt;&gt;0,OK4&lt;&gt;0),(OK3-OK4)/OK4,IF(AND(OK3=0,OK4=0),"",IF(AND(OK3="",OK4=""),"",IF(AND(OK3=0,OK4=""),"", IF(AND(OK3="",OK4=0),"",1)))))</f>
        <v/>
      </c>
      <c r="OL5" s="40" t="str">
        <f t="shared" ref="OL5" si="120">IF(AND(OL3&lt;&gt;0,OL4&lt;&gt;0),(OL3-OL4)/OL4,IF(AND(OL3=0,OL4=0),"",IF(AND(OL3="",OL4=""),"",IF(AND(OL3=0,OL4=""),"", IF(AND(OL3="",OL4=0),"",1)))))</f>
        <v/>
      </c>
      <c r="OM5" s="40" t="str">
        <f t="shared" ref="OM5" si="121">IF(AND(OM3&lt;&gt;0,OM4&lt;&gt;0),(OM3-OM4)/OM4,IF(AND(OM3=0,OM4=0),"",IF(AND(OM3="",OM4=""),"",IF(AND(OM3=0,OM4=""),"", IF(AND(OM3="",OM4=0),"",1)))))</f>
        <v/>
      </c>
      <c r="ON5" s="40" t="str">
        <f t="shared" ref="ON5:PB5" si="122">IF(AND(ON3&lt;&gt;0,ON4&lt;&gt;0),(ON3-ON4)/ON4,IF(AND(ON3=0,ON4=0),"",IF(AND(ON3="",ON4=""),"",IF(AND(ON3=0,ON4=""),"", IF(AND(ON3="",ON4=0),"",1)))))</f>
        <v/>
      </c>
      <c r="OO5" s="40" t="str">
        <f t="shared" si="122"/>
        <v/>
      </c>
      <c r="OP5" s="40" t="str">
        <f t="shared" si="122"/>
        <v/>
      </c>
      <c r="OQ5" s="40" t="str">
        <f t="shared" si="122"/>
        <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6.1203038575706296E-3</v>
      </c>
      <c r="PE5" s="63">
        <f>IF(AND(PE3&lt;&gt;0,PE4&lt;&gt;0),(PE3-PE4)/PE4,IF(AND(PE3=0,PE4=0),"",IF(AND(PE3="",PE4=""),"",IF(AND(PE3=0,PE4=""),"", IF(AND(PE3="",PE4=0),"",1)))))</f>
        <v>9.6943343046286254E-2</v>
      </c>
      <c r="PG5" s="63">
        <f>IF(AND(PG3&lt;&gt;0,PG4&lt;&gt;0),(PG3-PG4)/PG4,IF(AND(PG3=0,PG4=0),"",IF(AND(PG3="",PG4=""),"",IF(AND(PG3=0,PG4=""),"", IF(AND(PG3="",PG4=0),"",1)))))</f>
        <v>2.4217777455260641E-2</v>
      </c>
    </row>
    <row r="6" spans="1:423" outlineLevel="1" x14ac:dyDescent="0.3">
      <c r="A6" s="76" t="s">
        <v>50</v>
      </c>
      <c r="B6" s="14">
        <f>'[1]D-PDP'!$BB$12</f>
        <v>18165.78125</v>
      </c>
      <c r="C6" s="14">
        <f>'[1]D-PDP'!$BB$13</f>
        <v>11822.90234375</v>
      </c>
      <c r="D6" s="14">
        <f>'[1]D-PDP'!$BB$14</f>
        <v>7483.27197265625</v>
      </c>
      <c r="E6" s="14">
        <f>'[1]D-PDP'!$BB$15</f>
        <v>4798.5</v>
      </c>
      <c r="F6" s="14">
        <f>'[1]D-PDP'!$BB$16</f>
        <v>3246.11474609375</v>
      </c>
      <c r="G6" s="14">
        <f>'[1]D-PDP'!$BB$17</f>
        <v>2060.843017578125</v>
      </c>
      <c r="H6" s="14">
        <f>'[1]D-PDP'!$BB$18</f>
        <v>982.14129638671875</v>
      </c>
      <c r="I6" s="14">
        <f>'[1]D-PDP'!$BB$19</f>
        <v>394.83395385742188</v>
      </c>
      <c r="J6" s="14">
        <f>'[1]D-PDP'!$BB$20</f>
        <v>200.79124450683594</v>
      </c>
      <c r="K6" s="14">
        <f>'[1]D-PDP'!$BB$21</f>
        <v>424.260009765625</v>
      </c>
      <c r="L6" s="14">
        <f>'[1]D-PDP'!$BB$22</f>
        <v>210.06001281738281</v>
      </c>
      <c r="M6" s="14">
        <f>'[1]D-PDP'!$BB$23</f>
        <v>0</v>
      </c>
      <c r="N6" s="14">
        <f>'[1]D-PDP'!$BB$24</f>
        <v>0</v>
      </c>
      <c r="O6" s="14">
        <f>'[1]D-PDP'!$BB$25</f>
        <v>0</v>
      </c>
      <c r="P6" s="14">
        <f>'[1]D-PDP'!$BB$26</f>
        <v>0</v>
      </c>
      <c r="Q6" s="14">
        <f>'[1]D-PDP'!$BB$27</f>
        <v>0</v>
      </c>
      <c r="R6" s="14">
        <f>'[1]D-PDP'!$BB$28</f>
        <v>0</v>
      </c>
      <c r="S6" s="14">
        <f>'[1]D-PDP'!$BB$29</f>
        <v>0</v>
      </c>
      <c r="T6" s="14">
        <f>'[1]D-PDP'!$BB$30</f>
        <v>0</v>
      </c>
      <c r="U6" s="14">
        <f>'[1]D-PDP'!$BB$31</f>
        <v>0</v>
      </c>
      <c r="V6" s="14">
        <f>'[1]D-PDP'!$BB$32</f>
        <v>0</v>
      </c>
      <c r="W6" s="14">
        <f>'[1]D-PDP'!$BB$33</f>
        <v>0</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49789.499847412109</v>
      </c>
      <c r="AN6" s="28">
        <f>'[1]D-PNP'!$BB$12</f>
        <v>1832.732177734375</v>
      </c>
      <c r="AO6" s="14">
        <f>'[1]D-PNP'!$BB$13</f>
        <v>1587.8985595703125</v>
      </c>
      <c r="AP6" s="14">
        <f>'[1]D-PNP'!$BB$14</f>
        <v>1705.310546875</v>
      </c>
      <c r="AQ6" s="14">
        <f>'[1]D-PNP'!$BB$15</f>
        <v>1273.54638671875</v>
      </c>
      <c r="AR6" s="14">
        <f>'[1]D-PNP'!$BB$16</f>
        <v>910.683837890625</v>
      </c>
      <c r="AS6" s="14">
        <f>'[1]D-PNP'!$BB$17</f>
        <v>684.69903564453125</v>
      </c>
      <c r="AT6" s="14">
        <f>'[1]D-PNP'!$BB$18</f>
        <v>422.24652099609375</v>
      </c>
      <c r="AU6" s="14">
        <f>'[1]D-PNP'!$BB$19</f>
        <v>216.86758422851563</v>
      </c>
      <c r="AV6" s="14">
        <f>'[1]D-PNP'!$BB$20</f>
        <v>85.287094116210938</v>
      </c>
      <c r="AW6" s="14">
        <f>'[1]D-PNP'!$BB$21</f>
        <v>0</v>
      </c>
      <c r="AX6" s="14">
        <f>'[1]D-PNP'!$BB$22</f>
        <v>0</v>
      </c>
      <c r="AY6" s="14">
        <f>'[1]D-PNP'!$BB$23</f>
        <v>0</v>
      </c>
      <c r="AZ6" s="14">
        <f>'[1]D-PNP'!$BB$24</f>
        <v>0</v>
      </c>
      <c r="BA6" s="14">
        <f>'[1]D-PNP'!$BB$25</f>
        <v>0</v>
      </c>
      <c r="BB6" s="14">
        <f>'[1]D-PNP'!$BB$26</f>
        <v>0</v>
      </c>
      <c r="BC6" s="14">
        <f>'[1]D-PNP'!$BB$27</f>
        <v>0</v>
      </c>
      <c r="BD6" s="14">
        <f>'[1]D-PNP'!$BB$28</f>
        <v>0</v>
      </c>
      <c r="BE6" s="14">
        <f>'[1]D-PNP'!$BB$29</f>
        <v>0</v>
      </c>
      <c r="BF6" s="14">
        <f>'[1]D-PNP'!$BB$30</f>
        <v>0</v>
      </c>
      <c r="BG6" s="14">
        <f>'[1]D-PNP'!$BB$31</f>
        <v>0</v>
      </c>
      <c r="BH6" s="14">
        <f>'[1]D-PNP'!$BB$32</f>
        <v>0</v>
      </c>
      <c r="BI6" s="14">
        <f>'[1]D-PNP'!$BB$33</f>
        <v>0</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8719.2717437744141</v>
      </c>
      <c r="BZ6" s="28">
        <f>'[1]D-PND'!$BB$12</f>
        <v>4648.59326171875</v>
      </c>
      <c r="CA6" s="14">
        <f>'[1]D-PND'!$BB$13</f>
        <v>4195.576171875</v>
      </c>
      <c r="CB6" s="14">
        <f>'[1]D-PND'!$BB$14</f>
        <v>3079.606689453125</v>
      </c>
      <c r="CC6" s="14">
        <f>'[1]D-PND'!$BB$15</f>
        <v>3541.555419921875</v>
      </c>
      <c r="CD6" s="14">
        <f>'[1]D-PND'!$BB$16</f>
        <v>11672.78125</v>
      </c>
      <c r="CE6" s="14">
        <f>'[1]D-PND'!$BB$17</f>
        <v>16355.9013671875</v>
      </c>
      <c r="CF6" s="14">
        <f>'[1]D-PND'!$BB$18</f>
        <v>18000.904296875</v>
      </c>
      <c r="CG6" s="14">
        <f>'[1]D-PND'!$BB$19</f>
        <v>12801.41015625</v>
      </c>
      <c r="CH6" s="14">
        <f>'[1]D-PND'!$BB$20</f>
        <v>8999.953125</v>
      </c>
      <c r="CI6" s="14">
        <f>'[1]D-PND'!$BB$21</f>
        <v>32653.98046875</v>
      </c>
      <c r="CJ6" s="14">
        <f>'[1]D-PND'!$BB$22</f>
        <v>12857.939453125</v>
      </c>
      <c r="CK6" s="14">
        <f>'[1]D-PND'!$BB$23</f>
        <v>0</v>
      </c>
      <c r="CL6" s="14">
        <f>'[1]D-PND'!$BB$24</f>
        <v>0</v>
      </c>
      <c r="CM6" s="14">
        <f>'[1]D-PND'!$BB$25</f>
        <v>0</v>
      </c>
      <c r="CN6" s="14">
        <f>'[1]D-PND'!$BB$26</f>
        <v>0</v>
      </c>
      <c r="CO6" s="14">
        <f>'[1]D-PND'!$BB$27</f>
        <v>0</v>
      </c>
      <c r="CP6" s="14">
        <f>'[1]D-PND'!$BB$28</f>
        <v>0</v>
      </c>
      <c r="CQ6" s="14">
        <f>'[1]D-PND'!$BB$29</f>
        <v>0</v>
      </c>
      <c r="CR6" s="14">
        <f>'[1]D-PND'!$BB$30</f>
        <v>0</v>
      </c>
      <c r="CS6" s="14">
        <f>'[1]D-PND'!$BB$31</f>
        <v>0</v>
      </c>
      <c r="CT6" s="14">
        <f>'[1]D-PND'!$BB$32</f>
        <v>0</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128808.20166015625</v>
      </c>
      <c r="DL6" s="66"/>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8">
        <f>SUM(DL6:EV6)</f>
        <v>0</v>
      </c>
      <c r="EX6" s="66"/>
      <c r="EY6" s="67"/>
      <c r="EZ6" s="67"/>
      <c r="FA6" s="67"/>
      <c r="FB6" s="67"/>
      <c r="FC6" s="67"/>
      <c r="FD6" s="67"/>
      <c r="FE6" s="67"/>
      <c r="FF6" s="67"/>
      <c r="FG6" s="67"/>
      <c r="FH6" s="67"/>
      <c r="FI6" s="67"/>
      <c r="FJ6" s="67"/>
      <c r="FK6" s="67"/>
      <c r="FL6" s="67"/>
      <c r="FM6" s="67"/>
      <c r="FN6" s="67"/>
      <c r="FO6" s="67"/>
      <c r="FP6" s="67"/>
      <c r="FQ6" s="67"/>
      <c r="FR6" s="67"/>
      <c r="FS6" s="67"/>
      <c r="FT6" s="67"/>
      <c r="FU6" s="67"/>
      <c r="FV6" s="67"/>
      <c r="FW6" s="67"/>
      <c r="FX6" s="67"/>
      <c r="FY6" s="67"/>
      <c r="FZ6" s="67"/>
      <c r="GA6" s="67"/>
      <c r="GB6" s="67"/>
      <c r="GC6" s="67"/>
      <c r="GD6" s="67"/>
      <c r="GE6" s="67"/>
      <c r="GF6" s="67"/>
      <c r="GG6" s="67"/>
      <c r="GH6" s="67"/>
      <c r="GI6" s="68">
        <f>SUM(EX6:GH6)</f>
        <v>0</v>
      </c>
      <c r="GJ6" s="66"/>
      <c r="GK6" s="67"/>
      <c r="GL6" s="67"/>
      <c r="GM6" s="67"/>
      <c r="GN6" s="67"/>
      <c r="GO6" s="67"/>
      <c r="GP6" s="67"/>
      <c r="GQ6" s="67"/>
      <c r="GR6" s="67"/>
      <c r="GS6" s="67"/>
      <c r="GT6" s="67"/>
      <c r="GU6" s="67"/>
      <c r="GV6" s="67"/>
      <c r="GW6" s="67"/>
      <c r="GX6" s="67"/>
      <c r="GY6" s="67"/>
      <c r="GZ6" s="67"/>
      <c r="HA6" s="67"/>
      <c r="HB6" s="67"/>
      <c r="HC6" s="67"/>
      <c r="HD6" s="67"/>
      <c r="HE6" s="67"/>
      <c r="HF6" s="67"/>
      <c r="HG6" s="67"/>
      <c r="HH6" s="67"/>
      <c r="HI6" s="67"/>
      <c r="HJ6" s="67"/>
      <c r="HK6" s="67"/>
      <c r="HL6" s="67"/>
      <c r="HM6" s="67"/>
      <c r="HN6" s="67"/>
      <c r="HO6" s="67"/>
      <c r="HP6" s="67"/>
      <c r="HQ6" s="67"/>
      <c r="HR6" s="67"/>
      <c r="HS6" s="67"/>
      <c r="HT6" s="67"/>
      <c r="HU6" s="68">
        <f>SUM(GJ6:HT6)</f>
        <v>0</v>
      </c>
      <c r="HV6" s="28">
        <f>'[1]D-PRB'!$BB$12</f>
        <v>3712.000244140625</v>
      </c>
      <c r="HW6" s="14">
        <f>'[1]D-PRB'!$BB$13</f>
        <v>2744</v>
      </c>
      <c r="HX6" s="14">
        <f>'[1]D-PRB'!$BB$14</f>
        <v>2063</v>
      </c>
      <c r="HY6" s="14">
        <f>'[1]D-PRB'!$BB$15</f>
        <v>1778</v>
      </c>
      <c r="HZ6" s="14">
        <f>'[1]D-PRB'!$BB$16</f>
        <v>1347</v>
      </c>
      <c r="IA6" s="14">
        <f>'[1]D-PRB'!$BB$17</f>
        <v>1016.0000610351563</v>
      </c>
      <c r="IB6" s="14">
        <f>'[1]D-PRB'!$BB$18</f>
        <v>693</v>
      </c>
      <c r="IC6" s="14">
        <f>'[1]D-PRB'!$BB$19</f>
        <v>313</v>
      </c>
      <c r="ID6" s="14">
        <f>'[1]D-PRB'!$BB$20</f>
        <v>185</v>
      </c>
      <c r="IE6" s="14">
        <f>'[1]D-PRB'!$BB$21</f>
        <v>388</v>
      </c>
      <c r="IF6" s="14">
        <f>'[1]D-PRB'!$BB$22</f>
        <v>198</v>
      </c>
      <c r="IG6" s="14">
        <f>'[1]D-PRB'!$BB$23</f>
        <v>0</v>
      </c>
      <c r="IH6" s="14">
        <f>'[1]D-PRB'!$BB$24</f>
        <v>0</v>
      </c>
      <c r="II6" s="14">
        <f>'[1]D-PRB'!$BB$25</f>
        <v>0</v>
      </c>
      <c r="IJ6" s="14">
        <f>'[1]D-PRB'!$BB$26</f>
        <v>0</v>
      </c>
      <c r="IK6" s="14">
        <f>'[1]D-PRB'!$BB$27</f>
        <v>0</v>
      </c>
      <c r="IL6" s="14">
        <f>'[1]D-PRB'!$BB$28</f>
        <v>0</v>
      </c>
      <c r="IM6" s="14">
        <f>'[1]D-PRB'!$BB$29</f>
        <v>0</v>
      </c>
      <c r="IN6" s="14">
        <f>'[1]D-PRB'!$BB$30</f>
        <v>0</v>
      </c>
      <c r="IO6" s="14">
        <f>'[1]D-PRB'!$BB$31</f>
        <v>0</v>
      </c>
      <c r="IP6" s="14">
        <f>'[1]D-PRB'!$BB$32</f>
        <v>0</v>
      </c>
      <c r="IQ6" s="14">
        <f>'[1]D-PRB'!$BB$33</f>
        <v>0</v>
      </c>
      <c r="IR6" s="14">
        <f>'[1]D-PRB'!$BB$34</f>
        <v>0</v>
      </c>
      <c r="IS6" s="14">
        <f>'[1]D-PRB'!$BB$35</f>
        <v>0</v>
      </c>
      <c r="IT6" s="14">
        <f>'[1]D-PRB'!$BB$36</f>
        <v>0</v>
      </c>
      <c r="IU6" s="14">
        <f>'[1]D-PRB'!$BB$37</f>
        <v>0</v>
      </c>
      <c r="IV6" s="14">
        <f>'[1]D-PRB'!$BB$38</f>
        <v>0</v>
      </c>
      <c r="IW6" s="14">
        <f>'[1]D-PRB'!$BB$39</f>
        <v>0</v>
      </c>
      <c r="IX6" s="14">
        <f>'[1]D-PRB'!$BB$40</f>
        <v>0</v>
      </c>
      <c r="IY6" s="14">
        <f>'[1]D-PRB'!$BB$41</f>
        <v>0</v>
      </c>
      <c r="IZ6" s="14">
        <f>'[1]D-PRB'!$BB$42</f>
        <v>0</v>
      </c>
      <c r="JA6" s="14">
        <f>'[1]D-PRB'!$BB$43</f>
        <v>0</v>
      </c>
      <c r="JB6" s="14">
        <f>'[1]D-PRB'!$BB$44</f>
        <v>0</v>
      </c>
      <c r="JC6" s="14">
        <f>'[1]D-PRB'!$BB$45</f>
        <v>0</v>
      </c>
      <c r="JD6" s="14">
        <f>'[1]D-PRB'!$BB$46</f>
        <v>0</v>
      </c>
      <c r="JE6" s="14">
        <f>'[1]D-PRB'!$BB$47</f>
        <v>0</v>
      </c>
      <c r="JF6" s="14">
        <f>'[1]D-PRB'!$BB$48</f>
        <v>0</v>
      </c>
      <c r="JG6" s="16">
        <f>SUM(HV6:JF6)</f>
        <v>14437.000305175781</v>
      </c>
      <c r="JH6" s="66"/>
      <c r="JI6" s="67"/>
      <c r="JJ6" s="67"/>
      <c r="JK6" s="67"/>
      <c r="JL6" s="67"/>
      <c r="JM6" s="67"/>
      <c r="JN6" s="67"/>
      <c r="JO6" s="67"/>
      <c r="JP6" s="67"/>
      <c r="JQ6" s="67"/>
      <c r="JR6" s="67"/>
      <c r="JS6" s="67"/>
      <c r="JT6" s="67"/>
      <c r="JU6" s="67"/>
      <c r="JV6" s="67"/>
      <c r="JW6" s="67"/>
      <c r="JX6" s="67"/>
      <c r="JY6" s="67"/>
      <c r="JZ6" s="67"/>
      <c r="KA6" s="67"/>
      <c r="KB6" s="67"/>
      <c r="KC6" s="67"/>
      <c r="KD6" s="67"/>
      <c r="KE6" s="67"/>
      <c r="KF6" s="67"/>
      <c r="KG6" s="67"/>
      <c r="KH6" s="67"/>
      <c r="KI6" s="67"/>
      <c r="KJ6" s="67"/>
      <c r="KK6" s="67"/>
      <c r="KL6" s="67"/>
      <c r="KM6" s="67"/>
      <c r="KN6" s="67"/>
      <c r="KO6" s="67"/>
      <c r="KP6" s="67"/>
      <c r="KQ6" s="67"/>
      <c r="KR6" s="67"/>
      <c r="KS6" s="68">
        <f>SUM(JH6:KR6)</f>
        <v>0</v>
      </c>
      <c r="KT6" s="66"/>
      <c r="KU6" s="67"/>
      <c r="KV6" s="67"/>
      <c r="KW6" s="67"/>
      <c r="KX6" s="67"/>
      <c r="KY6" s="67"/>
      <c r="KZ6" s="67"/>
      <c r="LA6" s="67"/>
      <c r="LB6" s="67"/>
      <c r="LC6" s="67"/>
      <c r="LD6" s="67"/>
      <c r="LE6" s="67"/>
      <c r="LF6" s="67"/>
      <c r="LG6" s="67"/>
      <c r="LH6" s="67"/>
      <c r="LI6" s="67"/>
      <c r="LJ6" s="67"/>
      <c r="LK6" s="67"/>
      <c r="LL6" s="67"/>
      <c r="LM6" s="67"/>
      <c r="LN6" s="67"/>
      <c r="LO6" s="67"/>
      <c r="LP6" s="67"/>
      <c r="LQ6" s="67"/>
      <c r="LR6" s="67"/>
      <c r="LS6" s="67"/>
      <c r="LT6" s="67"/>
      <c r="LU6" s="67"/>
      <c r="LV6" s="67"/>
      <c r="LW6" s="67"/>
      <c r="LX6" s="67"/>
      <c r="LY6" s="67"/>
      <c r="LZ6" s="67"/>
      <c r="MA6" s="67"/>
      <c r="MB6" s="67"/>
      <c r="MC6" s="67"/>
      <c r="MD6" s="67"/>
      <c r="ME6" s="68">
        <f>SUM(KT6:MD6)</f>
        <v>0</v>
      </c>
      <c r="MF6" s="66"/>
      <c r="MG6" s="67"/>
      <c r="MH6" s="67"/>
      <c r="MI6" s="67"/>
      <c r="MJ6" s="67"/>
      <c r="MK6" s="67"/>
      <c r="ML6" s="67"/>
      <c r="MM6" s="67"/>
      <c r="MN6" s="67"/>
      <c r="MO6" s="67"/>
      <c r="MP6" s="67"/>
      <c r="MQ6" s="67"/>
      <c r="MR6" s="67"/>
      <c r="MS6" s="67"/>
      <c r="MT6" s="67"/>
      <c r="MU6" s="67"/>
      <c r="MV6" s="67"/>
      <c r="MW6" s="67"/>
      <c r="MX6" s="67"/>
      <c r="MY6" s="67"/>
      <c r="MZ6" s="67"/>
      <c r="NA6" s="67"/>
      <c r="NB6" s="67"/>
      <c r="NC6" s="67"/>
      <c r="ND6" s="67"/>
      <c r="NE6" s="67"/>
      <c r="NF6" s="67"/>
      <c r="NG6" s="67"/>
      <c r="NH6" s="67"/>
      <c r="NI6" s="67"/>
      <c r="NJ6" s="67"/>
      <c r="NK6" s="67"/>
      <c r="NL6" s="67"/>
      <c r="NM6" s="67"/>
      <c r="NN6" s="67"/>
      <c r="NO6" s="67"/>
      <c r="NP6" s="67"/>
      <c r="NQ6" s="68">
        <f>SUM(MF6:NP6)</f>
        <v>0</v>
      </c>
      <c r="NR6" s="14">
        <f>'[1]D-PS'!$BB$12</f>
        <v>1301</v>
      </c>
      <c r="NS6" s="14">
        <f>'[1]D-PS'!$BB$13</f>
        <v>1045</v>
      </c>
      <c r="NT6" s="14">
        <f>'[1]D-PS'!$BB$14</f>
        <v>743</v>
      </c>
      <c r="NU6" s="14">
        <f>'[1]D-PS'!$BB$15</f>
        <v>530</v>
      </c>
      <c r="NV6" s="14">
        <f>'[1]D-PS'!$BB$16</f>
        <v>376.99996948242188</v>
      </c>
      <c r="NW6" s="14">
        <f>'[1]D-PS'!$BB$17</f>
        <v>260</v>
      </c>
      <c r="NX6" s="14">
        <f>'[1]D-PS'!$BB$18</f>
        <v>0</v>
      </c>
      <c r="NY6" s="14">
        <f>'[1]D-PS'!$BB$19</f>
        <v>130</v>
      </c>
      <c r="NZ6" s="14">
        <f>'[1]D-PS'!$BB$20</f>
        <v>156</v>
      </c>
      <c r="OA6" s="14">
        <f>'[1]D-PS'!$BB$21</f>
        <v>493</v>
      </c>
      <c r="OB6" s="14">
        <f>'[1]D-PS'!$BB$22</f>
        <v>85.999992370605469</v>
      </c>
      <c r="OC6" s="14">
        <f>'[1]D-PS'!$BB$23</f>
        <v>0</v>
      </c>
      <c r="OD6" s="14">
        <f>'[1]D-PS'!$BB$24</f>
        <v>0</v>
      </c>
      <c r="OE6" s="14">
        <f>'[1]D-PS'!$BB$25</f>
        <v>0</v>
      </c>
      <c r="OF6" s="14">
        <f>'[1]D-PS'!$BB$26</f>
        <v>0</v>
      </c>
      <c r="OG6" s="14">
        <f>'[1]D-PS'!$BB$27</f>
        <v>0</v>
      </c>
      <c r="OH6" s="14">
        <f>'[1]D-PS'!$BB$28</f>
        <v>0</v>
      </c>
      <c r="OI6" s="14">
        <f>'[1]D-PS'!$BB$29</f>
        <v>0</v>
      </c>
      <c r="OJ6" s="14">
        <f>'[1]D-PS'!$BB$30</f>
        <v>0</v>
      </c>
      <c r="OK6" s="14">
        <f>'[1]D-PS'!$BB$31</f>
        <v>0</v>
      </c>
      <c r="OL6" s="14">
        <f>'[1]D-PS'!$BB$32</f>
        <v>0</v>
      </c>
      <c r="OM6" s="14">
        <f>'[1]D-PS'!$BB$33</f>
        <v>0</v>
      </c>
      <c r="ON6" s="14">
        <f>'[1]D-PS'!$BB$34</f>
        <v>0</v>
      </c>
      <c r="OO6" s="14">
        <f>'[1]D-PS'!$BB$35</f>
        <v>0</v>
      </c>
      <c r="OP6" s="14">
        <f>'[1]D-PS'!$BB$36</f>
        <v>0</v>
      </c>
      <c r="OQ6" s="14">
        <f>'[1]D-PS'!$BB$37</f>
        <v>0</v>
      </c>
      <c r="OR6" s="14">
        <f>'[1]D-PS'!$BB$38</f>
        <v>0</v>
      </c>
      <c r="OS6" s="14">
        <f>'[1]D-PS'!$BB$39</f>
        <v>0</v>
      </c>
      <c r="OT6" s="14">
        <f>'[1]D-PS'!$BB$40</f>
        <v>0</v>
      </c>
      <c r="OU6" s="14">
        <f>'[1]D-PS'!$BB$41</f>
        <v>0</v>
      </c>
      <c r="OV6" s="14">
        <f>'[1]D-PS'!$BB$42</f>
        <v>0</v>
      </c>
      <c r="OW6" s="14">
        <f>'[1]D-PS'!$BB$43</f>
        <v>0</v>
      </c>
      <c r="OX6" s="14">
        <f>'[1]D-PS'!$BB$44</f>
        <v>0</v>
      </c>
      <c r="OY6" s="14">
        <f>'[1]D-PS'!$BB$45</f>
        <v>0</v>
      </c>
      <c r="OZ6" s="14">
        <f>'[1]D-PS'!$BB$46</f>
        <v>0</v>
      </c>
      <c r="PA6" s="14">
        <f>'[1]D-PS'!$BB$47</f>
        <v>0</v>
      </c>
      <c r="PB6" s="14">
        <f>'[1]D-PS'!$BB$48</f>
        <v>0</v>
      </c>
      <c r="PC6" s="16">
        <f>SUM(NR6:PB6)</f>
        <v>5120.9999618530273</v>
      </c>
    </row>
    <row r="7" spans="1:423" outlineLevel="1" x14ac:dyDescent="0.3">
      <c r="A7" s="76" t="s">
        <v>51</v>
      </c>
      <c r="B7" s="25">
        <f>'[2]CF PDP'!$AY$36</f>
        <v>18165</v>
      </c>
      <c r="C7" s="25">
        <f>'[2]CF PDP'!$AY$37</f>
        <v>11822</v>
      </c>
      <c r="D7" s="25">
        <f>'[2]CF PDP'!$AY$38</f>
        <v>7482</v>
      </c>
      <c r="E7" s="25">
        <f>'[2]CF PDP'!$AY$39</f>
        <v>4798</v>
      </c>
      <c r="F7" s="25">
        <f>'[2]CF PDP'!$AY$40</f>
        <v>3245</v>
      </c>
      <c r="G7" s="25">
        <f>'[2]CF PDP'!$AY$41</f>
        <v>2061</v>
      </c>
      <c r="H7" s="25">
        <f>'[2]CF PDP'!$AY$42</f>
        <v>0</v>
      </c>
      <c r="I7" s="25">
        <f>'[2]CF PDP'!$AY$43</f>
        <v>0</v>
      </c>
      <c r="J7" s="25">
        <f>'[2]CF PDP'!$AY$44</f>
        <v>0</v>
      </c>
      <c r="K7" s="25">
        <f>'[2]CF PDP'!$AY$45</f>
        <v>0</v>
      </c>
      <c r="L7" s="25">
        <f>'[2]CF PDP'!$AY$46</f>
        <v>0</v>
      </c>
      <c r="M7" s="25">
        <f>'[2]CF PDP'!$AY$47</f>
        <v>0</v>
      </c>
      <c r="N7" s="25">
        <f>'[2]CF PDP'!$AY$48</f>
        <v>0</v>
      </c>
      <c r="O7" s="25">
        <f>'[2]CF PDP'!$AY$49</f>
        <v>0</v>
      </c>
      <c r="P7" s="25">
        <f>'[2]CF PDP'!$AY$50</f>
        <v>0</v>
      </c>
      <c r="Q7" s="25">
        <f>'[2]CF PDP'!$AY$51</f>
        <v>0</v>
      </c>
      <c r="R7" s="25">
        <f>'[2]CF PDP'!$AY$52</f>
        <v>0</v>
      </c>
      <c r="S7" s="25">
        <f>'[2]CF PDP'!$AY$53</f>
        <v>0</v>
      </c>
      <c r="T7" s="25">
        <f>'[2]CF PDP'!$AY$54</f>
        <v>0</v>
      </c>
      <c r="U7" s="25">
        <f>'[2]CF PDP'!$AY$55</f>
        <v>0</v>
      </c>
      <c r="V7" s="25">
        <f>'[2]CF PDP'!$AY$56</f>
        <v>0</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47573</v>
      </c>
      <c r="AN7" s="27">
        <f>'[2]CF PNP'!$AY$36</f>
        <v>1832</v>
      </c>
      <c r="AO7" s="25">
        <f>'[2]CF PNP'!$AY$37</f>
        <v>1588</v>
      </c>
      <c r="AP7" s="25">
        <f>'[2]CF PNP'!$AY$38</f>
        <v>1706</v>
      </c>
      <c r="AQ7" s="25">
        <f>'[2]CF PNP'!$AY$39</f>
        <v>1273</v>
      </c>
      <c r="AR7" s="25">
        <f>'[2]CF PNP'!$AY$40</f>
        <v>911</v>
      </c>
      <c r="AS7" s="25">
        <f>'[2]CF PNP'!$AY$41</f>
        <v>684</v>
      </c>
      <c r="AT7" s="25">
        <f>'[2]CF PNP'!$AY$42</f>
        <v>1404</v>
      </c>
      <c r="AU7" s="25">
        <f>'[2]CF PNP'!$AY$43</f>
        <v>0</v>
      </c>
      <c r="AV7" s="25">
        <f>'[2]CF PNP'!$AY$44</f>
        <v>0</v>
      </c>
      <c r="AW7" s="25">
        <f>'[2]CF PNP'!$AY$45</f>
        <v>0</v>
      </c>
      <c r="AX7" s="25">
        <f>'[2]CF PNP'!$AY$46</f>
        <v>0</v>
      </c>
      <c r="AY7" s="25">
        <f>'[2]CF PNP'!$AY$47</f>
        <v>0</v>
      </c>
      <c r="AZ7" s="25">
        <f>'[2]CF PNP'!$AY$48</f>
        <v>0</v>
      </c>
      <c r="BA7" s="25">
        <f>'[2]CF PNP'!$AY$49</f>
        <v>0</v>
      </c>
      <c r="BB7" s="25">
        <f>'[2]CF PNP'!$AY$50</f>
        <v>0</v>
      </c>
      <c r="BC7" s="25">
        <f>'[2]CF PNP'!$AY$51</f>
        <v>0</v>
      </c>
      <c r="BD7" s="25">
        <f>'[2]CF PNP'!$AY$52</f>
        <v>0</v>
      </c>
      <c r="BE7" s="25">
        <f>'[2]CF PNP'!$AY$53</f>
        <v>0</v>
      </c>
      <c r="BF7" s="25">
        <f>'[2]CF PNP'!$AY$54</f>
        <v>0</v>
      </c>
      <c r="BG7" s="25">
        <f>'[2]CF PNP'!$AY$55</f>
        <v>0</v>
      </c>
      <c r="BH7" s="25">
        <f>'[2]CF PNP'!$AY$56</f>
        <v>0</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9398</v>
      </c>
      <c r="BZ7" s="27">
        <f>'[2]CF PND'!$AY$36</f>
        <v>4648</v>
      </c>
      <c r="CA7" s="25">
        <f>'[2]CF PND'!$AY$37</f>
        <v>4195</v>
      </c>
      <c r="CB7" s="25">
        <f>'[2]CF PND'!$AY$38</f>
        <v>3079</v>
      </c>
      <c r="CC7" s="25">
        <f>'[2]CF PND'!$AY$39</f>
        <v>3542</v>
      </c>
      <c r="CD7" s="25">
        <f>'[2]CF PND'!$AY$40</f>
        <v>11672</v>
      </c>
      <c r="CE7" s="25">
        <f>'[2]CF PND'!$AY$41</f>
        <v>16355</v>
      </c>
      <c r="CF7" s="25">
        <f>'[2]CF PND'!$AY$42</f>
        <v>17999</v>
      </c>
      <c r="CG7" s="25">
        <f>'[2]CF PND'!$AY$43</f>
        <v>13412</v>
      </c>
      <c r="CH7" s="25">
        <f>'[2]CF PND'!$AY$44</f>
        <v>8561</v>
      </c>
      <c r="CI7" s="25">
        <f>'[2]CF PND'!$AY$45</f>
        <v>0</v>
      </c>
      <c r="CJ7" s="25">
        <f>'[2]CF PND'!$AY$46</f>
        <v>0</v>
      </c>
      <c r="CK7" s="25">
        <f>'[2]CF PND'!$AY$47</f>
        <v>0</v>
      </c>
      <c r="CL7" s="25">
        <f>'[2]CF PND'!$AY$48</f>
        <v>0</v>
      </c>
      <c r="CM7" s="25">
        <f>'[2]CF PND'!$AY$49</f>
        <v>0</v>
      </c>
      <c r="CN7" s="25">
        <f>'[2]CF PND'!$AY$50</f>
        <v>0</v>
      </c>
      <c r="CO7" s="25">
        <f>'[2]CF PND'!$AY$51</f>
        <v>0</v>
      </c>
      <c r="CP7" s="25">
        <f>'[2]CF PND'!$AY$52</f>
        <v>0</v>
      </c>
      <c r="CQ7" s="25">
        <f>'[2]CF PND'!$AY$53</f>
        <v>0</v>
      </c>
      <c r="CR7" s="25">
        <f>'[2]CF PND'!$AY$54</f>
        <v>0</v>
      </c>
      <c r="CS7" s="25">
        <f>'[2]CF PND'!$AY$55</f>
        <v>0</v>
      </c>
      <c r="CT7" s="25">
        <f>'[2]CF PND'!$AY$56</f>
        <v>0</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83463</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3713</v>
      </c>
      <c r="HW7" s="25">
        <f>'[2]CF PRB'!$AY$37</f>
        <v>2743</v>
      </c>
      <c r="HX7" s="25">
        <f>'[2]CF PRB'!$AY$38</f>
        <v>2064</v>
      </c>
      <c r="HY7" s="25">
        <f>'[2]CF PRB'!$AY$39</f>
        <v>1778</v>
      </c>
      <c r="HZ7" s="25">
        <f>'[2]CF PRB'!$AY$40</f>
        <v>1346</v>
      </c>
      <c r="IA7" s="25">
        <f>'[2]CF PRB'!$AY$41</f>
        <v>1015</v>
      </c>
      <c r="IB7" s="25">
        <f>'[2]CF PRB'!$AY$42</f>
        <v>695</v>
      </c>
      <c r="IC7" s="25">
        <f>'[2]CF PRB'!$AY$43</f>
        <v>313</v>
      </c>
      <c r="ID7" s="25">
        <f>'[2]CF PRB'!$AY$44</f>
        <v>179</v>
      </c>
      <c r="IE7" s="25">
        <f>'[2]CF PRB'!$AY$45</f>
        <v>33466</v>
      </c>
      <c r="IF7" s="25">
        <f>'[2]CF PRB'!$AY$46</f>
        <v>0</v>
      </c>
      <c r="IG7" s="25">
        <f>'[2]CF PRB'!$AY$47</f>
        <v>0</v>
      </c>
      <c r="IH7" s="25">
        <f>'[2]CF PRB'!$AY$48</f>
        <v>0</v>
      </c>
      <c r="II7" s="25">
        <f>'[2]CF PRB'!$AY$49</f>
        <v>0</v>
      </c>
      <c r="IJ7" s="25">
        <f>'[2]CF PRB'!$AY$50</f>
        <v>0</v>
      </c>
      <c r="IK7" s="25">
        <f>'[2]CF PRB'!$AY$51</f>
        <v>0</v>
      </c>
      <c r="IL7" s="25">
        <f>'[2]CF PRB'!$AY$52</f>
        <v>0</v>
      </c>
      <c r="IM7" s="25">
        <f>'[2]CF PRB'!$AY$53</f>
        <v>0</v>
      </c>
      <c r="IN7" s="25">
        <f>'[2]CF PRB'!$AY$54</f>
        <v>0</v>
      </c>
      <c r="IO7" s="25">
        <f>'[2]CF PRB'!$AY$55</f>
        <v>0</v>
      </c>
      <c r="IP7" s="25">
        <f>'[2]CF PRB'!$AY$56</f>
        <v>0</v>
      </c>
      <c r="IQ7" s="25">
        <f>'[2]CF PRB'!$AY$57</f>
        <v>0</v>
      </c>
      <c r="IR7" s="25">
        <f>'[2]CF PRB'!$AY$58</f>
        <v>0</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47312</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1300</v>
      </c>
      <c r="NS7" s="25">
        <f>'[2]CF PS'!$AY$37</f>
        <v>1046</v>
      </c>
      <c r="NT7" s="25">
        <f>'[2]CF PS'!$AY$38</f>
        <v>743</v>
      </c>
      <c r="NU7" s="25">
        <f>'[2]CF PS'!$AY$39</f>
        <v>528</v>
      </c>
      <c r="NV7" s="25">
        <f>'[2]CF PS'!$AY$40</f>
        <v>377</v>
      </c>
      <c r="NW7" s="25">
        <f>'[2]CF PS'!$AY$41</f>
        <v>259</v>
      </c>
      <c r="NX7" s="25">
        <f>'[2]CF PS'!$AY$42</f>
        <v>0</v>
      </c>
      <c r="NY7" s="25">
        <f>'[2]CF PS'!$AY$43</f>
        <v>130</v>
      </c>
      <c r="NZ7" s="25">
        <f>'[2]CF PS'!$AY$44</f>
        <v>144</v>
      </c>
      <c r="OA7" s="25">
        <f>'[2]CF PS'!$AY$45</f>
        <v>494</v>
      </c>
      <c r="OB7" s="25">
        <f>'[2]CF PS'!$AY$46</f>
        <v>0</v>
      </c>
      <c r="OC7" s="25">
        <f>'[2]CF PS'!$AY$47</f>
        <v>0</v>
      </c>
      <c r="OD7" s="25">
        <f>'[2]CF PS'!$AY$48</f>
        <v>0</v>
      </c>
      <c r="OE7" s="25">
        <f>'[2]CF PS'!$AY$49</f>
        <v>0</v>
      </c>
      <c r="OF7" s="25">
        <f>'[2]CF PS'!$AY$50</f>
        <v>0</v>
      </c>
      <c r="OG7" s="25">
        <f>'[2]CF PS'!$AY$51</f>
        <v>0</v>
      </c>
      <c r="OH7" s="25">
        <f>'[2]CF PS'!$AY$52</f>
        <v>0</v>
      </c>
      <c r="OI7" s="25">
        <f>'[2]CF PS'!$AY$53</f>
        <v>0</v>
      </c>
      <c r="OJ7" s="25">
        <f>'[2]CF PS'!$AY$54</f>
        <v>0</v>
      </c>
      <c r="OK7" s="25">
        <f>'[2]CF PS'!$AY$55</f>
        <v>0</v>
      </c>
      <c r="OL7" s="25">
        <f>'[2]CF PS'!$AY$56</f>
        <v>0</v>
      </c>
      <c r="OM7" s="25">
        <f>'[2]CF PS'!$AY$57</f>
        <v>0</v>
      </c>
      <c r="ON7" s="25">
        <f>'[2]CF PS'!$AY$58</f>
        <v>0</v>
      </c>
      <c r="OO7" s="25">
        <f>'[2]CF PS'!$AY$59</f>
        <v>0</v>
      </c>
      <c r="OP7" s="25">
        <f>'[2]CF PS'!$AY$60</f>
        <v>0</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5021</v>
      </c>
    </row>
    <row r="8" spans="1:423" ht="16.5" thickBot="1" x14ac:dyDescent="0.35">
      <c r="A8" s="47" t="s">
        <v>6</v>
      </c>
      <c r="B8" s="40">
        <f>IF(AND(B6&lt;&gt;0,B7&lt;&gt;0),(B6-B7)/B7,IF(AND(B6=0,B7=0),"",IF(AND(B6="",B7=""),"",IF(AND(B6=0,B7=""),"", IF(AND(B6="",B7=0),"",1)))))</f>
        <v>4.3008532892925959E-5</v>
      </c>
      <c r="C8" s="40">
        <f t="shared" ref="C8" si="123">IF(AND(C6&lt;&gt;0,C7&lt;&gt;0),(C6-C7)/C7,IF(AND(C6=0,C7=0),"",IF(AND(C6="",C7=""),"",IF(AND(C6=0,C7=""),"", IF(AND(C6="",C7=0),"",1)))))</f>
        <v>7.6327503806462521E-5</v>
      </c>
      <c r="D8" s="40">
        <f t="shared" ref="D8" si="124">IF(AND(D6&lt;&gt;0,D7&lt;&gt;0),(D6-D7)/D7,IF(AND(D6=0,D7=0),"",IF(AND(D6="",D7=""),"",IF(AND(D6=0,D7=""),"", IF(AND(D6="",D7=0),"",1)))))</f>
        <v>1.70004364641807E-4</v>
      </c>
      <c r="E8" s="40">
        <f t="shared" ref="E8" si="125">IF(AND(E6&lt;&gt;0,E7&lt;&gt;0),(E6-E7)/E7,IF(AND(E6=0,E7=0),"",IF(AND(E6="",E7=""),"",IF(AND(E6=0,E7=""),"", IF(AND(E6="",E7=0),"",1)))))</f>
        <v>1.0421008753647353E-4</v>
      </c>
      <c r="F8" s="40">
        <f t="shared" ref="F8" si="126">IF(AND(F6&lt;&gt;0,F7&lt;&gt;0),(F6-F7)/F7,IF(AND(F6=0,F7=0),"",IF(AND(F6="",F7=""),"",IF(AND(F6=0,F7=""),"", IF(AND(F6="",F7=0),"",1)))))</f>
        <v>3.4352730161787363E-4</v>
      </c>
      <c r="G8" s="40">
        <f t="shared" ref="G8" si="127">IF(AND(G6&lt;&gt;0,G7&lt;&gt;0),(G6-G7)/G7,IF(AND(G6=0,G7=0),"",IF(AND(G6="",G7=""),"",IF(AND(G6=0,G7=""),"", IF(AND(G6="",G7=0),"",1)))))</f>
        <v>-7.6168084364386225E-5</v>
      </c>
      <c r="H8" s="40">
        <f t="shared" ref="H8" si="128">IF(AND(H6&lt;&gt;0,H7&lt;&gt;0),(H6-H7)/H7,IF(AND(H6=0,H7=0),"",IF(AND(H6="",H7=""),"",IF(AND(H6=0,H7=""),"", IF(AND(H6="",H7=0),"",1)))))</f>
        <v>1</v>
      </c>
      <c r="I8" s="40">
        <f t="shared" ref="I8" si="129">IF(AND(I6&lt;&gt;0,I7&lt;&gt;0),(I6-I7)/I7,IF(AND(I6=0,I7=0),"",IF(AND(I6="",I7=""),"",IF(AND(I6=0,I7=""),"", IF(AND(I6="",I7=0),"",1)))))</f>
        <v>1</v>
      </c>
      <c r="J8" s="40">
        <f t="shared" ref="J8" si="130">IF(AND(J6&lt;&gt;0,J7&lt;&gt;0),(J6-J7)/J7,IF(AND(J6=0,J7=0),"",IF(AND(J6="",J7=""),"",IF(AND(J6=0,J7=""),"", IF(AND(J6="",J7=0),"",1)))))</f>
        <v>1</v>
      </c>
      <c r="K8" s="40">
        <f t="shared" ref="K8" si="131">IF(AND(K6&lt;&gt;0,K7&lt;&gt;0),(K6-K7)/K7,IF(AND(K6=0,K7=0),"",IF(AND(K6="",K7=""),"",IF(AND(K6=0,K7=""),"", IF(AND(K6="",K7=0),"",1)))))</f>
        <v>1</v>
      </c>
      <c r="L8" s="40">
        <f t="shared" ref="L8" si="132">IF(AND(L6&lt;&gt;0,L7&lt;&gt;0),(L6-L7)/L7,IF(AND(L6=0,L7=0),"",IF(AND(L6="",L7=""),"",IF(AND(L6=0,L7=""),"", IF(AND(L6="",L7=0),"",1)))))</f>
        <v>1</v>
      </c>
      <c r="M8" s="40" t="str">
        <f t="shared" ref="M8" si="133">IF(AND(M6&lt;&gt;0,M7&lt;&gt;0),(M6-M7)/M7,IF(AND(M6=0,M7=0),"",IF(AND(M6="",M7=""),"",IF(AND(M6=0,M7=""),"", IF(AND(M6="",M7=0),"",1)))))</f>
        <v/>
      </c>
      <c r="N8" s="40" t="str">
        <f t="shared" ref="N8" si="134">IF(AND(N6&lt;&gt;0,N7&lt;&gt;0),(N6-N7)/N7,IF(AND(N6=0,N7=0),"",IF(AND(N6="",N7=""),"",IF(AND(N6=0,N7=""),"", IF(AND(N6="",N7=0),"",1)))))</f>
        <v/>
      </c>
      <c r="O8" s="40" t="str">
        <f t="shared" ref="O8" si="135">IF(AND(O6&lt;&gt;0,O7&lt;&gt;0),(O6-O7)/O7,IF(AND(O6=0,O7=0),"",IF(AND(O6="",O7=""),"",IF(AND(O6=0,O7=""),"", IF(AND(O6="",O7=0),"",1)))))</f>
        <v/>
      </c>
      <c r="P8" s="40" t="str">
        <f t="shared" ref="P8" si="136">IF(AND(P6&lt;&gt;0,P7&lt;&gt;0),(P6-P7)/P7,IF(AND(P6=0,P7=0),"",IF(AND(P6="",P7=""),"",IF(AND(P6=0,P7=""),"", IF(AND(P6="",P7=0),"",1)))))</f>
        <v/>
      </c>
      <c r="Q8" s="40" t="str">
        <f t="shared" ref="Q8" si="137">IF(AND(Q6&lt;&gt;0,Q7&lt;&gt;0),(Q6-Q7)/Q7,IF(AND(Q6=0,Q7=0),"",IF(AND(Q6="",Q7=""),"",IF(AND(Q6=0,Q7=""),"", IF(AND(Q6="",Q7=0),"",1)))))</f>
        <v/>
      </c>
      <c r="R8" s="40" t="str">
        <f t="shared" ref="R8" si="138">IF(AND(R6&lt;&gt;0,R7&lt;&gt;0),(R6-R7)/R7,IF(AND(R6=0,R7=0),"",IF(AND(R6="",R7=""),"",IF(AND(R6=0,R7=""),"", IF(AND(R6="",R7=0),"",1)))))</f>
        <v/>
      </c>
      <c r="S8" s="40" t="str">
        <f t="shared" ref="S8" si="139">IF(AND(S6&lt;&gt;0,S7&lt;&gt;0),(S6-S7)/S7,IF(AND(S6=0,S7=0),"",IF(AND(S6="",S7=""),"",IF(AND(S6=0,S7=""),"", IF(AND(S6="",S7=0),"",1)))))</f>
        <v/>
      </c>
      <c r="T8" s="40" t="str">
        <f t="shared" ref="T8" si="140">IF(AND(T6&lt;&gt;0,T7&lt;&gt;0),(T6-T7)/T7,IF(AND(T6=0,T7=0),"",IF(AND(T6="",T7=""),"",IF(AND(T6=0,T7=""),"", IF(AND(T6="",T7=0),"",1)))))</f>
        <v/>
      </c>
      <c r="U8" s="40" t="str">
        <f t="shared" ref="U8" si="141">IF(AND(U6&lt;&gt;0,U7&lt;&gt;0),(U6-U7)/U7,IF(AND(U6=0,U7=0),"",IF(AND(U6="",U7=""),"",IF(AND(U6=0,U7=""),"", IF(AND(U6="",U7=0),"",1)))))</f>
        <v/>
      </c>
      <c r="V8" s="40" t="str">
        <f t="shared" ref="V8" si="142">IF(AND(V6&lt;&gt;0,V7&lt;&gt;0),(V6-V7)/V7,IF(AND(V6=0,V7=0),"",IF(AND(V6="",V7=""),"",IF(AND(V6=0,V7=""),"", IF(AND(V6="",V7=0),"",1)))))</f>
        <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4.6591550825302364E-2</v>
      </c>
      <c r="AN8" s="39">
        <f t="shared" ref="AN8" si="146">IF(AND(AN6&lt;&gt;0,AN7&lt;&gt;0),(AN6-AN7)/AN7,IF(AND(AN6=0,AN7=0),"",IF(AND(AN6="",AN7=""),"",IF(AND(AN6=0,AN7=""),"", IF(AND(AN6="",AN7=0),"",1)))))</f>
        <v>3.9966033535753274E-4</v>
      </c>
      <c r="AO8" s="40">
        <f t="shared" ref="AO8" si="147">IF(AND(AO6&lt;&gt;0,AO7&lt;&gt;0),(AO6-AO7)/AO7,IF(AND(AO6=0,AO7=0),"",IF(AND(AO6="",AO7=""),"",IF(AND(AO6=0,AO7=""),"", IF(AND(AO6="",AO7=0),"",1)))))</f>
        <v>-6.3879363783060454E-5</v>
      </c>
      <c r="AP8" s="40">
        <f t="shared" ref="AP8" si="148">IF(AND(AP6&lt;&gt;0,AP7&lt;&gt;0),(AP6-AP7)/AP7,IF(AND(AP6=0,AP7=0),"",IF(AND(AP6="",AP7=""),"",IF(AND(AP6=0,AP7=""),"", IF(AND(AP6="",AP7=0),"",1)))))</f>
        <v>-4.0413430539273156E-4</v>
      </c>
      <c r="AQ8" s="40">
        <f t="shared" ref="AQ8" si="149">IF(AND(AQ6&lt;&gt;0,AQ7&lt;&gt;0),(AQ6-AQ7)/AQ7,IF(AND(AQ6=0,AQ7=0),"",IF(AND(AQ6="",AQ7=""),"",IF(AND(AQ6=0,AQ7=""),"", IF(AND(AQ6="",AQ7=0),"",1)))))</f>
        <v>4.2921187647289869E-4</v>
      </c>
      <c r="AR8" s="40">
        <f t="shared" ref="AR8" si="150">IF(AND(AR6&lt;&gt;0,AR7&lt;&gt;0),(AR6-AR7)/AR7,IF(AND(AR6=0,AR7=0),"",IF(AND(AR6="",AR7=""),"",IF(AND(AR6=0,AR7=""),"", IF(AND(AR6="",AR7=0),"",1)))))</f>
        <v>-3.4704951632821075E-4</v>
      </c>
      <c r="AS8" s="40">
        <f t="shared" ref="AS8" si="151">IF(AND(AS6&lt;&gt;0,AS7&lt;&gt;0),(AS6-AS7)/AS7,IF(AND(AS6=0,AS7=0),"",IF(AND(AS6="",AS7=""),"",IF(AND(AS6=0,AS7=""),"", IF(AND(AS6="",AS7=0),"",1)))))</f>
        <v>1.0219819364491959E-3</v>
      </c>
      <c r="AT8" s="40">
        <f t="shared" ref="AT8" si="152">IF(AND(AT6&lt;&gt;0,AT7&lt;&gt;0),(AT6-AT7)/AT7,IF(AND(AT6=0,AT7=0),"",IF(AND(AT6="",AT7=""),"",IF(AND(AT6=0,AT7=""),"", IF(AND(AT6="",AT7=0),"",1)))))</f>
        <v>-0.69925461467514693</v>
      </c>
      <c r="AU8" s="40">
        <f t="shared" ref="AU8" si="153">IF(AND(AU6&lt;&gt;0,AU7&lt;&gt;0),(AU6-AU7)/AU7,IF(AND(AU6=0,AU7=0),"",IF(AND(AU6="",AU7=""),"",IF(AND(AU6=0,AU7=""),"", IF(AND(AU6="",AU7=0),"",1)))))</f>
        <v>1</v>
      </c>
      <c r="AV8" s="40">
        <f t="shared" ref="AV8" si="154">IF(AND(AV6&lt;&gt;0,AV7&lt;&gt;0),(AV6-AV7)/AV7,IF(AND(AV6=0,AV7=0),"",IF(AND(AV6="",AV7=""),"",IF(AND(AV6=0,AV7=""),"", IF(AND(AV6="",AV7=0),"",1)))))</f>
        <v>1</v>
      </c>
      <c r="AW8" s="40" t="str">
        <f t="shared" ref="AW8" si="155">IF(AND(AW6&lt;&gt;0,AW7&lt;&gt;0),(AW6-AW7)/AW7,IF(AND(AW6=0,AW7=0),"",IF(AND(AW6="",AW7=""),"",IF(AND(AW6=0,AW7=""),"", IF(AND(AW6="",AW7=0),"",1)))))</f>
        <v/>
      </c>
      <c r="AX8" s="40" t="str">
        <f t="shared" ref="AX8" si="156">IF(AND(AX6&lt;&gt;0,AX7&lt;&gt;0),(AX6-AX7)/AX7,IF(AND(AX6=0,AX7=0),"",IF(AND(AX6="",AX7=""),"",IF(AND(AX6=0,AX7=""),"", IF(AND(AX6="",AX7=0),"",1)))))</f>
        <v/>
      </c>
      <c r="AY8" s="40" t="str">
        <f t="shared" ref="AY8" si="157">IF(AND(AY6&lt;&gt;0,AY7&lt;&gt;0),(AY6-AY7)/AY7,IF(AND(AY6=0,AY7=0),"",IF(AND(AY6="",AY7=""),"",IF(AND(AY6=0,AY7=""),"", IF(AND(AY6="",AY7=0),"",1)))))</f>
        <v/>
      </c>
      <c r="AZ8" s="40" t="str">
        <f t="shared" ref="AZ8" si="158">IF(AND(AZ6&lt;&gt;0,AZ7&lt;&gt;0),(AZ6-AZ7)/AZ7,IF(AND(AZ6=0,AZ7=0),"",IF(AND(AZ6="",AZ7=""),"",IF(AND(AZ6=0,AZ7=""),"", IF(AND(AZ6="",AZ7=0),"",1)))))</f>
        <v/>
      </c>
      <c r="BA8" s="40" t="str">
        <f t="shared" ref="BA8" si="159">IF(AND(BA6&lt;&gt;0,BA7&lt;&gt;0),(BA6-BA7)/BA7,IF(AND(BA6=0,BA7=0),"",IF(AND(BA6="",BA7=""),"",IF(AND(BA6=0,BA7=""),"", IF(AND(BA6="",BA7=0),"",1)))))</f>
        <v/>
      </c>
      <c r="BB8" s="40" t="str">
        <f t="shared" ref="BB8" si="160">IF(AND(BB6&lt;&gt;0,BB7&lt;&gt;0),(BB6-BB7)/BB7,IF(AND(BB6=0,BB7=0),"",IF(AND(BB6="",BB7=""),"",IF(AND(BB6=0,BB7=""),"", IF(AND(BB6="",BB7=0),"",1)))))</f>
        <v/>
      </c>
      <c r="BC8" s="40" t="str">
        <f t="shared" ref="BC8" si="161">IF(AND(BC6&lt;&gt;0,BC7&lt;&gt;0),(BC6-BC7)/BC7,IF(AND(BC6=0,BC7=0),"",IF(AND(BC6="",BC7=""),"",IF(AND(BC6=0,BC7=""),"", IF(AND(BC6="",BC7=0),"",1)))))</f>
        <v/>
      </c>
      <c r="BD8" s="40" t="str">
        <f t="shared" ref="BD8" si="162">IF(AND(BD6&lt;&gt;0,BD7&lt;&gt;0),(BD6-BD7)/BD7,IF(AND(BD6=0,BD7=0),"",IF(AND(BD6="",BD7=""),"",IF(AND(BD6=0,BD7=""),"", IF(AND(BD6="",BD7=0),"",1)))))</f>
        <v/>
      </c>
      <c r="BE8" s="40" t="str">
        <f t="shared" ref="BE8" si="163">IF(AND(BE6&lt;&gt;0,BE7&lt;&gt;0),(BE6-BE7)/BE7,IF(AND(BE6=0,BE7=0),"",IF(AND(BE6="",BE7=""),"",IF(AND(BE6=0,BE7=""),"", IF(AND(BE6="",BE7=0),"",1)))))</f>
        <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-7.222049970478675E-2</v>
      </c>
      <c r="BZ8" s="39">
        <f t="shared" ref="BZ8" si="170">IF(AND(BZ6&lt;&gt;0,BZ7&lt;&gt;0),(BZ6-BZ7)/BZ7,IF(AND(BZ6=0,BZ7=0),"",IF(AND(BZ6="",BZ7=""),"",IF(AND(BZ6=0,BZ7=""),"", IF(AND(BZ6="",BZ7=0),"",1)))))</f>
        <v>1.2763806341437178E-4</v>
      </c>
      <c r="CA8" s="40">
        <f t="shared" ref="CA8" si="171">IF(AND(CA6&lt;&gt;0,CA7&lt;&gt;0),(CA6-CA7)/CA7,IF(AND(CA6=0,CA7=0),"",IF(AND(CA6="",CA7=""),"",IF(AND(CA6=0,CA7=""),"", IF(AND(CA6="",CA7=0),"",1)))))</f>
        <v>1.373472884386174E-4</v>
      </c>
      <c r="CB8" s="40">
        <f t="shared" ref="CB8" si="172">IF(AND(CB6&lt;&gt;0,CB7&lt;&gt;0),(CB6-CB7)/CB7,IF(AND(CB6=0,CB7=0),"",IF(AND(CB6="",CB7=""),"",IF(AND(CB6=0,CB7=""),"", IF(AND(CB6="",CB7=0),"",1)))))</f>
        <v>1.9704106954368303E-4</v>
      </c>
      <c r="CC8" s="40">
        <f t="shared" ref="CC8" si="173">IF(AND(CC6&lt;&gt;0,CC7&lt;&gt;0),(CC6-CC7)/CC7,IF(AND(CC6=0,CC7=0),"",IF(AND(CC6="",CC7=""),"",IF(AND(CC6=0,CC7=""),"", IF(AND(CC6="",CC7=0),"",1)))))</f>
        <v>-1.2551667931253528E-4</v>
      </c>
      <c r="CD8" s="40">
        <f t="shared" ref="CD8" si="174">IF(AND(CD6&lt;&gt;0,CD7&lt;&gt;0),(CD6-CD7)/CD7,IF(AND(CD6=0,CD7=0),"",IF(AND(CD6="",CD7=""),"",IF(AND(CD6=0,CD7=""),"", IF(AND(CD6="",CD7=0),"",1)))))</f>
        <v>6.6933687457162435E-5</v>
      </c>
      <c r="CE8" s="40">
        <f t="shared" ref="CE8" si="175">IF(AND(CE6&lt;&gt;0,CE7&lt;&gt;0),(CE6-CE7)/CE7,IF(AND(CE6=0,CE7=0),"",IF(AND(CE6="",CE7=""),"",IF(AND(CE6=0,CE7=""),"", IF(AND(CE6="",CE7=0),"",1)))))</f>
        <v>5.5112637572607763E-5</v>
      </c>
      <c r="CF8" s="40">
        <f t="shared" ref="CF8" si="176">IF(AND(CF6&lt;&gt;0,CF7&lt;&gt;0),(CF6-CF7)/CF7,IF(AND(CF6=0,CF7=0),"",IF(AND(CF6="",CF7=""),"",IF(AND(CF6=0,CF7=""),"", IF(AND(CF6="",CF7=0),"",1)))))</f>
        <v>1.0580014861936775E-4</v>
      </c>
      <c r="CG8" s="40">
        <f t="shared" ref="CG8" si="177">IF(AND(CG6&lt;&gt;0,CG7&lt;&gt;0),(CG6-CG7)/CG7,IF(AND(CG6=0,CG7=0),"",IF(AND(CG6="",CG7=""),"",IF(AND(CG6=0,CG7=""),"", IF(AND(CG6="",CG7=0),"",1)))))</f>
        <v>-4.5525637022815389E-2</v>
      </c>
      <c r="CH8" s="40">
        <f t="shared" ref="CH8" si="178">IF(AND(CH6&lt;&gt;0,CH7&lt;&gt;0),(CH6-CH7)/CH7,IF(AND(CH6=0,CH7=0),"",IF(AND(CH6="",CH7=""),"",IF(AND(CH6=0,CH7=""),"", IF(AND(CH6="",CH7=0),"",1)))))</f>
        <v>5.1273580773274152E-2</v>
      </c>
      <c r="CI8" s="40">
        <f t="shared" ref="CI8" si="179">IF(AND(CI6&lt;&gt;0,CI7&lt;&gt;0),(CI6-CI7)/CI7,IF(AND(CI6=0,CI7=0),"",IF(AND(CI6="",CI7=""),"",IF(AND(CI6=0,CI7=""),"", IF(AND(CI6="",CI7=0),"",1)))))</f>
        <v>1</v>
      </c>
      <c r="CJ8" s="40">
        <f t="shared" ref="CJ8" si="180">IF(AND(CJ6&lt;&gt;0,CJ7&lt;&gt;0),(CJ6-CJ7)/CJ7,IF(AND(CJ6=0,CJ7=0),"",IF(AND(CJ6="",CJ7=""),"",IF(AND(CJ6=0,CJ7=""),"", IF(AND(CJ6="",CJ7=0),"",1)))))</f>
        <v>1</v>
      </c>
      <c r="CK8" s="40" t="str">
        <f t="shared" ref="CK8" si="181">IF(AND(CK6&lt;&gt;0,CK7&lt;&gt;0),(CK6-CK7)/CK7,IF(AND(CK6=0,CK7=0),"",IF(AND(CK6="",CK7=""),"",IF(AND(CK6=0,CK7=""),"", IF(AND(CK6="",CK7=0),"",1)))))</f>
        <v/>
      </c>
      <c r="CL8" s="40" t="str">
        <f t="shared" ref="CL8" si="182">IF(AND(CL6&lt;&gt;0,CL7&lt;&gt;0),(CL6-CL7)/CL7,IF(AND(CL6=0,CL7=0),"",IF(AND(CL6="",CL7=""),"",IF(AND(CL6=0,CL7=""),"", IF(AND(CL6="",CL7=0),"",1)))))</f>
        <v/>
      </c>
      <c r="CM8" s="40" t="str">
        <f t="shared" ref="CM8" si="183">IF(AND(CM6&lt;&gt;0,CM7&lt;&gt;0),(CM6-CM7)/CM7,IF(AND(CM6=0,CM7=0),"",IF(AND(CM6="",CM7=""),"",IF(AND(CM6=0,CM7=""),"", IF(AND(CM6="",CM7=0),"",1)))))</f>
        <v/>
      </c>
      <c r="CN8" s="40" t="str">
        <f t="shared" ref="CN8" si="184">IF(AND(CN6&lt;&gt;0,CN7&lt;&gt;0),(CN6-CN7)/CN7,IF(AND(CN6=0,CN7=0),"",IF(AND(CN6="",CN7=""),"",IF(AND(CN6=0,CN7=""),"", IF(AND(CN6="",CN7=0),"",1)))))</f>
        <v/>
      </c>
      <c r="CO8" s="40" t="str">
        <f t="shared" ref="CO8" si="185">IF(AND(CO6&lt;&gt;0,CO7&lt;&gt;0),(CO6-CO7)/CO7,IF(AND(CO6=0,CO7=0),"",IF(AND(CO6="",CO7=""),"",IF(AND(CO6=0,CO7=""),"", IF(AND(CO6="",CO7=0),"",1)))))</f>
        <v/>
      </c>
      <c r="CP8" s="40" t="str">
        <f t="shared" ref="CP8" si="186">IF(AND(CP6&lt;&gt;0,CP7&lt;&gt;0),(CP6-CP7)/CP7,IF(AND(CP6=0,CP7=0),"",IF(AND(CP6="",CP7=""),"",IF(AND(CP6=0,CP7=""),"", IF(AND(CP6="",CP7=0),"",1)))))</f>
        <v/>
      </c>
      <c r="CQ8" s="40" t="str">
        <f t="shared" ref="CQ8" si="187">IF(AND(CQ6&lt;&gt;0,CQ7&lt;&gt;0),(CQ6-CQ7)/CQ7,IF(AND(CQ6=0,CQ7=0),"",IF(AND(CQ6="",CQ7=""),"",IF(AND(CQ6=0,CQ7=""),"", IF(AND(CQ6="",CQ7=0),"",1)))))</f>
        <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f t="shared" ref="DK8:HU8" si="193">IF(AND(DK6&lt;&gt;0,DK7&lt;&gt;0),(DK6-DK7)/DK7,IF(AND(DK6=0,DK7=0),"",IF(AND(DK6="",DK7=""),"",IF(AND(DK6=0,DK7=""),"", IF(AND(DK6="",DK7=0),"",1)))))</f>
        <v>0.54329704971252235</v>
      </c>
      <c r="DL8" s="72" t="str">
        <f t="shared" si="193"/>
        <v/>
      </c>
      <c r="DM8" s="73" t="str">
        <f t="shared" si="193"/>
        <v/>
      </c>
      <c r="DN8" s="73" t="str">
        <f t="shared" si="193"/>
        <v/>
      </c>
      <c r="DO8" s="73" t="str">
        <f t="shared" si="193"/>
        <v/>
      </c>
      <c r="DP8" s="73" t="str">
        <f t="shared" si="193"/>
        <v/>
      </c>
      <c r="DQ8" s="73" t="str">
        <f t="shared" si="193"/>
        <v/>
      </c>
      <c r="DR8" s="73" t="str">
        <f t="shared" si="193"/>
        <v/>
      </c>
      <c r="DS8" s="73" t="str">
        <f t="shared" si="193"/>
        <v/>
      </c>
      <c r="DT8" s="73" t="str">
        <f t="shared" si="193"/>
        <v/>
      </c>
      <c r="DU8" s="73" t="str">
        <f t="shared" si="193"/>
        <v/>
      </c>
      <c r="DV8" s="73" t="str">
        <f t="shared" si="193"/>
        <v/>
      </c>
      <c r="DW8" s="73" t="str">
        <f t="shared" si="193"/>
        <v/>
      </c>
      <c r="DX8" s="73" t="str">
        <f t="shared" si="193"/>
        <v/>
      </c>
      <c r="DY8" s="73" t="str">
        <f t="shared" si="193"/>
        <v/>
      </c>
      <c r="DZ8" s="73" t="str">
        <f t="shared" si="193"/>
        <v/>
      </c>
      <c r="EA8" s="73" t="str">
        <f t="shared" si="193"/>
        <v/>
      </c>
      <c r="EB8" s="73" t="str">
        <f t="shared" si="193"/>
        <v/>
      </c>
      <c r="EC8" s="73" t="str">
        <f t="shared" si="193"/>
        <v/>
      </c>
      <c r="ED8" s="73" t="str">
        <f t="shared" si="193"/>
        <v/>
      </c>
      <c r="EE8" s="73" t="str">
        <f t="shared" si="193"/>
        <v/>
      </c>
      <c r="EF8" s="73" t="str">
        <f t="shared" ref="EF8:EY8" si="194">IF(AND(EF6&lt;&gt;0,EF7&lt;&gt;0),(EF6-EF7)/EF7,IF(AND(EF6=0,EF7=0),"",IF(AND(EF6="",EF7=""),"",IF(AND(EF6=0,EF7=""),"", IF(AND(EF6="",EF7=0),"",1)))))</f>
        <v/>
      </c>
      <c r="EG8" s="73" t="str">
        <f t="shared" si="194"/>
        <v/>
      </c>
      <c r="EH8" s="73" t="str">
        <f t="shared" si="194"/>
        <v/>
      </c>
      <c r="EI8" s="73" t="str">
        <f t="shared" ref="EI8" si="195">IF(AND(EI6&lt;&gt;0,EI7&lt;&gt;0),(EI6-EI7)/EI7,IF(AND(EI6=0,EI7=0),"",IF(AND(EI6="",EI7=""),"",IF(AND(EI6=0,EI7=""),"", IF(AND(EI6="",EI7=0),"",1)))))</f>
        <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t="str">
        <f t="shared" si="194"/>
        <v/>
      </c>
      <c r="EX8" s="72" t="str">
        <f t="shared" si="194"/>
        <v/>
      </c>
      <c r="EY8" s="73" t="str">
        <f t="shared" si="194"/>
        <v/>
      </c>
      <c r="EZ8" s="73" t="str">
        <f t="shared" ref="EZ8:GI8" si="209">IF(AND(EZ6&lt;&gt;0,EZ7&lt;&gt;0),(EZ6-EZ7)/EZ7,IF(AND(EZ6=0,EZ7=0),"",IF(AND(EZ6="",EZ7=""),"",IF(AND(EZ6=0,EZ7=""),"", IF(AND(EZ6="",EZ7=0),"",1)))))</f>
        <v/>
      </c>
      <c r="FA8" s="73" t="str">
        <f t="shared" si="209"/>
        <v/>
      </c>
      <c r="FB8" s="73" t="str">
        <f t="shared" si="209"/>
        <v/>
      </c>
      <c r="FC8" s="73" t="str">
        <f t="shared" si="209"/>
        <v/>
      </c>
      <c r="FD8" s="73" t="str">
        <f t="shared" si="209"/>
        <v/>
      </c>
      <c r="FE8" s="73" t="str">
        <f t="shared" si="209"/>
        <v/>
      </c>
      <c r="FF8" s="73" t="str">
        <f t="shared" si="209"/>
        <v/>
      </c>
      <c r="FG8" s="73" t="str">
        <f t="shared" si="209"/>
        <v/>
      </c>
      <c r="FH8" s="73" t="str">
        <f t="shared" si="209"/>
        <v/>
      </c>
      <c r="FI8" s="73" t="str">
        <f t="shared" si="209"/>
        <v/>
      </c>
      <c r="FJ8" s="73" t="str">
        <f t="shared" si="209"/>
        <v/>
      </c>
      <c r="FK8" s="73" t="str">
        <f t="shared" si="209"/>
        <v/>
      </c>
      <c r="FL8" s="73" t="str">
        <f t="shared" si="209"/>
        <v/>
      </c>
      <c r="FM8" s="73" t="str">
        <f t="shared" si="209"/>
        <v/>
      </c>
      <c r="FN8" s="73" t="str">
        <f t="shared" si="209"/>
        <v/>
      </c>
      <c r="FO8" s="73" t="str">
        <f t="shared" si="209"/>
        <v/>
      </c>
      <c r="FP8" s="73" t="str">
        <f t="shared" si="209"/>
        <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t="str">
        <f t="shared" si="209"/>
        <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f t="shared" ref="HV8" si="212">IF(AND(HV6&lt;&gt;0,HV7&lt;&gt;0),(HV6-HV7)/HV7,IF(AND(HV6=0,HV7=0),"",IF(AND(HV6="",HV7=""),"",IF(AND(HV6=0,HV7=""),"", IF(AND(HV6="",HV7=0),"",1)))))</f>
        <v>-2.6925824383921355E-4</v>
      </c>
      <c r="HW8" s="40">
        <f t="shared" ref="HW8" si="213">IF(AND(HW6&lt;&gt;0,HW7&lt;&gt;0),(HW6-HW7)/HW7,IF(AND(HW6=0,HW7=0),"",IF(AND(HW6="",HW7=""),"",IF(AND(HW6=0,HW7=""),"", IF(AND(HW6="",HW7=0),"",1)))))</f>
        <v>3.6456434560699962E-4</v>
      </c>
      <c r="HX8" s="40">
        <f t="shared" ref="HX8" si="214">IF(AND(HX6&lt;&gt;0,HX7&lt;&gt;0),(HX6-HX7)/HX7,IF(AND(HX6=0,HX7=0),"",IF(AND(HX6="",HX7=""),"",IF(AND(HX6=0,HX7=""),"", IF(AND(HX6="",HX7=0),"",1)))))</f>
        <v>-4.8449612403100775E-4</v>
      </c>
      <c r="HY8" s="40">
        <f t="shared" ref="HY8" si="215">IF(AND(HY6&lt;&gt;0,HY7&lt;&gt;0),(HY6-HY7)/HY7,IF(AND(HY6=0,HY7=0),"",IF(AND(HY6="",HY7=""),"",IF(AND(HY6=0,HY7=""),"", IF(AND(HY6="",HY7=0),"",1)))))</f>
        <v>0</v>
      </c>
      <c r="HZ8" s="40">
        <f t="shared" ref="HZ8" si="216">IF(AND(HZ6&lt;&gt;0,HZ7&lt;&gt;0),(HZ6-HZ7)/HZ7,IF(AND(HZ6=0,HZ7=0),"",IF(AND(HZ6="",HZ7=""),"",IF(AND(HZ6=0,HZ7=""),"", IF(AND(HZ6="",HZ7=0),"",1)))))</f>
        <v>7.429420505200594E-4</v>
      </c>
      <c r="IA8" s="40">
        <f t="shared" ref="IA8" si="217">IF(AND(IA6&lt;&gt;0,IA7&lt;&gt;0),(IA6-IA7)/IA7,IF(AND(IA6=0,IA7=0),"",IF(AND(IA6="",IA7=""),"",IF(AND(IA6=0,IA7=""),"", IF(AND(IA6="",IA7=0),"",1)))))</f>
        <v>9.8528180803571425E-4</v>
      </c>
      <c r="IB8" s="40">
        <f t="shared" ref="IB8" si="218">IF(AND(IB6&lt;&gt;0,IB7&lt;&gt;0),(IB6-IB7)/IB7,IF(AND(IB6=0,IB7=0),"",IF(AND(IB6="",IB7=""),"",IF(AND(IB6=0,IB7=""),"", IF(AND(IB6="",IB7=0),"",1)))))</f>
        <v>-2.8776978417266188E-3</v>
      </c>
      <c r="IC8" s="40">
        <f t="shared" ref="IC8" si="219">IF(AND(IC6&lt;&gt;0,IC7&lt;&gt;0),(IC6-IC7)/IC7,IF(AND(IC6=0,IC7=0),"",IF(AND(IC6="",IC7=""),"",IF(AND(IC6=0,IC7=""),"", IF(AND(IC6="",IC7=0),"",1)))))</f>
        <v>0</v>
      </c>
      <c r="ID8" s="40">
        <f t="shared" ref="ID8" si="220">IF(AND(ID6&lt;&gt;0,ID7&lt;&gt;0),(ID6-ID7)/ID7,IF(AND(ID6=0,ID7=0),"",IF(AND(ID6="",ID7=""),"",IF(AND(ID6=0,ID7=""),"", IF(AND(ID6="",ID7=0),"",1)))))</f>
        <v>3.3519553072625698E-2</v>
      </c>
      <c r="IE8" s="40">
        <f t="shared" ref="IE8" si="221">IF(AND(IE6&lt;&gt;0,IE7&lt;&gt;0),(IE6-IE7)/IE7,IF(AND(IE6=0,IE7=0),"",IF(AND(IE6="",IE7=""),"",IF(AND(IE6=0,IE7=""),"", IF(AND(IE6="",IE7=0),"",1)))))</f>
        <v>-0.98840614354867629</v>
      </c>
      <c r="IF8" s="40">
        <f t="shared" ref="IF8" si="222">IF(AND(IF6&lt;&gt;0,IF7&lt;&gt;0),(IF6-IF7)/IF7,IF(AND(IF6=0,IF7=0),"",IF(AND(IF6="",IF7=""),"",IF(AND(IF6=0,IF7=""),"", IF(AND(IF6="",IF7=0),"",1)))))</f>
        <v>1</v>
      </c>
      <c r="IG8" s="40" t="str">
        <f t="shared" ref="IG8" si="223">IF(AND(IG6&lt;&gt;0,IG7&lt;&gt;0),(IG6-IG7)/IG7,IF(AND(IG6=0,IG7=0),"",IF(AND(IG6="",IG7=""),"",IF(AND(IG6=0,IG7=""),"", IF(AND(IG6="",IG7=0),"",1)))))</f>
        <v/>
      </c>
      <c r="IH8" s="40" t="str">
        <f t="shared" ref="IH8" si="224">IF(AND(IH6&lt;&gt;0,IH7&lt;&gt;0),(IH6-IH7)/IH7,IF(AND(IH6=0,IH7=0),"",IF(AND(IH6="",IH7=""),"",IF(AND(IH6=0,IH7=""),"", IF(AND(IH6="",IH7=0),"",1)))))</f>
        <v/>
      </c>
      <c r="II8" s="40" t="str">
        <f t="shared" ref="II8" si="225">IF(AND(II6&lt;&gt;0,II7&lt;&gt;0),(II6-II7)/II7,IF(AND(II6=0,II7=0),"",IF(AND(II6="",II7=""),"",IF(AND(II6=0,II7=""),"", IF(AND(II6="",II7=0),"",1)))))</f>
        <v/>
      </c>
      <c r="IJ8" s="40" t="str">
        <f t="shared" ref="IJ8" si="226">IF(AND(IJ6&lt;&gt;0,IJ7&lt;&gt;0),(IJ6-IJ7)/IJ7,IF(AND(IJ6=0,IJ7=0),"",IF(AND(IJ6="",IJ7=""),"",IF(AND(IJ6=0,IJ7=""),"", IF(AND(IJ6="",IJ7=0),"",1)))))</f>
        <v/>
      </c>
      <c r="IK8" s="40" t="str">
        <f t="shared" ref="IK8" si="227">IF(AND(IK6&lt;&gt;0,IK7&lt;&gt;0),(IK6-IK7)/IK7,IF(AND(IK6=0,IK7=0),"",IF(AND(IK6="",IK7=""),"",IF(AND(IK6=0,IK7=""),"", IF(AND(IK6="",IK7=0),"",1)))))</f>
        <v/>
      </c>
      <c r="IL8" s="40" t="str">
        <f t="shared" ref="IL8" si="228">IF(AND(IL6&lt;&gt;0,IL7&lt;&gt;0),(IL6-IL7)/IL7,IF(AND(IL6=0,IL7=0),"",IF(AND(IL6="",IL7=""),"",IF(AND(IL6=0,IL7=""),"", IF(AND(IL6="",IL7=0),"",1)))))</f>
        <v/>
      </c>
      <c r="IM8" s="40" t="str">
        <f t="shared" ref="IM8" si="229">IF(AND(IM6&lt;&gt;0,IM7&lt;&gt;0),(IM6-IM7)/IM7,IF(AND(IM6=0,IM7=0),"",IF(AND(IM6="",IM7=""),"",IF(AND(IM6=0,IM7=""),"", IF(AND(IM6="",IM7=0),"",1)))))</f>
        <v/>
      </c>
      <c r="IN8" s="40" t="str">
        <f t="shared" ref="IN8" si="230">IF(AND(IN6&lt;&gt;0,IN7&lt;&gt;0),(IN6-IN7)/IN7,IF(AND(IN6=0,IN7=0),"",IF(AND(IN6="",IN7=""),"",IF(AND(IN6=0,IN7=""),"", IF(AND(IN6="",IN7=0),"",1)))))</f>
        <v/>
      </c>
      <c r="IO8" s="40" t="str">
        <f t="shared" ref="IO8" si="231">IF(AND(IO6&lt;&gt;0,IO7&lt;&gt;0),(IO6-IO7)/IO7,IF(AND(IO6=0,IO7=0),"",IF(AND(IO6="",IO7=""),"",IF(AND(IO6=0,IO7=""),"", IF(AND(IO6="",IO7=0),"",1)))))</f>
        <v/>
      </c>
      <c r="IP8" s="40" t="str">
        <f t="shared" ref="IP8" si="232">IF(AND(IP6&lt;&gt;0,IP7&lt;&gt;0),(IP6-IP7)/IP7,IF(AND(IP6=0,IP7=0),"",IF(AND(IP6="",IP7=""),"",IF(AND(IP6=0,IP7=""),"", IF(AND(IP6="",IP7=0),"",1)))))</f>
        <v/>
      </c>
      <c r="IQ8" s="40" t="str">
        <f t="shared" ref="IQ8" si="233">IF(AND(IQ6&lt;&gt;0,IQ7&lt;&gt;0),(IQ6-IQ7)/IQ7,IF(AND(IQ6=0,IQ7=0),"",IF(AND(IQ6="",IQ7=""),"",IF(AND(IQ6=0,IQ7=""),"", IF(AND(IQ6="",IQ7=0),"",1)))))</f>
        <v/>
      </c>
      <c r="IR8" s="40" t="str">
        <f t="shared" ref="IR8:JF8" si="234">IF(AND(IR6&lt;&gt;0,IR7&lt;&gt;0),(IR6-IR7)/IR7,IF(AND(IR6=0,IR7=0),"",IF(AND(IR6="",IR7=""),"",IF(AND(IR6=0,IR7=""),"", IF(AND(IR6="",IR7=0),"",1)))))</f>
        <v/>
      </c>
      <c r="IS8" s="40" t="str">
        <f t="shared" si="234"/>
        <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-0.69485542134816158</v>
      </c>
      <c r="JH8" s="72" t="str">
        <f t="shared" si="235"/>
        <v/>
      </c>
      <c r="JI8" s="73" t="str">
        <f t="shared" si="235"/>
        <v/>
      </c>
      <c r="JJ8" s="73" t="str">
        <f t="shared" si="235"/>
        <v/>
      </c>
      <c r="JK8" s="73" t="str">
        <f t="shared" si="235"/>
        <v/>
      </c>
      <c r="JL8" s="73" t="str">
        <f t="shared" si="235"/>
        <v/>
      </c>
      <c r="JM8" s="73" t="str">
        <f t="shared" si="235"/>
        <v/>
      </c>
      <c r="JN8" s="73" t="str">
        <f t="shared" si="235"/>
        <v/>
      </c>
      <c r="JO8" s="73" t="str">
        <f t="shared" si="235"/>
        <v/>
      </c>
      <c r="JP8" s="73" t="str">
        <f t="shared" si="235"/>
        <v/>
      </c>
      <c r="JQ8" s="73" t="str">
        <f t="shared" si="235"/>
        <v/>
      </c>
      <c r="JR8" s="73" t="str">
        <f t="shared" si="235"/>
        <v/>
      </c>
      <c r="JS8" s="73" t="str">
        <f t="shared" si="235"/>
        <v/>
      </c>
      <c r="JT8" s="73" t="str">
        <f t="shared" si="235"/>
        <v/>
      </c>
      <c r="JU8" s="73" t="str">
        <f t="shared" si="235"/>
        <v/>
      </c>
      <c r="JV8" s="73" t="str">
        <f t="shared" si="235"/>
        <v/>
      </c>
      <c r="JW8" s="73" t="str">
        <f t="shared" si="235"/>
        <v/>
      </c>
      <c r="JX8" s="73" t="str">
        <f t="shared" si="235"/>
        <v/>
      </c>
      <c r="JY8" s="73" t="str">
        <f t="shared" si="235"/>
        <v/>
      </c>
      <c r="JZ8" s="73" t="str">
        <f t="shared" si="235"/>
        <v/>
      </c>
      <c r="KA8" s="73" t="str">
        <f t="shared" si="235"/>
        <v/>
      </c>
      <c r="KB8" s="73" t="str">
        <f t="shared" si="235"/>
        <v/>
      </c>
      <c r="KC8" s="73" t="str">
        <f t="shared" si="235"/>
        <v/>
      </c>
      <c r="KD8" s="73" t="str">
        <f t="shared" si="235"/>
        <v/>
      </c>
      <c r="KE8" s="73" t="str">
        <f t="shared" ref="KE8:KR8" si="236">IF(AND(KE6&lt;&gt;0,KE7&lt;&gt;0),(KE6-KE7)/KE7,IF(AND(KE6=0,KE7=0),"",IF(AND(KE6="",KE7=""),"",IF(AND(KE6=0,KE7=""),"", IF(AND(KE6="",KE7=0),"",1)))))</f>
        <v/>
      </c>
      <c r="KF8" s="73" t="str">
        <f t="shared" si="236"/>
        <v/>
      </c>
      <c r="KG8" s="73" t="str">
        <f t="shared" si="236"/>
        <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t="str">
        <f t="shared" si="235"/>
        <v/>
      </c>
      <c r="KT8" s="72" t="str">
        <f t="shared" ref="KT8:ME8" si="237">IF(AND(KT6&lt;&gt;0,KT7&lt;&gt;0),(KT6-KT7)/KT7,IF(AND(KT6=0,KT7=0),"",IF(AND(KT6="",KT7=""),"",IF(AND(KT6=0,KT7=""),"", IF(AND(KT6="",KT7=0),"",1)))))</f>
        <v/>
      </c>
      <c r="KU8" s="73" t="str">
        <f t="shared" si="237"/>
        <v/>
      </c>
      <c r="KV8" s="73" t="str">
        <f t="shared" si="237"/>
        <v/>
      </c>
      <c r="KW8" s="73" t="str">
        <f t="shared" si="237"/>
        <v/>
      </c>
      <c r="KX8" s="73" t="str">
        <f t="shared" si="237"/>
        <v/>
      </c>
      <c r="KY8" s="73" t="str">
        <f t="shared" si="237"/>
        <v/>
      </c>
      <c r="KZ8" s="73" t="str">
        <f t="shared" si="237"/>
        <v/>
      </c>
      <c r="LA8" s="73" t="str">
        <f t="shared" si="237"/>
        <v/>
      </c>
      <c r="LB8" s="73" t="str">
        <f t="shared" si="237"/>
        <v/>
      </c>
      <c r="LC8" s="73" t="str">
        <f t="shared" si="237"/>
        <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t="str">
        <f t="shared" si="237"/>
        <v/>
      </c>
      <c r="LM8" s="73" t="str">
        <f t="shared" si="237"/>
        <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t="str">
        <f t="shared" si="237"/>
        <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f t="shared" ref="NR8" si="240">IF(AND(NR6&lt;&gt;0,NR7&lt;&gt;0),(NR6-NR7)/NR7,IF(AND(NR6=0,NR7=0),"",IF(AND(NR6="",NR7=""),"",IF(AND(NR6=0,NR7=""),"", IF(AND(NR6="",NR7=0),"",1)))))</f>
        <v>7.6923076923076923E-4</v>
      </c>
      <c r="NS8" s="40">
        <f t="shared" ref="NS8" si="241">IF(AND(NS6&lt;&gt;0,NS7&lt;&gt;0),(NS6-NS7)/NS7,IF(AND(NS6=0,NS7=0),"",IF(AND(NS6="",NS7=""),"",IF(AND(NS6=0,NS7=""),"", IF(AND(NS6="",NS7=0),"",1)))))</f>
        <v>-9.5602294455066918E-4</v>
      </c>
      <c r="NT8" s="40">
        <f t="shared" ref="NT8" si="242">IF(AND(NT6&lt;&gt;0,NT7&lt;&gt;0),(NT6-NT7)/NT7,IF(AND(NT6=0,NT7=0),"",IF(AND(NT6="",NT7=""),"",IF(AND(NT6=0,NT7=""),"", IF(AND(NT6="",NT7=0),"",1)))))</f>
        <v>0</v>
      </c>
      <c r="NU8" s="40">
        <f t="shared" ref="NU8" si="243">IF(AND(NU6&lt;&gt;0,NU7&lt;&gt;0),(NU6-NU7)/NU7,IF(AND(NU6=0,NU7=0),"",IF(AND(NU6="",NU7=""),"",IF(AND(NU6=0,NU7=""),"", IF(AND(NU6="",NU7=0),"",1)))))</f>
        <v>3.787878787878788E-3</v>
      </c>
      <c r="NV8" s="40">
        <f t="shared" ref="NV8" si="244">IF(AND(NV6&lt;&gt;0,NV7&lt;&gt;0),(NV6-NV7)/NV7,IF(AND(NV6=0,NV7=0),"",IF(AND(NV6="",NV7=""),"",IF(AND(NV6=0,NV7=""),"", IF(AND(NV6="",NV7=0),"",1)))))</f>
        <v>-8.0948483090185672E-8</v>
      </c>
      <c r="NW8" s="40">
        <f t="shared" ref="NW8" si="245">IF(AND(NW6&lt;&gt;0,NW7&lt;&gt;0),(NW6-NW7)/NW7,IF(AND(NW6=0,NW7=0),"",IF(AND(NW6="",NW7=""),"",IF(AND(NW6=0,NW7=""),"", IF(AND(NW6="",NW7=0),"",1)))))</f>
        <v>3.8610038610038611E-3</v>
      </c>
      <c r="NX8" s="40" t="str">
        <f t="shared" ref="NX8" si="246">IF(AND(NX6&lt;&gt;0,NX7&lt;&gt;0),(NX6-NX7)/NX7,IF(AND(NX6=0,NX7=0),"",IF(AND(NX6="",NX7=""),"",IF(AND(NX6=0,NX7=""),"", IF(AND(NX6="",NX7=0),"",1)))))</f>
        <v/>
      </c>
      <c r="NY8" s="40">
        <f t="shared" ref="NY8" si="247">IF(AND(NY6&lt;&gt;0,NY7&lt;&gt;0),(NY6-NY7)/NY7,IF(AND(NY6=0,NY7=0),"",IF(AND(NY6="",NY7=""),"",IF(AND(NY6=0,NY7=""),"", IF(AND(NY6="",NY7=0),"",1)))))</f>
        <v>0</v>
      </c>
      <c r="NZ8" s="40">
        <f t="shared" ref="NZ8" si="248">IF(AND(NZ6&lt;&gt;0,NZ7&lt;&gt;0),(NZ6-NZ7)/NZ7,IF(AND(NZ6=0,NZ7=0),"",IF(AND(NZ6="",NZ7=""),"",IF(AND(NZ6=0,NZ7=""),"", IF(AND(NZ6="",NZ7=0),"",1)))))</f>
        <v>8.3333333333333329E-2</v>
      </c>
      <c r="OA8" s="40">
        <f t="shared" ref="OA8" si="249">IF(AND(OA6&lt;&gt;0,OA7&lt;&gt;0),(OA6-OA7)/OA7,IF(AND(OA6=0,OA7=0),"",IF(AND(OA6="",OA7=""),"",IF(AND(OA6=0,OA7=""),"", IF(AND(OA6="",OA7=0),"",1)))))</f>
        <v>-2.0242914979757085E-3</v>
      </c>
      <c r="OB8" s="40">
        <f t="shared" ref="OB8" si="250">IF(AND(OB6&lt;&gt;0,OB7&lt;&gt;0),(OB6-OB7)/OB7,IF(AND(OB6=0,OB7=0),"",IF(AND(OB6="",OB7=""),"",IF(AND(OB6=0,OB7=""),"", IF(AND(OB6="",OB7=0),"",1)))))</f>
        <v>1</v>
      </c>
      <c r="OC8" s="40" t="str">
        <f t="shared" ref="OC8" si="251">IF(AND(OC6&lt;&gt;0,OC7&lt;&gt;0),(OC6-OC7)/OC7,IF(AND(OC6=0,OC7=0),"",IF(AND(OC6="",OC7=""),"",IF(AND(OC6=0,OC7=""),"", IF(AND(OC6="",OC7=0),"",1)))))</f>
        <v/>
      </c>
      <c r="OD8" s="40" t="str">
        <f t="shared" ref="OD8" si="252">IF(AND(OD6&lt;&gt;0,OD7&lt;&gt;0),(OD6-OD7)/OD7,IF(AND(OD6=0,OD7=0),"",IF(AND(OD6="",OD7=""),"",IF(AND(OD6=0,OD7=""),"", IF(AND(OD6="",OD7=0),"",1)))))</f>
        <v/>
      </c>
      <c r="OE8" s="40" t="str">
        <f t="shared" ref="OE8" si="253">IF(AND(OE6&lt;&gt;0,OE7&lt;&gt;0),(OE6-OE7)/OE7,IF(AND(OE6=0,OE7=0),"",IF(AND(OE6="",OE7=""),"",IF(AND(OE6=0,OE7=""),"", IF(AND(OE6="",OE7=0),"",1)))))</f>
        <v/>
      </c>
      <c r="OF8" s="40" t="str">
        <f t="shared" ref="OF8" si="254">IF(AND(OF6&lt;&gt;0,OF7&lt;&gt;0),(OF6-OF7)/OF7,IF(AND(OF6=0,OF7=0),"",IF(AND(OF6="",OF7=""),"",IF(AND(OF6=0,OF7=""),"", IF(AND(OF6="",OF7=0),"",1)))))</f>
        <v/>
      </c>
      <c r="OG8" s="40" t="str">
        <f t="shared" ref="OG8" si="255">IF(AND(OG6&lt;&gt;0,OG7&lt;&gt;0),(OG6-OG7)/OG7,IF(AND(OG6=0,OG7=0),"",IF(AND(OG6="",OG7=""),"",IF(AND(OG6=0,OG7=""),"", IF(AND(OG6="",OG7=0),"",1)))))</f>
        <v/>
      </c>
      <c r="OH8" s="40" t="str">
        <f t="shared" ref="OH8" si="256">IF(AND(OH6&lt;&gt;0,OH7&lt;&gt;0),(OH6-OH7)/OH7,IF(AND(OH6=0,OH7=0),"",IF(AND(OH6="",OH7=""),"",IF(AND(OH6=0,OH7=""),"", IF(AND(OH6="",OH7=0),"",1)))))</f>
        <v/>
      </c>
      <c r="OI8" s="40" t="str">
        <f t="shared" ref="OI8" si="257">IF(AND(OI6&lt;&gt;0,OI7&lt;&gt;0),(OI6-OI7)/OI7,IF(AND(OI6=0,OI7=0),"",IF(AND(OI6="",OI7=""),"",IF(AND(OI6=0,OI7=""),"", IF(AND(OI6="",OI7=0),"",1)))))</f>
        <v/>
      </c>
      <c r="OJ8" s="40" t="str">
        <f t="shared" ref="OJ8" si="258">IF(AND(OJ6&lt;&gt;0,OJ7&lt;&gt;0),(OJ6-OJ7)/OJ7,IF(AND(OJ6=0,OJ7=0),"",IF(AND(OJ6="",OJ7=""),"",IF(AND(OJ6=0,OJ7=""),"", IF(AND(OJ6="",OJ7=0),"",1)))))</f>
        <v/>
      </c>
      <c r="OK8" s="40" t="str">
        <f t="shared" ref="OK8" si="259">IF(AND(OK6&lt;&gt;0,OK7&lt;&gt;0),(OK6-OK7)/OK7,IF(AND(OK6=0,OK7=0),"",IF(AND(OK6="",OK7=""),"",IF(AND(OK6=0,OK7=""),"", IF(AND(OK6="",OK7=0),"",1)))))</f>
        <v/>
      </c>
      <c r="OL8" s="40" t="str">
        <f t="shared" ref="OL8" si="260">IF(AND(OL6&lt;&gt;0,OL7&lt;&gt;0),(OL6-OL7)/OL7,IF(AND(OL6=0,OL7=0),"",IF(AND(OL6="",OL7=""),"",IF(AND(OL6=0,OL7=""),"", IF(AND(OL6="",OL7=0),"",1)))))</f>
        <v/>
      </c>
      <c r="OM8" s="40" t="str">
        <f t="shared" ref="OM8" si="261">IF(AND(OM6&lt;&gt;0,OM7&lt;&gt;0),(OM6-OM7)/OM7,IF(AND(OM6=0,OM7=0),"",IF(AND(OM6="",OM7=""),"",IF(AND(OM6=0,OM7=""),"", IF(AND(OM6="",OM7=0),"",1)))))</f>
        <v/>
      </c>
      <c r="ON8" s="40" t="str">
        <f t="shared" ref="ON8:PB8" si="262">IF(AND(ON6&lt;&gt;0,ON7&lt;&gt;0),(ON6-ON7)/ON7,IF(AND(ON6=0,ON7=0),"",IF(AND(ON6="",ON7=""),"",IF(AND(ON6=0,ON7=""),"", IF(AND(ON6="",ON7=0),"",1)))))</f>
        <v/>
      </c>
      <c r="OO8" s="40" t="str">
        <f t="shared" si="262"/>
        <v/>
      </c>
      <c r="OP8" s="40" t="str">
        <f t="shared" si="262"/>
        <v/>
      </c>
      <c r="OQ8" s="40" t="str">
        <f t="shared" si="262"/>
        <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1.9916343726952269E-2</v>
      </c>
    </row>
    <row r="9" spans="1:423" outlineLevel="1" x14ac:dyDescent="0.3">
      <c r="A9" s="46" t="s">
        <v>7</v>
      </c>
      <c r="B9" s="14">
        <f>'[1]D-PDP'!$BW$12</f>
        <v>27197058</v>
      </c>
      <c r="C9" s="14">
        <f>'[1]D-PDP'!$BW$13</f>
        <v>17700766</v>
      </c>
      <c r="D9" s="14">
        <f>'[1]D-PDP'!$BW$14</f>
        <v>11203647</v>
      </c>
      <c r="E9" s="14">
        <f>'[1]D-PDP'!$BW$15</f>
        <v>7184117</v>
      </c>
      <c r="F9" s="14">
        <f>'[1]D-PDP'!$BW$16</f>
        <v>4859949.5</v>
      </c>
      <c r="G9" s="14">
        <f>'[1]D-PDP'!$BW$17</f>
        <v>3085409.5</v>
      </c>
      <c r="H9" s="14">
        <f>'[1]D-PDP'!$BW$18</f>
        <v>1470421.625</v>
      </c>
      <c r="I9" s="14">
        <f>'[1]D-PDP'!$BW$19</f>
        <v>591129.125</v>
      </c>
      <c r="J9" s="14">
        <f>'[1]D-PDP'!$BW$20</f>
        <v>290592.40625</v>
      </c>
      <c r="K9" s="14">
        <f>'[1]D-PDP'!$BW$21</f>
        <v>184699.0625</v>
      </c>
      <c r="L9" s="14">
        <f>'[1]D-PDP'!$BW$22</f>
        <v>91448.375</v>
      </c>
      <c r="M9" s="14">
        <f>'[1]D-PDP'!$BW$23</f>
        <v>0</v>
      </c>
      <c r="N9" s="14">
        <f>'[1]D-PDP'!$BW$24</f>
        <v>0</v>
      </c>
      <c r="O9" s="14">
        <f>'[1]D-PDP'!$BW$25</f>
        <v>0</v>
      </c>
      <c r="P9" s="14">
        <f>'[1]D-PDP'!$BW$26</f>
        <v>0</v>
      </c>
      <c r="Q9" s="14">
        <f>'[1]D-PDP'!$BW$27</f>
        <v>0</v>
      </c>
      <c r="R9" s="14">
        <f>'[1]D-PDP'!$BW$28</f>
        <v>0</v>
      </c>
      <c r="S9" s="14">
        <f>'[1]D-PDP'!$BW$29</f>
        <v>0</v>
      </c>
      <c r="T9" s="14">
        <f>'[1]D-PDP'!$BW$30</f>
        <v>0</v>
      </c>
      <c r="U9" s="14">
        <f>'[1]D-PDP'!$BW$31</f>
        <v>0</v>
      </c>
      <c r="V9" s="14">
        <f>'[1]D-PDP'!$BW$32</f>
        <v>0</v>
      </c>
      <c r="W9" s="14">
        <f>'[1]D-PDP'!$BW$33</f>
        <v>0</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73859237.59375</v>
      </c>
      <c r="AN9" s="28">
        <f>'[1]D-PNP'!$BW$12</f>
        <v>2743892.5</v>
      </c>
      <c r="AO9" s="14">
        <f>'[1]D-PNP'!$BW$13</f>
        <v>2377336.25</v>
      </c>
      <c r="AP9" s="14">
        <f>'[1]D-PNP'!$BW$14</f>
        <v>2553120.75</v>
      </c>
      <c r="AQ9" s="14">
        <f>'[1]D-PNP'!$BW$15</f>
        <v>1906701.75</v>
      </c>
      <c r="AR9" s="14">
        <f>'[1]D-PNP'!$BW$16</f>
        <v>1363438.375</v>
      </c>
      <c r="AS9" s="14">
        <f>'[1]D-PNP'!$BW$17</f>
        <v>1025103.5</v>
      </c>
      <c r="AT9" s="14">
        <f>'[1]D-PNP'!$BW$18</f>
        <v>632170.25</v>
      </c>
      <c r="AU9" s="14">
        <f>'[1]D-PNP'!$BW$19</f>
        <v>324685.28125</v>
      </c>
      <c r="AV9" s="14">
        <f>'[1]D-PNP'!$BW$20</f>
        <v>127688.3203125</v>
      </c>
      <c r="AW9" s="14">
        <f>'[1]D-PNP'!$BW$21</f>
        <v>0</v>
      </c>
      <c r="AX9" s="14">
        <f>'[1]D-PNP'!$BW$22</f>
        <v>0</v>
      </c>
      <c r="AY9" s="14">
        <f>'[1]D-PNP'!$BW$23</f>
        <v>0</v>
      </c>
      <c r="AZ9" s="14">
        <f>'[1]D-PNP'!$BW$24</f>
        <v>0</v>
      </c>
      <c r="BA9" s="14">
        <f>'[1]D-PNP'!$BW$25</f>
        <v>0</v>
      </c>
      <c r="BB9" s="14">
        <f>'[1]D-PNP'!$BW$26</f>
        <v>0</v>
      </c>
      <c r="BC9" s="14">
        <f>'[1]D-PNP'!$BW$27</f>
        <v>0</v>
      </c>
      <c r="BD9" s="14">
        <f>'[1]D-PNP'!$BW$28</f>
        <v>0</v>
      </c>
      <c r="BE9" s="14">
        <f>'[1]D-PNP'!$BW$29</f>
        <v>0</v>
      </c>
      <c r="BF9" s="14">
        <f>'[1]D-PNP'!$BW$30</f>
        <v>0</v>
      </c>
      <c r="BG9" s="14">
        <f>'[1]D-PNP'!$BW$31</f>
        <v>0</v>
      </c>
      <c r="BH9" s="14">
        <f>'[1]D-PNP'!$BW$32</f>
        <v>0</v>
      </c>
      <c r="BI9" s="14">
        <f>'[1]D-PNP'!$BW$33</f>
        <v>0</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13054136.9765625</v>
      </c>
      <c r="BZ9" s="28">
        <f>'[1]D-PND'!$BW$12</f>
        <v>6959682.5</v>
      </c>
      <c r="CA9" s="14">
        <f>'[1]D-PND'!$BW$13</f>
        <v>6281445</v>
      </c>
      <c r="CB9" s="14">
        <f>'[1]D-PND'!$BW$14</f>
        <v>4610659.5</v>
      </c>
      <c r="CC9" s="14">
        <f>'[1]D-PND'!$BW$15</f>
        <v>5302270</v>
      </c>
      <c r="CD9" s="14">
        <f>'[1]D-PND'!$BW$16</f>
        <v>17476008</v>
      </c>
      <c r="CE9" s="14">
        <f>'[1]D-PND'!$BW$17</f>
        <v>24487382</v>
      </c>
      <c r="CF9" s="14">
        <f>'[1]D-PND'!$BW$18</f>
        <v>26950214</v>
      </c>
      <c r="CG9" s="14">
        <f>'[1]D-PND'!$BW$19</f>
        <v>19165746</v>
      </c>
      <c r="CH9" s="14">
        <f>'[1]D-PND'!$BW$20</f>
        <v>12674140</v>
      </c>
      <c r="CI9" s="14">
        <f>'[1]D-PND'!$BW$21</f>
        <v>14215716</v>
      </c>
      <c r="CJ9" s="14">
        <f>'[1]D-PND'!$BW$22</f>
        <v>5597628</v>
      </c>
      <c r="CK9" s="14">
        <f>'[1]D-PND'!$BW$23</f>
        <v>0</v>
      </c>
      <c r="CL9" s="14">
        <f>'[1]D-PND'!$BW$24</f>
        <v>0</v>
      </c>
      <c r="CM9" s="14">
        <f>'[1]D-PND'!$BW$25</f>
        <v>0</v>
      </c>
      <c r="CN9" s="14">
        <f>'[1]D-PND'!$BW$26</f>
        <v>0</v>
      </c>
      <c r="CO9" s="14">
        <f>'[1]D-PND'!$BW$27</f>
        <v>0</v>
      </c>
      <c r="CP9" s="14">
        <f>'[1]D-PND'!$BW$28</f>
        <v>0</v>
      </c>
      <c r="CQ9" s="14">
        <f>'[1]D-PND'!$BW$29</f>
        <v>0</v>
      </c>
      <c r="CR9" s="14">
        <f>'[1]D-PND'!$BW$30</f>
        <v>0</v>
      </c>
      <c r="CS9" s="14">
        <f>'[1]D-PND'!$BW$31</f>
        <v>0</v>
      </c>
      <c r="CT9" s="14">
        <f>'[1]D-PND'!$BW$32</f>
        <v>0</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143720891</v>
      </c>
      <c r="DL9" s="66"/>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8">
        <f>SUM(DL9:EV9)</f>
        <v>0</v>
      </c>
      <c r="EX9" s="66"/>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8">
        <f>SUM(EX9:GH9)</f>
        <v>0</v>
      </c>
      <c r="GJ9" s="66"/>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8">
        <f>SUM(GJ9:HT9)</f>
        <v>0</v>
      </c>
      <c r="HV9" s="28">
        <f>'[1]D-PRB'!$BW$12</f>
        <v>5558615.5</v>
      </c>
      <c r="HW9" s="14">
        <f>'[1]D-PRB'!$BW$13</f>
        <v>4107515.25</v>
      </c>
      <c r="HX9" s="14">
        <f>'[1]D-PRB'!$BW$14</f>
        <v>3090159.75</v>
      </c>
      <c r="HY9" s="14">
        <f>'[1]D-PRB'!$BW$15</f>
        <v>2662317.75</v>
      </c>
      <c r="HZ9" s="14">
        <f>'[1]D-PRB'!$BW$16</f>
        <v>2014791.875</v>
      </c>
      <c r="IA9" s="14">
        <f>'[1]D-PRB'!$BW$17</f>
        <v>1520178.75</v>
      </c>
      <c r="IB9" s="14">
        <f>'[1]D-PRB'!$BW$18</f>
        <v>1038984.25</v>
      </c>
      <c r="IC9" s="14">
        <f>'[1]D-PRB'!$BW$19</f>
        <v>469066.90625</v>
      </c>
      <c r="ID9" s="14">
        <f>'[1]D-PRB'!$BW$20</f>
        <v>270536.53125</v>
      </c>
      <c r="IE9" s="14">
        <f>'[1]D-PRB'!$BW$21</f>
        <v>168948.28125</v>
      </c>
      <c r="IF9" s="14">
        <f>'[1]D-PRB'!$BW$22</f>
        <v>86276.4765625</v>
      </c>
      <c r="IG9" s="14">
        <f>'[1]D-PRB'!$BW$23</f>
        <v>0</v>
      </c>
      <c r="IH9" s="14">
        <f>'[1]D-PRB'!$BW$24</f>
        <v>0</v>
      </c>
      <c r="II9" s="14">
        <f>'[1]D-PRB'!$BW$25</f>
        <v>0</v>
      </c>
      <c r="IJ9" s="14">
        <f>'[1]D-PRB'!$BW$26</f>
        <v>0</v>
      </c>
      <c r="IK9" s="14">
        <f>'[1]D-PRB'!$BW$27</f>
        <v>0</v>
      </c>
      <c r="IL9" s="14">
        <f>'[1]D-PRB'!$BW$28</f>
        <v>0</v>
      </c>
      <c r="IM9" s="14">
        <f>'[1]D-PRB'!$BW$29</f>
        <v>0</v>
      </c>
      <c r="IN9" s="14">
        <f>'[1]D-PRB'!$BW$30</f>
        <v>0</v>
      </c>
      <c r="IO9" s="14">
        <f>'[1]D-PRB'!$BW$31</f>
        <v>0</v>
      </c>
      <c r="IP9" s="14">
        <f>'[1]D-PRB'!$BW$32</f>
        <v>0</v>
      </c>
      <c r="IQ9" s="14">
        <f>'[1]D-PRB'!$BW$33</f>
        <v>0</v>
      </c>
      <c r="IR9" s="14">
        <f>'[1]D-PRB'!$BW$34</f>
        <v>0</v>
      </c>
      <c r="IS9" s="14">
        <f>'[1]D-PRB'!$BW$35</f>
        <v>0</v>
      </c>
      <c r="IT9" s="14">
        <f>'[1]D-PRB'!$BW$36</f>
        <v>0</v>
      </c>
      <c r="IU9" s="14">
        <f>'[1]D-PRB'!$BW$37</f>
        <v>0</v>
      </c>
      <c r="IV9" s="14">
        <f>'[1]D-PRB'!$BW$38</f>
        <v>0</v>
      </c>
      <c r="IW9" s="14">
        <f>'[1]D-PRB'!$BW$39</f>
        <v>0</v>
      </c>
      <c r="IX9" s="14">
        <f>'[1]D-PRB'!$BW$40</f>
        <v>0</v>
      </c>
      <c r="IY9" s="14">
        <f>'[1]D-PRB'!$BW$41</f>
        <v>0</v>
      </c>
      <c r="IZ9" s="14">
        <f>'[1]D-PRB'!$BW$42</f>
        <v>0</v>
      </c>
      <c r="JA9" s="14">
        <f>'[1]D-PRB'!$BW$43</f>
        <v>0</v>
      </c>
      <c r="JB9" s="14">
        <f>'[1]D-PRB'!$BW$44</f>
        <v>0</v>
      </c>
      <c r="JC9" s="14">
        <f>'[1]D-PRB'!$BW$45</f>
        <v>0</v>
      </c>
      <c r="JD9" s="14">
        <f>'[1]D-PRB'!$BW$46</f>
        <v>0</v>
      </c>
      <c r="JE9" s="14">
        <f>'[1]D-PRB'!$BW$47</f>
        <v>0</v>
      </c>
      <c r="JF9" s="14">
        <f>'[1]D-PRB'!$BW$48</f>
        <v>0</v>
      </c>
      <c r="JG9" s="16">
        <f>SUM(HV9:JF9)</f>
        <v>20987391.3203125</v>
      </c>
      <c r="JH9" s="66"/>
      <c r="JI9" s="67"/>
      <c r="JJ9" s="67"/>
      <c r="JK9" s="67"/>
      <c r="JL9" s="67"/>
      <c r="JM9" s="67"/>
      <c r="JN9" s="67"/>
      <c r="JO9" s="67"/>
      <c r="JP9" s="67"/>
      <c r="JQ9" s="67"/>
      <c r="JR9" s="67"/>
      <c r="JS9" s="67"/>
      <c r="JT9" s="67"/>
      <c r="JU9" s="67"/>
      <c r="JV9" s="67"/>
      <c r="JW9" s="67"/>
      <c r="JX9" s="67"/>
      <c r="JY9" s="67"/>
      <c r="JZ9" s="67"/>
      <c r="KA9" s="67"/>
      <c r="KB9" s="67"/>
      <c r="KC9" s="67"/>
      <c r="KD9" s="67"/>
      <c r="KE9" s="67"/>
      <c r="KF9" s="67"/>
      <c r="KG9" s="67"/>
      <c r="KH9" s="67"/>
      <c r="KI9" s="67"/>
      <c r="KJ9" s="67"/>
      <c r="KK9" s="67"/>
      <c r="KL9" s="67"/>
      <c r="KM9" s="67"/>
      <c r="KN9" s="67"/>
      <c r="KO9" s="67"/>
      <c r="KP9" s="67"/>
      <c r="KQ9" s="67"/>
      <c r="KR9" s="67"/>
      <c r="KS9" s="68">
        <f>SUM(JH9:KR9)</f>
        <v>0</v>
      </c>
      <c r="KT9" s="66"/>
      <c r="KU9" s="67"/>
      <c r="KV9" s="67"/>
      <c r="KW9" s="67"/>
      <c r="KX9" s="67"/>
      <c r="KY9" s="67"/>
      <c r="KZ9" s="67"/>
      <c r="LA9" s="67"/>
      <c r="LB9" s="67"/>
      <c r="LC9" s="67"/>
      <c r="LD9" s="67"/>
      <c r="LE9" s="67"/>
      <c r="LF9" s="67"/>
      <c r="LG9" s="67"/>
      <c r="LH9" s="67"/>
      <c r="LI9" s="67"/>
      <c r="LJ9" s="67"/>
      <c r="LK9" s="67"/>
      <c r="LL9" s="67"/>
      <c r="LM9" s="67"/>
      <c r="LN9" s="67"/>
      <c r="LO9" s="67"/>
      <c r="LP9" s="67"/>
      <c r="LQ9" s="67"/>
      <c r="LR9" s="67"/>
      <c r="LS9" s="67"/>
      <c r="LT9" s="67"/>
      <c r="LU9" s="67"/>
      <c r="LV9" s="67"/>
      <c r="LW9" s="67"/>
      <c r="LX9" s="67"/>
      <c r="LY9" s="67"/>
      <c r="LZ9" s="67"/>
      <c r="MA9" s="67"/>
      <c r="MB9" s="67"/>
      <c r="MC9" s="67"/>
      <c r="MD9" s="67"/>
      <c r="ME9" s="68">
        <f>SUM(KT9:MD9)</f>
        <v>0</v>
      </c>
      <c r="MF9" s="66"/>
      <c r="MG9" s="67"/>
      <c r="MH9" s="67"/>
      <c r="MI9" s="67"/>
      <c r="MJ9" s="67"/>
      <c r="MK9" s="67"/>
      <c r="ML9" s="67"/>
      <c r="MM9" s="67"/>
      <c r="MN9" s="67"/>
      <c r="MO9" s="67"/>
      <c r="MP9" s="67"/>
      <c r="MQ9" s="67"/>
      <c r="MR9" s="67"/>
      <c r="MS9" s="67"/>
      <c r="MT9" s="67"/>
      <c r="MU9" s="67"/>
      <c r="MV9" s="67"/>
      <c r="MW9" s="67"/>
      <c r="MX9" s="67"/>
      <c r="MY9" s="67"/>
      <c r="MZ9" s="67"/>
      <c r="NA9" s="67"/>
      <c r="NB9" s="67"/>
      <c r="NC9" s="67"/>
      <c r="ND9" s="67"/>
      <c r="NE9" s="67"/>
      <c r="NF9" s="67"/>
      <c r="NG9" s="67"/>
      <c r="NH9" s="67"/>
      <c r="NI9" s="67"/>
      <c r="NJ9" s="67"/>
      <c r="NK9" s="67"/>
      <c r="NL9" s="67"/>
      <c r="NM9" s="67"/>
      <c r="NN9" s="67"/>
      <c r="NO9" s="67"/>
      <c r="NP9" s="67"/>
      <c r="NQ9" s="68">
        <f>SUM(MF9:NP9)</f>
        <v>0</v>
      </c>
      <c r="NR9" s="14">
        <f>'[1]D-PS'!$BW$12</f>
        <v>1947926.875</v>
      </c>
      <c r="NS9" s="14">
        <f>'[1]D-PS'!$BW$13</f>
        <v>1565876.75</v>
      </c>
      <c r="NT9" s="14">
        <f>'[1]D-PS'!$BW$14</f>
        <v>1111888.75</v>
      </c>
      <c r="NU9" s="14">
        <f>'[1]D-PS'!$BW$15</f>
        <v>791723.125</v>
      </c>
      <c r="NV9" s="14">
        <f>'[1]D-PS'!$BW$16</f>
        <v>564567.75</v>
      </c>
      <c r="NW9" s="14">
        <f>'[1]D-PS'!$BW$17</f>
        <v>387445.625</v>
      </c>
      <c r="NX9" s="14">
        <f>'[1]D-PS'!$BW$18</f>
        <v>0</v>
      </c>
      <c r="NY9" s="14">
        <f>'[1]D-PS'!$BW$19</f>
        <v>194091.546875</v>
      </c>
      <c r="NZ9" s="14">
        <f>'[1]D-PS'!$BW$20</f>
        <v>221744.109375</v>
      </c>
      <c r="OA9" s="14">
        <f>'[1]D-PS'!$BW$21</f>
        <v>215025.296875</v>
      </c>
      <c r="OB9" s="14">
        <f>'[1]D-PS'!$BW$22</f>
        <v>37300.37109375</v>
      </c>
      <c r="OC9" s="14">
        <f>'[1]D-PS'!$BW$23</f>
        <v>0</v>
      </c>
      <c r="OD9" s="14">
        <f>'[1]D-PS'!$BW$24</f>
        <v>0</v>
      </c>
      <c r="OE9" s="14">
        <f>'[1]D-PS'!$BW$25</f>
        <v>0</v>
      </c>
      <c r="OF9" s="14">
        <f>'[1]D-PS'!$BW$26</f>
        <v>0</v>
      </c>
      <c r="OG9" s="14">
        <f>'[1]D-PS'!$BW$27</f>
        <v>0</v>
      </c>
      <c r="OH9" s="14">
        <f>'[1]D-PS'!$BW$28</f>
        <v>0</v>
      </c>
      <c r="OI9" s="14">
        <f>'[1]D-PS'!$BW$29</f>
        <v>0</v>
      </c>
      <c r="OJ9" s="14">
        <f>'[1]D-PS'!$BW$30</f>
        <v>0</v>
      </c>
      <c r="OK9" s="14">
        <f>'[1]D-PS'!$BW$31</f>
        <v>0</v>
      </c>
      <c r="OL9" s="14">
        <f>'[1]D-PS'!$BW$32</f>
        <v>0</v>
      </c>
      <c r="OM9" s="14">
        <f>'[1]D-PS'!$BW$33</f>
        <v>0</v>
      </c>
      <c r="ON9" s="14">
        <f>'[1]D-PS'!$BW$34</f>
        <v>0</v>
      </c>
      <c r="OO9" s="14">
        <f>'[1]D-PS'!$BW$35</f>
        <v>0</v>
      </c>
      <c r="OP9" s="14">
        <f>'[1]D-PS'!$BW$36</f>
        <v>0</v>
      </c>
      <c r="OQ9" s="14">
        <f>'[1]D-PS'!$BW$37</f>
        <v>0</v>
      </c>
      <c r="OR9" s="14">
        <f>'[1]D-PS'!$BW$38</f>
        <v>0</v>
      </c>
      <c r="OS9" s="14">
        <f>'[1]D-PS'!$BW$39</f>
        <v>0</v>
      </c>
      <c r="OT9" s="14">
        <f>'[1]D-PS'!$BW$40</f>
        <v>0</v>
      </c>
      <c r="OU9" s="14">
        <f>'[1]D-PS'!$BW$41</f>
        <v>0</v>
      </c>
      <c r="OV9" s="14">
        <f>'[1]D-PS'!$BW$42</f>
        <v>0</v>
      </c>
      <c r="OW9" s="14">
        <f>'[1]D-PS'!$BW$43</f>
        <v>0</v>
      </c>
      <c r="OX9" s="14">
        <f>'[1]D-PS'!$BW$44</f>
        <v>0</v>
      </c>
      <c r="OY9" s="14">
        <f>'[1]D-PS'!$BW$45</f>
        <v>0</v>
      </c>
      <c r="OZ9" s="14">
        <f>'[1]D-PS'!$BW$46</f>
        <v>0</v>
      </c>
      <c r="PA9" s="14">
        <f>'[1]D-PS'!$BW$47</f>
        <v>0</v>
      </c>
      <c r="PB9" s="14">
        <f>'[1]D-PS'!$BW$48</f>
        <v>0</v>
      </c>
      <c r="PC9" s="16">
        <f>SUM(NR9:PB9)</f>
        <v>7037590.19921875</v>
      </c>
    </row>
    <row r="10" spans="1:423" outlineLevel="1" x14ac:dyDescent="0.3">
      <c r="A10" s="46" t="s">
        <v>8</v>
      </c>
      <c r="B10" s="25">
        <f>'[2]CF PDP'!$BT$36</f>
        <v>27193700</v>
      </c>
      <c r="C10" s="25">
        <f>'[2]CF PDP'!$BT$37</f>
        <v>17698572</v>
      </c>
      <c r="D10" s="25">
        <f>'[2]CF PDP'!$BT$38</f>
        <v>11202308</v>
      </c>
      <c r="E10" s="25">
        <f>'[2]CF PDP'!$BT$39</f>
        <v>7183245</v>
      </c>
      <c r="F10" s="25">
        <f>'[2]CF PDP'!$BT$40</f>
        <v>4859417</v>
      </c>
      <c r="G10" s="25">
        <f>'[2]CF PDP'!$BT$41</f>
        <v>3084963</v>
      </c>
      <c r="H10" s="25">
        <f>'[2]CF PDP'!$BT$42</f>
        <v>0</v>
      </c>
      <c r="I10" s="25">
        <f>'[2]CF PDP'!$BT$43</f>
        <v>0</v>
      </c>
      <c r="J10" s="25">
        <f>'[2]CF PDP'!$BT$44</f>
        <v>0</v>
      </c>
      <c r="K10" s="25">
        <f>'[2]CF PDP'!$BT$45</f>
        <v>0</v>
      </c>
      <c r="L10" s="25">
        <f>'[2]CF PDP'!$BT$46</f>
        <v>0</v>
      </c>
      <c r="M10" s="25">
        <f>'[2]CF PDP'!$BT$47</f>
        <v>0</v>
      </c>
      <c r="N10" s="25">
        <f>'[2]CF PDP'!$BT$48</f>
        <v>0</v>
      </c>
      <c r="O10" s="25">
        <f>'[2]CF PDP'!$BT$49</f>
        <v>0</v>
      </c>
      <c r="P10" s="25">
        <f>'[2]CF PDP'!$BT$50</f>
        <v>0</v>
      </c>
      <c r="Q10" s="25">
        <f>'[2]CF PDP'!$BT$51</f>
        <v>0</v>
      </c>
      <c r="R10" s="25">
        <f>'[2]CF PDP'!$BT$52</f>
        <v>0</v>
      </c>
      <c r="S10" s="25">
        <f>'[2]CF PDP'!$BT$53</f>
        <v>0</v>
      </c>
      <c r="T10" s="25">
        <f>'[2]CF PDP'!$BT$54</f>
        <v>0</v>
      </c>
      <c r="U10" s="25">
        <f>'[2]CF PDP'!$BT$55</f>
        <v>0</v>
      </c>
      <c r="V10" s="25">
        <f>'[2]CF PDP'!$BT$56</f>
        <v>0</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71222205</v>
      </c>
      <c r="AN10" s="27">
        <f>'[2]CF PNP'!$BT$36</f>
        <v>2743623</v>
      </c>
      <c r="AO10" s="25">
        <f>'[2]CF PNP'!$BT$37</f>
        <v>2377055</v>
      </c>
      <c r="AP10" s="25">
        <f>'[2]CF PNP'!$BT$38</f>
        <v>2552790</v>
      </c>
      <c r="AQ10" s="25">
        <f>'[2]CF PNP'!$BT$39</f>
        <v>1906518</v>
      </c>
      <c r="AR10" s="25">
        <f>'[2]CF PNP'!$BT$40</f>
        <v>1363259</v>
      </c>
      <c r="AS10" s="25">
        <f>'[2]CF PNP'!$BT$41</f>
        <v>1025073</v>
      </c>
      <c r="AT10" s="25">
        <f>'[2]CF PNP'!$BT$42</f>
        <v>2102320</v>
      </c>
      <c r="AU10" s="25">
        <f>'[2]CF PNP'!$BT$43</f>
        <v>0</v>
      </c>
      <c r="AV10" s="25">
        <f>'[2]CF PNP'!$BT$44</f>
        <v>0</v>
      </c>
      <c r="AW10" s="25">
        <f>'[2]CF PNP'!$BT$45</f>
        <v>0</v>
      </c>
      <c r="AX10" s="25">
        <f>'[2]CF PNP'!$BT$46</f>
        <v>0</v>
      </c>
      <c r="AY10" s="25">
        <f>'[2]CF PNP'!$BT$47</f>
        <v>0</v>
      </c>
      <c r="AZ10" s="25">
        <f>'[2]CF PNP'!$BT$48</f>
        <v>0</v>
      </c>
      <c r="BA10" s="25">
        <f>'[2]CF PNP'!$BT$49</f>
        <v>0</v>
      </c>
      <c r="BB10" s="25">
        <f>'[2]CF PNP'!$BT$50</f>
        <v>0</v>
      </c>
      <c r="BC10" s="25">
        <f>'[2]CF PNP'!$BT$51</f>
        <v>0</v>
      </c>
      <c r="BD10" s="25">
        <f>'[2]CF PNP'!$BT$52</f>
        <v>0</v>
      </c>
      <c r="BE10" s="25">
        <f>'[2]CF PNP'!$BT$53</f>
        <v>0</v>
      </c>
      <c r="BF10" s="25">
        <f>'[2]CF PNP'!$BT$54</f>
        <v>0</v>
      </c>
      <c r="BG10" s="25">
        <f>'[2]CF PNP'!$BT$55</f>
        <v>0</v>
      </c>
      <c r="BH10" s="25">
        <f>'[2]CF PNP'!$BT$56</f>
        <v>0</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14070638</v>
      </c>
      <c r="BZ10" s="27">
        <f>'[2]CF PND'!$BT$36</f>
        <v>6958775</v>
      </c>
      <c r="CA10" s="25">
        <f>'[2]CF PND'!$BT$37</f>
        <v>6280681</v>
      </c>
      <c r="CB10" s="25">
        <f>'[2]CF PND'!$BT$38</f>
        <v>4610101</v>
      </c>
      <c r="CC10" s="25">
        <f>'[2]CF PND'!$BT$39</f>
        <v>5301573</v>
      </c>
      <c r="CD10" s="25">
        <f>'[2]CF PND'!$BT$40</f>
        <v>17473815</v>
      </c>
      <c r="CE10" s="25">
        <f>'[2]CF PND'!$BT$41</f>
        <v>24484383</v>
      </c>
      <c r="CF10" s="25">
        <f>'[2]CF PND'!$BT$42</f>
        <v>26946964</v>
      </c>
      <c r="CG10" s="25">
        <f>'[2]CF PND'!$BT$43</f>
        <v>20079067</v>
      </c>
      <c r="CH10" s="25">
        <f>'[2]CF PND'!$BT$44</f>
        <v>12816221</v>
      </c>
      <c r="CI10" s="25">
        <f>'[2]CF PND'!$BT$45</f>
        <v>0</v>
      </c>
      <c r="CJ10" s="25">
        <f>'[2]CF PND'!$BT$46</f>
        <v>0</v>
      </c>
      <c r="CK10" s="25">
        <f>'[2]CF PND'!$BT$47</f>
        <v>0</v>
      </c>
      <c r="CL10" s="25">
        <f>'[2]CF PND'!$BT$48</f>
        <v>0</v>
      </c>
      <c r="CM10" s="25">
        <f>'[2]CF PND'!$BT$49</f>
        <v>0</v>
      </c>
      <c r="CN10" s="25">
        <f>'[2]CF PND'!$BT$50</f>
        <v>0</v>
      </c>
      <c r="CO10" s="25">
        <f>'[2]CF PND'!$BT$51</f>
        <v>0</v>
      </c>
      <c r="CP10" s="25">
        <f>'[2]CF PND'!$BT$52</f>
        <v>0</v>
      </c>
      <c r="CQ10" s="25">
        <f>'[2]CF PND'!$BT$53</f>
        <v>0</v>
      </c>
      <c r="CR10" s="25">
        <f>'[2]CF PND'!$BT$54</f>
        <v>0</v>
      </c>
      <c r="CS10" s="25">
        <f>'[2]CF PND'!$BT$55</f>
        <v>0</v>
      </c>
      <c r="CT10" s="25">
        <f>'[2]CF PND'!$BT$56</f>
        <v>0</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124951580</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5557961</v>
      </c>
      <c r="HW10" s="25">
        <f>'[2]CF PRB'!$BT$37</f>
        <v>4107073</v>
      </c>
      <c r="HX10" s="25">
        <f>'[2]CF PRB'!$BT$38</f>
        <v>3089741</v>
      </c>
      <c r="HY10" s="25">
        <f>'[2]CF PRB'!$BT$39</f>
        <v>2662015</v>
      </c>
      <c r="HZ10" s="25">
        <f>'[2]CF PRB'!$BT$40</f>
        <v>2014500</v>
      </c>
      <c r="IA10" s="25">
        <f>'[2]CF PRB'!$BT$41</f>
        <v>1519977</v>
      </c>
      <c r="IB10" s="25">
        <f>'[2]CF PRB'!$BT$42</f>
        <v>1038833</v>
      </c>
      <c r="IC10" s="25">
        <f>'[2]CF PRB'!$BT$43</f>
        <v>469104</v>
      </c>
      <c r="ID10" s="25">
        <f>'[2]CF PRB'!$BT$44</f>
        <v>267568</v>
      </c>
      <c r="IE10" s="25">
        <f>'[2]CF PRB'!$BT$45</f>
        <v>14568886</v>
      </c>
      <c r="IF10" s="25">
        <f>'[2]CF PRB'!$BT$46</f>
        <v>0</v>
      </c>
      <c r="IG10" s="25">
        <f>'[2]CF PRB'!$BT$47</f>
        <v>0</v>
      </c>
      <c r="IH10" s="25">
        <f>'[2]CF PRB'!$BT$48</f>
        <v>0</v>
      </c>
      <c r="II10" s="25">
        <f>'[2]CF PRB'!$BT$49</f>
        <v>0</v>
      </c>
      <c r="IJ10" s="25">
        <f>'[2]CF PRB'!$BT$50</f>
        <v>0</v>
      </c>
      <c r="IK10" s="25">
        <f>'[2]CF PRB'!$BT$51</f>
        <v>0</v>
      </c>
      <c r="IL10" s="25">
        <f>'[2]CF PRB'!$BT$52</f>
        <v>0</v>
      </c>
      <c r="IM10" s="25">
        <f>'[2]CF PRB'!$BT$53</f>
        <v>0</v>
      </c>
      <c r="IN10" s="25">
        <f>'[2]CF PRB'!$BT$54</f>
        <v>0</v>
      </c>
      <c r="IO10" s="25">
        <f>'[2]CF PRB'!$BT$55</f>
        <v>0</v>
      </c>
      <c r="IP10" s="25">
        <f>'[2]CF PRB'!$BT$56</f>
        <v>0</v>
      </c>
      <c r="IQ10" s="25">
        <f>'[2]CF PRB'!$BT$57</f>
        <v>0</v>
      </c>
      <c r="IR10" s="25">
        <f>'[2]CF PRB'!$BT$58</f>
        <v>0</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35295658</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1947704</v>
      </c>
      <c r="NS10" s="25">
        <f>'[2]CF PS'!$BT$37</f>
        <v>1565655</v>
      </c>
      <c r="NT10" s="25">
        <f>'[2]CF PS'!$BT$38</f>
        <v>1111745</v>
      </c>
      <c r="NU10" s="25">
        <f>'[2]CF PS'!$BT$39</f>
        <v>791619</v>
      </c>
      <c r="NV10" s="25">
        <f>'[2]CF PS'!$BT$40</f>
        <v>564569</v>
      </c>
      <c r="NW10" s="25">
        <f>'[2]CF PS'!$BT$41</f>
        <v>387400</v>
      </c>
      <c r="NX10" s="25">
        <f>'[2]CF PS'!$BT$42</f>
        <v>0</v>
      </c>
      <c r="NY10" s="25">
        <f>'[2]CF PS'!$BT$43</f>
        <v>193987</v>
      </c>
      <c r="NZ10" s="25">
        <f>'[2]CF PS'!$BT$44</f>
        <v>217207</v>
      </c>
      <c r="OA10" s="25">
        <f>'[2]CF PS'!$BT$45</f>
        <v>215010</v>
      </c>
      <c r="OB10" s="25">
        <f>'[2]CF PS'!$BT$46</f>
        <v>0</v>
      </c>
      <c r="OC10" s="25">
        <f>'[2]CF PS'!$BT$47</f>
        <v>0</v>
      </c>
      <c r="OD10" s="25">
        <f>'[2]CF PS'!$BT$48</f>
        <v>0</v>
      </c>
      <c r="OE10" s="25">
        <f>'[2]CF PS'!$BT$49</f>
        <v>0</v>
      </c>
      <c r="OF10" s="25">
        <f>'[2]CF PS'!$BT$50</f>
        <v>0</v>
      </c>
      <c r="OG10" s="25">
        <f>'[2]CF PS'!$BT$51</f>
        <v>0</v>
      </c>
      <c r="OH10" s="25">
        <f>'[2]CF PS'!$BT$52</f>
        <v>0</v>
      </c>
      <c r="OI10" s="25">
        <f>'[2]CF PS'!$BT$53</f>
        <v>0</v>
      </c>
      <c r="OJ10" s="25">
        <f>'[2]CF PS'!$BT$54</f>
        <v>0</v>
      </c>
      <c r="OK10" s="25">
        <f>'[2]CF PS'!$BT$55</f>
        <v>0</v>
      </c>
      <c r="OL10" s="25">
        <f>'[2]CF PS'!$BT$56</f>
        <v>0</v>
      </c>
      <c r="OM10" s="25">
        <f>'[2]CF PS'!$BT$57</f>
        <v>0</v>
      </c>
      <c r="ON10" s="25">
        <f>'[2]CF PS'!$BT$58</f>
        <v>0</v>
      </c>
      <c r="OO10" s="25">
        <f>'[2]CF PS'!$BT$59</f>
        <v>0</v>
      </c>
      <c r="OP10" s="25">
        <f>'[2]CF PS'!$BT$60</f>
        <v>0</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6994896</v>
      </c>
    </row>
    <row r="11" spans="1:423" ht="16.5" thickBot="1" x14ac:dyDescent="0.35">
      <c r="A11" s="47" t="s">
        <v>9</v>
      </c>
      <c r="B11" s="40">
        <f>IF(AND(B9&lt;&gt;0,B10&lt;&gt;0),(B9-B10)/B10,IF(AND(B9=0,B10=0),"",IF(AND(B9="",B10=""),"",IF(AND(B9=0,B10=""),"", IF(AND(B9="",B10=0),"",1)))))</f>
        <v>1.2348448353846663E-4</v>
      </c>
      <c r="C11" s="40">
        <f t="shared" ref="C11" si="263">IF(AND(C9&lt;&gt;0,C10&lt;&gt;0),(C9-C10)/C10,IF(AND(C9=0,C10=0),"",IF(AND(C9="",C10=""),"",IF(AND(C9=0,C10=""),"", IF(AND(C9="",C10=0),"",1)))))</f>
        <v>1.2396480348810063E-4</v>
      </c>
      <c r="D11" s="40">
        <f t="shared" ref="D11" si="264">IF(AND(D9&lt;&gt;0,D10&lt;&gt;0),(D9-D10)/D10,IF(AND(D9=0,D10=0),"",IF(AND(D9="",D10=""),"",IF(AND(D9=0,D10=""),"", IF(AND(D9="",D10=0),"",1)))))</f>
        <v>1.195289399291646E-4</v>
      </c>
      <c r="E11" s="40">
        <f t="shared" ref="E11" si="265">IF(AND(E9&lt;&gt;0,E10&lt;&gt;0),(E9-E10)/E10,IF(AND(E9=0,E10=0),"",IF(AND(E9="",E10=""),"",IF(AND(E9=0,E10=""),"", IF(AND(E9="",E10=0),"",1)))))</f>
        <v>1.2139360414408808E-4</v>
      </c>
      <c r="F11" s="40">
        <f t="shared" ref="F11" si="266">IF(AND(F9&lt;&gt;0,F10&lt;&gt;0),(F9-F10)/F10,IF(AND(F9=0,F10=0),"",IF(AND(F9="",F10=""),"",IF(AND(F9=0,F10=""),"", IF(AND(F9="",F10=0),"",1)))))</f>
        <v>1.0958104645063389E-4</v>
      </c>
      <c r="G11" s="40">
        <f t="shared" ref="G11" si="267">IF(AND(G9&lt;&gt;0,G10&lt;&gt;0),(G9-G10)/G10,IF(AND(G9=0,G10=0),"",IF(AND(G9="",G10=""),"",IF(AND(G9=0,G10=""),"", IF(AND(G9="",G10=0),"",1)))))</f>
        <v>1.4473431285885762E-4</v>
      </c>
      <c r="H11" s="40">
        <f t="shared" ref="H11" si="268">IF(AND(H9&lt;&gt;0,H10&lt;&gt;0),(H9-H10)/H10,IF(AND(H9=0,H10=0),"",IF(AND(H9="",H10=""),"",IF(AND(H9=0,H10=""),"", IF(AND(H9="",H10=0),"",1)))))</f>
        <v>1</v>
      </c>
      <c r="I11" s="40">
        <f t="shared" ref="I11" si="269">IF(AND(I9&lt;&gt;0,I10&lt;&gt;0),(I9-I10)/I10,IF(AND(I9=0,I10=0),"",IF(AND(I9="",I10=""),"",IF(AND(I9=0,I10=""),"", IF(AND(I9="",I10=0),"",1)))))</f>
        <v>1</v>
      </c>
      <c r="J11" s="40">
        <f t="shared" ref="J11" si="270">IF(AND(J9&lt;&gt;0,J10&lt;&gt;0),(J9-J10)/J10,IF(AND(J9=0,J10=0),"",IF(AND(J9="",J10=""),"",IF(AND(J9=0,J10=""),"", IF(AND(J9="",J10=0),"",1)))))</f>
        <v>1</v>
      </c>
      <c r="K11" s="40">
        <f t="shared" ref="K11" si="271">IF(AND(K9&lt;&gt;0,K10&lt;&gt;0),(K9-K10)/K10,IF(AND(K9=0,K10=0),"",IF(AND(K9="",K10=""),"",IF(AND(K9=0,K10=""),"", IF(AND(K9="",K10=0),"",1)))))</f>
        <v>1</v>
      </c>
      <c r="L11" s="40">
        <f t="shared" ref="L11" si="272">IF(AND(L9&lt;&gt;0,L10&lt;&gt;0),(L9-L10)/L10,IF(AND(L9=0,L10=0),"",IF(AND(L9="",L10=""),"",IF(AND(L9=0,L10=""),"", IF(AND(L9="",L10=0),"",1)))))</f>
        <v>1</v>
      </c>
      <c r="M11" s="40" t="str">
        <f t="shared" ref="M11" si="273">IF(AND(M9&lt;&gt;0,M10&lt;&gt;0),(M9-M10)/M10,IF(AND(M9=0,M10=0),"",IF(AND(M9="",M10=""),"",IF(AND(M9=0,M10=""),"", IF(AND(M9="",M10=0),"",1)))))</f>
        <v/>
      </c>
      <c r="N11" s="40" t="str">
        <f t="shared" ref="N11" si="274">IF(AND(N9&lt;&gt;0,N10&lt;&gt;0),(N9-N10)/N10,IF(AND(N9=0,N10=0),"",IF(AND(N9="",N10=""),"",IF(AND(N9=0,N10=""),"", IF(AND(N9="",N10=0),"",1)))))</f>
        <v/>
      </c>
      <c r="O11" s="40" t="str">
        <f t="shared" ref="O11" si="275">IF(AND(O9&lt;&gt;0,O10&lt;&gt;0),(O9-O10)/O10,IF(AND(O9=0,O10=0),"",IF(AND(O9="",O10=""),"",IF(AND(O9=0,O10=""),"", IF(AND(O9="",O10=0),"",1)))))</f>
        <v/>
      </c>
      <c r="P11" s="40" t="str">
        <f t="shared" ref="P11" si="276">IF(AND(P9&lt;&gt;0,P10&lt;&gt;0),(P9-P10)/P10,IF(AND(P9=0,P10=0),"",IF(AND(P9="",P10=""),"",IF(AND(P9=0,P10=""),"", IF(AND(P9="",P10=0),"",1)))))</f>
        <v/>
      </c>
      <c r="Q11" s="40" t="str">
        <f t="shared" ref="Q11" si="277">IF(AND(Q9&lt;&gt;0,Q10&lt;&gt;0),(Q9-Q10)/Q10,IF(AND(Q9=0,Q10=0),"",IF(AND(Q9="",Q10=""),"",IF(AND(Q9=0,Q10=""),"", IF(AND(Q9="",Q10=0),"",1)))))</f>
        <v/>
      </c>
      <c r="R11" s="40" t="str">
        <f t="shared" ref="R11" si="278">IF(AND(R9&lt;&gt;0,R10&lt;&gt;0),(R9-R10)/R10,IF(AND(R9=0,R10=0),"",IF(AND(R9="",R10=""),"",IF(AND(R9=0,R10=""),"", IF(AND(R9="",R10=0),"",1)))))</f>
        <v/>
      </c>
      <c r="S11" s="40" t="str">
        <f t="shared" ref="S11" si="279">IF(AND(S9&lt;&gt;0,S10&lt;&gt;0),(S9-S10)/S10,IF(AND(S9=0,S10=0),"",IF(AND(S9="",S10=""),"",IF(AND(S9=0,S10=""),"", IF(AND(S9="",S10=0),"",1)))))</f>
        <v/>
      </c>
      <c r="T11" s="40" t="str">
        <f t="shared" ref="T11" si="280">IF(AND(T9&lt;&gt;0,T10&lt;&gt;0),(T9-T10)/T10,IF(AND(T9=0,T10=0),"",IF(AND(T9="",T10=""),"",IF(AND(T9=0,T10=""),"", IF(AND(T9="",T10=0),"",1)))))</f>
        <v/>
      </c>
      <c r="U11" s="40" t="str">
        <f t="shared" ref="U11" si="281">IF(AND(U9&lt;&gt;0,U10&lt;&gt;0),(U9-U10)/U10,IF(AND(U9=0,U10=0),"",IF(AND(U9="",U10=""),"",IF(AND(U9=0,U10=""),"", IF(AND(U9="",U10=0),"",1)))))</f>
        <v/>
      </c>
      <c r="V11" s="40" t="str">
        <f t="shared" ref="V11" si="282">IF(AND(V9&lt;&gt;0,V10&lt;&gt;0),(V9-V10)/V10,IF(AND(V9=0,V10=0),"",IF(AND(V9="",V10=""),"",IF(AND(V9=0,V10=""),"", IF(AND(V9="",V10=0),"",1)))))</f>
        <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3.7025427586101833E-2</v>
      </c>
      <c r="AN11" s="39">
        <f t="shared" ref="AN11" si="286">IF(AND(AN9&lt;&gt;0,AN10&lt;&gt;0),(AN9-AN10)/AN10,IF(AND(AN9=0,AN10=0),"",IF(AND(AN9="",AN10=""),"",IF(AND(AN9=0,AN10=""),"", IF(AND(AN9="",AN10=0),"",1)))))</f>
        <v>9.8227781295024858E-5</v>
      </c>
      <c r="AO11" s="40">
        <f t="shared" ref="AO11" si="287">IF(AND(AO9&lt;&gt;0,AO10&lt;&gt;0),(AO9-AO10)/AO10,IF(AND(AO9=0,AO10=0),"",IF(AND(AO9="",AO10=""),"",IF(AND(AO9=0,AO10=""),"", IF(AND(AO9="",AO10=0),"",1)))))</f>
        <v>1.1831867584048328E-4</v>
      </c>
      <c r="AP11" s="40">
        <f t="shared" ref="AP11" si="288">IF(AND(AP9&lt;&gt;0,AP10&lt;&gt;0),(AP9-AP10)/AP10,IF(AND(AP9=0,AP10=0),"",IF(AND(AP9="",AP10=""),"",IF(AND(AP9=0,AP10=""),"", IF(AND(AP9="",AP10=0),"",1)))))</f>
        <v>1.2956412395849249E-4</v>
      </c>
      <c r="AQ11" s="40">
        <f t="shared" ref="AQ11" si="289">IF(AND(AQ9&lt;&gt;0,AQ10&lt;&gt;0),(AQ9-AQ10)/AQ10,IF(AND(AQ9=0,AQ10=0),"",IF(AND(AQ9="",AQ10=""),"",IF(AND(AQ9=0,AQ10=""),"", IF(AND(AQ9="",AQ10=0),"",1)))))</f>
        <v>9.6379892558056104E-5</v>
      </c>
      <c r="AR11" s="40">
        <f t="shared" ref="AR11" si="290">IF(AND(AR9&lt;&gt;0,AR10&lt;&gt;0),(AR9-AR10)/AR10,IF(AND(AR9=0,AR10=0),"",IF(AND(AR9="",AR10=""),"",IF(AND(AR9=0,AR10=""),"", IF(AND(AR9="",AR10=0),"",1)))))</f>
        <v>1.3157807870698085E-4</v>
      </c>
      <c r="AS11" s="40">
        <f t="shared" ref="AS11" si="291">IF(AND(AS9&lt;&gt;0,AS10&lt;&gt;0),(AS9-AS10)/AS10,IF(AND(AS9=0,AS10=0),"",IF(AND(AS9="",AS10=""),"",IF(AND(AS9=0,AS10=""),"", IF(AND(AS9="",AS10=0),"",1)))))</f>
        <v>2.975397849714118E-5</v>
      </c>
      <c r="AT11" s="40">
        <f t="shared" ref="AT11" si="292">IF(AND(AT9&lt;&gt;0,AT10&lt;&gt;0),(AT9-AT10)/AT10,IF(AND(AT9=0,AT10=0),"",IF(AND(AT9="",AT10=""),"",IF(AND(AT9=0,AT10=""),"", IF(AND(AT9="",AT10=0),"",1)))))</f>
        <v>-0.69929875090376348</v>
      </c>
      <c r="AU11" s="40">
        <f t="shared" ref="AU11" si="293">IF(AND(AU9&lt;&gt;0,AU10&lt;&gt;0),(AU9-AU10)/AU10,IF(AND(AU9=0,AU10=0),"",IF(AND(AU9="",AU10=""),"",IF(AND(AU9=0,AU10=""),"", IF(AND(AU9="",AU10=0),"",1)))))</f>
        <v>1</v>
      </c>
      <c r="AV11" s="40">
        <f t="shared" ref="AV11" si="294">IF(AND(AV9&lt;&gt;0,AV10&lt;&gt;0),(AV9-AV10)/AV10,IF(AND(AV9=0,AV10=0),"",IF(AND(AV9="",AV10=""),"",IF(AND(AV9=0,AV10=""),"", IF(AND(AV9="",AV10=0),"",1)))))</f>
        <v>1</v>
      </c>
      <c r="AW11" s="40" t="str">
        <f t="shared" ref="AW11" si="295">IF(AND(AW9&lt;&gt;0,AW10&lt;&gt;0),(AW9-AW10)/AW10,IF(AND(AW9=0,AW10=0),"",IF(AND(AW9="",AW10=""),"",IF(AND(AW9=0,AW10=""),"", IF(AND(AW9="",AW10=0),"",1)))))</f>
        <v/>
      </c>
      <c r="AX11" s="40" t="str">
        <f t="shared" ref="AX11" si="296">IF(AND(AX9&lt;&gt;0,AX10&lt;&gt;0),(AX9-AX10)/AX10,IF(AND(AX9=0,AX10=0),"",IF(AND(AX9="",AX10=""),"",IF(AND(AX9=0,AX10=""),"", IF(AND(AX9="",AX10=0),"",1)))))</f>
        <v/>
      </c>
      <c r="AY11" s="40" t="str">
        <f t="shared" ref="AY11" si="297">IF(AND(AY9&lt;&gt;0,AY10&lt;&gt;0),(AY9-AY10)/AY10,IF(AND(AY9=0,AY10=0),"",IF(AND(AY9="",AY10=""),"",IF(AND(AY9=0,AY10=""),"", IF(AND(AY9="",AY10=0),"",1)))))</f>
        <v/>
      </c>
      <c r="AZ11" s="40" t="str">
        <f t="shared" ref="AZ11" si="298">IF(AND(AZ9&lt;&gt;0,AZ10&lt;&gt;0),(AZ9-AZ10)/AZ10,IF(AND(AZ9=0,AZ10=0),"",IF(AND(AZ9="",AZ10=""),"",IF(AND(AZ9=0,AZ10=""),"", IF(AND(AZ9="",AZ10=0),"",1)))))</f>
        <v/>
      </c>
      <c r="BA11" s="40" t="str">
        <f t="shared" ref="BA11" si="299">IF(AND(BA9&lt;&gt;0,BA10&lt;&gt;0),(BA9-BA10)/BA10,IF(AND(BA9=0,BA10=0),"",IF(AND(BA9="",BA10=""),"",IF(AND(BA9=0,BA10=""),"", IF(AND(BA9="",BA10=0),"",1)))))</f>
        <v/>
      </c>
      <c r="BB11" s="40" t="str">
        <f t="shared" ref="BB11" si="300">IF(AND(BB9&lt;&gt;0,BB10&lt;&gt;0),(BB9-BB10)/BB10,IF(AND(BB9=0,BB10=0),"",IF(AND(BB9="",BB10=""),"",IF(AND(BB9=0,BB10=""),"", IF(AND(BB9="",BB10=0),"",1)))))</f>
        <v/>
      </c>
      <c r="BC11" s="40" t="str">
        <f t="shared" ref="BC11" si="301">IF(AND(BC9&lt;&gt;0,BC10&lt;&gt;0),(BC9-BC10)/BC10,IF(AND(BC9=0,BC10=0),"",IF(AND(BC9="",BC10=""),"",IF(AND(BC9=0,BC10=""),"", IF(AND(BC9="",BC10=0),"",1)))))</f>
        <v/>
      </c>
      <c r="BD11" s="40" t="str">
        <f t="shared" ref="BD11" si="302">IF(AND(BD9&lt;&gt;0,BD10&lt;&gt;0),(BD9-BD10)/BD10,IF(AND(BD9=0,BD10=0),"",IF(AND(BD9="",BD10=""),"",IF(AND(BD9=0,BD10=""),"", IF(AND(BD9="",BD10=0),"",1)))))</f>
        <v/>
      </c>
      <c r="BE11" s="40" t="str">
        <f t="shared" ref="BE11" si="303">IF(AND(BE9&lt;&gt;0,BE10&lt;&gt;0),(BE9-BE10)/BE10,IF(AND(BE9=0,BE10=0),"",IF(AND(BE9="",BE10=""),"",IF(AND(BE9=0,BE10=""),"", IF(AND(BE9="",BE10=0),"",1)))))</f>
        <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-7.2242710205287067E-2</v>
      </c>
      <c r="BZ11" s="39">
        <f t="shared" ref="BZ11" si="310">IF(AND(BZ9&lt;&gt;0,BZ10&lt;&gt;0),(BZ9-BZ10)/BZ10,IF(AND(BZ9=0,BZ10=0),"",IF(AND(BZ9="",BZ10=""),"",IF(AND(BZ9=0,BZ10=""),"", IF(AND(BZ9="",BZ10=0),"",1)))))</f>
        <v>1.3041088409957214E-4</v>
      </c>
      <c r="CA11" s="40">
        <f t="shared" ref="CA11" si="311">IF(AND(CA9&lt;&gt;0,CA10&lt;&gt;0),(CA9-CA10)/CA10,IF(AND(CA9=0,CA10=0),"",IF(AND(CA9="",CA10=""),"",IF(AND(CA9=0,CA10=""),"", IF(AND(CA9="",CA10=0),"",1)))))</f>
        <v>1.2164286006565212E-4</v>
      </c>
      <c r="CB11" s="40">
        <f t="shared" ref="CB11" si="312">IF(AND(CB9&lt;&gt;0,CB10&lt;&gt;0),(CB9-CB10)/CB10,IF(AND(CB9=0,CB10=0),"",IF(AND(CB9="",CB10=""),"",IF(AND(CB9=0,CB10=""),"", IF(AND(CB9="",CB10=0),"",1)))))</f>
        <v>1.211470204231968E-4</v>
      </c>
      <c r="CC11" s="40">
        <f t="shared" ref="CC11" si="313">IF(AND(CC9&lt;&gt;0,CC10&lt;&gt;0),(CC9-CC10)/CC10,IF(AND(CC9=0,CC10=0),"",IF(AND(CC9="",CC10=""),"",IF(AND(CC9=0,CC10=""),"", IF(AND(CC9="",CC10=0),"",1)))))</f>
        <v>1.3147041453545957E-4</v>
      </c>
      <c r="CD11" s="40">
        <f t="shared" ref="CD11" si="314">IF(AND(CD9&lt;&gt;0,CD10&lt;&gt;0),(CD9-CD10)/CD10,IF(AND(CD9=0,CD10=0),"",IF(AND(CD9="",CD10=""),"",IF(AND(CD9=0,CD10=""),"", IF(AND(CD9="",CD10=0),"",1)))))</f>
        <v>1.2550207267273918E-4</v>
      </c>
      <c r="CE11" s="40">
        <f t="shared" ref="CE11" si="315">IF(AND(CE9&lt;&gt;0,CE10&lt;&gt;0),(CE9-CE10)/CE10,IF(AND(CE9=0,CE10=0),"",IF(AND(CE9="",CE10=""),"",IF(AND(CE9=0,CE10=""),"", IF(AND(CE9="",CE10=0),"",1)))))</f>
        <v>1.2248623949396643E-4</v>
      </c>
      <c r="CF11" s="40">
        <f t="shared" ref="CF11" si="316">IF(AND(CF9&lt;&gt;0,CF10&lt;&gt;0),(CF9-CF10)/CF10,IF(AND(CF9=0,CF10=0),"",IF(AND(CF9="",CF10=""),"",IF(AND(CF9=0,CF10=""),"", IF(AND(CF9="",CF10=0),"",1)))))</f>
        <v>1.2060727880142638E-4</v>
      </c>
      <c r="CG11" s="40">
        <f t="shared" ref="CG11" si="317">IF(AND(CG9&lt;&gt;0,CG10&lt;&gt;0),(CG9-CG10)/CG10,IF(AND(CG9=0,CG10=0),"",IF(AND(CG9="",CG10=""),"",IF(AND(CG9=0,CG10=""),"", IF(AND(CG9="",CG10=0),"",1)))))</f>
        <v>-4.5486227024393117E-2</v>
      </c>
      <c r="CH11" s="40">
        <f t="shared" ref="CH11" si="318">IF(AND(CH9&lt;&gt;0,CH10&lt;&gt;0),(CH9-CH10)/CH10,IF(AND(CH9=0,CH10=0),"",IF(AND(CH9="",CH10=""),"",IF(AND(CH9=0,CH10=""),"", IF(AND(CH9="",CH10=0),"",1)))))</f>
        <v>-1.1086029181300791E-2</v>
      </c>
      <c r="CI11" s="40">
        <f t="shared" ref="CI11" si="319">IF(AND(CI9&lt;&gt;0,CI10&lt;&gt;0),(CI9-CI10)/CI10,IF(AND(CI9=0,CI10=0),"",IF(AND(CI9="",CI10=""),"",IF(AND(CI9=0,CI10=""),"", IF(AND(CI9="",CI10=0),"",1)))))</f>
        <v>1</v>
      </c>
      <c r="CJ11" s="40">
        <f t="shared" ref="CJ11" si="320">IF(AND(CJ9&lt;&gt;0,CJ10&lt;&gt;0),(CJ9-CJ10)/CJ10,IF(AND(CJ9=0,CJ10=0),"",IF(AND(CJ9="",CJ10=""),"",IF(AND(CJ9=0,CJ10=""),"", IF(AND(CJ9="",CJ10=0),"",1)))))</f>
        <v>1</v>
      </c>
      <c r="CK11" s="40" t="str">
        <f t="shared" ref="CK11" si="321">IF(AND(CK9&lt;&gt;0,CK10&lt;&gt;0),(CK9-CK10)/CK10,IF(AND(CK9=0,CK10=0),"",IF(AND(CK9="",CK10=""),"",IF(AND(CK9=0,CK10=""),"", IF(AND(CK9="",CK10=0),"",1)))))</f>
        <v/>
      </c>
      <c r="CL11" s="40" t="str">
        <f t="shared" ref="CL11" si="322">IF(AND(CL9&lt;&gt;0,CL10&lt;&gt;0),(CL9-CL10)/CL10,IF(AND(CL9=0,CL10=0),"",IF(AND(CL9="",CL10=""),"",IF(AND(CL9=0,CL10=""),"", IF(AND(CL9="",CL10=0),"",1)))))</f>
        <v/>
      </c>
      <c r="CM11" s="40" t="str">
        <f t="shared" ref="CM11" si="323">IF(AND(CM9&lt;&gt;0,CM10&lt;&gt;0),(CM9-CM10)/CM10,IF(AND(CM9=0,CM10=0),"",IF(AND(CM9="",CM10=""),"",IF(AND(CM9=0,CM10=""),"", IF(AND(CM9="",CM10=0),"",1)))))</f>
        <v/>
      </c>
      <c r="CN11" s="40" t="str">
        <f t="shared" ref="CN11" si="324">IF(AND(CN9&lt;&gt;0,CN10&lt;&gt;0),(CN9-CN10)/CN10,IF(AND(CN9=0,CN10=0),"",IF(AND(CN9="",CN10=""),"",IF(AND(CN9=0,CN10=""),"", IF(AND(CN9="",CN10=0),"",1)))))</f>
        <v/>
      </c>
      <c r="CO11" s="40" t="str">
        <f t="shared" ref="CO11" si="325">IF(AND(CO9&lt;&gt;0,CO10&lt;&gt;0),(CO9-CO10)/CO10,IF(AND(CO9=0,CO10=0),"",IF(AND(CO9="",CO10=""),"",IF(AND(CO9=0,CO10=""),"", IF(AND(CO9="",CO10=0),"",1)))))</f>
        <v/>
      </c>
      <c r="CP11" s="40" t="str">
        <f t="shared" ref="CP11" si="326">IF(AND(CP9&lt;&gt;0,CP10&lt;&gt;0),(CP9-CP10)/CP10,IF(AND(CP9=0,CP10=0),"",IF(AND(CP9="",CP10=""),"",IF(AND(CP9=0,CP10=""),"", IF(AND(CP9="",CP10=0),"",1)))))</f>
        <v/>
      </c>
      <c r="CQ11" s="40" t="str">
        <f t="shared" ref="CQ11" si="327">IF(AND(CQ9&lt;&gt;0,CQ10&lt;&gt;0),(CQ9-CQ10)/CQ10,IF(AND(CQ9=0,CQ10=0),"",IF(AND(CQ9="",CQ10=""),"",IF(AND(CQ9=0,CQ10=""),"", IF(AND(CQ9="",CQ10=0),"",1)))))</f>
        <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f t="shared" ref="DK11:HU11" si="333">IF(AND(DK9&lt;&gt;0,DK10&lt;&gt;0),(DK9-DK10)/DK10,IF(AND(DK9=0,DK10=0),"",IF(AND(DK9="",DK10=""),"",IF(AND(DK9=0,DK10=""),"", IF(AND(DK9="",DK10=0),"",1)))))</f>
        <v>0.15021267438154845</v>
      </c>
      <c r="DL11" s="72" t="str">
        <f t="shared" si="333"/>
        <v/>
      </c>
      <c r="DM11" s="73" t="str">
        <f t="shared" si="333"/>
        <v/>
      </c>
      <c r="DN11" s="73" t="str">
        <f t="shared" si="333"/>
        <v/>
      </c>
      <c r="DO11" s="73" t="str">
        <f t="shared" si="333"/>
        <v/>
      </c>
      <c r="DP11" s="73" t="str">
        <f t="shared" si="333"/>
        <v/>
      </c>
      <c r="DQ11" s="73" t="str">
        <f t="shared" si="333"/>
        <v/>
      </c>
      <c r="DR11" s="73" t="str">
        <f t="shared" si="333"/>
        <v/>
      </c>
      <c r="DS11" s="73" t="str">
        <f t="shared" si="333"/>
        <v/>
      </c>
      <c r="DT11" s="73" t="str">
        <f t="shared" si="333"/>
        <v/>
      </c>
      <c r="DU11" s="73" t="str">
        <f t="shared" si="333"/>
        <v/>
      </c>
      <c r="DV11" s="73" t="str">
        <f t="shared" si="333"/>
        <v/>
      </c>
      <c r="DW11" s="73" t="str">
        <f t="shared" si="333"/>
        <v/>
      </c>
      <c r="DX11" s="73" t="str">
        <f t="shared" si="333"/>
        <v/>
      </c>
      <c r="DY11" s="73" t="str">
        <f t="shared" si="333"/>
        <v/>
      </c>
      <c r="DZ11" s="73" t="str">
        <f t="shared" si="333"/>
        <v/>
      </c>
      <c r="EA11" s="73" t="str">
        <f t="shared" si="333"/>
        <v/>
      </c>
      <c r="EB11" s="73" t="str">
        <f t="shared" si="333"/>
        <v/>
      </c>
      <c r="EC11" s="73" t="str">
        <f t="shared" si="333"/>
        <v/>
      </c>
      <c r="ED11" s="73" t="str">
        <f t="shared" si="333"/>
        <v/>
      </c>
      <c r="EE11" s="73" t="str">
        <f t="shared" si="333"/>
        <v/>
      </c>
      <c r="EF11" s="73" t="str">
        <f t="shared" si="333"/>
        <v/>
      </c>
      <c r="EG11" s="73" t="str">
        <f t="shared" si="333"/>
        <v/>
      </c>
      <c r="EH11" s="73" t="str">
        <f t="shared" si="333"/>
        <v/>
      </c>
      <c r="EI11" s="73" t="str">
        <f t="shared" ref="EI11:EV11" si="334">IF(AND(EI9&lt;&gt;0,EI10&lt;&gt;0),(EI9-EI10)/EI10,IF(AND(EI9=0,EI10=0),"",IF(AND(EI9="",EI10=""),"",IF(AND(EI9=0,EI10=""),"", IF(AND(EI9="",EI10=0),"",1)))))</f>
        <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t="str">
        <f t="shared" si="333"/>
        <v/>
      </c>
      <c r="EX11" s="72" t="str">
        <f t="shared" ref="EX11:GI11" si="335">IF(AND(EX9&lt;&gt;0,EX10&lt;&gt;0),(EX9-EX10)/EX10,IF(AND(EX9=0,EX10=0),"",IF(AND(EX9="",EX10=""),"",IF(AND(EX9=0,EX10=""),"", IF(AND(EX9="",EX10=0),"",1)))))</f>
        <v/>
      </c>
      <c r="EY11" s="73" t="str">
        <f t="shared" si="335"/>
        <v/>
      </c>
      <c r="EZ11" s="73" t="str">
        <f t="shared" si="335"/>
        <v/>
      </c>
      <c r="FA11" s="73" t="str">
        <f t="shared" si="335"/>
        <v/>
      </c>
      <c r="FB11" s="73" t="str">
        <f t="shared" si="335"/>
        <v/>
      </c>
      <c r="FC11" s="73" t="str">
        <f t="shared" si="335"/>
        <v/>
      </c>
      <c r="FD11" s="73" t="str">
        <f t="shared" si="335"/>
        <v/>
      </c>
      <c r="FE11" s="73" t="str">
        <f t="shared" si="335"/>
        <v/>
      </c>
      <c r="FF11" s="73" t="str">
        <f t="shared" si="335"/>
        <v/>
      </c>
      <c r="FG11" s="73" t="str">
        <f t="shared" si="335"/>
        <v/>
      </c>
      <c r="FH11" s="73" t="str">
        <f t="shared" si="335"/>
        <v/>
      </c>
      <c r="FI11" s="73" t="str">
        <f t="shared" si="335"/>
        <v/>
      </c>
      <c r="FJ11" s="73" t="str">
        <f t="shared" si="335"/>
        <v/>
      </c>
      <c r="FK11" s="73" t="str">
        <f t="shared" si="335"/>
        <v/>
      </c>
      <c r="FL11" s="73" t="str">
        <f t="shared" si="335"/>
        <v/>
      </c>
      <c r="FM11" s="73" t="str">
        <f t="shared" si="335"/>
        <v/>
      </c>
      <c r="FN11" s="73" t="str">
        <f t="shared" si="335"/>
        <v/>
      </c>
      <c r="FO11" s="73" t="str">
        <f t="shared" si="335"/>
        <v/>
      </c>
      <c r="FP11" s="73" t="str">
        <f t="shared" si="335"/>
        <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t="str">
        <f t="shared" si="335"/>
        <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f t="shared" ref="HV11" si="338">IF(AND(HV9&lt;&gt;0,HV10&lt;&gt;0),(HV9-HV10)/HV10,IF(AND(HV9=0,HV10=0),"",IF(AND(HV9="",HV10=""),"",IF(AND(HV9=0,HV10=""),"", IF(AND(HV9="",HV10=0),"",1)))))</f>
        <v>1.1775901270267999E-4</v>
      </c>
      <c r="HW11" s="40">
        <f t="shared" ref="HW11" si="339">IF(AND(HW9&lt;&gt;0,HW10&lt;&gt;0),(HW9-HW10)/HW10,IF(AND(HW9=0,HW10=0),"",IF(AND(HW9="",HW10=""),"",IF(AND(HW9=0,HW10=""),"", IF(AND(HW9="",HW10=0),"",1)))))</f>
        <v>1.0768009236748409E-4</v>
      </c>
      <c r="HX11" s="40">
        <f t="shared" ref="HX11" si="340">IF(AND(HX9&lt;&gt;0,HX10&lt;&gt;0),(HX9-HX10)/HX10,IF(AND(HX9=0,HX10=0),"",IF(AND(HX9="",HX10=""),"",IF(AND(HX9=0,HX10=""),"", IF(AND(HX9="",HX10=0),"",1)))))</f>
        <v>1.3552915924020816E-4</v>
      </c>
      <c r="HY11" s="40">
        <f t="shared" ref="HY11" si="341">IF(AND(HY9&lt;&gt;0,HY10&lt;&gt;0),(HY9-HY10)/HY10,IF(AND(HY9=0,HY10=0),"",IF(AND(HY9="",HY10=""),"",IF(AND(HY9=0,HY10=""),"", IF(AND(HY9="",HY10=0),"",1)))))</f>
        <v>1.1372963713577873E-4</v>
      </c>
      <c r="HZ11" s="40">
        <f t="shared" ref="HZ11" si="342">IF(AND(HZ9&lt;&gt;0,HZ10&lt;&gt;0),(HZ9-HZ10)/HZ10,IF(AND(HZ9=0,HZ10=0),"",IF(AND(HZ9="",HZ10=""),"",IF(AND(HZ9=0,HZ10=""),"", IF(AND(HZ9="",HZ10=0),"",1)))))</f>
        <v>1.4488706875155126E-4</v>
      </c>
      <c r="IA11" s="40">
        <f t="shared" ref="IA11" si="343">IF(AND(IA9&lt;&gt;0,IA10&lt;&gt;0),(IA9-IA10)/IA10,IF(AND(IA9=0,IA10=0),"",IF(AND(IA9="",IA10=""),"",IF(AND(IA9=0,IA10=""),"", IF(AND(IA9="",IA10=0),"",1)))))</f>
        <v>1.3273227160674143E-4</v>
      </c>
      <c r="IB11" s="40">
        <f t="shared" ref="IB11" si="344">IF(AND(IB9&lt;&gt;0,IB10&lt;&gt;0),(IB9-IB10)/IB10,IF(AND(IB9=0,IB10=0),"",IF(AND(IB9="",IB10=""),"",IF(AND(IB9=0,IB10=""),"", IF(AND(IB9="",IB10=0),"",1)))))</f>
        <v>1.4559606789541727E-4</v>
      </c>
      <c r="IC11" s="40">
        <f t="shared" ref="IC11" si="345">IF(AND(IC9&lt;&gt;0,IC10&lt;&gt;0),(IC9-IC10)/IC10,IF(AND(IC9=0,IC10=0),"",IF(AND(IC9="",IC10=""),"",IF(AND(IC9=0,IC10=""),"", IF(AND(IC9="",IC10=0),"",1)))))</f>
        <v>-7.9073616937821894E-5</v>
      </c>
      <c r="ID11" s="40">
        <f t="shared" ref="ID11" si="346">IF(AND(ID9&lt;&gt;0,ID10&lt;&gt;0),(ID9-ID10)/ID10,IF(AND(ID9=0,ID10=0),"",IF(AND(ID9="",ID10=""),"",IF(AND(ID9=0,ID10=""),"", IF(AND(ID9="",ID10=0),"",1)))))</f>
        <v>1.1094492801829815E-2</v>
      </c>
      <c r="IE11" s="40">
        <f t="shared" ref="IE11" si="347">IF(AND(IE9&lt;&gt;0,IE10&lt;&gt;0),(IE9-IE10)/IE10,IF(AND(IE9=0,IE10=0),"",IF(AND(IE9="",IE10=""),"",IF(AND(IE9=0,IE10=""),"", IF(AND(IE9="",IE10=0),"",1)))))</f>
        <v>-0.98840348663240274</v>
      </c>
      <c r="IF11" s="40">
        <f t="shared" ref="IF11" si="348">IF(AND(IF9&lt;&gt;0,IF10&lt;&gt;0),(IF9-IF10)/IF10,IF(AND(IF9=0,IF10=0),"",IF(AND(IF9="",IF10=""),"",IF(AND(IF9=0,IF10=""),"", IF(AND(IF9="",IF10=0),"",1)))))</f>
        <v>1</v>
      </c>
      <c r="IG11" s="40" t="str">
        <f t="shared" ref="IG11" si="349">IF(AND(IG9&lt;&gt;0,IG10&lt;&gt;0),(IG9-IG10)/IG10,IF(AND(IG9=0,IG10=0),"",IF(AND(IG9="",IG10=""),"",IF(AND(IG9=0,IG10=""),"", IF(AND(IG9="",IG10=0),"",1)))))</f>
        <v/>
      </c>
      <c r="IH11" s="40" t="str">
        <f t="shared" ref="IH11" si="350">IF(AND(IH9&lt;&gt;0,IH10&lt;&gt;0),(IH9-IH10)/IH10,IF(AND(IH9=0,IH10=0),"",IF(AND(IH9="",IH10=""),"",IF(AND(IH9=0,IH10=""),"", IF(AND(IH9="",IH10=0),"",1)))))</f>
        <v/>
      </c>
      <c r="II11" s="40" t="str">
        <f t="shared" ref="II11" si="351">IF(AND(II9&lt;&gt;0,II10&lt;&gt;0),(II9-II10)/II10,IF(AND(II9=0,II10=0),"",IF(AND(II9="",II10=""),"",IF(AND(II9=0,II10=""),"", IF(AND(II9="",II10=0),"",1)))))</f>
        <v/>
      </c>
      <c r="IJ11" s="40" t="str">
        <f t="shared" ref="IJ11" si="352">IF(AND(IJ9&lt;&gt;0,IJ10&lt;&gt;0),(IJ9-IJ10)/IJ10,IF(AND(IJ9=0,IJ10=0),"",IF(AND(IJ9="",IJ10=""),"",IF(AND(IJ9=0,IJ10=""),"", IF(AND(IJ9="",IJ10=0),"",1)))))</f>
        <v/>
      </c>
      <c r="IK11" s="40" t="str">
        <f t="shared" ref="IK11" si="353">IF(AND(IK9&lt;&gt;0,IK10&lt;&gt;0),(IK9-IK10)/IK10,IF(AND(IK9=0,IK10=0),"",IF(AND(IK9="",IK10=""),"",IF(AND(IK9=0,IK10=""),"", IF(AND(IK9="",IK10=0),"",1)))))</f>
        <v/>
      </c>
      <c r="IL11" s="40" t="str">
        <f t="shared" ref="IL11" si="354">IF(AND(IL9&lt;&gt;0,IL10&lt;&gt;0),(IL9-IL10)/IL10,IF(AND(IL9=0,IL10=0),"",IF(AND(IL9="",IL10=""),"",IF(AND(IL9=0,IL10=""),"", IF(AND(IL9="",IL10=0),"",1)))))</f>
        <v/>
      </c>
      <c r="IM11" s="40" t="str">
        <f t="shared" ref="IM11" si="355">IF(AND(IM9&lt;&gt;0,IM10&lt;&gt;0),(IM9-IM10)/IM10,IF(AND(IM9=0,IM10=0),"",IF(AND(IM9="",IM10=""),"",IF(AND(IM9=0,IM10=""),"", IF(AND(IM9="",IM10=0),"",1)))))</f>
        <v/>
      </c>
      <c r="IN11" s="40" t="str">
        <f t="shared" ref="IN11" si="356">IF(AND(IN9&lt;&gt;0,IN10&lt;&gt;0),(IN9-IN10)/IN10,IF(AND(IN9=0,IN10=0),"",IF(AND(IN9="",IN10=""),"",IF(AND(IN9=0,IN10=""),"", IF(AND(IN9="",IN10=0),"",1)))))</f>
        <v/>
      </c>
      <c r="IO11" s="40" t="str">
        <f t="shared" ref="IO11" si="357">IF(AND(IO9&lt;&gt;0,IO10&lt;&gt;0),(IO9-IO10)/IO10,IF(AND(IO9=0,IO10=0),"",IF(AND(IO9="",IO10=""),"",IF(AND(IO9=0,IO10=""),"", IF(AND(IO9="",IO10=0),"",1)))))</f>
        <v/>
      </c>
      <c r="IP11" s="40" t="str">
        <f t="shared" ref="IP11" si="358">IF(AND(IP9&lt;&gt;0,IP10&lt;&gt;0),(IP9-IP10)/IP10,IF(AND(IP9=0,IP10=0),"",IF(AND(IP9="",IP10=""),"",IF(AND(IP9=0,IP10=""),"", IF(AND(IP9="",IP10=0),"",1)))))</f>
        <v/>
      </c>
      <c r="IQ11" s="40" t="str">
        <f t="shared" ref="IQ11" si="359">IF(AND(IQ9&lt;&gt;0,IQ10&lt;&gt;0),(IQ9-IQ10)/IQ10,IF(AND(IQ9=0,IQ10=0),"",IF(AND(IQ9="",IQ10=""),"",IF(AND(IQ9=0,IQ10=""),"", IF(AND(IQ9="",IQ10=0),"",1)))))</f>
        <v/>
      </c>
      <c r="IR11" s="40" t="str">
        <f t="shared" ref="IR11:JF11" si="360">IF(AND(IR9&lt;&gt;0,IR10&lt;&gt;0),(IR9-IR10)/IR10,IF(AND(IR9=0,IR10=0),"",IF(AND(IR9="",IR10=""),"",IF(AND(IR9=0,IR10=""),"", IF(AND(IR9="",IR10=0),"",1)))))</f>
        <v/>
      </c>
      <c r="IS11" s="40" t="str">
        <f t="shared" si="360"/>
        <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-0.40538319698381881</v>
      </c>
      <c r="JH11" s="72" t="str">
        <f t="shared" si="361"/>
        <v/>
      </c>
      <c r="JI11" s="73" t="str">
        <f t="shared" si="361"/>
        <v/>
      </c>
      <c r="JJ11" s="73" t="str">
        <f t="shared" si="361"/>
        <v/>
      </c>
      <c r="JK11" s="73" t="str">
        <f t="shared" si="361"/>
        <v/>
      </c>
      <c r="JL11" s="73" t="str">
        <f t="shared" si="361"/>
        <v/>
      </c>
      <c r="JM11" s="73" t="str">
        <f t="shared" si="361"/>
        <v/>
      </c>
      <c r="JN11" s="73" t="str">
        <f t="shared" si="361"/>
        <v/>
      </c>
      <c r="JO11" s="73" t="str">
        <f t="shared" si="361"/>
        <v/>
      </c>
      <c r="JP11" s="73" t="str">
        <f t="shared" si="361"/>
        <v/>
      </c>
      <c r="JQ11" s="73" t="str">
        <f t="shared" si="361"/>
        <v/>
      </c>
      <c r="JR11" s="73" t="str">
        <f t="shared" si="361"/>
        <v/>
      </c>
      <c r="JS11" s="73" t="str">
        <f t="shared" si="361"/>
        <v/>
      </c>
      <c r="JT11" s="73" t="str">
        <f t="shared" si="361"/>
        <v/>
      </c>
      <c r="JU11" s="73" t="str">
        <f t="shared" si="361"/>
        <v/>
      </c>
      <c r="JV11" s="73" t="str">
        <f t="shared" si="361"/>
        <v/>
      </c>
      <c r="JW11" s="73" t="str">
        <f t="shared" si="361"/>
        <v/>
      </c>
      <c r="JX11" s="73" t="str">
        <f t="shared" si="361"/>
        <v/>
      </c>
      <c r="JY11" s="73" t="str">
        <f t="shared" si="361"/>
        <v/>
      </c>
      <c r="JZ11" s="73" t="str">
        <f t="shared" si="361"/>
        <v/>
      </c>
      <c r="KA11" s="73" t="str">
        <f t="shared" si="361"/>
        <v/>
      </c>
      <c r="KB11" s="73" t="str">
        <f t="shared" si="361"/>
        <v/>
      </c>
      <c r="KC11" s="73" t="str">
        <f t="shared" si="361"/>
        <v/>
      </c>
      <c r="KD11" s="73" t="str">
        <f t="shared" si="361"/>
        <v/>
      </c>
      <c r="KE11" s="73" t="str">
        <f t="shared" ref="KE11:KR11" si="362">IF(AND(KE9&lt;&gt;0,KE10&lt;&gt;0),(KE9-KE10)/KE10,IF(AND(KE9=0,KE10=0),"",IF(AND(KE9="",KE10=""),"",IF(AND(KE9=0,KE10=""),"", IF(AND(KE9="",KE10=0),"",1)))))</f>
        <v/>
      </c>
      <c r="KF11" s="73" t="str">
        <f t="shared" si="362"/>
        <v/>
      </c>
      <c r="KG11" s="73" t="str">
        <f t="shared" si="362"/>
        <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t="str">
        <f t="shared" si="361"/>
        <v/>
      </c>
      <c r="KT11" s="72" t="str">
        <f t="shared" ref="KT11:ME11" si="363">IF(AND(KT9&lt;&gt;0,KT10&lt;&gt;0),(KT9-KT10)/KT10,IF(AND(KT9=0,KT10=0),"",IF(AND(KT9="",KT10=""),"",IF(AND(KT9=0,KT10=""),"", IF(AND(KT9="",KT10=0),"",1)))))</f>
        <v/>
      </c>
      <c r="KU11" s="73" t="str">
        <f t="shared" si="363"/>
        <v/>
      </c>
      <c r="KV11" s="73" t="str">
        <f t="shared" si="363"/>
        <v/>
      </c>
      <c r="KW11" s="73" t="str">
        <f t="shared" si="363"/>
        <v/>
      </c>
      <c r="KX11" s="73" t="str">
        <f t="shared" si="363"/>
        <v/>
      </c>
      <c r="KY11" s="73" t="str">
        <f t="shared" si="363"/>
        <v/>
      </c>
      <c r="KZ11" s="73" t="str">
        <f t="shared" si="363"/>
        <v/>
      </c>
      <c r="LA11" s="73" t="str">
        <f t="shared" si="363"/>
        <v/>
      </c>
      <c r="LB11" s="73" t="str">
        <f t="shared" si="363"/>
        <v/>
      </c>
      <c r="LC11" s="73" t="str">
        <f t="shared" si="363"/>
        <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t="str">
        <f t="shared" si="363"/>
        <v/>
      </c>
      <c r="LM11" s="73" t="str">
        <f t="shared" si="363"/>
        <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t="str">
        <f t="shared" si="363"/>
        <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f t="shared" ref="NR11" si="366">IF(AND(NR9&lt;&gt;0,NR10&lt;&gt;0),(NR9-NR10)/NR10,IF(AND(NR9=0,NR10=0),"",IF(AND(NR9="",NR10=""),"",IF(AND(NR9=0,NR10=""),"", IF(AND(NR9="",NR10=0),"",1)))))</f>
        <v>1.1442960531990488E-4</v>
      </c>
      <c r="NS11" s="40">
        <f t="shared" ref="NS11" si="367">IF(AND(NS9&lt;&gt;0,NS10&lt;&gt;0),(NS9-NS10)/NS10,IF(AND(NS9=0,NS10=0),"",IF(AND(NS9="",NS10=""),"",IF(AND(NS9=0,NS10=""),"", IF(AND(NS9="",NS10=0),"",1)))))</f>
        <v>1.4163401260175454E-4</v>
      </c>
      <c r="NT11" s="40">
        <f t="shared" ref="NT11" si="368">IF(AND(NT9&lt;&gt;0,NT10&lt;&gt;0),(NT9-NT10)/NT10,IF(AND(NT9=0,NT10=0),"",IF(AND(NT9="",NT10=""),"",IF(AND(NT9=0,NT10=""),"", IF(AND(NT9="",NT10=0),"",1)))))</f>
        <v>1.2930123364620483E-4</v>
      </c>
      <c r="NU11" s="40">
        <f t="shared" ref="NU11" si="369">IF(AND(NU9&lt;&gt;0,NU10&lt;&gt;0),(NU9-NU10)/NU10,IF(AND(NU9=0,NU10=0),"",IF(AND(NU9="",NU10=""),"",IF(AND(NU9=0,NU10=""),"", IF(AND(NU9="",NU10=0),"",1)))))</f>
        <v>1.3153423553502379E-4</v>
      </c>
      <c r="NV11" s="40">
        <f t="shared" ref="NV11" si="370">IF(AND(NV9&lt;&gt;0,NV10&lt;&gt;0),(NV9-NV10)/NV10,IF(AND(NV9=0,NV10=0),"",IF(AND(NV9="",NV10=""),"",IF(AND(NV9=0,NV10=""),"", IF(AND(NV9="",NV10=0),"",1)))))</f>
        <v>-2.2140783500333885E-6</v>
      </c>
      <c r="NW11" s="40">
        <f t="shared" ref="NW11" si="371">IF(AND(NW9&lt;&gt;0,NW10&lt;&gt;0),(NW9-NW10)/NW10,IF(AND(NW9=0,NW10=0),"",IF(AND(NW9="",NW10=""),"",IF(AND(NW9=0,NW10=""),"", IF(AND(NW9="",NW10=0),"",1)))))</f>
        <v>1.1777232834279814E-4</v>
      </c>
      <c r="NX11" s="40" t="str">
        <f t="shared" ref="NX11" si="372">IF(AND(NX9&lt;&gt;0,NX10&lt;&gt;0),(NX9-NX10)/NX10,IF(AND(NX9=0,NX10=0),"",IF(AND(NX9="",NX10=""),"",IF(AND(NX9=0,NX10=""),"", IF(AND(NX9="",NX10=0),"",1)))))</f>
        <v/>
      </c>
      <c r="NY11" s="40">
        <f t="shared" ref="NY11" si="373">IF(AND(NY9&lt;&gt;0,NY10&lt;&gt;0),(NY9-NY10)/NY10,IF(AND(NY9=0,NY10=0),"",IF(AND(NY9="",NY10=""),"",IF(AND(NY9=0,NY10=""),"", IF(AND(NY9="",NY10=0),"",1)))))</f>
        <v>5.3893753189646727E-4</v>
      </c>
      <c r="NZ11" s="40">
        <f t="shared" ref="NZ11" si="374">IF(AND(NZ9&lt;&gt;0,NZ10&lt;&gt;0),(NZ9-NZ10)/NZ10,IF(AND(NZ9=0,NZ10=0),"",IF(AND(NZ9="",NZ10=""),"",IF(AND(NZ9=0,NZ10=""),"", IF(AND(NZ9="",NZ10=0),"",1)))))</f>
        <v>2.0888412320965714E-2</v>
      </c>
      <c r="OA11" s="40">
        <f t="shared" ref="OA11" si="375">IF(AND(OA9&lt;&gt;0,OA10&lt;&gt;0),(OA9-OA10)/OA10,IF(AND(OA9=0,OA10=0),"",IF(AND(OA9="",OA10=""),"",IF(AND(OA9=0,OA10=""),"", IF(AND(OA9="",OA10=0),"",1)))))</f>
        <v>7.1144946746662941E-5</v>
      </c>
      <c r="OB11" s="40">
        <f t="shared" ref="OB11" si="376">IF(AND(OB9&lt;&gt;0,OB10&lt;&gt;0),(OB9-OB10)/OB10,IF(AND(OB9=0,OB10=0),"",IF(AND(OB9="",OB10=""),"",IF(AND(OB9=0,OB10=""),"", IF(AND(OB9="",OB10=0),"",1)))))</f>
        <v>1</v>
      </c>
      <c r="OC11" s="40" t="str">
        <f t="shared" ref="OC11" si="377">IF(AND(OC9&lt;&gt;0,OC10&lt;&gt;0),(OC9-OC10)/OC10,IF(AND(OC9=0,OC10=0),"",IF(AND(OC9="",OC10=""),"",IF(AND(OC9=0,OC10=""),"", IF(AND(OC9="",OC10=0),"",1)))))</f>
        <v/>
      </c>
      <c r="OD11" s="40" t="str">
        <f t="shared" ref="OD11" si="378">IF(AND(OD9&lt;&gt;0,OD10&lt;&gt;0),(OD9-OD10)/OD10,IF(AND(OD9=0,OD10=0),"",IF(AND(OD9="",OD10=""),"",IF(AND(OD9=0,OD10=""),"", IF(AND(OD9="",OD10=0),"",1)))))</f>
        <v/>
      </c>
      <c r="OE11" s="40" t="str">
        <f t="shared" ref="OE11" si="379">IF(AND(OE9&lt;&gt;0,OE10&lt;&gt;0),(OE9-OE10)/OE10,IF(AND(OE9=0,OE10=0),"",IF(AND(OE9="",OE10=""),"",IF(AND(OE9=0,OE10=""),"", IF(AND(OE9="",OE10=0),"",1)))))</f>
        <v/>
      </c>
      <c r="OF11" s="40" t="str">
        <f t="shared" ref="OF11" si="380">IF(AND(OF9&lt;&gt;0,OF10&lt;&gt;0),(OF9-OF10)/OF10,IF(AND(OF9=0,OF10=0),"",IF(AND(OF9="",OF10=""),"",IF(AND(OF9=0,OF10=""),"", IF(AND(OF9="",OF10=0),"",1)))))</f>
        <v/>
      </c>
      <c r="OG11" s="40" t="str">
        <f t="shared" ref="OG11" si="381">IF(AND(OG9&lt;&gt;0,OG10&lt;&gt;0),(OG9-OG10)/OG10,IF(AND(OG9=0,OG10=0),"",IF(AND(OG9="",OG10=""),"",IF(AND(OG9=0,OG10=""),"", IF(AND(OG9="",OG10=0),"",1)))))</f>
        <v/>
      </c>
      <c r="OH11" s="40" t="str">
        <f t="shared" ref="OH11" si="382">IF(AND(OH9&lt;&gt;0,OH10&lt;&gt;0),(OH9-OH10)/OH10,IF(AND(OH9=0,OH10=0),"",IF(AND(OH9="",OH10=""),"",IF(AND(OH9=0,OH10=""),"", IF(AND(OH9="",OH10=0),"",1)))))</f>
        <v/>
      </c>
      <c r="OI11" s="40" t="str">
        <f t="shared" ref="OI11" si="383">IF(AND(OI9&lt;&gt;0,OI10&lt;&gt;0),(OI9-OI10)/OI10,IF(AND(OI9=0,OI10=0),"",IF(AND(OI9="",OI10=""),"",IF(AND(OI9=0,OI10=""),"", IF(AND(OI9="",OI10=0),"",1)))))</f>
        <v/>
      </c>
      <c r="OJ11" s="40" t="str">
        <f t="shared" ref="OJ11" si="384">IF(AND(OJ9&lt;&gt;0,OJ10&lt;&gt;0),(OJ9-OJ10)/OJ10,IF(AND(OJ9=0,OJ10=0),"",IF(AND(OJ9="",OJ10=""),"",IF(AND(OJ9=0,OJ10=""),"", IF(AND(OJ9="",OJ10=0),"",1)))))</f>
        <v/>
      </c>
      <c r="OK11" s="40" t="str">
        <f t="shared" ref="OK11" si="385">IF(AND(OK9&lt;&gt;0,OK10&lt;&gt;0),(OK9-OK10)/OK10,IF(AND(OK9=0,OK10=0),"",IF(AND(OK9="",OK10=""),"",IF(AND(OK9=0,OK10=""),"", IF(AND(OK9="",OK10=0),"",1)))))</f>
        <v/>
      </c>
      <c r="OL11" s="40" t="str">
        <f t="shared" ref="OL11" si="386">IF(AND(OL9&lt;&gt;0,OL10&lt;&gt;0),(OL9-OL10)/OL10,IF(AND(OL9=0,OL10=0),"",IF(AND(OL9="",OL10=""),"",IF(AND(OL9=0,OL10=""),"", IF(AND(OL9="",OL10=0),"",1)))))</f>
        <v/>
      </c>
      <c r="OM11" s="40" t="str">
        <f t="shared" ref="OM11" si="387">IF(AND(OM9&lt;&gt;0,OM10&lt;&gt;0),(OM9-OM10)/OM10,IF(AND(OM9=0,OM10=0),"",IF(AND(OM9="",OM10=""),"",IF(AND(OM9=0,OM10=""),"", IF(AND(OM9="",OM10=0),"",1)))))</f>
        <v/>
      </c>
      <c r="ON11" s="40" t="str">
        <f t="shared" ref="ON11:PB11" si="388">IF(AND(ON9&lt;&gt;0,ON10&lt;&gt;0),(ON9-ON10)/ON10,IF(AND(ON9=0,ON10=0),"",IF(AND(ON9="",ON10=""),"",IF(AND(ON9=0,ON10=""),"", IF(AND(ON9="",ON10=0),"",1)))))</f>
        <v/>
      </c>
      <c r="OO11" s="40" t="str">
        <f t="shared" si="388"/>
        <v/>
      </c>
      <c r="OP11" s="40" t="str">
        <f t="shared" si="388"/>
        <v/>
      </c>
      <c r="OQ11" s="40" t="str">
        <f t="shared" si="388"/>
        <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6.1036217291507979E-3</v>
      </c>
    </row>
    <row r="12" spans="1:423" outlineLevel="1" x14ac:dyDescent="0.3">
      <c r="A12" s="46" t="s">
        <v>10</v>
      </c>
      <c r="B12" s="14">
        <f>'[1]D-PDP'!$BZ$12</f>
        <v>1911986.625</v>
      </c>
      <c r="C12" s="14">
        <f>'[1]D-PDP'!$BZ$13</f>
        <v>1684096.875</v>
      </c>
      <c r="D12" s="14">
        <f>'[1]D-PDP'!$BZ$14</f>
        <v>1484908.625</v>
      </c>
      <c r="E12" s="14">
        <f>'[1]D-PDP'!$BZ$15</f>
        <v>1266414.875</v>
      </c>
      <c r="F12" s="14">
        <f>'[1]D-PDP'!$BZ$16</f>
        <v>379160.25</v>
      </c>
      <c r="G12" s="14">
        <f>'[1]D-PDP'!$BZ$17</f>
        <v>162165.34375</v>
      </c>
      <c r="H12" s="14">
        <f>'[1]D-PDP'!$BZ$18</f>
        <v>68633.078125</v>
      </c>
      <c r="I12" s="14">
        <f>'[1]D-PDP'!$BZ$19</f>
        <v>43242.34375</v>
      </c>
      <c r="J12" s="14">
        <f>'[1]D-PDP'!$BZ$20</f>
        <v>34792.3515625</v>
      </c>
      <c r="K12" s="14">
        <f>'[1]D-PDP'!$BZ$21</f>
        <v>27624.603515625</v>
      </c>
      <c r="L12" s="14">
        <f>'[1]D-PDP'!$BZ$22</f>
        <v>19608.84375</v>
      </c>
      <c r="M12" s="14">
        <f>'[1]D-PDP'!$BZ$23</f>
        <v>0</v>
      </c>
      <c r="N12" s="14">
        <f>'[1]D-PDP'!$BZ$24</f>
        <v>0</v>
      </c>
      <c r="O12" s="14">
        <f>'[1]D-PDP'!$BZ$25</f>
        <v>0</v>
      </c>
      <c r="P12" s="14">
        <f>'[1]D-PDP'!$BZ$26</f>
        <v>0</v>
      </c>
      <c r="Q12" s="14">
        <f>'[1]D-PDP'!$BZ$27</f>
        <v>0</v>
      </c>
      <c r="R12" s="14">
        <f>'[1]D-PDP'!$BZ$28</f>
        <v>0</v>
      </c>
      <c r="S12" s="14">
        <f>'[1]D-PDP'!$BZ$29</f>
        <v>0</v>
      </c>
      <c r="T12" s="14">
        <f>'[1]D-PDP'!$BZ$30</f>
        <v>0</v>
      </c>
      <c r="U12" s="14">
        <f>'[1]D-PDP'!$BZ$31</f>
        <v>0</v>
      </c>
      <c r="V12" s="14">
        <f>'[1]D-PDP'!$BZ$32</f>
        <v>0</v>
      </c>
      <c r="W12" s="14">
        <f>'[1]D-PDP'!$BZ$33</f>
        <v>0</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7082633.814453125</v>
      </c>
      <c r="AN12" s="28">
        <f>'[1]D-PNP'!$BZ$12</f>
        <v>221809.921875</v>
      </c>
      <c r="AO12" s="14">
        <f>'[1]D-PNP'!$BZ$13</f>
        <v>276699.96875</v>
      </c>
      <c r="AP12" s="14">
        <f>'[1]D-PNP'!$BZ$14</f>
        <v>423427.34375</v>
      </c>
      <c r="AQ12" s="14">
        <f>'[1]D-PNP'!$BZ$15</f>
        <v>428435.9375</v>
      </c>
      <c r="AR12" s="14">
        <f>'[1]D-PNP'!$BZ$16</f>
        <v>148408.28125</v>
      </c>
      <c r="AS12" s="14">
        <f>'[1]D-PNP'!$BZ$17</f>
        <v>82163.21875</v>
      </c>
      <c r="AT12" s="14">
        <f>'[1]D-PNP'!$BZ$18</f>
        <v>43566.51171875</v>
      </c>
      <c r="AU12" s="14">
        <f>'[1]D-PNP'!$BZ$19</f>
        <v>24565.01953125</v>
      </c>
      <c r="AV12" s="14">
        <f>'[1]D-PNP'!$BZ$20</f>
        <v>10121.4375</v>
      </c>
      <c r="AW12" s="14">
        <f>'[1]D-PNP'!$BZ$21</f>
        <v>0</v>
      </c>
      <c r="AX12" s="14">
        <f>'[1]D-PNP'!$BZ$22</f>
        <v>0</v>
      </c>
      <c r="AY12" s="14">
        <f>'[1]D-PNP'!$BZ$23</f>
        <v>0</v>
      </c>
      <c r="AZ12" s="14">
        <f>'[1]D-PNP'!$BZ$24</f>
        <v>0</v>
      </c>
      <c r="BA12" s="14">
        <f>'[1]D-PNP'!$BZ$25</f>
        <v>0</v>
      </c>
      <c r="BB12" s="14">
        <f>'[1]D-PNP'!$BZ$26</f>
        <v>0</v>
      </c>
      <c r="BC12" s="14">
        <f>'[1]D-PNP'!$BZ$27</f>
        <v>0</v>
      </c>
      <c r="BD12" s="14">
        <f>'[1]D-PNP'!$BZ$28</f>
        <v>0</v>
      </c>
      <c r="BE12" s="14">
        <f>'[1]D-PNP'!$BZ$29</f>
        <v>0</v>
      </c>
      <c r="BF12" s="14">
        <f>'[1]D-PNP'!$BZ$30</f>
        <v>0</v>
      </c>
      <c r="BG12" s="14">
        <f>'[1]D-PNP'!$BZ$31</f>
        <v>0</v>
      </c>
      <c r="BH12" s="14">
        <f>'[1]D-PNP'!$BZ$32</f>
        <v>0</v>
      </c>
      <c r="BI12" s="14">
        <f>'[1]D-PNP'!$BZ$33</f>
        <v>0</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1659197.640625</v>
      </c>
      <c r="BZ12" s="28">
        <f>'[1]D-PND'!$BZ$12</f>
        <v>558838.4375</v>
      </c>
      <c r="CA12" s="14">
        <f>'[1]D-PND'!$BZ$13</f>
        <v>731838.0625</v>
      </c>
      <c r="CB12" s="14">
        <f>'[1]D-PND'!$BZ$14</f>
        <v>784299.0625</v>
      </c>
      <c r="CC12" s="14">
        <f>'[1]D-PND'!$BZ$15</f>
        <v>997784.0625</v>
      </c>
      <c r="CD12" s="14">
        <f>'[1]D-PND'!$BZ$16</f>
        <v>2165066.5</v>
      </c>
      <c r="CE12" s="14">
        <f>'[1]D-PND'!$BZ$17</f>
        <v>2448306.5</v>
      </c>
      <c r="CF12" s="14">
        <f>'[1]D-PND'!$BZ$18</f>
        <v>2580435.25</v>
      </c>
      <c r="CG12" s="14">
        <f>'[1]D-PND'!$BZ$19</f>
        <v>2624827.75</v>
      </c>
      <c r="CH12" s="14">
        <f>'[1]D-PND'!$BZ$20</f>
        <v>2647721.25</v>
      </c>
      <c r="CI12" s="14">
        <f>'[1]D-PND'!$BZ$21</f>
        <v>2665010.25</v>
      </c>
      <c r="CJ12" s="14">
        <f>'[1]D-PND'!$BZ$22</f>
        <v>1551094.875</v>
      </c>
      <c r="CK12" s="14">
        <f>'[1]D-PND'!$BZ$23</f>
        <v>0</v>
      </c>
      <c r="CL12" s="14">
        <f>'[1]D-PND'!$BZ$24</f>
        <v>0</v>
      </c>
      <c r="CM12" s="14">
        <f>'[1]D-PND'!$BZ$25</f>
        <v>0</v>
      </c>
      <c r="CN12" s="14">
        <f>'[1]D-PND'!$BZ$26</f>
        <v>0</v>
      </c>
      <c r="CO12" s="14">
        <f>'[1]D-PND'!$BZ$27</f>
        <v>0</v>
      </c>
      <c r="CP12" s="14">
        <f>'[1]D-PND'!$BZ$28</f>
        <v>0</v>
      </c>
      <c r="CQ12" s="14">
        <f>'[1]D-PND'!$BZ$29</f>
        <v>0</v>
      </c>
      <c r="CR12" s="14">
        <f>'[1]D-PND'!$BZ$30</f>
        <v>0</v>
      </c>
      <c r="CS12" s="14">
        <f>'[1]D-PND'!$BZ$31</f>
        <v>0</v>
      </c>
      <c r="CT12" s="14">
        <f>'[1]D-PND'!$BZ$32</f>
        <v>0</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19755222</v>
      </c>
      <c r="DL12" s="66"/>
      <c r="DM12" s="67"/>
      <c r="DN12" s="67"/>
      <c r="DO12" s="67"/>
      <c r="DP12" s="67"/>
      <c r="DQ12" s="67"/>
      <c r="DR12" s="67"/>
      <c r="DS12" s="67"/>
      <c r="DT12" s="67"/>
      <c r="DU12" s="67"/>
      <c r="DV12" s="67"/>
      <c r="DW12" s="67"/>
      <c r="DX12" s="67"/>
      <c r="DY12" s="67"/>
      <c r="DZ12" s="67"/>
      <c r="EA12" s="67"/>
      <c r="EB12" s="67"/>
      <c r="EC12" s="67"/>
      <c r="ED12" s="67"/>
      <c r="EE12" s="67"/>
      <c r="EF12" s="67"/>
      <c r="EG12" s="67"/>
      <c r="EH12" s="67"/>
      <c r="EI12" s="67"/>
      <c r="EJ12" s="67"/>
      <c r="EK12" s="67"/>
      <c r="EL12" s="67"/>
      <c r="EM12" s="67"/>
      <c r="EN12" s="67"/>
      <c r="EO12" s="67"/>
      <c r="EP12" s="67"/>
      <c r="EQ12" s="67"/>
      <c r="ER12" s="67"/>
      <c r="ES12" s="67"/>
      <c r="ET12" s="67"/>
      <c r="EU12" s="67"/>
      <c r="EV12" s="67"/>
      <c r="EW12" s="68">
        <f>SUM(DL12:EV12)</f>
        <v>0</v>
      </c>
      <c r="EX12" s="66"/>
      <c r="EY12" s="67"/>
      <c r="EZ12" s="67"/>
      <c r="FA12" s="67"/>
      <c r="FB12" s="67"/>
      <c r="FC12" s="67"/>
      <c r="FD12" s="67"/>
      <c r="FE12" s="67"/>
      <c r="FF12" s="67"/>
      <c r="FG12" s="67"/>
      <c r="FH12" s="67"/>
      <c r="FI12" s="67"/>
      <c r="FJ12" s="67"/>
      <c r="FK12" s="67"/>
      <c r="FL12" s="67"/>
      <c r="FM12" s="67"/>
      <c r="FN12" s="67"/>
      <c r="FO12" s="67"/>
      <c r="FP12" s="67"/>
      <c r="FQ12" s="67"/>
      <c r="FR12" s="67"/>
      <c r="FS12" s="67"/>
      <c r="FT12" s="67"/>
      <c r="FU12" s="67"/>
      <c r="FV12" s="67"/>
      <c r="FW12" s="67"/>
      <c r="FX12" s="67"/>
      <c r="FY12" s="67"/>
      <c r="FZ12" s="67"/>
      <c r="GA12" s="67"/>
      <c r="GB12" s="67"/>
      <c r="GC12" s="67"/>
      <c r="GD12" s="67"/>
      <c r="GE12" s="67"/>
      <c r="GF12" s="67"/>
      <c r="GG12" s="67"/>
      <c r="GH12" s="67"/>
      <c r="GI12" s="68">
        <f>SUM(EX12:GH12)</f>
        <v>0</v>
      </c>
      <c r="GJ12" s="66"/>
      <c r="GK12" s="67"/>
      <c r="GL12" s="67"/>
      <c r="GM12" s="67"/>
      <c r="GN12" s="67"/>
      <c r="GO12" s="67"/>
      <c r="GP12" s="67"/>
      <c r="GQ12" s="67"/>
      <c r="GR12" s="67"/>
      <c r="GS12" s="67"/>
      <c r="GT12" s="67"/>
      <c r="GU12" s="67"/>
      <c r="GV12" s="67"/>
      <c r="GW12" s="67"/>
      <c r="GX12" s="67"/>
      <c r="GY12" s="67"/>
      <c r="GZ12" s="67"/>
      <c r="HA12" s="67"/>
      <c r="HB12" s="67"/>
      <c r="HC12" s="67"/>
      <c r="HD12" s="67"/>
      <c r="HE12" s="67"/>
      <c r="HF12" s="67"/>
      <c r="HG12" s="67"/>
      <c r="HH12" s="67"/>
      <c r="HI12" s="67"/>
      <c r="HJ12" s="67"/>
      <c r="HK12" s="67"/>
      <c r="HL12" s="67"/>
      <c r="HM12" s="67"/>
      <c r="HN12" s="67"/>
      <c r="HO12" s="67"/>
      <c r="HP12" s="67"/>
      <c r="HQ12" s="67"/>
      <c r="HR12" s="67"/>
      <c r="HS12" s="67"/>
      <c r="HT12" s="67"/>
      <c r="HU12" s="68">
        <f>SUM(GJ12:HT12)</f>
        <v>0</v>
      </c>
      <c r="HV12" s="28">
        <f>'[1]D-PRB'!$BZ$12</f>
        <v>0</v>
      </c>
      <c r="HW12" s="14">
        <f>'[1]D-PRB'!$BZ$13</f>
        <v>0</v>
      </c>
      <c r="HX12" s="14">
        <f>'[1]D-PRB'!$BZ$14</f>
        <v>0</v>
      </c>
      <c r="HY12" s="14">
        <f>'[1]D-PRB'!$BZ$15</f>
        <v>0</v>
      </c>
      <c r="HZ12" s="14">
        <f>'[1]D-PRB'!$BZ$16</f>
        <v>0</v>
      </c>
      <c r="IA12" s="14">
        <f>'[1]D-PRB'!$BZ$17</f>
        <v>0</v>
      </c>
      <c r="IB12" s="14">
        <f>'[1]D-PRB'!$BZ$18</f>
        <v>0</v>
      </c>
      <c r="IC12" s="14">
        <f>'[1]D-PRB'!$BZ$19</f>
        <v>0</v>
      </c>
      <c r="ID12" s="14">
        <f>'[1]D-PRB'!$BZ$20</f>
        <v>0</v>
      </c>
      <c r="IE12" s="14">
        <f>'[1]D-PRB'!$BZ$21</f>
        <v>0</v>
      </c>
      <c r="IF12" s="14">
        <f>'[1]D-PRB'!$BZ$22</f>
        <v>0</v>
      </c>
      <c r="IG12" s="14">
        <f>'[1]D-PRB'!$BZ$23</f>
        <v>0</v>
      </c>
      <c r="IH12" s="14">
        <f>'[1]D-PRB'!$BZ$24</f>
        <v>0</v>
      </c>
      <c r="II12" s="14">
        <f>'[1]D-PRB'!$BZ$25</f>
        <v>0</v>
      </c>
      <c r="IJ12" s="14">
        <f>'[1]D-PRB'!$BZ$26</f>
        <v>0</v>
      </c>
      <c r="IK12" s="14">
        <f>'[1]D-PRB'!$BZ$27</f>
        <v>0</v>
      </c>
      <c r="IL12" s="14">
        <f>'[1]D-PRB'!$BZ$28</f>
        <v>0</v>
      </c>
      <c r="IM12" s="14">
        <f>'[1]D-PRB'!$BZ$29</f>
        <v>0</v>
      </c>
      <c r="IN12" s="14">
        <f>'[1]D-PRB'!$BZ$30</f>
        <v>0</v>
      </c>
      <c r="IO12" s="14">
        <f>'[1]D-PRB'!$BZ$31</f>
        <v>0</v>
      </c>
      <c r="IP12" s="14">
        <f>'[1]D-PRB'!$BZ$32</f>
        <v>0</v>
      </c>
      <c r="IQ12" s="14">
        <f>'[1]D-PRB'!$BZ$33</f>
        <v>0</v>
      </c>
      <c r="IR12" s="14">
        <f>'[1]D-PRB'!$BZ$34</f>
        <v>0</v>
      </c>
      <c r="IS12" s="14">
        <f>'[1]D-PRB'!$BZ$35</f>
        <v>0</v>
      </c>
      <c r="IT12" s="14">
        <f>'[1]D-PRB'!$BZ$36</f>
        <v>0</v>
      </c>
      <c r="IU12" s="14">
        <f>'[1]D-PRB'!$BZ$37</f>
        <v>0</v>
      </c>
      <c r="IV12" s="14">
        <f>'[1]D-PRB'!$BZ$38</f>
        <v>0</v>
      </c>
      <c r="IW12" s="14">
        <f>'[1]D-PRB'!$BZ$39</f>
        <v>0</v>
      </c>
      <c r="IX12" s="14">
        <f>'[1]D-PRB'!$BZ$40</f>
        <v>0</v>
      </c>
      <c r="IY12" s="14">
        <f>'[1]D-PRB'!$BZ$41</f>
        <v>0</v>
      </c>
      <c r="IZ12" s="14">
        <f>'[1]D-PRB'!$BZ$42</f>
        <v>0</v>
      </c>
      <c r="JA12" s="14">
        <f>'[1]D-PRB'!$BZ$43</f>
        <v>0</v>
      </c>
      <c r="JB12" s="14">
        <f>'[1]D-PRB'!$BZ$44</f>
        <v>0</v>
      </c>
      <c r="JC12" s="14">
        <f>'[1]D-PRB'!$BZ$45</f>
        <v>0</v>
      </c>
      <c r="JD12" s="14">
        <f>'[1]D-PRB'!$BZ$46</f>
        <v>0</v>
      </c>
      <c r="JE12" s="14">
        <f>'[1]D-PRB'!$BZ$47</f>
        <v>0</v>
      </c>
      <c r="JF12" s="14">
        <f>'[1]D-PRB'!$BZ$48</f>
        <v>0</v>
      </c>
      <c r="JG12" s="16">
        <f>SUM(HV12:JF12)</f>
        <v>0</v>
      </c>
      <c r="JH12" s="66"/>
      <c r="JI12" s="67"/>
      <c r="JJ12" s="67"/>
      <c r="JK12" s="67"/>
      <c r="JL12" s="67"/>
      <c r="JM12" s="67"/>
      <c r="JN12" s="67"/>
      <c r="JO12" s="67"/>
      <c r="JP12" s="67"/>
      <c r="JQ12" s="67"/>
      <c r="JR12" s="67"/>
      <c r="JS12" s="67"/>
      <c r="JT12" s="67"/>
      <c r="JU12" s="67"/>
      <c r="JV12" s="67"/>
      <c r="JW12" s="67"/>
      <c r="JX12" s="67"/>
      <c r="JY12" s="67"/>
      <c r="JZ12" s="67"/>
      <c r="KA12" s="67"/>
      <c r="KB12" s="67"/>
      <c r="KC12" s="67"/>
      <c r="KD12" s="67"/>
      <c r="KE12" s="67"/>
      <c r="KF12" s="67"/>
      <c r="KG12" s="67"/>
      <c r="KH12" s="67"/>
      <c r="KI12" s="67"/>
      <c r="KJ12" s="67"/>
      <c r="KK12" s="67"/>
      <c r="KL12" s="67"/>
      <c r="KM12" s="67"/>
      <c r="KN12" s="67"/>
      <c r="KO12" s="67"/>
      <c r="KP12" s="67"/>
      <c r="KQ12" s="67"/>
      <c r="KR12" s="67"/>
      <c r="KS12" s="68">
        <f>SUM(JH12:KR12)</f>
        <v>0</v>
      </c>
      <c r="KT12" s="66"/>
      <c r="KU12" s="67"/>
      <c r="KV12" s="67"/>
      <c r="KW12" s="67"/>
      <c r="KX12" s="67"/>
      <c r="KY12" s="67"/>
      <c r="KZ12" s="67"/>
      <c r="LA12" s="67"/>
      <c r="LB12" s="67"/>
      <c r="LC12" s="67"/>
      <c r="LD12" s="67"/>
      <c r="LE12" s="67"/>
      <c r="LF12" s="67"/>
      <c r="LG12" s="67"/>
      <c r="LH12" s="67"/>
      <c r="LI12" s="67"/>
      <c r="LJ12" s="67"/>
      <c r="LK12" s="67"/>
      <c r="LL12" s="67"/>
      <c r="LM12" s="67"/>
      <c r="LN12" s="67"/>
      <c r="LO12" s="67"/>
      <c r="LP12" s="67"/>
      <c r="LQ12" s="67"/>
      <c r="LR12" s="67"/>
      <c r="LS12" s="67"/>
      <c r="LT12" s="67"/>
      <c r="LU12" s="67"/>
      <c r="LV12" s="67"/>
      <c r="LW12" s="67"/>
      <c r="LX12" s="67"/>
      <c r="LY12" s="67"/>
      <c r="LZ12" s="67"/>
      <c r="MA12" s="67"/>
      <c r="MB12" s="67"/>
      <c r="MC12" s="67"/>
      <c r="MD12" s="67"/>
      <c r="ME12" s="68">
        <f>SUM(KT12:MD12)</f>
        <v>0</v>
      </c>
      <c r="MF12" s="66"/>
      <c r="MG12" s="67"/>
      <c r="MH12" s="67"/>
      <c r="MI12" s="67"/>
      <c r="MJ12" s="67"/>
      <c r="MK12" s="67"/>
      <c r="ML12" s="67"/>
      <c r="MM12" s="67"/>
      <c r="MN12" s="67"/>
      <c r="MO12" s="67"/>
      <c r="MP12" s="67"/>
      <c r="MQ12" s="67"/>
      <c r="MR12" s="67"/>
      <c r="MS12" s="67"/>
      <c r="MT12" s="67"/>
      <c r="MU12" s="67"/>
      <c r="MV12" s="67"/>
      <c r="MW12" s="67"/>
      <c r="MX12" s="67"/>
      <c r="MY12" s="67"/>
      <c r="MZ12" s="67"/>
      <c r="NA12" s="67"/>
      <c r="NB12" s="67"/>
      <c r="NC12" s="67"/>
      <c r="ND12" s="67"/>
      <c r="NE12" s="67"/>
      <c r="NF12" s="67"/>
      <c r="NG12" s="67"/>
      <c r="NH12" s="67"/>
      <c r="NI12" s="67"/>
      <c r="NJ12" s="67"/>
      <c r="NK12" s="67"/>
      <c r="NL12" s="67"/>
      <c r="NM12" s="67"/>
      <c r="NN12" s="67"/>
      <c r="NO12" s="67"/>
      <c r="NP12" s="67"/>
      <c r="NQ12" s="68">
        <f>SUM(MF12:NP12)</f>
        <v>0</v>
      </c>
      <c r="NR12" s="14">
        <f>'[1]D-PS'!$BZ$12</f>
        <v>0</v>
      </c>
      <c r="NS12" s="14">
        <f>'[1]D-PS'!$BZ$13</f>
        <v>0</v>
      </c>
      <c r="NT12" s="14">
        <f>'[1]D-PS'!$BZ$14</f>
        <v>0</v>
      </c>
      <c r="NU12" s="14">
        <f>'[1]D-PS'!$BZ$15</f>
        <v>0</v>
      </c>
      <c r="NV12" s="14">
        <f>'[1]D-PS'!$BZ$16</f>
        <v>0</v>
      </c>
      <c r="NW12" s="14">
        <f>'[1]D-PS'!$BZ$17</f>
        <v>0</v>
      </c>
      <c r="NX12" s="14">
        <f>'[1]D-PS'!$BZ$18</f>
        <v>0</v>
      </c>
      <c r="NY12" s="14">
        <f>'[1]D-PS'!$BZ$19</f>
        <v>0</v>
      </c>
      <c r="NZ12" s="14">
        <f>'[1]D-PS'!$BZ$20</f>
        <v>0</v>
      </c>
      <c r="OA12" s="14">
        <f>'[1]D-PS'!$BZ$21</f>
        <v>0</v>
      </c>
      <c r="OB12" s="14">
        <f>'[1]D-PS'!$BZ$22</f>
        <v>0</v>
      </c>
      <c r="OC12" s="14">
        <f>'[1]D-PS'!$BZ$23</f>
        <v>0</v>
      </c>
      <c r="OD12" s="14">
        <f>'[1]D-PS'!$BZ$24</f>
        <v>0</v>
      </c>
      <c r="OE12" s="14">
        <f>'[1]D-PS'!$BZ$25</f>
        <v>0</v>
      </c>
      <c r="OF12" s="14">
        <f>'[1]D-PS'!$BZ$26</f>
        <v>0</v>
      </c>
      <c r="OG12" s="14">
        <f>'[1]D-PS'!$BZ$27</f>
        <v>0</v>
      </c>
      <c r="OH12" s="14">
        <f>'[1]D-PS'!$BZ$28</f>
        <v>0</v>
      </c>
      <c r="OI12" s="14">
        <f>'[1]D-PS'!$BZ$29</f>
        <v>0</v>
      </c>
      <c r="OJ12" s="14">
        <f>'[1]D-PS'!$BZ$30</f>
        <v>0</v>
      </c>
      <c r="OK12" s="14">
        <f>'[1]D-PS'!$BZ$31</f>
        <v>0</v>
      </c>
      <c r="OL12" s="14">
        <f>'[1]D-PS'!$BZ$32</f>
        <v>0</v>
      </c>
      <c r="OM12" s="14">
        <f>'[1]D-PS'!$BZ$33</f>
        <v>0</v>
      </c>
      <c r="ON12" s="14">
        <f>'[1]D-PS'!$BZ$34</f>
        <v>0</v>
      </c>
      <c r="OO12" s="14">
        <f>'[1]D-PS'!$BZ$35</f>
        <v>0</v>
      </c>
      <c r="OP12" s="14">
        <f>'[1]D-PS'!$BZ$36</f>
        <v>0</v>
      </c>
      <c r="OQ12" s="14">
        <f>'[1]D-PS'!$BZ$37</f>
        <v>0</v>
      </c>
      <c r="OR12" s="14">
        <f>'[1]D-PS'!$BZ$38</f>
        <v>0</v>
      </c>
      <c r="OS12" s="14">
        <f>'[1]D-PS'!$BZ$39</f>
        <v>0</v>
      </c>
      <c r="OT12" s="14">
        <f>'[1]D-PS'!$BZ$40</f>
        <v>0</v>
      </c>
      <c r="OU12" s="14">
        <f>'[1]D-PS'!$BZ$41</f>
        <v>0</v>
      </c>
      <c r="OV12" s="14">
        <f>'[1]D-PS'!$BZ$42</f>
        <v>0</v>
      </c>
      <c r="OW12" s="14">
        <f>'[1]D-PS'!$BZ$43</f>
        <v>0</v>
      </c>
      <c r="OX12" s="14">
        <f>'[1]D-PS'!$BZ$44</f>
        <v>0</v>
      </c>
      <c r="OY12" s="14">
        <f>'[1]D-PS'!$BZ$45</f>
        <v>0</v>
      </c>
      <c r="OZ12" s="14">
        <f>'[1]D-PS'!$BZ$46</f>
        <v>0</v>
      </c>
      <c r="PA12" s="14">
        <f>'[1]D-PS'!$BZ$47</f>
        <v>0</v>
      </c>
      <c r="PB12" s="14">
        <f>'[1]D-PS'!$BZ$48</f>
        <v>0</v>
      </c>
      <c r="PC12" s="16">
        <f>SUM(NR12:PB12)</f>
        <v>0</v>
      </c>
    </row>
    <row r="13" spans="1:423" outlineLevel="1" x14ac:dyDescent="0.3">
      <c r="A13" s="46" t="s">
        <v>11</v>
      </c>
      <c r="B13" s="25">
        <f>'[2]CF PDP'!$BW$36</f>
        <v>2692635</v>
      </c>
      <c r="C13" s="25">
        <f>'[2]CF PDP'!$BW$37</f>
        <v>2692635</v>
      </c>
      <c r="D13" s="25">
        <f>'[2]CF PDP'!$BW$38</f>
        <v>2692635</v>
      </c>
      <c r="E13" s="25">
        <f>'[2]CF PDP'!$BW$39</f>
        <v>2692635</v>
      </c>
      <c r="F13" s="25">
        <f>'[2]CF PDP'!$BW$40</f>
        <v>2692635</v>
      </c>
      <c r="G13" s="25">
        <f>'[2]CF PDP'!$BW$41</f>
        <v>2692635</v>
      </c>
      <c r="H13" s="25">
        <f>'[2]CF PDP'!$BW$42</f>
        <v>0</v>
      </c>
      <c r="I13" s="25">
        <f>'[2]CF PDP'!$BW$43</f>
        <v>0</v>
      </c>
      <c r="J13" s="25">
        <f>'[2]CF PDP'!$BW$44</f>
        <v>0</v>
      </c>
      <c r="K13" s="25">
        <f>'[2]CF PDP'!$BW$45</f>
        <v>0</v>
      </c>
      <c r="L13" s="25">
        <f>'[2]CF PDP'!$BW$46</f>
        <v>0</v>
      </c>
      <c r="M13" s="25">
        <f>'[2]CF PDP'!$BW$47</f>
        <v>0</v>
      </c>
      <c r="N13" s="25">
        <f>'[2]CF PDP'!$BW$48</f>
        <v>0</v>
      </c>
      <c r="O13" s="25">
        <f>'[2]CF PDP'!$BW$49</f>
        <v>0</v>
      </c>
      <c r="P13" s="25">
        <f>'[2]CF PDP'!$BW$50</f>
        <v>0</v>
      </c>
      <c r="Q13" s="25">
        <f>'[2]CF PDP'!$BW$51</f>
        <v>0</v>
      </c>
      <c r="R13" s="25">
        <f>'[2]CF PDP'!$BW$52</f>
        <v>0</v>
      </c>
      <c r="S13" s="25">
        <f>'[2]CF PDP'!$BW$53</f>
        <v>0</v>
      </c>
      <c r="T13" s="25">
        <f>'[2]CF PDP'!$BW$54</f>
        <v>0</v>
      </c>
      <c r="U13" s="25">
        <f>'[2]CF PDP'!$BW$55</f>
        <v>0</v>
      </c>
      <c r="V13" s="25">
        <f>'[2]CF PDP'!$BW$56</f>
        <v>0</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16155810</v>
      </c>
      <c r="AN13" s="27">
        <f>'[2]CF PNP'!$BW$36</f>
        <v>0</v>
      </c>
      <c r="AO13" s="25">
        <f>'[2]CF PNP'!$BW$37</f>
        <v>0</v>
      </c>
      <c r="AP13" s="25">
        <f>'[2]CF PNP'!$BW$38</f>
        <v>0</v>
      </c>
      <c r="AQ13" s="25">
        <f>'[2]CF PNP'!$BW$39</f>
        <v>0</v>
      </c>
      <c r="AR13" s="25">
        <f>'[2]CF PNP'!$BW$40</f>
        <v>0</v>
      </c>
      <c r="AS13" s="25">
        <f>'[2]CF PNP'!$BW$41</f>
        <v>0</v>
      </c>
      <c r="AT13" s="25">
        <f>'[2]CF PNP'!$BW$42</f>
        <v>2692635</v>
      </c>
      <c r="AU13" s="25">
        <f>'[2]CF PNP'!$BW$43</f>
        <v>0</v>
      </c>
      <c r="AV13" s="25">
        <f>'[2]CF PNP'!$BW$44</f>
        <v>0</v>
      </c>
      <c r="AW13" s="25">
        <f>'[2]CF PNP'!$BW$45</f>
        <v>0</v>
      </c>
      <c r="AX13" s="25">
        <f>'[2]CF PNP'!$BW$46</f>
        <v>0</v>
      </c>
      <c r="AY13" s="25">
        <f>'[2]CF PNP'!$BW$47</f>
        <v>0</v>
      </c>
      <c r="AZ13" s="25">
        <f>'[2]CF PNP'!$BW$48</f>
        <v>0</v>
      </c>
      <c r="BA13" s="25">
        <f>'[2]CF PNP'!$BW$49</f>
        <v>0</v>
      </c>
      <c r="BB13" s="25">
        <f>'[2]CF PNP'!$BW$50</f>
        <v>0</v>
      </c>
      <c r="BC13" s="25">
        <f>'[2]CF PNP'!$BW$51</f>
        <v>0</v>
      </c>
      <c r="BD13" s="25">
        <f>'[2]CF PNP'!$BW$52</f>
        <v>0</v>
      </c>
      <c r="BE13" s="25">
        <f>'[2]CF PNP'!$BW$53</f>
        <v>0</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2692635</v>
      </c>
      <c r="BZ13" s="27">
        <f>'[2]CF PND'!$BW$36</f>
        <v>0</v>
      </c>
      <c r="CA13" s="25">
        <f>'[2]CF PND'!$BW$37</f>
        <v>0</v>
      </c>
      <c r="CB13" s="25">
        <f>'[2]CF PND'!$BW$38</f>
        <v>0</v>
      </c>
      <c r="CC13" s="25">
        <f>'[2]CF PND'!$BW$39</f>
        <v>0</v>
      </c>
      <c r="CD13" s="25">
        <f>'[2]CF PND'!$BW$40</f>
        <v>0</v>
      </c>
      <c r="CE13" s="25">
        <f>'[2]CF PND'!$BW$41</f>
        <v>0</v>
      </c>
      <c r="CF13" s="25">
        <f>'[2]CF PND'!$BW$42</f>
        <v>0</v>
      </c>
      <c r="CG13" s="25">
        <f>'[2]CF PND'!$BW$43</f>
        <v>2692635</v>
      </c>
      <c r="CH13" s="25">
        <f>'[2]CF PND'!$BW$44</f>
        <v>2692635</v>
      </c>
      <c r="CI13" s="25">
        <f>'[2]CF PND'!$BW$45</f>
        <v>0</v>
      </c>
      <c r="CJ13" s="25">
        <f>'[2]CF PND'!$BW$46</f>
        <v>0</v>
      </c>
      <c r="CK13" s="25">
        <f>'[2]CF PND'!$BW$47</f>
        <v>0</v>
      </c>
      <c r="CL13" s="25">
        <f>'[2]CF PND'!$BW$48</f>
        <v>0</v>
      </c>
      <c r="CM13" s="25">
        <f>'[2]CF PND'!$BW$49</f>
        <v>0</v>
      </c>
      <c r="CN13" s="25">
        <f>'[2]CF PND'!$BW$50</f>
        <v>0</v>
      </c>
      <c r="CO13" s="25">
        <f>'[2]CF PND'!$BW$51</f>
        <v>0</v>
      </c>
      <c r="CP13" s="25">
        <f>'[2]CF PND'!$BW$52</f>
        <v>0</v>
      </c>
      <c r="CQ13" s="25">
        <f>'[2]CF PND'!$BW$53</f>
        <v>0</v>
      </c>
      <c r="CR13" s="25">
        <f>'[2]CF PND'!$BW$54</f>
        <v>0</v>
      </c>
      <c r="CS13" s="25">
        <f>'[2]CF PND'!$BW$55</f>
        <v>0</v>
      </c>
      <c r="CT13" s="25">
        <f>'[2]CF PND'!$BW$56</f>
        <v>0</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5385270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2692635</v>
      </c>
      <c r="IF13" s="25">
        <f>'[2]CF PRB'!$BW$46</f>
        <v>0</v>
      </c>
      <c r="IG13" s="25">
        <f>'[2]CF PRB'!$BW$47</f>
        <v>0</v>
      </c>
      <c r="IH13" s="25">
        <f>'[2]CF PRB'!$BW$48</f>
        <v>0</v>
      </c>
      <c r="II13" s="25">
        <f>'[2]CF PRB'!$BW$49</f>
        <v>0</v>
      </c>
      <c r="IJ13" s="25">
        <f>'[2]CF PRB'!$BW$50</f>
        <v>0</v>
      </c>
      <c r="IK13" s="25">
        <f>'[2]CF PRB'!$BW$51</f>
        <v>0</v>
      </c>
      <c r="IL13" s="25">
        <f>'[2]CF PRB'!$BW$52</f>
        <v>0</v>
      </c>
      <c r="IM13" s="25">
        <f>'[2]CF PRB'!$BW$53</f>
        <v>0</v>
      </c>
      <c r="IN13" s="25">
        <f>'[2]CF PRB'!$BW$54</f>
        <v>0</v>
      </c>
      <c r="IO13" s="25">
        <f>'[2]CF PRB'!$BW$55</f>
        <v>0</v>
      </c>
      <c r="IP13" s="25">
        <f>'[2]CF PRB'!$BW$56</f>
        <v>0</v>
      </c>
      <c r="IQ13" s="25">
        <f>'[2]CF PRB'!$BW$57</f>
        <v>0</v>
      </c>
      <c r="IR13" s="25">
        <f>'[2]CF PRB'!$BW$58</f>
        <v>0</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2692635</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0</v>
      </c>
      <c r="ON13" s="25">
        <f>'[2]CF PS'!$BW$58</f>
        <v>0</v>
      </c>
      <c r="OO13" s="25">
        <f>'[2]CF PS'!$BW$59</f>
        <v>0</v>
      </c>
      <c r="OP13" s="25">
        <f>'[2]CF PS'!$BW$60</f>
        <v>0</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0</v>
      </c>
    </row>
    <row r="14" spans="1:423" ht="16.5" thickBot="1" x14ac:dyDescent="0.35">
      <c r="A14" s="47" t="s">
        <v>12</v>
      </c>
      <c r="B14" s="40">
        <f>IF(AND(B12&lt;&gt;0,B13&lt;&gt;0),(B12-B13)/B13,IF(AND(B12=0,B13=0),"",IF(AND(B12="",B13=""),"",IF(AND(B12=0,B13=""),"", IF(AND(B12="",B13=0),"",1)))))</f>
        <v>-0.28991986474215775</v>
      </c>
      <c r="C14" s="40">
        <f t="shared" ref="C14" si="390">IF(AND(C12&lt;&gt;0,C13&lt;&gt;0),(C12-C13)/C13,IF(AND(C12=0,C13=0),"",IF(AND(C12="",C13=""),"",IF(AND(C12=0,C13=""),"", IF(AND(C12="",C13=0),"",1)))))</f>
        <v>-0.37455433989382148</v>
      </c>
      <c r="D14" s="40">
        <f t="shared" ref="D14" si="391">IF(AND(D12&lt;&gt;0,D13&lt;&gt;0),(D12-D13)/D13,IF(AND(D12=0,D13=0),"",IF(AND(D12="",D13=""),"",IF(AND(D12=0,D13=""),"", IF(AND(D12="",D13=0),"",1)))))</f>
        <v>-0.44852955376424952</v>
      </c>
      <c r="E14" s="40">
        <f t="shared" ref="E14" si="392">IF(AND(E12&lt;&gt;0,E13&lt;&gt;0),(E12-E13)/E13,IF(AND(E12=0,E13=0),"",IF(AND(E12="",E13=""),"",IF(AND(E12=0,E13=""),"", IF(AND(E12="",E13=0),"",1)))))</f>
        <v>-0.52967451028453538</v>
      </c>
      <c r="F14" s="40">
        <f t="shared" ref="F14" si="393">IF(AND(F12&lt;&gt;0,F13&lt;&gt;0),(F12-F13)/F13,IF(AND(F12=0,F13=0),"",IF(AND(F12="",F13=""),"",IF(AND(F12=0,F13=""),"", IF(AND(F12="",F13=0),"",1)))))</f>
        <v>-0.85918616893860478</v>
      </c>
      <c r="G14" s="40">
        <f t="shared" ref="G14" si="394">IF(AND(G12&lt;&gt;0,G13&lt;&gt;0),(G12-G13)/G13,IF(AND(G12=0,G13=0),"",IF(AND(G12="",G13=""),"",IF(AND(G12=0,G13=""),"", IF(AND(G12="",G13=0),"",1)))))</f>
        <v>-0.93977447973824901</v>
      </c>
      <c r="H14" s="40">
        <f t="shared" ref="H14" si="395">IF(AND(H12&lt;&gt;0,H13&lt;&gt;0),(H12-H13)/H13,IF(AND(H12=0,H13=0),"",IF(AND(H12="",H13=""),"",IF(AND(H12=0,H13=""),"", IF(AND(H12="",H13=0),"",1)))))</f>
        <v>1</v>
      </c>
      <c r="I14" s="40">
        <f t="shared" ref="I14" si="396">IF(AND(I12&lt;&gt;0,I13&lt;&gt;0),(I12-I13)/I13,IF(AND(I12=0,I13=0),"",IF(AND(I12="",I13=""),"",IF(AND(I12=0,I13=""),"", IF(AND(I12="",I13=0),"",1)))))</f>
        <v>1</v>
      </c>
      <c r="J14" s="40">
        <f t="shared" ref="J14" si="397">IF(AND(J12&lt;&gt;0,J13&lt;&gt;0),(J12-J13)/J13,IF(AND(J12=0,J13=0),"",IF(AND(J12="",J13=""),"",IF(AND(J12=0,J13=""),"", IF(AND(J12="",J13=0),"",1)))))</f>
        <v>1</v>
      </c>
      <c r="K14" s="40">
        <f t="shared" ref="K14" si="398">IF(AND(K12&lt;&gt;0,K13&lt;&gt;0),(K12-K13)/K13,IF(AND(K12=0,K13=0),"",IF(AND(K12="",K13=""),"",IF(AND(K12=0,K13=""),"", IF(AND(K12="",K13=0),"",1)))))</f>
        <v>1</v>
      </c>
      <c r="L14" s="40">
        <f t="shared" ref="L14" si="399">IF(AND(L12&lt;&gt;0,L13&lt;&gt;0),(L12-L13)/L13,IF(AND(L12=0,L13=0),"",IF(AND(L12="",L13=""),"",IF(AND(L12=0,L13=""),"", IF(AND(L12="",L13=0),"",1)))))</f>
        <v>1</v>
      </c>
      <c r="M14" s="40" t="str">
        <f t="shared" ref="M14" si="400">IF(AND(M12&lt;&gt;0,M13&lt;&gt;0),(M12-M13)/M13,IF(AND(M12=0,M13=0),"",IF(AND(M12="",M13=""),"",IF(AND(M12=0,M13=""),"", IF(AND(M12="",M13=0),"",1)))))</f>
        <v/>
      </c>
      <c r="N14" s="40" t="str">
        <f t="shared" ref="N14" si="401">IF(AND(N12&lt;&gt;0,N13&lt;&gt;0),(N12-N13)/N13,IF(AND(N12=0,N13=0),"",IF(AND(N12="",N13=""),"",IF(AND(N12=0,N13=""),"", IF(AND(N12="",N13=0),"",1)))))</f>
        <v/>
      </c>
      <c r="O14" s="40" t="str">
        <f t="shared" ref="O14" si="402">IF(AND(O12&lt;&gt;0,O13&lt;&gt;0),(O12-O13)/O13,IF(AND(O12=0,O13=0),"",IF(AND(O12="",O13=""),"",IF(AND(O12=0,O13=""),"", IF(AND(O12="",O13=0),"",1)))))</f>
        <v/>
      </c>
      <c r="P14" s="40" t="str">
        <f t="shared" ref="P14" si="403">IF(AND(P12&lt;&gt;0,P13&lt;&gt;0),(P12-P13)/P13,IF(AND(P12=0,P13=0),"",IF(AND(P12="",P13=""),"",IF(AND(P12=0,P13=""),"", IF(AND(P12="",P13=0),"",1)))))</f>
        <v/>
      </c>
      <c r="Q14" s="40" t="str">
        <f t="shared" ref="Q14" si="404">IF(AND(Q12&lt;&gt;0,Q13&lt;&gt;0),(Q12-Q13)/Q13,IF(AND(Q12=0,Q13=0),"",IF(AND(Q12="",Q13=""),"",IF(AND(Q12=0,Q13=""),"", IF(AND(Q12="",Q13=0),"",1)))))</f>
        <v/>
      </c>
      <c r="R14" s="40" t="str">
        <f t="shared" ref="R14" si="405">IF(AND(R12&lt;&gt;0,R13&lt;&gt;0),(R12-R13)/R13,IF(AND(R12=0,R13=0),"",IF(AND(R12="",R13=""),"",IF(AND(R12=0,R13=""),"", IF(AND(R12="",R13=0),"",1)))))</f>
        <v/>
      </c>
      <c r="S14" s="40" t="str">
        <f t="shared" ref="S14" si="406">IF(AND(S12&lt;&gt;0,S13&lt;&gt;0),(S12-S13)/S13,IF(AND(S12=0,S13=0),"",IF(AND(S12="",S13=""),"",IF(AND(S12=0,S13=""),"", IF(AND(S12="",S13=0),"",1)))))</f>
        <v/>
      </c>
      <c r="T14" s="40" t="str">
        <f t="shared" ref="T14" si="407">IF(AND(T12&lt;&gt;0,T13&lt;&gt;0),(T12-T13)/T13,IF(AND(T12=0,T13=0),"",IF(AND(T12="",T13=""),"",IF(AND(T12=0,T13=""),"", IF(AND(T12="",T13=0),"",1)))))</f>
        <v/>
      </c>
      <c r="U14" s="40" t="str">
        <f t="shared" ref="U14" si="408">IF(AND(U12&lt;&gt;0,U13&lt;&gt;0),(U12-U13)/U13,IF(AND(U12=0,U13=0),"",IF(AND(U12="",U13=""),"",IF(AND(U12=0,U13=""),"", IF(AND(U12="",U13=0),"",1)))))</f>
        <v/>
      </c>
      <c r="V14" s="40" t="str">
        <f t="shared" ref="V14" si="409">IF(AND(V12&lt;&gt;0,V13&lt;&gt;0),(V12-V13)/V13,IF(AND(V12=0,V13=0),"",IF(AND(V12="",V13=""),"",IF(AND(V12=0,V13=""),"", IF(AND(V12="",V13=0),"",1)))))</f>
        <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-0.56160453642045027</v>
      </c>
      <c r="AN14" s="39">
        <f t="shared" ref="AN14" si="413">IF(AND(AN12&lt;&gt;0,AN13&lt;&gt;0),(AN12-AN13)/AN13,IF(AND(AN12=0,AN13=0),"",IF(AND(AN12="",AN13=""),"",IF(AND(AN12=0,AN13=""),"", IF(AND(AN12="",AN13=0),"",1)))))</f>
        <v>1</v>
      </c>
      <c r="AO14" s="40">
        <f t="shared" ref="AO14" si="414">IF(AND(AO12&lt;&gt;0,AO13&lt;&gt;0),(AO12-AO13)/AO13,IF(AND(AO12=0,AO13=0),"",IF(AND(AO12="",AO13=""),"",IF(AND(AO12=0,AO13=""),"", IF(AND(AO12="",AO13=0),"",1)))))</f>
        <v>1</v>
      </c>
      <c r="AP14" s="40">
        <f t="shared" ref="AP14" si="415">IF(AND(AP12&lt;&gt;0,AP13&lt;&gt;0),(AP12-AP13)/AP13,IF(AND(AP12=0,AP13=0),"",IF(AND(AP12="",AP13=""),"",IF(AND(AP12=0,AP13=""),"", IF(AND(AP12="",AP13=0),"",1)))))</f>
        <v>1</v>
      </c>
      <c r="AQ14" s="40">
        <f t="shared" ref="AQ14" si="416">IF(AND(AQ12&lt;&gt;0,AQ13&lt;&gt;0),(AQ12-AQ13)/AQ13,IF(AND(AQ12=0,AQ13=0),"",IF(AND(AQ12="",AQ13=""),"",IF(AND(AQ12=0,AQ13=""),"", IF(AND(AQ12="",AQ13=0),"",1)))))</f>
        <v>1</v>
      </c>
      <c r="AR14" s="40">
        <f t="shared" ref="AR14" si="417">IF(AND(AR12&lt;&gt;0,AR13&lt;&gt;0),(AR12-AR13)/AR13,IF(AND(AR12=0,AR13=0),"",IF(AND(AR12="",AR13=""),"",IF(AND(AR12=0,AR13=""),"", IF(AND(AR12="",AR13=0),"",1)))))</f>
        <v>1</v>
      </c>
      <c r="AS14" s="40">
        <f t="shared" ref="AS14" si="418">IF(AND(AS12&lt;&gt;0,AS13&lt;&gt;0),(AS12-AS13)/AS13,IF(AND(AS12=0,AS13=0),"",IF(AND(AS12="",AS13=""),"",IF(AND(AS12=0,AS13=""),"", IF(AND(AS12="",AS13=0),"",1)))))</f>
        <v>1</v>
      </c>
      <c r="AT14" s="40">
        <f t="shared" ref="AT14" si="419">IF(AND(AT12&lt;&gt;0,AT13&lt;&gt;0),(AT12-AT13)/AT13,IF(AND(AT12=0,AT13=0),"",IF(AND(AT12="",AT13=""),"",IF(AND(AT12=0,AT13=""),"", IF(AND(AT12="",AT13=0),"",1)))))</f>
        <v>-0.98382011980132844</v>
      </c>
      <c r="AU14" s="40">
        <f t="shared" ref="AU14" si="420">IF(AND(AU12&lt;&gt;0,AU13&lt;&gt;0),(AU12-AU13)/AU13,IF(AND(AU12=0,AU13=0),"",IF(AND(AU12="",AU13=""),"",IF(AND(AU12=0,AU13=""),"", IF(AND(AU12="",AU13=0),"",1)))))</f>
        <v>1</v>
      </c>
      <c r="AV14" s="40">
        <f t="shared" ref="AV14" si="421">IF(AND(AV12&lt;&gt;0,AV13&lt;&gt;0),(AV12-AV13)/AV13,IF(AND(AV12=0,AV13=0),"",IF(AND(AV12="",AV13=""),"",IF(AND(AV12=0,AV13=""),"", IF(AND(AV12="",AV13=0),"",1)))))</f>
        <v>1</v>
      </c>
      <c r="AW14" s="40" t="str">
        <f t="shared" ref="AW14" si="422">IF(AND(AW12&lt;&gt;0,AW13&lt;&gt;0),(AW12-AW13)/AW13,IF(AND(AW12=0,AW13=0),"",IF(AND(AW12="",AW13=""),"",IF(AND(AW12=0,AW13=""),"", IF(AND(AW12="",AW13=0),"",1)))))</f>
        <v/>
      </c>
      <c r="AX14" s="40" t="str">
        <f t="shared" ref="AX14" si="423">IF(AND(AX12&lt;&gt;0,AX13&lt;&gt;0),(AX12-AX13)/AX13,IF(AND(AX12=0,AX13=0),"",IF(AND(AX12="",AX13=""),"",IF(AND(AX12=0,AX13=""),"", IF(AND(AX12="",AX13=0),"",1)))))</f>
        <v/>
      </c>
      <c r="AY14" s="40" t="str">
        <f t="shared" ref="AY14" si="424">IF(AND(AY12&lt;&gt;0,AY13&lt;&gt;0),(AY12-AY13)/AY13,IF(AND(AY12=0,AY13=0),"",IF(AND(AY12="",AY13=""),"",IF(AND(AY12=0,AY13=""),"", IF(AND(AY12="",AY13=0),"",1)))))</f>
        <v/>
      </c>
      <c r="AZ14" s="40" t="str">
        <f t="shared" ref="AZ14" si="425">IF(AND(AZ12&lt;&gt;0,AZ13&lt;&gt;0),(AZ12-AZ13)/AZ13,IF(AND(AZ12=0,AZ13=0),"",IF(AND(AZ12="",AZ13=""),"",IF(AND(AZ12=0,AZ13=""),"", IF(AND(AZ12="",AZ13=0),"",1)))))</f>
        <v/>
      </c>
      <c r="BA14" s="40" t="str">
        <f t="shared" ref="BA14" si="426">IF(AND(BA12&lt;&gt;0,BA13&lt;&gt;0),(BA12-BA13)/BA13,IF(AND(BA12=0,BA13=0),"",IF(AND(BA12="",BA13=""),"",IF(AND(BA12=0,BA13=""),"", IF(AND(BA12="",BA13=0),"",1)))))</f>
        <v/>
      </c>
      <c r="BB14" s="40" t="str">
        <f t="shared" ref="BB14" si="427">IF(AND(BB12&lt;&gt;0,BB13&lt;&gt;0),(BB12-BB13)/BB13,IF(AND(BB12=0,BB13=0),"",IF(AND(BB12="",BB13=""),"",IF(AND(BB12=0,BB13=""),"", IF(AND(BB12="",BB13=0),"",1)))))</f>
        <v/>
      </c>
      <c r="BC14" s="40" t="str">
        <f t="shared" ref="BC14" si="428">IF(AND(BC12&lt;&gt;0,BC13&lt;&gt;0),(BC12-BC13)/BC13,IF(AND(BC12=0,BC13=0),"",IF(AND(BC12="",BC13=""),"",IF(AND(BC12=0,BC13=""),"", IF(AND(BC12="",BC13=0),"",1)))))</f>
        <v/>
      </c>
      <c r="BD14" s="40" t="str">
        <f t="shared" ref="BD14" si="429">IF(AND(BD12&lt;&gt;0,BD13&lt;&gt;0),(BD12-BD13)/BD13,IF(AND(BD12=0,BD13=0),"",IF(AND(BD12="",BD13=""),"",IF(AND(BD12=0,BD13=""),"", IF(AND(BD12="",BD13=0),"",1)))))</f>
        <v/>
      </c>
      <c r="BE14" s="40" t="str">
        <f t="shared" ref="BE14" si="430">IF(AND(BE12&lt;&gt;0,BE13&lt;&gt;0),(BE12-BE13)/BE13,IF(AND(BE12=0,BE13=0),"",IF(AND(BE12="",BE13=""),"",IF(AND(BE12=0,BE13=""),"", IF(AND(BE12="",BE13=0),"",1)))))</f>
        <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-0.38380150275659347</v>
      </c>
      <c r="BZ14" s="39">
        <f t="shared" ref="BZ14" si="437">IF(AND(BZ12&lt;&gt;0,BZ13&lt;&gt;0),(BZ12-BZ13)/BZ13,IF(AND(BZ12=0,BZ13=0),"",IF(AND(BZ12="",BZ13=""),"",IF(AND(BZ12=0,BZ13=""),"", IF(AND(BZ12="",BZ13=0),"",1)))))</f>
        <v>1</v>
      </c>
      <c r="CA14" s="40">
        <f t="shared" ref="CA14" si="438">IF(AND(CA12&lt;&gt;0,CA13&lt;&gt;0),(CA12-CA13)/CA13,IF(AND(CA12=0,CA13=0),"",IF(AND(CA12="",CA13=""),"",IF(AND(CA12=0,CA13=""),"", IF(AND(CA12="",CA13=0),"",1)))))</f>
        <v>1</v>
      </c>
      <c r="CB14" s="40">
        <f t="shared" ref="CB14" si="439">IF(AND(CB12&lt;&gt;0,CB13&lt;&gt;0),(CB12-CB13)/CB13,IF(AND(CB12=0,CB13=0),"",IF(AND(CB12="",CB13=""),"",IF(AND(CB12=0,CB13=""),"", IF(AND(CB12="",CB13=0),"",1)))))</f>
        <v>1</v>
      </c>
      <c r="CC14" s="40">
        <f t="shared" ref="CC14" si="440">IF(AND(CC12&lt;&gt;0,CC13&lt;&gt;0),(CC12-CC13)/CC13,IF(AND(CC12=0,CC13=0),"",IF(AND(CC12="",CC13=""),"",IF(AND(CC12=0,CC13=""),"", IF(AND(CC12="",CC13=0),"",1)))))</f>
        <v>1</v>
      </c>
      <c r="CD14" s="40">
        <f t="shared" ref="CD14" si="441">IF(AND(CD12&lt;&gt;0,CD13&lt;&gt;0),(CD12-CD13)/CD13,IF(AND(CD12=0,CD13=0),"",IF(AND(CD12="",CD13=""),"",IF(AND(CD12=0,CD13=""),"", IF(AND(CD12="",CD13=0),"",1)))))</f>
        <v>1</v>
      </c>
      <c r="CE14" s="40">
        <f t="shared" ref="CE14" si="442">IF(AND(CE12&lt;&gt;0,CE13&lt;&gt;0),(CE12-CE13)/CE13,IF(AND(CE12=0,CE13=0),"",IF(AND(CE12="",CE13=""),"",IF(AND(CE12=0,CE13=""),"", IF(AND(CE12="",CE13=0),"",1)))))</f>
        <v>1</v>
      </c>
      <c r="CF14" s="40">
        <f t="shared" ref="CF14" si="443">IF(AND(CF12&lt;&gt;0,CF13&lt;&gt;0),(CF12-CF13)/CF13,IF(AND(CF12=0,CF13=0),"",IF(AND(CF12="",CF13=""),"",IF(AND(CF12=0,CF13=""),"", IF(AND(CF12="",CF13=0),"",1)))))</f>
        <v>1</v>
      </c>
      <c r="CG14" s="40">
        <f t="shared" ref="CG14" si="444">IF(AND(CG12&lt;&gt;0,CG13&lt;&gt;0),(CG12-CG13)/CG13,IF(AND(CG12=0,CG13=0),"",IF(AND(CG12="",CG13=""),"",IF(AND(CG12=0,CG13=""),"", IF(AND(CG12="",CG13=0),"",1)))))</f>
        <v>-2.5182488528894559E-2</v>
      </c>
      <c r="CH14" s="40">
        <f t="shared" ref="CH14" si="445">IF(AND(CH12&lt;&gt;0,CH13&lt;&gt;0),(CH12-CH13)/CH13,IF(AND(CH12=0,CH13=0),"",IF(AND(CH12="",CH13=""),"",IF(AND(CH12=0,CH13=""),"", IF(AND(CH12="",CH13=0),"",1)))))</f>
        <v>-1.6680222161562931E-2</v>
      </c>
      <c r="CI14" s="40">
        <f t="shared" ref="CI14" si="446">IF(AND(CI12&lt;&gt;0,CI13&lt;&gt;0),(CI12-CI13)/CI13,IF(AND(CI12=0,CI13=0),"",IF(AND(CI12="",CI13=""),"",IF(AND(CI12=0,CI13=""),"", IF(AND(CI12="",CI13=0),"",1)))))</f>
        <v>1</v>
      </c>
      <c r="CJ14" s="40">
        <f t="shared" ref="CJ14" si="447">IF(AND(CJ12&lt;&gt;0,CJ13&lt;&gt;0),(CJ12-CJ13)/CJ13,IF(AND(CJ12=0,CJ13=0),"",IF(AND(CJ12="",CJ13=""),"",IF(AND(CJ12=0,CJ13=""),"", IF(AND(CJ12="",CJ13=0),"",1)))))</f>
        <v>1</v>
      </c>
      <c r="CK14" s="40" t="str">
        <f t="shared" ref="CK14" si="448">IF(AND(CK12&lt;&gt;0,CK13&lt;&gt;0),(CK12-CK13)/CK13,IF(AND(CK12=0,CK13=0),"",IF(AND(CK12="",CK13=""),"",IF(AND(CK12=0,CK13=""),"", IF(AND(CK12="",CK13=0),"",1)))))</f>
        <v/>
      </c>
      <c r="CL14" s="40" t="str">
        <f t="shared" ref="CL14" si="449">IF(AND(CL12&lt;&gt;0,CL13&lt;&gt;0),(CL12-CL13)/CL13,IF(AND(CL12=0,CL13=0),"",IF(AND(CL12="",CL13=""),"",IF(AND(CL12=0,CL13=""),"", IF(AND(CL12="",CL13=0),"",1)))))</f>
        <v/>
      </c>
      <c r="CM14" s="40" t="str">
        <f t="shared" ref="CM14" si="450">IF(AND(CM12&lt;&gt;0,CM13&lt;&gt;0),(CM12-CM13)/CM13,IF(AND(CM12=0,CM13=0),"",IF(AND(CM12="",CM13=""),"",IF(AND(CM12=0,CM13=""),"", IF(AND(CM12="",CM13=0),"",1)))))</f>
        <v/>
      </c>
      <c r="CN14" s="40" t="str">
        <f t="shared" ref="CN14" si="451">IF(AND(CN12&lt;&gt;0,CN13&lt;&gt;0),(CN12-CN13)/CN13,IF(AND(CN12=0,CN13=0),"",IF(AND(CN12="",CN13=""),"",IF(AND(CN12=0,CN13=""),"", IF(AND(CN12="",CN13=0),"",1)))))</f>
        <v/>
      </c>
      <c r="CO14" s="40" t="str">
        <f t="shared" ref="CO14" si="452">IF(AND(CO12&lt;&gt;0,CO13&lt;&gt;0),(CO12-CO13)/CO13,IF(AND(CO12=0,CO13=0),"",IF(AND(CO12="",CO13=""),"",IF(AND(CO12=0,CO13=""),"", IF(AND(CO12="",CO13=0),"",1)))))</f>
        <v/>
      </c>
      <c r="CP14" s="40" t="str">
        <f t="shared" ref="CP14" si="453">IF(AND(CP12&lt;&gt;0,CP13&lt;&gt;0),(CP12-CP13)/CP13,IF(AND(CP12=0,CP13=0),"",IF(AND(CP12="",CP13=""),"",IF(AND(CP12=0,CP13=""),"", IF(AND(CP12="",CP13=0),"",1)))))</f>
        <v/>
      </c>
      <c r="CQ14" s="40" t="str">
        <f t="shared" ref="CQ14" si="454">IF(AND(CQ12&lt;&gt;0,CQ13&lt;&gt;0),(CQ12-CQ13)/CQ13,IF(AND(CQ12=0,CQ13=0),"",IF(AND(CQ12="",CQ13=""),"",IF(AND(CQ12=0,CQ13=""),"", IF(AND(CQ12="",CQ13=0),"",1)))))</f>
        <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f t="shared" ref="DK14:HU14" si="460">IF(AND(DK12&lt;&gt;0,DK13&lt;&gt;0),(DK12-DK13)/DK13,IF(AND(DK12=0,DK13=0),"",IF(AND(DK12="",DK13=""),"",IF(AND(DK12=0,DK13=""),"", IF(AND(DK12="",DK13=0),"",1)))))</f>
        <v>2.6683809725417666</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t="str">
        <f t="shared" si="460"/>
        <v/>
      </c>
      <c r="DZ14" s="73" t="str">
        <f t="shared" si="460"/>
        <v/>
      </c>
      <c r="EA14" s="73" t="str">
        <f t="shared" si="460"/>
        <v/>
      </c>
      <c r="EB14" s="73" t="str">
        <f t="shared" si="460"/>
        <v/>
      </c>
      <c r="EC14" s="73" t="str">
        <f t="shared" si="460"/>
        <v/>
      </c>
      <c r="ED14" s="73" t="str">
        <f t="shared" si="460"/>
        <v/>
      </c>
      <c r="EE14" s="73" t="str">
        <f t="shared" si="460"/>
        <v/>
      </c>
      <c r="EF14" s="73" t="str">
        <f t="shared" si="460"/>
        <v/>
      </c>
      <c r="EG14" s="73" t="str">
        <f t="shared" si="460"/>
        <v/>
      </c>
      <c r="EH14" s="73" t="str">
        <f t="shared" si="460"/>
        <v/>
      </c>
      <c r="EI14" s="73" t="str">
        <f t="shared" ref="EI14:EV14" si="461">IF(AND(EI12&lt;&gt;0,EI13&lt;&gt;0),(EI12-EI13)/EI13,IF(AND(EI12=0,EI13=0),"",IF(AND(EI12="",EI13=""),"",IF(AND(EI12=0,EI13=""),"", IF(AND(EI12="",EI13=0),"",1)))))</f>
        <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t="str">
        <f t="shared" si="460"/>
        <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f t="shared" ref="IE14" si="474">IF(AND(IE12&lt;&gt;0,IE13&lt;&gt;0),(IE12-IE13)/IE13,IF(AND(IE12=0,IE13=0),"",IF(AND(IE12="",IE13=""),"",IF(AND(IE12=0,IE13=""),"", IF(AND(IE12="",IE13=0),"",1)))))</f>
        <v>1</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t="str">
        <f t="shared" ref="II14" si="478">IF(AND(II12&lt;&gt;0,II13&lt;&gt;0),(II12-II13)/II13,IF(AND(II12=0,II13=0),"",IF(AND(II12="",II13=""),"",IF(AND(II12=0,II13=""),"", IF(AND(II12="",II13=0),"",1)))))</f>
        <v/>
      </c>
      <c r="IJ14" s="40" t="str">
        <f t="shared" ref="IJ14" si="479">IF(AND(IJ12&lt;&gt;0,IJ13&lt;&gt;0),(IJ12-IJ13)/IJ13,IF(AND(IJ12=0,IJ13=0),"",IF(AND(IJ12="",IJ13=""),"",IF(AND(IJ12=0,IJ13=""),"", IF(AND(IJ12="",IJ13=0),"",1)))))</f>
        <v/>
      </c>
      <c r="IK14" s="40" t="str">
        <f t="shared" ref="IK14" si="480">IF(AND(IK12&lt;&gt;0,IK13&lt;&gt;0),(IK12-IK13)/IK13,IF(AND(IK12=0,IK13=0),"",IF(AND(IK12="",IK13=""),"",IF(AND(IK12=0,IK13=""),"", IF(AND(IK12="",IK13=0),"",1)))))</f>
        <v/>
      </c>
      <c r="IL14" s="40" t="str">
        <f t="shared" ref="IL14" si="481">IF(AND(IL12&lt;&gt;0,IL13&lt;&gt;0),(IL12-IL13)/IL13,IF(AND(IL12=0,IL13=0),"",IF(AND(IL12="",IL13=""),"",IF(AND(IL12=0,IL13=""),"", IF(AND(IL12="",IL13=0),"",1)))))</f>
        <v/>
      </c>
      <c r="IM14" s="40" t="str">
        <f t="shared" ref="IM14" si="482">IF(AND(IM12&lt;&gt;0,IM13&lt;&gt;0),(IM12-IM13)/IM13,IF(AND(IM12=0,IM13=0),"",IF(AND(IM12="",IM13=""),"",IF(AND(IM12=0,IM13=""),"", IF(AND(IM12="",IM13=0),"",1)))))</f>
        <v/>
      </c>
      <c r="IN14" s="40" t="str">
        <f t="shared" ref="IN14" si="483">IF(AND(IN12&lt;&gt;0,IN13&lt;&gt;0),(IN12-IN13)/IN13,IF(AND(IN12=0,IN13=0),"",IF(AND(IN12="",IN13=""),"",IF(AND(IN12=0,IN13=""),"", IF(AND(IN12="",IN13=0),"",1)))))</f>
        <v/>
      </c>
      <c r="IO14" s="40" t="str">
        <f t="shared" ref="IO14" si="484">IF(AND(IO12&lt;&gt;0,IO13&lt;&gt;0),(IO12-IO13)/IO13,IF(AND(IO12=0,IO13=0),"",IF(AND(IO12="",IO13=""),"",IF(AND(IO12=0,IO13=""),"", IF(AND(IO12="",IO13=0),"",1)))))</f>
        <v/>
      </c>
      <c r="IP14" s="40" t="str">
        <f t="shared" ref="IP14" si="485">IF(AND(IP12&lt;&gt;0,IP13&lt;&gt;0),(IP12-IP13)/IP13,IF(AND(IP12=0,IP13=0),"",IF(AND(IP12="",IP13=""),"",IF(AND(IP12=0,IP13=""),"", IF(AND(IP12="",IP13=0),"",1)))))</f>
        <v/>
      </c>
      <c r="IQ14" s="40" t="str">
        <f t="shared" ref="IQ14" si="486">IF(AND(IQ12&lt;&gt;0,IQ13&lt;&gt;0),(IQ12-IQ13)/IQ13,IF(AND(IQ12=0,IQ13=0),"",IF(AND(IQ12="",IQ13=""),"",IF(AND(IQ12=0,IQ13=""),"", IF(AND(IQ12="",IQ13=0),"",1)))))</f>
        <v/>
      </c>
      <c r="IR14" s="40" t="str">
        <f t="shared" ref="IR14:JF14" si="487">IF(AND(IR12&lt;&gt;0,IR13&lt;&gt;0),(IR12-IR13)/IR13,IF(AND(IR12=0,IR13=0),"",IF(AND(IR12="",IR13=""),"",IF(AND(IR12=0,IR13=""),"", IF(AND(IR12="",IR13=0),"",1)))))</f>
        <v/>
      </c>
      <c r="IS14" s="40" t="str">
        <f t="shared" si="487"/>
        <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1</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t="str">
        <f t="shared" ref="KE14:KR14" si="489">IF(AND(KE12&lt;&gt;0,KE13&lt;&gt;0),(KE12-KE13)/KE13,IF(AND(KE12=0,KE13=0),"",IF(AND(KE12="",KE13=""),"",IF(AND(KE12=0,KE13=""),"", IF(AND(KE12="",KE13=0),"",1)))))</f>
        <v/>
      </c>
      <c r="KF14" s="73" t="str">
        <f t="shared" si="489"/>
        <v/>
      </c>
      <c r="KG14" s="73" t="str">
        <f t="shared" si="489"/>
        <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t="str">
        <f t="shared" si="488"/>
        <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t="str">
        <f t="shared" si="515"/>
        <v/>
      </c>
      <c r="OP14" s="40" t="str">
        <f t="shared" si="515"/>
        <v/>
      </c>
      <c r="OQ14" s="40" t="str">
        <f t="shared" si="515"/>
        <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t="str">
        <f t="shared" ref="PC14" si="516">IF(AND(PC12&lt;&gt;0,PC13&lt;&gt;0),(PC12-PC13)/PC13,IF(AND(PC12=0,PC13=0),"",IF(AND(PC12="",PC13=""),"",IF(AND(PC12=0,PC13=""),"", IF(AND(PC12="",PC13=0),"",1)))))</f>
        <v/>
      </c>
    </row>
    <row r="15" spans="1:423" outlineLevel="1" x14ac:dyDescent="0.3">
      <c r="A15" s="46" t="s">
        <v>13</v>
      </c>
      <c r="B15" s="14">
        <f>'[1]D-PDP'!$CA$12</f>
        <v>186873.65625</v>
      </c>
      <c r="C15" s="14">
        <f>'[1]D-PDP'!$CA$13</f>
        <v>131997.546875</v>
      </c>
      <c r="D15" s="14">
        <f>'[1]D-PDP'!$CA$14</f>
        <v>74177.546875</v>
      </c>
      <c r="E15" s="14">
        <f>'[1]D-PDP'!$CA$15</f>
        <v>39343.7109375</v>
      </c>
      <c r="F15" s="14">
        <f>'[1]D-PDP'!$CA$16</f>
        <v>26624.865234375</v>
      </c>
      <c r="G15" s="14">
        <f>'[1]D-PDP'!$CA$17</f>
        <v>21621.513671875</v>
      </c>
      <c r="H15" s="14">
        <f>'[1]D-PDP'!$CA$18</f>
        <v>15626.49609375</v>
      </c>
      <c r="I15" s="14">
        <f>'[1]D-PDP'!$CA$19</f>
        <v>13340.3037109375</v>
      </c>
      <c r="J15" s="14">
        <f>'[1]D-PDP'!$CA$20</f>
        <v>28451.90234375</v>
      </c>
      <c r="K15" s="14">
        <f>'[1]D-PDP'!$CA$21</f>
        <v>29777.078125</v>
      </c>
      <c r="L15" s="14">
        <f>'[1]D-PDP'!$CA$22</f>
        <v>21136.7421875</v>
      </c>
      <c r="M15" s="14">
        <f>'[1]D-PDP'!$CA$23</f>
        <v>0</v>
      </c>
      <c r="N15" s="14">
        <f>'[1]D-PDP'!$CA$24</f>
        <v>0</v>
      </c>
      <c r="O15" s="14">
        <f>'[1]D-PDP'!$CA$25</f>
        <v>0</v>
      </c>
      <c r="P15" s="14">
        <f>'[1]D-PDP'!$CA$26</f>
        <v>0</v>
      </c>
      <c r="Q15" s="14">
        <f>'[1]D-PDP'!$CA$27</f>
        <v>0</v>
      </c>
      <c r="R15" s="14">
        <f>'[1]D-PDP'!$CA$28</f>
        <v>0</v>
      </c>
      <c r="S15" s="14">
        <f>'[1]D-PDP'!$CA$29</f>
        <v>0</v>
      </c>
      <c r="T15" s="14">
        <f>'[1]D-PDP'!$CA$30</f>
        <v>0</v>
      </c>
      <c r="U15" s="14">
        <f>'[1]D-PDP'!$CA$31</f>
        <v>0</v>
      </c>
      <c r="V15" s="14">
        <f>'[1]D-PDP'!$CA$32</f>
        <v>0</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588971.3623046875</v>
      </c>
      <c r="AN15" s="28">
        <f>'[1]D-PNP'!$CA$12</f>
        <v>21639.0546875</v>
      </c>
      <c r="AO15" s="14">
        <f>'[1]D-PNP'!$CA$13</f>
        <v>21329.7109375</v>
      </c>
      <c r="AP15" s="14">
        <f>'[1]D-PNP'!$CA$14</f>
        <v>20856.416015625</v>
      </c>
      <c r="AQ15" s="14">
        <f>'[1]D-PNP'!$CA$15</f>
        <v>13295.3837890625</v>
      </c>
      <c r="AR15" s="14">
        <f>'[1]D-PNP'!$CA$16</f>
        <v>10472.2109375</v>
      </c>
      <c r="AS15" s="14">
        <f>'[1]D-PNP'!$CA$17</f>
        <v>11000.9677734375</v>
      </c>
      <c r="AT15" s="14">
        <f>'[1]D-PNP'!$CA$18</f>
        <v>9964.4716796875</v>
      </c>
      <c r="AU15" s="14">
        <f>'[1]D-PNP'!$CA$19</f>
        <v>7620.2822265625</v>
      </c>
      <c r="AV15" s="14">
        <f>'[1]D-PNP'!$CA$20</f>
        <v>5703.27880859375</v>
      </c>
      <c r="AW15" s="14">
        <f>'[1]D-PNP'!$CA$21</f>
        <v>0</v>
      </c>
      <c r="AX15" s="14">
        <f>'[1]D-PNP'!$CA$22</f>
        <v>0</v>
      </c>
      <c r="AY15" s="14">
        <f>'[1]D-PNP'!$CA$23</f>
        <v>0</v>
      </c>
      <c r="AZ15" s="14">
        <f>'[1]D-PNP'!$CA$24</f>
        <v>0</v>
      </c>
      <c r="BA15" s="14">
        <f>'[1]D-PNP'!$CA$25</f>
        <v>0</v>
      </c>
      <c r="BB15" s="14">
        <f>'[1]D-PNP'!$CA$26</f>
        <v>0</v>
      </c>
      <c r="BC15" s="14">
        <f>'[1]D-PNP'!$CA$27</f>
        <v>0</v>
      </c>
      <c r="BD15" s="14">
        <f>'[1]D-PNP'!$CA$28</f>
        <v>0</v>
      </c>
      <c r="BE15" s="14">
        <f>'[1]D-PNP'!$CA$29</f>
        <v>0</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121881.77685546875</v>
      </c>
      <c r="BZ15" s="28">
        <f>'[1]D-PND'!$CA$12</f>
        <v>55576.953125</v>
      </c>
      <c r="CA15" s="14">
        <f>'[1]D-PND'!$CA$13</f>
        <v>57128.75390625</v>
      </c>
      <c r="CB15" s="14">
        <f>'[1]D-PND'!$CA$14</f>
        <v>38818.28125</v>
      </c>
      <c r="CC15" s="14">
        <f>'[1]D-PND'!$CA$15</f>
        <v>40869.8046875</v>
      </c>
      <c r="CD15" s="14">
        <f>'[1]D-PND'!$CA$16</f>
        <v>161599.9375</v>
      </c>
      <c r="CE15" s="14">
        <f>'[1]D-PND'!$CA$17</f>
        <v>339128.15625</v>
      </c>
      <c r="CF15" s="14">
        <f>'[1]D-PND'!$CA$18</f>
        <v>592209.5</v>
      </c>
      <c r="CG15" s="14">
        <f>'[1]D-PND'!$CA$19</f>
        <v>820690.4375</v>
      </c>
      <c r="CH15" s="14">
        <f>'[1]D-PND'!$CA$20</f>
        <v>2182942.75</v>
      </c>
      <c r="CI15" s="14">
        <f>'[1]D-PND'!$CA$21</f>
        <v>2872664.75</v>
      </c>
      <c r="CJ15" s="14">
        <f>'[1]D-PND'!$CA$22</f>
        <v>1671954.375</v>
      </c>
      <c r="CK15" s="14">
        <f>'[1]D-PND'!$CA$23</f>
        <v>0</v>
      </c>
      <c r="CL15" s="14">
        <f>'[1]D-PND'!$CA$24</f>
        <v>0</v>
      </c>
      <c r="CM15" s="14">
        <f>'[1]D-PND'!$CA$25</f>
        <v>0</v>
      </c>
      <c r="CN15" s="14">
        <f>'[1]D-PND'!$CA$26</f>
        <v>0</v>
      </c>
      <c r="CO15" s="14">
        <f>'[1]D-PND'!$CA$27</f>
        <v>0</v>
      </c>
      <c r="CP15" s="14">
        <f>'[1]D-PND'!$CA$28</f>
        <v>0</v>
      </c>
      <c r="CQ15" s="14">
        <f>'[1]D-PND'!$CA$29</f>
        <v>0</v>
      </c>
      <c r="CR15" s="14">
        <f>'[1]D-PND'!$CA$30</f>
        <v>0</v>
      </c>
      <c r="CS15" s="14">
        <f>'[1]D-PND'!$CA$31</f>
        <v>0</v>
      </c>
      <c r="CT15" s="14">
        <f>'[1]D-PND'!$CA$32</f>
        <v>0</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8833583.69921875</v>
      </c>
      <c r="DL15" s="66"/>
      <c r="DM15" s="67"/>
      <c r="DN15" s="67"/>
      <c r="DO15" s="67"/>
      <c r="DP15" s="67"/>
      <c r="DQ15" s="67"/>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8">
        <f>SUM(DL15:EV15)</f>
        <v>0</v>
      </c>
      <c r="EX15" s="66"/>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8">
        <f>SUM(EX15:GH15)</f>
        <v>0</v>
      </c>
      <c r="GJ15" s="66"/>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8">
        <f>SUM(GJ15:HT15)</f>
        <v>0</v>
      </c>
      <c r="HV15" s="28">
        <f>'[1]D-PRB'!$CA$12</f>
        <v>0</v>
      </c>
      <c r="HW15" s="14">
        <f>'[1]D-PRB'!$CA$13</f>
        <v>0</v>
      </c>
      <c r="HX15" s="14">
        <f>'[1]D-PRB'!$CA$14</f>
        <v>0</v>
      </c>
      <c r="HY15" s="14">
        <f>'[1]D-PRB'!$CA$15</f>
        <v>0</v>
      </c>
      <c r="HZ15" s="14">
        <f>'[1]D-PRB'!$CA$16</f>
        <v>0</v>
      </c>
      <c r="IA15" s="14">
        <f>'[1]D-PRB'!$CA$17</f>
        <v>0</v>
      </c>
      <c r="IB15" s="14">
        <f>'[1]D-PRB'!$CA$18</f>
        <v>0</v>
      </c>
      <c r="IC15" s="14">
        <f>'[1]D-PRB'!$CA$19</f>
        <v>0</v>
      </c>
      <c r="ID15" s="14">
        <f>'[1]D-PRB'!$CA$20</f>
        <v>0</v>
      </c>
      <c r="IE15" s="14">
        <f>'[1]D-PRB'!$CA$21</f>
        <v>0</v>
      </c>
      <c r="IF15" s="14">
        <f>'[1]D-PRB'!$CA$22</f>
        <v>0</v>
      </c>
      <c r="IG15" s="14">
        <f>'[1]D-PRB'!$CA$23</f>
        <v>0</v>
      </c>
      <c r="IH15" s="14">
        <f>'[1]D-PRB'!$CA$24</f>
        <v>0</v>
      </c>
      <c r="II15" s="14">
        <f>'[1]D-PRB'!$CA$25</f>
        <v>0</v>
      </c>
      <c r="IJ15" s="14">
        <f>'[1]D-PRB'!$CA$26</f>
        <v>0</v>
      </c>
      <c r="IK15" s="14">
        <f>'[1]D-PRB'!$CA$27</f>
        <v>0</v>
      </c>
      <c r="IL15" s="14">
        <f>'[1]D-PRB'!$CA$28</f>
        <v>0</v>
      </c>
      <c r="IM15" s="14">
        <f>'[1]D-PRB'!$CA$29</f>
        <v>0</v>
      </c>
      <c r="IN15" s="14">
        <f>'[1]D-PRB'!$CA$30</f>
        <v>0</v>
      </c>
      <c r="IO15" s="14">
        <f>'[1]D-PRB'!$CA$31</f>
        <v>0</v>
      </c>
      <c r="IP15" s="14">
        <f>'[1]D-PRB'!$CA$32</f>
        <v>0</v>
      </c>
      <c r="IQ15" s="14">
        <f>'[1]D-PRB'!$CA$33</f>
        <v>0</v>
      </c>
      <c r="IR15" s="14">
        <f>'[1]D-PRB'!$CA$34</f>
        <v>0</v>
      </c>
      <c r="IS15" s="14">
        <f>'[1]D-PRB'!$CA$35</f>
        <v>0</v>
      </c>
      <c r="IT15" s="14">
        <f>'[1]D-PRB'!$CA$36</f>
        <v>0</v>
      </c>
      <c r="IU15" s="14">
        <f>'[1]D-PRB'!$CA$37</f>
        <v>0</v>
      </c>
      <c r="IV15" s="14">
        <f>'[1]D-PRB'!$CA$38</f>
        <v>0</v>
      </c>
      <c r="IW15" s="14">
        <f>'[1]D-PRB'!$CA$39</f>
        <v>0</v>
      </c>
      <c r="IX15" s="14">
        <f>'[1]D-PRB'!$CA$40</f>
        <v>0</v>
      </c>
      <c r="IY15" s="14">
        <f>'[1]D-PRB'!$CA$41</f>
        <v>0</v>
      </c>
      <c r="IZ15" s="14">
        <f>'[1]D-PRB'!$CA$42</f>
        <v>0</v>
      </c>
      <c r="JA15" s="14">
        <f>'[1]D-PRB'!$CA$43</f>
        <v>0</v>
      </c>
      <c r="JB15" s="14">
        <f>'[1]D-PRB'!$CA$44</f>
        <v>0</v>
      </c>
      <c r="JC15" s="14">
        <f>'[1]D-PRB'!$CA$45</f>
        <v>0</v>
      </c>
      <c r="JD15" s="14">
        <f>'[1]D-PRB'!$CA$46</f>
        <v>0</v>
      </c>
      <c r="JE15" s="14">
        <f>'[1]D-PRB'!$CA$47</f>
        <v>0</v>
      </c>
      <c r="JF15" s="14">
        <f>'[1]D-PRB'!$CA$48</f>
        <v>0</v>
      </c>
      <c r="JG15" s="16">
        <f>SUM(HV15:JF15)</f>
        <v>0</v>
      </c>
      <c r="JH15" s="66"/>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c r="KR15" s="67"/>
      <c r="KS15" s="68">
        <f>SUM(JH15:KR15)</f>
        <v>0</v>
      </c>
      <c r="KT15" s="66"/>
      <c r="KU15" s="67"/>
      <c r="KV15" s="67"/>
      <c r="KW15" s="67"/>
      <c r="KX15" s="67"/>
      <c r="KY15" s="67"/>
      <c r="KZ15" s="67"/>
      <c r="LA15" s="67"/>
      <c r="LB15" s="67"/>
      <c r="LC15" s="67"/>
      <c r="LD15" s="67"/>
      <c r="LE15" s="67"/>
      <c r="LF15" s="67"/>
      <c r="LG15" s="67"/>
      <c r="LH15" s="67"/>
      <c r="LI15" s="67"/>
      <c r="LJ15" s="67"/>
      <c r="LK15" s="67"/>
      <c r="LL15" s="67"/>
      <c r="LM15" s="67"/>
      <c r="LN15" s="67"/>
      <c r="LO15" s="67"/>
      <c r="LP15" s="67"/>
      <c r="LQ15" s="67"/>
      <c r="LR15" s="67"/>
      <c r="LS15" s="67"/>
      <c r="LT15" s="67"/>
      <c r="LU15" s="67"/>
      <c r="LV15" s="67"/>
      <c r="LW15" s="67"/>
      <c r="LX15" s="67"/>
      <c r="LY15" s="67"/>
      <c r="LZ15" s="67"/>
      <c r="MA15" s="67"/>
      <c r="MB15" s="67"/>
      <c r="MC15" s="67"/>
      <c r="MD15" s="67"/>
      <c r="ME15" s="68">
        <f>SUM(KT15:MD15)</f>
        <v>0</v>
      </c>
      <c r="MF15" s="66"/>
      <c r="MG15" s="67"/>
      <c r="MH15" s="67"/>
      <c r="MI15" s="67"/>
      <c r="MJ15" s="67"/>
      <c r="MK15" s="67"/>
      <c r="ML15" s="67"/>
      <c r="MM15" s="67"/>
      <c r="MN15" s="67"/>
      <c r="MO15" s="67"/>
      <c r="MP15" s="67"/>
      <c r="MQ15" s="67"/>
      <c r="MR15" s="67"/>
      <c r="MS15" s="67"/>
      <c r="MT15" s="67"/>
      <c r="MU15" s="67"/>
      <c r="MV15" s="67"/>
      <c r="MW15" s="67"/>
      <c r="MX15" s="67"/>
      <c r="MY15" s="67"/>
      <c r="MZ15" s="67"/>
      <c r="NA15" s="67"/>
      <c r="NB15" s="67"/>
      <c r="NC15" s="67"/>
      <c r="ND15" s="67"/>
      <c r="NE15" s="67"/>
      <c r="NF15" s="67"/>
      <c r="NG15" s="67"/>
      <c r="NH15" s="67"/>
      <c r="NI15" s="67"/>
      <c r="NJ15" s="67"/>
      <c r="NK15" s="67"/>
      <c r="NL15" s="67"/>
      <c r="NM15" s="67"/>
      <c r="NN15" s="67"/>
      <c r="NO15" s="67"/>
      <c r="NP15" s="67"/>
      <c r="NQ15" s="68">
        <f>SUM(MF15:NP15)</f>
        <v>0</v>
      </c>
      <c r="NR15" s="14">
        <f>'[1]D-PS'!$CA$12</f>
        <v>0</v>
      </c>
      <c r="NS15" s="14">
        <f>'[1]D-PS'!$CA$13</f>
        <v>0</v>
      </c>
      <c r="NT15" s="14">
        <f>'[1]D-PS'!$CA$14</f>
        <v>0</v>
      </c>
      <c r="NU15" s="14">
        <f>'[1]D-PS'!$CA$15</f>
        <v>0</v>
      </c>
      <c r="NV15" s="14">
        <f>'[1]D-PS'!$CA$16</f>
        <v>0</v>
      </c>
      <c r="NW15" s="14">
        <f>'[1]D-PS'!$CA$17</f>
        <v>0</v>
      </c>
      <c r="NX15" s="14">
        <f>'[1]D-PS'!$CA$18</f>
        <v>0</v>
      </c>
      <c r="NY15" s="14">
        <f>'[1]D-PS'!$CA$19</f>
        <v>0</v>
      </c>
      <c r="NZ15" s="14">
        <f>'[1]D-PS'!$CA$20</f>
        <v>0</v>
      </c>
      <c r="OA15" s="14">
        <f>'[1]D-PS'!$CA$21</f>
        <v>0</v>
      </c>
      <c r="OB15" s="14">
        <f>'[1]D-PS'!$CA$22</f>
        <v>0</v>
      </c>
      <c r="OC15" s="14">
        <f>'[1]D-PS'!$CA$23</f>
        <v>0</v>
      </c>
      <c r="OD15" s="14">
        <f>'[1]D-PS'!$CA$24</f>
        <v>0</v>
      </c>
      <c r="OE15" s="14">
        <f>'[1]D-PS'!$CA$25</f>
        <v>0</v>
      </c>
      <c r="OF15" s="14">
        <f>'[1]D-PS'!$CA$26</f>
        <v>0</v>
      </c>
      <c r="OG15" s="14">
        <f>'[1]D-PS'!$CA$27</f>
        <v>0</v>
      </c>
      <c r="OH15" s="14">
        <f>'[1]D-PS'!$CA$28</f>
        <v>0</v>
      </c>
      <c r="OI15" s="14">
        <f>'[1]D-PS'!$CA$29</f>
        <v>0</v>
      </c>
      <c r="OJ15" s="14">
        <f>'[1]D-PS'!$CA$30</f>
        <v>0</v>
      </c>
      <c r="OK15" s="14">
        <f>'[1]D-PS'!$CA$31</f>
        <v>0</v>
      </c>
      <c r="OL15" s="14">
        <f>'[1]D-PS'!$CA$32</f>
        <v>0</v>
      </c>
      <c r="OM15" s="14">
        <f>'[1]D-PS'!$CA$33</f>
        <v>0</v>
      </c>
      <c r="ON15" s="14">
        <f>'[1]D-PS'!$CA$34</f>
        <v>0</v>
      </c>
      <c r="OO15" s="14">
        <f>'[1]D-PS'!$CA$35</f>
        <v>0</v>
      </c>
      <c r="OP15" s="14">
        <f>'[1]D-PS'!$CA$36</f>
        <v>0</v>
      </c>
      <c r="OQ15" s="14">
        <f>'[1]D-PS'!$CA$37</f>
        <v>0</v>
      </c>
      <c r="OR15" s="14">
        <f>'[1]D-PS'!$CA$38</f>
        <v>0</v>
      </c>
      <c r="OS15" s="14">
        <f>'[1]D-PS'!$CA$39</f>
        <v>0</v>
      </c>
      <c r="OT15" s="14">
        <f>'[1]D-PS'!$CA$40</f>
        <v>0</v>
      </c>
      <c r="OU15" s="14">
        <f>'[1]D-PS'!$CA$41</f>
        <v>0</v>
      </c>
      <c r="OV15" s="14">
        <f>'[1]D-PS'!$CA$42</f>
        <v>0</v>
      </c>
      <c r="OW15" s="14">
        <f>'[1]D-PS'!$CA$43</f>
        <v>0</v>
      </c>
      <c r="OX15" s="14">
        <f>'[1]D-PS'!$CA$44</f>
        <v>0</v>
      </c>
      <c r="OY15" s="14">
        <f>'[1]D-PS'!$CA$45</f>
        <v>0</v>
      </c>
      <c r="OZ15" s="14">
        <f>'[1]D-PS'!$CA$46</f>
        <v>0</v>
      </c>
      <c r="PA15" s="14">
        <f>'[1]D-PS'!$CA$47</f>
        <v>0</v>
      </c>
      <c r="PB15" s="14">
        <f>'[1]D-PS'!$CA$48</f>
        <v>0</v>
      </c>
      <c r="PC15" s="16">
        <f>SUM(NR15:PB15)</f>
        <v>0</v>
      </c>
    </row>
    <row r="16" spans="1:423" outlineLevel="1" x14ac:dyDescent="0.3">
      <c r="A16" s="46" t="s">
        <v>14</v>
      </c>
      <c r="B16" s="25">
        <f>'[2]CF PDP'!$BX$36</f>
        <v>238473</v>
      </c>
      <c r="C16" s="25">
        <f>'[2]CF PDP'!$BX$37</f>
        <v>232145</v>
      </c>
      <c r="D16" s="25">
        <f>'[2]CF PDP'!$BX$38</f>
        <v>221009</v>
      </c>
      <c r="E16" s="25">
        <f>'[2]CF PDP'!$BX$39</f>
        <v>212384</v>
      </c>
      <c r="F16" s="25">
        <f>'[2]CF PDP'!$BX$40</f>
        <v>226615</v>
      </c>
      <c r="G16" s="25">
        <f>'[2]CF PDP'!$BX$41</f>
        <v>262657</v>
      </c>
      <c r="H16" s="25">
        <f>'[2]CF PDP'!$BX$42</f>
        <v>0</v>
      </c>
      <c r="I16" s="25">
        <f>'[2]CF PDP'!$BX$43</f>
        <v>0</v>
      </c>
      <c r="J16" s="25">
        <f>'[2]CF PDP'!$BX$44</f>
        <v>0</v>
      </c>
      <c r="K16" s="25">
        <f>'[2]CF PDP'!$BX$45</f>
        <v>0</v>
      </c>
      <c r="L16" s="25">
        <f>'[2]CF PDP'!$BX$46</f>
        <v>0</v>
      </c>
      <c r="M16" s="25">
        <f>'[2]CF PDP'!$BX$47</f>
        <v>0</v>
      </c>
      <c r="N16" s="25">
        <f>'[2]CF PDP'!$BX$48</f>
        <v>0</v>
      </c>
      <c r="O16" s="25">
        <f>'[2]CF PDP'!$BX$49</f>
        <v>0</v>
      </c>
      <c r="P16" s="25">
        <f>'[2]CF PDP'!$BX$50</f>
        <v>0</v>
      </c>
      <c r="Q16" s="25">
        <f>'[2]CF PDP'!$BX$51</f>
        <v>0</v>
      </c>
      <c r="R16" s="25">
        <f>'[2]CF PDP'!$BX$52</f>
        <v>0</v>
      </c>
      <c r="S16" s="25">
        <f>'[2]CF PDP'!$BX$53</f>
        <v>0</v>
      </c>
      <c r="T16" s="25">
        <f>'[2]CF PDP'!$BX$54</f>
        <v>0</v>
      </c>
      <c r="U16" s="25">
        <f>'[2]CF PDP'!$BX$55</f>
        <v>0</v>
      </c>
      <c r="V16" s="25">
        <f>'[2]CF PDP'!$BX$56</f>
        <v>0</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1393283</v>
      </c>
      <c r="AN16" s="27">
        <f>'[2]CF PNP'!$BX$36</f>
        <v>0</v>
      </c>
      <c r="AO16" s="25">
        <f>'[2]CF PNP'!$BX$37</f>
        <v>0</v>
      </c>
      <c r="AP16" s="25">
        <f>'[2]CF PNP'!$BX$38</f>
        <v>0</v>
      </c>
      <c r="AQ16" s="25">
        <f>'[2]CF PNP'!$BX$39</f>
        <v>0</v>
      </c>
      <c r="AR16" s="25">
        <f>'[2]CF PNP'!$BX$40</f>
        <v>0</v>
      </c>
      <c r="AS16" s="25">
        <f>'[2]CF PNP'!$BX$41</f>
        <v>0</v>
      </c>
      <c r="AT16" s="25">
        <f>'[2]CF PNP'!$BX$42</f>
        <v>471258</v>
      </c>
      <c r="AU16" s="25">
        <f>'[2]CF PNP'!$BX$43</f>
        <v>0</v>
      </c>
      <c r="AV16" s="25">
        <f>'[2]CF PNP'!$BX$44</f>
        <v>0</v>
      </c>
      <c r="AW16" s="25">
        <f>'[2]CF PNP'!$BX$45</f>
        <v>0</v>
      </c>
      <c r="AX16" s="25">
        <f>'[2]CF PNP'!$BX$46</f>
        <v>0</v>
      </c>
      <c r="AY16" s="25">
        <f>'[2]CF PNP'!$BX$47</f>
        <v>0</v>
      </c>
      <c r="AZ16" s="25">
        <f>'[2]CF PNP'!$BX$48</f>
        <v>0</v>
      </c>
      <c r="BA16" s="25">
        <f>'[2]CF PNP'!$BX$49</f>
        <v>0</v>
      </c>
      <c r="BB16" s="25">
        <f>'[2]CF PNP'!$BX$50</f>
        <v>0</v>
      </c>
      <c r="BC16" s="25">
        <f>'[2]CF PNP'!$BX$51</f>
        <v>0</v>
      </c>
      <c r="BD16" s="25">
        <f>'[2]CF PNP'!$BX$52</f>
        <v>0</v>
      </c>
      <c r="BE16" s="25">
        <f>'[2]CF PNP'!$BX$53</f>
        <v>0</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471258</v>
      </c>
      <c r="BZ16" s="27">
        <f>'[2]CF PND'!$BX$36</f>
        <v>0</v>
      </c>
      <c r="CA16" s="25">
        <f>'[2]CF PND'!$BX$37</f>
        <v>0</v>
      </c>
      <c r="CB16" s="25">
        <f>'[2]CF PND'!$BX$38</f>
        <v>0</v>
      </c>
      <c r="CC16" s="25">
        <f>'[2]CF PND'!$BX$39</f>
        <v>0</v>
      </c>
      <c r="CD16" s="25">
        <f>'[2]CF PND'!$BX$40</f>
        <v>0</v>
      </c>
      <c r="CE16" s="25">
        <f>'[2]CF PND'!$BX$41</f>
        <v>0</v>
      </c>
      <c r="CF16" s="25">
        <f>'[2]CF PND'!$BX$42</f>
        <v>0</v>
      </c>
      <c r="CG16" s="25">
        <f>'[2]CF PND'!$BX$43</f>
        <v>707392</v>
      </c>
      <c r="CH16" s="25">
        <f>'[2]CF PND'!$BX$44</f>
        <v>1291338</v>
      </c>
      <c r="CI16" s="25">
        <f>'[2]CF PND'!$BX$45</f>
        <v>0</v>
      </c>
      <c r="CJ16" s="25">
        <f>'[2]CF PND'!$BX$46</f>
        <v>0</v>
      </c>
      <c r="CK16" s="25">
        <f>'[2]CF PND'!$BX$47</f>
        <v>0</v>
      </c>
      <c r="CL16" s="25">
        <f>'[2]CF PND'!$BX$48</f>
        <v>0</v>
      </c>
      <c r="CM16" s="25">
        <f>'[2]CF PND'!$BX$49</f>
        <v>0</v>
      </c>
      <c r="CN16" s="25">
        <f>'[2]CF PND'!$BX$50</f>
        <v>0</v>
      </c>
      <c r="CO16" s="25">
        <f>'[2]CF PND'!$BX$51</f>
        <v>0</v>
      </c>
      <c r="CP16" s="25">
        <f>'[2]CF PND'!$BX$52</f>
        <v>0</v>
      </c>
      <c r="CQ16" s="25">
        <f>'[2]CF PND'!$BX$53</f>
        <v>0</v>
      </c>
      <c r="CR16" s="25">
        <f>'[2]CF PND'!$BX$54</f>
        <v>0</v>
      </c>
      <c r="CS16" s="25">
        <f>'[2]CF PND'!$BX$55</f>
        <v>0</v>
      </c>
      <c r="CT16" s="25">
        <f>'[2]CF PND'!$BX$56</f>
        <v>0</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1998730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618120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0</v>
      </c>
      <c r="IR16" s="25">
        <f>'[2]CF PRB'!$BX$58</f>
        <v>0</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618120</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0</v>
      </c>
      <c r="OP16" s="25">
        <f>'[2]CF PS'!$BX$60</f>
        <v>0</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0</v>
      </c>
    </row>
    <row r="17" spans="1:419" ht="16.5" thickBot="1" x14ac:dyDescent="0.35">
      <c r="A17" s="47" t="s">
        <v>15</v>
      </c>
      <c r="B17" s="40">
        <f>IF(AND(B15&lt;&gt;0,B16&lt;&gt;0),(B15-B16)/B16,IF(AND(B15=0,B16=0),"",IF(AND(B15="",B16=""),"",IF(AND(B15=0,B16=""),"", IF(AND(B15="",B16=0),"",1)))))</f>
        <v>-0.21637394484910241</v>
      </c>
      <c r="C17" s="40">
        <f t="shared" ref="C17" si="517">IF(AND(C15&lt;&gt;0,C16&lt;&gt;0),(C15-C16)/C16,IF(AND(C15=0,C16=0),"",IF(AND(C15="",C16=""),"",IF(AND(C15=0,C16=""),"", IF(AND(C15="",C16=0),"",1)))))</f>
        <v>-0.43140043130371103</v>
      </c>
      <c r="D17" s="40">
        <f t="shared" ref="D17" si="518">IF(AND(D15&lt;&gt;0,D16&lt;&gt;0),(D15-D16)/D16,IF(AND(D15=0,D16=0),"",IF(AND(D15="",D16=""),"",IF(AND(D15=0,D16=""),"", IF(AND(D15="",D16=0),"",1)))))</f>
        <v>-0.66436865976046222</v>
      </c>
      <c r="E17" s="40">
        <f t="shared" ref="E17" si="519">IF(AND(E15&lt;&gt;0,E16&lt;&gt;0),(E15-E16)/E16,IF(AND(E15=0,E16=0),"",IF(AND(E15="",E16=""),"",IF(AND(E15=0,E16=""),"", IF(AND(E15="",E16=0),"",1)))))</f>
        <v>-0.81475200138663928</v>
      </c>
      <c r="F17" s="40">
        <f t="shared" ref="F17" si="520">IF(AND(F15&lt;&gt;0,F16&lt;&gt;0),(F15-F16)/F16,IF(AND(F15=0,F16=0),"",IF(AND(F15="",F16=""),"",IF(AND(F15=0,F16=""),"", IF(AND(F15="",F16=0),"",1)))))</f>
        <v>-0.88251057858316972</v>
      </c>
      <c r="G17" s="40">
        <f t="shared" ref="G17" si="521">IF(AND(G15&lt;&gt;0,G16&lt;&gt;0),(G15-G16)/G16,IF(AND(G15=0,G16=0),"",IF(AND(G15="",G16=""),"",IF(AND(G15=0,G16=""),"", IF(AND(G15="",G16=0),"",1)))))</f>
        <v>-0.91768156313414451</v>
      </c>
      <c r="H17" s="40">
        <f t="shared" ref="H17" si="522">IF(AND(H15&lt;&gt;0,H16&lt;&gt;0),(H15-H16)/H16,IF(AND(H15=0,H16=0),"",IF(AND(H15="",H16=""),"",IF(AND(H15=0,H16=""),"", IF(AND(H15="",H16=0),"",1)))))</f>
        <v>1</v>
      </c>
      <c r="I17" s="40">
        <f t="shared" ref="I17" si="523">IF(AND(I15&lt;&gt;0,I16&lt;&gt;0),(I15-I16)/I16,IF(AND(I15=0,I16=0),"",IF(AND(I15="",I16=""),"",IF(AND(I15=0,I16=""),"", IF(AND(I15="",I16=0),"",1)))))</f>
        <v>1</v>
      </c>
      <c r="J17" s="40">
        <f t="shared" ref="J17" si="524">IF(AND(J15&lt;&gt;0,J16&lt;&gt;0),(J15-J16)/J16,IF(AND(J15=0,J16=0),"",IF(AND(J15="",J16=""),"",IF(AND(J15=0,J16=""),"", IF(AND(J15="",J16=0),"",1)))))</f>
        <v>1</v>
      </c>
      <c r="K17" s="40">
        <f t="shared" ref="K17" si="525">IF(AND(K15&lt;&gt;0,K16&lt;&gt;0),(K15-K16)/K16,IF(AND(K15=0,K16=0),"",IF(AND(K15="",K16=""),"",IF(AND(K15=0,K16=""),"", IF(AND(K15="",K16=0),"",1)))))</f>
        <v>1</v>
      </c>
      <c r="L17" s="40">
        <f t="shared" ref="L17" si="526">IF(AND(L15&lt;&gt;0,L16&lt;&gt;0),(L15-L16)/L16,IF(AND(L15=0,L16=0),"",IF(AND(L15="",L16=""),"",IF(AND(L15=0,L16=""),"", IF(AND(L15="",L16=0),"",1)))))</f>
        <v>1</v>
      </c>
      <c r="M17" s="40" t="str">
        <f t="shared" ref="M17" si="527">IF(AND(M15&lt;&gt;0,M16&lt;&gt;0),(M15-M16)/M16,IF(AND(M15=0,M16=0),"",IF(AND(M15="",M16=""),"",IF(AND(M15=0,M16=""),"", IF(AND(M15="",M16=0),"",1)))))</f>
        <v/>
      </c>
      <c r="N17" s="40" t="str">
        <f t="shared" ref="N17" si="528">IF(AND(N15&lt;&gt;0,N16&lt;&gt;0),(N15-N16)/N16,IF(AND(N15=0,N16=0),"",IF(AND(N15="",N16=""),"",IF(AND(N15=0,N16=""),"", IF(AND(N15="",N16=0),"",1)))))</f>
        <v/>
      </c>
      <c r="O17" s="40" t="str">
        <f t="shared" ref="O17" si="529">IF(AND(O15&lt;&gt;0,O16&lt;&gt;0),(O15-O16)/O16,IF(AND(O15=0,O16=0),"",IF(AND(O15="",O16=""),"",IF(AND(O15=0,O16=""),"", IF(AND(O15="",O16=0),"",1)))))</f>
        <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-0.57727801006350643</v>
      </c>
      <c r="AN17" s="39">
        <f t="shared" ref="AN17" si="540">IF(AND(AN15&lt;&gt;0,AN16&lt;&gt;0),(AN15-AN16)/AN16,IF(AND(AN15=0,AN16=0),"",IF(AND(AN15="",AN16=""),"",IF(AND(AN15=0,AN16=""),"", IF(AND(AN15="",AN16=0),"",1)))))</f>
        <v>1</v>
      </c>
      <c r="AO17" s="40">
        <f t="shared" ref="AO17" si="541">IF(AND(AO15&lt;&gt;0,AO16&lt;&gt;0),(AO15-AO16)/AO16,IF(AND(AO15=0,AO16=0),"",IF(AND(AO15="",AO16=""),"",IF(AND(AO15=0,AO16=""),"", IF(AND(AO15="",AO16=0),"",1)))))</f>
        <v>1</v>
      </c>
      <c r="AP17" s="40">
        <f t="shared" ref="AP17" si="542">IF(AND(AP15&lt;&gt;0,AP16&lt;&gt;0),(AP15-AP16)/AP16,IF(AND(AP15=0,AP16=0),"",IF(AND(AP15="",AP16=""),"",IF(AND(AP15=0,AP16=""),"", IF(AND(AP15="",AP16=0),"",1)))))</f>
        <v>1</v>
      </c>
      <c r="AQ17" s="40">
        <f t="shared" ref="AQ17" si="543">IF(AND(AQ15&lt;&gt;0,AQ16&lt;&gt;0),(AQ15-AQ16)/AQ16,IF(AND(AQ15=0,AQ16=0),"",IF(AND(AQ15="",AQ16=""),"",IF(AND(AQ15=0,AQ16=""),"", IF(AND(AQ15="",AQ16=0),"",1)))))</f>
        <v>1</v>
      </c>
      <c r="AR17" s="40">
        <f t="shared" ref="AR17" si="544">IF(AND(AR15&lt;&gt;0,AR16&lt;&gt;0),(AR15-AR16)/AR16,IF(AND(AR15=0,AR16=0),"",IF(AND(AR15="",AR16=""),"",IF(AND(AR15=0,AR16=""),"", IF(AND(AR15="",AR16=0),"",1)))))</f>
        <v>1</v>
      </c>
      <c r="AS17" s="40">
        <f t="shared" ref="AS17" si="545">IF(AND(AS15&lt;&gt;0,AS16&lt;&gt;0),(AS15-AS16)/AS16,IF(AND(AS15=0,AS16=0),"",IF(AND(AS15="",AS16=""),"",IF(AND(AS15=0,AS16=""),"", IF(AND(AS15="",AS16=0),"",1)))))</f>
        <v>1</v>
      </c>
      <c r="AT17" s="40">
        <f t="shared" ref="AT17" si="546">IF(AND(AT15&lt;&gt;0,AT16&lt;&gt;0),(AT15-AT16)/AT16,IF(AND(AT15=0,AT16=0),"",IF(AND(AT15="",AT16=""),"",IF(AND(AT15=0,AT16=""),"", IF(AND(AT15="",AT16=0),"",1)))))</f>
        <v>-0.97885559146011847</v>
      </c>
      <c r="AU17" s="40">
        <f t="shared" ref="AU17" si="547">IF(AND(AU15&lt;&gt;0,AU16&lt;&gt;0),(AU15-AU16)/AU16,IF(AND(AU15=0,AU16=0),"",IF(AND(AU15="",AU16=""),"",IF(AND(AU15=0,AU16=""),"", IF(AND(AU15="",AU16=0),"",1)))))</f>
        <v>1</v>
      </c>
      <c r="AV17" s="40">
        <f t="shared" ref="AV17" si="548">IF(AND(AV15&lt;&gt;0,AV16&lt;&gt;0),(AV15-AV16)/AV16,IF(AND(AV15=0,AV16=0),"",IF(AND(AV15="",AV16=""),"",IF(AND(AV15=0,AV16=""),"", IF(AND(AV15="",AV16=0),"",1)))))</f>
        <v>1</v>
      </c>
      <c r="AW17" s="40" t="str">
        <f t="shared" ref="AW17" si="549">IF(AND(AW15&lt;&gt;0,AW16&lt;&gt;0),(AW15-AW16)/AW16,IF(AND(AW15=0,AW16=0),"",IF(AND(AW15="",AW16=""),"",IF(AND(AW15=0,AW16=""),"", IF(AND(AW15="",AW16=0),"",1)))))</f>
        <v/>
      </c>
      <c r="AX17" s="40" t="str">
        <f t="shared" ref="AX17" si="550">IF(AND(AX15&lt;&gt;0,AX16&lt;&gt;0),(AX15-AX16)/AX16,IF(AND(AX15=0,AX16=0),"",IF(AND(AX15="",AX16=""),"",IF(AND(AX15=0,AX16=""),"", IF(AND(AX15="",AX16=0),"",1)))))</f>
        <v/>
      </c>
      <c r="AY17" s="40" t="str">
        <f t="shared" ref="AY17" si="551">IF(AND(AY15&lt;&gt;0,AY16&lt;&gt;0),(AY15-AY16)/AY16,IF(AND(AY15=0,AY16=0),"",IF(AND(AY15="",AY16=""),"",IF(AND(AY15=0,AY16=""),"", IF(AND(AY15="",AY16=0),"",1)))))</f>
        <v/>
      </c>
      <c r="AZ17" s="40" t="str">
        <f t="shared" ref="AZ17" si="552">IF(AND(AZ15&lt;&gt;0,AZ16&lt;&gt;0),(AZ15-AZ16)/AZ16,IF(AND(AZ15=0,AZ16=0),"",IF(AND(AZ15="",AZ16=""),"",IF(AND(AZ15=0,AZ16=""),"", IF(AND(AZ15="",AZ16=0),"",1)))))</f>
        <v/>
      </c>
      <c r="BA17" s="40" t="str">
        <f t="shared" ref="BA17" si="553">IF(AND(BA15&lt;&gt;0,BA16&lt;&gt;0),(BA15-BA16)/BA16,IF(AND(BA15=0,BA16=0),"",IF(AND(BA15="",BA16=""),"",IF(AND(BA15=0,BA16=""),"", IF(AND(BA15="",BA16=0),"",1)))))</f>
        <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f t="shared" ref="BY17" si="563">IF(AND(BY15&lt;&gt;0,BY16&lt;&gt;0),(BY15-BY16)/BY16,IF(AND(BY15=0,BY16=0),"",IF(AND(BY15="",BY16=""),"",IF(AND(BY15=0,BY16=""),"", IF(AND(BY15="",BY16=0),"",1)))))</f>
        <v>-0.74136932029701619</v>
      </c>
      <c r="BZ17" s="39">
        <f t="shared" ref="BZ17" si="564">IF(AND(BZ15&lt;&gt;0,BZ16&lt;&gt;0),(BZ15-BZ16)/BZ16,IF(AND(BZ15=0,BZ16=0),"",IF(AND(BZ15="",BZ16=""),"",IF(AND(BZ15=0,BZ16=""),"", IF(AND(BZ15="",BZ16=0),"",1)))))</f>
        <v>1</v>
      </c>
      <c r="CA17" s="40">
        <f t="shared" ref="CA17" si="565">IF(AND(CA15&lt;&gt;0,CA16&lt;&gt;0),(CA15-CA16)/CA16,IF(AND(CA15=0,CA16=0),"",IF(AND(CA15="",CA16=""),"",IF(AND(CA15=0,CA16=""),"", IF(AND(CA15="",CA16=0),"",1)))))</f>
        <v>1</v>
      </c>
      <c r="CB17" s="40">
        <f t="shared" ref="CB17" si="566">IF(AND(CB15&lt;&gt;0,CB16&lt;&gt;0),(CB15-CB16)/CB16,IF(AND(CB15=0,CB16=0),"",IF(AND(CB15="",CB16=""),"",IF(AND(CB15=0,CB16=""),"", IF(AND(CB15="",CB16=0),"",1)))))</f>
        <v>1</v>
      </c>
      <c r="CC17" s="40">
        <f t="shared" ref="CC17" si="567">IF(AND(CC15&lt;&gt;0,CC16&lt;&gt;0),(CC15-CC16)/CC16,IF(AND(CC15=0,CC16=0),"",IF(AND(CC15="",CC16=""),"",IF(AND(CC15=0,CC16=""),"", IF(AND(CC15="",CC16=0),"",1)))))</f>
        <v>1</v>
      </c>
      <c r="CD17" s="40">
        <f t="shared" ref="CD17" si="568">IF(AND(CD15&lt;&gt;0,CD16&lt;&gt;0),(CD15-CD16)/CD16,IF(AND(CD15=0,CD16=0),"",IF(AND(CD15="",CD16=""),"",IF(AND(CD15=0,CD16=""),"", IF(AND(CD15="",CD16=0),"",1)))))</f>
        <v>1</v>
      </c>
      <c r="CE17" s="40">
        <f t="shared" ref="CE17" si="569">IF(AND(CE15&lt;&gt;0,CE16&lt;&gt;0),(CE15-CE16)/CE16,IF(AND(CE15=0,CE16=0),"",IF(AND(CE15="",CE16=""),"",IF(AND(CE15=0,CE16=""),"", IF(AND(CE15="",CE16=0),"",1)))))</f>
        <v>1</v>
      </c>
      <c r="CF17" s="40">
        <f t="shared" ref="CF17" si="570">IF(AND(CF15&lt;&gt;0,CF16&lt;&gt;0),(CF15-CF16)/CF16,IF(AND(CF15=0,CF16=0),"",IF(AND(CF15="",CF16=""),"",IF(AND(CF15=0,CF16=""),"", IF(AND(CF15="",CF16=0),"",1)))))</f>
        <v>1</v>
      </c>
      <c r="CG17" s="40">
        <f t="shared" ref="CG17" si="571">IF(AND(CG15&lt;&gt;0,CG16&lt;&gt;0),(CG15-CG16)/CG16,IF(AND(CG15=0,CG16=0),"",IF(AND(CG15="",CG16=""),"",IF(AND(CG15=0,CG16=""),"", IF(AND(CG15="",CG16=0),"",1)))))</f>
        <v>0.16016358327490274</v>
      </c>
      <c r="CH17" s="40">
        <f t="shared" ref="CH17" si="572">IF(AND(CH15&lt;&gt;0,CH16&lt;&gt;0),(CH15-CH16)/CH16,IF(AND(CH15=0,CH16=0),"",IF(AND(CH15="",CH16=""),"",IF(AND(CH15=0,CH16=""),"", IF(AND(CH15="",CH16=0),"",1)))))</f>
        <v>0.69045033136173484</v>
      </c>
      <c r="CI17" s="40">
        <f t="shared" ref="CI17" si="573">IF(AND(CI15&lt;&gt;0,CI16&lt;&gt;0),(CI15-CI16)/CI16,IF(AND(CI15=0,CI16=0),"",IF(AND(CI15="",CI16=""),"",IF(AND(CI15=0,CI16=""),"", IF(AND(CI15="",CI16=0),"",1)))))</f>
        <v>1</v>
      </c>
      <c r="CJ17" s="40">
        <f t="shared" ref="CJ17" si="574">IF(AND(CJ15&lt;&gt;0,CJ16&lt;&gt;0),(CJ15-CJ16)/CJ16,IF(AND(CJ15=0,CJ16=0),"",IF(AND(CJ15="",CJ16=""),"",IF(AND(CJ15=0,CJ16=""),"", IF(AND(CJ15="",CJ16=0),"",1)))))</f>
        <v>1</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f t="shared" ref="DK17:HU17" si="587">IF(AND(DK15&lt;&gt;0,DK16&lt;&gt;0),(DK15-DK16)/DK16,IF(AND(DK15=0,DK16=0),"",IF(AND(DK15="",DK16=""),"",IF(AND(DK15=0,DK16=""),"", IF(AND(DK15="",DK16=0),"",1)))))</f>
        <v>3.4195982945263994</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t="str">
        <f t="shared" si="587"/>
        <v/>
      </c>
      <c r="EG17" s="73" t="str">
        <f t="shared" si="587"/>
        <v/>
      </c>
      <c r="EH17" s="73" t="str">
        <f t="shared" si="587"/>
        <v/>
      </c>
      <c r="EI17" s="73" t="str">
        <f t="shared" ref="EI17:EV17" si="588">IF(AND(EI15&lt;&gt;0,EI16&lt;&gt;0),(EI15-EI16)/EI16,IF(AND(EI15=0,EI16=0),"",IF(AND(EI15="",EI16=""),"",IF(AND(EI15=0,EI16=""),"", IF(AND(EI15="",EI16=0),"",1)))))</f>
        <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t="str">
        <f t="shared" si="587"/>
        <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f t="shared" ref="IE17" si="601">IF(AND(IE15&lt;&gt;0,IE16&lt;&gt;0),(IE15-IE16)/IE16,IF(AND(IE15=0,IE16=0),"",IF(AND(IE15="",IE16=""),"",IF(AND(IE15=0,IE16=""),"", IF(AND(IE15="",IE16=0),"",1)))))</f>
        <v>1</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t="str">
        <f t="shared" ref="IP17" si="612">IF(AND(IP15&lt;&gt;0,IP16&lt;&gt;0),(IP15-IP16)/IP16,IF(AND(IP15=0,IP16=0),"",IF(AND(IP15="",IP16=""),"",IF(AND(IP15=0,IP16=""),"", IF(AND(IP15="",IP16=0),"",1)))))</f>
        <v/>
      </c>
      <c r="IQ17" s="40" t="str">
        <f t="shared" ref="IQ17" si="613">IF(AND(IQ15&lt;&gt;0,IQ16&lt;&gt;0),(IQ15-IQ16)/IQ16,IF(AND(IQ15=0,IQ16=0),"",IF(AND(IQ15="",IQ16=""),"",IF(AND(IQ15=0,IQ16=""),"", IF(AND(IQ15="",IQ16=0),"",1)))))</f>
        <v/>
      </c>
      <c r="IR17" s="40" t="str">
        <f t="shared" ref="IR17:JF17" si="614">IF(AND(IR15&lt;&gt;0,IR16&lt;&gt;0),(IR15-IR16)/IR16,IF(AND(IR15=0,IR16=0),"",IF(AND(IR15="",IR16=""),"",IF(AND(IR15=0,IR16=""),"", IF(AND(IR15="",IR16=0),"",1)))))</f>
        <v/>
      </c>
      <c r="IS17" s="40" t="str">
        <f t="shared" si="614"/>
        <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f t="shared" ref="JG17:NQ17" si="615">IF(AND(JG15&lt;&gt;0,JG16&lt;&gt;0),(JG15-JG16)/JG16,IF(AND(JG15=0,JG16=0),"",IF(AND(JG15="",JG16=""),"",IF(AND(JG15=0,JG16=""),"", IF(AND(JG15="",JG16=0),"",1)))))</f>
        <v>1</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t="str">
        <f t="shared" ref="KE17:KR17" si="616">IF(AND(KE15&lt;&gt;0,KE16&lt;&gt;0),(KE15-KE16)/KE16,IF(AND(KE15=0,KE16=0),"",IF(AND(KE15="",KE16=""),"",IF(AND(KE15=0,KE16=""),"", IF(AND(KE15="",KE16=0),"",1)))))</f>
        <v/>
      </c>
      <c r="KF17" s="73" t="str">
        <f t="shared" si="616"/>
        <v/>
      </c>
      <c r="KG17" s="73" t="str">
        <f t="shared" si="616"/>
        <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t="str">
        <f t="shared" si="615"/>
        <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t="str">
        <f t="shared" si="642"/>
        <v/>
      </c>
      <c r="OP17" s="40" t="str">
        <f t="shared" si="642"/>
        <v/>
      </c>
      <c r="OQ17" s="40" t="str">
        <f t="shared" si="642"/>
        <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t="str">
        <f t="shared" ref="PC17" si="643">IF(AND(PC15&lt;&gt;0,PC16&lt;&gt;0),(PC15-PC16)/PC16,IF(AND(PC15=0,PC16=0),"",IF(AND(PC15="",PC16=""),"",IF(AND(PC15=0,PC16=""),"", IF(AND(PC15="",PC16=0),"",1)))))</f>
        <v/>
      </c>
    </row>
    <row r="18" spans="1:419" outlineLevel="1" x14ac:dyDescent="0.3">
      <c r="A18" s="46" t="s">
        <v>108</v>
      </c>
      <c r="B18" s="14">
        <f>'[1]D-PDP'!$CB$12</f>
        <v>9277339</v>
      </c>
      <c r="C18" s="14">
        <f>'[1]D-PDP'!$CB$13</f>
        <v>8062819.5</v>
      </c>
      <c r="D18" s="14">
        <f>'[1]D-PDP'!$CB$14</f>
        <v>6317045</v>
      </c>
      <c r="E18" s="14">
        <f>'[1]D-PDP'!$CB$15</f>
        <v>4762471.5</v>
      </c>
      <c r="F18" s="14">
        <f>'[1]D-PDP'!$CB$16</f>
        <v>4033230.5</v>
      </c>
      <c r="G18" s="14">
        <f>'[1]D-PDP'!$CB$17</f>
        <v>3093849</v>
      </c>
      <c r="H18" s="14">
        <f>'[1]D-PDP'!$CB$18</f>
        <v>1553249</v>
      </c>
      <c r="I18" s="14">
        <f>'[1]D-PDP'!$CB$19</f>
        <v>598249.75</v>
      </c>
      <c r="J18" s="14">
        <f>'[1]D-PDP'!$CB$20</f>
        <v>290703.3125</v>
      </c>
      <c r="K18" s="14">
        <f>'[1]D-PDP'!$CB$21</f>
        <v>73080.4609375</v>
      </c>
      <c r="L18" s="14">
        <f>'[1]D-PDP'!$CB$22</f>
        <v>42200.5</v>
      </c>
      <c r="M18" s="14">
        <f>'[1]D-PDP'!$CB$23</f>
        <v>0</v>
      </c>
      <c r="N18" s="14">
        <f>'[1]D-PDP'!$CB$24</f>
        <v>0</v>
      </c>
      <c r="O18" s="14">
        <f>'[1]D-PDP'!$CB$25</f>
        <v>0</v>
      </c>
      <c r="P18" s="14">
        <f>'[1]D-PDP'!$CB$26</f>
        <v>0</v>
      </c>
      <c r="Q18" s="14">
        <f>'[1]D-PDP'!$CB$27</f>
        <v>0</v>
      </c>
      <c r="R18" s="14">
        <f>'[1]D-PDP'!$CB$28</f>
        <v>0</v>
      </c>
      <c r="S18" s="14">
        <f>'[1]D-PDP'!$CB$29</f>
        <v>0</v>
      </c>
      <c r="T18" s="14">
        <f>'[1]D-PDP'!$CB$30</f>
        <v>0</v>
      </c>
      <c r="U18" s="14">
        <f>'[1]D-PDP'!$CB$31</f>
        <v>0</v>
      </c>
      <c r="V18" s="14">
        <f>'[1]D-PDP'!$CB$32</f>
        <v>0</v>
      </c>
      <c r="W18" s="14">
        <f>'[1]D-PDP'!$CB$33</f>
        <v>0</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38104237.5234375</v>
      </c>
      <c r="AN18" s="28">
        <f>'[1]D-PNP'!$CB$12</f>
        <v>288119.59375</v>
      </c>
      <c r="AO18" s="14">
        <f>'[1]D-PNP'!$CB$13</f>
        <v>381975</v>
      </c>
      <c r="AP18" s="14">
        <f>'[1]D-PNP'!$CB$14</f>
        <v>595586.0625</v>
      </c>
      <c r="AQ18" s="14">
        <f>'[1]D-PNP'!$CB$15</f>
        <v>591200.5625</v>
      </c>
      <c r="AR18" s="14">
        <f>'[1]D-PNP'!$CB$16</f>
        <v>531416.3125</v>
      </c>
      <c r="AS18" s="14">
        <f>'[1]D-PNP'!$CB$17</f>
        <v>527330.75</v>
      </c>
      <c r="AT18" s="14">
        <f>'[1]D-PNP'!$CB$18</f>
        <v>411182.84375</v>
      </c>
      <c r="AU18" s="14">
        <f>'[1]D-PNP'!$CB$19</f>
        <v>320111.53125</v>
      </c>
      <c r="AV18" s="14">
        <f>'[1]D-PNP'!$CB$20</f>
        <v>159335.265625</v>
      </c>
      <c r="AW18" s="14">
        <f>'[1]D-PNP'!$CB$21</f>
        <v>0</v>
      </c>
      <c r="AX18" s="14">
        <f>'[1]D-PNP'!$CB$22</f>
        <v>0</v>
      </c>
      <c r="AY18" s="14">
        <f>'[1]D-PNP'!$CB$23</f>
        <v>0</v>
      </c>
      <c r="AZ18" s="14">
        <f>'[1]D-PNP'!$CB$24</f>
        <v>0</v>
      </c>
      <c r="BA18" s="14">
        <f>'[1]D-PNP'!$CB$25</f>
        <v>0</v>
      </c>
      <c r="BB18" s="14">
        <f>'[1]D-PNP'!$CB$26</f>
        <v>0</v>
      </c>
      <c r="BC18" s="14">
        <f>'[1]D-PNP'!$CB$27</f>
        <v>0</v>
      </c>
      <c r="BD18" s="14">
        <f>'[1]D-PNP'!$CB$28</f>
        <v>0</v>
      </c>
      <c r="BE18" s="14">
        <f>'[1]D-PNP'!$CB$29</f>
        <v>0</v>
      </c>
      <c r="BF18" s="14">
        <f>'[1]D-PNP'!$CB$30</f>
        <v>0</v>
      </c>
      <c r="BG18" s="14">
        <f>'[1]D-PNP'!$CB$31</f>
        <v>0</v>
      </c>
      <c r="BH18" s="14">
        <f>'[1]D-PNP'!$CB$32</f>
        <v>0</v>
      </c>
      <c r="BI18" s="14">
        <f>'[1]D-PNP'!$CB$33</f>
        <v>0</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3806257.921875</v>
      </c>
      <c r="BZ18" s="28">
        <f>'[1]D-PND'!$CB$12</f>
        <v>546250.8125</v>
      </c>
      <c r="CA18" s="14">
        <f>'[1]D-PND'!$CB$13</f>
        <v>819265.5</v>
      </c>
      <c r="CB18" s="14">
        <f>'[1]D-PND'!$CB$14</f>
        <v>848822.375</v>
      </c>
      <c r="CC18" s="14">
        <f>'[1]D-PND'!$CB$15</f>
        <v>849999.25</v>
      </c>
      <c r="CD18" s="14">
        <f>'[1]D-PND'!$CB$16</f>
        <v>1857095.875</v>
      </c>
      <c r="CE18" s="14">
        <f>'[1]D-PND'!$CB$17</f>
        <v>3151252.75</v>
      </c>
      <c r="CF18" s="14">
        <f>'[1]D-PND'!$CB$18</f>
        <v>4192151</v>
      </c>
      <c r="CG18" s="14">
        <f>'[1]D-PND'!$CB$19</f>
        <v>4167254</v>
      </c>
      <c r="CH18" s="14">
        <f>'[1]D-PND'!$CB$20</f>
        <v>3854339</v>
      </c>
      <c r="CI18" s="14">
        <f>'[1]D-PND'!$CB$21</f>
        <v>3417923.25</v>
      </c>
      <c r="CJ18" s="14">
        <f>'[1]D-PND'!$CB$22</f>
        <v>1654124.125</v>
      </c>
      <c r="CK18" s="14">
        <f>'[1]D-PND'!$CB$23</f>
        <v>0</v>
      </c>
      <c r="CL18" s="14">
        <f>'[1]D-PND'!$CB$24</f>
        <v>0</v>
      </c>
      <c r="CM18" s="14">
        <f>'[1]D-PND'!$CB$25</f>
        <v>0</v>
      </c>
      <c r="CN18" s="14">
        <f>'[1]D-PND'!$CB$26</f>
        <v>0</v>
      </c>
      <c r="CO18" s="14">
        <f>'[1]D-PND'!$CB$27</f>
        <v>0</v>
      </c>
      <c r="CP18" s="14">
        <f>'[1]D-PND'!$CB$28</f>
        <v>0</v>
      </c>
      <c r="CQ18" s="14">
        <f>'[1]D-PND'!$CB$29</f>
        <v>0</v>
      </c>
      <c r="CR18" s="14">
        <f>'[1]D-PND'!$CB$30</f>
        <v>0</v>
      </c>
      <c r="CS18" s="14">
        <f>'[1]D-PND'!$CB$31</f>
        <v>0</v>
      </c>
      <c r="CT18" s="14">
        <f>'[1]D-PND'!$CB$32</f>
        <v>0</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25358477.9375</v>
      </c>
      <c r="DL18" s="66"/>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8">
        <f>SUM(DL18:EV18)</f>
        <v>0</v>
      </c>
      <c r="EX18" s="66"/>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8">
        <f>SUM(EX18:GH18)</f>
        <v>0</v>
      </c>
      <c r="GJ18" s="66"/>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8">
        <f>SUM(GJ18:HT18)</f>
        <v>0</v>
      </c>
      <c r="HV18" s="28">
        <f>'[1]D-PRB'!$CB$12</f>
        <v>570828.3125</v>
      </c>
      <c r="HW18" s="14">
        <f>'[1]D-PRB'!$CB$13</f>
        <v>622204.5625</v>
      </c>
      <c r="HX18" s="14">
        <f>'[1]D-PRB'!$CB$14</f>
        <v>654859.875</v>
      </c>
      <c r="HY18" s="14">
        <f>'[1]D-PRB'!$CB$15</f>
        <v>798011.75</v>
      </c>
      <c r="HZ18" s="14">
        <f>'[1]D-PRB'!$CB$16</f>
        <v>799486.8125</v>
      </c>
      <c r="IA18" s="14">
        <f>'[1]D-PRB'!$CB$17</f>
        <v>809864.4375</v>
      </c>
      <c r="IB18" s="14">
        <f>'[1]D-PRB'!$CB$18</f>
        <v>722793.0625</v>
      </c>
      <c r="IC18" s="14">
        <f>'[1]D-PRB'!$CB$19</f>
        <v>407227.03125</v>
      </c>
      <c r="ID18" s="14">
        <f>'[1]D-PRB'!$CB$20</f>
        <v>272101.90625</v>
      </c>
      <c r="IE18" s="14">
        <f>'[1]D-PRB'!$CB$21</f>
        <v>83991.390625</v>
      </c>
      <c r="IF18" s="14">
        <f>'[1]D-PRB'!$CB$22</f>
        <v>48560.5625</v>
      </c>
      <c r="IG18" s="14">
        <f>'[1]D-PRB'!$CB$23</f>
        <v>0</v>
      </c>
      <c r="IH18" s="14">
        <f>'[1]D-PRB'!$CB$24</f>
        <v>0</v>
      </c>
      <c r="II18" s="14">
        <f>'[1]D-PRB'!$CB$25</f>
        <v>0</v>
      </c>
      <c r="IJ18" s="14">
        <f>'[1]D-PRB'!$CB$26</f>
        <v>0</v>
      </c>
      <c r="IK18" s="14">
        <f>'[1]D-PRB'!$CB$27</f>
        <v>0</v>
      </c>
      <c r="IL18" s="14">
        <f>'[1]D-PRB'!$CB$28</f>
        <v>0</v>
      </c>
      <c r="IM18" s="14">
        <f>'[1]D-PRB'!$CB$29</f>
        <v>0</v>
      </c>
      <c r="IN18" s="14">
        <f>'[1]D-PRB'!$CB$30</f>
        <v>0</v>
      </c>
      <c r="IO18" s="14">
        <f>'[1]D-PRB'!$CB$31</f>
        <v>0</v>
      </c>
      <c r="IP18" s="14">
        <f>'[1]D-PRB'!$CB$32</f>
        <v>0</v>
      </c>
      <c r="IQ18" s="14">
        <f>'[1]D-PRB'!$CB$33</f>
        <v>0</v>
      </c>
      <c r="IR18" s="14">
        <f>'[1]D-PRB'!$CB$34</f>
        <v>0</v>
      </c>
      <c r="IS18" s="14">
        <f>'[1]D-PRB'!$CB$35</f>
        <v>0</v>
      </c>
      <c r="IT18" s="14">
        <f>'[1]D-PRB'!$CB$36</f>
        <v>0</v>
      </c>
      <c r="IU18" s="14">
        <f>'[1]D-PRB'!$CB$37</f>
        <v>0</v>
      </c>
      <c r="IV18" s="14">
        <f>'[1]D-PRB'!$CB$38</f>
        <v>0</v>
      </c>
      <c r="IW18" s="14">
        <f>'[1]D-PRB'!$CB$39</f>
        <v>0</v>
      </c>
      <c r="IX18" s="14">
        <f>'[1]D-PRB'!$CB$40</f>
        <v>0</v>
      </c>
      <c r="IY18" s="14">
        <f>'[1]D-PRB'!$CB$41</f>
        <v>0</v>
      </c>
      <c r="IZ18" s="14">
        <f>'[1]D-PRB'!$CB$42</f>
        <v>0</v>
      </c>
      <c r="JA18" s="14">
        <f>'[1]D-PRB'!$CB$43</f>
        <v>0</v>
      </c>
      <c r="JB18" s="14">
        <f>'[1]D-PRB'!$CB$44</f>
        <v>0</v>
      </c>
      <c r="JC18" s="14">
        <f>'[1]D-PRB'!$CB$45</f>
        <v>0</v>
      </c>
      <c r="JD18" s="14">
        <f>'[1]D-PRB'!$CB$46</f>
        <v>0</v>
      </c>
      <c r="JE18" s="14">
        <f>'[1]D-PRB'!$CB$47</f>
        <v>0</v>
      </c>
      <c r="JF18" s="14">
        <f>'[1]D-PRB'!$CB$48</f>
        <v>0</v>
      </c>
      <c r="JG18" s="16">
        <f>SUM(HV18:JF18)</f>
        <v>5789929.703125</v>
      </c>
      <c r="JH18" s="66"/>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c r="KR18" s="67"/>
      <c r="KS18" s="68">
        <f>SUM(JH18:KR18)</f>
        <v>0</v>
      </c>
      <c r="KT18" s="66"/>
      <c r="KU18" s="67"/>
      <c r="KV18" s="67"/>
      <c r="KW18" s="67"/>
      <c r="KX18" s="67"/>
      <c r="KY18" s="67"/>
      <c r="KZ18" s="67"/>
      <c r="LA18" s="67"/>
      <c r="LB18" s="67"/>
      <c r="LC18" s="67"/>
      <c r="LD18" s="67"/>
      <c r="LE18" s="67"/>
      <c r="LF18" s="67"/>
      <c r="LG18" s="67"/>
      <c r="LH18" s="67"/>
      <c r="LI18" s="67"/>
      <c r="LJ18" s="67"/>
      <c r="LK18" s="67"/>
      <c r="LL18" s="67"/>
      <c r="LM18" s="67"/>
      <c r="LN18" s="67"/>
      <c r="LO18" s="67"/>
      <c r="LP18" s="67"/>
      <c r="LQ18" s="67"/>
      <c r="LR18" s="67"/>
      <c r="LS18" s="67"/>
      <c r="LT18" s="67"/>
      <c r="LU18" s="67"/>
      <c r="LV18" s="67"/>
      <c r="LW18" s="67"/>
      <c r="LX18" s="67"/>
      <c r="LY18" s="67"/>
      <c r="LZ18" s="67"/>
      <c r="MA18" s="67"/>
      <c r="MB18" s="67"/>
      <c r="MC18" s="67"/>
      <c r="MD18" s="67"/>
      <c r="ME18" s="68">
        <f>SUM(KT18:MD18)</f>
        <v>0</v>
      </c>
      <c r="MF18" s="66"/>
      <c r="MG18" s="67"/>
      <c r="MH18" s="67"/>
      <c r="MI18" s="67"/>
      <c r="MJ18" s="67"/>
      <c r="MK18" s="67"/>
      <c r="ML18" s="67"/>
      <c r="MM18" s="67"/>
      <c r="MN18" s="67"/>
      <c r="MO18" s="67"/>
      <c r="MP18" s="67"/>
      <c r="MQ18" s="67"/>
      <c r="MR18" s="67"/>
      <c r="MS18" s="67"/>
      <c r="MT18" s="67"/>
      <c r="MU18" s="67"/>
      <c r="MV18" s="67"/>
      <c r="MW18" s="67"/>
      <c r="MX18" s="67"/>
      <c r="MY18" s="67"/>
      <c r="MZ18" s="67"/>
      <c r="NA18" s="67"/>
      <c r="NB18" s="67"/>
      <c r="NC18" s="67"/>
      <c r="ND18" s="67"/>
      <c r="NE18" s="67"/>
      <c r="NF18" s="67"/>
      <c r="NG18" s="67"/>
      <c r="NH18" s="67"/>
      <c r="NI18" s="67"/>
      <c r="NJ18" s="67"/>
      <c r="NK18" s="67"/>
      <c r="NL18" s="67"/>
      <c r="NM18" s="67"/>
      <c r="NN18" s="67"/>
      <c r="NO18" s="67"/>
      <c r="NP18" s="67"/>
      <c r="NQ18" s="68">
        <f>SUM(MF18:NP18)</f>
        <v>0</v>
      </c>
      <c r="NR18" s="14">
        <f>'[1]D-PS'!$CB$12</f>
        <v>254572.875</v>
      </c>
      <c r="NS18" s="14">
        <f>'[1]D-PS'!$CB$13</f>
        <v>329843.125</v>
      </c>
      <c r="NT18" s="14">
        <f>'[1]D-PS'!$CB$14</f>
        <v>325259.53125</v>
      </c>
      <c r="NU18" s="14">
        <f>'[1]D-PS'!$CB$15</f>
        <v>315155.03125</v>
      </c>
      <c r="NV18" s="14">
        <f>'[1]D-PS'!$CB$16</f>
        <v>305212.40625</v>
      </c>
      <c r="NW18" s="14">
        <f>'[1]D-PS'!$CB$17</f>
        <v>289721.125</v>
      </c>
      <c r="NX18" s="14">
        <f>'[1]D-PS'!$CB$18</f>
        <v>0</v>
      </c>
      <c r="NY18" s="14">
        <f>'[1]D-PS'!$CB$19</f>
        <v>16966.521484375</v>
      </c>
      <c r="NZ18" s="14">
        <f>'[1]D-PS'!$CB$20</f>
        <v>24543.42578125</v>
      </c>
      <c r="OA18" s="14">
        <f>'[1]D-PS'!$CB$21</f>
        <v>20717.986328125</v>
      </c>
      <c r="OB18" s="14">
        <f>'[1]D-PS'!$CB$22</f>
        <v>4886.29150390625</v>
      </c>
      <c r="OC18" s="14">
        <f>'[1]D-PS'!$CB$23</f>
        <v>0</v>
      </c>
      <c r="OD18" s="14">
        <f>'[1]D-PS'!$CB$24</f>
        <v>0</v>
      </c>
      <c r="OE18" s="14">
        <f>'[1]D-PS'!$CB$25</f>
        <v>0</v>
      </c>
      <c r="OF18" s="14">
        <f>'[1]D-PS'!$CB$26</f>
        <v>0</v>
      </c>
      <c r="OG18" s="14">
        <f>'[1]D-PS'!$CB$27</f>
        <v>0</v>
      </c>
      <c r="OH18" s="14">
        <f>'[1]D-PS'!$CB$28</f>
        <v>0</v>
      </c>
      <c r="OI18" s="14">
        <f>'[1]D-PS'!$CB$29</f>
        <v>0</v>
      </c>
      <c r="OJ18" s="14">
        <f>'[1]D-PS'!$CB$30</f>
        <v>0</v>
      </c>
      <c r="OK18" s="14">
        <f>'[1]D-PS'!$CB$31</f>
        <v>0</v>
      </c>
      <c r="OL18" s="14">
        <f>'[1]D-PS'!$CB$32</f>
        <v>0</v>
      </c>
      <c r="OM18" s="14">
        <f>'[1]D-PS'!$CB$33</f>
        <v>0</v>
      </c>
      <c r="ON18" s="14">
        <f>'[1]D-PS'!$CB$34</f>
        <v>0</v>
      </c>
      <c r="OO18" s="14">
        <f>'[1]D-PS'!$CB$35</f>
        <v>0</v>
      </c>
      <c r="OP18" s="14">
        <f>'[1]D-PS'!$CB$36</f>
        <v>0</v>
      </c>
      <c r="OQ18" s="14">
        <f>'[1]D-PS'!$CB$37</f>
        <v>0</v>
      </c>
      <c r="OR18" s="14">
        <f>'[1]D-PS'!$CB$38</f>
        <v>0</v>
      </c>
      <c r="OS18" s="14">
        <f>'[1]D-PS'!$CB$39</f>
        <v>0</v>
      </c>
      <c r="OT18" s="14">
        <f>'[1]D-PS'!$CB$40</f>
        <v>0</v>
      </c>
      <c r="OU18" s="14">
        <f>'[1]D-PS'!$CB$41</f>
        <v>0</v>
      </c>
      <c r="OV18" s="14">
        <f>'[1]D-PS'!$CB$42</f>
        <v>0</v>
      </c>
      <c r="OW18" s="14">
        <f>'[1]D-PS'!$CB$43</f>
        <v>0</v>
      </c>
      <c r="OX18" s="14">
        <f>'[1]D-PS'!$CB$44</f>
        <v>0</v>
      </c>
      <c r="OY18" s="14">
        <f>'[1]D-PS'!$CB$45</f>
        <v>0</v>
      </c>
      <c r="OZ18" s="14">
        <f>'[1]D-PS'!$CB$46</f>
        <v>0</v>
      </c>
      <c r="PA18" s="14">
        <f>'[1]D-PS'!$CB$47</f>
        <v>0</v>
      </c>
      <c r="PB18" s="14">
        <f>'[1]D-PS'!$CB$48</f>
        <v>0</v>
      </c>
      <c r="PC18" s="16">
        <f>SUM(NR18:PB18)</f>
        <v>1886878.3188476563</v>
      </c>
    </row>
    <row r="19" spans="1:419" outlineLevel="1" x14ac:dyDescent="0.3">
      <c r="A19" s="46" t="s">
        <v>109</v>
      </c>
      <c r="B19" s="25">
        <f>'[2]CF PDP'!$BY$36</f>
        <v>9289488</v>
      </c>
      <c r="C19" s="25">
        <f>'[2]CF PDP'!$BY$37</f>
        <v>8102343</v>
      </c>
      <c r="D19" s="25">
        <f>'[2]CF PDP'!$BY$38</f>
        <v>6386783</v>
      </c>
      <c r="E19" s="25">
        <f>'[2]CF PDP'!$BY$39</f>
        <v>4795167</v>
      </c>
      <c r="F19" s="25">
        <f>'[2]CF PDP'!$BY$40</f>
        <v>4071571</v>
      </c>
      <c r="G19" s="25">
        <f>'[2]CF PDP'!$BY$41</f>
        <v>3151843</v>
      </c>
      <c r="H19" s="25">
        <f>'[2]CF PDP'!$BY$42</f>
        <v>0</v>
      </c>
      <c r="I19" s="25">
        <f>'[2]CF PDP'!$BY$43</f>
        <v>0</v>
      </c>
      <c r="J19" s="25">
        <f>'[2]CF PDP'!$BY$44</f>
        <v>0</v>
      </c>
      <c r="K19" s="25">
        <f>'[2]CF PDP'!$BY$45</f>
        <v>0</v>
      </c>
      <c r="L19" s="25">
        <f>'[2]CF PDP'!$BY$46</f>
        <v>0</v>
      </c>
      <c r="M19" s="25">
        <f>'[2]CF PDP'!$BY$47</f>
        <v>0</v>
      </c>
      <c r="N19" s="25">
        <f>'[2]CF PDP'!$BY$48</f>
        <v>0</v>
      </c>
      <c r="O19" s="25">
        <f>'[2]CF PDP'!$BY$49</f>
        <v>0</v>
      </c>
      <c r="P19" s="25">
        <f>'[2]CF PDP'!$BY$50</f>
        <v>0</v>
      </c>
      <c r="Q19" s="25">
        <f>'[2]CF PDP'!$BY$51</f>
        <v>0</v>
      </c>
      <c r="R19" s="25">
        <f>'[2]CF PDP'!$BY$52</f>
        <v>0</v>
      </c>
      <c r="S19" s="25">
        <f>'[2]CF PDP'!$BY$53</f>
        <v>0</v>
      </c>
      <c r="T19" s="25">
        <f>'[2]CF PDP'!$BY$54</f>
        <v>0</v>
      </c>
      <c r="U19" s="25">
        <f>'[2]CF PDP'!$BY$55</f>
        <v>0</v>
      </c>
      <c r="V19" s="25">
        <f>'[2]CF PDP'!$BY$56</f>
        <v>0</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35797195</v>
      </c>
      <c r="AN19" s="27">
        <f>'[2]CF PNP'!$BY$36</f>
        <v>288120</v>
      </c>
      <c r="AO19" s="25">
        <f>'[2]CF PNP'!$BY$37</f>
        <v>361122</v>
      </c>
      <c r="AP19" s="25">
        <f>'[2]CF PNP'!$BY$38</f>
        <v>597445</v>
      </c>
      <c r="AQ19" s="25">
        <f>'[2]CF PNP'!$BY$39</f>
        <v>591200</v>
      </c>
      <c r="AR19" s="25">
        <f>'[2]CF PNP'!$BY$40</f>
        <v>531417</v>
      </c>
      <c r="AS19" s="25">
        <f>'[2]CF PNP'!$BY$41</f>
        <v>528967</v>
      </c>
      <c r="AT19" s="25">
        <f>'[2]CF PNP'!$BY$42</f>
        <v>2058656</v>
      </c>
      <c r="AU19" s="25">
        <f>'[2]CF PNP'!$BY$43</f>
        <v>0</v>
      </c>
      <c r="AV19" s="25">
        <f>'[2]CF PNP'!$BY$44</f>
        <v>0</v>
      </c>
      <c r="AW19" s="25">
        <f>'[2]CF PNP'!$BY$45</f>
        <v>0</v>
      </c>
      <c r="AX19" s="25">
        <f>'[2]CF PNP'!$BY$46</f>
        <v>0</v>
      </c>
      <c r="AY19" s="25">
        <f>'[2]CF PNP'!$BY$47</f>
        <v>0</v>
      </c>
      <c r="AZ19" s="25">
        <f>'[2]CF PNP'!$BY$48</f>
        <v>0</v>
      </c>
      <c r="BA19" s="25">
        <f>'[2]CF PNP'!$BY$49</f>
        <v>0</v>
      </c>
      <c r="BB19" s="25">
        <f>'[2]CF PNP'!$BY$50</f>
        <v>0</v>
      </c>
      <c r="BC19" s="25">
        <f>'[2]CF PNP'!$BY$51</f>
        <v>0</v>
      </c>
      <c r="BD19" s="25">
        <f>'[2]CF PNP'!$BY$52</f>
        <v>0</v>
      </c>
      <c r="BE19" s="25">
        <f>'[2]CF PNP'!$BY$53</f>
        <v>0</v>
      </c>
      <c r="BF19" s="25">
        <f>'[2]CF PNP'!$BY$54</f>
        <v>0</v>
      </c>
      <c r="BG19" s="25">
        <f>'[2]CF PNP'!$BY$55</f>
        <v>0</v>
      </c>
      <c r="BH19" s="25">
        <f>'[2]CF PNP'!$BY$56</f>
        <v>0</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4956927</v>
      </c>
      <c r="BZ19" s="27">
        <f>'[2]CF PND'!$BY$36</f>
        <v>565230</v>
      </c>
      <c r="CA19" s="25">
        <f>'[2]CF PND'!$BY$37</f>
        <v>819267</v>
      </c>
      <c r="CB19" s="25">
        <f>'[2]CF PND'!$BY$38</f>
        <v>848822</v>
      </c>
      <c r="CC19" s="25">
        <f>'[2]CF PND'!$BY$39</f>
        <v>905184</v>
      </c>
      <c r="CD19" s="25">
        <f>'[2]CF PND'!$BY$40</f>
        <v>1918557</v>
      </c>
      <c r="CE19" s="25">
        <f>'[2]CF PND'!$BY$41</f>
        <v>3218800</v>
      </c>
      <c r="CF19" s="25">
        <f>'[2]CF PND'!$BY$42</f>
        <v>4262335</v>
      </c>
      <c r="CG19" s="25">
        <f>'[2]CF PND'!$BY$43</f>
        <v>5176687</v>
      </c>
      <c r="CH19" s="25">
        <f>'[2]CF PND'!$BY$44</f>
        <v>4409276</v>
      </c>
      <c r="CI19" s="25">
        <f>'[2]CF PND'!$BY$45</f>
        <v>0</v>
      </c>
      <c r="CJ19" s="25">
        <f>'[2]CF PND'!$BY$46</f>
        <v>0</v>
      </c>
      <c r="CK19" s="25">
        <f>'[2]CF PND'!$BY$47</f>
        <v>0</v>
      </c>
      <c r="CL19" s="25">
        <f>'[2]CF PND'!$BY$48</f>
        <v>0</v>
      </c>
      <c r="CM19" s="25">
        <f>'[2]CF PND'!$BY$49</f>
        <v>0</v>
      </c>
      <c r="CN19" s="25">
        <f>'[2]CF PND'!$BY$50</f>
        <v>0</v>
      </c>
      <c r="CO19" s="25">
        <f>'[2]CF PND'!$BY$51</f>
        <v>0</v>
      </c>
      <c r="CP19" s="25">
        <f>'[2]CF PND'!$BY$52</f>
        <v>0</v>
      </c>
      <c r="CQ19" s="25">
        <f>'[2]CF PND'!$BY$53</f>
        <v>0</v>
      </c>
      <c r="CR19" s="25">
        <f>'[2]CF PND'!$BY$54</f>
        <v>0</v>
      </c>
      <c r="CS19" s="25">
        <f>'[2]CF PND'!$BY$55</f>
        <v>0</v>
      </c>
      <c r="CT19" s="25">
        <f>'[2]CF PND'!$BY$56</f>
        <v>0</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22124158</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570829</v>
      </c>
      <c r="HW19" s="25">
        <f>'[2]CF PRB'!$BY$37</f>
        <v>622204</v>
      </c>
      <c r="HX19" s="25">
        <f>'[2]CF PRB'!$BY$38</f>
        <v>671231</v>
      </c>
      <c r="HY19" s="25">
        <f>'[2]CF PRB'!$BY$39</f>
        <v>799667</v>
      </c>
      <c r="HZ19" s="25">
        <f>'[2]CF PRB'!$BY$40</f>
        <v>799487</v>
      </c>
      <c r="IA19" s="25">
        <f>'[2]CF PRB'!$BY$41</f>
        <v>809864</v>
      </c>
      <c r="IB19" s="25">
        <f>'[2]CF PRB'!$BY$42</f>
        <v>740295</v>
      </c>
      <c r="IC19" s="25">
        <f>'[2]CF PRB'!$BY$43</f>
        <v>414130</v>
      </c>
      <c r="ID19" s="25">
        <f>'[2]CF PRB'!$BY$44</f>
        <v>284623</v>
      </c>
      <c r="IE19" s="25">
        <f>'[2]CF PRB'!$BY$45</f>
        <v>3651611</v>
      </c>
      <c r="IF19" s="25">
        <f>'[2]CF PRB'!$BY$46</f>
        <v>0</v>
      </c>
      <c r="IG19" s="25">
        <f>'[2]CF PRB'!$BY$47</f>
        <v>0</v>
      </c>
      <c r="IH19" s="25">
        <f>'[2]CF PRB'!$BY$48</f>
        <v>0</v>
      </c>
      <c r="II19" s="25">
        <f>'[2]CF PRB'!$BY$49</f>
        <v>0</v>
      </c>
      <c r="IJ19" s="25">
        <f>'[2]CF PRB'!$BY$50</f>
        <v>0</v>
      </c>
      <c r="IK19" s="25">
        <f>'[2]CF PRB'!$BY$51</f>
        <v>0</v>
      </c>
      <c r="IL19" s="25">
        <f>'[2]CF PRB'!$BY$52</f>
        <v>0</v>
      </c>
      <c r="IM19" s="25">
        <f>'[2]CF PRB'!$BY$53</f>
        <v>0</v>
      </c>
      <c r="IN19" s="25">
        <f>'[2]CF PRB'!$BY$54</f>
        <v>0</v>
      </c>
      <c r="IO19" s="25">
        <f>'[2]CF PRB'!$BY$55</f>
        <v>0</v>
      </c>
      <c r="IP19" s="25">
        <f>'[2]CF PRB'!$BY$56</f>
        <v>0</v>
      </c>
      <c r="IQ19" s="25">
        <f>'[2]CF PRB'!$BY$57</f>
        <v>0</v>
      </c>
      <c r="IR19" s="25">
        <f>'[2]CF PRB'!$BY$58</f>
        <v>0</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9363941</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261719</v>
      </c>
      <c r="NS19" s="25">
        <f>'[2]CF PS'!$BY$37</f>
        <v>329843</v>
      </c>
      <c r="NT19" s="25">
        <f>'[2]CF PS'!$BY$38</f>
        <v>325259</v>
      </c>
      <c r="NU19" s="25">
        <f>'[2]CF PS'!$BY$39</f>
        <v>315155</v>
      </c>
      <c r="NV19" s="25">
        <f>'[2]CF PS'!$BY$40</f>
        <v>305212</v>
      </c>
      <c r="NW19" s="25">
        <f>'[2]CF PS'!$BY$41</f>
        <v>291357</v>
      </c>
      <c r="NX19" s="25">
        <f>'[2]CF PS'!$BY$42</f>
        <v>0</v>
      </c>
      <c r="NY19" s="25">
        <f>'[2]CF PS'!$BY$43</f>
        <v>25391</v>
      </c>
      <c r="NZ19" s="25">
        <f>'[2]CF PS'!$BY$44</f>
        <v>24553</v>
      </c>
      <c r="OA19" s="25">
        <f>'[2]CF PS'!$BY$45</f>
        <v>20718</v>
      </c>
      <c r="OB19" s="25">
        <f>'[2]CF PS'!$BY$46</f>
        <v>0</v>
      </c>
      <c r="OC19" s="25">
        <f>'[2]CF PS'!$BY$47</f>
        <v>0</v>
      </c>
      <c r="OD19" s="25">
        <f>'[2]CF PS'!$BY$48</f>
        <v>0</v>
      </c>
      <c r="OE19" s="25">
        <f>'[2]CF PS'!$BY$49</f>
        <v>0</v>
      </c>
      <c r="OF19" s="25">
        <f>'[2]CF PS'!$BY$50</f>
        <v>0</v>
      </c>
      <c r="OG19" s="25">
        <f>'[2]CF PS'!$BY$51</f>
        <v>0</v>
      </c>
      <c r="OH19" s="25">
        <f>'[2]CF PS'!$BY$52</f>
        <v>0</v>
      </c>
      <c r="OI19" s="25">
        <f>'[2]CF PS'!$BY$53</f>
        <v>0</v>
      </c>
      <c r="OJ19" s="25">
        <f>'[2]CF PS'!$BY$54</f>
        <v>0</v>
      </c>
      <c r="OK19" s="25">
        <f>'[2]CF PS'!$BY$55</f>
        <v>0</v>
      </c>
      <c r="OL19" s="25">
        <f>'[2]CF PS'!$BY$56</f>
        <v>0</v>
      </c>
      <c r="OM19" s="25">
        <f>'[2]CF PS'!$BY$57</f>
        <v>0</v>
      </c>
      <c r="ON19" s="25">
        <f>'[2]CF PS'!$BY$58</f>
        <v>0</v>
      </c>
      <c r="OO19" s="25">
        <f>'[2]CF PS'!$BY$59</f>
        <v>0</v>
      </c>
      <c r="OP19" s="25">
        <f>'[2]CF PS'!$BY$60</f>
        <v>0</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1899207</v>
      </c>
    </row>
    <row r="20" spans="1:419" ht="16.5" thickBot="1" x14ac:dyDescent="0.35">
      <c r="A20" s="47" t="s">
        <v>124</v>
      </c>
      <c r="B20" s="40">
        <f>IF(AND(B18&lt;&gt;0,B19&lt;&gt;0),(B18-B19)/B19,IF(AND(B18=0,B19=0),"",IF(AND(B18="",B19=""),"",IF(AND(B18=0,B19=""),"", IF(AND(B18="",B19=0),"",1)))))</f>
        <v>-1.3078223471519636E-3</v>
      </c>
      <c r="C20" s="40">
        <f t="shared" ref="C20:CP20" si="644">IF(AND(C18&lt;&gt;0,C19&lt;&gt;0),(C18-C19)/C19,IF(AND(C18=0,C19=0),"",IF(AND(C18="",C19=""),"",IF(AND(C18=0,C19=""),"", IF(AND(C18="",C19=0),"",1)))))</f>
        <v>-4.8780334281083877E-3</v>
      </c>
      <c r="D20" s="40">
        <f t="shared" si="644"/>
        <v>-1.0919112172748002E-2</v>
      </c>
      <c r="E20" s="40">
        <f t="shared" si="644"/>
        <v>-6.8184278044956517E-3</v>
      </c>
      <c r="F20" s="40">
        <f t="shared" si="644"/>
        <v>-9.4166354952424994E-3</v>
      </c>
      <c r="G20" s="40">
        <f t="shared" si="644"/>
        <v>-1.840002817399217E-2</v>
      </c>
      <c r="H20" s="40">
        <f t="shared" si="644"/>
        <v>1</v>
      </c>
      <c r="I20" s="40">
        <f t="shared" si="644"/>
        <v>1</v>
      </c>
      <c r="J20" s="40">
        <f t="shared" si="644"/>
        <v>1</v>
      </c>
      <c r="K20" s="40">
        <f t="shared" si="644"/>
        <v>1</v>
      </c>
      <c r="L20" s="40">
        <f t="shared" si="644"/>
        <v>1</v>
      </c>
      <c r="M20" s="40" t="str">
        <f t="shared" si="644"/>
        <v/>
      </c>
      <c r="N20" s="40" t="str">
        <f t="shared" si="644"/>
        <v/>
      </c>
      <c r="O20" s="40" t="str">
        <f t="shared" si="644"/>
        <v/>
      </c>
      <c r="P20" s="40" t="str">
        <f t="shared" si="644"/>
        <v/>
      </c>
      <c r="Q20" s="40" t="str">
        <f t="shared" si="644"/>
        <v/>
      </c>
      <c r="R20" s="40" t="str">
        <f t="shared" si="644"/>
        <v/>
      </c>
      <c r="S20" s="40" t="str">
        <f t="shared" si="644"/>
        <v/>
      </c>
      <c r="T20" s="40" t="str">
        <f t="shared" si="644"/>
        <v/>
      </c>
      <c r="U20" s="40" t="str">
        <f t="shared" si="644"/>
        <v/>
      </c>
      <c r="V20" s="40" t="str">
        <f t="shared" si="644"/>
        <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6.4447578181404994E-2</v>
      </c>
      <c r="AN20" s="39">
        <f t="shared" si="644"/>
        <v>-1.4100027766208525E-6</v>
      </c>
      <c r="AO20" s="40">
        <f t="shared" si="644"/>
        <v>5.774502799607889E-2</v>
      </c>
      <c r="AP20" s="40">
        <f t="shared" si="644"/>
        <v>-3.111478880901171E-3</v>
      </c>
      <c r="AQ20" s="40">
        <f t="shared" si="644"/>
        <v>9.514546684709066E-7</v>
      </c>
      <c r="AR20" s="40">
        <f t="shared" si="644"/>
        <v>-1.2937109652118769E-6</v>
      </c>
      <c r="AS20" s="40">
        <f t="shared" si="644"/>
        <v>-3.0932931543933744E-3</v>
      </c>
      <c r="AT20" s="40">
        <f t="shared" si="644"/>
        <v>-0.80026636613887892</v>
      </c>
      <c r="AU20" s="40">
        <f t="shared" si="644"/>
        <v>1</v>
      </c>
      <c r="AV20" s="40">
        <f t="shared" si="644"/>
        <v>1</v>
      </c>
      <c r="AW20" s="40" t="str">
        <f t="shared" si="644"/>
        <v/>
      </c>
      <c r="AX20" s="40" t="str">
        <f t="shared" si="644"/>
        <v/>
      </c>
      <c r="AY20" s="40" t="str">
        <f t="shared" si="644"/>
        <v/>
      </c>
      <c r="AZ20" s="40" t="str">
        <f t="shared" si="644"/>
        <v/>
      </c>
      <c r="BA20" s="40" t="str">
        <f t="shared" si="644"/>
        <v/>
      </c>
      <c r="BB20" s="40" t="str">
        <f t="shared" si="644"/>
        <v/>
      </c>
      <c r="BC20" s="40" t="str">
        <f t="shared" si="644"/>
        <v/>
      </c>
      <c r="BD20" s="40" t="str">
        <f t="shared" si="644"/>
        <v/>
      </c>
      <c r="BE20" s="40" t="str">
        <f t="shared" si="644"/>
        <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-0.23213355333354718</v>
      </c>
      <c r="BZ20" s="39">
        <f t="shared" si="644"/>
        <v>-3.3577813456469048E-2</v>
      </c>
      <c r="CA20" s="40">
        <f t="shared" si="644"/>
        <v>-1.8309049430771653E-6</v>
      </c>
      <c r="CB20" s="40">
        <f t="shared" si="644"/>
        <v>4.4178873780368557E-7</v>
      </c>
      <c r="CC20" s="40">
        <f t="shared" si="644"/>
        <v>-6.0965229168876159E-2</v>
      </c>
      <c r="CD20" s="40">
        <f t="shared" si="644"/>
        <v>-3.2035078968203706E-2</v>
      </c>
      <c r="CE20" s="40">
        <f t="shared" si="644"/>
        <v>-2.0985227413943083E-2</v>
      </c>
      <c r="CF20" s="40">
        <f t="shared" si="644"/>
        <v>-1.6466091942561999E-2</v>
      </c>
      <c r="CG20" s="40">
        <f t="shared" si="644"/>
        <v>-0.19499595011249474</v>
      </c>
      <c r="CH20" s="40">
        <f t="shared" si="644"/>
        <v>-0.12585671661288611</v>
      </c>
      <c r="CI20" s="40">
        <f t="shared" si="644"/>
        <v>1</v>
      </c>
      <c r="CJ20" s="40">
        <f t="shared" si="644"/>
        <v>1</v>
      </c>
      <c r="CK20" s="40" t="str">
        <f t="shared" si="644"/>
        <v/>
      </c>
      <c r="CL20" s="40" t="str">
        <f t="shared" si="644"/>
        <v/>
      </c>
      <c r="CM20" s="40" t="str">
        <f t="shared" si="644"/>
        <v/>
      </c>
      <c r="CN20" s="40" t="str">
        <f t="shared" si="644"/>
        <v/>
      </c>
      <c r="CO20" s="40" t="str">
        <f t="shared" si="644"/>
        <v/>
      </c>
      <c r="CP20" s="40" t="str">
        <f t="shared" si="644"/>
        <v/>
      </c>
      <c r="CQ20" s="40" t="str">
        <f t="shared" ref="CQ20:GR20" si="647">IF(AND(CQ18&lt;&gt;0,CQ19&lt;&gt;0),(CQ18-CQ19)/CQ19,IF(AND(CQ18=0,CQ19=0),"",IF(AND(CQ18="",CQ19=""),"",IF(AND(CQ18=0,CQ19=""),"", IF(AND(CQ18="",CQ19=0),"",1)))))</f>
        <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f t="shared" si="647"/>
        <v>0.14618951543828243</v>
      </c>
      <c r="DL20" s="72" t="str">
        <f t="shared" si="647"/>
        <v/>
      </c>
      <c r="DM20" s="73" t="str">
        <f t="shared" si="647"/>
        <v/>
      </c>
      <c r="DN20" s="73" t="str">
        <f t="shared" si="647"/>
        <v/>
      </c>
      <c r="DO20" s="73" t="str">
        <f t="shared" si="647"/>
        <v/>
      </c>
      <c r="DP20" s="73" t="str">
        <f t="shared" si="647"/>
        <v/>
      </c>
      <c r="DQ20" s="73" t="str">
        <f t="shared" si="647"/>
        <v/>
      </c>
      <c r="DR20" s="73" t="str">
        <f t="shared" si="647"/>
        <v/>
      </c>
      <c r="DS20" s="73" t="str">
        <f t="shared" si="647"/>
        <v/>
      </c>
      <c r="DT20" s="73" t="str">
        <f t="shared" si="647"/>
        <v/>
      </c>
      <c r="DU20" s="73" t="str">
        <f t="shared" si="647"/>
        <v/>
      </c>
      <c r="DV20" s="73" t="str">
        <f t="shared" si="647"/>
        <v/>
      </c>
      <c r="DW20" s="73" t="str">
        <f t="shared" si="647"/>
        <v/>
      </c>
      <c r="DX20" s="73" t="str">
        <f t="shared" si="647"/>
        <v/>
      </c>
      <c r="DY20" s="73" t="str">
        <f t="shared" si="647"/>
        <v/>
      </c>
      <c r="DZ20" s="73" t="str">
        <f t="shared" si="647"/>
        <v/>
      </c>
      <c r="EA20" s="73" t="str">
        <f t="shared" si="647"/>
        <v/>
      </c>
      <c r="EB20" s="73" t="str">
        <f t="shared" si="647"/>
        <v/>
      </c>
      <c r="EC20" s="73" t="str">
        <f t="shared" si="647"/>
        <v/>
      </c>
      <c r="ED20" s="73" t="str">
        <f t="shared" si="647"/>
        <v/>
      </c>
      <c r="EE20" s="73" t="str">
        <f t="shared" si="647"/>
        <v/>
      </c>
      <c r="EF20" s="73" t="str">
        <f t="shared" si="647"/>
        <v/>
      </c>
      <c r="EG20" s="73" t="str">
        <f t="shared" si="647"/>
        <v/>
      </c>
      <c r="EH20" s="73" t="str">
        <f t="shared" si="647"/>
        <v/>
      </c>
      <c r="EI20" s="73" t="str">
        <f t="shared" ref="EI20:EV20" si="649">IF(AND(EI18&lt;&gt;0,EI19&lt;&gt;0),(EI18-EI19)/EI19,IF(AND(EI18=0,EI19=0),"",IF(AND(EI18="",EI19=""),"",IF(AND(EI18=0,EI19=""),"", IF(AND(EI18="",EI19=0),"",1)))))</f>
        <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t="str">
        <f t="shared" si="647"/>
        <v/>
      </c>
      <c r="EX20" s="72" t="str">
        <f t="shared" si="647"/>
        <v/>
      </c>
      <c r="EY20" s="73" t="str">
        <f t="shared" si="647"/>
        <v/>
      </c>
      <c r="EZ20" s="73" t="str">
        <f t="shared" si="647"/>
        <v/>
      </c>
      <c r="FA20" s="73" t="str">
        <f t="shared" si="647"/>
        <v/>
      </c>
      <c r="FB20" s="73" t="str">
        <f t="shared" si="647"/>
        <v/>
      </c>
      <c r="FC20" s="73" t="str">
        <f t="shared" si="647"/>
        <v/>
      </c>
      <c r="FD20" s="73" t="str">
        <f t="shared" si="647"/>
        <v/>
      </c>
      <c r="FE20" s="73" t="str">
        <f t="shared" si="647"/>
        <v/>
      </c>
      <c r="FF20" s="73" t="str">
        <f t="shared" si="647"/>
        <v/>
      </c>
      <c r="FG20" s="73" t="str">
        <f t="shared" si="647"/>
        <v/>
      </c>
      <c r="FH20" s="73" t="str">
        <f t="shared" si="647"/>
        <v/>
      </c>
      <c r="FI20" s="73" t="str">
        <f t="shared" si="647"/>
        <v/>
      </c>
      <c r="FJ20" s="73" t="str">
        <f t="shared" si="647"/>
        <v/>
      </c>
      <c r="FK20" s="73" t="str">
        <f t="shared" si="647"/>
        <v/>
      </c>
      <c r="FL20" s="73" t="str">
        <f t="shared" si="647"/>
        <v/>
      </c>
      <c r="FM20" s="73" t="str">
        <f t="shared" si="647"/>
        <v/>
      </c>
      <c r="FN20" s="73" t="str">
        <f t="shared" si="647"/>
        <v/>
      </c>
      <c r="FO20" s="73" t="str">
        <f t="shared" si="647"/>
        <v/>
      </c>
      <c r="FP20" s="73" t="str">
        <f t="shared" si="647"/>
        <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t="str">
        <f t="shared" si="647"/>
        <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f t="shared" si="651"/>
        <v>-1.2043887048485624E-6</v>
      </c>
      <c r="HW20" s="40">
        <f t="shared" si="651"/>
        <v>9.0404433272688697E-7</v>
      </c>
      <c r="HX20" s="40">
        <f t="shared" si="651"/>
        <v>-2.4389703395701332E-2</v>
      </c>
      <c r="HY20" s="40">
        <f t="shared" si="651"/>
        <v>-2.0699241059090848E-3</v>
      </c>
      <c r="HZ20" s="40">
        <f t="shared" si="651"/>
        <v>-2.3452538940595658E-7</v>
      </c>
      <c r="IA20" s="40">
        <f t="shared" si="651"/>
        <v>5.4021415941442023E-7</v>
      </c>
      <c r="IB20" s="40">
        <f t="shared" si="651"/>
        <v>-2.3641842103485772E-2</v>
      </c>
      <c r="IC20" s="40">
        <f t="shared" si="651"/>
        <v>-1.66686034578514E-2</v>
      </c>
      <c r="ID20" s="40">
        <f t="shared" si="651"/>
        <v>-4.3991855015230674E-2</v>
      </c>
      <c r="IE20" s="40">
        <f t="shared" si="651"/>
        <v>-0.9769988121338774</v>
      </c>
      <c r="IF20" s="40">
        <f t="shared" si="651"/>
        <v>1</v>
      </c>
      <c r="IG20" s="40" t="str">
        <f t="shared" si="651"/>
        <v/>
      </c>
      <c r="IH20" s="40" t="str">
        <f t="shared" si="651"/>
        <v/>
      </c>
      <c r="II20" s="40" t="str">
        <f t="shared" si="651"/>
        <v/>
      </c>
      <c r="IJ20" s="40" t="str">
        <f t="shared" si="651"/>
        <v/>
      </c>
      <c r="IK20" s="40" t="str">
        <f t="shared" si="651"/>
        <v/>
      </c>
      <c r="IL20" s="40" t="str">
        <f t="shared" si="651"/>
        <v/>
      </c>
      <c r="IM20" s="40" t="str">
        <f t="shared" si="651"/>
        <v/>
      </c>
      <c r="IN20" s="40" t="str">
        <f t="shared" si="651"/>
        <v/>
      </c>
      <c r="IO20" s="40" t="str">
        <f t="shared" si="651"/>
        <v/>
      </c>
      <c r="IP20" s="40" t="str">
        <f t="shared" si="651"/>
        <v/>
      </c>
      <c r="IQ20" s="40" t="str">
        <f t="shared" si="651"/>
        <v/>
      </c>
      <c r="IR20" s="40" t="str">
        <f t="shared" si="651"/>
        <v/>
      </c>
      <c r="IS20" s="40" t="str">
        <f t="shared" ref="IS20:JF20" si="653">IF(AND(IS18&lt;&gt;0,IS19&lt;&gt;0),(IS18-IS19)/IS19,IF(AND(IS18=0,IS19=0),"",IF(AND(IS18="",IS19=""),"",IF(AND(IS18=0,IS19=""),"", IF(AND(IS18="",IS19=0),"",1)))))</f>
        <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-0.38167810934253005</v>
      </c>
      <c r="JH20" s="72" t="str">
        <f t="shared" si="651"/>
        <v/>
      </c>
      <c r="JI20" s="73" t="str">
        <f t="shared" si="651"/>
        <v/>
      </c>
      <c r="JJ20" s="73" t="str">
        <f t="shared" si="651"/>
        <v/>
      </c>
      <c r="JK20" s="73" t="str">
        <f t="shared" si="651"/>
        <v/>
      </c>
      <c r="JL20" s="73" t="str">
        <f t="shared" si="651"/>
        <v/>
      </c>
      <c r="JM20" s="73" t="str">
        <f t="shared" si="651"/>
        <v/>
      </c>
      <c r="JN20" s="73" t="str">
        <f t="shared" si="651"/>
        <v/>
      </c>
      <c r="JO20" s="73" t="str">
        <f t="shared" si="651"/>
        <v/>
      </c>
      <c r="JP20" s="73" t="str">
        <f t="shared" si="651"/>
        <v/>
      </c>
      <c r="JQ20" s="73" t="str">
        <f t="shared" si="651"/>
        <v/>
      </c>
      <c r="JR20" s="73" t="str">
        <f t="shared" si="651"/>
        <v/>
      </c>
      <c r="JS20" s="73" t="str">
        <f t="shared" si="651"/>
        <v/>
      </c>
      <c r="JT20" s="73" t="str">
        <f t="shared" si="651"/>
        <v/>
      </c>
      <c r="JU20" s="73" t="str">
        <f t="shared" si="651"/>
        <v/>
      </c>
      <c r="JV20" s="73" t="str">
        <f t="shared" si="651"/>
        <v/>
      </c>
      <c r="JW20" s="73" t="str">
        <f t="shared" si="651"/>
        <v/>
      </c>
      <c r="JX20" s="73" t="str">
        <f t="shared" si="651"/>
        <v/>
      </c>
      <c r="JY20" s="73" t="str">
        <f t="shared" si="651"/>
        <v/>
      </c>
      <c r="JZ20" s="73" t="str">
        <f t="shared" si="651"/>
        <v/>
      </c>
      <c r="KA20" s="73" t="str">
        <f t="shared" si="651"/>
        <v/>
      </c>
      <c r="KB20" s="73" t="str">
        <f t="shared" si="651"/>
        <v/>
      </c>
      <c r="KC20" s="73" t="str">
        <f t="shared" si="651"/>
        <v/>
      </c>
      <c r="KD20" s="73" t="str">
        <f t="shared" si="651"/>
        <v/>
      </c>
      <c r="KE20" s="73" t="str">
        <f t="shared" ref="KE20:KR20" si="654">IF(AND(KE18&lt;&gt;0,KE19&lt;&gt;0),(KE18-KE19)/KE19,IF(AND(KE18=0,KE19=0),"",IF(AND(KE18="",KE19=""),"",IF(AND(KE18=0,KE19=""),"", IF(AND(KE18="",KE19=0),"",1)))))</f>
        <v/>
      </c>
      <c r="KF20" s="73" t="str">
        <f t="shared" si="654"/>
        <v/>
      </c>
      <c r="KG20" s="73" t="str">
        <f t="shared" si="654"/>
        <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t="str">
        <f t="shared" si="651"/>
        <v/>
      </c>
      <c r="KT20" s="72" t="str">
        <f t="shared" si="651"/>
        <v/>
      </c>
      <c r="KU20" s="73" t="str">
        <f t="shared" si="651"/>
        <v/>
      </c>
      <c r="KV20" s="73" t="str">
        <f t="shared" si="651"/>
        <v/>
      </c>
      <c r="KW20" s="73" t="str">
        <f t="shared" si="651"/>
        <v/>
      </c>
      <c r="KX20" s="73" t="str">
        <f t="shared" si="651"/>
        <v/>
      </c>
      <c r="KY20" s="73" t="str">
        <f t="shared" si="651"/>
        <v/>
      </c>
      <c r="KZ20" s="73" t="str">
        <f t="shared" si="651"/>
        <v/>
      </c>
      <c r="LA20" s="73" t="str">
        <f t="shared" si="651"/>
        <v/>
      </c>
      <c r="LB20" s="73" t="str">
        <f t="shared" si="651"/>
        <v/>
      </c>
      <c r="LC20" s="73" t="str">
        <f t="shared" si="651"/>
        <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t="str">
        <f t="shared" si="655"/>
        <v/>
      </c>
      <c r="LM20" s="73" t="str">
        <f t="shared" si="655"/>
        <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t="str">
        <f t="shared" si="655"/>
        <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f t="shared" si="655"/>
        <v>-2.7304570932947168E-2</v>
      </c>
      <c r="NS20" s="40">
        <f t="shared" si="655"/>
        <v>3.7896817576847166E-7</v>
      </c>
      <c r="NT20" s="40">
        <f t="shared" si="655"/>
        <v>1.6333137591888311E-6</v>
      </c>
      <c r="NU20" s="40">
        <f t="shared" si="655"/>
        <v>9.9157557392394221E-8</v>
      </c>
      <c r="NV20" s="40">
        <f t="shared" si="655"/>
        <v>1.3310420298022359E-6</v>
      </c>
      <c r="NW20" s="40">
        <f t="shared" si="655"/>
        <v>-5.6146754668671079E-3</v>
      </c>
      <c r="NX20" s="40" t="str">
        <f t="shared" si="655"/>
        <v/>
      </c>
      <c r="NY20" s="40">
        <f t="shared" si="655"/>
        <v>-0.33178994587156868</v>
      </c>
      <c r="NZ20" s="40">
        <f t="shared" si="655"/>
        <v>-3.8994089316987738E-4</v>
      </c>
      <c r="OA20" s="40">
        <f t="shared" si="655"/>
        <v>-6.5990322424944492E-7</v>
      </c>
      <c r="OB20" s="40">
        <f t="shared" si="655"/>
        <v>1</v>
      </c>
      <c r="OC20" s="40" t="str">
        <f t="shared" si="655"/>
        <v/>
      </c>
      <c r="OD20" s="40" t="str">
        <f t="shared" si="655"/>
        <v/>
      </c>
      <c r="OE20" s="40" t="str">
        <f t="shared" si="655"/>
        <v/>
      </c>
      <c r="OF20" s="40" t="str">
        <f t="shared" si="655"/>
        <v/>
      </c>
      <c r="OG20" s="40" t="str">
        <f t="shared" si="655"/>
        <v/>
      </c>
      <c r="OH20" s="40" t="str">
        <f t="shared" si="655"/>
        <v/>
      </c>
      <c r="OI20" s="40" t="str">
        <f t="shared" si="655"/>
        <v/>
      </c>
      <c r="OJ20" s="40" t="str">
        <f t="shared" si="655"/>
        <v/>
      </c>
      <c r="OK20" s="40" t="str">
        <f t="shared" si="655"/>
        <v/>
      </c>
      <c r="OL20" s="40" t="str">
        <f t="shared" si="655"/>
        <v/>
      </c>
      <c r="OM20" s="40" t="str">
        <f t="shared" si="655"/>
        <v/>
      </c>
      <c r="ON20" s="40" t="str">
        <f t="shared" si="655"/>
        <v/>
      </c>
      <c r="OO20" s="40" t="str">
        <f t="shared" ref="OO20:PB20" si="658">IF(AND(OO18&lt;&gt;0,OO19&lt;&gt;0),(OO18-OO19)/OO19,IF(AND(OO18=0,OO19=0),"",IF(AND(OO18="",OO19=""),"",IF(AND(OO18=0,OO19=""),"", IF(AND(OO18="",OO19=0),"",1)))))</f>
        <v/>
      </c>
      <c r="OP20" s="40" t="str">
        <f t="shared" si="658"/>
        <v/>
      </c>
      <c r="OQ20" s="40" t="str">
        <f t="shared" si="658"/>
        <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-6.4914888963360758E-3</v>
      </c>
    </row>
    <row r="21" spans="1:419" outlineLevel="1" x14ac:dyDescent="0.3">
      <c r="A21" s="46" t="s">
        <v>16</v>
      </c>
      <c r="B21" s="14">
        <f>'[1]D-PDP'!$BX$12</f>
        <v>3424593</v>
      </c>
      <c r="C21" s="14">
        <f>'[1]D-PDP'!$BX$13</f>
        <v>2982805.75</v>
      </c>
      <c r="D21" s="14">
        <f>'[1]D-PDP'!$BX$14</f>
        <v>2387305.25</v>
      </c>
      <c r="E21" s="14">
        <f>'[1]D-PDP'!$BX$15</f>
        <v>1848287.5</v>
      </c>
      <c r="F21" s="14">
        <f>'[1]D-PDP'!$BX$16</f>
        <v>1358955.875</v>
      </c>
      <c r="G21" s="14">
        <f>'[1]D-PDP'!$BX$17</f>
        <v>1002953.8125</v>
      </c>
      <c r="H21" s="14">
        <f>'[1]D-PDP'!$BX$18</f>
        <v>501302.34375</v>
      </c>
      <c r="I21" s="14">
        <f>'[1]D-PDP'!$BX$19</f>
        <v>201924.640625</v>
      </c>
      <c r="J21" s="14">
        <f>'[1]D-PDP'!$BX$20</f>
        <v>111384.7421875</v>
      </c>
      <c r="K21" s="14">
        <f>'[1]D-PDP'!$BX$21</f>
        <v>130482.1484375</v>
      </c>
      <c r="L21" s="14">
        <f>'[1]D-PDP'!$BX$22</f>
        <v>82946.0859375</v>
      </c>
      <c r="M21" s="14">
        <f>'[1]D-PDP'!$BX$23</f>
        <v>0</v>
      </c>
      <c r="N21" s="14">
        <f>'[1]D-PDP'!$BX$24</f>
        <v>0</v>
      </c>
      <c r="O21" s="14">
        <f>'[1]D-PDP'!$BX$25</f>
        <v>0</v>
      </c>
      <c r="P21" s="14">
        <f>'[1]D-PDP'!$BX$26</f>
        <v>0</v>
      </c>
      <c r="Q21" s="14">
        <f>'[1]D-PDP'!$BX$27</f>
        <v>0</v>
      </c>
      <c r="R21" s="14">
        <f>'[1]D-PDP'!$BX$28</f>
        <v>0</v>
      </c>
      <c r="S21" s="14">
        <f>'[1]D-PDP'!$BX$29</f>
        <v>0</v>
      </c>
      <c r="T21" s="14">
        <f>'[1]D-PDP'!$BX$30</f>
        <v>0</v>
      </c>
      <c r="U21" s="14">
        <f>'[1]D-PDP'!$BX$31</f>
        <v>0</v>
      </c>
      <c r="V21" s="14">
        <f>'[1]D-PDP'!$BX$32</f>
        <v>0</v>
      </c>
      <c r="W21" s="14">
        <f>'[1]D-PDP'!$BX$33</f>
        <v>0</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14032941.1484375</v>
      </c>
      <c r="AN21" s="28">
        <f>'[1]D-PNP'!$BX$12</f>
        <v>156392.1875</v>
      </c>
      <c r="AO21" s="14">
        <f>'[1]D-PNP'!$BX$13</f>
        <v>199594.953125</v>
      </c>
      <c r="AP21" s="14">
        <f>'[1]D-PNP'!$BX$14</f>
        <v>305397.65625</v>
      </c>
      <c r="AQ21" s="14">
        <f>'[1]D-PNP'!$BX$15</f>
        <v>303456.8125</v>
      </c>
      <c r="AR21" s="14">
        <f>'[1]D-PNP'!$BX$16</f>
        <v>208625.21875</v>
      </c>
      <c r="AS21" s="14">
        <f>'[1]D-PNP'!$BX$17</f>
        <v>188431.25</v>
      </c>
      <c r="AT21" s="14">
        <f>'[1]D-PNP'!$BX$18</f>
        <v>141611.875</v>
      </c>
      <c r="AU21" s="14">
        <f>'[1]D-PNP'!$BX$19</f>
        <v>108676.0625</v>
      </c>
      <c r="AV21" s="14">
        <f>'[1]D-PNP'!$BX$20</f>
        <v>54677.1015625</v>
      </c>
      <c r="AW21" s="14">
        <f>'[1]D-PNP'!$BX$21</f>
        <v>0</v>
      </c>
      <c r="AX21" s="14">
        <f>'[1]D-PNP'!$BX$22</f>
        <v>0</v>
      </c>
      <c r="AY21" s="14">
        <f>'[1]D-PNP'!$BX$23</f>
        <v>0</v>
      </c>
      <c r="AZ21" s="14">
        <f>'[1]D-PNP'!$BX$24</f>
        <v>0</v>
      </c>
      <c r="BA21" s="14">
        <f>'[1]D-PNP'!$BX$25</f>
        <v>0</v>
      </c>
      <c r="BB21" s="14">
        <f>'[1]D-PNP'!$BX$26</f>
        <v>0</v>
      </c>
      <c r="BC21" s="14">
        <f>'[1]D-PNP'!$BX$27</f>
        <v>0</v>
      </c>
      <c r="BD21" s="14">
        <f>'[1]D-PNP'!$BX$28</f>
        <v>0</v>
      </c>
      <c r="BE21" s="14">
        <f>'[1]D-PNP'!$BX$29</f>
        <v>0</v>
      </c>
      <c r="BF21" s="14">
        <f>'[1]D-PNP'!$BX$30</f>
        <v>0</v>
      </c>
      <c r="BG21" s="14">
        <f>'[1]D-PNP'!$BX$31</f>
        <v>0</v>
      </c>
      <c r="BH21" s="14">
        <f>'[1]D-PNP'!$BX$32</f>
        <v>0</v>
      </c>
      <c r="BI21" s="14">
        <f>'[1]D-PNP'!$BX$33</f>
        <v>0</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1666863.1171875</v>
      </c>
      <c r="BZ21" s="28">
        <f>'[1]D-PND'!$BX$12</f>
        <v>339462.21875</v>
      </c>
      <c r="CA21" s="14">
        <f>'[1]D-PND'!$BX$13</f>
        <v>469387.40625</v>
      </c>
      <c r="CB21" s="14">
        <f>'[1]D-PND'!$BX$14</f>
        <v>486484.875</v>
      </c>
      <c r="CC21" s="14">
        <f>'[1]D-PND'!$BX$15</f>
        <v>547923.1875</v>
      </c>
      <c r="CD21" s="14">
        <f>'[1]D-PND'!$BX$16</f>
        <v>1226687.375</v>
      </c>
      <c r="CE21" s="14">
        <f>'[1]D-PND'!$BX$17</f>
        <v>1755844.75</v>
      </c>
      <c r="CF21" s="14">
        <f>'[1]D-PND'!$BX$18</f>
        <v>2183160.75</v>
      </c>
      <c r="CG21" s="14">
        <f>'[1]D-PND'!$BX$19</f>
        <v>2241086.75</v>
      </c>
      <c r="CH21" s="14">
        <f>'[1]D-PND'!$BX$20</f>
        <v>2555296</v>
      </c>
      <c r="CI21" s="14">
        <f>'[1]D-PND'!$BX$21</f>
        <v>8955599</v>
      </c>
      <c r="CJ21" s="14">
        <f>'[1]D-PND'!$BX$22</f>
        <v>4877174</v>
      </c>
      <c r="CK21" s="14">
        <f>'[1]D-PND'!$BX$23</f>
        <v>0</v>
      </c>
      <c r="CL21" s="14">
        <f>'[1]D-PND'!$BX$24</f>
        <v>0</v>
      </c>
      <c r="CM21" s="14">
        <f>'[1]D-PND'!$BX$25</f>
        <v>0</v>
      </c>
      <c r="CN21" s="14">
        <f>'[1]D-PND'!$BX$26</f>
        <v>0</v>
      </c>
      <c r="CO21" s="14">
        <f>'[1]D-PND'!$BX$27</f>
        <v>0</v>
      </c>
      <c r="CP21" s="14">
        <f>'[1]D-PND'!$BX$28</f>
        <v>0</v>
      </c>
      <c r="CQ21" s="14">
        <f>'[1]D-PND'!$BX$29</f>
        <v>0</v>
      </c>
      <c r="CR21" s="14">
        <f>'[1]D-PND'!$BX$30</f>
        <v>0</v>
      </c>
      <c r="CS21" s="14">
        <f>'[1]D-PND'!$BX$31</f>
        <v>0</v>
      </c>
      <c r="CT21" s="14">
        <f>'[1]D-PND'!$BX$32</f>
        <v>0</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25638106.3125</v>
      </c>
      <c r="DL21" s="66"/>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8">
        <f>SUM(DL21:EV21)</f>
        <v>0</v>
      </c>
      <c r="EX21" s="66"/>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8">
        <f>SUM(EX21:GH21)</f>
        <v>0</v>
      </c>
      <c r="GJ21" s="66"/>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8">
        <f>SUM(GJ21:HT21)</f>
        <v>0</v>
      </c>
      <c r="HV21" s="28">
        <f>'[1]D-PRB'!$BX$12</f>
        <v>171248.4375</v>
      </c>
      <c r="HW21" s="14">
        <f>'[1]D-PRB'!$BX$13</f>
        <v>186661.421875</v>
      </c>
      <c r="HX21" s="14">
        <f>'[1]D-PRB'!$BX$14</f>
        <v>196457.984375</v>
      </c>
      <c r="HY21" s="14">
        <f>'[1]D-PRB'!$BX$15</f>
        <v>239403.53125</v>
      </c>
      <c r="HZ21" s="14">
        <f>'[1]D-PRB'!$BX$16</f>
        <v>239846.03125</v>
      </c>
      <c r="IA21" s="14">
        <f>'[1]D-PRB'!$BX$17</f>
        <v>242959.40625</v>
      </c>
      <c r="IB21" s="14">
        <f>'[1]D-PRB'!$BX$18</f>
        <v>216837.9375</v>
      </c>
      <c r="IC21" s="14">
        <f>'[1]D-PRB'!$BX$19</f>
        <v>122168.0546875</v>
      </c>
      <c r="ID21" s="14">
        <f>'[1]D-PRB'!$BX$20</f>
        <v>83267.4296875</v>
      </c>
      <c r="IE21" s="14">
        <f>'[1]D-PRB'!$BX$21</f>
        <v>83991.390625</v>
      </c>
      <c r="IF21" s="14">
        <f>'[1]D-PRB'!$BX$22</f>
        <v>48560.546875</v>
      </c>
      <c r="IG21" s="14">
        <f>'[1]D-PRB'!$BX$23</f>
        <v>0</v>
      </c>
      <c r="IH21" s="14">
        <f>'[1]D-PRB'!$BX$24</f>
        <v>0</v>
      </c>
      <c r="II21" s="14">
        <f>'[1]D-PRB'!$BX$25</f>
        <v>0</v>
      </c>
      <c r="IJ21" s="14">
        <f>'[1]D-PRB'!$BX$26</f>
        <v>0</v>
      </c>
      <c r="IK21" s="14">
        <f>'[1]D-PRB'!$BX$27</f>
        <v>0</v>
      </c>
      <c r="IL21" s="14">
        <f>'[1]D-PRB'!$BX$28</f>
        <v>0</v>
      </c>
      <c r="IM21" s="14">
        <f>'[1]D-PRB'!$BX$29</f>
        <v>0</v>
      </c>
      <c r="IN21" s="14">
        <f>'[1]D-PRB'!$BX$30</f>
        <v>0</v>
      </c>
      <c r="IO21" s="14">
        <f>'[1]D-PRB'!$BX$31</f>
        <v>0</v>
      </c>
      <c r="IP21" s="14">
        <f>'[1]D-PRB'!$BX$32</f>
        <v>0</v>
      </c>
      <c r="IQ21" s="14">
        <f>'[1]D-PRB'!$BX$33</f>
        <v>0</v>
      </c>
      <c r="IR21" s="14">
        <f>'[1]D-PRB'!$BX$34</f>
        <v>0</v>
      </c>
      <c r="IS21" s="14">
        <f>'[1]D-PRB'!$BX$35</f>
        <v>0</v>
      </c>
      <c r="IT21" s="14">
        <f>'[1]D-PRB'!$BX$36</f>
        <v>0</v>
      </c>
      <c r="IU21" s="14">
        <f>'[1]D-PRB'!$BX$37</f>
        <v>0</v>
      </c>
      <c r="IV21" s="14">
        <f>'[1]D-PRB'!$BX$38</f>
        <v>0</v>
      </c>
      <c r="IW21" s="14">
        <f>'[1]D-PRB'!$BX$39</f>
        <v>0</v>
      </c>
      <c r="IX21" s="14">
        <f>'[1]D-PRB'!$BX$40</f>
        <v>0</v>
      </c>
      <c r="IY21" s="14">
        <f>'[1]D-PRB'!$BX$41</f>
        <v>0</v>
      </c>
      <c r="IZ21" s="14">
        <f>'[1]D-PRB'!$BX$42</f>
        <v>0</v>
      </c>
      <c r="JA21" s="14">
        <f>'[1]D-PRB'!$BX$43</f>
        <v>0</v>
      </c>
      <c r="JB21" s="14">
        <f>'[1]D-PRB'!$BX$44</f>
        <v>0</v>
      </c>
      <c r="JC21" s="14">
        <f>'[1]D-PRB'!$BX$45</f>
        <v>0</v>
      </c>
      <c r="JD21" s="14">
        <f>'[1]D-PRB'!$BX$46</f>
        <v>0</v>
      </c>
      <c r="JE21" s="14">
        <f>'[1]D-PRB'!$BX$47</f>
        <v>0</v>
      </c>
      <c r="JF21" s="14">
        <f>'[1]D-PRB'!$BX$48</f>
        <v>0</v>
      </c>
      <c r="JG21" s="16">
        <f>SUM(HV21:JF21)</f>
        <v>1831402.171875</v>
      </c>
      <c r="JH21" s="66"/>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8">
        <f>SUM(JH21:KR21)</f>
        <v>0</v>
      </c>
      <c r="KT21" s="66"/>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8">
        <f>SUM(KT21:MD21)</f>
        <v>0</v>
      </c>
      <c r="MF21" s="66"/>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8">
        <f>SUM(MF21:NP21)</f>
        <v>0</v>
      </c>
      <c r="NR21" s="14">
        <f>'[1]D-PS'!$BX$12</f>
        <v>76371.9140625</v>
      </c>
      <c r="NS21" s="14">
        <f>'[1]D-PS'!$BX$13</f>
        <v>98952.8828125</v>
      </c>
      <c r="NT21" s="14">
        <f>'[1]D-PS'!$BX$14</f>
        <v>97577.8828125</v>
      </c>
      <c r="NU21" s="14">
        <f>'[1]D-PS'!$BX$15</f>
        <v>94546.5390625</v>
      </c>
      <c r="NV21" s="14">
        <f>'[1]D-PS'!$BX$16</f>
        <v>91563.71875</v>
      </c>
      <c r="NW21" s="14">
        <f>'[1]D-PS'!$BX$17</f>
        <v>86916.2890625</v>
      </c>
      <c r="NX21" s="14">
        <f>'[1]D-PS'!$BX$18</f>
        <v>0</v>
      </c>
      <c r="NY21" s="14">
        <f>'[1]D-PS'!$BX$19</f>
        <v>5089.935546875</v>
      </c>
      <c r="NZ21" s="14">
        <f>'[1]D-PS'!$BX$20</f>
        <v>7807.15185546875</v>
      </c>
      <c r="OA21" s="14">
        <f>'[1]D-PS'!$BX$21</f>
        <v>20717.986328125</v>
      </c>
      <c r="OB21" s="14">
        <f>'[1]D-PS'!$BX$22</f>
        <v>4886.29150390625</v>
      </c>
      <c r="OC21" s="14">
        <f>'[1]D-PS'!$BX$23</f>
        <v>0</v>
      </c>
      <c r="OD21" s="14">
        <f>'[1]D-PS'!$BX$24</f>
        <v>0</v>
      </c>
      <c r="OE21" s="14">
        <f>'[1]D-PS'!$BX$25</f>
        <v>0</v>
      </c>
      <c r="OF21" s="14">
        <f>'[1]D-PS'!$BX$26</f>
        <v>0</v>
      </c>
      <c r="OG21" s="14">
        <f>'[1]D-PS'!$BX$27</f>
        <v>0</v>
      </c>
      <c r="OH21" s="14">
        <f>'[1]D-PS'!$BX$28</f>
        <v>0</v>
      </c>
      <c r="OI21" s="14">
        <f>'[1]D-PS'!$BX$29</f>
        <v>0</v>
      </c>
      <c r="OJ21" s="14">
        <f>'[1]D-PS'!$BX$30</f>
        <v>0</v>
      </c>
      <c r="OK21" s="14">
        <f>'[1]D-PS'!$BX$31</f>
        <v>0</v>
      </c>
      <c r="OL21" s="14">
        <f>'[1]D-PS'!$BX$32</f>
        <v>0</v>
      </c>
      <c r="OM21" s="14">
        <f>'[1]D-PS'!$BX$33</f>
        <v>0</v>
      </c>
      <c r="ON21" s="14">
        <f>'[1]D-PS'!$BX$34</f>
        <v>0</v>
      </c>
      <c r="OO21" s="14">
        <f>'[1]D-PS'!$BX$35</f>
        <v>0</v>
      </c>
      <c r="OP21" s="14">
        <f>'[1]D-PS'!$BX$36</f>
        <v>0</v>
      </c>
      <c r="OQ21" s="14">
        <f>'[1]D-PS'!$BX$37</f>
        <v>0</v>
      </c>
      <c r="OR21" s="14">
        <f>'[1]D-PS'!$BX$38</f>
        <v>0</v>
      </c>
      <c r="OS21" s="14">
        <f>'[1]D-PS'!$BX$39</f>
        <v>0</v>
      </c>
      <c r="OT21" s="14">
        <f>'[1]D-PS'!$BX$40</f>
        <v>0</v>
      </c>
      <c r="OU21" s="14">
        <f>'[1]D-PS'!$BX$41</f>
        <v>0</v>
      </c>
      <c r="OV21" s="14">
        <f>'[1]D-PS'!$BX$42</f>
        <v>0</v>
      </c>
      <c r="OW21" s="14">
        <f>'[1]D-PS'!$BX$43</f>
        <v>0</v>
      </c>
      <c r="OX21" s="14">
        <f>'[1]D-PS'!$BX$44</f>
        <v>0</v>
      </c>
      <c r="OY21" s="14">
        <f>'[1]D-PS'!$BX$45</f>
        <v>0</v>
      </c>
      <c r="OZ21" s="14">
        <f>'[1]D-PS'!$BX$46</f>
        <v>0</v>
      </c>
      <c r="PA21" s="14">
        <f>'[1]D-PS'!$BX$47</f>
        <v>0</v>
      </c>
      <c r="PB21" s="14">
        <f>'[1]D-PS'!$BX$48</f>
        <v>0</v>
      </c>
      <c r="PC21" s="16">
        <f>SUM(NR21:PB21)</f>
        <v>584430.591796875</v>
      </c>
    </row>
    <row r="22" spans="1:419" outlineLevel="1" x14ac:dyDescent="0.3">
      <c r="A22" s="46" t="s">
        <v>17</v>
      </c>
      <c r="B22" s="25">
        <f>'[2]CF PDP'!$BU$36</f>
        <v>3666179</v>
      </c>
      <c r="C22" s="25">
        <f>'[2]CF PDP'!$BU$37</f>
        <v>3308137</v>
      </c>
      <c r="D22" s="25">
        <f>'[2]CF PDP'!$BU$38</f>
        <v>2790128</v>
      </c>
      <c r="E22" s="25">
        <f>'[2]CF PDP'!$BU$39</f>
        <v>2310056</v>
      </c>
      <c r="F22" s="25">
        <f>'[2]CF PDP'!$BU$40</f>
        <v>2097246</v>
      </c>
      <c r="G22" s="25">
        <f>'[2]CF PDP'!$BU$41</f>
        <v>1832141</v>
      </c>
      <c r="H22" s="25">
        <f>'[2]CF PDP'!$BU$42</f>
        <v>0</v>
      </c>
      <c r="I22" s="25">
        <f>'[2]CF PDP'!$BU$43</f>
        <v>0</v>
      </c>
      <c r="J22" s="25">
        <f>'[2]CF PDP'!$BU$44</f>
        <v>0</v>
      </c>
      <c r="K22" s="25">
        <f>'[2]CF PDP'!$BU$45</f>
        <v>0</v>
      </c>
      <c r="L22" s="25">
        <f>'[2]CF PDP'!$BU$46</f>
        <v>0</v>
      </c>
      <c r="M22" s="25">
        <f>'[2]CF PDP'!$BU$47</f>
        <v>0</v>
      </c>
      <c r="N22" s="25">
        <f>'[2]CF PDP'!$BU$48</f>
        <v>0</v>
      </c>
      <c r="O22" s="25">
        <f>'[2]CF PDP'!$BU$49</f>
        <v>0</v>
      </c>
      <c r="P22" s="25">
        <f>'[2]CF PDP'!$BU$50</f>
        <v>0</v>
      </c>
      <c r="Q22" s="25">
        <f>'[2]CF PDP'!$BU$51</f>
        <v>0</v>
      </c>
      <c r="R22" s="25">
        <f>'[2]CF PDP'!$BU$52</f>
        <v>0</v>
      </c>
      <c r="S22" s="25">
        <f>'[2]CF PDP'!$BU$53</f>
        <v>0</v>
      </c>
      <c r="T22" s="25">
        <f>'[2]CF PDP'!$BU$54</f>
        <v>0</v>
      </c>
      <c r="U22" s="25">
        <f>'[2]CF PDP'!$BU$55</f>
        <v>0</v>
      </c>
      <c r="V22" s="25">
        <f>'[2]CF PDP'!$BU$56</f>
        <v>0</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16003887</v>
      </c>
      <c r="AN22" s="27">
        <f>'[2]CF PNP'!$BU$36</f>
        <v>86436</v>
      </c>
      <c r="AO22" s="25">
        <f>'[2]CF PNP'!$BU$37</f>
        <v>108337</v>
      </c>
      <c r="AP22" s="25">
        <f>'[2]CF PNP'!$BU$38</f>
        <v>179234</v>
      </c>
      <c r="AQ22" s="25">
        <f>'[2]CF PNP'!$BU$39</f>
        <v>177360</v>
      </c>
      <c r="AR22" s="25">
        <f>'[2]CF PNP'!$BU$40</f>
        <v>159425</v>
      </c>
      <c r="AS22" s="25">
        <f>'[2]CF PNP'!$BU$41</f>
        <v>158690</v>
      </c>
      <c r="AT22" s="25">
        <f>'[2]CF PNP'!$BU$42</f>
        <v>1566765</v>
      </c>
      <c r="AU22" s="25">
        <f>'[2]CF PNP'!$BU$43</f>
        <v>0</v>
      </c>
      <c r="AV22" s="25">
        <f>'[2]CF PNP'!$BU$44</f>
        <v>0</v>
      </c>
      <c r="AW22" s="25">
        <f>'[2]CF PNP'!$BU$45</f>
        <v>0</v>
      </c>
      <c r="AX22" s="25">
        <f>'[2]CF PNP'!$BU$46</f>
        <v>0</v>
      </c>
      <c r="AY22" s="25">
        <f>'[2]CF PNP'!$BU$47</f>
        <v>0</v>
      </c>
      <c r="AZ22" s="25">
        <f>'[2]CF PNP'!$BU$48</f>
        <v>0</v>
      </c>
      <c r="BA22" s="25">
        <f>'[2]CF PNP'!$BU$49</f>
        <v>0</v>
      </c>
      <c r="BB22" s="25">
        <f>'[2]CF PNP'!$BU$50</f>
        <v>0</v>
      </c>
      <c r="BC22" s="25">
        <f>'[2]CF PNP'!$BU$51</f>
        <v>0</v>
      </c>
      <c r="BD22" s="25">
        <f>'[2]CF PNP'!$BU$52</f>
        <v>0</v>
      </c>
      <c r="BE22" s="25">
        <f>'[2]CF PNP'!$BU$53</f>
        <v>0</v>
      </c>
      <c r="BF22" s="25">
        <f>'[2]CF PNP'!$BU$54</f>
        <v>0</v>
      </c>
      <c r="BG22" s="25">
        <f>'[2]CF PNP'!$BU$55</f>
        <v>0</v>
      </c>
      <c r="BH22" s="25">
        <f>'[2]CF PNP'!$BU$56</f>
        <v>0</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2436247</v>
      </c>
      <c r="BZ22" s="27">
        <f>'[2]CF PND'!$BU$36</f>
        <v>169569</v>
      </c>
      <c r="CA22" s="25">
        <f>'[2]CF PND'!$BU$37</f>
        <v>245780</v>
      </c>
      <c r="CB22" s="25">
        <f>'[2]CF PND'!$BU$38</f>
        <v>254646</v>
      </c>
      <c r="CC22" s="25">
        <f>'[2]CF PND'!$BU$39</f>
        <v>271555</v>
      </c>
      <c r="CD22" s="25">
        <f>'[2]CF PND'!$BU$40</f>
        <v>575568</v>
      </c>
      <c r="CE22" s="25">
        <f>'[2]CF PND'!$BU$41</f>
        <v>965640</v>
      </c>
      <c r="CF22" s="25">
        <f>'[2]CF PND'!$BU$42</f>
        <v>1278700</v>
      </c>
      <c r="CG22" s="25">
        <f>'[2]CF PND'!$BU$43</f>
        <v>2573014</v>
      </c>
      <c r="CH22" s="25">
        <f>'[2]CF PND'!$BU$44</f>
        <v>2679125</v>
      </c>
      <c r="CI22" s="25">
        <f>'[2]CF PND'!$BU$45</f>
        <v>0</v>
      </c>
      <c r="CJ22" s="25">
        <f>'[2]CF PND'!$BU$46</f>
        <v>0</v>
      </c>
      <c r="CK22" s="25">
        <f>'[2]CF PND'!$BU$47</f>
        <v>0</v>
      </c>
      <c r="CL22" s="25">
        <f>'[2]CF PND'!$BU$48</f>
        <v>0</v>
      </c>
      <c r="CM22" s="25">
        <f>'[2]CF PND'!$BU$49</f>
        <v>0</v>
      </c>
      <c r="CN22" s="25">
        <f>'[2]CF PND'!$BU$50</f>
        <v>0</v>
      </c>
      <c r="CO22" s="25">
        <f>'[2]CF PND'!$BU$51</f>
        <v>0</v>
      </c>
      <c r="CP22" s="25">
        <f>'[2]CF PND'!$BU$52</f>
        <v>0</v>
      </c>
      <c r="CQ22" s="25">
        <f>'[2]CF PND'!$BU$53</f>
        <v>0</v>
      </c>
      <c r="CR22" s="25">
        <f>'[2]CF PND'!$BU$54</f>
        <v>0</v>
      </c>
      <c r="CS22" s="25">
        <f>'[2]CF PND'!$BU$55</f>
        <v>0</v>
      </c>
      <c r="CT22" s="25">
        <f>'[2]CF PND'!$BU$56</f>
        <v>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9013597</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171249</v>
      </c>
      <c r="HW22" s="25">
        <f>'[2]CF PRB'!$BU$37</f>
        <v>186661</v>
      </c>
      <c r="HX22" s="25">
        <f>'[2]CF PRB'!$BU$38</f>
        <v>201370</v>
      </c>
      <c r="HY22" s="25">
        <f>'[2]CF PRB'!$BU$39</f>
        <v>239900</v>
      </c>
      <c r="HZ22" s="25">
        <f>'[2]CF PRB'!$BU$40</f>
        <v>239846</v>
      </c>
      <c r="IA22" s="25">
        <f>'[2]CF PRB'!$BU$41</f>
        <v>242959</v>
      </c>
      <c r="IB22" s="25">
        <f>'[2]CF PRB'!$BU$42</f>
        <v>222089</v>
      </c>
      <c r="IC22" s="25">
        <f>'[2]CF PRB'!$BU$43</f>
        <v>124239</v>
      </c>
      <c r="ID22" s="25">
        <f>'[2]CF PRB'!$BU$44</f>
        <v>90852</v>
      </c>
      <c r="IE22" s="25">
        <f>'[2]CF PRB'!$BU$45</f>
        <v>6962366</v>
      </c>
      <c r="IF22" s="25">
        <f>'[2]CF PRB'!$BU$46</f>
        <v>0</v>
      </c>
      <c r="IG22" s="25">
        <f>'[2]CF PRB'!$BU$47</f>
        <v>0</v>
      </c>
      <c r="IH22" s="25">
        <f>'[2]CF PRB'!$BU$48</f>
        <v>0</v>
      </c>
      <c r="II22" s="25">
        <f>'[2]CF PRB'!$BU$49</f>
        <v>0</v>
      </c>
      <c r="IJ22" s="25">
        <f>'[2]CF PRB'!$BU$50</f>
        <v>0</v>
      </c>
      <c r="IK22" s="25">
        <f>'[2]CF PRB'!$BU$51</f>
        <v>0</v>
      </c>
      <c r="IL22" s="25">
        <f>'[2]CF PRB'!$BU$52</f>
        <v>0</v>
      </c>
      <c r="IM22" s="25">
        <f>'[2]CF PRB'!$BU$53</f>
        <v>0</v>
      </c>
      <c r="IN22" s="25">
        <f>'[2]CF PRB'!$BU$54</f>
        <v>0</v>
      </c>
      <c r="IO22" s="25">
        <f>'[2]CF PRB'!$BU$55</f>
        <v>0</v>
      </c>
      <c r="IP22" s="25">
        <f>'[2]CF PRB'!$BU$56</f>
        <v>0</v>
      </c>
      <c r="IQ22" s="25">
        <f>'[2]CF PRB'!$BU$57</f>
        <v>0</v>
      </c>
      <c r="IR22" s="25">
        <f>'[2]CF PRB'!$BU$58</f>
        <v>0</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8681531</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78515</v>
      </c>
      <c r="NS22" s="25">
        <f>'[2]CF PS'!$BU$37</f>
        <v>98953</v>
      </c>
      <c r="NT22" s="25">
        <f>'[2]CF PS'!$BU$38</f>
        <v>97577</v>
      </c>
      <c r="NU22" s="25">
        <f>'[2]CF PS'!$BU$39</f>
        <v>94547</v>
      </c>
      <c r="NV22" s="25">
        <f>'[2]CF PS'!$BU$40</f>
        <v>91563</v>
      </c>
      <c r="NW22" s="25">
        <f>'[2]CF PS'!$BU$41</f>
        <v>87407</v>
      </c>
      <c r="NX22" s="25">
        <f>'[2]CF PS'!$BU$42</f>
        <v>0</v>
      </c>
      <c r="NY22" s="25">
        <f>'[2]CF PS'!$BU$43</f>
        <v>7618</v>
      </c>
      <c r="NZ22" s="25">
        <f>'[2]CF PS'!$BU$44</f>
        <v>7837</v>
      </c>
      <c r="OA22" s="25">
        <f>'[2]CF PS'!$BU$45</f>
        <v>20718</v>
      </c>
      <c r="OB22" s="25">
        <f>'[2]CF PS'!$BU$46</f>
        <v>0</v>
      </c>
      <c r="OC22" s="25">
        <f>'[2]CF PS'!$BU$47</f>
        <v>0</v>
      </c>
      <c r="OD22" s="25">
        <f>'[2]CF PS'!$BU$48</f>
        <v>0</v>
      </c>
      <c r="OE22" s="25">
        <f>'[2]CF PS'!$BU$49</f>
        <v>0</v>
      </c>
      <c r="OF22" s="25">
        <f>'[2]CF PS'!$BU$50</f>
        <v>0</v>
      </c>
      <c r="OG22" s="25">
        <f>'[2]CF PS'!$BU$51</f>
        <v>0</v>
      </c>
      <c r="OH22" s="25">
        <f>'[2]CF PS'!$BU$52</f>
        <v>0</v>
      </c>
      <c r="OI22" s="25">
        <f>'[2]CF PS'!$BU$53</f>
        <v>0</v>
      </c>
      <c r="OJ22" s="25">
        <f>'[2]CF PS'!$BU$54</f>
        <v>0</v>
      </c>
      <c r="OK22" s="25">
        <f>'[2]CF PS'!$BU$55</f>
        <v>0</v>
      </c>
      <c r="OL22" s="25">
        <f>'[2]CF PS'!$BU$56</f>
        <v>0</v>
      </c>
      <c r="OM22" s="25">
        <f>'[2]CF PS'!$BU$57</f>
        <v>0</v>
      </c>
      <c r="ON22" s="25">
        <f>'[2]CF PS'!$BU$58</f>
        <v>0</v>
      </c>
      <c r="OO22" s="25">
        <f>'[2]CF PS'!$BU$59</f>
        <v>0</v>
      </c>
      <c r="OP22" s="25">
        <f>'[2]CF PS'!$BU$60</f>
        <v>0</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584735</v>
      </c>
    </row>
    <row r="23" spans="1:419" ht="16.5" thickBot="1" x14ac:dyDescent="0.35">
      <c r="A23" s="47" t="s">
        <v>18</v>
      </c>
      <c r="B23" s="40">
        <f>IF(AND(B21&lt;&gt;0,B22&lt;&gt;0),(B21-B22)/B22,IF(AND(B21=0,B22=0),"",IF(AND(B21="",B22=""),"",IF(AND(B21=0,B22=""),"", IF(AND(B21="",B22=0),"",1)))))</f>
        <v>-6.5895855057813604E-2</v>
      </c>
      <c r="C23" s="40">
        <f t="shared" ref="C23" si="659">IF(AND(C21&lt;&gt;0,C22&lt;&gt;0),(C21-C22)/C22,IF(AND(C21=0,C22=0),"",IF(AND(C21="",C22=""),"",IF(AND(C21=0,C22=""),"", IF(AND(C21="",C22=0),"",1)))))</f>
        <v>-9.8342737921676152E-2</v>
      </c>
      <c r="D23" s="40">
        <f t="shared" ref="D23" si="660">IF(AND(D21&lt;&gt;0,D22&lt;&gt;0),(D21-D22)/D22,IF(AND(D21=0,D22=0),"",IF(AND(D21="",D22=""),"",IF(AND(D21=0,D22=""),"", IF(AND(D21="",D22=0),"",1)))))</f>
        <v>-0.14437429035513782</v>
      </c>
      <c r="E23" s="40">
        <f t="shared" ref="E23" si="661">IF(AND(E21&lt;&gt;0,E22&lt;&gt;0),(E21-E22)/E22,IF(AND(E21=0,E22=0),"",IF(AND(E21="",E22=""),"",IF(AND(E21=0,E22=""),"", IF(AND(E21="",E22=0),"",1)))))</f>
        <v>-0.19989493761190205</v>
      </c>
      <c r="F23" s="40">
        <f t="shared" ref="F23" si="662">IF(AND(F21&lt;&gt;0,F22&lt;&gt;0),(F21-F22)/F22,IF(AND(F21=0,F22=0),"",IF(AND(F21="",F22=""),"",IF(AND(F21=0,F22=""),"", IF(AND(F21="",F22=0),"",1)))))</f>
        <v>-0.35202838627419003</v>
      </c>
      <c r="G23" s="40">
        <f t="shared" ref="G23" si="663">IF(AND(G21&lt;&gt;0,G22&lt;&gt;0),(G21-G22)/G22,IF(AND(G21=0,G22=0),"",IF(AND(G21="",G22=""),"",IF(AND(G21=0,G22=""),"", IF(AND(G21="",G22=0),"",1)))))</f>
        <v>-0.45257826089804226</v>
      </c>
      <c r="H23" s="40">
        <f t="shared" ref="H23" si="664">IF(AND(H21&lt;&gt;0,H22&lt;&gt;0),(H21-H22)/H22,IF(AND(H21=0,H22=0),"",IF(AND(H21="",H22=""),"",IF(AND(H21=0,H22=""),"", IF(AND(H21="",H22=0),"",1)))))</f>
        <v>1</v>
      </c>
      <c r="I23" s="40">
        <f t="shared" ref="I23" si="665">IF(AND(I21&lt;&gt;0,I22&lt;&gt;0),(I21-I22)/I22,IF(AND(I21=0,I22=0),"",IF(AND(I21="",I22=""),"",IF(AND(I21=0,I22=""),"", IF(AND(I21="",I22=0),"",1)))))</f>
        <v>1</v>
      </c>
      <c r="J23" s="40">
        <f t="shared" ref="J23" si="666">IF(AND(J21&lt;&gt;0,J22&lt;&gt;0),(J21-J22)/J22,IF(AND(J21=0,J22=0),"",IF(AND(J21="",J22=""),"",IF(AND(J21=0,J22=""),"", IF(AND(J21="",J22=0),"",1)))))</f>
        <v>1</v>
      </c>
      <c r="K23" s="40">
        <f t="shared" ref="K23" si="667">IF(AND(K21&lt;&gt;0,K22&lt;&gt;0),(K21-K22)/K22,IF(AND(K21=0,K22=0),"",IF(AND(K21="",K22=""),"",IF(AND(K21=0,K22=""),"", IF(AND(K21="",K22=0),"",1)))))</f>
        <v>1</v>
      </c>
      <c r="L23" s="40">
        <f t="shared" ref="L23" si="668">IF(AND(L21&lt;&gt;0,L22&lt;&gt;0),(L21-L22)/L22,IF(AND(L21=0,L22=0),"",IF(AND(L21="",L22=""),"",IF(AND(L21=0,L22=""),"", IF(AND(L21="",L22=0),"",1)))))</f>
        <v>1</v>
      </c>
      <c r="M23" s="40" t="str">
        <f t="shared" ref="M23" si="669">IF(AND(M21&lt;&gt;0,M22&lt;&gt;0),(M21-M22)/M22,IF(AND(M21=0,M22=0),"",IF(AND(M21="",M22=""),"",IF(AND(M21=0,M22=""),"", IF(AND(M21="",M22=0),"",1)))))</f>
        <v/>
      </c>
      <c r="N23" s="40" t="str">
        <f t="shared" ref="N23" si="670">IF(AND(N21&lt;&gt;0,N22&lt;&gt;0),(N21-N22)/N22,IF(AND(N21=0,N22=0),"",IF(AND(N21="",N22=""),"",IF(AND(N21=0,N22=""),"", IF(AND(N21="",N22=0),"",1)))))</f>
        <v/>
      </c>
      <c r="O23" s="40" t="str">
        <f t="shared" ref="O23" si="671">IF(AND(O21&lt;&gt;0,O22&lt;&gt;0),(O21-O22)/O22,IF(AND(O21=0,O22=0),"",IF(AND(O21="",O22=""),"",IF(AND(O21=0,O22=""),"", IF(AND(O21="",O22=0),"",1)))))</f>
        <v/>
      </c>
      <c r="P23" s="40" t="str">
        <f t="shared" ref="P23" si="672">IF(AND(P21&lt;&gt;0,P22&lt;&gt;0),(P21-P22)/P22,IF(AND(P21=0,P22=0),"",IF(AND(P21="",P22=""),"",IF(AND(P21=0,P22=""),"", IF(AND(P21="",P22=0),"",1)))))</f>
        <v/>
      </c>
      <c r="Q23" s="40" t="str">
        <f t="shared" ref="Q23" si="673">IF(AND(Q21&lt;&gt;0,Q22&lt;&gt;0),(Q21-Q22)/Q22,IF(AND(Q21=0,Q22=0),"",IF(AND(Q21="",Q22=""),"",IF(AND(Q21=0,Q22=""),"", IF(AND(Q21="",Q22=0),"",1)))))</f>
        <v/>
      </c>
      <c r="R23" s="40" t="str">
        <f t="shared" ref="R23" si="674">IF(AND(R21&lt;&gt;0,R22&lt;&gt;0),(R21-R22)/R22,IF(AND(R21=0,R22=0),"",IF(AND(R21="",R22=""),"",IF(AND(R21=0,R22=""),"", IF(AND(R21="",R22=0),"",1)))))</f>
        <v/>
      </c>
      <c r="S23" s="40" t="str">
        <f t="shared" ref="S23" si="675">IF(AND(S21&lt;&gt;0,S22&lt;&gt;0),(S21-S22)/S22,IF(AND(S21=0,S22=0),"",IF(AND(S21="",S22=""),"",IF(AND(S21=0,S22=""),"", IF(AND(S21="",S22=0),"",1)))))</f>
        <v/>
      </c>
      <c r="T23" s="40" t="str">
        <f t="shared" ref="T23" si="676">IF(AND(T21&lt;&gt;0,T22&lt;&gt;0),(T21-T22)/T22,IF(AND(T21=0,T22=0),"",IF(AND(T21="",T22=""),"",IF(AND(T21=0,T22=""),"", IF(AND(T21="",T22=0),"",1)))))</f>
        <v/>
      </c>
      <c r="U23" s="40" t="str">
        <f t="shared" ref="U23" si="677">IF(AND(U21&lt;&gt;0,U22&lt;&gt;0),(U21-U22)/U22,IF(AND(U21=0,U22=0),"",IF(AND(U21="",U22=""),"",IF(AND(U21=0,U22=""),"", IF(AND(U21="",U22=0),"",1)))))</f>
        <v/>
      </c>
      <c r="V23" s="40" t="str">
        <f t="shared" ref="V23" si="678">IF(AND(V21&lt;&gt;0,V22&lt;&gt;0),(V21-V22)/V22,IF(AND(V21=0,V22=0),"",IF(AND(V21="",V22=""),"",IF(AND(V21=0,V22=""),"", IF(AND(V21="",V22=0),"",1)))))</f>
        <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-0.12315419694993472</v>
      </c>
      <c r="AN23" s="39">
        <f t="shared" ref="AN23" si="682">IF(AND(AN21&lt;&gt;0,AN22&lt;&gt;0),(AN21-AN22)/AN22,IF(AND(AN21=0,AN22=0),"",IF(AND(AN21="",AN22=""),"",IF(AND(AN21=0,AN22=""),"", IF(AND(AN21="",AN22=0),"",1)))))</f>
        <v>0.80934087070202232</v>
      </c>
      <c r="AO23" s="40">
        <f t="shared" ref="AO23" si="683">IF(AND(AO21&lt;&gt;0,AO22&lt;&gt;0),(AO21-AO22)/AO22,IF(AND(AO21=0,AO22=0),"",IF(AND(AO21="",AO22=""),"",IF(AND(AO21=0,AO22=""),"", IF(AND(AO21="",AO22=0),"",1)))))</f>
        <v>0.842352595373695</v>
      </c>
      <c r="AP23" s="40">
        <f t="shared" ref="AP23" si="684">IF(AND(AP21&lt;&gt;0,AP22&lt;&gt;0),(AP21-AP22)/AP22,IF(AND(AP21=0,AP22=0),"",IF(AND(AP21="",AP22=""),"",IF(AND(AP21=0,AP22=""),"", IF(AND(AP21="",AP22=0),"",1)))))</f>
        <v>0.7039047069752391</v>
      </c>
      <c r="AQ23" s="40">
        <f t="shared" ref="AQ23" si="685">IF(AND(AQ21&lt;&gt;0,AQ22&lt;&gt;0),(AQ21-AQ22)/AQ22,IF(AND(AQ21=0,AQ22=0),"",IF(AND(AQ21="",AQ22=""),"",IF(AND(AQ21=0,AQ22=""),"", IF(AND(AQ21="",AQ22=0),"",1)))))</f>
        <v>0.71096533885881819</v>
      </c>
      <c r="AR23" s="40">
        <f t="shared" ref="AR23" si="686">IF(AND(AR21&lt;&gt;0,AR22&lt;&gt;0),(AR21-AR22)/AR22,IF(AND(AR21=0,AR22=0),"",IF(AND(AR21="",AR22=""),"",IF(AND(AR21=0,AR22=""),"", IF(AND(AR21="",AR22=0),"",1)))))</f>
        <v>0.30861043594166537</v>
      </c>
      <c r="AS23" s="40">
        <f t="shared" ref="AS23" si="687">IF(AND(AS21&lt;&gt;0,AS22&lt;&gt;0),(AS21-AS22)/AS22,IF(AND(AS21=0,AS22=0),"",IF(AND(AS21="",AS22=""),"",IF(AND(AS21=0,AS22=""),"", IF(AND(AS21="",AS22=0),"",1)))))</f>
        <v>0.18741729157476841</v>
      </c>
      <c r="AT23" s="40">
        <f t="shared" ref="AT23" si="688">IF(AND(AT21&lt;&gt;0,AT22&lt;&gt;0),(AT21-AT22)/AT22,IF(AND(AT21=0,AT22=0),"",IF(AND(AT21="",AT22=""),"",IF(AND(AT21=0,AT22=""),"", IF(AND(AT21="",AT22=0),"",1)))))</f>
        <v>-0.90961511458323363</v>
      </c>
      <c r="AU23" s="40">
        <f t="shared" ref="AU23" si="689">IF(AND(AU21&lt;&gt;0,AU22&lt;&gt;0),(AU21-AU22)/AU22,IF(AND(AU21=0,AU22=0),"",IF(AND(AU21="",AU22=""),"",IF(AND(AU21=0,AU22=""),"", IF(AND(AU21="",AU22=0),"",1)))))</f>
        <v>1</v>
      </c>
      <c r="AV23" s="40">
        <f t="shared" ref="AV23" si="690">IF(AND(AV21&lt;&gt;0,AV22&lt;&gt;0),(AV21-AV22)/AV22,IF(AND(AV21=0,AV22=0),"",IF(AND(AV21="",AV22=""),"",IF(AND(AV21=0,AV22=""),"", IF(AND(AV21="",AV22=0),"",1)))))</f>
        <v>1</v>
      </c>
      <c r="AW23" s="40" t="str">
        <f t="shared" ref="AW23" si="691">IF(AND(AW21&lt;&gt;0,AW22&lt;&gt;0),(AW21-AW22)/AW22,IF(AND(AW21=0,AW22=0),"",IF(AND(AW21="",AW22=""),"",IF(AND(AW21=0,AW22=""),"", IF(AND(AW21="",AW22=0),"",1)))))</f>
        <v/>
      </c>
      <c r="AX23" s="40" t="str">
        <f t="shared" ref="AX23" si="692">IF(AND(AX21&lt;&gt;0,AX22&lt;&gt;0),(AX21-AX22)/AX22,IF(AND(AX21=0,AX22=0),"",IF(AND(AX21="",AX22=""),"",IF(AND(AX21=0,AX22=""),"", IF(AND(AX21="",AX22=0),"",1)))))</f>
        <v/>
      </c>
      <c r="AY23" s="40" t="str">
        <f t="shared" ref="AY23" si="693">IF(AND(AY21&lt;&gt;0,AY22&lt;&gt;0),(AY21-AY22)/AY22,IF(AND(AY21=0,AY22=0),"",IF(AND(AY21="",AY22=""),"",IF(AND(AY21=0,AY22=""),"", IF(AND(AY21="",AY22=0),"",1)))))</f>
        <v/>
      </c>
      <c r="AZ23" s="40" t="str">
        <f t="shared" ref="AZ23" si="694">IF(AND(AZ21&lt;&gt;0,AZ22&lt;&gt;0),(AZ21-AZ22)/AZ22,IF(AND(AZ21=0,AZ22=0),"",IF(AND(AZ21="",AZ22=""),"",IF(AND(AZ21=0,AZ22=""),"", IF(AND(AZ21="",AZ22=0),"",1)))))</f>
        <v/>
      </c>
      <c r="BA23" s="40" t="str">
        <f t="shared" ref="BA23" si="695">IF(AND(BA21&lt;&gt;0,BA22&lt;&gt;0),(BA21-BA22)/BA22,IF(AND(BA21=0,BA22=0),"",IF(AND(BA21="",BA22=""),"",IF(AND(BA21=0,BA22=""),"", IF(AND(BA21="",BA22=0),"",1)))))</f>
        <v/>
      </c>
      <c r="BB23" s="40" t="str">
        <f t="shared" ref="BB23" si="696">IF(AND(BB21&lt;&gt;0,BB22&lt;&gt;0),(BB21-BB22)/BB22,IF(AND(BB21=0,BB22=0),"",IF(AND(BB21="",BB22=""),"",IF(AND(BB21=0,BB22=""),"", IF(AND(BB21="",BB22=0),"",1)))))</f>
        <v/>
      </c>
      <c r="BC23" s="40" t="str">
        <f t="shared" ref="BC23" si="697">IF(AND(BC21&lt;&gt;0,BC22&lt;&gt;0),(BC21-BC22)/BC22,IF(AND(BC21=0,BC22=0),"",IF(AND(BC21="",BC22=""),"",IF(AND(BC21=0,BC22=""),"", IF(AND(BC21="",BC22=0),"",1)))))</f>
        <v/>
      </c>
      <c r="BD23" s="40" t="str">
        <f t="shared" ref="BD23" si="698">IF(AND(BD21&lt;&gt;0,BD22&lt;&gt;0),(BD21-BD22)/BD22,IF(AND(BD21=0,BD22=0),"",IF(AND(BD21="",BD22=""),"",IF(AND(BD21=0,BD22=""),"", IF(AND(BD21="",BD22=0),"",1)))))</f>
        <v/>
      </c>
      <c r="BE23" s="40" t="str">
        <f t="shared" ref="BE23" si="699">IF(AND(BE21&lt;&gt;0,BE22&lt;&gt;0),(BE21-BE22)/BE22,IF(AND(BE21=0,BE22=0),"",IF(AND(BE21="",BE22=""),"",IF(AND(BE21=0,BE22=""),"", IF(AND(BE21="",BE22=0),"",1)))))</f>
        <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-0.31580701087061369</v>
      </c>
      <c r="BZ23" s="39">
        <f t="shared" ref="BZ23" si="706">IF(AND(BZ21&lt;&gt;0,BZ22&lt;&gt;0),(BZ21-BZ22)/BZ22,IF(AND(BZ21=0,BZ22=0),"",IF(AND(BZ21="",BZ22=""),"",IF(AND(BZ21=0,BZ22=""),"", IF(AND(BZ21="",BZ22=0),"",1)))))</f>
        <v>1.0019120166421929</v>
      </c>
      <c r="CA23" s="40">
        <f t="shared" ref="CA23" si="707">IF(AND(CA21&lt;&gt;0,CA22&lt;&gt;0),(CA21-CA22)/CA22,IF(AND(CA21=0,CA22=0),"",IF(AND(CA21="",CA22=""),"",IF(AND(CA21=0,CA22=""),"", IF(AND(CA21="",CA22=0),"",1)))))</f>
        <v>0.9097868266335748</v>
      </c>
      <c r="CB23" s="40">
        <f t="shared" ref="CB23" si="708">IF(AND(CB21&lt;&gt;0,CB22&lt;&gt;0),(CB21-CB22)/CB22,IF(AND(CB21=0,CB22=0),"",IF(AND(CB21="",CB22=""),"",IF(AND(CB21=0,CB22=""),"", IF(AND(CB21="",CB22=0),"",1)))))</f>
        <v>0.91043595815367218</v>
      </c>
      <c r="CC23" s="40">
        <f t="shared" ref="CC23" si="709">IF(AND(CC21&lt;&gt;0,CC22&lt;&gt;0),(CC21-CC22)/CC22,IF(AND(CC21=0,CC22=0),"",IF(AND(CC21="",CC22=""),"",IF(AND(CC21=0,CC22=""),"", IF(AND(CC21="",CC22=0),"",1)))))</f>
        <v>1.0177245401484045</v>
      </c>
      <c r="CD23" s="40">
        <f t="shared" ref="CD23" si="710">IF(AND(CD21&lt;&gt;0,CD22&lt;&gt;0),(CD21-CD22)/CD22,IF(AND(CD21=0,CD22=0),"",IF(AND(CD21="",CD22=""),"",IF(AND(CD21=0,CD22=""),"", IF(AND(CD21="",CD22=0),"",1)))))</f>
        <v>1.1312640296194367</v>
      </c>
      <c r="CE23" s="40">
        <f t="shared" ref="CE23" si="711">IF(AND(CE21&lt;&gt;0,CE22&lt;&gt;0),(CE21-CE22)/CE22,IF(AND(CE21=0,CE22=0),"",IF(AND(CE21="",CE22=""),"",IF(AND(CE21=0,CE22=""),"", IF(AND(CE21="",CE22=0),"",1)))))</f>
        <v>0.81832230437844333</v>
      </c>
      <c r="CF23" s="40">
        <f t="shared" ref="CF23" si="712">IF(AND(CF21&lt;&gt;0,CF22&lt;&gt;0),(CF21-CF22)/CF22,IF(AND(CF21=0,CF22=0),"",IF(AND(CF21="",CF22=""),"",IF(AND(CF21=0,CF22=""),"", IF(AND(CF21="",CF22=0),"",1)))))</f>
        <v>0.7073283412841167</v>
      </c>
      <c r="CG23" s="40">
        <f t="shared" ref="CG23" si="713">IF(AND(CG21&lt;&gt;0,CG22&lt;&gt;0),(CG21-CG22)/CG22,IF(AND(CG21=0,CG22=0),"",IF(AND(CG21="",CG22=""),"",IF(AND(CG21=0,CG22=""),"", IF(AND(CG21="",CG22=0),"",1)))))</f>
        <v>-0.12900328175439388</v>
      </c>
      <c r="CH23" s="40">
        <f t="shared" ref="CH23" si="714">IF(AND(CH21&lt;&gt;0,CH22&lt;&gt;0),(CH21-CH22)/CH22,IF(AND(CH21=0,CH22=0),"",IF(AND(CH21="",CH22=""),"",IF(AND(CH21=0,CH22=""),"", IF(AND(CH21="",CH22=0),"",1)))))</f>
        <v>-4.6219941212149486E-2</v>
      </c>
      <c r="CI23" s="40">
        <f t="shared" ref="CI23" si="715">IF(AND(CI21&lt;&gt;0,CI22&lt;&gt;0),(CI21-CI22)/CI22,IF(AND(CI21=0,CI22=0),"",IF(AND(CI21="",CI22=""),"",IF(AND(CI21=0,CI22=""),"", IF(AND(CI21="",CI22=0),"",1)))))</f>
        <v>1</v>
      </c>
      <c r="CJ23" s="40">
        <f t="shared" ref="CJ23" si="716">IF(AND(CJ21&lt;&gt;0,CJ22&lt;&gt;0),(CJ21-CJ22)/CJ22,IF(AND(CJ21=0,CJ22=0),"",IF(AND(CJ21="",CJ22=""),"",IF(AND(CJ21=0,CJ22=""),"", IF(AND(CJ21="",CJ22=0),"",1)))))</f>
        <v>1</v>
      </c>
      <c r="CK23" s="40" t="str">
        <f t="shared" ref="CK23" si="717">IF(AND(CK21&lt;&gt;0,CK22&lt;&gt;0),(CK21-CK22)/CK22,IF(AND(CK21=0,CK22=0),"",IF(AND(CK21="",CK22=""),"",IF(AND(CK21=0,CK22=""),"", IF(AND(CK21="",CK22=0),"",1)))))</f>
        <v/>
      </c>
      <c r="CL23" s="40" t="str">
        <f t="shared" ref="CL23" si="718">IF(AND(CL21&lt;&gt;0,CL22&lt;&gt;0),(CL21-CL22)/CL22,IF(AND(CL21=0,CL22=0),"",IF(AND(CL21="",CL22=""),"",IF(AND(CL21=0,CL22=""),"", IF(AND(CL21="",CL22=0),"",1)))))</f>
        <v/>
      </c>
      <c r="CM23" s="40" t="str">
        <f t="shared" ref="CM23" si="719">IF(AND(CM21&lt;&gt;0,CM22&lt;&gt;0),(CM21-CM22)/CM22,IF(AND(CM21=0,CM22=0),"",IF(AND(CM21="",CM22=""),"",IF(AND(CM21=0,CM22=""),"", IF(AND(CM21="",CM22=0),"",1)))))</f>
        <v/>
      </c>
      <c r="CN23" s="40" t="str">
        <f t="shared" ref="CN23" si="720">IF(AND(CN21&lt;&gt;0,CN22&lt;&gt;0),(CN21-CN22)/CN22,IF(AND(CN21=0,CN22=0),"",IF(AND(CN21="",CN22=""),"",IF(AND(CN21=0,CN22=""),"", IF(AND(CN21="",CN22=0),"",1)))))</f>
        <v/>
      </c>
      <c r="CO23" s="40" t="str">
        <f t="shared" ref="CO23" si="721">IF(AND(CO21&lt;&gt;0,CO22&lt;&gt;0),(CO21-CO22)/CO22,IF(AND(CO21=0,CO22=0),"",IF(AND(CO21="",CO22=""),"",IF(AND(CO21=0,CO22=""),"", IF(AND(CO21="",CO22=0),"",1)))))</f>
        <v/>
      </c>
      <c r="CP23" s="40" t="str">
        <f t="shared" ref="CP23" si="722">IF(AND(CP21&lt;&gt;0,CP22&lt;&gt;0),(CP21-CP22)/CP22,IF(AND(CP21=0,CP22=0),"",IF(AND(CP21="",CP22=""),"",IF(AND(CP21=0,CP22=""),"", IF(AND(CP21="",CP22=0),"",1)))))</f>
        <v/>
      </c>
      <c r="CQ23" s="40" t="str">
        <f t="shared" ref="CQ23" si="723">IF(AND(CQ21&lt;&gt;0,CQ22&lt;&gt;0),(CQ21-CQ22)/CQ22,IF(AND(CQ21=0,CQ22=0),"",IF(AND(CQ21="",CQ22=""),"",IF(AND(CQ21=0,CQ22=""),"", IF(AND(CQ21="",CQ22=0),"",1)))))</f>
        <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f t="shared" ref="DK23:HU23" si="729">IF(AND(DK21&lt;&gt;0,DK22&lt;&gt;0),(DK21-DK22)/DK22,IF(AND(DK21=0,DK22=0),"",IF(AND(DK21="",DK22=""),"",IF(AND(DK21=0,DK22=""),"", IF(AND(DK21="",DK22=0),"",1)))))</f>
        <v>1.8443812511808548</v>
      </c>
      <c r="DL23" s="72" t="str">
        <f t="shared" si="729"/>
        <v/>
      </c>
      <c r="DM23" s="73" t="str">
        <f t="shared" si="729"/>
        <v/>
      </c>
      <c r="DN23" s="73" t="str">
        <f t="shared" si="729"/>
        <v/>
      </c>
      <c r="DO23" s="73" t="str">
        <f t="shared" si="729"/>
        <v/>
      </c>
      <c r="DP23" s="73" t="str">
        <f t="shared" si="729"/>
        <v/>
      </c>
      <c r="DQ23" s="73" t="str">
        <f t="shared" si="729"/>
        <v/>
      </c>
      <c r="DR23" s="73" t="str">
        <f t="shared" si="729"/>
        <v/>
      </c>
      <c r="DS23" s="73" t="str">
        <f t="shared" si="729"/>
        <v/>
      </c>
      <c r="DT23" s="73" t="str">
        <f t="shared" si="729"/>
        <v/>
      </c>
      <c r="DU23" s="73" t="str">
        <f t="shared" si="729"/>
        <v/>
      </c>
      <c r="DV23" s="73" t="str">
        <f t="shared" si="729"/>
        <v/>
      </c>
      <c r="DW23" s="73" t="str">
        <f t="shared" si="729"/>
        <v/>
      </c>
      <c r="DX23" s="73" t="str">
        <f t="shared" si="729"/>
        <v/>
      </c>
      <c r="DY23" s="73" t="str">
        <f t="shared" si="729"/>
        <v/>
      </c>
      <c r="DZ23" s="73" t="str">
        <f t="shared" si="729"/>
        <v/>
      </c>
      <c r="EA23" s="73" t="str">
        <f t="shared" si="729"/>
        <v/>
      </c>
      <c r="EB23" s="73" t="str">
        <f t="shared" si="729"/>
        <v/>
      </c>
      <c r="EC23" s="73" t="str">
        <f t="shared" si="729"/>
        <v/>
      </c>
      <c r="ED23" s="73" t="str">
        <f t="shared" si="729"/>
        <v/>
      </c>
      <c r="EE23" s="73" t="str">
        <f t="shared" si="729"/>
        <v/>
      </c>
      <c r="EF23" s="73" t="str">
        <f t="shared" si="729"/>
        <v/>
      </c>
      <c r="EG23" s="73" t="str">
        <f t="shared" si="729"/>
        <v/>
      </c>
      <c r="EH23" s="73" t="str">
        <f t="shared" si="729"/>
        <v/>
      </c>
      <c r="EI23" s="73" t="str">
        <f t="shared" ref="EI23:EV23" si="730">IF(AND(EI21&lt;&gt;0,EI22&lt;&gt;0),(EI21-EI22)/EI22,IF(AND(EI21=0,EI22=0),"",IF(AND(EI21="",EI22=""),"",IF(AND(EI21=0,EI22=""),"", IF(AND(EI21="",EI22=0),"",1)))))</f>
        <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t="str">
        <f t="shared" si="729"/>
        <v/>
      </c>
      <c r="EX23" s="72" t="str">
        <f t="shared" ref="EX23:GI23" si="731">IF(AND(EX21&lt;&gt;0,EX22&lt;&gt;0),(EX21-EX22)/EX22,IF(AND(EX21=0,EX22=0),"",IF(AND(EX21="",EX22=""),"",IF(AND(EX21=0,EX22=""),"", IF(AND(EX21="",EX22=0),"",1)))))</f>
        <v/>
      </c>
      <c r="EY23" s="73" t="str">
        <f t="shared" si="731"/>
        <v/>
      </c>
      <c r="EZ23" s="73" t="str">
        <f t="shared" si="731"/>
        <v/>
      </c>
      <c r="FA23" s="73" t="str">
        <f t="shared" si="731"/>
        <v/>
      </c>
      <c r="FB23" s="73" t="str">
        <f t="shared" si="731"/>
        <v/>
      </c>
      <c r="FC23" s="73" t="str">
        <f t="shared" si="731"/>
        <v/>
      </c>
      <c r="FD23" s="73" t="str">
        <f t="shared" si="731"/>
        <v/>
      </c>
      <c r="FE23" s="73" t="str">
        <f t="shared" si="731"/>
        <v/>
      </c>
      <c r="FF23" s="73" t="str">
        <f t="shared" si="731"/>
        <v/>
      </c>
      <c r="FG23" s="73" t="str">
        <f t="shared" si="731"/>
        <v/>
      </c>
      <c r="FH23" s="73" t="str">
        <f t="shared" si="731"/>
        <v/>
      </c>
      <c r="FI23" s="73" t="str">
        <f t="shared" si="731"/>
        <v/>
      </c>
      <c r="FJ23" s="73" t="str">
        <f t="shared" si="731"/>
        <v/>
      </c>
      <c r="FK23" s="73" t="str">
        <f t="shared" si="731"/>
        <v/>
      </c>
      <c r="FL23" s="73" t="str">
        <f t="shared" si="731"/>
        <v/>
      </c>
      <c r="FM23" s="73" t="str">
        <f t="shared" si="731"/>
        <v/>
      </c>
      <c r="FN23" s="73" t="str">
        <f t="shared" si="731"/>
        <v/>
      </c>
      <c r="FO23" s="73" t="str">
        <f t="shared" si="731"/>
        <v/>
      </c>
      <c r="FP23" s="73" t="str">
        <f t="shared" si="731"/>
        <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t="str">
        <f t="shared" si="731"/>
        <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f t="shared" ref="HV23" si="734">IF(AND(HV21&lt;&gt;0,HV22&lt;&gt;0),(HV21-HV22)/HV22,IF(AND(HV21=0,HV22=0),"",IF(AND(HV21="",HV22=""),"",IF(AND(HV21=0,HV22=""),"", IF(AND(HV21="",HV22=0),"",1)))))</f>
        <v>-3.2846907135224149E-6</v>
      </c>
      <c r="HW23" s="40">
        <f t="shared" ref="HW23" si="735">IF(AND(HW21&lt;&gt;0,HW22&lt;&gt;0),(HW21-HW22)/HW22,IF(AND(HW21=0,HW22=0),"",IF(AND(HW21="",HW22=""),"",IF(AND(HW21=0,HW22=""),"", IF(AND(HW21="",HW22=0),"",1)))))</f>
        <v>2.260113253438051E-6</v>
      </c>
      <c r="HX23" s="40">
        <f t="shared" ref="HX23" si="736">IF(AND(HX21&lt;&gt;0,HX22&lt;&gt;0),(HX21-HX22)/HX22,IF(AND(HX21=0,HX22=0),"",IF(AND(HX21="",HX22=""),"",IF(AND(HX21=0,HX22=""),"", IF(AND(HX21="",HX22=0),"",1)))))</f>
        <v>-2.4392986169737299E-2</v>
      </c>
      <c r="HY23" s="40">
        <f t="shared" ref="HY23" si="737">IF(AND(HY21&lt;&gt;0,HY22&lt;&gt;0),(HY21-HY22)/HY22,IF(AND(HY21=0,HY22=0),"",IF(AND(HY21="",HY22=""),"",IF(AND(HY21=0,HY22=""),"", IF(AND(HY21="",HY22=0),"",1)))))</f>
        <v>-2.0694820758649438E-3</v>
      </c>
      <c r="HZ23" s="40">
        <f t="shared" ref="HZ23" si="738">IF(AND(HZ21&lt;&gt;0,HZ22&lt;&gt;0),(HZ21-HZ22)/HZ22,IF(AND(HZ21=0,HZ22=0),"",IF(AND(HZ21="",HZ22=""),"",IF(AND(HZ21=0,HZ22=""),"", IF(AND(HZ21="",HZ22=0),"",1)))))</f>
        <v>1.3029193732645115E-7</v>
      </c>
      <c r="IA23" s="40">
        <f t="shared" ref="IA23" si="739">IF(AND(IA21&lt;&gt;0,IA22&lt;&gt;0),(IA21-IA22)/IA22,IF(AND(IA21=0,IA22=0),"",IF(AND(IA21="",IA22=""),"",IF(AND(IA21=0,IA22=""),"", IF(AND(IA21="",IA22=0),"",1)))))</f>
        <v>1.6720928222457288E-6</v>
      </c>
      <c r="IB23" s="40">
        <f t="shared" ref="IB23" si="740">IF(AND(IB21&lt;&gt;0,IB22&lt;&gt;0),(IB21-IB22)/IB22,IF(AND(IB21=0,IB22=0),"",IF(AND(IB21="",IB22=""),"",IF(AND(IB21=0,IB22=""),"", IF(AND(IB21="",IB22=0),"",1)))))</f>
        <v>-2.3643955801503001E-2</v>
      </c>
      <c r="IC23" s="40">
        <f t="shared" ref="IC23" si="741">IF(AND(IC21&lt;&gt;0,IC22&lt;&gt;0),(IC21-IC22)/IC22,IF(AND(IC21=0,IC22=0),"",IF(AND(IC21="",IC22=""),"",IF(AND(IC21=0,IC22=""),"", IF(AND(IC21="",IC22=0),"",1)))))</f>
        <v>-1.6669043637666112E-2</v>
      </c>
      <c r="ID23" s="40">
        <f t="shared" ref="ID23" si="742">IF(AND(ID21&lt;&gt;0,ID22&lt;&gt;0),(ID21-ID22)/ID22,IF(AND(ID21=0,ID22=0),"",IF(AND(ID21="",ID22=""),"",IF(AND(ID21=0,ID22=""),"", IF(AND(ID21="",ID22=0),"",1)))))</f>
        <v>-8.3482700573460134E-2</v>
      </c>
      <c r="IE23" s="40">
        <f t="shared" ref="IE23" si="743">IF(AND(IE21&lt;&gt;0,IE22&lt;&gt;0),(IE21-IE22)/IE22,IF(AND(IE21=0,IE22=0),"",IF(AND(IE21="",IE22=""),"",IF(AND(IE21=0,IE22=""),"", IF(AND(IE21="",IE22=0),"",1)))))</f>
        <v>-0.98793637240199672</v>
      </c>
      <c r="IF23" s="40">
        <f t="shared" ref="IF23" si="744">IF(AND(IF21&lt;&gt;0,IF22&lt;&gt;0),(IF21-IF22)/IF22,IF(AND(IF21=0,IF22=0),"",IF(AND(IF21="",IF22=""),"",IF(AND(IF21=0,IF22=""),"", IF(AND(IF21="",IF22=0),"",1)))))</f>
        <v>1</v>
      </c>
      <c r="IG23" s="40" t="str">
        <f t="shared" ref="IG23" si="745">IF(AND(IG21&lt;&gt;0,IG22&lt;&gt;0),(IG21-IG22)/IG22,IF(AND(IG21=0,IG22=0),"",IF(AND(IG21="",IG22=""),"",IF(AND(IG21=0,IG22=""),"", IF(AND(IG21="",IG22=0),"",1)))))</f>
        <v/>
      </c>
      <c r="IH23" s="40" t="str">
        <f t="shared" ref="IH23" si="746">IF(AND(IH21&lt;&gt;0,IH22&lt;&gt;0),(IH21-IH22)/IH22,IF(AND(IH21=0,IH22=0),"",IF(AND(IH21="",IH22=""),"",IF(AND(IH21=0,IH22=""),"", IF(AND(IH21="",IH22=0),"",1)))))</f>
        <v/>
      </c>
      <c r="II23" s="40" t="str">
        <f t="shared" ref="II23" si="747">IF(AND(II21&lt;&gt;0,II22&lt;&gt;0),(II21-II22)/II22,IF(AND(II21=0,II22=0),"",IF(AND(II21="",II22=""),"",IF(AND(II21=0,II22=""),"", IF(AND(II21="",II22=0),"",1)))))</f>
        <v/>
      </c>
      <c r="IJ23" s="40" t="str">
        <f t="shared" ref="IJ23" si="748">IF(AND(IJ21&lt;&gt;0,IJ22&lt;&gt;0),(IJ21-IJ22)/IJ22,IF(AND(IJ21=0,IJ22=0),"",IF(AND(IJ21="",IJ22=""),"",IF(AND(IJ21=0,IJ22=""),"", IF(AND(IJ21="",IJ22=0),"",1)))))</f>
        <v/>
      </c>
      <c r="IK23" s="40" t="str">
        <f t="shared" ref="IK23" si="749">IF(AND(IK21&lt;&gt;0,IK22&lt;&gt;0),(IK21-IK22)/IK22,IF(AND(IK21=0,IK22=0),"",IF(AND(IK21="",IK22=""),"",IF(AND(IK21=0,IK22=""),"", IF(AND(IK21="",IK22=0),"",1)))))</f>
        <v/>
      </c>
      <c r="IL23" s="40" t="str">
        <f t="shared" ref="IL23" si="750">IF(AND(IL21&lt;&gt;0,IL22&lt;&gt;0),(IL21-IL22)/IL22,IF(AND(IL21=0,IL22=0),"",IF(AND(IL21="",IL22=""),"",IF(AND(IL21=0,IL22=""),"", IF(AND(IL21="",IL22=0),"",1)))))</f>
        <v/>
      </c>
      <c r="IM23" s="40" t="str">
        <f t="shared" ref="IM23" si="751">IF(AND(IM21&lt;&gt;0,IM22&lt;&gt;0),(IM21-IM22)/IM22,IF(AND(IM21=0,IM22=0),"",IF(AND(IM21="",IM22=""),"",IF(AND(IM21=0,IM22=""),"", IF(AND(IM21="",IM22=0),"",1)))))</f>
        <v/>
      </c>
      <c r="IN23" s="40" t="str">
        <f t="shared" ref="IN23" si="752">IF(AND(IN21&lt;&gt;0,IN22&lt;&gt;0),(IN21-IN22)/IN22,IF(AND(IN21=0,IN22=0),"",IF(AND(IN21="",IN22=""),"",IF(AND(IN21=0,IN22=""),"", IF(AND(IN21="",IN22=0),"",1)))))</f>
        <v/>
      </c>
      <c r="IO23" s="40" t="str">
        <f t="shared" ref="IO23" si="753">IF(AND(IO21&lt;&gt;0,IO22&lt;&gt;0),(IO21-IO22)/IO22,IF(AND(IO21=0,IO22=0),"",IF(AND(IO21="",IO22=""),"",IF(AND(IO21=0,IO22=""),"", IF(AND(IO21="",IO22=0),"",1)))))</f>
        <v/>
      </c>
      <c r="IP23" s="40" t="str">
        <f t="shared" ref="IP23" si="754">IF(AND(IP21&lt;&gt;0,IP22&lt;&gt;0),(IP21-IP22)/IP22,IF(AND(IP21=0,IP22=0),"",IF(AND(IP21="",IP22=""),"",IF(AND(IP21=0,IP22=""),"", IF(AND(IP21="",IP22=0),"",1)))))</f>
        <v/>
      </c>
      <c r="IQ23" s="40" t="str">
        <f t="shared" ref="IQ23" si="755">IF(AND(IQ21&lt;&gt;0,IQ22&lt;&gt;0),(IQ21-IQ22)/IQ22,IF(AND(IQ21=0,IQ22=0),"",IF(AND(IQ21="",IQ22=""),"",IF(AND(IQ21=0,IQ22=""),"", IF(AND(IQ21="",IQ22=0),"",1)))))</f>
        <v/>
      </c>
      <c r="IR23" s="40" t="str">
        <f t="shared" ref="IR23:JF23" si="756">IF(AND(IR21&lt;&gt;0,IR22&lt;&gt;0),(IR21-IR22)/IR22,IF(AND(IR21=0,IR22=0),"",IF(AND(IR21="",IR22=""),"",IF(AND(IR21=0,IR22=""),"", IF(AND(IR21="",IR22=0),"",1)))))</f>
        <v/>
      </c>
      <c r="IS23" s="40" t="str">
        <f t="shared" si="756"/>
        <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-0.78904617493446716</v>
      </c>
      <c r="JH23" s="72" t="str">
        <f t="shared" si="757"/>
        <v/>
      </c>
      <c r="JI23" s="73" t="str">
        <f t="shared" si="757"/>
        <v/>
      </c>
      <c r="JJ23" s="73" t="str">
        <f t="shared" si="757"/>
        <v/>
      </c>
      <c r="JK23" s="73" t="str">
        <f t="shared" si="757"/>
        <v/>
      </c>
      <c r="JL23" s="73" t="str">
        <f t="shared" si="757"/>
        <v/>
      </c>
      <c r="JM23" s="73" t="str">
        <f t="shared" si="757"/>
        <v/>
      </c>
      <c r="JN23" s="73" t="str">
        <f t="shared" si="757"/>
        <v/>
      </c>
      <c r="JO23" s="73" t="str">
        <f t="shared" si="757"/>
        <v/>
      </c>
      <c r="JP23" s="73" t="str">
        <f t="shared" si="757"/>
        <v/>
      </c>
      <c r="JQ23" s="73" t="str">
        <f t="shared" si="757"/>
        <v/>
      </c>
      <c r="JR23" s="73" t="str">
        <f t="shared" si="757"/>
        <v/>
      </c>
      <c r="JS23" s="73" t="str">
        <f t="shared" si="757"/>
        <v/>
      </c>
      <c r="JT23" s="73" t="str">
        <f t="shared" si="757"/>
        <v/>
      </c>
      <c r="JU23" s="73" t="str">
        <f t="shared" si="757"/>
        <v/>
      </c>
      <c r="JV23" s="73" t="str">
        <f t="shared" si="757"/>
        <v/>
      </c>
      <c r="JW23" s="73" t="str">
        <f t="shared" si="757"/>
        <v/>
      </c>
      <c r="JX23" s="73" t="str">
        <f t="shared" si="757"/>
        <v/>
      </c>
      <c r="JY23" s="73" t="str">
        <f t="shared" si="757"/>
        <v/>
      </c>
      <c r="JZ23" s="73" t="str">
        <f t="shared" si="757"/>
        <v/>
      </c>
      <c r="KA23" s="73" t="str">
        <f t="shared" si="757"/>
        <v/>
      </c>
      <c r="KB23" s="73" t="str">
        <f t="shared" si="757"/>
        <v/>
      </c>
      <c r="KC23" s="73" t="str">
        <f t="shared" si="757"/>
        <v/>
      </c>
      <c r="KD23" s="73" t="str">
        <f t="shared" si="757"/>
        <v/>
      </c>
      <c r="KE23" s="73" t="str">
        <f t="shared" ref="KE23:KR23" si="758">IF(AND(KE21&lt;&gt;0,KE22&lt;&gt;0),(KE21-KE22)/KE22,IF(AND(KE21=0,KE22=0),"",IF(AND(KE21="",KE22=""),"",IF(AND(KE21=0,KE22=""),"", IF(AND(KE21="",KE22=0),"",1)))))</f>
        <v/>
      </c>
      <c r="KF23" s="73" t="str">
        <f t="shared" si="758"/>
        <v/>
      </c>
      <c r="KG23" s="73" t="str">
        <f t="shared" si="758"/>
        <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t="str">
        <f t="shared" si="757"/>
        <v/>
      </c>
      <c r="KT23" s="72" t="str">
        <f t="shared" ref="KT23:ME23" si="759">IF(AND(KT21&lt;&gt;0,KT22&lt;&gt;0),(KT21-KT22)/KT22,IF(AND(KT21=0,KT22=0),"",IF(AND(KT21="",KT22=""),"",IF(AND(KT21=0,KT22=""),"", IF(AND(KT21="",KT22=0),"",1)))))</f>
        <v/>
      </c>
      <c r="KU23" s="73" t="str">
        <f t="shared" si="759"/>
        <v/>
      </c>
      <c r="KV23" s="73" t="str">
        <f t="shared" si="759"/>
        <v/>
      </c>
      <c r="KW23" s="73" t="str">
        <f t="shared" si="759"/>
        <v/>
      </c>
      <c r="KX23" s="73" t="str">
        <f t="shared" si="759"/>
        <v/>
      </c>
      <c r="KY23" s="73" t="str">
        <f t="shared" si="759"/>
        <v/>
      </c>
      <c r="KZ23" s="73" t="str">
        <f t="shared" si="759"/>
        <v/>
      </c>
      <c r="LA23" s="73" t="str">
        <f t="shared" si="759"/>
        <v/>
      </c>
      <c r="LB23" s="73" t="str">
        <f t="shared" si="759"/>
        <v/>
      </c>
      <c r="LC23" s="73" t="str">
        <f t="shared" si="759"/>
        <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t="str">
        <f t="shared" si="759"/>
        <v/>
      </c>
      <c r="LM23" s="73" t="str">
        <f t="shared" si="759"/>
        <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t="str">
        <f t="shared" si="759"/>
        <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f t="shared" ref="NR23" si="762">IF(AND(NR21&lt;&gt;0,NR22&lt;&gt;0),(NR21-NR22)/NR22,IF(AND(NR21=0,NR22=0),"",IF(AND(NR21="",NR22=""),"",IF(AND(NR21=0,NR22=""),"", IF(AND(NR21="",NR22=0),"",1)))))</f>
        <v>-2.7295242151181304E-2</v>
      </c>
      <c r="NS23" s="40">
        <f t="shared" ref="NS23" si="763">IF(AND(NS21&lt;&gt;0,NS22&lt;&gt;0),(NS21-NS22)/NS22,IF(AND(NS21=0,NS22=0),"",IF(AND(NS21="",NS22=""),"",IF(AND(NS21=0,NS22=""),"", IF(AND(NS21="",NS22=0),"",1)))))</f>
        <v>-1.1842743524703648E-6</v>
      </c>
      <c r="NT23" s="40">
        <f t="shared" ref="NT23" si="764">IF(AND(NT21&lt;&gt;0,NT22&lt;&gt;0),(NT21-NT22)/NT22,IF(AND(NT21=0,NT22=0),"",IF(AND(NT21="",NT22=""),"",IF(AND(NT21=0,NT22=""),"", IF(AND(NT21="",NT22=0),"",1)))))</f>
        <v>9.0473420990602292E-6</v>
      </c>
      <c r="NU23" s="40">
        <f t="shared" ref="NU23" si="765">IF(AND(NU21&lt;&gt;0,NU22&lt;&gt;0),(NU21-NU22)/NU22,IF(AND(NU21=0,NU22=0),"",IF(AND(NU21="",NU22=""),"",IF(AND(NU21=0,NU22=""),"", IF(AND(NU21="",NU22=0),"",1)))))</f>
        <v>-4.8752207896601693E-6</v>
      </c>
      <c r="NV23" s="40">
        <f t="shared" ref="NV23" si="766">IF(AND(NV21&lt;&gt;0,NV22&lt;&gt;0),(NV21-NV22)/NV22,IF(AND(NV21=0,NV22=0),"",IF(AND(NV21="",NV22=""),"",IF(AND(NV21=0,NV22=""),"", IF(AND(NV21="",NV22=0),"",1)))))</f>
        <v>7.8497864858075856E-6</v>
      </c>
      <c r="NW23" s="40">
        <f t="shared" ref="NW23" si="767">IF(AND(NW21&lt;&gt;0,NW22&lt;&gt;0),(NW21-NW22)/NW22,IF(AND(NW21=0,NW22=0),"",IF(AND(NW21="",NW22=""),"",IF(AND(NW21=0,NW22=""),"", IF(AND(NW21="",NW22=0),"",1)))))</f>
        <v>-5.6140919777592181E-3</v>
      </c>
      <c r="NX23" s="40" t="str">
        <f t="shared" ref="NX23" si="768">IF(AND(NX21&lt;&gt;0,NX22&lt;&gt;0),(NX21-NX22)/NX22,IF(AND(NX21=0,NX22=0),"",IF(AND(NX21="",NX22=""),"",IF(AND(NX21=0,NX22=""),"", IF(AND(NX21="",NX22=0),"",1)))))</f>
        <v/>
      </c>
      <c r="NY23" s="40">
        <f t="shared" ref="NY23" si="769">IF(AND(NY21&lt;&gt;0,NY22&lt;&gt;0),(NY21-NY22)/NY22,IF(AND(NY21=0,NY22=0),"",IF(AND(NY21="",NY22=""),"",IF(AND(NY21=0,NY22=""),"", IF(AND(NY21="",NY22=0),"",1)))))</f>
        <v>-0.33185408940995009</v>
      </c>
      <c r="NZ23" s="40">
        <f t="shared" ref="NZ23" si="770">IF(AND(NZ21&lt;&gt;0,NZ22&lt;&gt;0),(NZ21-NZ22)/NZ22,IF(AND(NZ21=0,NZ22=0),"",IF(AND(NZ21="",NZ22=""),"",IF(AND(NZ21=0,NZ22=""),"", IF(AND(NZ21="",NZ22=0),"",1)))))</f>
        <v>-3.8086186718450936E-3</v>
      </c>
      <c r="OA23" s="40">
        <f t="shared" ref="OA23" si="771">IF(AND(OA21&lt;&gt;0,OA22&lt;&gt;0),(OA21-OA22)/OA22,IF(AND(OA21=0,OA22=0),"",IF(AND(OA21="",OA22=""),"",IF(AND(OA21=0,OA22=""),"", IF(AND(OA21="",OA22=0),"",1)))))</f>
        <v>-6.5990322424944492E-7</v>
      </c>
      <c r="OB23" s="40">
        <f t="shared" ref="OB23" si="772">IF(AND(OB21&lt;&gt;0,OB22&lt;&gt;0),(OB21-OB22)/OB22,IF(AND(OB21=0,OB22=0),"",IF(AND(OB21="",OB22=""),"",IF(AND(OB21=0,OB22=""),"", IF(AND(OB21="",OB22=0),"",1)))))</f>
        <v>1</v>
      </c>
      <c r="OC23" s="40" t="str">
        <f t="shared" ref="OC23" si="773">IF(AND(OC21&lt;&gt;0,OC22&lt;&gt;0),(OC21-OC22)/OC22,IF(AND(OC21=0,OC22=0),"",IF(AND(OC21="",OC22=""),"",IF(AND(OC21=0,OC22=""),"", IF(AND(OC21="",OC22=0),"",1)))))</f>
        <v/>
      </c>
      <c r="OD23" s="40" t="str">
        <f t="shared" ref="OD23" si="774">IF(AND(OD21&lt;&gt;0,OD22&lt;&gt;0),(OD21-OD22)/OD22,IF(AND(OD21=0,OD22=0),"",IF(AND(OD21="",OD22=""),"",IF(AND(OD21=0,OD22=""),"", IF(AND(OD21="",OD22=0),"",1)))))</f>
        <v/>
      </c>
      <c r="OE23" s="40" t="str">
        <f t="shared" ref="OE23" si="775">IF(AND(OE21&lt;&gt;0,OE22&lt;&gt;0),(OE21-OE22)/OE22,IF(AND(OE21=0,OE22=0),"",IF(AND(OE21="",OE22=""),"",IF(AND(OE21=0,OE22=""),"", IF(AND(OE21="",OE22=0),"",1)))))</f>
        <v/>
      </c>
      <c r="OF23" s="40" t="str">
        <f t="shared" ref="OF23" si="776">IF(AND(OF21&lt;&gt;0,OF22&lt;&gt;0),(OF21-OF22)/OF22,IF(AND(OF21=0,OF22=0),"",IF(AND(OF21="",OF22=""),"",IF(AND(OF21=0,OF22=""),"", IF(AND(OF21="",OF22=0),"",1)))))</f>
        <v/>
      </c>
      <c r="OG23" s="40" t="str">
        <f t="shared" ref="OG23" si="777">IF(AND(OG21&lt;&gt;0,OG22&lt;&gt;0),(OG21-OG22)/OG22,IF(AND(OG21=0,OG22=0),"",IF(AND(OG21="",OG22=""),"",IF(AND(OG21=0,OG22=""),"", IF(AND(OG21="",OG22=0),"",1)))))</f>
        <v/>
      </c>
      <c r="OH23" s="40" t="str">
        <f t="shared" ref="OH23" si="778">IF(AND(OH21&lt;&gt;0,OH22&lt;&gt;0),(OH21-OH22)/OH22,IF(AND(OH21=0,OH22=0),"",IF(AND(OH21="",OH22=""),"",IF(AND(OH21=0,OH22=""),"", IF(AND(OH21="",OH22=0),"",1)))))</f>
        <v/>
      </c>
      <c r="OI23" s="40" t="str">
        <f t="shared" ref="OI23" si="779">IF(AND(OI21&lt;&gt;0,OI22&lt;&gt;0),(OI21-OI22)/OI22,IF(AND(OI21=0,OI22=0),"",IF(AND(OI21="",OI22=""),"",IF(AND(OI21=0,OI22=""),"", IF(AND(OI21="",OI22=0),"",1)))))</f>
        <v/>
      </c>
      <c r="OJ23" s="40" t="str">
        <f t="shared" ref="OJ23" si="780">IF(AND(OJ21&lt;&gt;0,OJ22&lt;&gt;0),(OJ21-OJ22)/OJ22,IF(AND(OJ21=0,OJ22=0),"",IF(AND(OJ21="",OJ22=""),"",IF(AND(OJ21=0,OJ22=""),"", IF(AND(OJ21="",OJ22=0),"",1)))))</f>
        <v/>
      </c>
      <c r="OK23" s="40" t="str">
        <f t="shared" ref="OK23" si="781">IF(AND(OK21&lt;&gt;0,OK22&lt;&gt;0),(OK21-OK22)/OK22,IF(AND(OK21=0,OK22=0),"",IF(AND(OK21="",OK22=""),"",IF(AND(OK21=0,OK22=""),"", IF(AND(OK21="",OK22=0),"",1)))))</f>
        <v/>
      </c>
      <c r="OL23" s="40" t="str">
        <f t="shared" ref="OL23" si="782">IF(AND(OL21&lt;&gt;0,OL22&lt;&gt;0),(OL21-OL22)/OL22,IF(AND(OL21=0,OL22=0),"",IF(AND(OL21="",OL22=""),"",IF(AND(OL21=0,OL22=""),"", IF(AND(OL21="",OL22=0),"",1)))))</f>
        <v/>
      </c>
      <c r="OM23" s="40" t="str">
        <f t="shared" ref="OM23" si="783">IF(AND(OM21&lt;&gt;0,OM22&lt;&gt;0),(OM21-OM22)/OM22,IF(AND(OM21=0,OM22=0),"",IF(AND(OM21="",OM22=""),"",IF(AND(OM21=0,OM22=""),"", IF(AND(OM21="",OM22=0),"",1)))))</f>
        <v/>
      </c>
      <c r="ON23" s="40" t="str">
        <f t="shared" ref="ON23:PB23" si="784">IF(AND(ON21&lt;&gt;0,ON22&lt;&gt;0),(ON21-ON22)/ON22,IF(AND(ON21=0,ON22=0),"",IF(AND(ON21="",ON22=""),"",IF(AND(ON21=0,ON22=""),"", IF(AND(ON21="",ON22=0),"",1)))))</f>
        <v/>
      </c>
      <c r="OO23" s="40" t="str">
        <f t="shared" si="784"/>
        <v/>
      </c>
      <c r="OP23" s="40" t="str">
        <f t="shared" si="784"/>
        <v/>
      </c>
      <c r="OQ23" s="40" t="str">
        <f t="shared" si="784"/>
        <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-5.2059172638032616E-4</v>
      </c>
    </row>
    <row r="24" spans="1:419" outlineLevel="1" x14ac:dyDescent="0.3">
      <c r="A24" s="46" t="s">
        <v>19</v>
      </c>
      <c r="B24" s="14">
        <f>'[1]D-PDP'!$DC$12</f>
        <v>424875.03125</v>
      </c>
      <c r="C24" s="14">
        <f>'[1]D-PDP'!$DC$13</f>
        <v>376500.03125</v>
      </c>
      <c r="D24" s="14">
        <f>'[1]D-PDP'!$DC$14</f>
        <v>156750.015625</v>
      </c>
      <c r="E24" s="14">
        <f>'[1]D-PDP'!$DC$15</f>
        <v>74507.0703125</v>
      </c>
      <c r="F24" s="14">
        <f>'[1]D-PDP'!$DC$16</f>
        <v>173849.828125</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1206481.9765625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2487991</v>
      </c>
      <c r="CA24" s="14">
        <f>'[1]D-PND'!$DC$13</f>
        <v>0</v>
      </c>
      <c r="CB24" s="14">
        <f>'[1]D-PND'!$DC$14</f>
        <v>0</v>
      </c>
      <c r="CC24" s="14">
        <f>'[1]D-PND'!$DC$15</f>
        <v>2805508.75</v>
      </c>
      <c r="CD24" s="14">
        <f>'[1]D-PND'!$DC$16</f>
        <v>2805508.75</v>
      </c>
      <c r="CE24" s="14">
        <f>'[1]D-PND'!$DC$17</f>
        <v>2805508.75</v>
      </c>
      <c r="CF24" s="14">
        <f>'[1]D-PND'!$DC$18</f>
        <v>2805508.75</v>
      </c>
      <c r="CG24" s="14">
        <f>'[1]D-PND'!$DC$19</f>
        <v>3466266.25</v>
      </c>
      <c r="CH24" s="14">
        <f>'[1]D-PND'!$DC$20</f>
        <v>0</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17176292.25</v>
      </c>
      <c r="DL24" s="66"/>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8">
        <f>SUM(DL24:EV24)</f>
        <v>0</v>
      </c>
      <c r="EX24" s="66"/>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8">
        <f>SUM(EX24:GH24)</f>
        <v>0</v>
      </c>
      <c r="GJ24" s="66"/>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8">
        <f>SUM(GJ24:HT24)</f>
        <v>0</v>
      </c>
      <c r="HV24" s="28">
        <f>'[1]D-PRB'!$DC$12</f>
        <v>0</v>
      </c>
      <c r="HW24" s="14">
        <f>'[1]D-PRB'!$DC$13</f>
        <v>0</v>
      </c>
      <c r="HX24" s="14">
        <f>'[1]D-PRB'!$DC$14</f>
        <v>0</v>
      </c>
      <c r="HY24" s="14">
        <f>'[1]D-PRB'!$DC$15</f>
        <v>0</v>
      </c>
      <c r="HZ24" s="14">
        <f>'[1]D-PRB'!$DC$16</f>
        <v>0</v>
      </c>
      <c r="IA24" s="14">
        <f>'[1]D-PRB'!$DC$17</f>
        <v>0</v>
      </c>
      <c r="IB24" s="14">
        <f>'[1]D-PRB'!$DC$18</f>
        <v>0</v>
      </c>
      <c r="IC24" s="14">
        <f>'[1]D-PRB'!$DC$19</f>
        <v>0</v>
      </c>
      <c r="ID24" s="14">
        <f>'[1]D-PRB'!$DC$20</f>
        <v>0</v>
      </c>
      <c r="IE24" s="14">
        <f>'[1]D-PRB'!$DC$21</f>
        <v>0</v>
      </c>
      <c r="IF24" s="14">
        <f>'[1]D-PRB'!$DC$22</f>
        <v>0</v>
      </c>
      <c r="IG24" s="14">
        <f>'[1]D-PRB'!$DC$23</f>
        <v>0</v>
      </c>
      <c r="IH24" s="14">
        <f>'[1]D-PRB'!$DC$24</f>
        <v>0</v>
      </c>
      <c r="II24" s="14">
        <f>'[1]D-PRB'!$DC$25</f>
        <v>0</v>
      </c>
      <c r="IJ24" s="14">
        <f>'[1]D-PRB'!$DC$26</f>
        <v>0</v>
      </c>
      <c r="IK24" s="14">
        <f>'[1]D-PRB'!$DC$27</f>
        <v>0</v>
      </c>
      <c r="IL24" s="14">
        <f>'[1]D-PRB'!$DC$28</f>
        <v>0</v>
      </c>
      <c r="IM24" s="14">
        <f>'[1]D-PRB'!$DC$29</f>
        <v>0</v>
      </c>
      <c r="IN24" s="14">
        <f>'[1]D-PRB'!$DC$30</f>
        <v>0</v>
      </c>
      <c r="IO24" s="14">
        <f>'[1]D-PRB'!$DC$31</f>
        <v>0</v>
      </c>
      <c r="IP24" s="14">
        <f>'[1]D-PRB'!$DC$32</f>
        <v>0</v>
      </c>
      <c r="IQ24" s="14">
        <f>'[1]D-PRB'!$DC$33</f>
        <v>0</v>
      </c>
      <c r="IR24" s="14">
        <f>'[1]D-PRB'!$DC$34</f>
        <v>0</v>
      </c>
      <c r="IS24" s="14">
        <f>'[1]D-PRB'!$DC$35</f>
        <v>0</v>
      </c>
      <c r="IT24" s="14">
        <f>'[1]D-PRB'!$DC$36</f>
        <v>0</v>
      </c>
      <c r="IU24" s="14">
        <f>'[1]D-PRB'!$DC$37</f>
        <v>0</v>
      </c>
      <c r="IV24" s="14">
        <f>'[1]D-PRB'!$DC$38</f>
        <v>0</v>
      </c>
      <c r="IW24" s="14">
        <f>'[1]D-PRB'!$DC$39</f>
        <v>0</v>
      </c>
      <c r="IX24" s="14">
        <f>'[1]D-PRB'!$DC$40</f>
        <v>0</v>
      </c>
      <c r="IY24" s="14">
        <f>'[1]D-PRB'!$DC$41</f>
        <v>0</v>
      </c>
      <c r="IZ24" s="14">
        <f>'[1]D-PRB'!$DC$42</f>
        <v>0</v>
      </c>
      <c r="JA24" s="14">
        <f>'[1]D-PRB'!$DC$43</f>
        <v>0</v>
      </c>
      <c r="JB24" s="14">
        <f>'[1]D-PRB'!$DC$44</f>
        <v>0</v>
      </c>
      <c r="JC24" s="14">
        <f>'[1]D-PRB'!$DC$45</f>
        <v>0</v>
      </c>
      <c r="JD24" s="14">
        <f>'[1]D-PRB'!$DC$46</f>
        <v>0</v>
      </c>
      <c r="JE24" s="14">
        <f>'[1]D-PRB'!$DC$47</f>
        <v>0</v>
      </c>
      <c r="JF24" s="14">
        <f>'[1]D-PRB'!$DC$48</f>
        <v>0</v>
      </c>
      <c r="JG24" s="16">
        <f>SUM(HV24:JF24)</f>
        <v>0</v>
      </c>
      <c r="JH24" s="66"/>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8">
        <f>SUM(JH24:KR24)</f>
        <v>0</v>
      </c>
      <c r="KT24" s="66"/>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8">
        <f>SUM(KT24:MD24)</f>
        <v>0</v>
      </c>
      <c r="MF24" s="66"/>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8">
        <f>SUM(MF24:NP24)</f>
        <v>0</v>
      </c>
      <c r="NR24" s="14">
        <f>'[1]D-PS'!$DC$12</f>
        <v>1243994.75</v>
      </c>
      <c r="NS24" s="14">
        <f>'[1]D-PS'!$DC$13</f>
        <v>0</v>
      </c>
      <c r="NT24" s="14">
        <f>'[1]D-PS'!$DC$14</f>
        <v>0</v>
      </c>
      <c r="NU24" s="14">
        <f>'[1]D-PS'!$DC$15</f>
        <v>0</v>
      </c>
      <c r="NV24" s="14">
        <f>'[1]D-PS'!$DC$16</f>
        <v>0</v>
      </c>
      <c r="NW24" s="14">
        <f>'[1]D-PS'!$DC$17</f>
        <v>0</v>
      </c>
      <c r="NX24" s="14">
        <f>'[1]D-PS'!$DC$18</f>
        <v>0</v>
      </c>
      <c r="NY24" s="14">
        <f>'[1]D-PS'!$DC$19</f>
        <v>0</v>
      </c>
      <c r="NZ24" s="14">
        <f>'[1]D-PS'!$DC$20</f>
        <v>0</v>
      </c>
      <c r="OA24" s="14">
        <f>'[1]D-PS'!$DC$21</f>
        <v>0</v>
      </c>
      <c r="OB24" s="14">
        <f>'[1]D-PS'!$DC$22</f>
        <v>0</v>
      </c>
      <c r="OC24" s="14">
        <f>'[1]D-PS'!$DC$23</f>
        <v>0</v>
      </c>
      <c r="OD24" s="14">
        <f>'[1]D-PS'!$DC$24</f>
        <v>0</v>
      </c>
      <c r="OE24" s="14">
        <f>'[1]D-PS'!$DC$25</f>
        <v>0</v>
      </c>
      <c r="OF24" s="14">
        <f>'[1]D-PS'!$DC$26</f>
        <v>0</v>
      </c>
      <c r="OG24" s="14">
        <f>'[1]D-PS'!$DC$27</f>
        <v>0</v>
      </c>
      <c r="OH24" s="14">
        <f>'[1]D-PS'!$DC$28</f>
        <v>0</v>
      </c>
      <c r="OI24" s="14">
        <f>'[1]D-PS'!$DC$29</f>
        <v>0</v>
      </c>
      <c r="OJ24" s="14">
        <f>'[1]D-PS'!$DC$30</f>
        <v>0</v>
      </c>
      <c r="OK24" s="14">
        <f>'[1]D-PS'!$DC$31</f>
        <v>0</v>
      </c>
      <c r="OL24" s="14">
        <f>'[1]D-PS'!$DC$32</f>
        <v>0</v>
      </c>
      <c r="OM24" s="14">
        <f>'[1]D-PS'!$DC$33</f>
        <v>0</v>
      </c>
      <c r="ON24" s="14">
        <f>'[1]D-PS'!$DC$34</f>
        <v>0</v>
      </c>
      <c r="OO24" s="14">
        <f>'[1]D-PS'!$DC$35</f>
        <v>0</v>
      </c>
      <c r="OP24" s="14">
        <f>'[1]D-PS'!$DC$36</f>
        <v>0</v>
      </c>
      <c r="OQ24" s="14">
        <f>'[1]D-PS'!$DC$37</f>
        <v>0</v>
      </c>
      <c r="OR24" s="14">
        <f>'[1]D-PS'!$DC$38</f>
        <v>0</v>
      </c>
      <c r="OS24" s="14">
        <f>'[1]D-PS'!$DC$39</f>
        <v>0</v>
      </c>
      <c r="OT24" s="14">
        <f>'[1]D-PS'!$DC$40</f>
        <v>0</v>
      </c>
      <c r="OU24" s="14">
        <f>'[1]D-PS'!$DC$41</f>
        <v>0</v>
      </c>
      <c r="OV24" s="14">
        <f>'[1]D-PS'!$DC$42</f>
        <v>0</v>
      </c>
      <c r="OW24" s="14">
        <f>'[1]D-PS'!$DC$43</f>
        <v>0</v>
      </c>
      <c r="OX24" s="14">
        <f>'[1]D-PS'!$DC$44</f>
        <v>0</v>
      </c>
      <c r="OY24" s="14">
        <f>'[1]D-PS'!$DC$45</f>
        <v>0</v>
      </c>
      <c r="OZ24" s="14">
        <f>'[1]D-PS'!$DC$46</f>
        <v>0</v>
      </c>
      <c r="PA24" s="14">
        <f>'[1]D-PS'!$DC$47</f>
        <v>0</v>
      </c>
      <c r="PB24" s="14">
        <f>'[1]D-PS'!$DC$48</f>
        <v>0</v>
      </c>
      <c r="PC24" s="16">
        <f>SUM(NR24:PB24)</f>
        <v>1243994.75</v>
      </c>
    </row>
    <row r="25" spans="1:419" outlineLevel="1" x14ac:dyDescent="0.3">
      <c r="A25" s="46" t="s">
        <v>20</v>
      </c>
      <c r="B25" s="25">
        <f>'[2]CF PDP'!$CT$36</f>
        <v>424875</v>
      </c>
      <c r="C25" s="25">
        <f>'[2]CF PDP'!$CT$37</f>
        <v>376500</v>
      </c>
      <c r="D25" s="25">
        <f>'[2]CF PDP'!$CT$38</f>
        <v>156750</v>
      </c>
      <c r="E25" s="25">
        <f>'[2]CF PDP'!$CT$39</f>
        <v>74507</v>
      </c>
      <c r="F25" s="25">
        <f>'[2]CF PDP'!$CT$40</f>
        <v>173850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1206482</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1865993</v>
      </c>
      <c r="CA25" s="25">
        <f>'[2]CF PND'!$CT$37</f>
        <v>0</v>
      </c>
      <c r="CB25" s="25">
        <f>'[2]CF PND'!$CT$38</f>
        <v>0</v>
      </c>
      <c r="CC25" s="25">
        <f>'[2]CF PND'!$CT$39</f>
        <v>2805509</v>
      </c>
      <c r="CD25" s="25">
        <f>'[2]CF PND'!$CT$40</f>
        <v>2805508</v>
      </c>
      <c r="CE25" s="25">
        <f>'[2]CF PND'!$CT$41</f>
        <v>2805509</v>
      </c>
      <c r="CF25" s="25">
        <f>'[2]CF PND'!$CT$42</f>
        <v>234512</v>
      </c>
      <c r="CG25" s="25">
        <f>'[2]CF PND'!$CT$43</f>
        <v>187181</v>
      </c>
      <c r="CH25" s="25">
        <f>'[2]CF PND'!$CT$44</f>
        <v>0</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10704212</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0</v>
      </c>
      <c r="HW25" s="25">
        <f>'[2]CF PRB'!$CT$37</f>
        <v>0</v>
      </c>
      <c r="HX25" s="25">
        <f>'[2]CF PRB'!$CT$38</f>
        <v>0</v>
      </c>
      <c r="HY25" s="25">
        <f>'[2]CF PRB'!$CT$39</f>
        <v>0</v>
      </c>
      <c r="HZ25" s="25">
        <f>'[2]CF PRB'!$CT$40</f>
        <v>0</v>
      </c>
      <c r="IA25" s="25">
        <f>'[2]CF PRB'!$CT$41</f>
        <v>0</v>
      </c>
      <c r="IB25" s="25">
        <f>'[2]CF PRB'!$CT$42</f>
        <v>0</v>
      </c>
      <c r="IC25" s="25">
        <f>'[2]CF PRB'!$CT$43</f>
        <v>0</v>
      </c>
      <c r="ID25" s="25">
        <f>'[2]CF PRB'!$CT$44</f>
        <v>0</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0</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1243995</v>
      </c>
      <c r="NS25" s="25">
        <f>'[2]CF PS'!$CT$37</f>
        <v>0</v>
      </c>
      <c r="NT25" s="25">
        <f>'[2]CF PS'!$CT$38</f>
        <v>0</v>
      </c>
      <c r="NU25" s="25">
        <f>'[2]CF PS'!$CT$39</f>
        <v>0</v>
      </c>
      <c r="NV25" s="25">
        <f>'[2]CF PS'!$CT$40</f>
        <v>0</v>
      </c>
      <c r="NW25" s="25">
        <f>'[2]CF PS'!$CT$41</f>
        <v>0</v>
      </c>
      <c r="NX25" s="25">
        <f>'[2]CF PS'!$CT$42</f>
        <v>0</v>
      </c>
      <c r="NY25" s="25">
        <f>'[2]CF PS'!$CT$43</f>
        <v>0</v>
      </c>
      <c r="NZ25" s="25">
        <f>'[2]CF PS'!$CT$44</f>
        <v>0</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1243995</v>
      </c>
    </row>
    <row r="26" spans="1:419" ht="16.5" thickBot="1" x14ac:dyDescent="0.35">
      <c r="A26" s="47" t="s">
        <v>21</v>
      </c>
      <c r="B26" s="40">
        <f>IF(AND(B24&lt;&gt;0,B25&lt;&gt;0),(B24-B25)/B25,IF(AND(B24=0,B25=0),"",IF(AND(B24="",B25=""),"",IF(AND(B24=0,B25=""),"", IF(AND(B24="",B25=0),"",1)))))</f>
        <v>7.3551044424830826E-8</v>
      </c>
      <c r="C26" s="40">
        <f t="shared" ref="C26" si="786">IF(AND(C24&lt;&gt;0,C25&lt;&gt;0),(C24-C25)/C25,IF(AND(C24=0,C25=0),"",IF(AND(C24="",C25=""),"",IF(AND(C24=0,C25=""),"", IF(AND(C24="",C25=0),"",1)))))</f>
        <v>8.300132802124834E-8</v>
      </c>
      <c r="D26" s="40">
        <f t="shared" ref="D26" si="787">IF(AND(D24&lt;&gt;0,D25&lt;&gt;0),(D24-D25)/D25,IF(AND(D24=0,D25=0),"",IF(AND(D24="",D25=""),"",IF(AND(D24=0,D25=""),"", IF(AND(D24="",D25=0),"",1)))))</f>
        <v>9.9681020733652317E-8</v>
      </c>
      <c r="E26" s="40">
        <f t="shared" ref="E26" si="788">IF(AND(E24&lt;&gt;0,E25&lt;&gt;0),(E24-E25)/E25,IF(AND(E24=0,E25=0),"",IF(AND(E24="",E25=""),"",IF(AND(E24=0,E25=""),"", IF(AND(E24="",E25=0),"",1)))))</f>
        <v>9.4370327620223598E-7</v>
      </c>
      <c r="F26" s="40">
        <f t="shared" ref="F26" si="789">IF(AND(F24&lt;&gt;0,F25&lt;&gt;0),(F24-F25)/F25,IF(AND(F24=0,F25=0),"",IF(AND(F24="",F25=""),"",IF(AND(F24=0,F25=""),"", IF(AND(F24="",F25=0),"",1)))))</f>
        <v>-9.8863963186655158E-7</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-1.9426315519004843E-8</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f t="shared" ref="BZ26" si="833">IF(AND(BZ24&lt;&gt;0,BZ25&lt;&gt;0),(BZ24-BZ25)/BZ25,IF(AND(BZ24=0,BZ25=0),"",IF(AND(BZ24="",BZ25=""),"",IF(AND(BZ24=0,BZ25=""),"", IF(AND(BZ24="",BZ25=0),"",1)))))</f>
        <v>0.33333351196923033</v>
      </c>
      <c r="CA26" s="40" t="str">
        <f t="shared" ref="CA26" si="834">IF(AND(CA24&lt;&gt;0,CA25&lt;&gt;0),(CA24-CA25)/CA25,IF(AND(CA24=0,CA25=0),"",IF(AND(CA24="",CA25=""),"",IF(AND(CA24=0,CA25=""),"", IF(AND(CA24="",CA25=0),"",1)))))</f>
        <v/>
      </c>
      <c r="CB26" s="40" t="str">
        <f t="shared" ref="CB26" si="835">IF(AND(CB24&lt;&gt;0,CB25&lt;&gt;0),(CB24-CB25)/CB25,IF(AND(CB24=0,CB25=0),"",IF(AND(CB24="",CB25=""),"",IF(AND(CB24=0,CB25=""),"", IF(AND(CB24="",CB25=0),"",1)))))</f>
        <v/>
      </c>
      <c r="CC26" s="40">
        <f t="shared" ref="CC26" si="836">IF(AND(CC24&lt;&gt;0,CC25&lt;&gt;0),(CC24-CC25)/CC25,IF(AND(CC24=0,CC25=0),"",IF(AND(CC24="",CC25=""),"",IF(AND(CC24=0,CC25=""),"", IF(AND(CC24="",CC25=0),"",1)))))</f>
        <v>-8.9110389594187726E-8</v>
      </c>
      <c r="CD26" s="40">
        <f t="shared" ref="CD26" si="837">IF(AND(CD24&lt;&gt;0,CD25&lt;&gt;0),(CD24-CD25)/CD25,IF(AND(CD24=0,CD25=0),"",IF(AND(CD24="",CD25=""),"",IF(AND(CD24=0,CD25=""),"", IF(AND(CD24="",CD25=0),"",1)))))</f>
        <v>2.6733126407053554E-7</v>
      </c>
      <c r="CE26" s="40">
        <f t="shared" ref="CE26" si="838">IF(AND(CE24&lt;&gt;0,CE25&lt;&gt;0),(CE24-CE25)/CE25,IF(AND(CE24=0,CE25=0),"",IF(AND(CE24="",CE25=""),"",IF(AND(CE24=0,CE25=""),"", IF(AND(CE24="",CE25=0),"",1)))))</f>
        <v>-8.9110389594187726E-8</v>
      </c>
      <c r="CF26" s="40">
        <f t="shared" ref="CF26" si="839">IF(AND(CF24&lt;&gt;0,CF25&lt;&gt;0),(CF24-CF25)/CF25,IF(AND(CF24=0,CF25=0),"",IF(AND(CF24="",CF25=""),"",IF(AND(CF24=0,CF25=""),"", IF(AND(CF24="",CF25=0),"",1)))))</f>
        <v>10.963177790475541</v>
      </c>
      <c r="CG26" s="40">
        <f t="shared" ref="CG26" si="840">IF(AND(CG24&lt;&gt;0,CG25&lt;&gt;0),(CG24-CG25)/CG25,IF(AND(CG24=0,CG25=0),"",IF(AND(CG24="",CG25=""),"",IF(AND(CG24=0,CG25=""),"", IF(AND(CG24="",CG25=0),"",1)))))</f>
        <v>17.518259064755505</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f t="shared" ref="DK26:HU26" si="856">IF(AND(DK24&lt;&gt;0,DK25&lt;&gt;0),(DK24-DK25)/DK25,IF(AND(DK24=0,DK25=0),"",IF(AND(DK24="",DK25=""),"",IF(AND(DK24=0,DK25=""),"", IF(AND(DK24="",DK25=0),"",1)))))</f>
        <v>0.60462930386655267</v>
      </c>
      <c r="DL26" s="72" t="str">
        <f t="shared" si="856"/>
        <v/>
      </c>
      <c r="DM26" s="73" t="str">
        <f t="shared" si="856"/>
        <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t="str">
        <f t="shared" si="856"/>
        <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t="str">
        <f t="shared" ref="HV26" si="861">IF(AND(HV24&lt;&gt;0,HV25&lt;&gt;0),(HV24-HV25)/HV25,IF(AND(HV24=0,HV25=0),"",IF(AND(HV24="",HV25=""),"",IF(AND(HV24=0,HV25=""),"", IF(AND(HV24="",HV25=0),"",1)))))</f>
        <v/>
      </c>
      <c r="HW26" s="40" t="str">
        <f t="shared" ref="HW26" si="862">IF(AND(HW24&lt;&gt;0,HW25&lt;&gt;0),(HW24-HW25)/HW25,IF(AND(HW24=0,HW25=0),"",IF(AND(HW24="",HW25=""),"",IF(AND(HW24=0,HW25=""),"", IF(AND(HW24="",HW25=0),"",1)))))</f>
        <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t="str">
        <f t="shared" ref="JG26:NQ26" si="884">IF(AND(JG24&lt;&gt;0,JG25&lt;&gt;0),(JG24-JG25)/JG25,IF(AND(JG24=0,JG25=0),"",IF(AND(JG24="",JG25=""),"",IF(AND(JG24=0,JG25=""),"", IF(AND(JG24="",JG25=0),"",1)))))</f>
        <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f t="shared" ref="NR26" si="889">IF(AND(NR24&lt;&gt;0,NR25&lt;&gt;0),(NR24-NR25)/NR25,IF(AND(NR24=0,NR25=0),"",IF(AND(NR24="",NR25=""),"",IF(AND(NR24=0,NR25=""),"", IF(AND(NR24="",NR25=0),"",1)))))</f>
        <v>-2.0096543796397895E-7</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f t="shared" ref="PC26" si="912">IF(AND(PC24&lt;&gt;0,PC25&lt;&gt;0),(PC24-PC25)/PC25,IF(AND(PC24=0,PC25=0),"",IF(AND(PC24="",PC25=""),"",IF(AND(PC24=0,PC25=""),"", IF(AND(PC24="",PC25=0),"",1)))))</f>
        <v>-2.0096543796397895E-7</v>
      </c>
    </row>
    <row r="27" spans="1:419" outlineLevel="1" x14ac:dyDescent="0.3">
      <c r="A27" s="46" t="s">
        <v>22</v>
      </c>
      <c r="B27" s="14">
        <f>'[1]D-PDP'!$EA$12</f>
        <v>23772466</v>
      </c>
      <c r="C27" s="14">
        <f>'[1]D-PDP'!$EA$13</f>
        <v>14717960</v>
      </c>
      <c r="D27" s="14">
        <f>'[1]D-PDP'!$EA$14</f>
        <v>8816343</v>
      </c>
      <c r="E27" s="14">
        <f>'[1]D-PDP'!$EA$15</f>
        <v>5335829.5</v>
      </c>
      <c r="F27" s="14">
        <f>'[1]D-PDP'!$EA$16</f>
        <v>3500994</v>
      </c>
      <c r="G27" s="14">
        <f>'[1]D-PDP'!$EA$17</f>
        <v>2082455.625</v>
      </c>
      <c r="H27" s="14">
        <f>'[1]D-PDP'!$EA$18</f>
        <v>969119.3125</v>
      </c>
      <c r="I27" s="14">
        <f>'[1]D-PDP'!$EA$19</f>
        <v>389204.5</v>
      </c>
      <c r="J27" s="14">
        <f>'[1]D-PDP'!$EA$20</f>
        <v>179207.65625</v>
      </c>
      <c r="K27" s="14">
        <f>'[1]D-PDP'!$EA$21</f>
        <v>54216.9296875</v>
      </c>
      <c r="L27" s="14">
        <f>'[1]D-PDP'!$EA$22</f>
        <v>8502.2900390625</v>
      </c>
      <c r="M27" s="14">
        <f>'[1]D-PDP'!$EA$23</f>
        <v>0</v>
      </c>
      <c r="N27" s="14">
        <f>'[1]D-PDP'!$EA$24</f>
        <v>0</v>
      </c>
      <c r="O27" s="14">
        <f>'[1]D-PDP'!$EA$25</f>
        <v>0</v>
      </c>
      <c r="P27" s="14">
        <f>'[1]D-PDP'!$EA$26</f>
        <v>0</v>
      </c>
      <c r="Q27" s="14">
        <f>'[1]D-PDP'!$EA$27</f>
        <v>0</v>
      </c>
      <c r="R27" s="14">
        <f>'[1]D-PDP'!$EA$28</f>
        <v>0</v>
      </c>
      <c r="S27" s="14">
        <f>'[1]D-PDP'!$EA$29</f>
        <v>0</v>
      </c>
      <c r="T27" s="14">
        <f>'[1]D-PDP'!$EA$30</f>
        <v>0</v>
      </c>
      <c r="U27" s="14">
        <f>'[1]D-PDP'!$EA$31</f>
        <v>0</v>
      </c>
      <c r="V27" s="14">
        <f>'[1]D-PDP'!$EA$32</f>
        <v>0</v>
      </c>
      <c r="W27" s="14">
        <f>'[1]D-PDP'!$EA$33</f>
        <v>0</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59826298.813476563</v>
      </c>
      <c r="AN27" s="28">
        <f>'[1]D-PNP'!$EA$12</f>
        <v>2587500.5</v>
      </c>
      <c r="AO27" s="14">
        <f>'[1]D-PNP'!$EA$13</f>
        <v>2177741.25</v>
      </c>
      <c r="AP27" s="14">
        <f>'[1]D-PNP'!$EA$14</f>
        <v>2247723.5</v>
      </c>
      <c r="AQ27" s="14">
        <f>'[1]D-PNP'!$EA$15</f>
        <v>1603244.875</v>
      </c>
      <c r="AR27" s="14">
        <f>'[1]D-PNP'!$EA$16</f>
        <v>1154813.25</v>
      </c>
      <c r="AS27" s="14">
        <f>'[1]D-PNP'!$EA$17</f>
        <v>836672.25</v>
      </c>
      <c r="AT27" s="14">
        <f>'[1]D-PNP'!$EA$18</f>
        <v>490558.3125</v>
      </c>
      <c r="AU27" s="14">
        <f>'[1]D-PNP'!$EA$19</f>
        <v>216009.203125</v>
      </c>
      <c r="AV27" s="14">
        <f>'[1]D-PNP'!$EA$20</f>
        <v>73011.234375</v>
      </c>
      <c r="AW27" s="14">
        <f>'[1]D-PNP'!$EA$21</f>
        <v>0</v>
      </c>
      <c r="AX27" s="14">
        <f>'[1]D-PNP'!$EA$22</f>
        <v>0</v>
      </c>
      <c r="AY27" s="14">
        <f>'[1]D-PNP'!$EA$23</f>
        <v>0</v>
      </c>
      <c r="AZ27" s="14">
        <f>'[1]D-PNP'!$EA$24</f>
        <v>0</v>
      </c>
      <c r="BA27" s="14">
        <f>'[1]D-PNP'!$EA$25</f>
        <v>0</v>
      </c>
      <c r="BB27" s="14">
        <f>'[1]D-PNP'!$EA$26</f>
        <v>0</v>
      </c>
      <c r="BC27" s="14">
        <f>'[1]D-PNP'!$EA$27</f>
        <v>0</v>
      </c>
      <c r="BD27" s="14">
        <f>'[1]D-PNP'!$EA$28</f>
        <v>0</v>
      </c>
      <c r="BE27" s="14">
        <f>'[1]D-PNP'!$EA$29</f>
        <v>0</v>
      </c>
      <c r="BF27" s="14">
        <f>'[1]D-PNP'!$EA$30</f>
        <v>0</v>
      </c>
      <c r="BG27" s="14">
        <f>'[1]D-PNP'!$EA$31</f>
        <v>0</v>
      </c>
      <c r="BH27" s="14">
        <f>'[1]D-PNP'!$EA$32</f>
        <v>0</v>
      </c>
      <c r="BI27" s="14">
        <f>'[1]D-PNP'!$EA$33</f>
        <v>0</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11387274.375</v>
      </c>
      <c r="BZ27" s="28">
        <f>'[1]D-PND'!$EA$12</f>
        <v>6620220</v>
      </c>
      <c r="CA27" s="14">
        <f>'[1]D-PND'!$EA$13</f>
        <v>5812057.5</v>
      </c>
      <c r="CB27" s="14">
        <f>'[1]D-PND'!$EA$14</f>
        <v>4124175.25</v>
      </c>
      <c r="CC27" s="14">
        <f>'[1]D-PND'!$EA$15</f>
        <v>4754347</v>
      </c>
      <c r="CD27" s="14">
        <f>'[1]D-PND'!$EA$16</f>
        <v>16249320</v>
      </c>
      <c r="CE27" s="14">
        <f>'[1]D-PND'!$EA$17</f>
        <v>22731540</v>
      </c>
      <c r="CF27" s="14">
        <f>'[1]D-PND'!$EA$18</f>
        <v>24767054</v>
      </c>
      <c r="CG27" s="14">
        <f>'[1]D-PND'!$EA$19</f>
        <v>16924660</v>
      </c>
      <c r="CH27" s="14">
        <f>'[1]D-PND'!$EA$20</f>
        <v>10118844</v>
      </c>
      <c r="CI27" s="14">
        <f>'[1]D-PND'!$EA$21</f>
        <v>5260117</v>
      </c>
      <c r="CJ27" s="14">
        <f>'[1]D-PND'!$EA$22</f>
        <v>720454.375</v>
      </c>
      <c r="CK27" s="14">
        <f>'[1]D-PND'!$EA$23</f>
        <v>0</v>
      </c>
      <c r="CL27" s="14">
        <f>'[1]D-PND'!$EA$24</f>
        <v>0</v>
      </c>
      <c r="CM27" s="14">
        <f>'[1]D-PND'!$EA$25</f>
        <v>0</v>
      </c>
      <c r="CN27" s="14">
        <f>'[1]D-PND'!$EA$26</f>
        <v>0</v>
      </c>
      <c r="CO27" s="14">
        <f>'[1]D-PND'!$EA$27</f>
        <v>0</v>
      </c>
      <c r="CP27" s="14">
        <f>'[1]D-PND'!$EA$28</f>
        <v>0</v>
      </c>
      <c r="CQ27" s="14">
        <f>'[1]D-PND'!$EA$29</f>
        <v>0</v>
      </c>
      <c r="CR27" s="14">
        <f>'[1]D-PND'!$EA$30</f>
        <v>0</v>
      </c>
      <c r="CS27" s="14">
        <f>'[1]D-PND'!$EA$31</f>
        <v>0</v>
      </c>
      <c r="CT27" s="14">
        <f>'[1]D-PND'!$EA$32</f>
        <v>0</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118082789.125</v>
      </c>
      <c r="DL27" s="66"/>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8">
        <f>SUM(DL27:EV27)</f>
        <v>0</v>
      </c>
      <c r="EX27" s="66"/>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8">
        <f>SUM(EX27:GH27)</f>
        <v>0</v>
      </c>
      <c r="GJ27" s="66"/>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8">
        <f>SUM(GJ27:HT27)</f>
        <v>0</v>
      </c>
      <c r="HV27" s="28">
        <f>'[1]D-PRB'!$EA$12</f>
        <v>5387367</v>
      </c>
      <c r="HW27" s="14">
        <f>'[1]D-PRB'!$EA$13</f>
        <v>3920853.5</v>
      </c>
      <c r="HX27" s="14">
        <f>'[1]D-PRB'!$EA$14</f>
        <v>2893701.75</v>
      </c>
      <c r="HY27" s="14">
        <f>'[1]D-PRB'!$EA$15</f>
        <v>2422914</v>
      </c>
      <c r="HZ27" s="14">
        <f>'[1]D-PRB'!$EA$16</f>
        <v>1774945.75</v>
      </c>
      <c r="IA27" s="14">
        <f>'[1]D-PRB'!$EA$17</f>
        <v>1277219.25</v>
      </c>
      <c r="IB27" s="14">
        <f>'[1]D-PRB'!$EA$18</f>
        <v>822146.25</v>
      </c>
      <c r="IC27" s="14">
        <f>'[1]D-PRB'!$EA$19</f>
        <v>346898.84375</v>
      </c>
      <c r="ID27" s="14">
        <f>'[1]D-PRB'!$EA$20</f>
        <v>187269.09375</v>
      </c>
      <c r="IE27" s="14">
        <f>'[1]D-PRB'!$EA$21</f>
        <v>84956.890625</v>
      </c>
      <c r="IF27" s="14">
        <f>'[1]D-PRB'!$EA$22</f>
        <v>37715.92578125</v>
      </c>
      <c r="IG27" s="14">
        <f>'[1]D-PRB'!$EA$23</f>
        <v>0</v>
      </c>
      <c r="IH27" s="14">
        <f>'[1]D-PRB'!$EA$24</f>
        <v>0</v>
      </c>
      <c r="II27" s="14">
        <f>'[1]D-PRB'!$EA$25</f>
        <v>0</v>
      </c>
      <c r="IJ27" s="14">
        <f>'[1]D-PRB'!$EA$26</f>
        <v>0</v>
      </c>
      <c r="IK27" s="14">
        <f>'[1]D-PRB'!$EA$27</f>
        <v>0</v>
      </c>
      <c r="IL27" s="14">
        <f>'[1]D-PRB'!$EA$28</f>
        <v>0</v>
      </c>
      <c r="IM27" s="14">
        <f>'[1]D-PRB'!$EA$29</f>
        <v>0</v>
      </c>
      <c r="IN27" s="14">
        <f>'[1]D-PRB'!$EA$30</f>
        <v>0</v>
      </c>
      <c r="IO27" s="14">
        <f>'[1]D-PRB'!$EA$31</f>
        <v>0</v>
      </c>
      <c r="IP27" s="14">
        <f>'[1]D-PRB'!$EA$32</f>
        <v>0</v>
      </c>
      <c r="IQ27" s="14">
        <f>'[1]D-PRB'!$EA$33</f>
        <v>0</v>
      </c>
      <c r="IR27" s="14">
        <f>'[1]D-PRB'!$EA$34</f>
        <v>0</v>
      </c>
      <c r="IS27" s="14">
        <f>'[1]D-PRB'!$EA$35</f>
        <v>0</v>
      </c>
      <c r="IT27" s="14">
        <f>'[1]D-PRB'!$EA$36</f>
        <v>0</v>
      </c>
      <c r="IU27" s="14">
        <f>'[1]D-PRB'!$EA$37</f>
        <v>0</v>
      </c>
      <c r="IV27" s="14">
        <f>'[1]D-PRB'!$EA$38</f>
        <v>0</v>
      </c>
      <c r="IW27" s="14">
        <f>'[1]D-PRB'!$EA$39</f>
        <v>0</v>
      </c>
      <c r="IX27" s="14">
        <f>'[1]D-PRB'!$EA$40</f>
        <v>0</v>
      </c>
      <c r="IY27" s="14">
        <f>'[1]D-PRB'!$EA$41</f>
        <v>0</v>
      </c>
      <c r="IZ27" s="14">
        <f>'[1]D-PRB'!$EA$42</f>
        <v>0</v>
      </c>
      <c r="JA27" s="14">
        <f>'[1]D-PRB'!$EA$43</f>
        <v>0</v>
      </c>
      <c r="JB27" s="14">
        <f>'[1]D-PRB'!$EA$44</f>
        <v>0</v>
      </c>
      <c r="JC27" s="14">
        <f>'[1]D-PRB'!$EA$45</f>
        <v>0</v>
      </c>
      <c r="JD27" s="14">
        <f>'[1]D-PRB'!$EA$46</f>
        <v>0</v>
      </c>
      <c r="JE27" s="14">
        <f>'[1]D-PRB'!$EA$47</f>
        <v>0</v>
      </c>
      <c r="JF27" s="14">
        <f>'[1]D-PRB'!$EA$48</f>
        <v>0</v>
      </c>
      <c r="JG27" s="16">
        <f>SUM(HV27:JF27)</f>
        <v>19155988.25390625</v>
      </c>
      <c r="JH27" s="66"/>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8">
        <f>SUM(JH27:KR27)</f>
        <v>0</v>
      </c>
      <c r="KT27" s="66"/>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8">
        <f>SUM(KT27:MD27)</f>
        <v>0</v>
      </c>
      <c r="MF27" s="66"/>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8">
        <f>SUM(MF27:NP27)</f>
        <v>0</v>
      </c>
      <c r="NR27" s="14">
        <f>'[1]D-PS'!$EA$12</f>
        <v>1871555.125</v>
      </c>
      <c r="NS27" s="14">
        <f>'[1]D-PS'!$EA$13</f>
        <v>1466923.5</v>
      </c>
      <c r="NT27" s="14">
        <f>'[1]D-PS'!$EA$14</f>
        <v>1014311.0625</v>
      </c>
      <c r="NU27" s="14">
        <f>'[1]D-PS'!$EA$15</f>
        <v>697176.5</v>
      </c>
      <c r="NV27" s="14">
        <f>'[1]D-PS'!$EA$16</f>
        <v>473004.53125</v>
      </c>
      <c r="NW27" s="14">
        <f>'[1]D-PS'!$EA$17</f>
        <v>300529.90625</v>
      </c>
      <c r="NX27" s="14">
        <f>'[1]D-PS'!$EA$18</f>
        <v>0</v>
      </c>
      <c r="NY27" s="14">
        <f>'[1]D-PS'!$EA$19</f>
        <v>189001.828125</v>
      </c>
      <c r="NZ27" s="14">
        <f>'[1]D-PS'!$EA$20</f>
        <v>213937.25</v>
      </c>
      <c r="OA27" s="14">
        <f>'[1]D-PS'!$EA$21</f>
        <v>194307.375</v>
      </c>
      <c r="OB27" s="14">
        <f>'[1]D-PS'!$EA$22</f>
        <v>32413.94140625</v>
      </c>
      <c r="OC27" s="14">
        <f>'[1]D-PS'!$EA$23</f>
        <v>0</v>
      </c>
      <c r="OD27" s="14">
        <f>'[1]D-PS'!$EA$24</f>
        <v>0</v>
      </c>
      <c r="OE27" s="14">
        <f>'[1]D-PS'!$EA$25</f>
        <v>0</v>
      </c>
      <c r="OF27" s="14">
        <f>'[1]D-PS'!$EA$26</f>
        <v>0</v>
      </c>
      <c r="OG27" s="14">
        <f>'[1]D-PS'!$EA$27</f>
        <v>0</v>
      </c>
      <c r="OH27" s="14">
        <f>'[1]D-PS'!$EA$28</f>
        <v>0</v>
      </c>
      <c r="OI27" s="14">
        <f>'[1]D-PS'!$EA$29</f>
        <v>0</v>
      </c>
      <c r="OJ27" s="14">
        <f>'[1]D-PS'!$EA$30</f>
        <v>0</v>
      </c>
      <c r="OK27" s="14">
        <f>'[1]D-PS'!$EA$31</f>
        <v>0</v>
      </c>
      <c r="OL27" s="14">
        <f>'[1]D-PS'!$EA$32</f>
        <v>0</v>
      </c>
      <c r="OM27" s="14">
        <f>'[1]D-PS'!$EA$33</f>
        <v>0</v>
      </c>
      <c r="ON27" s="14">
        <f>'[1]D-PS'!$EA$34</f>
        <v>0</v>
      </c>
      <c r="OO27" s="14">
        <f>'[1]D-PS'!$EA$35</f>
        <v>0</v>
      </c>
      <c r="OP27" s="14">
        <f>'[1]D-PS'!$EA$36</f>
        <v>0</v>
      </c>
      <c r="OQ27" s="14">
        <f>'[1]D-PS'!$EA$37</f>
        <v>0</v>
      </c>
      <c r="OR27" s="14">
        <f>'[1]D-PS'!$EA$38</f>
        <v>0</v>
      </c>
      <c r="OS27" s="14">
        <f>'[1]D-PS'!$EA$39</f>
        <v>0</v>
      </c>
      <c r="OT27" s="14">
        <f>'[1]D-PS'!$EA$40</f>
        <v>0</v>
      </c>
      <c r="OU27" s="14">
        <f>'[1]D-PS'!$EA$41</f>
        <v>0</v>
      </c>
      <c r="OV27" s="14">
        <f>'[1]D-PS'!$EA$42</f>
        <v>0</v>
      </c>
      <c r="OW27" s="14">
        <f>'[1]D-PS'!$EA$43</f>
        <v>0</v>
      </c>
      <c r="OX27" s="14">
        <f>'[1]D-PS'!$EA$44</f>
        <v>0</v>
      </c>
      <c r="OY27" s="14">
        <f>'[1]D-PS'!$EA$45</f>
        <v>0</v>
      </c>
      <c r="OZ27" s="14">
        <f>'[1]D-PS'!$EA$46</f>
        <v>0</v>
      </c>
      <c r="PA27" s="14">
        <f>'[1]D-PS'!$EA$47</f>
        <v>0</v>
      </c>
      <c r="PB27" s="14">
        <f>'[1]D-PS'!$EA$48</f>
        <v>0</v>
      </c>
      <c r="PC27" s="16">
        <f>SUM(NR27:PB27)</f>
        <v>6453161.01953125</v>
      </c>
    </row>
    <row r="28" spans="1:419" outlineLevel="1" x14ac:dyDescent="0.3">
      <c r="A28" s="46" t="s">
        <v>23</v>
      </c>
      <c r="B28" s="25">
        <f>'[2]CF PDP'!$DN$36</f>
        <v>23527521</v>
      </c>
      <c r="C28" s="25">
        <f>'[2]CF PDP'!$DN$37</f>
        <v>14390435</v>
      </c>
      <c r="D28" s="25">
        <f>'[2]CF PDP'!$DN$38</f>
        <v>8412180</v>
      </c>
      <c r="E28" s="25">
        <f>'[2]CF PDP'!$DN$39</f>
        <v>4873189</v>
      </c>
      <c r="F28" s="25">
        <f>'[2]CF PDP'!$DN$40</f>
        <v>2762171</v>
      </c>
      <c r="G28" s="25">
        <f>'[2]CF PDP'!$DN$41</f>
        <v>1252822</v>
      </c>
      <c r="H28" s="25">
        <f>'[2]CF PDP'!$DN$42</f>
        <v>0</v>
      </c>
      <c r="I28" s="25">
        <f>'[2]CF PDP'!$DN$43</f>
        <v>0</v>
      </c>
      <c r="J28" s="25">
        <f>'[2]CF PDP'!$DN$44</f>
        <v>0</v>
      </c>
      <c r="K28" s="25">
        <f>'[2]CF PDP'!$DN$45</f>
        <v>0</v>
      </c>
      <c r="L28" s="25">
        <f>'[2]CF PDP'!$DN$46</f>
        <v>0</v>
      </c>
      <c r="M28" s="25">
        <f>'[2]CF PDP'!$DN$47</f>
        <v>0</v>
      </c>
      <c r="N28" s="25">
        <f>'[2]CF PDP'!$DN$48</f>
        <v>0</v>
      </c>
      <c r="O28" s="25">
        <f>'[2]CF PDP'!$DN$49</f>
        <v>0</v>
      </c>
      <c r="P28" s="25">
        <f>'[2]CF PDP'!$DN$50</f>
        <v>0</v>
      </c>
      <c r="Q28" s="25">
        <f>'[2]CF PDP'!$DN$51</f>
        <v>0</v>
      </c>
      <c r="R28" s="25">
        <f>'[2]CF PDP'!$DN$52</f>
        <v>0</v>
      </c>
      <c r="S28" s="25">
        <f>'[2]CF PDP'!$DN$53</f>
        <v>0</v>
      </c>
      <c r="T28" s="25">
        <f>'[2]CF PDP'!$DN$54</f>
        <v>0</v>
      </c>
      <c r="U28" s="25">
        <f>'[2]CF PDP'!$DN$55</f>
        <v>0</v>
      </c>
      <c r="V28" s="25">
        <f>'[2]CF PDP'!$DN$56</f>
        <v>0</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55218318</v>
      </c>
      <c r="AN28" s="27">
        <f>'[2]CF PNP'!$DN$36</f>
        <v>2657187</v>
      </c>
      <c r="AO28" s="25">
        <f>'[2]CF PNP'!$DN$37</f>
        <v>2268718</v>
      </c>
      <c r="AP28" s="25">
        <f>'[2]CF PNP'!$DN$38</f>
        <v>2373556</v>
      </c>
      <c r="AQ28" s="25">
        <f>'[2]CF PNP'!$DN$39</f>
        <v>1729158</v>
      </c>
      <c r="AR28" s="25">
        <f>'[2]CF PNP'!$DN$40</f>
        <v>1203834</v>
      </c>
      <c r="AS28" s="25">
        <f>'[2]CF PNP'!$DN$41</f>
        <v>866383</v>
      </c>
      <c r="AT28" s="25">
        <f>'[2]CF PNP'!$DN$42</f>
        <v>535555</v>
      </c>
      <c r="AU28" s="25">
        <f>'[2]CF PNP'!$DN$43</f>
        <v>0</v>
      </c>
      <c r="AV28" s="25">
        <f>'[2]CF PNP'!$DN$44</f>
        <v>0</v>
      </c>
      <c r="AW28" s="25">
        <f>'[2]CF PNP'!$DN$45</f>
        <v>0</v>
      </c>
      <c r="AX28" s="25">
        <f>'[2]CF PNP'!$DN$46</f>
        <v>0</v>
      </c>
      <c r="AY28" s="25">
        <f>'[2]CF PNP'!$DN$47</f>
        <v>0</v>
      </c>
      <c r="AZ28" s="25">
        <f>'[2]CF PNP'!$DN$48</f>
        <v>0</v>
      </c>
      <c r="BA28" s="25">
        <f>'[2]CF PNP'!$DN$49</f>
        <v>0</v>
      </c>
      <c r="BB28" s="25">
        <f>'[2]CF PNP'!$DN$50</f>
        <v>0</v>
      </c>
      <c r="BC28" s="25">
        <f>'[2]CF PNP'!$DN$51</f>
        <v>0</v>
      </c>
      <c r="BD28" s="25">
        <f>'[2]CF PNP'!$DN$52</f>
        <v>0</v>
      </c>
      <c r="BE28" s="25">
        <f>'[2]CF PNP'!$DN$53</f>
        <v>0</v>
      </c>
      <c r="BF28" s="25">
        <f>'[2]CF PNP'!$DN$54</f>
        <v>0</v>
      </c>
      <c r="BG28" s="25">
        <f>'[2]CF PNP'!$DN$55</f>
        <v>0</v>
      </c>
      <c r="BH28" s="25">
        <f>'[2]CF PNP'!$DN$56</f>
        <v>0</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11634391</v>
      </c>
      <c r="BZ28" s="27">
        <f>'[2]CF PND'!$DN$36</f>
        <v>6789206</v>
      </c>
      <c r="CA28" s="25">
        <f>'[2]CF PND'!$DN$37</f>
        <v>6034901</v>
      </c>
      <c r="CB28" s="25">
        <f>'[2]CF PND'!$DN$38</f>
        <v>4355455</v>
      </c>
      <c r="CC28" s="25">
        <f>'[2]CF PND'!$DN$39</f>
        <v>5030018</v>
      </c>
      <c r="CD28" s="25">
        <f>'[2]CF PND'!$DN$40</f>
        <v>16898247</v>
      </c>
      <c r="CE28" s="25">
        <f>'[2]CF PND'!$DN$41</f>
        <v>23518743</v>
      </c>
      <c r="CF28" s="25">
        <f>'[2]CF PND'!$DN$42</f>
        <v>25668264</v>
      </c>
      <c r="CG28" s="25">
        <f>'[2]CF PND'!$DN$43</f>
        <v>17506053</v>
      </c>
      <c r="CH28" s="25">
        <f>'[2]CF PND'!$DN$44</f>
        <v>10137096</v>
      </c>
      <c r="CI28" s="25">
        <f>'[2]CF PND'!$DN$45</f>
        <v>0</v>
      </c>
      <c r="CJ28" s="25">
        <f>'[2]CF PND'!$DN$46</f>
        <v>0</v>
      </c>
      <c r="CK28" s="25">
        <f>'[2]CF PND'!$DN$47</f>
        <v>0</v>
      </c>
      <c r="CL28" s="25">
        <f>'[2]CF PND'!$DN$48</f>
        <v>0</v>
      </c>
      <c r="CM28" s="25">
        <f>'[2]CF PND'!$DN$49</f>
        <v>0</v>
      </c>
      <c r="CN28" s="25">
        <f>'[2]CF PND'!$DN$50</f>
        <v>0</v>
      </c>
      <c r="CO28" s="25">
        <f>'[2]CF PND'!$DN$51</f>
        <v>0</v>
      </c>
      <c r="CP28" s="25">
        <f>'[2]CF PND'!$DN$52</f>
        <v>0</v>
      </c>
      <c r="CQ28" s="25">
        <f>'[2]CF PND'!$DN$53</f>
        <v>0</v>
      </c>
      <c r="CR28" s="25">
        <f>'[2]CF PND'!$DN$54</f>
        <v>0</v>
      </c>
      <c r="CS28" s="25">
        <f>'[2]CF PND'!$DN$55</f>
        <v>0</v>
      </c>
      <c r="CT28" s="25">
        <f>'[2]CF PND'!$DN$56</f>
        <v>0</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115937983</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5386712</v>
      </c>
      <c r="HW28" s="25">
        <f>'[2]CF PRB'!$DN$37</f>
        <v>3920412</v>
      </c>
      <c r="HX28" s="25">
        <f>'[2]CF PRB'!$DN$38</f>
        <v>2888371</v>
      </c>
      <c r="HY28" s="25">
        <f>'[2]CF PRB'!$DN$39</f>
        <v>2422115</v>
      </c>
      <c r="HZ28" s="25">
        <f>'[2]CF PRB'!$DN$40</f>
        <v>1774654</v>
      </c>
      <c r="IA28" s="25">
        <f>'[2]CF PRB'!$DN$41</f>
        <v>1277018</v>
      </c>
      <c r="IB28" s="25">
        <f>'[2]CF PRB'!$DN$42</f>
        <v>816744</v>
      </c>
      <c r="IC28" s="25">
        <f>'[2]CF PRB'!$DN$43</f>
        <v>344865</v>
      </c>
      <c r="ID28" s="25">
        <f>'[2]CF PRB'!$DN$44</f>
        <v>176716</v>
      </c>
      <c r="IE28" s="25">
        <f>'[2]CF PRB'!$DN$45</f>
        <v>7606520</v>
      </c>
      <c r="IF28" s="25">
        <f>'[2]CF PRB'!$DN$46</f>
        <v>0</v>
      </c>
      <c r="IG28" s="25">
        <f>'[2]CF PRB'!$DN$47</f>
        <v>0</v>
      </c>
      <c r="IH28" s="25">
        <f>'[2]CF PRB'!$DN$48</f>
        <v>0</v>
      </c>
      <c r="II28" s="25">
        <f>'[2]CF PRB'!$DN$49</f>
        <v>0</v>
      </c>
      <c r="IJ28" s="25">
        <f>'[2]CF PRB'!$DN$50</f>
        <v>0</v>
      </c>
      <c r="IK28" s="25">
        <f>'[2]CF PRB'!$DN$51</f>
        <v>0</v>
      </c>
      <c r="IL28" s="25">
        <f>'[2]CF PRB'!$DN$52</f>
        <v>0</v>
      </c>
      <c r="IM28" s="25">
        <f>'[2]CF PRB'!$DN$53</f>
        <v>0</v>
      </c>
      <c r="IN28" s="25">
        <f>'[2]CF PRB'!$DN$54</f>
        <v>0</v>
      </c>
      <c r="IO28" s="25">
        <f>'[2]CF PRB'!$DN$55</f>
        <v>0</v>
      </c>
      <c r="IP28" s="25">
        <f>'[2]CF PRB'!$DN$56</f>
        <v>0</v>
      </c>
      <c r="IQ28" s="25">
        <f>'[2]CF PRB'!$DN$57</f>
        <v>0</v>
      </c>
      <c r="IR28" s="25">
        <f>'[2]CF PRB'!$DN$58</f>
        <v>0</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26614127</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1869189</v>
      </c>
      <c r="NS28" s="25">
        <f>'[2]CF PS'!$DN$37</f>
        <v>1466702</v>
      </c>
      <c r="NT28" s="25">
        <f>'[2]CF PS'!$DN$38</f>
        <v>1014168</v>
      </c>
      <c r="NU28" s="25">
        <f>'[2]CF PS'!$DN$39</f>
        <v>697072</v>
      </c>
      <c r="NV28" s="25">
        <f>'[2]CF PS'!$DN$40</f>
        <v>473006</v>
      </c>
      <c r="NW28" s="25">
        <f>'[2]CF PS'!$DN$41</f>
        <v>299993</v>
      </c>
      <c r="NX28" s="25">
        <f>'[2]CF PS'!$DN$42</f>
        <v>0</v>
      </c>
      <c r="NY28" s="25">
        <f>'[2]CF PS'!$DN$43</f>
        <v>186369</v>
      </c>
      <c r="NZ28" s="25">
        <f>'[2]CF PS'!$DN$44</f>
        <v>209370</v>
      </c>
      <c r="OA28" s="25">
        <f>'[2]CF PS'!$DN$45</f>
        <v>194292</v>
      </c>
      <c r="OB28" s="25">
        <f>'[2]CF PS'!$DN$46</f>
        <v>0</v>
      </c>
      <c r="OC28" s="25">
        <f>'[2]CF PS'!$DN$47</f>
        <v>0</v>
      </c>
      <c r="OD28" s="25">
        <f>'[2]CF PS'!$DN$48</f>
        <v>0</v>
      </c>
      <c r="OE28" s="25">
        <f>'[2]CF PS'!$DN$49</f>
        <v>0</v>
      </c>
      <c r="OF28" s="25">
        <f>'[2]CF PS'!$DN$50</f>
        <v>0</v>
      </c>
      <c r="OG28" s="25">
        <f>'[2]CF PS'!$DN$51</f>
        <v>0</v>
      </c>
      <c r="OH28" s="25">
        <f>'[2]CF PS'!$DN$52</f>
        <v>0</v>
      </c>
      <c r="OI28" s="25">
        <f>'[2]CF PS'!$DN$53</f>
        <v>0</v>
      </c>
      <c r="OJ28" s="25">
        <f>'[2]CF PS'!$DN$54</f>
        <v>0</v>
      </c>
      <c r="OK28" s="25">
        <f>'[2]CF PS'!$DN$55</f>
        <v>0</v>
      </c>
      <c r="OL28" s="25">
        <f>'[2]CF PS'!$DN$56</f>
        <v>0</v>
      </c>
      <c r="OM28" s="25">
        <f>'[2]CF PS'!$DN$57</f>
        <v>0</v>
      </c>
      <c r="ON28" s="25">
        <f>'[2]CF PS'!$DN$58</f>
        <v>0</v>
      </c>
      <c r="OO28" s="25">
        <f>'[2]CF PS'!$DN$59</f>
        <v>0</v>
      </c>
      <c r="OP28" s="25">
        <f>'[2]CF PS'!$DN$60</f>
        <v>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6410161</v>
      </c>
    </row>
    <row r="29" spans="1:419" ht="16.5" thickBot="1" x14ac:dyDescent="0.35">
      <c r="A29" s="47" t="s">
        <v>24</v>
      </c>
      <c r="B29" s="40">
        <f>IF(AND(B27&lt;&gt;0,B28&lt;&gt;0),(B27-B28)/B28,IF(AND(B27=0,B28=0),"",IF(AND(B27="",B28=""),"",IF(AND(B27=0,B28=""),"", IF(AND(B27="",B28=0),"",1)))))</f>
        <v>1.0410999101860328E-2</v>
      </c>
      <c r="C29" s="40">
        <f t="shared" ref="C29" si="913">IF(AND(C27&lt;&gt;0,C28&lt;&gt;0),(C27-C28)/C28,IF(AND(C27=0,C28=0),"",IF(AND(C27="",C28=""),"",IF(AND(C27=0,C28=""),"", IF(AND(C27="",C28=0),"",1)))))</f>
        <v>2.2759909620522243E-2</v>
      </c>
      <c r="D29" s="40">
        <f t="shared" ref="D29" si="914">IF(AND(D27&lt;&gt;0,D28&lt;&gt;0),(D27-D28)/D28,IF(AND(D27=0,D28=0),"",IF(AND(D27="",D28=""),"",IF(AND(D27=0,D28=""),"", IF(AND(D27="",D28=0),"",1)))))</f>
        <v>4.8044977639565487E-2</v>
      </c>
      <c r="E29" s="40">
        <f t="shared" ref="E29" si="915">IF(AND(E27&lt;&gt;0,E28&lt;&gt;0),(E27-E28)/E28,IF(AND(E27=0,E28=0),"",IF(AND(E27="",E28=""),"",IF(AND(E27=0,E28=""),"", IF(AND(E27="",E28=0),"",1)))))</f>
        <v>9.4935882847966696E-2</v>
      </c>
      <c r="F29" s="40">
        <f t="shared" ref="F29" si="916">IF(AND(F27&lt;&gt;0,F28&lt;&gt;0),(F27-F28)/F28,IF(AND(F27=0,F28=0),"",IF(AND(F27="",F28=""),"",IF(AND(F27=0,F28=""),"", IF(AND(F27="",F28=0),"",1)))))</f>
        <v>0.26747909524790464</v>
      </c>
      <c r="G29" s="40">
        <f t="shared" ref="G29" si="917">IF(AND(G27&lt;&gt;0,G28&lt;&gt;0),(G27-G28)/G28,IF(AND(G27=0,G28=0),"",IF(AND(G27="",G28=""),"",IF(AND(G27=0,G28=""),"", IF(AND(G27="",G28=0),"",1)))))</f>
        <v>0.66221189043615136</v>
      </c>
      <c r="H29" s="40">
        <f t="shared" ref="H29" si="918">IF(AND(H27&lt;&gt;0,H28&lt;&gt;0),(H27-H28)/H28,IF(AND(H27=0,H28=0),"",IF(AND(H27="",H28=""),"",IF(AND(H27=0,H28=""),"", IF(AND(H27="",H28=0),"",1)))))</f>
        <v>1</v>
      </c>
      <c r="I29" s="40">
        <f t="shared" ref="I29" si="919">IF(AND(I27&lt;&gt;0,I28&lt;&gt;0),(I27-I28)/I28,IF(AND(I27=0,I28=0),"",IF(AND(I27="",I28=""),"",IF(AND(I27=0,I28=""),"", IF(AND(I27="",I28=0),"",1)))))</f>
        <v>1</v>
      </c>
      <c r="J29" s="40">
        <f t="shared" ref="J29" si="920">IF(AND(J27&lt;&gt;0,J28&lt;&gt;0),(J27-J28)/J28,IF(AND(J27=0,J28=0),"",IF(AND(J27="",J28=""),"",IF(AND(J27=0,J28=""),"", IF(AND(J27="",J28=0),"",1)))))</f>
        <v>1</v>
      </c>
      <c r="K29" s="40">
        <f t="shared" ref="K29" si="921">IF(AND(K27&lt;&gt;0,K28&lt;&gt;0),(K27-K28)/K28,IF(AND(K27=0,K28=0),"",IF(AND(K27="",K28=""),"",IF(AND(K27=0,K28=""),"", IF(AND(K27="",K28=0),"",1)))))</f>
        <v>1</v>
      </c>
      <c r="L29" s="40">
        <f t="shared" ref="L29" si="922">IF(AND(L27&lt;&gt;0,L28&lt;&gt;0),(L27-L28)/L28,IF(AND(L27=0,L28=0),"",IF(AND(L27="",L28=""),"",IF(AND(L27=0,L28=""),"", IF(AND(L27="",L28=0),"",1)))))</f>
        <v>1</v>
      </c>
      <c r="M29" s="40" t="str">
        <f t="shared" ref="M29" si="923">IF(AND(M27&lt;&gt;0,M28&lt;&gt;0),(M27-M28)/M28,IF(AND(M27=0,M28=0),"",IF(AND(M27="",M28=""),"",IF(AND(M27=0,M28=""),"", IF(AND(M27="",M28=0),"",1)))))</f>
        <v/>
      </c>
      <c r="N29" s="40" t="str">
        <f t="shared" ref="N29" si="924">IF(AND(N27&lt;&gt;0,N28&lt;&gt;0),(N27-N28)/N28,IF(AND(N27=0,N28=0),"",IF(AND(N27="",N28=""),"",IF(AND(N27=0,N28=""),"", IF(AND(N27="",N28=0),"",1)))))</f>
        <v/>
      </c>
      <c r="O29" s="40" t="str">
        <f t="shared" ref="O29" si="925">IF(AND(O27&lt;&gt;0,O28&lt;&gt;0),(O27-O28)/O28,IF(AND(O27=0,O28=0),"",IF(AND(O27="",O28=""),"",IF(AND(O27=0,O28=""),"", IF(AND(O27="",O28=0),"",1)))))</f>
        <v/>
      </c>
      <c r="P29" s="40" t="str">
        <f t="shared" ref="P29" si="926">IF(AND(P27&lt;&gt;0,P28&lt;&gt;0),(P27-P28)/P28,IF(AND(P27=0,P28=0),"",IF(AND(P27="",P28=""),"",IF(AND(P27=0,P28=""),"", IF(AND(P27="",P28=0),"",1)))))</f>
        <v/>
      </c>
      <c r="Q29" s="40" t="str">
        <f t="shared" ref="Q29" si="927">IF(AND(Q27&lt;&gt;0,Q28&lt;&gt;0),(Q27-Q28)/Q28,IF(AND(Q27=0,Q28=0),"",IF(AND(Q27="",Q28=""),"",IF(AND(Q27=0,Q28=""),"", IF(AND(Q27="",Q28=0),"",1)))))</f>
        <v/>
      </c>
      <c r="R29" s="40" t="str">
        <f t="shared" ref="R29" si="928">IF(AND(R27&lt;&gt;0,R28&lt;&gt;0),(R27-R28)/R28,IF(AND(R27=0,R28=0),"",IF(AND(R27="",R28=""),"",IF(AND(R27=0,R28=""),"", IF(AND(R27="",R28=0),"",1)))))</f>
        <v/>
      </c>
      <c r="S29" s="40" t="str">
        <f t="shared" ref="S29" si="929">IF(AND(S27&lt;&gt;0,S28&lt;&gt;0),(S27-S28)/S28,IF(AND(S27=0,S28=0),"",IF(AND(S27="",S28=""),"",IF(AND(S27=0,S28=""),"", IF(AND(S27="",S28=0),"",1)))))</f>
        <v/>
      </c>
      <c r="T29" s="40" t="str">
        <f t="shared" ref="T29" si="930">IF(AND(T27&lt;&gt;0,T28&lt;&gt;0),(T27-T28)/T28,IF(AND(T27=0,T28=0),"",IF(AND(T27="",T28=""),"",IF(AND(T27=0,T28=""),"", IF(AND(T27="",T28=0),"",1)))))</f>
        <v/>
      </c>
      <c r="U29" s="40" t="str">
        <f t="shared" ref="U29" si="931">IF(AND(U27&lt;&gt;0,U28&lt;&gt;0),(U27-U28)/U28,IF(AND(U27=0,U28=0),"",IF(AND(U27="",U28=""),"",IF(AND(U27=0,U28=""),"", IF(AND(U27="",U28=0),"",1)))))</f>
        <v/>
      </c>
      <c r="V29" s="40" t="str">
        <f t="shared" ref="V29" si="932">IF(AND(V27&lt;&gt;0,V28&lt;&gt;0),(V27-V28)/V28,IF(AND(V27=0,V28=0),"",IF(AND(V27="",V28=""),"",IF(AND(V27=0,V28=""),"", IF(AND(V27="",V28=0),"",1)))))</f>
        <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8.3450220513355058E-2</v>
      </c>
      <c r="AN29" s="39">
        <f t="shared" ref="AN29" si="936">IF(AND(AN27&lt;&gt;0,AN28&lt;&gt;0),(AN27-AN28)/AN28,IF(AND(AN27=0,AN28=0),"",IF(AND(AN27="",AN28=""),"",IF(AND(AN27=0,AN28=""),"", IF(AND(AN27="",AN28=0),"",1)))))</f>
        <v>-2.6225666466078601E-2</v>
      </c>
      <c r="AO29" s="40">
        <f t="shared" ref="AO29" si="937">IF(AND(AO27&lt;&gt;0,AO28&lt;&gt;0),(AO27-AO28)/AO28,IF(AND(AO27=0,AO28=0),"",IF(AND(AO27="",AO28=""),"",IF(AND(AO27=0,AO28=""),"", IF(AND(AO27="",AO28=0),"",1)))))</f>
        <v>-4.010051050857797E-2</v>
      </c>
      <c r="AP29" s="40">
        <f t="shared" ref="AP29" si="938">IF(AND(AP27&lt;&gt;0,AP28&lt;&gt;0),(AP27-AP28)/AP28,IF(AND(AP27=0,AP28=0),"",IF(AND(AP27="",AP28=""),"",IF(AND(AP27=0,AP28=""),"", IF(AND(AP27="",AP28=0),"",1)))))</f>
        <v>-5.3014337980650132E-2</v>
      </c>
      <c r="AQ29" s="40">
        <f t="shared" ref="AQ29" si="939">IF(AND(AQ27&lt;&gt;0,AQ28&lt;&gt;0),(AQ27-AQ28)/AQ28,IF(AND(AQ27=0,AQ28=0),"",IF(AND(AQ27="",AQ28=""),"",IF(AND(AQ27=0,AQ28=""),"", IF(AND(AQ27="",AQ28=0),"",1)))))</f>
        <v>-7.2817593880952464E-2</v>
      </c>
      <c r="AR29" s="40">
        <f t="shared" ref="AR29" si="940">IF(AND(AR27&lt;&gt;0,AR28&lt;&gt;0),(AR27-AR28)/AR28,IF(AND(AR27=0,AR28=0),"",IF(AND(AR27="",AR28=""),"",IF(AND(AR27=0,AR28=""),"", IF(AND(AR27="",AR28=0),"",1)))))</f>
        <v>-4.0720522929241075E-2</v>
      </c>
      <c r="AS29" s="40">
        <f t="shared" ref="AS29" si="941">IF(AND(AS27&lt;&gt;0,AS28&lt;&gt;0),(AS27-AS28)/AS28,IF(AND(AS27=0,AS28=0),"",IF(AND(AS27="",AS28=""),"",IF(AND(AS27=0,AS28=""),"", IF(AND(AS27="",AS28=0),"",1)))))</f>
        <v>-3.4292858931904251E-2</v>
      </c>
      <c r="AT29" s="40">
        <f t="shared" ref="AT29" si="942">IF(AND(AT27&lt;&gt;0,AT28&lt;&gt;0),(AT27-AT28)/AT28,IF(AND(AT27=0,AT28=0),"",IF(AND(AT27="",AT28=""),"",IF(AND(AT27=0,AT28=""),"", IF(AND(AT27="",AT28=0),"",1)))))</f>
        <v>-8.4018798256014784E-2</v>
      </c>
      <c r="AU29" s="40">
        <f t="shared" ref="AU29" si="943">IF(AND(AU27&lt;&gt;0,AU28&lt;&gt;0),(AU27-AU28)/AU28,IF(AND(AU27=0,AU28=0),"",IF(AND(AU27="",AU28=""),"",IF(AND(AU27=0,AU28=""),"", IF(AND(AU27="",AU28=0),"",1)))))</f>
        <v>1</v>
      </c>
      <c r="AV29" s="40">
        <f t="shared" ref="AV29" si="944">IF(AND(AV27&lt;&gt;0,AV28&lt;&gt;0),(AV27-AV28)/AV28,IF(AND(AV27=0,AV28=0),"",IF(AND(AV27="",AV28=""),"",IF(AND(AV27=0,AV28=""),"", IF(AND(AV27="",AV28=0),"",1)))))</f>
        <v>1</v>
      </c>
      <c r="AW29" s="40" t="str">
        <f t="shared" ref="AW29" si="945">IF(AND(AW27&lt;&gt;0,AW28&lt;&gt;0),(AW27-AW28)/AW28,IF(AND(AW27=0,AW28=0),"",IF(AND(AW27="",AW28=""),"",IF(AND(AW27=0,AW28=""),"", IF(AND(AW27="",AW28=0),"",1)))))</f>
        <v/>
      </c>
      <c r="AX29" s="40" t="str">
        <f t="shared" ref="AX29" si="946">IF(AND(AX27&lt;&gt;0,AX28&lt;&gt;0),(AX27-AX28)/AX28,IF(AND(AX27=0,AX28=0),"",IF(AND(AX27="",AX28=""),"",IF(AND(AX27=0,AX28=""),"", IF(AND(AX27="",AX28=0),"",1)))))</f>
        <v/>
      </c>
      <c r="AY29" s="40" t="str">
        <f t="shared" ref="AY29" si="947">IF(AND(AY27&lt;&gt;0,AY28&lt;&gt;0),(AY27-AY28)/AY28,IF(AND(AY27=0,AY28=0),"",IF(AND(AY27="",AY28=""),"",IF(AND(AY27=0,AY28=""),"", IF(AND(AY27="",AY28=0),"",1)))))</f>
        <v/>
      </c>
      <c r="AZ29" s="40" t="str">
        <f t="shared" ref="AZ29" si="948">IF(AND(AZ27&lt;&gt;0,AZ28&lt;&gt;0),(AZ27-AZ28)/AZ28,IF(AND(AZ27=0,AZ28=0),"",IF(AND(AZ27="",AZ28=""),"",IF(AND(AZ27=0,AZ28=""),"", IF(AND(AZ27="",AZ28=0),"",1)))))</f>
        <v/>
      </c>
      <c r="BA29" s="40" t="str">
        <f t="shared" ref="BA29" si="949">IF(AND(BA27&lt;&gt;0,BA28&lt;&gt;0),(BA27-BA28)/BA28,IF(AND(BA27=0,BA28=0),"",IF(AND(BA27="",BA28=""),"",IF(AND(BA27=0,BA28=""),"", IF(AND(BA27="",BA28=0),"",1)))))</f>
        <v/>
      </c>
      <c r="BB29" s="40" t="str">
        <f t="shared" ref="BB29" si="950">IF(AND(BB27&lt;&gt;0,BB28&lt;&gt;0),(BB27-BB28)/BB28,IF(AND(BB27=0,BB28=0),"",IF(AND(BB27="",BB28=""),"",IF(AND(BB27=0,BB28=""),"", IF(AND(BB27="",BB28=0),"",1)))))</f>
        <v/>
      </c>
      <c r="BC29" s="40" t="str">
        <f t="shared" ref="BC29" si="951">IF(AND(BC27&lt;&gt;0,BC28&lt;&gt;0),(BC27-BC28)/BC28,IF(AND(BC27=0,BC28=0),"",IF(AND(BC27="",BC28=""),"",IF(AND(BC27=0,BC28=""),"", IF(AND(BC27="",BC28=0),"",1)))))</f>
        <v/>
      </c>
      <c r="BD29" s="40" t="str">
        <f t="shared" ref="BD29" si="952">IF(AND(BD27&lt;&gt;0,BD28&lt;&gt;0),(BD27-BD28)/BD28,IF(AND(BD27=0,BD28=0),"",IF(AND(BD27="",BD28=""),"",IF(AND(BD27=0,BD28=""),"", IF(AND(BD27="",BD28=0),"",1)))))</f>
        <v/>
      </c>
      <c r="BE29" s="40" t="str">
        <f t="shared" ref="BE29" si="953">IF(AND(BE27&lt;&gt;0,BE28&lt;&gt;0),(BE27-BE28)/BE28,IF(AND(BE27=0,BE28=0),"",IF(AND(BE27="",BE28=""),"",IF(AND(BE27=0,BE28=""),"", IF(AND(BE27="",BE28=0),"",1)))))</f>
        <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-2.1240185670225453E-2</v>
      </c>
      <c r="BZ29" s="39">
        <f t="shared" ref="BZ29" si="960">IF(AND(BZ27&lt;&gt;0,BZ28&lt;&gt;0),(BZ27-BZ28)/BZ28,IF(AND(BZ27=0,BZ28=0),"",IF(AND(BZ27="",BZ28=""),"",IF(AND(BZ27=0,BZ28=""),"", IF(AND(BZ27="",BZ28=0),"",1)))))</f>
        <v>-2.4890392190191311E-2</v>
      </c>
      <c r="CA29" s="40">
        <f t="shared" ref="CA29" si="961">IF(AND(CA27&lt;&gt;0,CA28&lt;&gt;0),(CA27-CA28)/CA28,IF(AND(CA27=0,CA28=0),"",IF(AND(CA27="",CA28=""),"",IF(AND(CA27=0,CA28=""),"", IF(AND(CA27="",CA28=0),"",1)))))</f>
        <v>-3.6925792154668319E-2</v>
      </c>
      <c r="CB29" s="40">
        <f t="shared" ref="CB29" si="962">IF(AND(CB27&lt;&gt;0,CB28&lt;&gt;0),(CB27-CB28)/CB28,IF(AND(CB27=0,CB28=0),"",IF(AND(CB27="",CB28=""),"",IF(AND(CB27=0,CB28=""),"", IF(AND(CB27="",CB28=0),"",1)))))</f>
        <v>-5.3101168534630712E-2</v>
      </c>
      <c r="CC29" s="40">
        <f t="shared" ref="CC29" si="963">IF(AND(CC27&lt;&gt;0,CC28&lt;&gt;0),(CC27-CC28)/CC28,IF(AND(CC27=0,CC28=0),"",IF(AND(CC27="",CC28=""),"",IF(AND(CC27=0,CC28=""),"", IF(AND(CC27="",CC28=0),"",1)))))</f>
        <v>-5.4805171671353861E-2</v>
      </c>
      <c r="CD29" s="40">
        <f t="shared" ref="CD29" si="964">IF(AND(CD27&lt;&gt;0,CD28&lt;&gt;0),(CD27-CD28)/CD28,IF(AND(CD27=0,CD28=0),"",IF(AND(CD27="",CD28=""),"",IF(AND(CD27=0,CD28=""),"", IF(AND(CD27="",CD28=0),"",1)))))</f>
        <v>-3.8402030695846738E-2</v>
      </c>
      <c r="CE29" s="40">
        <f t="shared" ref="CE29" si="965">IF(AND(CE27&lt;&gt;0,CE28&lt;&gt;0),(CE27-CE28)/CE28,IF(AND(CE27=0,CE28=0),"",IF(AND(CE27="",CE28=""),"",IF(AND(CE27=0,CE28=""),"", IF(AND(CE27="",CE28=0),"",1)))))</f>
        <v>-3.3471304142402507E-2</v>
      </c>
      <c r="CF29" s="40">
        <f t="shared" ref="CF29" si="966">IF(AND(CF27&lt;&gt;0,CF28&lt;&gt;0),(CF27-CF28)/CF28,IF(AND(CF27=0,CF28=0),"",IF(AND(CF27="",CF28=""),"",IF(AND(CF27=0,CF28=""),"", IF(AND(CF27="",CF28=0),"",1)))))</f>
        <v>-3.5109892901210617E-2</v>
      </c>
      <c r="CG29" s="40">
        <f t="shared" ref="CG29" si="967">IF(AND(CG27&lt;&gt;0,CG28&lt;&gt;0),(CG27-CG28)/CG28,IF(AND(CG27=0,CG28=0),"",IF(AND(CG27="",CG28=""),"",IF(AND(CG27=0,CG28=""),"", IF(AND(CG27="",CG28=0),"",1)))))</f>
        <v>-3.3210969942796355E-2</v>
      </c>
      <c r="CH29" s="40">
        <f t="shared" ref="CH29" si="968">IF(AND(CH27&lt;&gt;0,CH28&lt;&gt;0),(CH27-CH28)/CH28,IF(AND(CH27=0,CH28=0),"",IF(AND(CH27="",CH28=""),"",IF(AND(CH27=0,CH28=""),"", IF(AND(CH27="",CH28=0),"",1)))))</f>
        <v>-1.8005156506360402E-3</v>
      </c>
      <c r="CI29" s="40">
        <f t="shared" ref="CI29" si="969">IF(AND(CI27&lt;&gt;0,CI28&lt;&gt;0),(CI27-CI28)/CI28,IF(AND(CI27=0,CI28=0),"",IF(AND(CI27="",CI28=""),"",IF(AND(CI27=0,CI28=""),"", IF(AND(CI27="",CI28=0),"",1)))))</f>
        <v>1</v>
      </c>
      <c r="CJ29" s="40">
        <f t="shared" ref="CJ29" si="970">IF(AND(CJ27&lt;&gt;0,CJ28&lt;&gt;0),(CJ27-CJ28)/CJ28,IF(AND(CJ27=0,CJ28=0),"",IF(AND(CJ27="",CJ28=""),"",IF(AND(CJ27=0,CJ28=""),"", IF(AND(CJ27="",CJ28=0),"",1)))))</f>
        <v>1</v>
      </c>
      <c r="CK29" s="40" t="str">
        <f t="shared" ref="CK29" si="971">IF(AND(CK27&lt;&gt;0,CK28&lt;&gt;0),(CK27-CK28)/CK28,IF(AND(CK27=0,CK28=0),"",IF(AND(CK27="",CK28=""),"",IF(AND(CK27=0,CK28=""),"", IF(AND(CK27="",CK28=0),"",1)))))</f>
        <v/>
      </c>
      <c r="CL29" s="40" t="str">
        <f t="shared" ref="CL29" si="972">IF(AND(CL27&lt;&gt;0,CL28&lt;&gt;0),(CL27-CL28)/CL28,IF(AND(CL27=0,CL28=0),"",IF(AND(CL27="",CL28=""),"",IF(AND(CL27=0,CL28=""),"", IF(AND(CL27="",CL28=0),"",1)))))</f>
        <v/>
      </c>
      <c r="CM29" s="40" t="str">
        <f t="shared" ref="CM29" si="973">IF(AND(CM27&lt;&gt;0,CM28&lt;&gt;0),(CM27-CM28)/CM28,IF(AND(CM27=0,CM28=0),"",IF(AND(CM27="",CM28=""),"",IF(AND(CM27=0,CM28=""),"", IF(AND(CM27="",CM28=0),"",1)))))</f>
        <v/>
      </c>
      <c r="CN29" s="40" t="str">
        <f t="shared" ref="CN29" si="974">IF(AND(CN27&lt;&gt;0,CN28&lt;&gt;0),(CN27-CN28)/CN28,IF(AND(CN27=0,CN28=0),"",IF(AND(CN27="",CN28=""),"",IF(AND(CN27=0,CN28=""),"", IF(AND(CN27="",CN28=0),"",1)))))</f>
        <v/>
      </c>
      <c r="CO29" s="40" t="str">
        <f t="shared" ref="CO29" si="975">IF(AND(CO27&lt;&gt;0,CO28&lt;&gt;0),(CO27-CO28)/CO28,IF(AND(CO27=0,CO28=0),"",IF(AND(CO27="",CO28=""),"",IF(AND(CO27=0,CO28=""),"", IF(AND(CO27="",CO28=0),"",1)))))</f>
        <v/>
      </c>
      <c r="CP29" s="40" t="str">
        <f t="shared" ref="CP29" si="976">IF(AND(CP27&lt;&gt;0,CP28&lt;&gt;0),(CP27-CP28)/CP28,IF(AND(CP27=0,CP28=0),"",IF(AND(CP27="",CP28=""),"",IF(AND(CP27=0,CP28=""),"", IF(AND(CP27="",CP28=0),"",1)))))</f>
        <v/>
      </c>
      <c r="CQ29" s="40" t="str">
        <f t="shared" ref="CQ29" si="977">IF(AND(CQ27&lt;&gt;0,CQ28&lt;&gt;0),(CQ27-CQ28)/CQ28,IF(AND(CQ27=0,CQ28=0),"",IF(AND(CQ27="",CQ28=""),"",IF(AND(CQ27=0,CQ28=""),"", IF(AND(CQ27="",CQ28=0),"",1)))))</f>
        <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f t="shared" ref="DK29:HU29" si="983">IF(AND(DK27&lt;&gt;0,DK28&lt;&gt;0),(DK27-DK28)/DK28,IF(AND(DK27=0,DK28=0),"",IF(AND(DK27="",DK28=""),"",IF(AND(DK27=0,DK28=""),"", IF(AND(DK27="",DK28=0),"",1)))))</f>
        <v>1.8499598401673072E-2</v>
      </c>
      <c r="DL29" s="72" t="str">
        <f t="shared" si="983"/>
        <v/>
      </c>
      <c r="DM29" s="73" t="str">
        <f t="shared" si="983"/>
        <v/>
      </c>
      <c r="DN29" s="73" t="str">
        <f t="shared" si="983"/>
        <v/>
      </c>
      <c r="DO29" s="73" t="str">
        <f t="shared" si="983"/>
        <v/>
      </c>
      <c r="DP29" s="73" t="str">
        <f t="shared" si="983"/>
        <v/>
      </c>
      <c r="DQ29" s="73" t="str">
        <f t="shared" si="983"/>
        <v/>
      </c>
      <c r="DR29" s="73" t="str">
        <f t="shared" si="983"/>
        <v/>
      </c>
      <c r="DS29" s="73" t="str">
        <f t="shared" si="983"/>
        <v/>
      </c>
      <c r="DT29" s="73" t="str">
        <f t="shared" si="983"/>
        <v/>
      </c>
      <c r="DU29" s="73" t="str">
        <f t="shared" si="983"/>
        <v/>
      </c>
      <c r="DV29" s="73" t="str">
        <f t="shared" si="983"/>
        <v/>
      </c>
      <c r="DW29" s="73" t="str">
        <f t="shared" si="983"/>
        <v/>
      </c>
      <c r="DX29" s="73" t="str">
        <f t="shared" si="983"/>
        <v/>
      </c>
      <c r="DY29" s="73" t="str">
        <f t="shared" si="983"/>
        <v/>
      </c>
      <c r="DZ29" s="73" t="str">
        <f t="shared" si="983"/>
        <v/>
      </c>
      <c r="EA29" s="73" t="str">
        <f t="shared" si="983"/>
        <v/>
      </c>
      <c r="EB29" s="73" t="str">
        <f t="shared" si="983"/>
        <v/>
      </c>
      <c r="EC29" s="73" t="str">
        <f t="shared" si="983"/>
        <v/>
      </c>
      <c r="ED29" s="73" t="str">
        <f t="shared" si="983"/>
        <v/>
      </c>
      <c r="EE29" s="73" t="str">
        <f t="shared" si="983"/>
        <v/>
      </c>
      <c r="EF29" s="73" t="str">
        <f t="shared" si="983"/>
        <v/>
      </c>
      <c r="EG29" s="73" t="str">
        <f t="shared" si="983"/>
        <v/>
      </c>
      <c r="EH29" s="73" t="str">
        <f t="shared" si="983"/>
        <v/>
      </c>
      <c r="EI29" s="73" t="str">
        <f t="shared" ref="EI29:EV29" si="984">IF(AND(EI27&lt;&gt;0,EI28&lt;&gt;0),(EI27-EI28)/EI28,IF(AND(EI27=0,EI28=0),"",IF(AND(EI27="",EI28=""),"",IF(AND(EI27=0,EI28=""),"", IF(AND(EI27="",EI28=0),"",1)))))</f>
        <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t="str">
        <f t="shared" si="983"/>
        <v/>
      </c>
      <c r="EX29" s="72" t="str">
        <f t="shared" ref="EX29:GI29" si="985">IF(AND(EX27&lt;&gt;0,EX28&lt;&gt;0),(EX27-EX28)/EX28,IF(AND(EX27=0,EX28=0),"",IF(AND(EX27="",EX28=""),"",IF(AND(EX27=0,EX28=""),"", IF(AND(EX27="",EX28=0),"",1)))))</f>
        <v/>
      </c>
      <c r="EY29" s="73" t="str">
        <f t="shared" si="985"/>
        <v/>
      </c>
      <c r="EZ29" s="73" t="str">
        <f t="shared" si="985"/>
        <v/>
      </c>
      <c r="FA29" s="73" t="str">
        <f t="shared" si="985"/>
        <v/>
      </c>
      <c r="FB29" s="73" t="str">
        <f t="shared" si="985"/>
        <v/>
      </c>
      <c r="FC29" s="73" t="str">
        <f t="shared" si="985"/>
        <v/>
      </c>
      <c r="FD29" s="73" t="str">
        <f t="shared" si="985"/>
        <v/>
      </c>
      <c r="FE29" s="73" t="str">
        <f t="shared" si="985"/>
        <v/>
      </c>
      <c r="FF29" s="73" t="str">
        <f t="shared" si="985"/>
        <v/>
      </c>
      <c r="FG29" s="73" t="str">
        <f t="shared" si="985"/>
        <v/>
      </c>
      <c r="FH29" s="73" t="str">
        <f t="shared" si="985"/>
        <v/>
      </c>
      <c r="FI29" s="73" t="str">
        <f t="shared" si="985"/>
        <v/>
      </c>
      <c r="FJ29" s="73" t="str">
        <f t="shared" si="985"/>
        <v/>
      </c>
      <c r="FK29" s="73" t="str">
        <f t="shared" si="985"/>
        <v/>
      </c>
      <c r="FL29" s="73" t="str">
        <f t="shared" si="985"/>
        <v/>
      </c>
      <c r="FM29" s="73" t="str">
        <f t="shared" si="985"/>
        <v/>
      </c>
      <c r="FN29" s="73" t="str">
        <f t="shared" si="985"/>
        <v/>
      </c>
      <c r="FO29" s="73" t="str">
        <f t="shared" si="985"/>
        <v/>
      </c>
      <c r="FP29" s="73" t="str">
        <f t="shared" si="985"/>
        <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t="str">
        <f t="shared" si="985"/>
        <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f t="shared" ref="HV29" si="988">IF(AND(HV27&lt;&gt;0,HV28&lt;&gt;0),(HV27-HV28)/HV28,IF(AND(HV27=0,HV28=0),"",IF(AND(HV27="",HV28=""),"",IF(AND(HV27=0,HV28=""),"", IF(AND(HV27="",HV28=0),"",1)))))</f>
        <v>1.2159551132490469E-4</v>
      </c>
      <c r="HW29" s="40">
        <f t="shared" ref="HW29" si="989">IF(AND(HW27&lt;&gt;0,HW28&lt;&gt;0),(HW27-HW28)/HW28,IF(AND(HW27=0,HW28=0),"",IF(AND(HW27="",HW28=""),"",IF(AND(HW27=0,HW28=""),"", IF(AND(HW27="",HW28=0),"",1)))))</f>
        <v>1.126157148789464E-4</v>
      </c>
      <c r="HX29" s="40">
        <f t="shared" ref="HX29" si="990">IF(AND(HX27&lt;&gt;0,HX28&lt;&gt;0),(HX27-HX28)/HX28,IF(AND(HX27=0,HX28=0),"",IF(AND(HX27="",HX28=""),"",IF(AND(HX27=0,HX28=""),"", IF(AND(HX27="",HX28=0),"",1)))))</f>
        <v>1.8455904729690197E-3</v>
      </c>
      <c r="HY29" s="40">
        <f t="shared" ref="HY29" si="991">IF(AND(HY27&lt;&gt;0,HY28&lt;&gt;0),(HY27-HY28)/HY28,IF(AND(HY27=0,HY28=0),"",IF(AND(HY27="",HY28=""),"",IF(AND(HY27=0,HY28=""),"", IF(AND(HY27="",HY28=0),"",1)))))</f>
        <v>3.2987698767399565E-4</v>
      </c>
      <c r="HZ29" s="40">
        <f t="shared" ref="HZ29" si="992">IF(AND(HZ27&lt;&gt;0,HZ28&lt;&gt;0),(HZ27-HZ28)/HZ28,IF(AND(HZ27=0,HZ28=0),"",IF(AND(HZ27="",HZ28=""),"",IF(AND(HZ27=0,HZ28=""),"", IF(AND(HZ27="",HZ28=0),"",1)))))</f>
        <v>1.6439824326319383E-4</v>
      </c>
      <c r="IA29" s="40">
        <f t="shared" ref="IA29" si="993">IF(AND(IA27&lt;&gt;0,IA28&lt;&gt;0),(IA27-IA28)/IA28,IF(AND(IA27=0,IA28=0),"",IF(AND(IA27="",IA28=""),"",IF(AND(IA27=0,IA28=""),"", IF(AND(IA27="",IA28=0),"",1)))))</f>
        <v>1.5759370658831746E-4</v>
      </c>
      <c r="IB29" s="40">
        <f t="shared" ref="IB29" si="994">IF(AND(IB27&lt;&gt;0,IB28&lt;&gt;0),(IB27-IB28)/IB28,IF(AND(IB27=0,IB28=0),"",IF(AND(IB27="",IB28=""),"",IF(AND(IB27=0,IB28=""),"", IF(AND(IB27="",IB28=0),"",1)))))</f>
        <v>6.6143736593106284E-3</v>
      </c>
      <c r="IC29" s="40">
        <f t="shared" ref="IC29" si="995">IF(AND(IC27&lt;&gt;0,IC28&lt;&gt;0),(IC27-IC28)/IC28,IF(AND(IC27=0,IC28=0),"",IF(AND(IC27="",IC28=""),"",IF(AND(IC27=0,IC28=""),"", IF(AND(IC27="",IC28=0),"",1)))))</f>
        <v>5.8975069954909894E-3</v>
      </c>
      <c r="ID29" s="40">
        <f t="shared" ref="ID29" si="996">IF(AND(ID27&lt;&gt;0,ID28&lt;&gt;0),(ID27-ID28)/ID28,IF(AND(ID27=0,ID28=0),"",IF(AND(ID27="",ID28=""),"",IF(AND(ID27=0,ID28=""),"", IF(AND(ID27="",ID28=0),"",1)))))</f>
        <v>5.9717817005817242E-2</v>
      </c>
      <c r="IE29" s="40">
        <f t="shared" ref="IE29" si="997">IF(AND(IE27&lt;&gt;0,IE28&lt;&gt;0),(IE27-IE28)/IE28,IF(AND(IE27=0,IE28=0),"",IF(AND(IE27="",IE28=""),"",IF(AND(IE27=0,IE28=""),"", IF(AND(IE27="",IE28=0),"",1)))))</f>
        <v>-0.9888310435488239</v>
      </c>
      <c r="IF29" s="40">
        <f t="shared" ref="IF29" si="998">IF(AND(IF27&lt;&gt;0,IF28&lt;&gt;0),(IF27-IF28)/IF28,IF(AND(IF27=0,IF28=0),"",IF(AND(IF27="",IF28=""),"",IF(AND(IF27=0,IF28=""),"", IF(AND(IF27="",IF28=0),"",1)))))</f>
        <v>1</v>
      </c>
      <c r="IG29" s="40" t="str">
        <f t="shared" ref="IG29" si="999">IF(AND(IG27&lt;&gt;0,IG28&lt;&gt;0),(IG27-IG28)/IG28,IF(AND(IG27=0,IG28=0),"",IF(AND(IG27="",IG28=""),"",IF(AND(IG27=0,IG28=""),"", IF(AND(IG27="",IG28=0),"",1)))))</f>
        <v/>
      </c>
      <c r="IH29" s="40" t="str">
        <f t="shared" ref="IH29" si="1000">IF(AND(IH27&lt;&gt;0,IH28&lt;&gt;0),(IH27-IH28)/IH28,IF(AND(IH27=0,IH28=0),"",IF(AND(IH27="",IH28=""),"",IF(AND(IH27=0,IH28=""),"", IF(AND(IH27="",IH28=0),"",1)))))</f>
        <v/>
      </c>
      <c r="II29" s="40" t="str">
        <f t="shared" ref="II29" si="1001">IF(AND(II27&lt;&gt;0,II28&lt;&gt;0),(II27-II28)/II28,IF(AND(II27=0,II28=0),"",IF(AND(II27="",II28=""),"",IF(AND(II27=0,II28=""),"", IF(AND(II27="",II28=0),"",1)))))</f>
        <v/>
      </c>
      <c r="IJ29" s="40" t="str">
        <f t="shared" ref="IJ29" si="1002">IF(AND(IJ27&lt;&gt;0,IJ28&lt;&gt;0),(IJ27-IJ28)/IJ28,IF(AND(IJ27=0,IJ28=0),"",IF(AND(IJ27="",IJ28=""),"",IF(AND(IJ27=0,IJ28=""),"", IF(AND(IJ27="",IJ28=0),"",1)))))</f>
        <v/>
      </c>
      <c r="IK29" s="40" t="str">
        <f t="shared" ref="IK29" si="1003">IF(AND(IK27&lt;&gt;0,IK28&lt;&gt;0),(IK27-IK28)/IK28,IF(AND(IK27=0,IK28=0),"",IF(AND(IK27="",IK28=""),"",IF(AND(IK27=0,IK28=""),"", IF(AND(IK27="",IK28=0),"",1)))))</f>
        <v/>
      </c>
      <c r="IL29" s="40" t="str">
        <f t="shared" ref="IL29" si="1004">IF(AND(IL27&lt;&gt;0,IL28&lt;&gt;0),(IL27-IL28)/IL28,IF(AND(IL27=0,IL28=0),"",IF(AND(IL27="",IL28=""),"",IF(AND(IL27=0,IL28=""),"", IF(AND(IL27="",IL28=0),"",1)))))</f>
        <v/>
      </c>
      <c r="IM29" s="40" t="str">
        <f t="shared" ref="IM29" si="1005">IF(AND(IM27&lt;&gt;0,IM28&lt;&gt;0),(IM27-IM28)/IM28,IF(AND(IM27=0,IM28=0),"",IF(AND(IM27="",IM28=""),"",IF(AND(IM27=0,IM28=""),"", IF(AND(IM27="",IM28=0),"",1)))))</f>
        <v/>
      </c>
      <c r="IN29" s="40" t="str">
        <f t="shared" ref="IN29" si="1006">IF(AND(IN27&lt;&gt;0,IN28&lt;&gt;0),(IN27-IN28)/IN28,IF(AND(IN27=0,IN28=0),"",IF(AND(IN27="",IN28=""),"",IF(AND(IN27=0,IN28=""),"", IF(AND(IN27="",IN28=0),"",1)))))</f>
        <v/>
      </c>
      <c r="IO29" s="40" t="str">
        <f t="shared" ref="IO29" si="1007">IF(AND(IO27&lt;&gt;0,IO28&lt;&gt;0),(IO27-IO28)/IO28,IF(AND(IO27=0,IO28=0),"",IF(AND(IO27="",IO28=""),"",IF(AND(IO27=0,IO28=""),"", IF(AND(IO27="",IO28=0),"",1)))))</f>
        <v/>
      </c>
      <c r="IP29" s="40" t="str">
        <f t="shared" ref="IP29" si="1008">IF(AND(IP27&lt;&gt;0,IP28&lt;&gt;0),(IP27-IP28)/IP28,IF(AND(IP27=0,IP28=0),"",IF(AND(IP27="",IP28=""),"",IF(AND(IP27=0,IP28=""),"", IF(AND(IP27="",IP28=0),"",1)))))</f>
        <v/>
      </c>
      <c r="IQ29" s="40" t="str">
        <f t="shared" ref="IQ29" si="1009">IF(AND(IQ27&lt;&gt;0,IQ28&lt;&gt;0),(IQ27-IQ28)/IQ28,IF(AND(IQ27=0,IQ28=0),"",IF(AND(IQ27="",IQ28=""),"",IF(AND(IQ27=0,IQ28=""),"", IF(AND(IQ27="",IQ28=0),"",1)))))</f>
        <v/>
      </c>
      <c r="IR29" s="40" t="str">
        <f t="shared" ref="IR29:JF29" si="1010">IF(AND(IR27&lt;&gt;0,IR28&lt;&gt;0),(IR27-IR28)/IR28,IF(AND(IR27=0,IR28=0),"",IF(AND(IR27="",IR28=""),"",IF(AND(IR27=0,IR28=""),"", IF(AND(IR27="",IR28=0),"",1)))))</f>
        <v/>
      </c>
      <c r="IS29" s="40" t="str">
        <f t="shared" si="1010"/>
        <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-0.28023232721831343</v>
      </c>
      <c r="JH29" s="72" t="str">
        <f t="shared" si="1011"/>
        <v/>
      </c>
      <c r="JI29" s="73" t="str">
        <f t="shared" si="1011"/>
        <v/>
      </c>
      <c r="JJ29" s="73" t="str">
        <f t="shared" si="1011"/>
        <v/>
      </c>
      <c r="JK29" s="73" t="str">
        <f t="shared" si="1011"/>
        <v/>
      </c>
      <c r="JL29" s="73" t="str">
        <f t="shared" si="1011"/>
        <v/>
      </c>
      <c r="JM29" s="73" t="str">
        <f t="shared" si="1011"/>
        <v/>
      </c>
      <c r="JN29" s="73" t="str">
        <f t="shared" si="1011"/>
        <v/>
      </c>
      <c r="JO29" s="73" t="str">
        <f t="shared" si="1011"/>
        <v/>
      </c>
      <c r="JP29" s="73" t="str">
        <f t="shared" si="1011"/>
        <v/>
      </c>
      <c r="JQ29" s="73" t="str">
        <f t="shared" si="1011"/>
        <v/>
      </c>
      <c r="JR29" s="73" t="str">
        <f t="shared" si="1011"/>
        <v/>
      </c>
      <c r="JS29" s="73" t="str">
        <f t="shared" si="1011"/>
        <v/>
      </c>
      <c r="JT29" s="73" t="str">
        <f t="shared" si="1011"/>
        <v/>
      </c>
      <c r="JU29" s="73" t="str">
        <f t="shared" si="1011"/>
        <v/>
      </c>
      <c r="JV29" s="73" t="str">
        <f t="shared" si="1011"/>
        <v/>
      </c>
      <c r="JW29" s="73" t="str">
        <f t="shared" si="1011"/>
        <v/>
      </c>
      <c r="JX29" s="73" t="str">
        <f t="shared" si="1011"/>
        <v/>
      </c>
      <c r="JY29" s="73" t="str">
        <f t="shared" si="1011"/>
        <v/>
      </c>
      <c r="JZ29" s="73" t="str">
        <f t="shared" si="1011"/>
        <v/>
      </c>
      <c r="KA29" s="73" t="str">
        <f t="shared" si="1011"/>
        <v/>
      </c>
      <c r="KB29" s="73" t="str">
        <f t="shared" si="1011"/>
        <v/>
      </c>
      <c r="KC29" s="73" t="str">
        <f t="shared" si="1011"/>
        <v/>
      </c>
      <c r="KD29" s="73" t="str">
        <f t="shared" si="1011"/>
        <v/>
      </c>
      <c r="KE29" s="73" t="str">
        <f t="shared" ref="KE29:KR29" si="1012">IF(AND(KE27&lt;&gt;0,KE28&lt;&gt;0),(KE27-KE28)/KE28,IF(AND(KE27=0,KE28=0),"",IF(AND(KE27="",KE28=""),"",IF(AND(KE27=0,KE28=""),"", IF(AND(KE27="",KE28=0),"",1)))))</f>
        <v/>
      </c>
      <c r="KF29" s="73" t="str">
        <f t="shared" si="1012"/>
        <v/>
      </c>
      <c r="KG29" s="73" t="str">
        <f t="shared" si="1012"/>
        <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t="str">
        <f t="shared" si="1011"/>
        <v/>
      </c>
      <c r="KT29" s="72" t="str">
        <f t="shared" ref="KT29:ME29" si="1013">IF(AND(KT27&lt;&gt;0,KT28&lt;&gt;0),(KT27-KT28)/KT28,IF(AND(KT27=0,KT28=0),"",IF(AND(KT27="",KT28=""),"",IF(AND(KT27=0,KT28=""),"", IF(AND(KT27="",KT28=0),"",1)))))</f>
        <v/>
      </c>
      <c r="KU29" s="73" t="str">
        <f t="shared" si="1013"/>
        <v/>
      </c>
      <c r="KV29" s="73" t="str">
        <f t="shared" si="1013"/>
        <v/>
      </c>
      <c r="KW29" s="73" t="str">
        <f t="shared" si="1013"/>
        <v/>
      </c>
      <c r="KX29" s="73" t="str">
        <f t="shared" si="1013"/>
        <v/>
      </c>
      <c r="KY29" s="73" t="str">
        <f t="shared" si="1013"/>
        <v/>
      </c>
      <c r="KZ29" s="73" t="str">
        <f t="shared" si="1013"/>
        <v/>
      </c>
      <c r="LA29" s="73" t="str">
        <f t="shared" si="1013"/>
        <v/>
      </c>
      <c r="LB29" s="73" t="str">
        <f t="shared" si="1013"/>
        <v/>
      </c>
      <c r="LC29" s="73" t="str">
        <f t="shared" si="1013"/>
        <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t="str">
        <f t="shared" si="1013"/>
        <v/>
      </c>
      <c r="LM29" s="73" t="str">
        <f t="shared" si="1013"/>
        <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t="str">
        <f t="shared" si="1013"/>
        <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f t="shared" ref="NR29" si="1016">IF(AND(NR27&lt;&gt;0,NR28&lt;&gt;0),(NR27-NR28)/NR28,IF(AND(NR27=0,NR28=0),"",IF(AND(NR27="",NR28=""),"",IF(AND(NR27=0,NR28=""),"", IF(AND(NR27="",NR28=0),"",1)))))</f>
        <v>1.2658564757228937E-3</v>
      </c>
      <c r="NS29" s="40">
        <f t="shared" ref="NS29" si="1017">IF(AND(NS27&lt;&gt;0,NS28&lt;&gt;0),(NS27-NS28)/NS28,IF(AND(NS27=0,NS28=0),"",IF(AND(NS27="",NS28=""),"",IF(AND(NS27=0,NS28=""),"", IF(AND(NS27="",NS28=0),"",1)))))</f>
        <v>1.5101908908558113E-4</v>
      </c>
      <c r="NT29" s="40">
        <f t="shared" ref="NT29" si="1018">IF(AND(NT27&lt;&gt;0,NT28&lt;&gt;0),(NT27-NT28)/NT28,IF(AND(NT27=0,NT28=0),"",IF(AND(NT27="",NT28=""),"",IF(AND(NT27=0,NT28=""),"", IF(AND(NT27="",NT28=0),"",1)))))</f>
        <v>1.4106390657169226E-4</v>
      </c>
      <c r="NU29" s="40">
        <f t="shared" ref="NU29" si="1019">IF(AND(NU27&lt;&gt;0,NU28&lt;&gt;0),(NU27-NU28)/NU28,IF(AND(NU27=0,NU28=0),"",IF(AND(NU27="",NU28=""),"",IF(AND(NU27=0,NU28=""),"", IF(AND(NU27="",NU28=0),"",1)))))</f>
        <v>1.4991277802006107E-4</v>
      </c>
      <c r="NV29" s="40">
        <f t="shared" ref="NV29" si="1020">IF(AND(NV27&lt;&gt;0,NV28&lt;&gt;0),(NV27-NV28)/NV28,IF(AND(NV27=0,NV28=0),"",IF(AND(NV27="",NV28=""),"",IF(AND(NV27=0,NV28=""),"", IF(AND(NV27="",NV28=0),"",1)))))</f>
        <v>-3.1051403153448372E-6</v>
      </c>
      <c r="NW29" s="40">
        <f t="shared" ref="NW29" si="1021">IF(AND(NW27&lt;&gt;0,NW28&lt;&gt;0),(NW27-NW28)/NW28,IF(AND(NW27=0,NW28=0),"",IF(AND(NW27="",NW28=""),"",IF(AND(NW27=0,NW28=""),"", IF(AND(NW27="",NW28=0),"",1)))))</f>
        <v>1.7897292603494082E-3</v>
      </c>
      <c r="NX29" s="40" t="str">
        <f t="shared" ref="NX29" si="1022">IF(AND(NX27&lt;&gt;0,NX28&lt;&gt;0),(NX27-NX28)/NX28,IF(AND(NX27=0,NX28=0),"",IF(AND(NX27="",NX28=""),"",IF(AND(NX27=0,NX28=""),"", IF(AND(NX27="",NX28=0),"",1)))))</f>
        <v/>
      </c>
      <c r="NY29" s="40">
        <f t="shared" ref="NY29" si="1023">IF(AND(NY27&lt;&gt;0,NY28&lt;&gt;0),(NY27-NY28)/NY28,IF(AND(NY27=0,NY28=0),"",IF(AND(NY27="",NY28=""),"",IF(AND(NY27=0,NY28=""),"", IF(AND(NY27="",NY28=0),"",1)))))</f>
        <v>1.4126963845918581E-2</v>
      </c>
      <c r="NZ29" s="40">
        <f t="shared" ref="NZ29" si="1024">IF(AND(NZ27&lt;&gt;0,NZ28&lt;&gt;0),(NZ27-NZ28)/NZ28,IF(AND(NZ27=0,NZ28=0),"",IF(AND(NZ27="",NZ28=""),"",IF(AND(NZ27=0,NZ28=""),"", IF(AND(NZ27="",NZ28=0),"",1)))))</f>
        <v>2.1814252280651477E-2</v>
      </c>
      <c r="OA29" s="40">
        <f t="shared" ref="OA29" si="1025">IF(AND(OA27&lt;&gt;0,OA28&lt;&gt;0),(OA27-OA28)/OA28,IF(AND(OA27=0,OA28=0),"",IF(AND(OA27="",OA28=""),"",IF(AND(OA27=0,OA28=""),"", IF(AND(OA27="",OA28=0),"",1)))))</f>
        <v>7.9133469211290226E-5</v>
      </c>
      <c r="OB29" s="40">
        <f t="shared" ref="OB29" si="1026">IF(AND(OB27&lt;&gt;0,OB28&lt;&gt;0),(OB27-OB28)/OB28,IF(AND(OB27=0,OB28=0),"",IF(AND(OB27="",OB28=""),"",IF(AND(OB27=0,OB28=""),"", IF(AND(OB27="",OB28=0),"",1)))))</f>
        <v>1</v>
      </c>
      <c r="OC29" s="40" t="str">
        <f t="shared" ref="OC29" si="1027">IF(AND(OC27&lt;&gt;0,OC28&lt;&gt;0),(OC27-OC28)/OC28,IF(AND(OC27=0,OC28=0),"",IF(AND(OC27="",OC28=""),"",IF(AND(OC27=0,OC28=""),"", IF(AND(OC27="",OC28=0),"",1)))))</f>
        <v/>
      </c>
      <c r="OD29" s="40" t="str">
        <f t="shared" ref="OD29" si="1028">IF(AND(OD27&lt;&gt;0,OD28&lt;&gt;0),(OD27-OD28)/OD28,IF(AND(OD27=0,OD28=0),"",IF(AND(OD27="",OD28=""),"",IF(AND(OD27=0,OD28=""),"", IF(AND(OD27="",OD28=0),"",1)))))</f>
        <v/>
      </c>
      <c r="OE29" s="40" t="str">
        <f t="shared" ref="OE29" si="1029">IF(AND(OE27&lt;&gt;0,OE28&lt;&gt;0),(OE27-OE28)/OE28,IF(AND(OE27=0,OE28=0),"",IF(AND(OE27="",OE28=""),"",IF(AND(OE27=0,OE28=""),"", IF(AND(OE27="",OE28=0),"",1)))))</f>
        <v/>
      </c>
      <c r="OF29" s="40" t="str">
        <f t="shared" ref="OF29" si="1030">IF(AND(OF27&lt;&gt;0,OF28&lt;&gt;0),(OF27-OF28)/OF28,IF(AND(OF27=0,OF28=0),"",IF(AND(OF27="",OF28=""),"",IF(AND(OF27=0,OF28=""),"", IF(AND(OF27="",OF28=0),"",1)))))</f>
        <v/>
      </c>
      <c r="OG29" s="40" t="str">
        <f t="shared" ref="OG29" si="1031">IF(AND(OG27&lt;&gt;0,OG28&lt;&gt;0),(OG27-OG28)/OG28,IF(AND(OG27=0,OG28=0),"",IF(AND(OG27="",OG28=""),"",IF(AND(OG27=0,OG28=""),"", IF(AND(OG27="",OG28=0),"",1)))))</f>
        <v/>
      </c>
      <c r="OH29" s="40" t="str">
        <f t="shared" ref="OH29" si="1032">IF(AND(OH27&lt;&gt;0,OH28&lt;&gt;0),(OH27-OH28)/OH28,IF(AND(OH27=0,OH28=0),"",IF(AND(OH27="",OH28=""),"",IF(AND(OH27=0,OH28=""),"", IF(AND(OH27="",OH28=0),"",1)))))</f>
        <v/>
      </c>
      <c r="OI29" s="40" t="str">
        <f t="shared" ref="OI29" si="1033">IF(AND(OI27&lt;&gt;0,OI28&lt;&gt;0),(OI27-OI28)/OI28,IF(AND(OI27=0,OI28=0),"",IF(AND(OI27="",OI28=""),"",IF(AND(OI27=0,OI28=""),"", IF(AND(OI27="",OI28=0),"",1)))))</f>
        <v/>
      </c>
      <c r="OJ29" s="40" t="str">
        <f t="shared" ref="OJ29" si="1034">IF(AND(OJ27&lt;&gt;0,OJ28&lt;&gt;0),(OJ27-OJ28)/OJ28,IF(AND(OJ27=0,OJ28=0),"",IF(AND(OJ27="",OJ28=""),"",IF(AND(OJ27=0,OJ28=""),"", IF(AND(OJ27="",OJ28=0),"",1)))))</f>
        <v/>
      </c>
      <c r="OK29" s="40" t="str">
        <f t="shared" ref="OK29" si="1035">IF(AND(OK27&lt;&gt;0,OK28&lt;&gt;0),(OK27-OK28)/OK28,IF(AND(OK27=0,OK28=0),"",IF(AND(OK27="",OK28=""),"",IF(AND(OK27=0,OK28=""),"", IF(AND(OK27="",OK28=0),"",1)))))</f>
        <v/>
      </c>
      <c r="OL29" s="40" t="str">
        <f t="shared" ref="OL29" si="1036">IF(AND(OL27&lt;&gt;0,OL28&lt;&gt;0),(OL27-OL28)/OL28,IF(AND(OL27=0,OL28=0),"",IF(AND(OL27="",OL28=""),"",IF(AND(OL27=0,OL28=""),"", IF(AND(OL27="",OL28=0),"",1)))))</f>
        <v/>
      </c>
      <c r="OM29" s="40" t="str">
        <f t="shared" ref="OM29" si="1037">IF(AND(OM27&lt;&gt;0,OM28&lt;&gt;0),(OM27-OM28)/OM28,IF(AND(OM27=0,OM28=0),"",IF(AND(OM27="",OM28=""),"",IF(AND(OM27=0,OM28=""),"", IF(AND(OM27="",OM28=0),"",1)))))</f>
        <v/>
      </c>
      <c r="ON29" s="40" t="str">
        <f t="shared" ref="ON29:PB29" si="1038">IF(AND(ON27&lt;&gt;0,ON28&lt;&gt;0),(ON27-ON28)/ON28,IF(AND(ON27=0,ON28=0),"",IF(AND(ON27="",ON28=""),"",IF(AND(ON27=0,ON28=""),"", IF(AND(ON27="",ON28=0),"",1)))))</f>
        <v/>
      </c>
      <c r="OO29" s="40" t="str">
        <f t="shared" si="1038"/>
        <v/>
      </c>
      <c r="OP29" s="40" t="str">
        <f t="shared" si="1038"/>
        <v/>
      </c>
      <c r="OQ29" s="40" t="str">
        <f t="shared" si="1038"/>
        <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6.7081028902784192E-3</v>
      </c>
    </row>
    <row r="30" spans="1:419" outlineLevel="1" x14ac:dyDescent="0.3">
      <c r="A30" s="46" t="s">
        <v>25</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12239414</v>
      </c>
      <c r="N30" s="14">
        <f>'[1]D-PDP'!$DT$24</f>
        <v>0</v>
      </c>
      <c r="O30" s="14">
        <f>'[1]D-PDP'!$DT$25</f>
        <v>0</v>
      </c>
      <c r="P30" s="14">
        <f>'[1]D-PDP'!$DT$26</f>
        <v>0</v>
      </c>
      <c r="Q30" s="14">
        <f>'[1]D-PDP'!$DT$27</f>
        <v>0</v>
      </c>
      <c r="R30" s="14">
        <f>'[1]D-PDP'!$DT$28</f>
        <v>0</v>
      </c>
      <c r="S30" s="14">
        <f>'[1]D-PDP'!$DT$29</f>
        <v>0</v>
      </c>
      <c r="T30" s="14">
        <f>'[1]D-PDP'!$DT$30</f>
        <v>0</v>
      </c>
      <c r="U30" s="14">
        <f>'[1]D-PDP'!$DT$31</f>
        <v>0</v>
      </c>
      <c r="V30" s="14">
        <f>'[1]D-PDP'!$DT$32</f>
        <v>0</v>
      </c>
      <c r="W30" s="14">
        <f>'[1]D-PDP'!$DT$33</f>
        <v>0</v>
      </c>
      <c r="X30" s="14">
        <f>'[1]D-PDP'!$DT$34</f>
        <v>0</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12239414</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2223508</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0</v>
      </c>
      <c r="CV30" s="14">
        <f>'[1]D-PND'!$DT$34</f>
        <v>0</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2223508</v>
      </c>
      <c r="DL30" s="66"/>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8">
        <f>SUM(DL30:EV30)</f>
        <v>0</v>
      </c>
      <c r="EX30" s="66"/>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8">
        <f>SUM(EX30:GH30)</f>
        <v>0</v>
      </c>
      <c r="GJ30" s="66"/>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8">
        <f>SUM(GJ30:HT30)</f>
        <v>0</v>
      </c>
      <c r="HV30" s="28">
        <f>'[1]D-PRB'!$DT$12</f>
        <v>0</v>
      </c>
      <c r="HW30" s="14">
        <f>'[1]D-PRB'!$DT$13</f>
        <v>0</v>
      </c>
      <c r="HX30" s="14">
        <f>'[1]D-PRB'!$DT$14</f>
        <v>0</v>
      </c>
      <c r="HY30" s="14">
        <f>'[1]D-PRB'!$DT$15</f>
        <v>0</v>
      </c>
      <c r="HZ30" s="14">
        <f>'[1]D-PRB'!$DT$16</f>
        <v>0</v>
      </c>
      <c r="IA30" s="14">
        <f>'[1]D-PRB'!$DT$17</f>
        <v>0</v>
      </c>
      <c r="IB30" s="14">
        <f>'[1]D-PRB'!$DT$18</f>
        <v>0</v>
      </c>
      <c r="IC30" s="14">
        <f>'[1]D-PRB'!$DT$19</f>
        <v>0</v>
      </c>
      <c r="ID30" s="14">
        <f>'[1]D-PRB'!$DT$20</f>
        <v>0</v>
      </c>
      <c r="IE30" s="14">
        <f>'[1]D-PRB'!$DT$21</f>
        <v>0</v>
      </c>
      <c r="IF30" s="14">
        <f>'[1]D-PRB'!$DT$22</f>
        <v>0</v>
      </c>
      <c r="IG30" s="14">
        <f>'[1]D-PRB'!$DT$23</f>
        <v>0</v>
      </c>
      <c r="IH30" s="14">
        <f>'[1]D-PRB'!$DT$24</f>
        <v>0</v>
      </c>
      <c r="II30" s="14">
        <f>'[1]D-PRB'!$DT$25</f>
        <v>0</v>
      </c>
      <c r="IJ30" s="14">
        <f>'[1]D-PRB'!$DT$26</f>
        <v>0</v>
      </c>
      <c r="IK30" s="14">
        <f>'[1]D-PRB'!$DT$27</f>
        <v>0</v>
      </c>
      <c r="IL30" s="14">
        <f>'[1]D-PRB'!$DT$28</f>
        <v>0</v>
      </c>
      <c r="IM30" s="14">
        <f>'[1]D-PRB'!$DT$29</f>
        <v>0</v>
      </c>
      <c r="IN30" s="14">
        <f>'[1]D-PRB'!$DT$30</f>
        <v>0</v>
      </c>
      <c r="IO30" s="14">
        <f>'[1]D-PRB'!$DT$31</f>
        <v>0</v>
      </c>
      <c r="IP30" s="14">
        <f>'[1]D-PRB'!$DT$32</f>
        <v>0</v>
      </c>
      <c r="IQ30" s="14">
        <f>'[1]D-PRB'!$DT$33</f>
        <v>0</v>
      </c>
      <c r="IR30" s="14">
        <f>'[1]D-PRB'!$DT$34</f>
        <v>0</v>
      </c>
      <c r="IS30" s="14">
        <f>'[1]D-PRB'!$DT$35</f>
        <v>0</v>
      </c>
      <c r="IT30" s="14">
        <f>'[1]D-PRB'!$DT$36</f>
        <v>0</v>
      </c>
      <c r="IU30" s="14">
        <f>'[1]D-PRB'!$DT$37</f>
        <v>0</v>
      </c>
      <c r="IV30" s="14">
        <f>'[1]D-PRB'!$DT$38</f>
        <v>0</v>
      </c>
      <c r="IW30" s="14">
        <f>'[1]D-PRB'!$DT$39</f>
        <v>0</v>
      </c>
      <c r="IX30" s="14">
        <f>'[1]D-PRB'!$DT$40</f>
        <v>0</v>
      </c>
      <c r="IY30" s="14">
        <f>'[1]D-PRB'!$DT$41</f>
        <v>0</v>
      </c>
      <c r="IZ30" s="14">
        <f>'[1]D-PRB'!$DT$42</f>
        <v>0</v>
      </c>
      <c r="JA30" s="14">
        <f>'[1]D-PRB'!$DT$43</f>
        <v>0</v>
      </c>
      <c r="JB30" s="14">
        <f>'[1]D-PRB'!$DT$44</f>
        <v>0</v>
      </c>
      <c r="JC30" s="14">
        <f>'[1]D-PRB'!$DT$45</f>
        <v>0</v>
      </c>
      <c r="JD30" s="14">
        <f>'[1]D-PRB'!$DT$46</f>
        <v>0</v>
      </c>
      <c r="JE30" s="14">
        <f>'[1]D-PRB'!$DT$47</f>
        <v>0</v>
      </c>
      <c r="JF30" s="14">
        <f>'[1]D-PRB'!$DT$48</f>
        <v>0</v>
      </c>
      <c r="JG30" s="16">
        <f>SUM(HV30:JF30)</f>
        <v>0</v>
      </c>
      <c r="JH30" s="66"/>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8">
        <f>SUM(JH30:KR30)</f>
        <v>0</v>
      </c>
      <c r="KT30" s="66"/>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8">
        <f>SUM(KT30:MD30)</f>
        <v>0</v>
      </c>
      <c r="MF30" s="66"/>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8">
        <f>SUM(MF30:NP30)</f>
        <v>0</v>
      </c>
      <c r="NR30" s="14">
        <f>'[1]D-PS'!$DT$12</f>
        <v>0</v>
      </c>
      <c r="NS30" s="14">
        <f>'[1]D-PS'!$DT$13</f>
        <v>0</v>
      </c>
      <c r="NT30" s="14">
        <f>'[1]D-PS'!$DT$14</f>
        <v>0</v>
      </c>
      <c r="NU30" s="14">
        <f>'[1]D-PS'!$DT$15</f>
        <v>0</v>
      </c>
      <c r="NV30" s="14">
        <f>'[1]D-PS'!$DT$16</f>
        <v>0</v>
      </c>
      <c r="NW30" s="14">
        <f>'[1]D-PS'!$DT$17</f>
        <v>0</v>
      </c>
      <c r="NX30" s="14">
        <f>'[1]D-PS'!$DT$18</f>
        <v>0</v>
      </c>
      <c r="NY30" s="14">
        <f>'[1]D-PS'!$DT$19</f>
        <v>0</v>
      </c>
      <c r="NZ30" s="14">
        <f>'[1]D-PS'!$DT$20</f>
        <v>0</v>
      </c>
      <c r="OA30" s="14">
        <f>'[1]D-PS'!$DT$21</f>
        <v>0</v>
      </c>
      <c r="OB30" s="14">
        <f>'[1]D-PS'!$DT$22</f>
        <v>0</v>
      </c>
      <c r="OC30" s="14">
        <f>'[1]D-PS'!$DT$23</f>
        <v>247057</v>
      </c>
      <c r="OD30" s="14">
        <f>'[1]D-PS'!$DT$24</f>
        <v>0</v>
      </c>
      <c r="OE30" s="14">
        <f>'[1]D-PS'!$DT$25</f>
        <v>0</v>
      </c>
      <c r="OF30" s="14">
        <f>'[1]D-PS'!$DT$26</f>
        <v>0</v>
      </c>
      <c r="OG30" s="14">
        <f>'[1]D-PS'!$DT$27</f>
        <v>0</v>
      </c>
      <c r="OH30" s="14">
        <f>'[1]D-PS'!$DT$28</f>
        <v>0</v>
      </c>
      <c r="OI30" s="14">
        <f>'[1]D-PS'!$DT$29</f>
        <v>0</v>
      </c>
      <c r="OJ30" s="14">
        <f>'[1]D-PS'!$DT$30</f>
        <v>0</v>
      </c>
      <c r="OK30" s="14">
        <f>'[1]D-PS'!$DT$31</f>
        <v>0</v>
      </c>
      <c r="OL30" s="14">
        <f>'[1]D-PS'!$DT$32</f>
        <v>0</v>
      </c>
      <c r="OM30" s="14">
        <f>'[1]D-PS'!$DT$33</f>
        <v>0</v>
      </c>
      <c r="ON30" s="14">
        <f>'[1]D-PS'!$DT$34</f>
        <v>0</v>
      </c>
      <c r="OO30" s="14">
        <f>'[1]D-PS'!$DT$35</f>
        <v>0</v>
      </c>
      <c r="OP30" s="14">
        <f>'[1]D-PS'!$DT$36</f>
        <v>0</v>
      </c>
      <c r="OQ30" s="14">
        <f>'[1]D-PS'!$DT$37</f>
        <v>0</v>
      </c>
      <c r="OR30" s="14">
        <f>'[1]D-PS'!$DT$38</f>
        <v>0</v>
      </c>
      <c r="OS30" s="14">
        <f>'[1]D-PS'!$DT$39</f>
        <v>0</v>
      </c>
      <c r="OT30" s="14">
        <f>'[1]D-PS'!$DT$40</f>
        <v>0</v>
      </c>
      <c r="OU30" s="14">
        <f>'[1]D-PS'!$DT$41</f>
        <v>0</v>
      </c>
      <c r="OV30" s="14">
        <f>'[1]D-PS'!$DT$42</f>
        <v>0</v>
      </c>
      <c r="OW30" s="14">
        <f>'[1]D-PS'!$DT$43</f>
        <v>0</v>
      </c>
      <c r="OX30" s="14">
        <f>'[1]D-PS'!$DT$44</f>
        <v>0</v>
      </c>
      <c r="OY30" s="14">
        <f>'[1]D-PS'!$DT$45</f>
        <v>0</v>
      </c>
      <c r="OZ30" s="14">
        <f>'[1]D-PS'!$DT$46</f>
        <v>0</v>
      </c>
      <c r="PA30" s="14">
        <f>'[1]D-PS'!$DT$47</f>
        <v>0</v>
      </c>
      <c r="PB30" s="14">
        <f>'[1]D-PS'!$DT$48</f>
        <v>0</v>
      </c>
      <c r="PC30" s="16">
        <f>SUM(NR30:PB30)</f>
        <v>247057</v>
      </c>
    </row>
    <row r="31" spans="1:419" outlineLevel="1" x14ac:dyDescent="0.3">
      <c r="A31" s="46" t="s">
        <v>26</v>
      </c>
      <c r="B31" s="25">
        <f>'[2]CF PDP'!$DI$36</f>
        <v>0</v>
      </c>
      <c r="C31" s="25">
        <f>'[2]CF PDP'!$DI$37</f>
        <v>0</v>
      </c>
      <c r="D31" s="25">
        <f>'[2]CF PDP'!$DI$38</f>
        <v>0</v>
      </c>
      <c r="E31" s="25">
        <f>'[2]CF PDP'!$DI$39</f>
        <v>0</v>
      </c>
      <c r="F31" s="25">
        <f>'[2]CF PDP'!$DI$40</f>
        <v>0</v>
      </c>
      <c r="G31" s="25">
        <f>'[2]CF PDP'!$DI$41</f>
        <v>0</v>
      </c>
      <c r="H31" s="25">
        <f>'[2]CF PDP'!$DI$42</f>
        <v>12239414</v>
      </c>
      <c r="I31" s="25">
        <f>'[2]CF PDP'!$DI$43</f>
        <v>0</v>
      </c>
      <c r="J31" s="25">
        <f>'[2]CF PDP'!$DI$44</f>
        <v>0</v>
      </c>
      <c r="K31" s="25">
        <f>'[2]CF PDP'!$DI$45</f>
        <v>0</v>
      </c>
      <c r="L31" s="25">
        <f>'[2]CF PDP'!$DI$46</f>
        <v>0</v>
      </c>
      <c r="M31" s="25">
        <f>'[2]CF PDP'!$DI$47</f>
        <v>0</v>
      </c>
      <c r="N31" s="25">
        <f>'[2]CF PDP'!$DI$48</f>
        <v>0</v>
      </c>
      <c r="O31" s="25">
        <f>'[2]CF PDP'!$DI$49</f>
        <v>0</v>
      </c>
      <c r="P31" s="25">
        <f>'[2]CF PDP'!$DI$50</f>
        <v>0</v>
      </c>
      <c r="Q31" s="25">
        <f>'[2]CF PDP'!$DI$51</f>
        <v>0</v>
      </c>
      <c r="R31" s="25">
        <f>'[2]CF PDP'!$DI$52</f>
        <v>0</v>
      </c>
      <c r="S31" s="25">
        <f>'[2]CF PDP'!$DI$53</f>
        <v>0</v>
      </c>
      <c r="T31" s="25">
        <f>'[2]CF PDP'!$DI$54</f>
        <v>0</v>
      </c>
      <c r="U31" s="25">
        <f>'[2]CF PDP'!$DI$55</f>
        <v>0</v>
      </c>
      <c r="V31" s="25">
        <f>'[2]CF PDP'!$DI$56</f>
        <v>0</v>
      </c>
      <c r="W31" s="25">
        <f>'[2]CF PDP'!$DI$57</f>
        <v>0</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12239414</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2223508</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0</v>
      </c>
      <c r="CS31" s="25">
        <f>'[2]CF PND'!$DI$55</f>
        <v>0</v>
      </c>
      <c r="CT31" s="25">
        <f>'[2]CF PND'!$DI$56</f>
        <v>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2223508</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0</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247057</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0</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247057</v>
      </c>
    </row>
    <row r="32" spans="1:419" ht="16.5" thickBot="1" x14ac:dyDescent="0.3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f t="shared" ref="H32" si="1045">IF(AND(H30&lt;&gt;0,H31&lt;&gt;0),(H30-H31)/H31,IF(AND(H30=0,H31=0),"",IF(AND(H30="",H31=""),"",IF(AND(H30=0,H31=""),"", IF(AND(H30="",H31=0),"",1)))))</f>
        <v>1</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f t="shared" ref="M32" si="1050">IF(AND(M30&lt;&gt;0,M31&lt;&gt;0),(M30-M31)/M31,IF(AND(M30=0,M31=0),"",IF(AND(M30="",M31=""),"",IF(AND(M30=0,M31=""),"", IF(AND(M30="",M31=0),"",1)))))</f>
        <v>1</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t="str">
        <f t="shared" ref="W32" si="1060">IF(AND(W30&lt;&gt;0,W31&lt;&gt;0),(W30-W31)/W31,IF(AND(W30=0,W31=0),"",IF(AND(W30="",W31=""),"",IF(AND(W30=0,W31=""),"", IF(AND(W30="",W31=0),"",1)))))</f>
        <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f t="shared" ref="CI32" si="1096">IF(AND(CI30&lt;&gt;0,CI31&lt;&gt;0),(CI30-CI31)/CI31,IF(AND(CI30=0,CI31=0),"",IF(AND(CI30="",CI31=""),"",IF(AND(CI30=0,CI31=""),"", IF(AND(CI30="",CI31=0),"",1)))))</f>
        <v>1</v>
      </c>
      <c r="CJ32" s="40" t="str">
        <f t="shared" ref="CJ32" si="1097">IF(AND(CJ30&lt;&gt;0,CJ31&lt;&gt;0),(CJ30-CJ31)/CJ31,IF(AND(CJ30=0,CJ31=0),"",IF(AND(CJ30="",CJ31=""),"",IF(AND(CJ30=0,CJ31=""),"", IF(AND(CJ30="",CJ31=0),"",1)))))</f>
        <v/>
      </c>
      <c r="CK32" s="40">
        <f t="shared" ref="CK32" si="1098">IF(AND(CK30&lt;&gt;0,CK31&lt;&gt;0),(CK30-CK31)/CK31,IF(AND(CK30=0,CK31=0),"",IF(AND(CK30="",CK31=""),"",IF(AND(CK30=0,CK31=""),"", IF(AND(CK30="",CK31=0),"",1)))))</f>
        <v>1</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f t="shared" ref="DK32:HU32" si="1110">IF(AND(DK30&lt;&gt;0,DK31&lt;&gt;0),(DK30-DK31)/DK31,IF(AND(DK30=0,DK31=0),"",IF(AND(DK30="",DK31=""),"",IF(AND(DK30=0,DK31=""),"", IF(AND(DK30="",DK31=0),"",1)))))</f>
        <v>0</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f t="shared" ref="OB32" si="1153">IF(AND(OB30&lt;&gt;0,OB31&lt;&gt;0),(OB30-OB31)/OB31,IF(AND(OB30=0,OB31=0),"",IF(AND(OB30="",OB31=""),"",IF(AND(OB30=0,OB31=""),"", IF(AND(OB30="",OB31=0),"",1)))))</f>
        <v>1</v>
      </c>
      <c r="OC32" s="40">
        <f t="shared" ref="OC32" si="1154">IF(AND(OC30&lt;&gt;0,OC31&lt;&gt;0),(OC30-OC31)/OC31,IF(AND(OC30=0,OC31=0),"",IF(AND(OC30="",OC31=""),"",IF(AND(OC30=0,OC31=""),"", IF(AND(OC30="",OC31=0),"",1)))))</f>
        <v>1</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f t="shared" ref="PC32" si="1166">IF(AND(PC30&lt;&gt;0,PC31&lt;&gt;0),(PC30-PC31)/PC31,IF(AND(PC30=0,PC31=0),"",IF(AND(PC30="",PC31=""),"",IF(AND(PC30=0,PC31=""),"", IF(AND(PC30="",PC31=0),"",1)))))</f>
        <v>0</v>
      </c>
    </row>
    <row r="33" spans="1:421" s="15" customFormat="1" ht="14.25" customHeight="1" outlineLevel="1" x14ac:dyDescent="0.3">
      <c r="A33" s="45" t="s">
        <v>54</v>
      </c>
      <c r="B33" s="96">
        <f>[1]Consolidado!$J$12</f>
        <v>0.77288261090087895</v>
      </c>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8"/>
      <c r="AN33" s="108">
        <f>[1]Consolidado!$J$13</f>
        <v>0.13660194018554689</v>
      </c>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10"/>
      <c r="BZ33" s="120">
        <f>[1]Consolidado!$J$14</f>
        <v>1.50393340625</v>
      </c>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2"/>
      <c r="DL33" s="105">
        <f>[1]Consolidado!$J$17</f>
        <v>0</v>
      </c>
      <c r="DM33" s="106"/>
      <c r="DN33" s="106"/>
      <c r="DO33" s="106"/>
      <c r="DP33" s="106"/>
      <c r="DQ33" s="106"/>
      <c r="DR33" s="106"/>
      <c r="DS33" s="106"/>
      <c r="DT33" s="106"/>
      <c r="DU33" s="106"/>
      <c r="DV33" s="106"/>
      <c r="DW33" s="106"/>
      <c r="DX33" s="106"/>
      <c r="DY33" s="106"/>
      <c r="DZ33" s="106"/>
      <c r="EA33" s="106"/>
      <c r="EB33" s="106"/>
      <c r="EC33" s="106"/>
      <c r="ED33" s="106"/>
      <c r="EE33" s="106"/>
      <c r="EF33" s="106"/>
      <c r="EG33" s="106"/>
      <c r="EH33" s="106"/>
      <c r="EI33" s="106"/>
      <c r="EJ33" s="106"/>
      <c r="EK33" s="106"/>
      <c r="EL33" s="106"/>
      <c r="EM33" s="106"/>
      <c r="EN33" s="106"/>
      <c r="EO33" s="106"/>
      <c r="EP33" s="106"/>
      <c r="EQ33" s="106"/>
      <c r="ER33" s="106"/>
      <c r="ES33" s="106"/>
      <c r="ET33" s="106"/>
      <c r="EU33" s="106"/>
      <c r="EV33" s="106"/>
      <c r="EW33" s="107"/>
      <c r="EX33" s="105">
        <f>[1]Consolidado!$J$18</f>
        <v>0.21961999975585939</v>
      </c>
      <c r="EY33" s="106"/>
      <c r="EZ33" s="106"/>
      <c r="FA33" s="106"/>
      <c r="FB33" s="106"/>
      <c r="FC33" s="106"/>
      <c r="FD33" s="106"/>
      <c r="FE33" s="106"/>
      <c r="FF33" s="106"/>
      <c r="FG33" s="106"/>
      <c r="FH33" s="106"/>
      <c r="FI33" s="106"/>
      <c r="FJ33" s="106"/>
      <c r="FK33" s="106"/>
      <c r="FL33" s="106"/>
      <c r="FM33" s="106"/>
      <c r="FN33" s="106"/>
      <c r="FO33" s="106"/>
      <c r="FP33" s="106"/>
      <c r="FQ33" s="106"/>
      <c r="FR33" s="106"/>
      <c r="FS33" s="106"/>
      <c r="FT33" s="106"/>
      <c r="FU33" s="106"/>
      <c r="FV33" s="106"/>
      <c r="FW33" s="106"/>
      <c r="FX33" s="106"/>
      <c r="FY33" s="106"/>
      <c r="FZ33" s="106"/>
      <c r="GA33" s="106"/>
      <c r="GB33" s="106"/>
      <c r="GC33" s="106"/>
      <c r="GD33" s="106"/>
      <c r="GE33" s="106"/>
      <c r="GF33" s="106"/>
      <c r="GG33" s="106"/>
      <c r="GH33" s="106"/>
      <c r="GI33" s="107"/>
      <c r="GJ33" s="105">
        <f>[1]Consolidado!$J$19</f>
        <v>0</v>
      </c>
      <c r="GK33" s="106"/>
      <c r="GL33" s="106"/>
      <c r="GM33" s="106"/>
      <c r="GN33" s="106"/>
      <c r="GO33" s="106"/>
      <c r="GP33" s="106"/>
      <c r="GQ33" s="106"/>
      <c r="GR33" s="106"/>
      <c r="GS33" s="106"/>
      <c r="GT33" s="106"/>
      <c r="GU33" s="106"/>
      <c r="GV33" s="106"/>
      <c r="GW33" s="106"/>
      <c r="GX33" s="106"/>
      <c r="GY33" s="106"/>
      <c r="GZ33" s="106"/>
      <c r="HA33" s="106"/>
      <c r="HB33" s="106"/>
      <c r="HC33" s="106"/>
      <c r="HD33" s="106"/>
      <c r="HE33" s="106"/>
      <c r="HF33" s="106"/>
      <c r="HG33" s="106"/>
      <c r="HH33" s="106"/>
      <c r="HI33" s="106"/>
      <c r="HJ33" s="106"/>
      <c r="HK33" s="106"/>
      <c r="HL33" s="106"/>
      <c r="HM33" s="106"/>
      <c r="HN33" s="106"/>
      <c r="HO33" s="106"/>
      <c r="HP33" s="106"/>
      <c r="HQ33" s="106"/>
      <c r="HR33" s="106"/>
      <c r="HS33" s="106"/>
      <c r="HT33" s="106"/>
      <c r="HU33" s="107"/>
      <c r="HV33" s="153">
        <f>[1]Consolidado!$J$20</f>
        <v>0.21961999975585939</v>
      </c>
      <c r="HW33" s="154"/>
      <c r="HX33" s="154"/>
      <c r="HY33" s="154"/>
      <c r="HZ33" s="154"/>
      <c r="IA33" s="154"/>
      <c r="IB33" s="154"/>
      <c r="IC33" s="154"/>
      <c r="ID33" s="154"/>
      <c r="IE33" s="154"/>
      <c r="IF33" s="154"/>
      <c r="IG33" s="154"/>
      <c r="IH33" s="154"/>
      <c r="II33" s="154"/>
      <c r="IJ33" s="154"/>
      <c r="IK33" s="154"/>
      <c r="IL33" s="154"/>
      <c r="IM33" s="154"/>
      <c r="IN33" s="154"/>
      <c r="IO33" s="154"/>
      <c r="IP33" s="154"/>
      <c r="IQ33" s="154"/>
      <c r="IR33" s="154"/>
      <c r="IS33" s="154"/>
      <c r="IT33" s="154"/>
      <c r="IU33" s="154"/>
      <c r="IV33" s="154"/>
      <c r="IW33" s="154"/>
      <c r="IX33" s="154"/>
      <c r="IY33" s="154"/>
      <c r="IZ33" s="154"/>
      <c r="JA33" s="154"/>
      <c r="JB33" s="154"/>
      <c r="JC33" s="154"/>
      <c r="JD33" s="154"/>
      <c r="JE33" s="154"/>
      <c r="JF33" s="154"/>
      <c r="JG33" s="155"/>
      <c r="JH33" s="105">
        <f>[1]Consolidado!$J$22</f>
        <v>0</v>
      </c>
      <c r="JI33" s="106"/>
      <c r="JJ33" s="106"/>
      <c r="JK33" s="106"/>
      <c r="JL33" s="106"/>
      <c r="JM33" s="106"/>
      <c r="JN33" s="106"/>
      <c r="JO33" s="106"/>
      <c r="JP33" s="106"/>
      <c r="JQ33" s="106"/>
      <c r="JR33" s="106"/>
      <c r="JS33" s="106"/>
      <c r="JT33" s="106"/>
      <c r="JU33" s="106"/>
      <c r="JV33" s="106"/>
      <c r="JW33" s="106"/>
      <c r="JX33" s="106"/>
      <c r="JY33" s="106"/>
      <c r="JZ33" s="106"/>
      <c r="KA33" s="106"/>
      <c r="KB33" s="106"/>
      <c r="KC33" s="106"/>
      <c r="KD33" s="106"/>
      <c r="KE33" s="106"/>
      <c r="KF33" s="106"/>
      <c r="KG33" s="106"/>
      <c r="KH33" s="106"/>
      <c r="KI33" s="106"/>
      <c r="KJ33" s="106"/>
      <c r="KK33" s="106"/>
      <c r="KL33" s="106"/>
      <c r="KM33" s="106"/>
      <c r="KN33" s="106"/>
      <c r="KO33" s="106"/>
      <c r="KP33" s="106"/>
      <c r="KQ33" s="106"/>
      <c r="KR33" s="106"/>
      <c r="KS33" s="107"/>
      <c r="KT33" s="105">
        <f>[1]Consolidado!$J$23</f>
        <v>6.9929998779296879E-3</v>
      </c>
      <c r="KU33" s="106"/>
      <c r="KV33" s="106"/>
      <c r="KW33" s="106"/>
      <c r="KX33" s="106"/>
      <c r="KY33" s="106"/>
      <c r="KZ33" s="106"/>
      <c r="LA33" s="106"/>
      <c r="LB33" s="106"/>
      <c r="LC33" s="106"/>
      <c r="LD33" s="106"/>
      <c r="LE33" s="106"/>
      <c r="LF33" s="106"/>
      <c r="LG33" s="106"/>
      <c r="LH33" s="106"/>
      <c r="LI33" s="106"/>
      <c r="LJ33" s="106"/>
      <c r="LK33" s="106"/>
      <c r="LL33" s="106"/>
      <c r="LM33" s="106"/>
      <c r="LN33" s="106"/>
      <c r="LO33" s="106"/>
      <c r="LP33" s="106"/>
      <c r="LQ33" s="106"/>
      <c r="LR33" s="106"/>
      <c r="LS33" s="106"/>
      <c r="LT33" s="106"/>
      <c r="LU33" s="106"/>
      <c r="LV33" s="106"/>
      <c r="LW33" s="106"/>
      <c r="LX33" s="106"/>
      <c r="LY33" s="106"/>
      <c r="LZ33" s="106"/>
      <c r="MA33" s="106"/>
      <c r="MB33" s="106"/>
      <c r="MC33" s="106"/>
      <c r="MD33" s="106"/>
      <c r="ME33" s="107"/>
      <c r="MF33" s="105">
        <f>[1]Consolidado!$J$24</f>
        <v>6.6654000244140629E-2</v>
      </c>
      <c r="MG33" s="106"/>
      <c r="MH33" s="106"/>
      <c r="MI33" s="106"/>
      <c r="MJ33" s="106"/>
      <c r="MK33" s="106"/>
      <c r="ML33" s="106"/>
      <c r="MM33" s="106"/>
      <c r="MN33" s="106"/>
      <c r="MO33" s="106"/>
      <c r="MP33" s="106"/>
      <c r="MQ33" s="106"/>
      <c r="MR33" s="106"/>
      <c r="MS33" s="106"/>
      <c r="MT33" s="106"/>
      <c r="MU33" s="106"/>
      <c r="MV33" s="106"/>
      <c r="MW33" s="106"/>
      <c r="MX33" s="106"/>
      <c r="MY33" s="106"/>
      <c r="MZ33" s="106"/>
      <c r="NA33" s="106"/>
      <c r="NB33" s="106"/>
      <c r="NC33" s="106"/>
      <c r="ND33" s="106"/>
      <c r="NE33" s="106"/>
      <c r="NF33" s="106"/>
      <c r="NG33" s="106"/>
      <c r="NH33" s="106"/>
      <c r="NI33" s="106"/>
      <c r="NJ33" s="106"/>
      <c r="NK33" s="106"/>
      <c r="NL33" s="106"/>
      <c r="NM33" s="106"/>
      <c r="NN33" s="106"/>
      <c r="NO33" s="106"/>
      <c r="NP33" s="106"/>
      <c r="NQ33" s="107"/>
      <c r="NR33" s="150">
        <f>[1]Consolidado!$J$25</f>
        <v>7.3647000122070316E-2</v>
      </c>
      <c r="NS33" s="151"/>
      <c r="NT33" s="151"/>
      <c r="NU33" s="151"/>
      <c r="NV33" s="151"/>
      <c r="NW33" s="151"/>
      <c r="NX33" s="151"/>
      <c r="NY33" s="151"/>
      <c r="NZ33" s="151"/>
      <c r="OA33" s="151"/>
      <c r="OB33" s="151"/>
      <c r="OC33" s="151"/>
      <c r="OD33" s="151"/>
      <c r="OE33" s="151"/>
      <c r="OF33" s="151"/>
      <c r="OG33" s="151"/>
      <c r="OH33" s="151"/>
      <c r="OI33" s="151"/>
      <c r="OJ33" s="151"/>
      <c r="OK33" s="151"/>
      <c r="OL33" s="151"/>
      <c r="OM33" s="151"/>
      <c r="ON33" s="151"/>
      <c r="OO33" s="151"/>
      <c r="OP33" s="151"/>
      <c r="OQ33" s="151"/>
      <c r="OR33" s="151"/>
      <c r="OS33" s="151"/>
      <c r="OT33" s="151"/>
      <c r="OU33" s="151"/>
      <c r="OV33" s="151"/>
      <c r="OW33" s="151"/>
      <c r="OX33" s="151"/>
      <c r="OY33" s="151"/>
      <c r="OZ33" s="151"/>
      <c r="PA33" s="151"/>
      <c r="PB33" s="151"/>
      <c r="PC33" s="152"/>
      <c r="PE33" s="80">
        <f>NR33+HV33+AN33+B33</f>
        <v>1.2027515509643556</v>
      </c>
    </row>
    <row r="34" spans="1:421" s="15" customFormat="1" outlineLevel="1" x14ac:dyDescent="0.3">
      <c r="A34" s="46" t="s">
        <v>55</v>
      </c>
      <c r="B34" s="132">
        <f>[2]Consolidado!$J$12</f>
        <v>0.74531400000000003</v>
      </c>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4"/>
      <c r="AN34" s="132">
        <f>[2]Consolidado!$J$13</f>
        <v>0.14724400000000001</v>
      </c>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4"/>
      <c r="BZ34" s="147">
        <f>[2]Consolidado!$J$14</f>
        <v>1.307572</v>
      </c>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9"/>
      <c r="DL34" s="99">
        <f>[2]Consolidado!$J$17</f>
        <v>0</v>
      </c>
      <c r="DM34" s="100"/>
      <c r="DN34" s="100"/>
      <c r="DO34" s="100"/>
      <c r="DP34" s="100"/>
      <c r="DQ34" s="100"/>
      <c r="DR34" s="100"/>
      <c r="DS34" s="100"/>
      <c r="DT34" s="100"/>
      <c r="DU34" s="100"/>
      <c r="DV34" s="100"/>
      <c r="DW34" s="100"/>
      <c r="DX34" s="100"/>
      <c r="DY34" s="100"/>
      <c r="DZ34" s="100"/>
      <c r="EA34" s="100"/>
      <c r="EB34" s="100"/>
      <c r="EC34" s="100"/>
      <c r="ED34" s="100"/>
      <c r="EE34" s="100"/>
      <c r="EF34" s="100"/>
      <c r="EG34" s="100"/>
      <c r="EH34" s="100"/>
      <c r="EI34" s="100"/>
      <c r="EJ34" s="100"/>
      <c r="EK34" s="100"/>
      <c r="EL34" s="100"/>
      <c r="EM34" s="100"/>
      <c r="EN34" s="100"/>
      <c r="EO34" s="100"/>
      <c r="EP34" s="100"/>
      <c r="EQ34" s="100"/>
      <c r="ER34" s="100"/>
      <c r="ES34" s="100"/>
      <c r="ET34" s="100"/>
      <c r="EU34" s="100"/>
      <c r="EV34" s="100"/>
      <c r="EW34" s="101"/>
      <c r="EX34" s="99">
        <f>[2]Consolidado!$J$18</f>
        <v>0.36935600000000002</v>
      </c>
      <c r="EY34" s="100"/>
      <c r="EZ34" s="100"/>
      <c r="FA34" s="100"/>
      <c r="FB34" s="100"/>
      <c r="FC34" s="100"/>
      <c r="FD34" s="100"/>
      <c r="FE34" s="100"/>
      <c r="FF34" s="100"/>
      <c r="FG34" s="100"/>
      <c r="FH34" s="100"/>
      <c r="FI34" s="100"/>
      <c r="FJ34" s="100"/>
      <c r="FK34" s="100"/>
      <c r="FL34" s="100"/>
      <c r="FM34" s="100"/>
      <c r="FN34" s="100"/>
      <c r="FO34" s="100"/>
      <c r="FP34" s="100"/>
      <c r="FQ34" s="100"/>
      <c r="FR34" s="100"/>
      <c r="FS34" s="100"/>
      <c r="FT34" s="100"/>
      <c r="FU34" s="100"/>
      <c r="FV34" s="100"/>
      <c r="FW34" s="100"/>
      <c r="FX34" s="100"/>
      <c r="FY34" s="100"/>
      <c r="FZ34" s="100"/>
      <c r="GA34" s="100"/>
      <c r="GB34" s="100"/>
      <c r="GC34" s="100"/>
      <c r="GD34" s="100"/>
      <c r="GE34" s="100"/>
      <c r="GF34" s="100"/>
      <c r="GG34" s="100"/>
      <c r="GH34" s="100"/>
      <c r="GI34" s="101"/>
      <c r="GJ34" s="99"/>
      <c r="GK34" s="100"/>
      <c r="GL34" s="100"/>
      <c r="GM34" s="100"/>
      <c r="GN34" s="100"/>
      <c r="GO34" s="100"/>
      <c r="GP34" s="100"/>
      <c r="GQ34" s="100"/>
      <c r="GR34" s="100"/>
      <c r="GS34" s="100"/>
      <c r="GT34" s="100"/>
      <c r="GU34" s="100"/>
      <c r="GV34" s="100"/>
      <c r="GW34" s="100"/>
      <c r="GX34" s="100"/>
      <c r="GY34" s="100"/>
      <c r="GZ34" s="100"/>
      <c r="HA34" s="100"/>
      <c r="HB34" s="100"/>
      <c r="HC34" s="100"/>
      <c r="HD34" s="100"/>
      <c r="HE34" s="100"/>
      <c r="HF34" s="100"/>
      <c r="HG34" s="100"/>
      <c r="HH34" s="100"/>
      <c r="HI34" s="100"/>
      <c r="HJ34" s="100"/>
      <c r="HK34" s="100"/>
      <c r="HL34" s="100"/>
      <c r="HM34" s="100"/>
      <c r="HN34" s="100"/>
      <c r="HO34" s="100"/>
      <c r="HP34" s="100"/>
      <c r="HQ34" s="100"/>
      <c r="HR34" s="100"/>
      <c r="HS34" s="100"/>
      <c r="HT34" s="100"/>
      <c r="HU34" s="101"/>
      <c r="HV34" s="156">
        <f>[2]Consolidado!$J$19</f>
        <v>0.36935600000000002</v>
      </c>
      <c r="HW34" s="157"/>
      <c r="HX34" s="157"/>
      <c r="HY34" s="157"/>
      <c r="HZ34" s="157"/>
      <c r="IA34" s="157"/>
      <c r="IB34" s="157"/>
      <c r="IC34" s="157"/>
      <c r="ID34" s="157"/>
      <c r="IE34" s="157"/>
      <c r="IF34" s="157"/>
      <c r="IG34" s="157"/>
      <c r="IH34" s="157"/>
      <c r="II34" s="157"/>
      <c r="IJ34" s="157"/>
      <c r="IK34" s="157"/>
      <c r="IL34" s="157"/>
      <c r="IM34" s="157"/>
      <c r="IN34" s="157"/>
      <c r="IO34" s="157"/>
      <c r="IP34" s="157"/>
      <c r="IQ34" s="157"/>
      <c r="IR34" s="157"/>
      <c r="IS34" s="157"/>
      <c r="IT34" s="157"/>
      <c r="IU34" s="157"/>
      <c r="IV34" s="157"/>
      <c r="IW34" s="157"/>
      <c r="IX34" s="157"/>
      <c r="IY34" s="157"/>
      <c r="IZ34" s="157"/>
      <c r="JA34" s="157"/>
      <c r="JB34" s="157"/>
      <c r="JC34" s="157"/>
      <c r="JD34" s="157"/>
      <c r="JE34" s="157"/>
      <c r="JF34" s="157"/>
      <c r="JG34" s="158"/>
      <c r="JH34" s="99">
        <f>[2]Consolidado!$J$21</f>
        <v>0</v>
      </c>
      <c r="JI34" s="100"/>
      <c r="JJ34" s="100"/>
      <c r="JK34" s="100"/>
      <c r="JL34" s="100"/>
      <c r="JM34" s="100"/>
      <c r="JN34" s="100"/>
      <c r="JO34" s="100"/>
      <c r="JP34" s="100"/>
      <c r="JQ34" s="100"/>
      <c r="JR34" s="100"/>
      <c r="JS34" s="100"/>
      <c r="JT34" s="100"/>
      <c r="JU34" s="100"/>
      <c r="JV34" s="100"/>
      <c r="JW34" s="100"/>
      <c r="JX34" s="100"/>
      <c r="JY34" s="100"/>
      <c r="JZ34" s="100"/>
      <c r="KA34" s="100"/>
      <c r="KB34" s="100"/>
      <c r="KC34" s="100"/>
      <c r="KD34" s="100"/>
      <c r="KE34" s="100"/>
      <c r="KF34" s="100"/>
      <c r="KG34" s="100"/>
      <c r="KH34" s="100"/>
      <c r="KI34" s="100"/>
      <c r="KJ34" s="100"/>
      <c r="KK34" s="100"/>
      <c r="KL34" s="100"/>
      <c r="KM34" s="100"/>
      <c r="KN34" s="100"/>
      <c r="KO34" s="100"/>
      <c r="KP34" s="100"/>
      <c r="KQ34" s="100"/>
      <c r="KR34" s="100"/>
      <c r="KS34" s="101"/>
      <c r="KT34" s="99">
        <f>[2]Consolidado!$J$22</f>
        <v>7.3199E-2</v>
      </c>
      <c r="KU34" s="100"/>
      <c r="KV34" s="100"/>
      <c r="KW34" s="100"/>
      <c r="KX34" s="100"/>
      <c r="KY34" s="100"/>
      <c r="KZ34" s="100"/>
      <c r="LA34" s="100"/>
      <c r="LB34" s="100"/>
      <c r="LC34" s="100"/>
      <c r="LD34" s="100"/>
      <c r="LE34" s="100"/>
      <c r="LF34" s="100"/>
      <c r="LG34" s="100"/>
      <c r="LH34" s="100"/>
      <c r="LI34" s="100"/>
      <c r="LJ34" s="100"/>
      <c r="LK34" s="100"/>
      <c r="LL34" s="100"/>
      <c r="LM34" s="100"/>
      <c r="LN34" s="100"/>
      <c r="LO34" s="100"/>
      <c r="LP34" s="100"/>
      <c r="LQ34" s="100"/>
      <c r="LR34" s="100"/>
      <c r="LS34" s="100"/>
      <c r="LT34" s="100"/>
      <c r="LU34" s="100"/>
      <c r="LV34" s="100"/>
      <c r="LW34" s="100"/>
      <c r="LX34" s="100"/>
      <c r="LY34" s="100"/>
      <c r="LZ34" s="100"/>
      <c r="MA34" s="100"/>
      <c r="MB34" s="100"/>
      <c r="MC34" s="100"/>
      <c r="MD34" s="100"/>
      <c r="ME34" s="101"/>
      <c r="MF34" s="99"/>
      <c r="MG34" s="100"/>
      <c r="MH34" s="100"/>
      <c r="MI34" s="100"/>
      <c r="MJ34" s="100"/>
      <c r="MK34" s="100"/>
      <c r="ML34" s="100"/>
      <c r="MM34" s="100"/>
      <c r="MN34" s="100"/>
      <c r="MO34" s="100"/>
      <c r="MP34" s="100"/>
      <c r="MQ34" s="100"/>
      <c r="MR34" s="100"/>
      <c r="MS34" s="100"/>
      <c r="MT34" s="100"/>
      <c r="MU34" s="100"/>
      <c r="MV34" s="100"/>
      <c r="MW34" s="100"/>
      <c r="MX34" s="100"/>
      <c r="MY34" s="100"/>
      <c r="MZ34" s="100"/>
      <c r="NA34" s="100"/>
      <c r="NB34" s="100"/>
      <c r="NC34" s="100"/>
      <c r="ND34" s="100"/>
      <c r="NE34" s="100"/>
      <c r="NF34" s="100"/>
      <c r="NG34" s="100"/>
      <c r="NH34" s="100"/>
      <c r="NI34" s="100"/>
      <c r="NJ34" s="100"/>
      <c r="NK34" s="100"/>
      <c r="NL34" s="100"/>
      <c r="NM34" s="100"/>
      <c r="NN34" s="100"/>
      <c r="NO34" s="100"/>
      <c r="NP34" s="100"/>
      <c r="NQ34" s="101"/>
      <c r="NR34" s="141">
        <f>[2]Consolidado!$J$23</f>
        <v>7.3199E-2</v>
      </c>
      <c r="NS34" s="142"/>
      <c r="NT34" s="142"/>
      <c r="NU34" s="142"/>
      <c r="NV34" s="142"/>
      <c r="NW34" s="142"/>
      <c r="NX34" s="142"/>
      <c r="NY34" s="142"/>
      <c r="NZ34" s="142"/>
      <c r="OA34" s="142"/>
      <c r="OB34" s="142"/>
      <c r="OC34" s="142"/>
      <c r="OD34" s="142"/>
      <c r="OE34" s="142"/>
      <c r="OF34" s="142"/>
      <c r="OG34" s="142"/>
      <c r="OH34" s="142"/>
      <c r="OI34" s="142"/>
      <c r="OJ34" s="142"/>
      <c r="OK34" s="142"/>
      <c r="OL34" s="142"/>
      <c r="OM34" s="142"/>
      <c r="ON34" s="142"/>
      <c r="OO34" s="142"/>
      <c r="OP34" s="142"/>
      <c r="OQ34" s="142"/>
      <c r="OR34" s="142"/>
      <c r="OS34" s="142"/>
      <c r="OT34" s="142"/>
      <c r="OU34" s="142"/>
      <c r="OV34" s="142"/>
      <c r="OW34" s="142"/>
      <c r="OX34" s="142"/>
      <c r="OY34" s="142"/>
      <c r="OZ34" s="142"/>
      <c r="PA34" s="142"/>
      <c r="PB34" s="142"/>
      <c r="PC34" s="143"/>
      <c r="PE34" s="80">
        <f>NR34+HV34+AN34+B34</f>
        <v>1.3351130000000002</v>
      </c>
    </row>
    <row r="35" spans="1:421" s="15" customFormat="1" ht="15.75" customHeight="1" outlineLevel="1" thickBot="1" x14ac:dyDescent="0.35">
      <c r="A35" s="47" t="s">
        <v>53</v>
      </c>
      <c r="B35" s="136">
        <f t="shared" ref="B35" si="1167">IF(B34&gt;0,(B33-B34)/B34,0)</f>
        <v>3.6989256743974915E-2</v>
      </c>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7"/>
      <c r="AN35" s="135">
        <f>IF(AN34&gt;0,(AN33-AN34)/AN34,0)</f>
        <v>-7.2274998060723183E-2</v>
      </c>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7"/>
      <c r="BZ35" s="111"/>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3"/>
      <c r="DL35" s="102" t="s">
        <v>110</v>
      </c>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4"/>
      <c r="EX35" s="102" t="s">
        <v>110</v>
      </c>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3"/>
      <c r="GB35" s="103"/>
      <c r="GC35" s="103"/>
      <c r="GD35" s="103"/>
      <c r="GE35" s="103"/>
      <c r="GF35" s="103"/>
      <c r="GG35" s="103"/>
      <c r="GH35" s="103"/>
      <c r="GI35" s="104"/>
      <c r="GJ35" s="102" t="s">
        <v>110</v>
      </c>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4"/>
      <c r="HV35" s="159">
        <f>IF(AND(HV33&lt;&gt;0,HV34&lt;&gt;0),(HV33-HV34)/HV34,IF(AND(HV33=0,HV34=0),"",IF(AND(HV33="",HV34=""),"",IF(AND(HV33=0,HV34=""),"",IF(AND(HV33="",HV34=0),"",1)))))</f>
        <v>-0.4053975033413309</v>
      </c>
      <c r="HW35" s="160"/>
      <c r="HX35" s="160"/>
      <c r="HY35" s="160"/>
      <c r="HZ35" s="160"/>
      <c r="IA35" s="160"/>
      <c r="IB35" s="160"/>
      <c r="IC35" s="160"/>
      <c r="ID35" s="160"/>
      <c r="IE35" s="160"/>
      <c r="IF35" s="160"/>
      <c r="IG35" s="160"/>
      <c r="IH35" s="160"/>
      <c r="II35" s="160"/>
      <c r="IJ35" s="160"/>
      <c r="IK35" s="160"/>
      <c r="IL35" s="160"/>
      <c r="IM35" s="160"/>
      <c r="IN35" s="160"/>
      <c r="IO35" s="160"/>
      <c r="IP35" s="160"/>
      <c r="IQ35" s="160"/>
      <c r="IR35" s="160"/>
      <c r="IS35" s="160"/>
      <c r="IT35" s="160"/>
      <c r="IU35" s="160"/>
      <c r="IV35" s="160"/>
      <c r="IW35" s="160"/>
      <c r="IX35" s="160"/>
      <c r="IY35" s="160"/>
      <c r="IZ35" s="160"/>
      <c r="JA35" s="160"/>
      <c r="JB35" s="160"/>
      <c r="JC35" s="160"/>
      <c r="JD35" s="160"/>
      <c r="JE35" s="160"/>
      <c r="JF35" s="160"/>
      <c r="JG35" s="161"/>
      <c r="JH35" s="102" t="s">
        <v>110</v>
      </c>
      <c r="JI35" s="103"/>
      <c r="JJ35" s="103"/>
      <c r="JK35" s="103"/>
      <c r="JL35" s="103"/>
      <c r="JM35" s="103"/>
      <c r="JN35" s="103"/>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4"/>
      <c r="KT35" s="102" t="s">
        <v>110</v>
      </c>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4"/>
      <c r="MF35" s="102" t="s">
        <v>110</v>
      </c>
      <c r="MG35" s="103"/>
      <c r="MH35" s="103"/>
      <c r="MI35" s="103"/>
      <c r="MJ35" s="103"/>
      <c r="MK35" s="103"/>
      <c r="ML35" s="103"/>
      <c r="MM35" s="103"/>
      <c r="MN35" s="103"/>
      <c r="MO35" s="103"/>
      <c r="MP35" s="103"/>
      <c r="MQ35" s="103"/>
      <c r="MR35" s="103"/>
      <c r="MS35" s="103"/>
      <c r="MT35" s="103"/>
      <c r="MU35" s="103"/>
      <c r="MV35" s="103"/>
      <c r="MW35" s="103"/>
      <c r="MX35" s="103"/>
      <c r="MY35" s="103"/>
      <c r="MZ35" s="103"/>
      <c r="NA35" s="103"/>
      <c r="NB35" s="103"/>
      <c r="NC35" s="103"/>
      <c r="ND35" s="103"/>
      <c r="NE35" s="103"/>
      <c r="NF35" s="103"/>
      <c r="NG35" s="103"/>
      <c r="NH35" s="103"/>
      <c r="NI35" s="103"/>
      <c r="NJ35" s="103"/>
      <c r="NK35" s="103"/>
      <c r="NL35" s="103"/>
      <c r="NM35" s="103"/>
      <c r="NN35" s="103"/>
      <c r="NO35" s="103"/>
      <c r="NP35" s="103"/>
      <c r="NQ35" s="104"/>
      <c r="NR35" s="144">
        <f>IF(AND(NR33&lt;&gt;0,NR34&lt;&gt;0),(NR33-NR34)/NR34,IF(AND(NR33=0,NR34=0),"",IF(AND(NR33="",NR34=""),"",IF(AND(NR33=0,NR34=""),"",IF(AND(NR33="",NR34=0),"",1)))))</f>
        <v>6.1203038575706791E-3</v>
      </c>
      <c r="NS35" s="145"/>
      <c r="NT35" s="145"/>
      <c r="NU35" s="145"/>
      <c r="NV35" s="145"/>
      <c r="NW35" s="145"/>
      <c r="NX35" s="145"/>
      <c r="NY35" s="145"/>
      <c r="NZ35" s="145"/>
      <c r="OA35" s="145"/>
      <c r="OB35" s="145"/>
      <c r="OC35" s="145"/>
      <c r="OD35" s="145"/>
      <c r="OE35" s="145"/>
      <c r="OF35" s="145"/>
      <c r="OG35" s="145"/>
      <c r="OH35" s="145"/>
      <c r="OI35" s="145"/>
      <c r="OJ35" s="145"/>
      <c r="OK35" s="145"/>
      <c r="OL35" s="145"/>
      <c r="OM35" s="145"/>
      <c r="ON35" s="145"/>
      <c r="OO35" s="145"/>
      <c r="OP35" s="145"/>
      <c r="OQ35" s="145"/>
      <c r="OR35" s="145"/>
      <c r="OS35" s="145"/>
      <c r="OT35" s="145"/>
      <c r="OU35" s="145"/>
      <c r="OV35" s="145"/>
      <c r="OW35" s="145"/>
      <c r="OX35" s="145"/>
      <c r="OY35" s="145"/>
      <c r="OZ35" s="145"/>
      <c r="PA35" s="145"/>
      <c r="PB35" s="145"/>
      <c r="PC35" s="146"/>
      <c r="PD35" s="13"/>
      <c r="PE35" s="81">
        <f>IF(AND(PE33&lt;&gt;0,PE34&lt;&gt;0),(PE33-PE34)/PE34,IF(AND(PE33=0,PE34=0),"",IF(AND(PE33="",PE34=""),"",IF(AND(PE33=0,PE34=""),"",IF(AND(PE33="",PE34=0),"",1)))))</f>
        <v>-9.9138761315068158E-2</v>
      </c>
    </row>
    <row r="36" spans="1:421" s="15" customFormat="1" ht="14.25" customHeight="1" outlineLevel="1" x14ac:dyDescent="0.3">
      <c r="A36" s="45" t="s">
        <v>56</v>
      </c>
      <c r="B36" s="96">
        <f>[1]Consolidado!$L$26</f>
        <v>0</v>
      </c>
      <c r="C36" s="97"/>
      <c r="D36" s="97"/>
      <c r="E36" s="97"/>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8"/>
      <c r="AN36" s="96">
        <f>[1]Consolidado!$L$27</f>
        <v>0</v>
      </c>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8"/>
      <c r="BZ36" s="96">
        <f>[1]Consolidado!$L$14</f>
        <v>0</v>
      </c>
      <c r="CA36" s="97"/>
      <c r="CB36" s="97"/>
      <c r="CC36" s="97"/>
      <c r="CD36" s="97"/>
      <c r="CE36" s="97"/>
      <c r="CF36" s="97"/>
      <c r="CG36" s="97"/>
      <c r="CH36" s="97"/>
      <c r="CI36" s="97"/>
      <c r="CJ36" s="97"/>
      <c r="CK36" s="97"/>
      <c r="CL36" s="97"/>
      <c r="CM36" s="97"/>
      <c r="CN36" s="97"/>
      <c r="CO36" s="97"/>
      <c r="CP36" s="97"/>
      <c r="CQ36" s="97"/>
      <c r="CR36" s="97"/>
      <c r="CS36" s="97"/>
      <c r="CT36" s="97"/>
      <c r="CU36" s="97"/>
      <c r="CV36" s="97"/>
      <c r="CW36" s="97"/>
      <c r="CX36" s="97"/>
      <c r="CY36" s="97"/>
      <c r="CZ36" s="97"/>
      <c r="DA36" s="97"/>
      <c r="DB36" s="97"/>
      <c r="DC36" s="97"/>
      <c r="DD36" s="97"/>
      <c r="DE36" s="97"/>
      <c r="DF36" s="97"/>
      <c r="DG36" s="97"/>
      <c r="DH36" s="97"/>
      <c r="DI36" s="97"/>
      <c r="DJ36" s="97"/>
      <c r="DK36" s="98"/>
      <c r="DL36" s="138">
        <f>[1]Consolidado!$L$17</f>
        <v>0</v>
      </c>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139"/>
      <c r="EJ36" s="139"/>
      <c r="EK36" s="139"/>
      <c r="EL36" s="139"/>
      <c r="EM36" s="139"/>
      <c r="EN36" s="139"/>
      <c r="EO36" s="139"/>
      <c r="EP36" s="139"/>
      <c r="EQ36" s="139"/>
      <c r="ER36" s="139"/>
      <c r="ES36" s="139"/>
      <c r="ET36" s="139"/>
      <c r="EU36" s="139"/>
      <c r="EV36" s="139"/>
      <c r="EW36" s="140"/>
      <c r="EX36" s="138">
        <f>[1]Consolidado!$L$18</f>
        <v>0</v>
      </c>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40"/>
      <c r="GJ36" s="138">
        <f>[1]Consolidado!$L$19</f>
        <v>0</v>
      </c>
      <c r="GK36" s="139"/>
      <c r="GL36" s="139"/>
      <c r="GM36" s="139"/>
      <c r="GN36" s="139"/>
      <c r="GO36" s="139"/>
      <c r="GP36" s="139"/>
      <c r="GQ36" s="139"/>
      <c r="GR36" s="139"/>
      <c r="GS36" s="139"/>
      <c r="GT36" s="139"/>
      <c r="GU36" s="139"/>
      <c r="GV36" s="139"/>
      <c r="GW36" s="139"/>
      <c r="GX36" s="139"/>
      <c r="GY36" s="139"/>
      <c r="GZ36" s="139"/>
      <c r="HA36" s="139"/>
      <c r="HB36" s="139"/>
      <c r="HC36" s="139"/>
      <c r="HD36" s="139"/>
      <c r="HE36" s="139"/>
      <c r="HF36" s="139"/>
      <c r="HG36" s="139"/>
      <c r="HH36" s="139"/>
      <c r="HI36" s="139"/>
      <c r="HJ36" s="139"/>
      <c r="HK36" s="139"/>
      <c r="HL36" s="139"/>
      <c r="HM36" s="139"/>
      <c r="HN36" s="139"/>
      <c r="HO36" s="139"/>
      <c r="HP36" s="139"/>
      <c r="HQ36" s="139"/>
      <c r="HR36" s="139"/>
      <c r="HS36" s="139"/>
      <c r="HT36" s="139"/>
      <c r="HU36" s="140"/>
      <c r="HV36" s="96">
        <f>[1]Consolidado!$L$20</f>
        <v>0</v>
      </c>
      <c r="HW36" s="97"/>
      <c r="HX36" s="97"/>
      <c r="HY36" s="97"/>
      <c r="HZ36" s="97"/>
      <c r="IA36" s="97"/>
      <c r="IB36" s="97"/>
      <c r="IC36" s="97"/>
      <c r="ID36" s="97"/>
      <c r="IE36" s="97"/>
      <c r="IF36" s="97"/>
      <c r="IG36" s="97"/>
      <c r="IH36" s="97"/>
      <c r="II36" s="97"/>
      <c r="IJ36" s="97"/>
      <c r="IK36" s="97"/>
      <c r="IL36" s="97"/>
      <c r="IM36" s="97"/>
      <c r="IN36" s="97"/>
      <c r="IO36" s="97"/>
      <c r="IP36" s="97"/>
      <c r="IQ36" s="97"/>
      <c r="IR36" s="97"/>
      <c r="IS36" s="97"/>
      <c r="IT36" s="97"/>
      <c r="IU36" s="97"/>
      <c r="IV36" s="97"/>
      <c r="IW36" s="97"/>
      <c r="IX36" s="97"/>
      <c r="IY36" s="97"/>
      <c r="IZ36" s="97"/>
      <c r="JA36" s="97"/>
      <c r="JB36" s="97"/>
      <c r="JC36" s="97"/>
      <c r="JD36" s="97"/>
      <c r="JE36" s="97"/>
      <c r="JF36" s="97"/>
      <c r="JG36" s="98"/>
      <c r="JH36" s="138">
        <f>[1]Consolidado!$L$22</f>
        <v>0</v>
      </c>
      <c r="JI36" s="139"/>
      <c r="JJ36" s="139"/>
      <c r="JK36" s="139"/>
      <c r="JL36" s="139"/>
      <c r="JM36" s="139"/>
      <c r="JN36" s="139"/>
      <c r="JO36" s="139"/>
      <c r="JP36" s="139"/>
      <c r="JQ36" s="139"/>
      <c r="JR36" s="139"/>
      <c r="JS36" s="139"/>
      <c r="JT36" s="139"/>
      <c r="JU36" s="139"/>
      <c r="JV36" s="139"/>
      <c r="JW36" s="139"/>
      <c r="JX36" s="139"/>
      <c r="JY36" s="139"/>
      <c r="JZ36" s="139"/>
      <c r="KA36" s="139"/>
      <c r="KB36" s="139"/>
      <c r="KC36" s="139"/>
      <c r="KD36" s="139"/>
      <c r="KE36" s="139"/>
      <c r="KF36" s="139"/>
      <c r="KG36" s="139"/>
      <c r="KH36" s="139"/>
      <c r="KI36" s="139"/>
      <c r="KJ36" s="139"/>
      <c r="KK36" s="139"/>
      <c r="KL36" s="139"/>
      <c r="KM36" s="139"/>
      <c r="KN36" s="139"/>
      <c r="KO36" s="139"/>
      <c r="KP36" s="139"/>
      <c r="KQ36" s="139"/>
      <c r="KR36" s="139"/>
      <c r="KS36" s="140"/>
      <c r="KT36" s="138">
        <f>[1]Consolidado!$L$23</f>
        <v>0</v>
      </c>
      <c r="KU36" s="139"/>
      <c r="KV36" s="139"/>
      <c r="KW36" s="139"/>
      <c r="KX36" s="139"/>
      <c r="KY36" s="139"/>
      <c r="KZ36" s="139"/>
      <c r="LA36" s="139"/>
      <c r="LB36" s="139"/>
      <c r="LC36" s="139"/>
      <c r="LD36" s="139"/>
      <c r="LE36" s="139"/>
      <c r="LF36" s="139"/>
      <c r="LG36" s="139"/>
      <c r="LH36" s="139"/>
      <c r="LI36" s="139"/>
      <c r="LJ36" s="139"/>
      <c r="LK36" s="139"/>
      <c r="LL36" s="139"/>
      <c r="LM36" s="139"/>
      <c r="LN36" s="139"/>
      <c r="LO36" s="139"/>
      <c r="LP36" s="139"/>
      <c r="LQ36" s="139"/>
      <c r="LR36" s="139"/>
      <c r="LS36" s="139"/>
      <c r="LT36" s="139"/>
      <c r="LU36" s="139"/>
      <c r="LV36" s="139"/>
      <c r="LW36" s="139"/>
      <c r="LX36" s="139"/>
      <c r="LY36" s="139"/>
      <c r="LZ36" s="139"/>
      <c r="MA36" s="139"/>
      <c r="MB36" s="139"/>
      <c r="MC36" s="139"/>
      <c r="MD36" s="139"/>
      <c r="ME36" s="140"/>
      <c r="MF36" s="138">
        <f>[1]Consolidado!$L$24</f>
        <v>0</v>
      </c>
      <c r="MG36" s="139"/>
      <c r="MH36" s="139"/>
      <c r="MI36" s="139"/>
      <c r="MJ36" s="139"/>
      <c r="MK36" s="139"/>
      <c r="ML36" s="139"/>
      <c r="MM36" s="139"/>
      <c r="MN36" s="139"/>
      <c r="MO36" s="139"/>
      <c r="MP36" s="139"/>
      <c r="MQ36" s="139"/>
      <c r="MR36" s="139"/>
      <c r="MS36" s="139"/>
      <c r="MT36" s="139"/>
      <c r="MU36" s="139"/>
      <c r="MV36" s="139"/>
      <c r="MW36" s="139"/>
      <c r="MX36" s="139"/>
      <c r="MY36" s="139"/>
      <c r="MZ36" s="139"/>
      <c r="NA36" s="139"/>
      <c r="NB36" s="139"/>
      <c r="NC36" s="139"/>
      <c r="ND36" s="139"/>
      <c r="NE36" s="139"/>
      <c r="NF36" s="139"/>
      <c r="NG36" s="139"/>
      <c r="NH36" s="139"/>
      <c r="NI36" s="139"/>
      <c r="NJ36" s="139"/>
      <c r="NK36" s="139"/>
      <c r="NL36" s="139"/>
      <c r="NM36" s="139"/>
      <c r="NN36" s="139"/>
      <c r="NO36" s="139"/>
      <c r="NP36" s="139"/>
      <c r="NQ36" s="140"/>
      <c r="NR36" s="96">
        <f>[1]Consolidado!$L$25</f>
        <v>0</v>
      </c>
      <c r="NS36" s="97"/>
      <c r="NT36" s="97"/>
      <c r="NU36" s="97"/>
      <c r="NV36" s="97"/>
      <c r="NW36" s="97"/>
      <c r="NX36" s="97"/>
      <c r="NY36" s="97"/>
      <c r="NZ36" s="97"/>
      <c r="OA36" s="97"/>
      <c r="OB36" s="97"/>
      <c r="OC36" s="97"/>
      <c r="OD36" s="97"/>
      <c r="OE36" s="97"/>
      <c r="OF36" s="97"/>
      <c r="OG36" s="97"/>
      <c r="OH36" s="97"/>
      <c r="OI36" s="97"/>
      <c r="OJ36" s="97"/>
      <c r="OK36" s="97"/>
      <c r="OL36" s="97"/>
      <c r="OM36" s="97"/>
      <c r="ON36" s="97"/>
      <c r="OO36" s="97"/>
      <c r="OP36" s="97"/>
      <c r="OQ36" s="97"/>
      <c r="OR36" s="97"/>
      <c r="OS36" s="97"/>
      <c r="OT36" s="97"/>
      <c r="OU36" s="97"/>
      <c r="OV36" s="97"/>
      <c r="OW36" s="97"/>
      <c r="OX36" s="97"/>
      <c r="OY36" s="97"/>
      <c r="OZ36" s="97"/>
      <c r="PA36" s="97"/>
      <c r="PB36" s="97"/>
      <c r="PC36" s="98"/>
    </row>
    <row r="37" spans="1:421" s="15" customFormat="1" outlineLevel="1" x14ac:dyDescent="0.3">
      <c r="A37" s="46" t="s">
        <v>57</v>
      </c>
      <c r="B37" s="132">
        <f>[2]Consolidado!$L$12</f>
        <v>0</v>
      </c>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4"/>
      <c r="AN37" s="132">
        <f>[2]Consolidado!$L$13</f>
        <v>0</v>
      </c>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4"/>
      <c r="BZ37" s="132">
        <f>[2]Consolidado!$L$14</f>
        <v>0</v>
      </c>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4"/>
      <c r="DL37" s="99">
        <f>[2]Consolidado!$L$17</f>
        <v>0</v>
      </c>
      <c r="DM37" s="100"/>
      <c r="DN37" s="100"/>
      <c r="DO37" s="100"/>
      <c r="DP37" s="100"/>
      <c r="DQ37" s="100"/>
      <c r="DR37" s="100"/>
      <c r="DS37" s="100"/>
      <c r="DT37" s="100"/>
      <c r="DU37" s="100"/>
      <c r="DV37" s="100"/>
      <c r="DW37" s="100"/>
      <c r="DX37" s="100"/>
      <c r="DY37" s="100"/>
      <c r="DZ37" s="100"/>
      <c r="EA37" s="100"/>
      <c r="EB37" s="100"/>
      <c r="EC37" s="100"/>
      <c r="ED37" s="100"/>
      <c r="EE37" s="100"/>
      <c r="EF37" s="100"/>
      <c r="EG37" s="100"/>
      <c r="EH37" s="100"/>
      <c r="EI37" s="100"/>
      <c r="EJ37" s="100"/>
      <c r="EK37" s="100"/>
      <c r="EL37" s="100"/>
      <c r="EM37" s="100"/>
      <c r="EN37" s="100"/>
      <c r="EO37" s="100"/>
      <c r="EP37" s="100"/>
      <c r="EQ37" s="100"/>
      <c r="ER37" s="100"/>
      <c r="ES37" s="100"/>
      <c r="ET37" s="100"/>
      <c r="EU37" s="100"/>
      <c r="EV37" s="100"/>
      <c r="EW37" s="101"/>
      <c r="EX37" s="99">
        <f>[2]Consolidado!$L$18</f>
        <v>0</v>
      </c>
      <c r="EY37" s="100"/>
      <c r="EZ37" s="100"/>
      <c r="FA37" s="100"/>
      <c r="FB37" s="100"/>
      <c r="FC37" s="100"/>
      <c r="FD37" s="100"/>
      <c r="FE37" s="100"/>
      <c r="FF37" s="100"/>
      <c r="FG37" s="100"/>
      <c r="FH37" s="100"/>
      <c r="FI37" s="100"/>
      <c r="FJ37" s="100"/>
      <c r="FK37" s="100"/>
      <c r="FL37" s="100"/>
      <c r="FM37" s="100"/>
      <c r="FN37" s="100"/>
      <c r="FO37" s="100"/>
      <c r="FP37" s="100"/>
      <c r="FQ37" s="100"/>
      <c r="FR37" s="100"/>
      <c r="FS37" s="100"/>
      <c r="FT37" s="100"/>
      <c r="FU37" s="100"/>
      <c r="FV37" s="100"/>
      <c r="FW37" s="100"/>
      <c r="FX37" s="100"/>
      <c r="FY37" s="100"/>
      <c r="FZ37" s="100"/>
      <c r="GA37" s="100"/>
      <c r="GB37" s="100"/>
      <c r="GC37" s="100"/>
      <c r="GD37" s="100"/>
      <c r="GE37" s="100"/>
      <c r="GF37" s="100"/>
      <c r="GG37" s="100"/>
      <c r="GH37" s="100"/>
      <c r="GI37" s="101"/>
      <c r="GJ37" s="99"/>
      <c r="GK37" s="100"/>
      <c r="GL37" s="100"/>
      <c r="GM37" s="100"/>
      <c r="GN37" s="100"/>
      <c r="GO37" s="100"/>
      <c r="GP37" s="100"/>
      <c r="GQ37" s="100"/>
      <c r="GR37" s="100"/>
      <c r="GS37" s="100"/>
      <c r="GT37" s="100"/>
      <c r="GU37" s="100"/>
      <c r="GV37" s="100"/>
      <c r="GW37" s="100"/>
      <c r="GX37" s="100"/>
      <c r="GY37" s="100"/>
      <c r="GZ37" s="100"/>
      <c r="HA37" s="100"/>
      <c r="HB37" s="100"/>
      <c r="HC37" s="100"/>
      <c r="HD37" s="100"/>
      <c r="HE37" s="100"/>
      <c r="HF37" s="100"/>
      <c r="HG37" s="100"/>
      <c r="HH37" s="100"/>
      <c r="HI37" s="100"/>
      <c r="HJ37" s="100"/>
      <c r="HK37" s="100"/>
      <c r="HL37" s="100"/>
      <c r="HM37" s="100"/>
      <c r="HN37" s="100"/>
      <c r="HO37" s="100"/>
      <c r="HP37" s="100"/>
      <c r="HQ37" s="100"/>
      <c r="HR37" s="100"/>
      <c r="HS37" s="100"/>
      <c r="HT37" s="100"/>
      <c r="HU37" s="101"/>
      <c r="HV37" s="168">
        <f>[2]Consolidado!$L$19</f>
        <v>0</v>
      </c>
      <c r="HW37" s="169"/>
      <c r="HX37" s="169"/>
      <c r="HY37" s="169"/>
      <c r="HZ37" s="169"/>
      <c r="IA37" s="169"/>
      <c r="IB37" s="169"/>
      <c r="IC37" s="169"/>
      <c r="ID37" s="169"/>
      <c r="IE37" s="169"/>
      <c r="IF37" s="169"/>
      <c r="IG37" s="169"/>
      <c r="IH37" s="169"/>
      <c r="II37" s="169"/>
      <c r="IJ37" s="169"/>
      <c r="IK37" s="169"/>
      <c r="IL37" s="169"/>
      <c r="IM37" s="169"/>
      <c r="IN37" s="169"/>
      <c r="IO37" s="169"/>
      <c r="IP37" s="169"/>
      <c r="IQ37" s="169"/>
      <c r="IR37" s="169"/>
      <c r="IS37" s="169"/>
      <c r="IT37" s="169"/>
      <c r="IU37" s="169"/>
      <c r="IV37" s="169"/>
      <c r="IW37" s="169"/>
      <c r="IX37" s="169"/>
      <c r="IY37" s="169"/>
      <c r="IZ37" s="169"/>
      <c r="JA37" s="169"/>
      <c r="JB37" s="169"/>
      <c r="JC37" s="169"/>
      <c r="JD37" s="169"/>
      <c r="JE37" s="169"/>
      <c r="JF37" s="169"/>
      <c r="JG37" s="170"/>
      <c r="JH37" s="99">
        <f>[2]Consolidado!$L$21</f>
        <v>0</v>
      </c>
      <c r="JI37" s="100"/>
      <c r="JJ37" s="100"/>
      <c r="JK37" s="100"/>
      <c r="JL37" s="100"/>
      <c r="JM37" s="100"/>
      <c r="JN37" s="100"/>
      <c r="JO37" s="100"/>
      <c r="JP37" s="100"/>
      <c r="JQ37" s="100"/>
      <c r="JR37" s="100"/>
      <c r="JS37" s="100"/>
      <c r="JT37" s="100"/>
      <c r="JU37" s="100"/>
      <c r="JV37" s="100"/>
      <c r="JW37" s="100"/>
      <c r="JX37" s="100"/>
      <c r="JY37" s="100"/>
      <c r="JZ37" s="100"/>
      <c r="KA37" s="100"/>
      <c r="KB37" s="100"/>
      <c r="KC37" s="100"/>
      <c r="KD37" s="100"/>
      <c r="KE37" s="100"/>
      <c r="KF37" s="100"/>
      <c r="KG37" s="100"/>
      <c r="KH37" s="100"/>
      <c r="KI37" s="100"/>
      <c r="KJ37" s="100"/>
      <c r="KK37" s="100"/>
      <c r="KL37" s="100"/>
      <c r="KM37" s="100"/>
      <c r="KN37" s="100"/>
      <c r="KO37" s="100"/>
      <c r="KP37" s="100"/>
      <c r="KQ37" s="100"/>
      <c r="KR37" s="100"/>
      <c r="KS37" s="101"/>
      <c r="KT37" s="99">
        <f>[2]Consolidado!$L$22</f>
        <v>0</v>
      </c>
      <c r="KU37" s="100"/>
      <c r="KV37" s="100"/>
      <c r="KW37" s="100"/>
      <c r="KX37" s="100"/>
      <c r="KY37" s="100"/>
      <c r="KZ37" s="100"/>
      <c r="LA37" s="100"/>
      <c r="LB37" s="100"/>
      <c r="LC37" s="100"/>
      <c r="LD37" s="100"/>
      <c r="LE37" s="100"/>
      <c r="LF37" s="100"/>
      <c r="LG37" s="100"/>
      <c r="LH37" s="100"/>
      <c r="LI37" s="100"/>
      <c r="LJ37" s="100"/>
      <c r="LK37" s="100"/>
      <c r="LL37" s="100"/>
      <c r="LM37" s="100"/>
      <c r="LN37" s="100"/>
      <c r="LO37" s="100"/>
      <c r="LP37" s="100"/>
      <c r="LQ37" s="100"/>
      <c r="LR37" s="100"/>
      <c r="LS37" s="100"/>
      <c r="LT37" s="100"/>
      <c r="LU37" s="100"/>
      <c r="LV37" s="100"/>
      <c r="LW37" s="100"/>
      <c r="LX37" s="100"/>
      <c r="LY37" s="100"/>
      <c r="LZ37" s="100"/>
      <c r="MA37" s="100"/>
      <c r="MB37" s="100"/>
      <c r="MC37" s="100"/>
      <c r="MD37" s="100"/>
      <c r="ME37" s="101"/>
      <c r="MF37" s="99"/>
      <c r="MG37" s="100"/>
      <c r="MH37" s="100"/>
      <c r="MI37" s="100"/>
      <c r="MJ37" s="100"/>
      <c r="MK37" s="100"/>
      <c r="ML37" s="100"/>
      <c r="MM37" s="100"/>
      <c r="MN37" s="100"/>
      <c r="MO37" s="100"/>
      <c r="MP37" s="100"/>
      <c r="MQ37" s="100"/>
      <c r="MR37" s="100"/>
      <c r="MS37" s="100"/>
      <c r="MT37" s="100"/>
      <c r="MU37" s="100"/>
      <c r="MV37" s="100"/>
      <c r="MW37" s="100"/>
      <c r="MX37" s="100"/>
      <c r="MY37" s="100"/>
      <c r="MZ37" s="100"/>
      <c r="NA37" s="100"/>
      <c r="NB37" s="100"/>
      <c r="NC37" s="100"/>
      <c r="ND37" s="100"/>
      <c r="NE37" s="100"/>
      <c r="NF37" s="100"/>
      <c r="NG37" s="100"/>
      <c r="NH37" s="100"/>
      <c r="NI37" s="100"/>
      <c r="NJ37" s="100"/>
      <c r="NK37" s="100"/>
      <c r="NL37" s="100"/>
      <c r="NM37" s="100"/>
      <c r="NN37" s="100"/>
      <c r="NO37" s="100"/>
      <c r="NP37" s="100"/>
      <c r="NQ37" s="101"/>
      <c r="NR37" s="168">
        <f>[2]Consolidado!$L$23</f>
        <v>0</v>
      </c>
      <c r="NS37" s="169"/>
      <c r="NT37" s="169"/>
      <c r="NU37" s="169"/>
      <c r="NV37" s="169"/>
      <c r="NW37" s="169"/>
      <c r="NX37" s="169"/>
      <c r="NY37" s="169"/>
      <c r="NZ37" s="169"/>
      <c r="OA37" s="169"/>
      <c r="OB37" s="169"/>
      <c r="OC37" s="169"/>
      <c r="OD37" s="169"/>
      <c r="OE37" s="169"/>
      <c r="OF37" s="169"/>
      <c r="OG37" s="169"/>
      <c r="OH37" s="169"/>
      <c r="OI37" s="169"/>
      <c r="OJ37" s="169"/>
      <c r="OK37" s="169"/>
      <c r="OL37" s="169"/>
      <c r="OM37" s="169"/>
      <c r="ON37" s="169"/>
      <c r="OO37" s="169"/>
      <c r="OP37" s="169"/>
      <c r="OQ37" s="169"/>
      <c r="OR37" s="169"/>
      <c r="OS37" s="169"/>
      <c r="OT37" s="169"/>
      <c r="OU37" s="169"/>
      <c r="OV37" s="169"/>
      <c r="OW37" s="169"/>
      <c r="OX37" s="169"/>
      <c r="OY37" s="169"/>
      <c r="OZ37" s="169"/>
      <c r="PA37" s="169"/>
      <c r="PB37" s="169"/>
      <c r="PC37" s="170"/>
    </row>
    <row r="38" spans="1:421" ht="15.75" customHeight="1" outlineLevel="1" thickBot="1" x14ac:dyDescent="0.35">
      <c r="A38" s="47" t="s">
        <v>58</v>
      </c>
      <c r="B38" s="162">
        <f t="shared" ref="B38:AN38" si="1168">IF(B37&gt;0,(B36-B37)/B37,0)</f>
        <v>0</v>
      </c>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3"/>
      <c r="AN38" s="164">
        <f t="shared" si="1168"/>
        <v>0</v>
      </c>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3"/>
      <c r="BZ38" s="164">
        <f t="shared" ref="BZ38" si="1169">IF(BZ37&gt;0,(BZ36-BZ37)/BZ37,0)</f>
        <v>0</v>
      </c>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3"/>
      <c r="DL38" s="102" t="s">
        <v>110</v>
      </c>
      <c r="DM38" s="103"/>
      <c r="DN38" s="103"/>
      <c r="DO38" s="103"/>
      <c r="DP38" s="103"/>
      <c r="DQ38" s="103"/>
      <c r="DR38" s="103"/>
      <c r="DS38" s="103"/>
      <c r="DT38" s="103"/>
      <c r="DU38" s="103"/>
      <c r="DV38" s="103"/>
      <c r="DW38" s="103"/>
      <c r="DX38" s="103"/>
      <c r="DY38" s="103"/>
      <c r="DZ38" s="103"/>
      <c r="EA38" s="103"/>
      <c r="EB38" s="103"/>
      <c r="EC38" s="103"/>
      <c r="ED38" s="103"/>
      <c r="EE38" s="103"/>
      <c r="EF38" s="103"/>
      <c r="EG38" s="103"/>
      <c r="EH38" s="103"/>
      <c r="EI38" s="103"/>
      <c r="EJ38" s="103"/>
      <c r="EK38" s="103"/>
      <c r="EL38" s="103"/>
      <c r="EM38" s="103"/>
      <c r="EN38" s="103"/>
      <c r="EO38" s="103"/>
      <c r="EP38" s="103"/>
      <c r="EQ38" s="103"/>
      <c r="ER38" s="103"/>
      <c r="ES38" s="103"/>
      <c r="ET38" s="103"/>
      <c r="EU38" s="103"/>
      <c r="EV38" s="103"/>
      <c r="EW38" s="104"/>
      <c r="EX38" s="102" t="s">
        <v>110</v>
      </c>
      <c r="EY38" s="103"/>
      <c r="EZ38" s="103"/>
      <c r="FA38" s="103"/>
      <c r="FB38" s="103"/>
      <c r="FC38" s="103"/>
      <c r="FD38" s="103"/>
      <c r="FE38" s="103"/>
      <c r="FF38" s="103"/>
      <c r="FG38" s="103"/>
      <c r="FH38" s="103"/>
      <c r="FI38" s="103"/>
      <c r="FJ38" s="103"/>
      <c r="FK38" s="103"/>
      <c r="FL38" s="103"/>
      <c r="FM38" s="103"/>
      <c r="FN38" s="103"/>
      <c r="FO38" s="103"/>
      <c r="FP38" s="103"/>
      <c r="FQ38" s="103"/>
      <c r="FR38" s="103"/>
      <c r="FS38" s="103"/>
      <c r="FT38" s="103"/>
      <c r="FU38" s="103"/>
      <c r="FV38" s="103"/>
      <c r="FW38" s="103"/>
      <c r="FX38" s="103"/>
      <c r="FY38" s="103"/>
      <c r="FZ38" s="103"/>
      <c r="GA38" s="103"/>
      <c r="GB38" s="103"/>
      <c r="GC38" s="103"/>
      <c r="GD38" s="103"/>
      <c r="GE38" s="103"/>
      <c r="GF38" s="103"/>
      <c r="GG38" s="103"/>
      <c r="GH38" s="103"/>
      <c r="GI38" s="104"/>
      <c r="GJ38" s="102" t="s">
        <v>110</v>
      </c>
      <c r="GK38" s="103"/>
      <c r="GL38" s="103"/>
      <c r="GM38" s="103"/>
      <c r="GN38" s="103"/>
      <c r="GO38" s="103"/>
      <c r="GP38" s="103"/>
      <c r="GQ38" s="103"/>
      <c r="GR38" s="103"/>
      <c r="GS38" s="103"/>
      <c r="GT38" s="103"/>
      <c r="GU38" s="103"/>
      <c r="GV38" s="103"/>
      <c r="GW38" s="103"/>
      <c r="GX38" s="103"/>
      <c r="GY38" s="103"/>
      <c r="GZ38" s="103"/>
      <c r="HA38" s="103"/>
      <c r="HB38" s="103"/>
      <c r="HC38" s="103"/>
      <c r="HD38" s="103"/>
      <c r="HE38" s="103"/>
      <c r="HF38" s="103"/>
      <c r="HG38" s="103"/>
      <c r="HH38" s="103"/>
      <c r="HI38" s="103"/>
      <c r="HJ38" s="103"/>
      <c r="HK38" s="103"/>
      <c r="HL38" s="103"/>
      <c r="HM38" s="103"/>
      <c r="HN38" s="103"/>
      <c r="HO38" s="103"/>
      <c r="HP38" s="103"/>
      <c r="HQ38" s="103"/>
      <c r="HR38" s="103"/>
      <c r="HS38" s="103"/>
      <c r="HT38" s="103"/>
      <c r="HU38" s="104"/>
      <c r="HV38" s="165" t="str">
        <f>IF(AND(HV36&lt;&gt;0,HV37&lt;&gt;0),(HV36-HV37)/HV37,IF(AND(HV36=0,HV37=0),"",IF(AND(HV36="",HV37=""),"",IF(AND(HV36=0,HV37=""),"",IF(AND(HV36="",HV37=0),"",1)))))</f>
        <v/>
      </c>
      <c r="HW38" s="166"/>
      <c r="HX38" s="166"/>
      <c r="HY38" s="166"/>
      <c r="HZ38" s="166"/>
      <c r="IA38" s="166"/>
      <c r="IB38" s="166"/>
      <c r="IC38" s="166"/>
      <c r="ID38" s="166"/>
      <c r="IE38" s="166"/>
      <c r="IF38" s="166"/>
      <c r="IG38" s="166"/>
      <c r="IH38" s="166"/>
      <c r="II38" s="166"/>
      <c r="IJ38" s="166"/>
      <c r="IK38" s="166"/>
      <c r="IL38" s="166"/>
      <c r="IM38" s="166"/>
      <c r="IN38" s="166"/>
      <c r="IO38" s="166"/>
      <c r="IP38" s="166"/>
      <c r="IQ38" s="166"/>
      <c r="IR38" s="166"/>
      <c r="IS38" s="166"/>
      <c r="IT38" s="166"/>
      <c r="IU38" s="166"/>
      <c r="IV38" s="166"/>
      <c r="IW38" s="166"/>
      <c r="IX38" s="166"/>
      <c r="IY38" s="166"/>
      <c r="IZ38" s="166"/>
      <c r="JA38" s="166"/>
      <c r="JB38" s="166"/>
      <c r="JC38" s="166"/>
      <c r="JD38" s="166"/>
      <c r="JE38" s="166"/>
      <c r="JF38" s="166"/>
      <c r="JG38" s="167"/>
      <c r="JH38" s="102" t="s">
        <v>110</v>
      </c>
      <c r="JI38" s="103"/>
      <c r="JJ38" s="103"/>
      <c r="JK38" s="103"/>
      <c r="JL38" s="103"/>
      <c r="JM38" s="103"/>
      <c r="JN38" s="103"/>
      <c r="JO38" s="103"/>
      <c r="JP38" s="103"/>
      <c r="JQ38" s="103"/>
      <c r="JR38" s="103"/>
      <c r="JS38" s="103"/>
      <c r="JT38" s="103"/>
      <c r="JU38" s="103"/>
      <c r="JV38" s="103"/>
      <c r="JW38" s="103"/>
      <c r="JX38" s="103"/>
      <c r="JY38" s="103"/>
      <c r="JZ38" s="103"/>
      <c r="KA38" s="103"/>
      <c r="KB38" s="103"/>
      <c r="KC38" s="103"/>
      <c r="KD38" s="103"/>
      <c r="KE38" s="103"/>
      <c r="KF38" s="103"/>
      <c r="KG38" s="103"/>
      <c r="KH38" s="103"/>
      <c r="KI38" s="103"/>
      <c r="KJ38" s="103"/>
      <c r="KK38" s="103"/>
      <c r="KL38" s="103"/>
      <c r="KM38" s="103"/>
      <c r="KN38" s="103"/>
      <c r="KO38" s="103"/>
      <c r="KP38" s="103"/>
      <c r="KQ38" s="103"/>
      <c r="KR38" s="103"/>
      <c r="KS38" s="104"/>
      <c r="KT38" s="102" t="s">
        <v>110</v>
      </c>
      <c r="KU38" s="103"/>
      <c r="KV38" s="103"/>
      <c r="KW38" s="103"/>
      <c r="KX38" s="103"/>
      <c r="KY38" s="103"/>
      <c r="KZ38" s="103"/>
      <c r="LA38" s="103"/>
      <c r="LB38" s="103"/>
      <c r="LC38" s="103"/>
      <c r="LD38" s="103"/>
      <c r="LE38" s="103"/>
      <c r="LF38" s="103"/>
      <c r="LG38" s="103"/>
      <c r="LH38" s="103"/>
      <c r="LI38" s="103"/>
      <c r="LJ38" s="103"/>
      <c r="LK38" s="103"/>
      <c r="LL38" s="103"/>
      <c r="LM38" s="103"/>
      <c r="LN38" s="103"/>
      <c r="LO38" s="103"/>
      <c r="LP38" s="103"/>
      <c r="LQ38" s="103"/>
      <c r="LR38" s="103"/>
      <c r="LS38" s="103"/>
      <c r="LT38" s="103"/>
      <c r="LU38" s="103"/>
      <c r="LV38" s="103"/>
      <c r="LW38" s="103"/>
      <c r="LX38" s="103"/>
      <c r="LY38" s="103"/>
      <c r="LZ38" s="103"/>
      <c r="MA38" s="103"/>
      <c r="MB38" s="103"/>
      <c r="MC38" s="103"/>
      <c r="MD38" s="103"/>
      <c r="ME38" s="104"/>
      <c r="MF38" s="102" t="s">
        <v>110</v>
      </c>
      <c r="MG38" s="103"/>
      <c r="MH38" s="103"/>
      <c r="MI38" s="103"/>
      <c r="MJ38" s="103"/>
      <c r="MK38" s="103"/>
      <c r="ML38" s="103"/>
      <c r="MM38" s="103"/>
      <c r="MN38" s="103"/>
      <c r="MO38" s="103"/>
      <c r="MP38" s="103"/>
      <c r="MQ38" s="103"/>
      <c r="MR38" s="103"/>
      <c r="MS38" s="103"/>
      <c r="MT38" s="103"/>
      <c r="MU38" s="103"/>
      <c r="MV38" s="103"/>
      <c r="MW38" s="103"/>
      <c r="MX38" s="103"/>
      <c r="MY38" s="103"/>
      <c r="MZ38" s="103"/>
      <c r="NA38" s="103"/>
      <c r="NB38" s="103"/>
      <c r="NC38" s="103"/>
      <c r="ND38" s="103"/>
      <c r="NE38" s="103"/>
      <c r="NF38" s="103"/>
      <c r="NG38" s="103"/>
      <c r="NH38" s="103"/>
      <c r="NI38" s="103"/>
      <c r="NJ38" s="103"/>
      <c r="NK38" s="103"/>
      <c r="NL38" s="103"/>
      <c r="NM38" s="103"/>
      <c r="NN38" s="103"/>
      <c r="NO38" s="103"/>
      <c r="NP38" s="103"/>
      <c r="NQ38" s="104"/>
      <c r="NR38" s="165" t="str">
        <f>IF(AND(NR36&lt;&gt;0,NR37&lt;&gt;0),(NR36-NR37)/NR37,IF(AND(NR36=0,NR37=0),"",IF(AND(NR36="",NR37=""),"",IF(AND(NR36=0,NR37=""),"",IF(AND(NR36="",NR37=0),"",1)))))</f>
        <v/>
      </c>
      <c r="NS38" s="166"/>
      <c r="NT38" s="166"/>
      <c r="NU38" s="166"/>
      <c r="NV38" s="166"/>
      <c r="NW38" s="166"/>
      <c r="NX38" s="166"/>
      <c r="NY38" s="166"/>
      <c r="NZ38" s="166"/>
      <c r="OA38" s="166"/>
      <c r="OB38" s="166"/>
      <c r="OC38" s="166"/>
      <c r="OD38" s="166"/>
      <c r="OE38" s="166"/>
      <c r="OF38" s="166"/>
      <c r="OG38" s="166"/>
      <c r="OH38" s="166"/>
      <c r="OI38" s="166"/>
      <c r="OJ38" s="166"/>
      <c r="OK38" s="166"/>
      <c r="OL38" s="166"/>
      <c r="OM38" s="166"/>
      <c r="ON38" s="166"/>
      <c r="OO38" s="166"/>
      <c r="OP38" s="166"/>
      <c r="OQ38" s="166"/>
      <c r="OR38" s="166"/>
      <c r="OS38" s="166"/>
      <c r="OT38" s="166"/>
      <c r="OU38" s="166"/>
      <c r="OV38" s="166"/>
      <c r="OW38" s="166"/>
      <c r="OX38" s="166"/>
      <c r="OY38" s="166"/>
      <c r="OZ38" s="166"/>
      <c r="PA38" s="166"/>
      <c r="PB38" s="166"/>
      <c r="PC38" s="167"/>
    </row>
    <row r="39" spans="1:421" x14ac:dyDescent="0.3">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21" x14ac:dyDescent="0.3">
      <c r="AW40" s="77">
        <f>AW3+AW6</f>
        <v>0</v>
      </c>
      <c r="AX40" s="79" t="e">
        <f>(AW41-AW40)/AW41</f>
        <v>#DIV/0!</v>
      </c>
    </row>
    <row r="41" spans="1:421" x14ac:dyDescent="0.3">
      <c r="B41" s="77">
        <f>+B12+AN12+BZ12</f>
        <v>2692634.984375</v>
      </c>
      <c r="C41" s="77">
        <f t="shared" ref="C41:L41" si="1170">+C12+AO12+CA12</f>
        <v>2692634.90625</v>
      </c>
      <c r="D41" s="77">
        <f t="shared" si="1170"/>
        <v>2692635.03125</v>
      </c>
      <c r="E41" s="77">
        <f t="shared" si="1170"/>
        <v>2692634.875</v>
      </c>
      <c r="F41" s="77">
        <f t="shared" si="1170"/>
        <v>2692635.03125</v>
      </c>
      <c r="G41" s="77">
        <f t="shared" si="1170"/>
        <v>2692635.0625</v>
      </c>
      <c r="H41" s="77">
        <f t="shared" si="1170"/>
        <v>2692634.83984375</v>
      </c>
      <c r="I41" s="77">
        <f t="shared" si="1170"/>
        <v>2692635.11328125</v>
      </c>
      <c r="J41" s="77">
        <f t="shared" si="1170"/>
        <v>2692635.0390625</v>
      </c>
      <c r="K41" s="77">
        <f t="shared" si="1170"/>
        <v>2692634.853515625</v>
      </c>
      <c r="L41" s="77">
        <f t="shared" si="1170"/>
        <v>1570703.71875</v>
      </c>
      <c r="AW41" s="77">
        <f>AW4+AW7</f>
        <v>0</v>
      </c>
      <c r="OE41" s="77"/>
      <c r="OF41" s="77"/>
      <c r="OG41" s="77"/>
    </row>
    <row r="42" spans="1:421" x14ac:dyDescent="0.3">
      <c r="B42" s="77">
        <f>+B13+AN13+BZ13</f>
        <v>2692635</v>
      </c>
      <c r="C42" s="77">
        <f t="shared" ref="C42:L42" si="1171">+C13+AO13+CA13</f>
        <v>2692635</v>
      </c>
      <c r="D42" s="77">
        <f t="shared" si="1171"/>
        <v>2692635</v>
      </c>
      <c r="E42" s="77">
        <f t="shared" si="1171"/>
        <v>2692635</v>
      </c>
      <c r="F42" s="77">
        <f t="shared" si="1171"/>
        <v>2692635</v>
      </c>
      <c r="G42" s="77">
        <f t="shared" si="1171"/>
        <v>2692635</v>
      </c>
      <c r="H42" s="77">
        <f t="shared" si="1171"/>
        <v>2692635</v>
      </c>
      <c r="I42" s="77">
        <f t="shared" si="1171"/>
        <v>2692635</v>
      </c>
      <c r="J42" s="77">
        <f t="shared" si="1171"/>
        <v>2692635</v>
      </c>
      <c r="K42" s="77">
        <f t="shared" si="1171"/>
        <v>0</v>
      </c>
      <c r="L42" s="77">
        <f t="shared" si="1171"/>
        <v>0</v>
      </c>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21" x14ac:dyDescent="0.3">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78">
        <f>AW41-AW40</f>
        <v>0</v>
      </c>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21" x14ac:dyDescent="0.3">
      <c r="B44" s="77">
        <f>+B15+AN15+BZ15</f>
        <v>264089.6640625</v>
      </c>
      <c r="C44" s="77">
        <f t="shared" ref="C44:C45" si="1172">+C15+AO15+CA15</f>
        <v>210456.01171875</v>
      </c>
      <c r="D44" s="77">
        <f t="shared" ref="D44:D45" si="1173">+D15+AP15+CB15</f>
        <v>133852.244140625</v>
      </c>
      <c r="E44" s="77">
        <f t="shared" ref="E44:E45" si="1174">+E15+AQ15+CC15</f>
        <v>93508.8994140625</v>
      </c>
      <c r="F44" s="77">
        <f t="shared" ref="F44:F45" si="1175">+F15+AR15+CD15</f>
        <v>198697.013671875</v>
      </c>
      <c r="G44" s="77">
        <f t="shared" ref="G44:G45" si="1176">+G15+AS15+CE15</f>
        <v>371750.6376953125</v>
      </c>
      <c r="H44" s="77">
        <f t="shared" ref="H44:H45" si="1177">+H15+AT15+CF15</f>
        <v>617800.4677734375</v>
      </c>
      <c r="I44" s="77">
        <f t="shared" ref="I44:I45" si="1178">+I15+AU15+CG15</f>
        <v>841651.0234375</v>
      </c>
      <c r="J44" s="77">
        <f t="shared" ref="J44:J45" si="1179">+J15+AV15+CH15</f>
        <v>2217097.9311523438</v>
      </c>
      <c r="K44" s="77">
        <f t="shared" ref="K44:K45" si="1180">+K15+AW15+CI15</f>
        <v>2902441.828125</v>
      </c>
      <c r="L44" s="77">
        <f t="shared" ref="L44:L45" si="1181">+L15+AX15+CJ15</f>
        <v>1693091.1171875</v>
      </c>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21" x14ac:dyDescent="0.3">
      <c r="B45" s="77">
        <f>+B16+AN16+BZ16</f>
        <v>238473</v>
      </c>
      <c r="C45" s="77">
        <f t="shared" si="1172"/>
        <v>232145</v>
      </c>
      <c r="D45" s="77">
        <f t="shared" si="1173"/>
        <v>221009</v>
      </c>
      <c r="E45" s="77">
        <f t="shared" si="1174"/>
        <v>212384</v>
      </c>
      <c r="F45" s="77">
        <f t="shared" si="1175"/>
        <v>226615</v>
      </c>
      <c r="G45" s="77">
        <f t="shared" si="1176"/>
        <v>262657</v>
      </c>
      <c r="H45" s="77">
        <f t="shared" si="1177"/>
        <v>471258</v>
      </c>
      <c r="I45" s="77">
        <f t="shared" si="1178"/>
        <v>707392</v>
      </c>
      <c r="J45" s="77">
        <f t="shared" si="1179"/>
        <v>1291338</v>
      </c>
      <c r="K45" s="77">
        <f t="shared" si="1180"/>
        <v>0</v>
      </c>
      <c r="L45" s="77">
        <f t="shared" si="1181"/>
        <v>0</v>
      </c>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21" x14ac:dyDescent="0.3">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21" x14ac:dyDescent="0.3">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21" x14ac:dyDescent="0.3">
      <c r="B48" s="14">
        <f>+B27+AN27+BZ27</f>
        <v>32980186.5</v>
      </c>
      <c r="C48" s="14">
        <f t="shared" ref="C48:M48" si="1182">+C27+AO27+CA27</f>
        <v>22707758.75</v>
      </c>
      <c r="D48" s="14">
        <f t="shared" si="1182"/>
        <v>15188241.75</v>
      </c>
      <c r="E48" s="14">
        <f t="shared" si="1182"/>
        <v>11693421.375</v>
      </c>
      <c r="F48" s="14">
        <f t="shared" si="1182"/>
        <v>20905127.25</v>
      </c>
      <c r="G48" s="14">
        <f t="shared" si="1182"/>
        <v>25650667.875</v>
      </c>
      <c r="H48" s="14">
        <f t="shared" si="1182"/>
        <v>26226731.625</v>
      </c>
      <c r="I48" s="14">
        <f t="shared" si="1182"/>
        <v>17529873.703125</v>
      </c>
      <c r="J48" s="14">
        <f t="shared" si="1182"/>
        <v>10371062.890625</v>
      </c>
      <c r="K48" s="14">
        <f t="shared" si="1182"/>
        <v>5314333.9296875</v>
      </c>
      <c r="L48" s="14">
        <f t="shared" si="1182"/>
        <v>728956.6650390625</v>
      </c>
      <c r="M48" s="14">
        <f t="shared" si="1182"/>
        <v>0</v>
      </c>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3">
      <c r="B49" s="14">
        <f>+B28+AN28+BZ28</f>
        <v>32973914</v>
      </c>
      <c r="C49" s="14">
        <f t="shared" ref="C49:M49" si="1183">+C28+AO28+CA28</f>
        <v>22694054</v>
      </c>
      <c r="D49" s="14">
        <f t="shared" si="1183"/>
        <v>15141191</v>
      </c>
      <c r="E49" s="14">
        <f t="shared" si="1183"/>
        <v>11632365</v>
      </c>
      <c r="F49" s="14">
        <f t="shared" si="1183"/>
        <v>20864252</v>
      </c>
      <c r="G49" s="14">
        <f t="shared" si="1183"/>
        <v>25637948</v>
      </c>
      <c r="H49" s="14">
        <f t="shared" si="1183"/>
        <v>26203819</v>
      </c>
      <c r="I49" s="14">
        <f t="shared" si="1183"/>
        <v>17506053</v>
      </c>
      <c r="J49" s="14">
        <f t="shared" si="1183"/>
        <v>10137096</v>
      </c>
      <c r="K49" s="14">
        <f t="shared" si="1183"/>
        <v>0</v>
      </c>
      <c r="L49" s="14">
        <f t="shared" si="1183"/>
        <v>0</v>
      </c>
      <c r="M49" s="14">
        <f t="shared" si="1183"/>
        <v>0</v>
      </c>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3">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3">
      <c r="B51" s="38">
        <f>(B48-B49)/B49</f>
        <v>1.9022612844808172E-4</v>
      </c>
      <c r="C51" s="38">
        <f t="shared" ref="C51:L51" si="1184">(C48-C49)/C49</f>
        <v>6.0389166254737911E-4</v>
      </c>
      <c r="D51" s="38">
        <f t="shared" si="1184"/>
        <v>3.1074669093072004E-3</v>
      </c>
      <c r="E51" s="38">
        <f t="shared" si="1184"/>
        <v>5.2488358988047575E-3</v>
      </c>
      <c r="F51" s="38">
        <f t="shared" si="1184"/>
        <v>1.9591045008467115E-3</v>
      </c>
      <c r="G51" s="38">
        <f t="shared" si="1184"/>
        <v>4.961346750527772E-4</v>
      </c>
      <c r="H51" s="38">
        <f t="shared" si="1184"/>
        <v>8.744002162432888E-4</v>
      </c>
      <c r="I51" s="38">
        <f t="shared" si="1184"/>
        <v>1.3607123847391529E-3</v>
      </c>
      <c r="J51" s="38">
        <f>(J48-J49)/J49</f>
        <v>2.3080267822757128E-2</v>
      </c>
      <c r="K51" s="38" t="e">
        <f t="shared" si="1184"/>
        <v>#DIV/0!</v>
      </c>
      <c r="L51" s="38" t="e">
        <f t="shared" si="1184"/>
        <v>#DIV/0!</v>
      </c>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3">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3">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3">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3">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3">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3">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3">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3">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3">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3">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3">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3">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3">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3">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3">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3">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3">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3">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3">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3">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3">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3">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3">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3">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3">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3">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3">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3">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3">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3">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3">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3">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3">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3">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3">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3">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3">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3">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3">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3">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3">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3">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3">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3">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3">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3">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3">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3">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3">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3">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3">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3">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3">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3">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3">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3">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3">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3">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3">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3">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3">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3">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3">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3">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3">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3">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3">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3">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3">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3">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3">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3">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3">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3">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3">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3">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3">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3">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3">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3">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3">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3">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3">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3">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3">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3">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3">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3">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3">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3">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3">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3">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3">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3">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3">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3">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3">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3">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3">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3">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3">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3">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3">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3">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3">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3">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3">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3">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3">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3">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3">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3">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3">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3">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3">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3">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3">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3">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3">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3">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3">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3">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3">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3">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3">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3">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3">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3">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3">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3">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3">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3">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3">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3">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3">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3">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3">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3">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3">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3">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3">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3">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3">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3">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3">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3">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3">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3">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3">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3">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3">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3">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3">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3">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3">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3">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3">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3">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3">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3">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3">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3">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3">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3">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3">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3">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3">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3">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3">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3">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3">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3">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3">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3">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3">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3">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3">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3">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3">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3">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3">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3">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3">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3">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3">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3">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3">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3">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3">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3">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3">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3">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3">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3">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3">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3">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3">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3">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3">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3">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3">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3">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3">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3">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3">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3">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3">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3">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3">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3">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3">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3">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3">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3">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3">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3">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3">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3">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3">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3">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3">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3">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3">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3">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3">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3">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3">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3">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3">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3">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3">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3">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3">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3">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3">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3">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3">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3">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3">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3">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3">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3">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3">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3">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3">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3">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3">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3">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3">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3">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3">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3">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3">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3">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3">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3">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3">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3">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3">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3">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3">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3">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3">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3">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3">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3">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3">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3">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3">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3">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3">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3">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3">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3">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3">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3">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3">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3">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3">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3">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3">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3">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3">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3">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3">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3">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3">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3">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3">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3">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3">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3">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3">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3">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3">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3">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3">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3">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3">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3">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3">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3">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3">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3">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3">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3">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3">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3">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3">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3">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3">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3">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3">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3">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3">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3">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3">
      <c r="J2642" s="13">
        <v>2030</v>
      </c>
    </row>
  </sheetData>
  <mergeCells count="77">
    <mergeCell ref="BZ37:DK37"/>
    <mergeCell ref="DL37:EW37"/>
    <mergeCell ref="HV37:JG37"/>
    <mergeCell ref="NR37:PC37"/>
    <mergeCell ref="EX37:GI37"/>
    <mergeCell ref="GJ37:HU37"/>
    <mergeCell ref="JH37:KS37"/>
    <mergeCell ref="KT37:ME37"/>
    <mergeCell ref="MF37:NQ37"/>
    <mergeCell ref="B38:AM38"/>
    <mergeCell ref="AN38:BY38"/>
    <mergeCell ref="BZ38:DK38"/>
    <mergeCell ref="HV38:JG38"/>
    <mergeCell ref="NR38:PC38"/>
    <mergeCell ref="DL38:EW38"/>
    <mergeCell ref="EX38:GI38"/>
    <mergeCell ref="GJ38:HU38"/>
    <mergeCell ref="JH38:KS38"/>
    <mergeCell ref="KT38:ME38"/>
    <mergeCell ref="MF38:NQ38"/>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GJ33:HU33"/>
    <mergeCell ref="DL33:EW33"/>
    <mergeCell ref="MF1:NQ1"/>
    <mergeCell ref="MF33:NQ33"/>
    <mergeCell ref="KT1:ME1"/>
    <mergeCell ref="KT33:ME33"/>
    <mergeCell ref="JH1:KS1"/>
    <mergeCell ref="EX1:GI1"/>
    <mergeCell ref="HV1:JG1"/>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s>
  <phoneticPr fontId="4" type="noConversion"/>
  <conditionalFormatting sqref="B32:PC32 B8:PC8 B11:PC11 B17:PC17 B20:PC20 B23:PC23 B26:PC26 B29:PC29 B14:PC14 B5:PC5">
    <cfRule type="cellIs" dxfId="8" priority="10" operator="lessThan">
      <formula>-0.01</formula>
    </cfRule>
    <cfRule type="cellIs" dxfId="7" priority="11" operator="greaterThan">
      <formula>0.01</formula>
    </cfRule>
    <cfRule type="cellIs" dxfId="6" priority="7" operator="between">
      <formula>-0.01</formula>
      <formula>0.01</formula>
    </cfRule>
  </conditionalFormatting>
  <conditionalFormatting sqref="PE5">
    <cfRule type="cellIs" dxfId="5" priority="4" operator="between">
      <formula>-0.01</formula>
      <formula>0.01</formula>
    </cfRule>
    <cfRule type="cellIs" dxfId="4" priority="5" operator="lessThan">
      <formula>-0.01</formula>
    </cfRule>
    <cfRule type="cellIs" dxfId="3" priority="6" operator="greaterThan">
      <formula>0.01</formula>
    </cfRule>
  </conditionalFormatting>
  <conditionalFormatting sqref="PG5">
    <cfRule type="cellIs" dxfId="2" priority="1" operator="between">
      <formula>-0.01</formula>
      <formula>0.01</formula>
    </cfRule>
    <cfRule type="cellIs" dxfId="1" priority="2" operator="lessThan">
      <formula>-0.01</formula>
    </cfRule>
    <cfRule type="cellIs" dxfId="0" priority="3" operator="greaterThan">
      <formula>0.01</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2578125" defaultRowHeight="15.75" x14ac:dyDescent="0.3"/>
  <cols>
    <col min="1" max="1" width="13.85546875" style="15" customWidth="1"/>
    <col min="2" max="2" width="13.140625" style="15" customWidth="1"/>
    <col min="3" max="3" width="11.42578125" style="15"/>
    <col min="4" max="27" width="11.85546875" style="13" customWidth="1"/>
    <col min="28" max="16384" width="11.42578125" style="13"/>
  </cols>
  <sheetData>
    <row r="1" spans="1:27" s="21" customFormat="1" ht="40.5" x14ac:dyDescent="0.2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3">
      <c r="A2" s="15" t="s">
        <v>63</v>
      </c>
      <c r="B2" s="15" t="s">
        <v>1</v>
      </c>
      <c r="C2" s="15">
        <v>2023</v>
      </c>
      <c r="D2" s="13">
        <v>10</v>
      </c>
      <c r="E2" s="13">
        <v>15</v>
      </c>
      <c r="F2" s="23">
        <v>-0.33333333333333331</v>
      </c>
      <c r="I2" s="13">
        <v>0</v>
      </c>
      <c r="L2" s="13">
        <v>0</v>
      </c>
      <c r="O2" s="13">
        <v>0</v>
      </c>
      <c r="R2" s="13">
        <v>0</v>
      </c>
      <c r="U2" s="13">
        <v>0</v>
      </c>
      <c r="X2" s="13">
        <v>0</v>
      </c>
      <c r="AA2" s="13">
        <v>0</v>
      </c>
    </row>
    <row r="3" spans="1:27" x14ac:dyDescent="0.3">
      <c r="A3" s="15" t="s">
        <v>63</v>
      </c>
      <c r="B3" s="15" t="s">
        <v>2</v>
      </c>
      <c r="C3" s="15">
        <v>2024</v>
      </c>
      <c r="F3" s="13">
        <v>0</v>
      </c>
      <c r="I3" s="13">
        <v>0</v>
      </c>
      <c r="L3" s="13">
        <v>0</v>
      </c>
      <c r="O3" s="13">
        <v>0</v>
      </c>
      <c r="R3" s="13">
        <v>0</v>
      </c>
      <c r="U3" s="13">
        <v>0</v>
      </c>
      <c r="X3" s="13">
        <v>0</v>
      </c>
      <c r="AA3" s="13">
        <v>0</v>
      </c>
    </row>
    <row r="4" spans="1:27" x14ac:dyDescent="0.3">
      <c r="A4" s="15" t="s">
        <v>63</v>
      </c>
      <c r="B4" s="15" t="s">
        <v>3</v>
      </c>
      <c r="C4" s="15">
        <v>2025</v>
      </c>
      <c r="F4" s="13">
        <v>0</v>
      </c>
      <c r="I4" s="13">
        <v>0</v>
      </c>
      <c r="L4" s="13">
        <v>0</v>
      </c>
      <c r="O4" s="13">
        <v>0</v>
      </c>
      <c r="R4" s="13">
        <v>0</v>
      </c>
      <c r="U4" s="13">
        <v>0</v>
      </c>
      <c r="X4" s="13">
        <v>0</v>
      </c>
      <c r="AA4" s="13">
        <v>0</v>
      </c>
    </row>
    <row r="5" spans="1:27" x14ac:dyDescent="0.3">
      <c r="A5" s="15" t="s">
        <v>63</v>
      </c>
      <c r="B5" s="15" t="s">
        <v>4</v>
      </c>
      <c r="C5" s="15">
        <v>2026</v>
      </c>
      <c r="F5" s="13">
        <v>0</v>
      </c>
      <c r="I5" s="13">
        <v>0</v>
      </c>
      <c r="L5" s="13">
        <v>0</v>
      </c>
      <c r="O5" s="13">
        <v>0</v>
      </c>
      <c r="R5" s="13">
        <v>0</v>
      </c>
      <c r="U5" s="13">
        <v>0</v>
      </c>
      <c r="X5" s="13">
        <v>0</v>
      </c>
      <c r="AA5" s="13">
        <v>0</v>
      </c>
    </row>
    <row r="6" spans="1:27" x14ac:dyDescent="0.3">
      <c r="A6" s="15" t="s">
        <v>64</v>
      </c>
      <c r="B6" s="15" t="s">
        <v>1</v>
      </c>
      <c r="C6" s="15">
        <v>2027</v>
      </c>
      <c r="F6" s="13">
        <v>0</v>
      </c>
      <c r="I6" s="13">
        <v>0</v>
      </c>
      <c r="L6" s="13">
        <v>0</v>
      </c>
      <c r="O6" s="13">
        <v>0</v>
      </c>
      <c r="R6" s="13">
        <v>0</v>
      </c>
      <c r="U6" s="13">
        <v>0</v>
      </c>
      <c r="X6" s="13">
        <v>0</v>
      </c>
      <c r="AA6" s="13">
        <v>0</v>
      </c>
    </row>
    <row r="7" spans="1:27" x14ac:dyDescent="0.3">
      <c r="A7" s="15" t="s">
        <v>64</v>
      </c>
      <c r="B7" s="15" t="s">
        <v>3</v>
      </c>
      <c r="C7" s="15">
        <v>2028</v>
      </c>
      <c r="F7" s="13">
        <v>0</v>
      </c>
      <c r="I7" s="13">
        <v>0</v>
      </c>
      <c r="L7" s="13">
        <v>0</v>
      </c>
      <c r="O7" s="13">
        <v>0</v>
      </c>
      <c r="R7" s="13">
        <v>0</v>
      </c>
      <c r="U7" s="13">
        <v>0</v>
      </c>
      <c r="X7" s="13">
        <v>0</v>
      </c>
      <c r="AA7" s="13">
        <v>0</v>
      </c>
    </row>
    <row r="8" spans="1:27" x14ac:dyDescent="0.3">
      <c r="A8" s="15" t="s">
        <v>64</v>
      </c>
      <c r="B8" s="15" t="s">
        <v>4</v>
      </c>
      <c r="C8" s="15">
        <v>2029</v>
      </c>
      <c r="F8" s="13">
        <v>0</v>
      </c>
      <c r="I8" s="13">
        <v>0</v>
      </c>
      <c r="L8" s="13">
        <v>0</v>
      </c>
      <c r="O8" s="13">
        <v>0</v>
      </c>
      <c r="R8" s="13">
        <v>0</v>
      </c>
      <c r="U8" s="13">
        <v>0</v>
      </c>
      <c r="X8" s="13">
        <v>0</v>
      </c>
      <c r="AA8" s="13">
        <v>0</v>
      </c>
    </row>
    <row r="9" spans="1:27" x14ac:dyDescent="0.3">
      <c r="A9" s="15" t="s">
        <v>64</v>
      </c>
      <c r="B9" s="15" t="s">
        <v>67</v>
      </c>
      <c r="C9" s="15">
        <v>2030</v>
      </c>
      <c r="F9" s="13">
        <v>0</v>
      </c>
      <c r="I9" s="13">
        <v>0</v>
      </c>
      <c r="L9" s="13">
        <v>0</v>
      </c>
      <c r="O9" s="13">
        <v>0</v>
      </c>
      <c r="R9" s="13">
        <v>0</v>
      </c>
      <c r="U9" s="13">
        <v>0</v>
      </c>
      <c r="X9" s="13">
        <v>0</v>
      </c>
      <c r="AA9" s="13">
        <v>0</v>
      </c>
    </row>
    <row r="10" spans="1:27" x14ac:dyDescent="0.3">
      <c r="C10" s="15">
        <v>2031</v>
      </c>
      <c r="F10" s="13">
        <v>0</v>
      </c>
      <c r="I10" s="13">
        <v>0</v>
      </c>
      <c r="L10" s="13">
        <v>0</v>
      </c>
      <c r="O10" s="13">
        <v>0</v>
      </c>
      <c r="R10" s="13">
        <v>0</v>
      </c>
      <c r="U10" s="13">
        <v>0</v>
      </c>
      <c r="X10" s="13">
        <v>0</v>
      </c>
      <c r="AA10" s="13">
        <v>0</v>
      </c>
    </row>
    <row r="11" spans="1:27" x14ac:dyDescent="0.3">
      <c r="C11" s="15">
        <v>2032</v>
      </c>
      <c r="F11" s="13">
        <v>0</v>
      </c>
      <c r="I11" s="13">
        <v>0</v>
      </c>
      <c r="L11" s="13">
        <v>0</v>
      </c>
      <c r="O11" s="13">
        <v>0</v>
      </c>
      <c r="R11" s="13">
        <v>0</v>
      </c>
      <c r="U11" s="13">
        <v>0</v>
      </c>
      <c r="X11" s="13">
        <v>0</v>
      </c>
      <c r="AA11" s="13">
        <v>0</v>
      </c>
    </row>
    <row r="12" spans="1:27" x14ac:dyDescent="0.3">
      <c r="C12" s="15">
        <v>2033</v>
      </c>
      <c r="F12" s="13">
        <v>0</v>
      </c>
      <c r="I12" s="13">
        <v>0</v>
      </c>
      <c r="L12" s="13">
        <v>0</v>
      </c>
      <c r="O12" s="13">
        <v>0</v>
      </c>
      <c r="R12" s="13">
        <v>0</v>
      </c>
      <c r="U12" s="13">
        <v>0</v>
      </c>
      <c r="X12" s="13">
        <v>0</v>
      </c>
      <c r="AA12" s="13">
        <v>0</v>
      </c>
    </row>
    <row r="13" spans="1:27" x14ac:dyDescent="0.3">
      <c r="C13" s="15">
        <v>2034</v>
      </c>
      <c r="F13" s="13">
        <v>0</v>
      </c>
      <c r="I13" s="13">
        <v>0</v>
      </c>
      <c r="L13" s="13">
        <v>0</v>
      </c>
      <c r="O13" s="13">
        <v>0</v>
      </c>
      <c r="R13" s="13">
        <v>0</v>
      </c>
      <c r="U13" s="13">
        <v>0</v>
      </c>
      <c r="X13" s="13">
        <v>0</v>
      </c>
      <c r="AA13" s="13">
        <v>0</v>
      </c>
    </row>
    <row r="14" spans="1:27" x14ac:dyDescent="0.3">
      <c r="C14" s="15">
        <v>2035</v>
      </c>
      <c r="F14" s="13">
        <v>0</v>
      </c>
      <c r="I14" s="13">
        <v>0</v>
      </c>
      <c r="L14" s="13">
        <v>0</v>
      </c>
      <c r="O14" s="13">
        <v>0</v>
      </c>
      <c r="R14" s="13">
        <v>0</v>
      </c>
      <c r="U14" s="13">
        <v>0</v>
      </c>
      <c r="X14" s="13">
        <v>0</v>
      </c>
      <c r="AA14" s="13">
        <v>0</v>
      </c>
    </row>
    <row r="15" spans="1:27" x14ac:dyDescent="0.3">
      <c r="C15" s="15">
        <v>2036</v>
      </c>
      <c r="F15" s="13">
        <v>0</v>
      </c>
      <c r="I15" s="13">
        <v>0</v>
      </c>
      <c r="L15" s="13">
        <v>0</v>
      </c>
      <c r="O15" s="13">
        <v>0</v>
      </c>
      <c r="R15" s="13">
        <v>0</v>
      </c>
      <c r="U15" s="13">
        <v>0</v>
      </c>
      <c r="X15" s="13">
        <v>0</v>
      </c>
      <c r="AA15" s="13">
        <v>0</v>
      </c>
    </row>
    <row r="16" spans="1:27" x14ac:dyDescent="0.3">
      <c r="C16" s="15">
        <v>2037</v>
      </c>
      <c r="F16" s="13">
        <v>0</v>
      </c>
      <c r="I16" s="13">
        <v>0</v>
      </c>
      <c r="L16" s="13">
        <v>0</v>
      </c>
      <c r="O16" s="13">
        <v>0</v>
      </c>
      <c r="R16" s="13">
        <v>0</v>
      </c>
      <c r="U16" s="13">
        <v>0</v>
      </c>
      <c r="X16" s="13">
        <v>0</v>
      </c>
      <c r="AA16" s="13">
        <v>0</v>
      </c>
    </row>
    <row r="17" spans="3:27" x14ac:dyDescent="0.3">
      <c r="C17" s="15">
        <v>2038</v>
      </c>
      <c r="F17" s="13">
        <v>0</v>
      </c>
      <c r="I17" s="13">
        <v>0</v>
      </c>
      <c r="L17" s="13">
        <v>0</v>
      </c>
      <c r="O17" s="13">
        <v>0</v>
      </c>
      <c r="R17" s="13">
        <v>0</v>
      </c>
      <c r="U17" s="13">
        <v>0</v>
      </c>
      <c r="X17" s="13">
        <v>0</v>
      </c>
      <c r="AA17" s="13">
        <v>0</v>
      </c>
    </row>
    <row r="18" spans="3:27" x14ac:dyDescent="0.3">
      <c r="C18" s="15">
        <v>2039</v>
      </c>
      <c r="F18" s="13">
        <v>0</v>
      </c>
      <c r="I18" s="13">
        <v>0</v>
      </c>
      <c r="L18" s="13">
        <v>0</v>
      </c>
      <c r="O18" s="13">
        <v>0</v>
      </c>
      <c r="R18" s="13">
        <v>0</v>
      </c>
      <c r="U18" s="13">
        <v>0</v>
      </c>
      <c r="X18" s="13">
        <v>0</v>
      </c>
      <c r="AA18" s="13">
        <v>0</v>
      </c>
    </row>
    <row r="19" spans="3:27" x14ac:dyDescent="0.3">
      <c r="C19" s="15">
        <v>2040</v>
      </c>
      <c r="F19" s="13">
        <v>0</v>
      </c>
      <c r="I19" s="13">
        <v>0</v>
      </c>
      <c r="L19" s="13">
        <v>0</v>
      </c>
      <c r="O19" s="13">
        <v>0</v>
      </c>
      <c r="R19" s="13">
        <v>0</v>
      </c>
      <c r="U19" s="13">
        <v>0</v>
      </c>
      <c r="X19" s="13">
        <v>0</v>
      </c>
      <c r="AA19" s="13">
        <v>0</v>
      </c>
    </row>
    <row r="20" spans="3:27" x14ac:dyDescent="0.3">
      <c r="C20" s="15">
        <v>2041</v>
      </c>
      <c r="F20" s="13">
        <v>0</v>
      </c>
      <c r="I20" s="13">
        <v>0</v>
      </c>
      <c r="L20" s="13">
        <v>0</v>
      </c>
      <c r="O20" s="13">
        <v>0</v>
      </c>
      <c r="R20" s="13">
        <v>0</v>
      </c>
      <c r="U20" s="13">
        <v>0</v>
      </c>
      <c r="X20" s="13">
        <v>0</v>
      </c>
      <c r="AA20" s="13">
        <v>0</v>
      </c>
    </row>
    <row r="21" spans="3:27" x14ac:dyDescent="0.3">
      <c r="C21" s="15">
        <v>2042</v>
      </c>
      <c r="F21" s="13">
        <v>0</v>
      </c>
      <c r="I21" s="13">
        <v>0</v>
      </c>
      <c r="L21" s="13">
        <v>0</v>
      </c>
      <c r="O21" s="13">
        <v>0</v>
      </c>
      <c r="R21" s="13">
        <v>0</v>
      </c>
      <c r="U21" s="13">
        <v>0</v>
      </c>
      <c r="X21" s="13">
        <v>0</v>
      </c>
      <c r="AA21" s="13">
        <v>0</v>
      </c>
    </row>
    <row r="22" spans="3:27" x14ac:dyDescent="0.3">
      <c r="C22" s="15">
        <v>2043</v>
      </c>
      <c r="F22" s="13">
        <v>0</v>
      </c>
      <c r="I22" s="13">
        <v>0</v>
      </c>
      <c r="L22" s="13">
        <v>0</v>
      </c>
      <c r="O22" s="13">
        <v>0</v>
      </c>
      <c r="R22" s="13">
        <v>0</v>
      </c>
      <c r="U22" s="13">
        <v>0</v>
      </c>
      <c r="X22" s="13">
        <v>0</v>
      </c>
      <c r="AA22" s="13">
        <v>0</v>
      </c>
    </row>
    <row r="23" spans="3:27" x14ac:dyDescent="0.3">
      <c r="C23" s="15">
        <v>2044</v>
      </c>
      <c r="F23" s="13">
        <v>0</v>
      </c>
      <c r="I23" s="13">
        <v>0</v>
      </c>
      <c r="L23" s="13">
        <v>0</v>
      </c>
      <c r="O23" s="13">
        <v>0</v>
      </c>
      <c r="R23" s="13">
        <v>0</v>
      </c>
      <c r="U23" s="13">
        <v>0</v>
      </c>
      <c r="X23" s="13">
        <v>0</v>
      </c>
      <c r="AA23" s="13">
        <v>0</v>
      </c>
    </row>
    <row r="24" spans="3:27" x14ac:dyDescent="0.3">
      <c r="C24" s="15">
        <v>2045</v>
      </c>
      <c r="F24" s="13">
        <v>0</v>
      </c>
      <c r="I24" s="13">
        <v>0</v>
      </c>
      <c r="L24" s="13">
        <v>0</v>
      </c>
      <c r="O24" s="13">
        <v>0</v>
      </c>
      <c r="R24" s="13">
        <v>0</v>
      </c>
      <c r="U24" s="13">
        <v>0</v>
      </c>
      <c r="X24" s="13">
        <v>0</v>
      </c>
      <c r="AA24" s="13">
        <v>0</v>
      </c>
    </row>
    <row r="25" spans="3:27" x14ac:dyDescent="0.3">
      <c r="C25" s="15">
        <v>2046</v>
      </c>
      <c r="F25" s="13">
        <v>0</v>
      </c>
      <c r="I25" s="13">
        <v>0</v>
      </c>
      <c r="L25" s="13">
        <v>0</v>
      </c>
      <c r="O25" s="13">
        <v>0</v>
      </c>
      <c r="R25" s="13">
        <v>0</v>
      </c>
      <c r="U25" s="13">
        <v>0</v>
      </c>
      <c r="X25" s="13">
        <v>0</v>
      </c>
      <c r="AA25" s="13">
        <v>0</v>
      </c>
    </row>
    <row r="26" spans="3:27" x14ac:dyDescent="0.3">
      <c r="C26" s="15">
        <v>2047</v>
      </c>
      <c r="F26" s="13">
        <v>0</v>
      </c>
      <c r="I26" s="13">
        <v>0</v>
      </c>
      <c r="L26" s="13">
        <v>0</v>
      </c>
      <c r="O26" s="13">
        <v>0</v>
      </c>
      <c r="R26" s="13">
        <v>0</v>
      </c>
      <c r="U26" s="13">
        <v>0</v>
      </c>
      <c r="X26" s="13">
        <v>0</v>
      </c>
      <c r="AA26" s="13">
        <v>0</v>
      </c>
    </row>
    <row r="27" spans="3:27" x14ac:dyDescent="0.3">
      <c r="C27" s="15">
        <v>2048</v>
      </c>
      <c r="F27" s="13">
        <v>0</v>
      </c>
      <c r="I27" s="13">
        <v>0</v>
      </c>
      <c r="L27" s="13">
        <v>0</v>
      </c>
      <c r="O27" s="13">
        <v>0</v>
      </c>
      <c r="R27" s="13">
        <v>0</v>
      </c>
      <c r="U27" s="13">
        <v>0</v>
      </c>
      <c r="X27" s="13">
        <v>0</v>
      </c>
      <c r="AA27" s="13">
        <v>0</v>
      </c>
    </row>
    <row r="28" spans="3:27" x14ac:dyDescent="0.3">
      <c r="C28" s="15">
        <v>2049</v>
      </c>
      <c r="F28" s="13">
        <v>0</v>
      </c>
      <c r="I28" s="13">
        <v>0</v>
      </c>
      <c r="L28" s="13">
        <v>0</v>
      </c>
      <c r="O28" s="13">
        <v>0</v>
      </c>
      <c r="R28" s="13">
        <v>0</v>
      </c>
      <c r="U28" s="13">
        <v>0</v>
      </c>
      <c r="X28" s="13">
        <v>0</v>
      </c>
      <c r="AA28" s="13">
        <v>0</v>
      </c>
    </row>
    <row r="29" spans="3:27" x14ac:dyDescent="0.3">
      <c r="C29" s="15">
        <v>2050</v>
      </c>
      <c r="F29" s="13">
        <v>0</v>
      </c>
      <c r="I29" s="13">
        <v>0</v>
      </c>
      <c r="L29" s="13">
        <v>0</v>
      </c>
      <c r="O29" s="13">
        <v>0</v>
      </c>
      <c r="R29" s="13">
        <v>0</v>
      </c>
      <c r="U29" s="13">
        <v>0</v>
      </c>
      <c r="X29" s="13">
        <v>0</v>
      </c>
      <c r="AA29" s="13">
        <v>0</v>
      </c>
    </row>
    <row r="30" spans="3:27" x14ac:dyDescent="0.3">
      <c r="C30" s="15">
        <v>2051</v>
      </c>
      <c r="F30" s="13">
        <v>0</v>
      </c>
      <c r="I30" s="13">
        <v>0</v>
      </c>
      <c r="L30" s="13">
        <v>0</v>
      </c>
      <c r="O30" s="13">
        <v>0</v>
      </c>
      <c r="R30" s="13">
        <v>0</v>
      </c>
      <c r="U30" s="13">
        <v>0</v>
      </c>
      <c r="X30" s="13">
        <v>0</v>
      </c>
      <c r="AA30" s="13">
        <v>0</v>
      </c>
    </row>
    <row r="31" spans="3:27" x14ac:dyDescent="0.3">
      <c r="C31" s="15">
        <v>2052</v>
      </c>
      <c r="F31" s="13">
        <v>0</v>
      </c>
      <c r="I31" s="13">
        <v>0</v>
      </c>
      <c r="L31" s="13">
        <v>0</v>
      </c>
      <c r="O31" s="13">
        <v>0</v>
      </c>
      <c r="R31" s="13">
        <v>0</v>
      </c>
      <c r="U31" s="13">
        <v>0</v>
      </c>
      <c r="X31" s="13">
        <v>0</v>
      </c>
      <c r="AA31" s="13">
        <v>0</v>
      </c>
    </row>
    <row r="32" spans="3:27" x14ac:dyDescent="0.3">
      <c r="C32" s="15">
        <v>2053</v>
      </c>
      <c r="F32" s="13">
        <v>0</v>
      </c>
      <c r="I32" s="13">
        <v>0</v>
      </c>
      <c r="L32" s="13">
        <v>0</v>
      </c>
      <c r="O32" s="13">
        <v>0</v>
      </c>
      <c r="R32" s="13">
        <v>0</v>
      </c>
      <c r="U32" s="13">
        <v>0</v>
      </c>
      <c r="X32" s="13">
        <v>0</v>
      </c>
      <c r="AA32" s="13">
        <v>0</v>
      </c>
    </row>
    <row r="33" spans="3:27" x14ac:dyDescent="0.3">
      <c r="C33" s="15">
        <v>2054</v>
      </c>
      <c r="F33" s="13">
        <v>0</v>
      </c>
      <c r="I33" s="13">
        <v>0</v>
      </c>
      <c r="L33" s="13">
        <v>0</v>
      </c>
      <c r="O33" s="13">
        <v>0</v>
      </c>
      <c r="R33" s="13">
        <v>0</v>
      </c>
      <c r="U33" s="13">
        <v>0</v>
      </c>
      <c r="X33" s="13">
        <v>0</v>
      </c>
      <c r="AA33" s="13">
        <v>0</v>
      </c>
    </row>
    <row r="34" spans="3:27" x14ac:dyDescent="0.3">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2578125" defaultRowHeight="15" x14ac:dyDescent="0.25"/>
  <sheetData>
    <row r="1" spans="1:1" x14ac:dyDescent="0.25">
      <c r="A1" t="s">
        <v>65</v>
      </c>
    </row>
    <row r="2" spans="1:1" x14ac:dyDescent="0.25">
      <c r="A2" t="s">
        <v>1</v>
      </c>
    </row>
    <row r="3" spans="1:1" x14ac:dyDescent="0.25">
      <c r="A3" t="s">
        <v>2</v>
      </c>
    </row>
    <row r="4" spans="1:1" x14ac:dyDescent="0.25">
      <c r="A4" t="s">
        <v>3</v>
      </c>
    </row>
    <row r="5" spans="1:1" x14ac:dyDescent="0.25">
      <c r="A5" t="s">
        <v>4</v>
      </c>
    </row>
    <row r="6" spans="1:1" x14ac:dyDescent="0.2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zoomScale="70" zoomScaleNormal="70" workbookViewId="0">
      <pane ySplit="1" topLeftCell="A3698" activePane="bottomLeft" state="frozen"/>
      <selection pane="bottomLeft"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65.42578125" customWidth="1"/>
    <col min="5" max="5" width="9.5703125" style="8" customWidth="1"/>
    <col min="6" max="6" width="91.85546875" customWidth="1"/>
    <col min="7" max="7" width="8.5703125" style="8" customWidth="1"/>
    <col min="8" max="8" width="6.42578125" customWidth="1"/>
    <col min="9" max="9" width="93"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Jaime\QUIFA-CAJÚA\Cajua\[VAS_CAJUA_CF_SEC_20230125.xlsx]CF PDP'!</v>
      </c>
      <c r="G2" s="7" t="s">
        <v>47</v>
      </c>
      <c r="H2" s="4">
        <v>36</v>
      </c>
      <c r="I2" s="4" t="str">
        <f>_xlfn.CONCAT("='",F2:H2)</f>
        <v>='C:\Users\jaime.benazar\Quorum Business Solutions\Ecopetrol Prometeo - Documents\Planning Space Implementation\3. Analysis &amp; Design\Design\FC22\DRR Jaime\QUIFA-CAJÚA\Cajua\[VAS_CAJUA_CF_SEC_20230125.xlsx]CF PDP'!$AY$36</v>
      </c>
      <c r="J2" s="4" t="s">
        <v>129</v>
      </c>
    </row>
    <row r="3" spans="1:10" x14ac:dyDescent="0.2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Jaime\QUIFA-CAJÚA\Cajua\[VAS_CAJUA_CF_SEC_20230125.xlsx]CF PDP'!</v>
      </c>
      <c r="G3" s="7" t="s">
        <v>47</v>
      </c>
      <c r="H3" s="4">
        <f>IF(A3&lt;&gt;A2,36,H2+1)</f>
        <v>37</v>
      </c>
      <c r="I3" s="4" t="str">
        <f t="shared" ref="I3:I96" si="2">_xlfn.CONCAT("='",F3:H3)</f>
        <v>='C:\Users\jaime.benazar\Quorum Business Solutions\Ecopetrol Prometeo - Documents\Planning Space Implementation\3. Analysis &amp; Design\Design\FC22\DRR Jaime\QUIFA-CAJÚA\Cajua\[VAS_CAJUA_CF_SEC_20230125.xlsx]CF PDP'!$AY$37</v>
      </c>
      <c r="J3" s="4" t="s">
        <v>130</v>
      </c>
    </row>
    <row r="4" spans="1:10" x14ac:dyDescent="0.2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Jaime\QUIFA-CAJÚA\Cajua\[VAS_CAJUA_CF_SEC_20230125.xlsx]CF PDP'!</v>
      </c>
      <c r="G4" s="7" t="s">
        <v>47</v>
      </c>
      <c r="H4" s="4">
        <f t="shared" ref="H4:H97" si="4">IF(A4&lt;&gt;A3,36,H3+1)</f>
        <v>38</v>
      </c>
      <c r="I4" s="4" t="str">
        <f t="shared" si="2"/>
        <v>='C:\Users\jaime.benazar\Quorum Business Solutions\Ecopetrol Prometeo - Documents\Planning Space Implementation\3. Analysis &amp; Design\Design\FC22\DRR Jaime\QUIFA-CAJÚA\Cajua\[VAS_CAJUA_CF_SEC_20230125.xlsx]CF PDP'!$AY$38</v>
      </c>
      <c r="J4" s="4" t="s">
        <v>131</v>
      </c>
    </row>
    <row r="5" spans="1:10" x14ac:dyDescent="0.2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Jaime\QUIFA-CAJÚA\Cajua\[VAS_CAJUA_CF_SEC_20230125.xlsx]CF PDP'!</v>
      </c>
      <c r="G5" s="7" t="s">
        <v>47</v>
      </c>
      <c r="H5" s="4">
        <f t="shared" si="4"/>
        <v>39</v>
      </c>
      <c r="I5" s="4" t="str">
        <f t="shared" si="2"/>
        <v>='C:\Users\jaime.benazar\Quorum Business Solutions\Ecopetrol Prometeo - Documents\Planning Space Implementation\3. Analysis &amp; Design\Design\FC22\DRR Jaime\QUIFA-CAJÚA\Cajua\[VAS_CAJUA_CF_SEC_20230125.xlsx]CF PDP'!$AY$39</v>
      </c>
      <c r="J5" s="4" t="s">
        <v>132</v>
      </c>
    </row>
    <row r="6" spans="1:10" x14ac:dyDescent="0.2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Jaime\QUIFA-CAJÚA\Cajua\[VAS_CAJUA_CF_SEC_20230125.xlsx]CF PDP'!</v>
      </c>
      <c r="G6" s="7" t="s">
        <v>47</v>
      </c>
      <c r="H6" s="4">
        <f t="shared" si="4"/>
        <v>40</v>
      </c>
      <c r="I6" s="4" t="str">
        <f t="shared" si="2"/>
        <v>='C:\Users\jaime.benazar\Quorum Business Solutions\Ecopetrol Prometeo - Documents\Planning Space Implementation\3. Analysis &amp; Design\Design\FC22\DRR Jaime\QUIFA-CAJÚA\Cajua\[VAS_CAJUA_CF_SEC_20230125.xlsx]CF PDP'!$AY$40</v>
      </c>
      <c r="J6" s="4" t="s">
        <v>133</v>
      </c>
    </row>
    <row r="7" spans="1:10" x14ac:dyDescent="0.2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Jaime\QUIFA-CAJÚA\Cajua\[VAS_CAJUA_CF_SEC_20230125.xlsx]CF PDP'!</v>
      </c>
      <c r="G7" s="7" t="s">
        <v>47</v>
      </c>
      <c r="H7" s="4">
        <f t="shared" si="4"/>
        <v>41</v>
      </c>
      <c r="I7" s="4" t="str">
        <f t="shared" si="2"/>
        <v>='C:\Users\jaime.benazar\Quorum Business Solutions\Ecopetrol Prometeo - Documents\Planning Space Implementation\3. Analysis &amp; Design\Design\FC22\DRR Jaime\QUIFA-CAJÚA\Cajua\[VAS_CAJUA_CF_SEC_20230125.xlsx]CF PDP'!$AY$41</v>
      </c>
      <c r="J7" s="4" t="s">
        <v>134</v>
      </c>
    </row>
    <row r="8" spans="1:10" x14ac:dyDescent="0.2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Jaime\QUIFA-CAJÚA\Cajua\[VAS_CAJUA_CF_SEC_20230125.xlsx]CF PDP'!</v>
      </c>
      <c r="G8" s="7" t="s">
        <v>47</v>
      </c>
      <c r="H8" s="4">
        <f t="shared" si="4"/>
        <v>42</v>
      </c>
      <c r="I8" s="4" t="str">
        <f t="shared" si="2"/>
        <v>='C:\Users\jaime.benazar\Quorum Business Solutions\Ecopetrol Prometeo - Documents\Planning Space Implementation\3. Analysis &amp; Design\Design\FC22\DRR Jaime\QUIFA-CAJÚA\Cajua\[VAS_CAJUA_CF_SEC_20230125.xlsx]CF PDP'!$AY$42</v>
      </c>
      <c r="J8" s="4" t="s">
        <v>135</v>
      </c>
    </row>
    <row r="9" spans="1:10" x14ac:dyDescent="0.2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Jaime\QUIFA-CAJÚA\Cajua\[VAS_CAJUA_CF_SEC_20230125.xlsx]CF PDP'!</v>
      </c>
      <c r="G9" s="7" t="s">
        <v>47</v>
      </c>
      <c r="H9" s="4">
        <f t="shared" si="4"/>
        <v>43</v>
      </c>
      <c r="I9" s="4" t="str">
        <f t="shared" si="2"/>
        <v>='C:\Users\jaime.benazar\Quorum Business Solutions\Ecopetrol Prometeo - Documents\Planning Space Implementation\3. Analysis &amp; Design\Design\FC22\DRR Jaime\QUIFA-CAJÚA\Cajua\[VAS_CAJUA_CF_SEC_20230125.xlsx]CF PDP'!$AY$43</v>
      </c>
      <c r="J9" s="4" t="s">
        <v>136</v>
      </c>
    </row>
    <row r="10" spans="1:10" x14ac:dyDescent="0.2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Jaime\QUIFA-CAJÚA\Cajua\[VAS_CAJUA_CF_SEC_20230125.xlsx]CF PDP'!</v>
      </c>
      <c r="G10" s="7" t="s">
        <v>47</v>
      </c>
      <c r="H10" s="4">
        <f t="shared" si="4"/>
        <v>44</v>
      </c>
      <c r="I10" s="4" t="str">
        <f t="shared" si="2"/>
        <v>='C:\Users\jaime.benazar\Quorum Business Solutions\Ecopetrol Prometeo - Documents\Planning Space Implementation\3. Analysis &amp; Design\Design\FC22\DRR Jaime\QUIFA-CAJÚA\Cajua\[VAS_CAJUA_CF_SEC_20230125.xlsx]CF PDP'!$AY$44</v>
      </c>
      <c r="J10" s="4" t="s">
        <v>137</v>
      </c>
    </row>
    <row r="11" spans="1:10" x14ac:dyDescent="0.2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Jaime\QUIFA-CAJÚA\Cajua\[VAS_CAJUA_CF_SEC_20230125.xlsx]CF PDP'!</v>
      </c>
      <c r="G11" s="7" t="s">
        <v>47</v>
      </c>
      <c r="H11" s="4">
        <f t="shared" si="4"/>
        <v>45</v>
      </c>
      <c r="I11" s="4" t="str">
        <f t="shared" si="2"/>
        <v>='C:\Users\jaime.benazar\Quorum Business Solutions\Ecopetrol Prometeo - Documents\Planning Space Implementation\3. Analysis &amp; Design\Design\FC22\DRR Jaime\QUIFA-CAJÚA\Cajua\[VAS_CAJUA_CF_SEC_20230125.xlsx]CF PDP'!$AY$45</v>
      </c>
      <c r="J11" s="4" t="s">
        <v>138</v>
      </c>
    </row>
    <row r="12" spans="1:10" x14ac:dyDescent="0.2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Jaime\QUIFA-CAJÚA\Cajua\[VAS_CAJUA_CF_SEC_20230125.xlsx]CF PDP'!</v>
      </c>
      <c r="G12" s="7" t="s">
        <v>47</v>
      </c>
      <c r="H12" s="4">
        <f t="shared" si="4"/>
        <v>46</v>
      </c>
      <c r="I12" s="4" t="str">
        <f t="shared" si="2"/>
        <v>='C:\Users\jaime.benazar\Quorum Business Solutions\Ecopetrol Prometeo - Documents\Planning Space Implementation\3. Analysis &amp; Design\Design\FC22\DRR Jaime\QUIFA-CAJÚA\Cajua\[VAS_CAJUA_CF_SEC_20230125.xlsx]CF PDP'!$AY$46</v>
      </c>
      <c r="J12" s="4" t="s">
        <v>139</v>
      </c>
    </row>
    <row r="13" spans="1:10" x14ac:dyDescent="0.2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Jaime\QUIFA-CAJÚA\Cajua\[VAS_CAJUA_CF_SEC_20230125.xlsx]CF PDP'!</v>
      </c>
      <c r="G13" s="7" t="s">
        <v>47</v>
      </c>
      <c r="H13" s="4">
        <f t="shared" si="4"/>
        <v>47</v>
      </c>
      <c r="I13" s="4" t="str">
        <f t="shared" si="2"/>
        <v>='C:\Users\jaime.benazar\Quorum Business Solutions\Ecopetrol Prometeo - Documents\Planning Space Implementation\3. Analysis &amp; Design\Design\FC22\DRR Jaime\QUIFA-CAJÚA\Cajua\[VAS_CAJUA_CF_SEC_20230125.xlsx]CF PDP'!$AY$47</v>
      </c>
      <c r="J13" s="4" t="s">
        <v>140</v>
      </c>
    </row>
    <row r="14" spans="1:10" x14ac:dyDescent="0.2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Jaime\QUIFA-CAJÚA\Cajua\[VAS_CAJUA_CF_SEC_20230125.xlsx]CF PDP'!</v>
      </c>
      <c r="G14" s="7" t="s">
        <v>47</v>
      </c>
      <c r="H14" s="4">
        <f t="shared" si="4"/>
        <v>48</v>
      </c>
      <c r="I14" s="4" t="str">
        <f t="shared" si="2"/>
        <v>='C:\Users\jaime.benazar\Quorum Business Solutions\Ecopetrol Prometeo - Documents\Planning Space Implementation\3. Analysis &amp; Design\Design\FC22\DRR Jaime\QUIFA-CAJÚA\Cajua\[VAS_CAJUA_CF_SEC_20230125.xlsx]CF PDP'!$AY$48</v>
      </c>
      <c r="J14" s="4" t="s">
        <v>141</v>
      </c>
    </row>
    <row r="15" spans="1:10" x14ac:dyDescent="0.2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Jaime\QUIFA-CAJÚA\Cajua\[VAS_CAJUA_CF_SEC_20230125.xlsx]CF PDP'!</v>
      </c>
      <c r="G15" s="7" t="s">
        <v>47</v>
      </c>
      <c r="H15" s="4">
        <f t="shared" si="4"/>
        <v>49</v>
      </c>
      <c r="I15" s="4" t="str">
        <f t="shared" si="2"/>
        <v>='C:\Users\jaime.benazar\Quorum Business Solutions\Ecopetrol Prometeo - Documents\Planning Space Implementation\3. Analysis &amp; Design\Design\FC22\DRR Jaime\QUIFA-CAJÚA\Cajua\[VAS_CAJUA_CF_SEC_20230125.xlsx]CF PDP'!$AY$49</v>
      </c>
      <c r="J15" s="4" t="s">
        <v>142</v>
      </c>
    </row>
    <row r="16" spans="1:10" x14ac:dyDescent="0.2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Jaime\QUIFA-CAJÚA\Cajua\[VAS_CAJUA_CF_SEC_20230125.xlsx]CF PDP'!</v>
      </c>
      <c r="G16" s="7" t="s">
        <v>47</v>
      </c>
      <c r="H16" s="4">
        <f t="shared" si="4"/>
        <v>50</v>
      </c>
      <c r="I16" s="4" t="str">
        <f t="shared" si="2"/>
        <v>='C:\Users\jaime.benazar\Quorum Business Solutions\Ecopetrol Prometeo - Documents\Planning Space Implementation\3. Analysis &amp; Design\Design\FC22\DRR Jaime\QUIFA-CAJÚA\Cajua\[VAS_CAJUA_CF_SEC_20230125.xlsx]CF PDP'!$AY$50</v>
      </c>
      <c r="J16" s="4" t="s">
        <v>143</v>
      </c>
    </row>
    <row r="17" spans="1:10" x14ac:dyDescent="0.2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Jaime\QUIFA-CAJÚA\Cajua\[VAS_CAJUA_CF_SEC_20230125.xlsx]CF PDP'!</v>
      </c>
      <c r="G17" s="7" t="s">
        <v>47</v>
      </c>
      <c r="H17" s="4">
        <f t="shared" si="4"/>
        <v>51</v>
      </c>
      <c r="I17" s="4" t="str">
        <f t="shared" si="2"/>
        <v>='C:\Users\jaime.benazar\Quorum Business Solutions\Ecopetrol Prometeo - Documents\Planning Space Implementation\3. Analysis &amp; Design\Design\FC22\DRR Jaime\QUIFA-CAJÚA\Cajua\[VAS_CAJUA_CF_SEC_20230125.xlsx]CF PDP'!$AY$51</v>
      </c>
      <c r="J17" s="4" t="s">
        <v>144</v>
      </c>
    </row>
    <row r="18" spans="1:10" x14ac:dyDescent="0.2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Jaime\QUIFA-CAJÚA\Cajua\[VAS_CAJUA_CF_SEC_20230125.xlsx]CF PDP'!</v>
      </c>
      <c r="G18" s="7" t="s">
        <v>47</v>
      </c>
      <c r="H18" s="4">
        <f t="shared" si="4"/>
        <v>52</v>
      </c>
      <c r="I18" s="4" t="str">
        <f t="shared" si="2"/>
        <v>='C:\Users\jaime.benazar\Quorum Business Solutions\Ecopetrol Prometeo - Documents\Planning Space Implementation\3. Analysis &amp; Design\Design\FC22\DRR Jaime\QUIFA-CAJÚA\Cajua\[VAS_CAJUA_CF_SEC_20230125.xlsx]CF PDP'!$AY$52</v>
      </c>
      <c r="J18" s="4" t="s">
        <v>145</v>
      </c>
    </row>
    <row r="19" spans="1:10" x14ac:dyDescent="0.2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Jaime\QUIFA-CAJÚA\Cajua\[VAS_CAJUA_CF_SEC_20230125.xlsx]CF PDP'!</v>
      </c>
      <c r="G19" s="7" t="s">
        <v>47</v>
      </c>
      <c r="H19" s="4">
        <f t="shared" si="4"/>
        <v>53</v>
      </c>
      <c r="I19" s="4" t="str">
        <f t="shared" si="2"/>
        <v>='C:\Users\jaime.benazar\Quorum Business Solutions\Ecopetrol Prometeo - Documents\Planning Space Implementation\3. Analysis &amp; Design\Design\FC22\DRR Jaime\QUIFA-CAJÚA\Cajua\[VAS_CAJUA_CF_SEC_20230125.xlsx]CF PDP'!$AY$53</v>
      </c>
      <c r="J19" s="4" t="s">
        <v>146</v>
      </c>
    </row>
    <row r="20" spans="1:10" x14ac:dyDescent="0.2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Jaime\QUIFA-CAJÚA\Cajua\[VAS_CAJUA_CF_SEC_20230125.xlsx]CF PDP'!</v>
      </c>
      <c r="G20" s="7" t="s">
        <v>47</v>
      </c>
      <c r="H20" s="4">
        <f t="shared" si="4"/>
        <v>54</v>
      </c>
      <c r="I20" s="4" t="str">
        <f t="shared" si="2"/>
        <v>='C:\Users\jaime.benazar\Quorum Business Solutions\Ecopetrol Prometeo - Documents\Planning Space Implementation\3. Analysis &amp; Design\Design\FC22\DRR Jaime\QUIFA-CAJÚA\Cajua\[VAS_CAJUA_CF_SEC_20230125.xlsx]CF PDP'!$AY$54</v>
      </c>
      <c r="J20" s="4" t="s">
        <v>147</v>
      </c>
    </row>
    <row r="21" spans="1:10" x14ac:dyDescent="0.2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Jaime\QUIFA-CAJÚA\Cajua\[VAS_CAJUA_CF_SEC_20230125.xlsx]CF PDP'!</v>
      </c>
      <c r="G21" s="7" t="s">
        <v>47</v>
      </c>
      <c r="H21" s="4">
        <f>IF(A21&lt;&gt;A20,36,H20+1)</f>
        <v>55</v>
      </c>
      <c r="I21" s="4" t="str">
        <f t="shared" si="2"/>
        <v>='C:\Users\jaime.benazar\Quorum Business Solutions\Ecopetrol Prometeo - Documents\Planning Space Implementation\3. Analysis &amp; Design\Design\FC22\DRR Jaime\QUIFA-CAJÚA\Cajua\[VAS_CAJUA_CF_SEC_20230125.xlsx]CF PDP'!$AY$55</v>
      </c>
      <c r="J21" s="4" t="s">
        <v>148</v>
      </c>
    </row>
    <row r="22" spans="1:10" x14ac:dyDescent="0.2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Jaime\QUIFA-CAJÚA\Cajua\[VAS_CAJUA_CF_SEC_20230125.xlsx]CF PDP'!</v>
      </c>
      <c r="G22" s="7" t="s">
        <v>47</v>
      </c>
      <c r="H22" s="4">
        <f t="shared" si="4"/>
        <v>56</v>
      </c>
      <c r="I22" s="4" t="str">
        <f t="shared" si="2"/>
        <v>='C:\Users\jaime.benazar\Quorum Business Solutions\Ecopetrol Prometeo - Documents\Planning Space Implementation\3. Analysis &amp; Design\Design\FC22\DRR Jaime\QUIFA-CAJÚA\Cajua\[VAS_CAJUA_CF_SEC_20230125.xlsx]CF PDP'!$AY$56</v>
      </c>
      <c r="J22" s="4" t="s">
        <v>149</v>
      </c>
    </row>
    <row r="23" spans="1:10" x14ac:dyDescent="0.2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Jaime\QUIFA-CAJÚA\Cajua\[VAS_CAJUA_CF_SEC_20230125.xlsx]CF PDP'!</v>
      </c>
      <c r="G23" s="7" t="s">
        <v>47</v>
      </c>
      <c r="H23" s="4">
        <f t="shared" si="4"/>
        <v>57</v>
      </c>
      <c r="I23" s="4" t="str">
        <f t="shared" si="2"/>
        <v>='C:\Users\jaime.benazar\Quorum Business Solutions\Ecopetrol Prometeo - Documents\Planning Space Implementation\3. Analysis &amp; Design\Design\FC22\DRR Jaime\QUIFA-CAJÚA\Cajua\[VAS_CAJUA_CF_SEC_20230125.xlsx]CF PDP'!$AY$57</v>
      </c>
      <c r="J23" s="4" t="s">
        <v>150</v>
      </c>
    </row>
    <row r="24" spans="1:10" x14ac:dyDescent="0.2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Jaime\QUIFA-CAJÚA\Cajua\[VAS_CAJUA_CF_SEC_20230125.xlsx]CF PDP'!</v>
      </c>
      <c r="G24" s="7" t="s">
        <v>47</v>
      </c>
      <c r="H24" s="4">
        <f t="shared" si="4"/>
        <v>58</v>
      </c>
      <c r="I24" s="4" t="str">
        <f t="shared" si="2"/>
        <v>='C:\Users\jaime.benazar\Quorum Business Solutions\Ecopetrol Prometeo - Documents\Planning Space Implementation\3. Analysis &amp; Design\Design\FC22\DRR Jaime\QUIFA-CAJÚA\Cajua\[VAS_CAJUA_CF_SEC_20230125.xlsx]CF PDP'!$AY$58</v>
      </c>
      <c r="J24" s="4" t="s">
        <v>151</v>
      </c>
    </row>
    <row r="25" spans="1:10" x14ac:dyDescent="0.2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Jaime\QUIFA-CAJÚA\Cajua\[VAS_CAJUA_CF_SEC_20230125.xlsx]CF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Jaime\QUIFA-CAJÚA\Cajua\[VAS_CAJUA_CF_SEC_20230125.xlsx]CF PDP'!$AY$59</v>
      </c>
      <c r="J25" s="4" t="s">
        <v>152</v>
      </c>
    </row>
    <row r="26" spans="1:10" x14ac:dyDescent="0.2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Jaime\QUIFA-CAJÚA\Cajua\[VAS_CAJUA_CF_SEC_20230125.xlsx]CF PDP'!</v>
      </c>
      <c r="G26" s="7" t="s">
        <v>47</v>
      </c>
      <c r="H26" s="4">
        <f t="shared" si="10"/>
        <v>60</v>
      </c>
      <c r="I26" s="4" t="str">
        <f t="shared" si="11"/>
        <v>='C:\Users\jaime.benazar\Quorum Business Solutions\Ecopetrol Prometeo - Documents\Planning Space Implementation\3. Analysis &amp; Design\Design\FC22\DRR Jaime\QUIFA-CAJÚA\Cajua\[VAS_CAJUA_CF_SEC_20230125.xlsx]CF PDP'!$AY$60</v>
      </c>
      <c r="J26" s="4" t="s">
        <v>153</v>
      </c>
    </row>
    <row r="27" spans="1:10" x14ac:dyDescent="0.2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Jaime\QUIFA-CAJÚA\Cajua\[VAS_CAJUA_CF_SEC_20230125.xlsx]CF PDP'!</v>
      </c>
      <c r="G27" s="7" t="s">
        <v>47</v>
      </c>
      <c r="H27" s="4">
        <f t="shared" si="10"/>
        <v>61</v>
      </c>
      <c r="I27" s="4" t="str">
        <f t="shared" si="11"/>
        <v>='C:\Users\jaime.benazar\Quorum Business Solutions\Ecopetrol Prometeo - Documents\Planning Space Implementation\3. Analysis &amp; Design\Design\FC22\DRR Jaime\QUIFA-CAJÚA\Cajua\[VAS_CAJUA_CF_SEC_20230125.xlsx]CF PDP'!$AY$61</v>
      </c>
      <c r="J27" s="4" t="s">
        <v>154</v>
      </c>
    </row>
    <row r="28" spans="1:10" x14ac:dyDescent="0.2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Jaime\QUIFA-CAJÚA\Cajua\[VAS_CAJUA_CF_SEC_20230125.xlsx]CF PDP'!</v>
      </c>
      <c r="G28" s="7" t="s">
        <v>47</v>
      </c>
      <c r="H28" s="4">
        <f t="shared" si="10"/>
        <v>62</v>
      </c>
      <c r="I28" s="4" t="str">
        <f t="shared" si="11"/>
        <v>='C:\Users\jaime.benazar\Quorum Business Solutions\Ecopetrol Prometeo - Documents\Planning Space Implementation\3. Analysis &amp; Design\Design\FC22\DRR Jaime\QUIFA-CAJÚA\Cajua\[VAS_CAJUA_CF_SEC_20230125.xlsx]CF PDP'!$AY$62</v>
      </c>
      <c r="J28" s="4" t="s">
        <v>155</v>
      </c>
    </row>
    <row r="29" spans="1:10" x14ac:dyDescent="0.2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Jaime\QUIFA-CAJÚA\Cajua\[VAS_CAJUA_CF_SEC_20230125.xlsx]CF PDP'!</v>
      </c>
      <c r="G29" s="7" t="s">
        <v>47</v>
      </c>
      <c r="H29" s="4">
        <f t="shared" si="10"/>
        <v>63</v>
      </c>
      <c r="I29" s="4" t="str">
        <f t="shared" si="11"/>
        <v>='C:\Users\jaime.benazar\Quorum Business Solutions\Ecopetrol Prometeo - Documents\Planning Space Implementation\3. Analysis &amp; Design\Design\FC22\DRR Jaime\QUIFA-CAJÚA\Cajua\[VAS_CAJUA_CF_SEC_20230125.xlsx]CF PDP'!$AY$63</v>
      </c>
      <c r="J29" s="4" t="s">
        <v>156</v>
      </c>
    </row>
    <row r="30" spans="1:10" x14ac:dyDescent="0.2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Jaime\QUIFA-CAJÚA\Cajua\[VAS_CAJUA_CF_SEC_20230125.xlsx]CF PDP'!</v>
      </c>
      <c r="G30" s="7" t="s">
        <v>47</v>
      </c>
      <c r="H30" s="4">
        <f t="shared" si="10"/>
        <v>64</v>
      </c>
      <c r="I30" s="4" t="str">
        <f t="shared" si="11"/>
        <v>='C:\Users\jaime.benazar\Quorum Business Solutions\Ecopetrol Prometeo - Documents\Planning Space Implementation\3. Analysis &amp; Design\Design\FC22\DRR Jaime\QUIFA-CAJÚA\Cajua\[VAS_CAJUA_CF_SEC_20230125.xlsx]CF PDP'!$AY$64</v>
      </c>
      <c r="J30" s="4" t="s">
        <v>157</v>
      </c>
    </row>
    <row r="31" spans="1:10" x14ac:dyDescent="0.2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Jaime\QUIFA-CAJÚA\Cajua\[VAS_CAJUA_CF_SEC_20230125.xlsx]CF PDP'!</v>
      </c>
      <c r="G31" s="7" t="s">
        <v>47</v>
      </c>
      <c r="H31" s="4">
        <f t="shared" si="10"/>
        <v>65</v>
      </c>
      <c r="I31" s="4" t="str">
        <f t="shared" si="11"/>
        <v>='C:\Users\jaime.benazar\Quorum Business Solutions\Ecopetrol Prometeo - Documents\Planning Space Implementation\3. Analysis &amp; Design\Design\FC22\DRR Jaime\QUIFA-CAJÚA\Cajua\[VAS_CAJUA_CF_SEC_20230125.xlsx]CF PDP'!$AY$65</v>
      </c>
      <c r="J31" s="4" t="s">
        <v>158</v>
      </c>
    </row>
    <row r="32" spans="1:10" x14ac:dyDescent="0.2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Jaime\QUIFA-CAJÚA\Cajua\[VAS_CAJUA_CF_SEC_20230125.xlsx]CF PDP'!</v>
      </c>
      <c r="G32" s="7" t="s">
        <v>47</v>
      </c>
      <c r="H32" s="4">
        <f t="shared" si="10"/>
        <v>66</v>
      </c>
      <c r="I32" s="4" t="str">
        <f t="shared" si="11"/>
        <v>='C:\Users\jaime.benazar\Quorum Business Solutions\Ecopetrol Prometeo - Documents\Planning Space Implementation\3. Analysis &amp; Design\Design\FC22\DRR Jaime\QUIFA-CAJÚA\Cajua\[VAS_CAJUA_CF_SEC_20230125.xlsx]CF PDP'!$AY$66</v>
      </c>
      <c r="J32" s="4" t="s">
        <v>159</v>
      </c>
    </row>
    <row r="33" spans="1:10" x14ac:dyDescent="0.2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Jaime\QUIFA-CAJÚA\Cajua\[VAS_CAJUA_CF_SEC_20230125.xlsx]CF PDP'!</v>
      </c>
      <c r="G33" s="7" t="s">
        <v>47</v>
      </c>
      <c r="H33" s="4">
        <f t="shared" si="10"/>
        <v>67</v>
      </c>
      <c r="I33" s="4" t="str">
        <f t="shared" si="11"/>
        <v>='C:\Users\jaime.benazar\Quorum Business Solutions\Ecopetrol Prometeo - Documents\Planning Space Implementation\3. Analysis &amp; Design\Design\FC22\DRR Jaime\QUIFA-CAJÚA\Cajua\[VAS_CAJUA_CF_SEC_20230125.xlsx]CF PDP'!$AY$67</v>
      </c>
      <c r="J33" s="4" t="s">
        <v>160</v>
      </c>
    </row>
    <row r="34" spans="1:10" x14ac:dyDescent="0.2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Jaime\QUIFA-CAJÚA\Cajua\[VAS_CAJUA_CF_SEC_20230125.xlsx]CF PDP'!</v>
      </c>
      <c r="G34" s="7" t="s">
        <v>47</v>
      </c>
      <c r="H34" s="4">
        <f t="shared" si="10"/>
        <v>68</v>
      </c>
      <c r="I34" s="4" t="str">
        <f t="shared" si="11"/>
        <v>='C:\Users\jaime.benazar\Quorum Business Solutions\Ecopetrol Prometeo - Documents\Planning Space Implementation\3. Analysis &amp; Design\Design\FC22\DRR Jaime\QUIFA-CAJÚA\Cajua\[VAS_CAJUA_CF_SEC_20230125.xlsx]CF PDP'!$AY$68</v>
      </c>
      <c r="J34" s="4" t="s">
        <v>161</v>
      </c>
    </row>
    <row r="35" spans="1:10" x14ac:dyDescent="0.2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Jaime\QUIFA-CAJÚA\Cajua\[VAS_CAJUA_CF_SEC_20230125.xlsx]CF PDP'!</v>
      </c>
      <c r="G35" s="7" t="s">
        <v>47</v>
      </c>
      <c r="H35" s="4">
        <f t="shared" si="10"/>
        <v>69</v>
      </c>
      <c r="I35" s="4" t="str">
        <f t="shared" si="11"/>
        <v>='C:\Users\jaime.benazar\Quorum Business Solutions\Ecopetrol Prometeo - Documents\Planning Space Implementation\3. Analysis &amp; Design\Design\FC22\DRR Jaime\QUIFA-CAJÚA\Cajua\[VAS_CAJUA_CF_SEC_20230125.xlsx]CF PDP'!$AY$69</v>
      </c>
      <c r="J35" s="4" t="s">
        <v>162</v>
      </c>
    </row>
    <row r="36" spans="1:10" x14ac:dyDescent="0.2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Jaime\QUIFA-CAJÚA\Cajua\[VAS_CAJUA_CF_SEC_20230125.xlsx]CF PDP'!</v>
      </c>
      <c r="G36" s="7" t="s">
        <v>47</v>
      </c>
      <c r="H36" s="4">
        <f t="shared" si="10"/>
        <v>70</v>
      </c>
      <c r="I36" s="4" t="str">
        <f t="shared" si="11"/>
        <v>='C:\Users\jaime.benazar\Quorum Business Solutions\Ecopetrol Prometeo - Documents\Planning Space Implementation\3. Analysis &amp; Design\Design\FC22\DRR Jaime\QUIFA-CAJÚA\Cajua\[VAS_CAJUA_CF_SEC_20230125.xlsx]CF PDP'!$AY$70</v>
      </c>
      <c r="J36" s="4" t="s">
        <v>163</v>
      </c>
    </row>
    <row r="37" spans="1:10" x14ac:dyDescent="0.2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Jaime\QUIFA-CAJÚA\Cajua\[VAS_CAJUA_CF_SEC_20230125.xlsx]CF PDP'!</v>
      </c>
      <c r="G37" s="7" t="s">
        <v>47</v>
      </c>
      <c r="H37" s="4">
        <f t="shared" si="10"/>
        <v>71</v>
      </c>
      <c r="I37" s="4" t="str">
        <f t="shared" si="11"/>
        <v>='C:\Users\jaime.benazar\Quorum Business Solutions\Ecopetrol Prometeo - Documents\Planning Space Implementation\3. Analysis &amp; Design\Design\FC22\DRR Jaime\QUIFA-CAJÚA\Cajua\[VAS_CAJUA_CF_SEC_20230125.xlsx]CF PDP'!$AY$71</v>
      </c>
      <c r="J37" s="4" t="s">
        <v>164</v>
      </c>
    </row>
    <row r="38" spans="1:10" x14ac:dyDescent="0.2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Jaime\QUIFA-CAJÚA\Cajua\[VAS_CAJUA_CF_SEC_20230125.xlsx]CF PDP'!</v>
      </c>
      <c r="G38" s="7" t="s">
        <v>47</v>
      </c>
      <c r="H38" s="4">
        <f t="shared" si="10"/>
        <v>72</v>
      </c>
      <c r="I38" s="4" t="str">
        <f t="shared" si="11"/>
        <v>='C:\Users\jaime.benazar\Quorum Business Solutions\Ecopetrol Prometeo - Documents\Planning Space Implementation\3. Analysis &amp; Design\Design\FC22\DRR Jaime\QUIFA-CAJÚA\Cajua\[VAS_CAJUA_CF_SEC_20230125.xlsx]CF PDP'!$AY$72</v>
      </c>
      <c r="J38" s="4" t="s">
        <v>165</v>
      </c>
    </row>
    <row r="39" spans="1:10" x14ac:dyDescent="0.25">
      <c r="A39" s="7" t="s">
        <v>28</v>
      </c>
      <c r="B39" s="7"/>
      <c r="C39" s="4" t="s">
        <v>51</v>
      </c>
      <c r="D39" s="5"/>
      <c r="E39" s="10"/>
      <c r="F39" s="5" t="str">
        <f t="shared" si="1"/>
        <v xml:space="preserve"> </v>
      </c>
      <c r="G39" s="7"/>
      <c r="H39" s="4"/>
      <c r="I39" s="4"/>
      <c r="J39" s="4"/>
    </row>
    <row r="40" spans="1:10" x14ac:dyDescent="0.2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Jaime\QUIFA-CAJÚA\Cajua\[VAS_CAJUA_CF_SEC_20230125.xlsx]CF PNP'!</v>
      </c>
      <c r="G40" s="7" t="s">
        <v>47</v>
      </c>
      <c r="H40" s="4">
        <f>IF(A40&lt;&gt;A24,36,H24+1)</f>
        <v>36</v>
      </c>
      <c r="I40" s="4" t="str">
        <f t="shared" si="2"/>
        <v>='C:\Users\jaime.benazar\Quorum Business Solutions\Ecopetrol Prometeo - Documents\Planning Space Implementation\3. Analysis &amp; Design\Design\FC22\DRR Jaime\QUIFA-CAJÚA\Cajua\[VAS_CAJUA_CF_SEC_20230125.xlsx]CF PNP'!$AY$36</v>
      </c>
      <c r="J40" s="4" t="s">
        <v>166</v>
      </c>
    </row>
    <row r="41" spans="1:10" x14ac:dyDescent="0.2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Jaime\QUIFA-CAJÚA\Cajua\[VAS_CAJUA_CF_SEC_20230125.xlsx]CF PNP'!</v>
      </c>
      <c r="G41" s="7" t="s">
        <v>47</v>
      </c>
      <c r="H41" s="4">
        <f t="shared" si="4"/>
        <v>37</v>
      </c>
      <c r="I41" s="4" t="str">
        <f t="shared" si="2"/>
        <v>='C:\Users\jaime.benazar\Quorum Business Solutions\Ecopetrol Prometeo - Documents\Planning Space Implementation\3. Analysis &amp; Design\Design\FC22\DRR Jaime\QUIFA-CAJÚA\Cajua\[VAS_CAJUA_CF_SEC_20230125.xlsx]CF PNP'!$AY$37</v>
      </c>
      <c r="J41" s="4" t="s">
        <v>167</v>
      </c>
    </row>
    <row r="42" spans="1:10" x14ac:dyDescent="0.2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Jaime\QUIFA-CAJÚA\Cajua\[VAS_CAJUA_CF_SEC_20230125.xlsx]CF PNP'!</v>
      </c>
      <c r="G42" s="7" t="s">
        <v>47</v>
      </c>
      <c r="H42" s="4">
        <f t="shared" si="4"/>
        <v>38</v>
      </c>
      <c r="I42" s="4" t="str">
        <f t="shared" si="2"/>
        <v>='C:\Users\jaime.benazar\Quorum Business Solutions\Ecopetrol Prometeo - Documents\Planning Space Implementation\3. Analysis &amp; Design\Design\FC22\DRR Jaime\QUIFA-CAJÚA\Cajua\[VAS_CAJUA_CF_SEC_20230125.xlsx]CF PNP'!$AY$38</v>
      </c>
      <c r="J42" s="4" t="s">
        <v>168</v>
      </c>
    </row>
    <row r="43" spans="1:10" x14ac:dyDescent="0.2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Jaime\QUIFA-CAJÚA\Cajua\[VAS_CAJUA_CF_SEC_20230125.xlsx]CF PNP'!</v>
      </c>
      <c r="G43" s="7" t="s">
        <v>47</v>
      </c>
      <c r="H43" s="4">
        <f t="shared" si="4"/>
        <v>39</v>
      </c>
      <c r="I43" s="4" t="str">
        <f t="shared" si="2"/>
        <v>='C:\Users\jaime.benazar\Quorum Business Solutions\Ecopetrol Prometeo - Documents\Planning Space Implementation\3. Analysis &amp; Design\Design\FC22\DRR Jaime\QUIFA-CAJÚA\Cajua\[VAS_CAJUA_CF_SEC_20230125.xlsx]CF PNP'!$AY$39</v>
      </c>
      <c r="J43" s="4" t="s">
        <v>169</v>
      </c>
    </row>
    <row r="44" spans="1:10" x14ac:dyDescent="0.2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Jaime\QUIFA-CAJÚA\Cajua\[VAS_CAJUA_CF_SEC_20230125.xlsx]CF PNP'!</v>
      </c>
      <c r="G44" s="7" t="s">
        <v>47</v>
      </c>
      <c r="H44" s="4">
        <f t="shared" si="4"/>
        <v>40</v>
      </c>
      <c r="I44" s="4" t="str">
        <f t="shared" si="2"/>
        <v>='C:\Users\jaime.benazar\Quorum Business Solutions\Ecopetrol Prometeo - Documents\Planning Space Implementation\3. Analysis &amp; Design\Design\FC22\DRR Jaime\QUIFA-CAJÚA\Cajua\[VAS_CAJUA_CF_SEC_20230125.xlsx]CF PNP'!$AY$40</v>
      </c>
      <c r="J44" s="4" t="s">
        <v>170</v>
      </c>
    </row>
    <row r="45" spans="1:10" x14ac:dyDescent="0.2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Jaime\QUIFA-CAJÚA\Cajua\[VAS_CAJUA_CF_SEC_20230125.xlsx]CF PNP'!</v>
      </c>
      <c r="G45" s="7" t="s">
        <v>47</v>
      </c>
      <c r="H45" s="4">
        <f t="shared" si="4"/>
        <v>41</v>
      </c>
      <c r="I45" s="4" t="str">
        <f t="shared" si="2"/>
        <v>='C:\Users\jaime.benazar\Quorum Business Solutions\Ecopetrol Prometeo - Documents\Planning Space Implementation\3. Analysis &amp; Design\Design\FC22\DRR Jaime\QUIFA-CAJÚA\Cajua\[VAS_CAJUA_CF_SEC_20230125.xlsx]CF PNP'!$AY$41</v>
      </c>
      <c r="J45" s="4" t="s">
        <v>171</v>
      </c>
    </row>
    <row r="46" spans="1:10" x14ac:dyDescent="0.2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Jaime\QUIFA-CAJÚA\Cajua\[VAS_CAJUA_CF_SEC_20230125.xlsx]CF PNP'!</v>
      </c>
      <c r="G46" s="7" t="s">
        <v>47</v>
      </c>
      <c r="H46" s="4">
        <f t="shared" si="4"/>
        <v>42</v>
      </c>
      <c r="I46" s="4" t="str">
        <f t="shared" si="2"/>
        <v>='C:\Users\jaime.benazar\Quorum Business Solutions\Ecopetrol Prometeo - Documents\Planning Space Implementation\3. Analysis &amp; Design\Design\FC22\DRR Jaime\QUIFA-CAJÚA\Cajua\[VAS_CAJUA_CF_SEC_20230125.xlsx]CF PNP'!$AY$42</v>
      </c>
      <c r="J46" s="4" t="s">
        <v>172</v>
      </c>
    </row>
    <row r="47" spans="1:10" x14ac:dyDescent="0.2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Jaime\QUIFA-CAJÚA\Cajua\[VAS_CAJUA_CF_SEC_20230125.xlsx]CF PNP'!</v>
      </c>
      <c r="G47" s="7" t="s">
        <v>47</v>
      </c>
      <c r="H47" s="4">
        <f t="shared" si="4"/>
        <v>43</v>
      </c>
      <c r="I47" s="4" t="str">
        <f t="shared" si="2"/>
        <v>='C:\Users\jaime.benazar\Quorum Business Solutions\Ecopetrol Prometeo - Documents\Planning Space Implementation\3. Analysis &amp; Design\Design\FC22\DRR Jaime\QUIFA-CAJÚA\Cajua\[VAS_CAJUA_CF_SEC_20230125.xlsx]CF PNP'!$AY$43</v>
      </c>
      <c r="J47" s="4" t="s">
        <v>173</v>
      </c>
    </row>
    <row r="48" spans="1:10" x14ac:dyDescent="0.2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Jaime\QUIFA-CAJÚA\Cajua\[VAS_CAJUA_CF_SEC_20230125.xlsx]CF PNP'!</v>
      </c>
      <c r="G48" s="7" t="s">
        <v>47</v>
      </c>
      <c r="H48" s="4">
        <f t="shared" si="4"/>
        <v>44</v>
      </c>
      <c r="I48" s="4" t="str">
        <f t="shared" si="2"/>
        <v>='C:\Users\jaime.benazar\Quorum Business Solutions\Ecopetrol Prometeo - Documents\Planning Space Implementation\3. Analysis &amp; Design\Design\FC22\DRR Jaime\QUIFA-CAJÚA\Cajua\[VAS_CAJUA_CF_SEC_20230125.xlsx]CF PNP'!$AY$44</v>
      </c>
      <c r="J48" s="4" t="s">
        <v>174</v>
      </c>
    </row>
    <row r="49" spans="1:10" x14ac:dyDescent="0.2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Jaime\QUIFA-CAJÚA\Cajua\[VAS_CAJUA_CF_SEC_20230125.xlsx]CF PNP'!</v>
      </c>
      <c r="G49" s="7" t="s">
        <v>47</v>
      </c>
      <c r="H49" s="4">
        <f t="shared" si="4"/>
        <v>45</v>
      </c>
      <c r="I49" s="4" t="str">
        <f t="shared" si="2"/>
        <v>='C:\Users\jaime.benazar\Quorum Business Solutions\Ecopetrol Prometeo - Documents\Planning Space Implementation\3. Analysis &amp; Design\Design\FC22\DRR Jaime\QUIFA-CAJÚA\Cajua\[VAS_CAJUA_CF_SEC_20230125.xlsx]CF PNP'!$AY$45</v>
      </c>
      <c r="J49" s="4" t="s">
        <v>175</v>
      </c>
    </row>
    <row r="50" spans="1:10" x14ac:dyDescent="0.2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Jaime\QUIFA-CAJÚA\Cajua\[VAS_CAJUA_CF_SEC_20230125.xlsx]CF PNP'!</v>
      </c>
      <c r="G50" s="7" t="s">
        <v>47</v>
      </c>
      <c r="H50" s="4">
        <f t="shared" si="4"/>
        <v>46</v>
      </c>
      <c r="I50" s="4" t="str">
        <f t="shared" si="2"/>
        <v>='C:\Users\jaime.benazar\Quorum Business Solutions\Ecopetrol Prometeo - Documents\Planning Space Implementation\3. Analysis &amp; Design\Design\FC22\DRR Jaime\QUIFA-CAJÚA\Cajua\[VAS_CAJUA_CF_SEC_20230125.xlsx]CF PNP'!$AY$46</v>
      </c>
      <c r="J50" s="4" t="s">
        <v>176</v>
      </c>
    </row>
    <row r="51" spans="1:10" x14ac:dyDescent="0.2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Jaime\QUIFA-CAJÚA\Cajua\[VAS_CAJUA_CF_SEC_20230125.xlsx]CF PNP'!</v>
      </c>
      <c r="G51" s="7" t="s">
        <v>47</v>
      </c>
      <c r="H51" s="4">
        <f t="shared" si="4"/>
        <v>47</v>
      </c>
      <c r="I51" s="4" t="str">
        <f t="shared" si="2"/>
        <v>='C:\Users\jaime.benazar\Quorum Business Solutions\Ecopetrol Prometeo - Documents\Planning Space Implementation\3. Analysis &amp; Design\Design\FC22\DRR Jaime\QUIFA-CAJÚA\Cajua\[VAS_CAJUA_CF_SEC_20230125.xlsx]CF PNP'!$AY$47</v>
      </c>
      <c r="J51" s="4" t="s">
        <v>177</v>
      </c>
    </row>
    <row r="52" spans="1:10" x14ac:dyDescent="0.2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Jaime\QUIFA-CAJÚA\Cajua\[VAS_CAJUA_CF_SEC_20230125.xlsx]CF PNP'!</v>
      </c>
      <c r="G52" s="7" t="s">
        <v>47</v>
      </c>
      <c r="H52" s="4">
        <f t="shared" si="4"/>
        <v>48</v>
      </c>
      <c r="I52" s="4" t="str">
        <f t="shared" si="2"/>
        <v>='C:\Users\jaime.benazar\Quorum Business Solutions\Ecopetrol Prometeo - Documents\Planning Space Implementation\3. Analysis &amp; Design\Design\FC22\DRR Jaime\QUIFA-CAJÚA\Cajua\[VAS_CAJUA_CF_SEC_20230125.xlsx]CF PNP'!$AY$48</v>
      </c>
      <c r="J52" s="4" t="s">
        <v>178</v>
      </c>
    </row>
    <row r="53" spans="1:10" x14ac:dyDescent="0.2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Jaime\QUIFA-CAJÚA\Cajua\[VAS_CAJUA_CF_SEC_20230125.xlsx]CF PNP'!</v>
      </c>
      <c r="G53" s="7" t="s">
        <v>47</v>
      </c>
      <c r="H53" s="4">
        <f t="shared" si="4"/>
        <v>49</v>
      </c>
      <c r="I53" s="4" t="str">
        <f t="shared" si="2"/>
        <v>='C:\Users\jaime.benazar\Quorum Business Solutions\Ecopetrol Prometeo - Documents\Planning Space Implementation\3. Analysis &amp; Design\Design\FC22\DRR Jaime\QUIFA-CAJÚA\Cajua\[VAS_CAJUA_CF_SEC_20230125.xlsx]CF PNP'!$AY$49</v>
      </c>
      <c r="J53" s="4" t="s">
        <v>179</v>
      </c>
    </row>
    <row r="54" spans="1:10" x14ac:dyDescent="0.2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Jaime\QUIFA-CAJÚA\Cajua\[VAS_CAJUA_CF_SEC_20230125.xlsx]CF PNP'!</v>
      </c>
      <c r="G54" s="7" t="s">
        <v>47</v>
      </c>
      <c r="H54" s="4">
        <f t="shared" si="4"/>
        <v>50</v>
      </c>
      <c r="I54" s="4" t="str">
        <f t="shared" si="2"/>
        <v>='C:\Users\jaime.benazar\Quorum Business Solutions\Ecopetrol Prometeo - Documents\Planning Space Implementation\3. Analysis &amp; Design\Design\FC22\DRR Jaime\QUIFA-CAJÚA\Cajua\[VAS_CAJUA_CF_SEC_20230125.xlsx]CF PNP'!$AY$50</v>
      </c>
      <c r="J54" s="4" t="s">
        <v>180</v>
      </c>
    </row>
    <row r="55" spans="1:10" x14ac:dyDescent="0.2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Jaime\QUIFA-CAJÚA\Cajua\[VAS_CAJUA_CF_SEC_20230125.xlsx]CF PNP'!</v>
      </c>
      <c r="G55" s="7" t="s">
        <v>47</v>
      </c>
      <c r="H55" s="4">
        <f t="shared" si="4"/>
        <v>51</v>
      </c>
      <c r="I55" s="4" t="str">
        <f t="shared" si="2"/>
        <v>='C:\Users\jaime.benazar\Quorum Business Solutions\Ecopetrol Prometeo - Documents\Planning Space Implementation\3. Analysis &amp; Design\Design\FC22\DRR Jaime\QUIFA-CAJÚA\Cajua\[VAS_CAJUA_CF_SEC_20230125.xlsx]CF PNP'!$AY$51</v>
      </c>
      <c r="J55" s="4" t="s">
        <v>181</v>
      </c>
    </row>
    <row r="56" spans="1:10" x14ac:dyDescent="0.2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Jaime\QUIFA-CAJÚA\Cajua\[VAS_CAJUA_CF_SEC_20230125.xlsx]CF PNP'!</v>
      </c>
      <c r="G56" s="7" t="s">
        <v>47</v>
      </c>
      <c r="H56" s="4">
        <f t="shared" si="4"/>
        <v>52</v>
      </c>
      <c r="I56" s="4" t="str">
        <f t="shared" si="2"/>
        <v>='C:\Users\jaime.benazar\Quorum Business Solutions\Ecopetrol Prometeo - Documents\Planning Space Implementation\3. Analysis &amp; Design\Design\FC22\DRR Jaime\QUIFA-CAJÚA\Cajua\[VAS_CAJUA_CF_SEC_20230125.xlsx]CF PNP'!$AY$52</v>
      </c>
      <c r="J56" s="4" t="s">
        <v>182</v>
      </c>
    </row>
    <row r="57" spans="1:10" x14ac:dyDescent="0.2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Jaime\QUIFA-CAJÚA\Cajua\[VAS_CAJUA_CF_SEC_20230125.xlsx]CF PNP'!</v>
      </c>
      <c r="G57" s="7" t="s">
        <v>47</v>
      </c>
      <c r="H57" s="4">
        <f t="shared" si="4"/>
        <v>53</v>
      </c>
      <c r="I57" s="4" t="str">
        <f t="shared" si="2"/>
        <v>='C:\Users\jaime.benazar\Quorum Business Solutions\Ecopetrol Prometeo - Documents\Planning Space Implementation\3. Analysis &amp; Design\Design\FC22\DRR Jaime\QUIFA-CAJÚA\Cajua\[VAS_CAJUA_CF_SEC_20230125.xlsx]CF PNP'!$AY$53</v>
      </c>
      <c r="J57" s="4" t="s">
        <v>183</v>
      </c>
    </row>
    <row r="58" spans="1:10" x14ac:dyDescent="0.2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Jaime\QUIFA-CAJÚA\Cajua\[VAS_CAJUA_CF_SEC_20230125.xlsx]CF PNP'!</v>
      </c>
      <c r="G58" s="7" t="s">
        <v>47</v>
      </c>
      <c r="H58" s="4">
        <f t="shared" si="4"/>
        <v>54</v>
      </c>
      <c r="I58" s="4" t="str">
        <f t="shared" si="2"/>
        <v>='C:\Users\jaime.benazar\Quorum Business Solutions\Ecopetrol Prometeo - Documents\Planning Space Implementation\3. Analysis &amp; Design\Design\FC22\DRR Jaime\QUIFA-CAJÚA\Cajua\[VAS_CAJUA_CF_SEC_20230125.xlsx]CF PNP'!$AY$54</v>
      </c>
      <c r="J58" s="4" t="s">
        <v>184</v>
      </c>
    </row>
    <row r="59" spans="1:10" x14ac:dyDescent="0.2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Jaime\QUIFA-CAJÚA\Cajua\[VAS_CAJUA_CF_SEC_20230125.xlsx]CF PNP'!</v>
      </c>
      <c r="G59" s="7" t="s">
        <v>47</v>
      </c>
      <c r="H59" s="4">
        <f t="shared" si="4"/>
        <v>55</v>
      </c>
      <c r="I59" s="4" t="str">
        <f t="shared" si="2"/>
        <v>='C:\Users\jaime.benazar\Quorum Business Solutions\Ecopetrol Prometeo - Documents\Planning Space Implementation\3. Analysis &amp; Design\Design\FC22\DRR Jaime\QUIFA-CAJÚA\Cajua\[VAS_CAJUA_CF_SEC_20230125.xlsx]CF PNP'!$AY$55</v>
      </c>
      <c r="J59" s="4" t="s">
        <v>185</v>
      </c>
    </row>
    <row r="60" spans="1:10" x14ac:dyDescent="0.2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Jaime\QUIFA-CAJÚA\Cajua\[VAS_CAJUA_CF_SEC_20230125.xlsx]CF PNP'!</v>
      </c>
      <c r="G60" s="7" t="s">
        <v>47</v>
      </c>
      <c r="H60" s="4">
        <f t="shared" si="4"/>
        <v>56</v>
      </c>
      <c r="I60" s="4" t="str">
        <f t="shared" si="2"/>
        <v>='C:\Users\jaime.benazar\Quorum Business Solutions\Ecopetrol Prometeo - Documents\Planning Space Implementation\3. Analysis &amp; Design\Design\FC22\DRR Jaime\QUIFA-CAJÚA\Cajua\[VAS_CAJUA_CF_SEC_20230125.xlsx]CF PNP'!$AY$56</v>
      </c>
      <c r="J60" s="4" t="s">
        <v>186</v>
      </c>
    </row>
    <row r="61" spans="1:10" x14ac:dyDescent="0.2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Jaime\QUIFA-CAJÚA\Cajua\[VAS_CAJUA_CF_SEC_20230125.xlsx]CF PNP'!</v>
      </c>
      <c r="G61" s="7" t="s">
        <v>47</v>
      </c>
      <c r="H61" s="4">
        <f t="shared" si="4"/>
        <v>57</v>
      </c>
      <c r="I61" s="4" t="str">
        <f t="shared" si="2"/>
        <v>='C:\Users\jaime.benazar\Quorum Business Solutions\Ecopetrol Prometeo - Documents\Planning Space Implementation\3. Analysis &amp; Design\Design\FC22\DRR Jaime\QUIFA-CAJÚA\Cajua\[VAS_CAJUA_CF_SEC_20230125.xlsx]CF PNP'!$AY$57</v>
      </c>
      <c r="J61" s="4" t="s">
        <v>187</v>
      </c>
    </row>
    <row r="62" spans="1:10" x14ac:dyDescent="0.2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Jaime\QUIFA-CAJÚA\Cajua\[VAS_CAJUA_CF_SEC_20230125.xlsx]CF PNP'!</v>
      </c>
      <c r="G62" s="7" t="s">
        <v>47</v>
      </c>
      <c r="H62" s="4">
        <f t="shared" si="4"/>
        <v>58</v>
      </c>
      <c r="I62" s="4" t="str">
        <f t="shared" si="2"/>
        <v>='C:\Users\jaime.benazar\Quorum Business Solutions\Ecopetrol Prometeo - Documents\Planning Space Implementation\3. Analysis &amp; Design\Design\FC22\DRR Jaime\QUIFA-CAJÚA\Cajua\[VAS_CAJUA_CF_SEC_20230125.xlsx]CF PNP'!$AY$58</v>
      </c>
      <c r="J62" s="4" t="s">
        <v>188</v>
      </c>
    </row>
    <row r="63" spans="1:10" x14ac:dyDescent="0.2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Jaime\QUIFA-CAJÚA\Cajua\[VAS_CAJUA_CF_SEC_20230125.xlsx]CF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Jaime\QUIFA-CAJÚA\Cajua\[VAS_CAJUA_CF_SEC_20230125.xlsx]CF PNP'!$AY$59</v>
      </c>
      <c r="J63" s="4" t="s">
        <v>189</v>
      </c>
    </row>
    <row r="64" spans="1:10" x14ac:dyDescent="0.2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Jaime\QUIFA-CAJÚA\Cajua\[VAS_CAJUA_CF_SEC_20230125.xlsx]CF PNP'!</v>
      </c>
      <c r="G64" s="7" t="s">
        <v>47</v>
      </c>
      <c r="H64" s="4">
        <f t="shared" si="18"/>
        <v>60</v>
      </c>
      <c r="I64" s="4" t="str">
        <f t="shared" si="19"/>
        <v>='C:\Users\jaime.benazar\Quorum Business Solutions\Ecopetrol Prometeo - Documents\Planning Space Implementation\3. Analysis &amp; Design\Design\FC22\DRR Jaime\QUIFA-CAJÚA\Cajua\[VAS_CAJUA_CF_SEC_20230125.xlsx]CF PNP'!$AY$60</v>
      </c>
      <c r="J64" s="4" t="s">
        <v>190</v>
      </c>
    </row>
    <row r="65" spans="1:10" x14ac:dyDescent="0.2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Jaime\QUIFA-CAJÚA\Cajua\[VAS_CAJUA_CF_SEC_20230125.xlsx]CF PNP'!</v>
      </c>
      <c r="G65" s="7" t="s">
        <v>47</v>
      </c>
      <c r="H65" s="4">
        <f t="shared" si="18"/>
        <v>61</v>
      </c>
      <c r="I65" s="4" t="str">
        <f t="shared" si="19"/>
        <v>='C:\Users\jaime.benazar\Quorum Business Solutions\Ecopetrol Prometeo - Documents\Planning Space Implementation\3. Analysis &amp; Design\Design\FC22\DRR Jaime\QUIFA-CAJÚA\Cajua\[VAS_CAJUA_CF_SEC_20230125.xlsx]CF PNP'!$AY$61</v>
      </c>
      <c r="J65" s="4" t="s">
        <v>191</v>
      </c>
    </row>
    <row r="66" spans="1:10" x14ac:dyDescent="0.2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Jaime\QUIFA-CAJÚA\Cajua\[VAS_CAJUA_CF_SEC_20230125.xlsx]CF PNP'!</v>
      </c>
      <c r="G66" s="7" t="s">
        <v>47</v>
      </c>
      <c r="H66" s="4">
        <f t="shared" si="18"/>
        <v>62</v>
      </c>
      <c r="I66" s="4" t="str">
        <f t="shared" si="19"/>
        <v>='C:\Users\jaime.benazar\Quorum Business Solutions\Ecopetrol Prometeo - Documents\Planning Space Implementation\3. Analysis &amp; Design\Design\FC22\DRR Jaime\QUIFA-CAJÚA\Cajua\[VAS_CAJUA_CF_SEC_20230125.xlsx]CF PNP'!$AY$62</v>
      </c>
      <c r="J66" s="4" t="s">
        <v>192</v>
      </c>
    </row>
    <row r="67" spans="1:10" x14ac:dyDescent="0.2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Jaime\QUIFA-CAJÚA\Cajua\[VAS_CAJUA_CF_SEC_20230125.xlsx]CF PNP'!</v>
      </c>
      <c r="G67" s="7" t="s">
        <v>47</v>
      </c>
      <c r="H67" s="4">
        <f t="shared" si="18"/>
        <v>63</v>
      </c>
      <c r="I67" s="4" t="str">
        <f t="shared" si="19"/>
        <v>='C:\Users\jaime.benazar\Quorum Business Solutions\Ecopetrol Prometeo - Documents\Planning Space Implementation\3. Analysis &amp; Design\Design\FC22\DRR Jaime\QUIFA-CAJÚA\Cajua\[VAS_CAJUA_CF_SEC_20230125.xlsx]CF PNP'!$AY$63</v>
      </c>
      <c r="J67" s="4" t="s">
        <v>193</v>
      </c>
    </row>
    <row r="68" spans="1:10" x14ac:dyDescent="0.2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Jaime\QUIFA-CAJÚA\Cajua\[VAS_CAJUA_CF_SEC_20230125.xlsx]CF PNP'!</v>
      </c>
      <c r="G68" s="7" t="s">
        <v>47</v>
      </c>
      <c r="H68" s="4">
        <f t="shared" si="18"/>
        <v>64</v>
      </c>
      <c r="I68" s="4" t="str">
        <f t="shared" si="19"/>
        <v>='C:\Users\jaime.benazar\Quorum Business Solutions\Ecopetrol Prometeo - Documents\Planning Space Implementation\3. Analysis &amp; Design\Design\FC22\DRR Jaime\QUIFA-CAJÚA\Cajua\[VAS_CAJUA_CF_SEC_20230125.xlsx]CF PNP'!$AY$64</v>
      </c>
      <c r="J68" s="4" t="s">
        <v>194</v>
      </c>
    </row>
    <row r="69" spans="1:10" x14ac:dyDescent="0.2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Jaime\QUIFA-CAJÚA\Cajua\[VAS_CAJUA_CF_SEC_20230125.xlsx]CF PNP'!</v>
      </c>
      <c r="G69" s="7" t="s">
        <v>47</v>
      </c>
      <c r="H69" s="4">
        <f t="shared" si="18"/>
        <v>65</v>
      </c>
      <c r="I69" s="4" t="str">
        <f t="shared" si="19"/>
        <v>='C:\Users\jaime.benazar\Quorum Business Solutions\Ecopetrol Prometeo - Documents\Planning Space Implementation\3. Analysis &amp; Design\Design\FC22\DRR Jaime\QUIFA-CAJÚA\Cajua\[VAS_CAJUA_CF_SEC_20230125.xlsx]CF PNP'!$AY$65</v>
      </c>
      <c r="J69" s="4" t="s">
        <v>195</v>
      </c>
    </row>
    <row r="70" spans="1:10" x14ac:dyDescent="0.2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Jaime\QUIFA-CAJÚA\Cajua\[VAS_CAJUA_CF_SEC_20230125.xlsx]CF PNP'!</v>
      </c>
      <c r="G70" s="7" t="s">
        <v>47</v>
      </c>
      <c r="H70" s="4">
        <f t="shared" si="18"/>
        <v>66</v>
      </c>
      <c r="I70" s="4" t="str">
        <f t="shared" si="19"/>
        <v>='C:\Users\jaime.benazar\Quorum Business Solutions\Ecopetrol Prometeo - Documents\Planning Space Implementation\3. Analysis &amp; Design\Design\FC22\DRR Jaime\QUIFA-CAJÚA\Cajua\[VAS_CAJUA_CF_SEC_20230125.xlsx]CF PNP'!$AY$66</v>
      </c>
      <c r="J70" s="4" t="s">
        <v>196</v>
      </c>
    </row>
    <row r="71" spans="1:10" x14ac:dyDescent="0.2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Jaime\QUIFA-CAJÚA\Cajua\[VAS_CAJUA_CF_SEC_20230125.xlsx]CF PNP'!</v>
      </c>
      <c r="G71" s="7" t="s">
        <v>47</v>
      </c>
      <c r="H71" s="4">
        <f t="shared" si="18"/>
        <v>67</v>
      </c>
      <c r="I71" s="4" t="str">
        <f t="shared" si="19"/>
        <v>='C:\Users\jaime.benazar\Quorum Business Solutions\Ecopetrol Prometeo - Documents\Planning Space Implementation\3. Analysis &amp; Design\Design\FC22\DRR Jaime\QUIFA-CAJÚA\Cajua\[VAS_CAJUA_CF_SEC_20230125.xlsx]CF PNP'!$AY$67</v>
      </c>
      <c r="J71" s="4" t="s">
        <v>197</v>
      </c>
    </row>
    <row r="72" spans="1:10" x14ac:dyDescent="0.2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Jaime\QUIFA-CAJÚA\Cajua\[VAS_CAJUA_CF_SEC_20230125.xlsx]CF PNP'!</v>
      </c>
      <c r="G72" s="7" t="s">
        <v>47</v>
      </c>
      <c r="H72" s="4">
        <f t="shared" si="18"/>
        <v>68</v>
      </c>
      <c r="I72" s="4" t="str">
        <f t="shared" si="19"/>
        <v>='C:\Users\jaime.benazar\Quorum Business Solutions\Ecopetrol Prometeo - Documents\Planning Space Implementation\3. Analysis &amp; Design\Design\FC22\DRR Jaime\QUIFA-CAJÚA\Cajua\[VAS_CAJUA_CF_SEC_20230125.xlsx]CF PNP'!$AY$68</v>
      </c>
      <c r="J72" s="4" t="s">
        <v>198</v>
      </c>
    </row>
    <row r="73" spans="1:10" x14ac:dyDescent="0.2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Jaime\QUIFA-CAJÚA\Cajua\[VAS_CAJUA_CF_SEC_20230125.xlsx]CF PNP'!</v>
      </c>
      <c r="G73" s="7" t="s">
        <v>47</v>
      </c>
      <c r="H73" s="4">
        <f t="shared" si="18"/>
        <v>69</v>
      </c>
      <c r="I73" s="4" t="str">
        <f t="shared" si="19"/>
        <v>='C:\Users\jaime.benazar\Quorum Business Solutions\Ecopetrol Prometeo - Documents\Planning Space Implementation\3. Analysis &amp; Design\Design\FC22\DRR Jaime\QUIFA-CAJÚA\Cajua\[VAS_CAJUA_CF_SEC_20230125.xlsx]CF PNP'!$AY$69</v>
      </c>
      <c r="J73" s="4" t="s">
        <v>199</v>
      </c>
    </row>
    <row r="74" spans="1:10" x14ac:dyDescent="0.2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Jaime\QUIFA-CAJÚA\Cajua\[VAS_CAJUA_CF_SEC_20230125.xlsx]CF PNP'!</v>
      </c>
      <c r="G74" s="7" t="s">
        <v>47</v>
      </c>
      <c r="H74" s="4">
        <f t="shared" si="18"/>
        <v>70</v>
      </c>
      <c r="I74" s="4" t="str">
        <f t="shared" si="19"/>
        <v>='C:\Users\jaime.benazar\Quorum Business Solutions\Ecopetrol Prometeo - Documents\Planning Space Implementation\3. Analysis &amp; Design\Design\FC22\DRR Jaime\QUIFA-CAJÚA\Cajua\[VAS_CAJUA_CF_SEC_20230125.xlsx]CF PNP'!$AY$70</v>
      </c>
      <c r="J74" s="4" t="s">
        <v>200</v>
      </c>
    </row>
    <row r="75" spans="1:10" x14ac:dyDescent="0.2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Jaime\QUIFA-CAJÚA\Cajua\[VAS_CAJUA_CF_SEC_20230125.xlsx]CF PNP'!</v>
      </c>
      <c r="G75" s="7" t="s">
        <v>47</v>
      </c>
      <c r="H75" s="4">
        <f t="shared" si="18"/>
        <v>71</v>
      </c>
      <c r="I75" s="4" t="str">
        <f t="shared" si="19"/>
        <v>='C:\Users\jaime.benazar\Quorum Business Solutions\Ecopetrol Prometeo - Documents\Planning Space Implementation\3. Analysis &amp; Design\Design\FC22\DRR Jaime\QUIFA-CAJÚA\Cajua\[VAS_CAJUA_CF_SEC_20230125.xlsx]CF PNP'!$AY$71</v>
      </c>
      <c r="J75" s="4" t="s">
        <v>201</v>
      </c>
    </row>
    <row r="76" spans="1:10" x14ac:dyDescent="0.2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Jaime\QUIFA-CAJÚA\Cajua\[VAS_CAJUA_CF_SEC_20230125.xlsx]CF PNP'!</v>
      </c>
      <c r="G76" s="7" t="s">
        <v>47</v>
      </c>
      <c r="H76" s="4">
        <f t="shared" si="18"/>
        <v>72</v>
      </c>
      <c r="I76" s="4" t="str">
        <f t="shared" si="19"/>
        <v>='C:\Users\jaime.benazar\Quorum Business Solutions\Ecopetrol Prometeo - Documents\Planning Space Implementation\3. Analysis &amp; Design\Design\FC22\DRR Jaime\QUIFA-CAJÚA\Cajua\[VAS_CAJUA_CF_SEC_20230125.xlsx]CF PNP'!$AY$72</v>
      </c>
      <c r="J76" s="4" t="s">
        <v>202</v>
      </c>
    </row>
    <row r="77" spans="1:10" x14ac:dyDescent="0.25">
      <c r="A77" s="7" t="s">
        <v>28</v>
      </c>
      <c r="B77" s="7"/>
      <c r="C77" s="4" t="s">
        <v>51</v>
      </c>
      <c r="D77" s="5"/>
      <c r="E77" s="10"/>
      <c r="F77" s="5" t="str">
        <f t="shared" si="1"/>
        <v xml:space="preserve"> </v>
      </c>
      <c r="G77" s="7"/>
      <c r="H77" s="4"/>
      <c r="I77" s="4"/>
      <c r="J77" s="4"/>
    </row>
    <row r="78" spans="1:10" x14ac:dyDescent="0.2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Jaime\QUIFA-CAJÚA\Cajua\[VAS_CAJUA_CF_SEC_20230125.xlsx]CF PND'!</v>
      </c>
      <c r="G78" s="7" t="s">
        <v>47</v>
      </c>
      <c r="H78" s="4">
        <f>IF(A78&lt;&gt;A62,36,H62+1)</f>
        <v>36</v>
      </c>
      <c r="I78" s="4" t="str">
        <f t="shared" si="2"/>
        <v>='C:\Users\jaime.benazar\Quorum Business Solutions\Ecopetrol Prometeo - Documents\Planning Space Implementation\3. Analysis &amp; Design\Design\FC22\DRR Jaime\QUIFA-CAJÚA\Cajua\[VAS_CAJUA_CF_SEC_20230125.xlsx]CF PND'!$AY$36</v>
      </c>
      <c r="J78" s="4" t="s">
        <v>203</v>
      </c>
    </row>
    <row r="79" spans="1:10" x14ac:dyDescent="0.2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Jaime\QUIFA-CAJÚA\Cajua\[VAS_CAJUA_CF_SEC_20230125.xlsx]CF PND'!</v>
      </c>
      <c r="G79" s="7" t="s">
        <v>47</v>
      </c>
      <c r="H79" s="4">
        <f t="shared" si="4"/>
        <v>37</v>
      </c>
      <c r="I79" s="4" t="str">
        <f t="shared" si="2"/>
        <v>='C:\Users\jaime.benazar\Quorum Business Solutions\Ecopetrol Prometeo - Documents\Planning Space Implementation\3. Analysis &amp; Design\Design\FC22\DRR Jaime\QUIFA-CAJÚA\Cajua\[VAS_CAJUA_CF_SEC_20230125.xlsx]CF PND'!$AY$37</v>
      </c>
      <c r="J79" s="4" t="s">
        <v>204</v>
      </c>
    </row>
    <row r="80" spans="1:10" x14ac:dyDescent="0.2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Jaime\QUIFA-CAJÚA\Cajua\[VAS_CAJUA_CF_SEC_20230125.xlsx]CF PND'!</v>
      </c>
      <c r="G80" s="7" t="s">
        <v>47</v>
      </c>
      <c r="H80" s="4">
        <f t="shared" si="4"/>
        <v>38</v>
      </c>
      <c r="I80" s="4" t="str">
        <f t="shared" si="2"/>
        <v>='C:\Users\jaime.benazar\Quorum Business Solutions\Ecopetrol Prometeo - Documents\Planning Space Implementation\3. Analysis &amp; Design\Design\FC22\DRR Jaime\QUIFA-CAJÚA\Cajua\[VAS_CAJUA_CF_SEC_20230125.xlsx]CF PND'!$AY$38</v>
      </c>
      <c r="J80" s="4" t="s">
        <v>205</v>
      </c>
    </row>
    <row r="81" spans="1:10" x14ac:dyDescent="0.2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Jaime\QUIFA-CAJÚA\Cajua\[VAS_CAJUA_CF_SEC_20230125.xlsx]CF PND'!</v>
      </c>
      <c r="G81" s="7" t="s">
        <v>47</v>
      </c>
      <c r="H81" s="4">
        <f t="shared" si="4"/>
        <v>39</v>
      </c>
      <c r="I81" s="4" t="str">
        <f t="shared" si="2"/>
        <v>='C:\Users\jaime.benazar\Quorum Business Solutions\Ecopetrol Prometeo - Documents\Planning Space Implementation\3. Analysis &amp; Design\Design\FC22\DRR Jaime\QUIFA-CAJÚA\Cajua\[VAS_CAJUA_CF_SEC_20230125.xlsx]CF PND'!$AY$39</v>
      </c>
      <c r="J81" s="4" t="s">
        <v>206</v>
      </c>
    </row>
    <row r="82" spans="1:10" x14ac:dyDescent="0.2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Jaime\QUIFA-CAJÚA\Cajua\[VAS_CAJUA_CF_SEC_20230125.xlsx]CF PND'!</v>
      </c>
      <c r="G82" s="7" t="s">
        <v>47</v>
      </c>
      <c r="H82" s="4">
        <f t="shared" si="4"/>
        <v>40</v>
      </c>
      <c r="I82" s="4" t="str">
        <f t="shared" si="2"/>
        <v>='C:\Users\jaime.benazar\Quorum Business Solutions\Ecopetrol Prometeo - Documents\Planning Space Implementation\3. Analysis &amp; Design\Design\FC22\DRR Jaime\QUIFA-CAJÚA\Cajua\[VAS_CAJUA_CF_SEC_20230125.xlsx]CF PND'!$AY$40</v>
      </c>
      <c r="J82" s="4" t="s">
        <v>207</v>
      </c>
    </row>
    <row r="83" spans="1:10" x14ac:dyDescent="0.2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Jaime\QUIFA-CAJÚA\Cajua\[VAS_CAJUA_CF_SEC_20230125.xlsx]CF PND'!</v>
      </c>
      <c r="G83" s="7" t="s">
        <v>47</v>
      </c>
      <c r="H83" s="4">
        <f t="shared" si="4"/>
        <v>41</v>
      </c>
      <c r="I83" s="4" t="str">
        <f t="shared" si="2"/>
        <v>='C:\Users\jaime.benazar\Quorum Business Solutions\Ecopetrol Prometeo - Documents\Planning Space Implementation\3. Analysis &amp; Design\Design\FC22\DRR Jaime\QUIFA-CAJÚA\Cajua\[VAS_CAJUA_CF_SEC_20230125.xlsx]CF PND'!$AY$41</v>
      </c>
      <c r="J83" s="4" t="s">
        <v>208</v>
      </c>
    </row>
    <row r="84" spans="1:10" x14ac:dyDescent="0.2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Jaime\QUIFA-CAJÚA\Cajua\[VAS_CAJUA_CF_SEC_20230125.xlsx]CF PND'!</v>
      </c>
      <c r="G84" s="7" t="s">
        <v>47</v>
      </c>
      <c r="H84" s="4">
        <f t="shared" si="4"/>
        <v>42</v>
      </c>
      <c r="I84" s="4" t="str">
        <f t="shared" si="2"/>
        <v>='C:\Users\jaime.benazar\Quorum Business Solutions\Ecopetrol Prometeo - Documents\Planning Space Implementation\3. Analysis &amp; Design\Design\FC22\DRR Jaime\QUIFA-CAJÚA\Cajua\[VAS_CAJUA_CF_SEC_20230125.xlsx]CF PND'!$AY$42</v>
      </c>
      <c r="J84" s="4" t="s">
        <v>209</v>
      </c>
    </row>
    <row r="85" spans="1:10" x14ac:dyDescent="0.2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Jaime\QUIFA-CAJÚA\Cajua\[VAS_CAJUA_CF_SEC_20230125.xlsx]CF PND'!</v>
      </c>
      <c r="G85" s="7" t="s">
        <v>47</v>
      </c>
      <c r="H85" s="4">
        <f t="shared" si="4"/>
        <v>43</v>
      </c>
      <c r="I85" s="4" t="str">
        <f t="shared" si="2"/>
        <v>='C:\Users\jaime.benazar\Quorum Business Solutions\Ecopetrol Prometeo - Documents\Planning Space Implementation\3. Analysis &amp; Design\Design\FC22\DRR Jaime\QUIFA-CAJÚA\Cajua\[VAS_CAJUA_CF_SEC_20230125.xlsx]CF PND'!$AY$43</v>
      </c>
      <c r="J85" s="4" t="s">
        <v>210</v>
      </c>
    </row>
    <row r="86" spans="1:10" x14ac:dyDescent="0.2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Jaime\QUIFA-CAJÚA\Cajua\[VAS_CAJUA_CF_SEC_20230125.xlsx]CF PND'!</v>
      </c>
      <c r="G86" s="7" t="s">
        <v>47</v>
      </c>
      <c r="H86" s="4">
        <f t="shared" si="4"/>
        <v>44</v>
      </c>
      <c r="I86" s="4" t="str">
        <f t="shared" si="2"/>
        <v>='C:\Users\jaime.benazar\Quorum Business Solutions\Ecopetrol Prometeo - Documents\Planning Space Implementation\3. Analysis &amp; Design\Design\FC22\DRR Jaime\QUIFA-CAJÚA\Cajua\[VAS_CAJUA_CF_SEC_20230125.xlsx]CF PND'!$AY$44</v>
      </c>
      <c r="J86" s="4" t="s">
        <v>211</v>
      </c>
    </row>
    <row r="87" spans="1:10" x14ac:dyDescent="0.2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Jaime\QUIFA-CAJÚA\Cajua\[VAS_CAJUA_CF_SEC_20230125.xlsx]CF PND'!</v>
      </c>
      <c r="G87" s="7" t="s">
        <v>47</v>
      </c>
      <c r="H87" s="4">
        <f t="shared" si="4"/>
        <v>45</v>
      </c>
      <c r="I87" s="4" t="str">
        <f t="shared" si="2"/>
        <v>='C:\Users\jaime.benazar\Quorum Business Solutions\Ecopetrol Prometeo - Documents\Planning Space Implementation\3. Analysis &amp; Design\Design\FC22\DRR Jaime\QUIFA-CAJÚA\Cajua\[VAS_CAJUA_CF_SEC_20230125.xlsx]CF PND'!$AY$45</v>
      </c>
      <c r="J87" s="4" t="s">
        <v>212</v>
      </c>
    </row>
    <row r="88" spans="1:10" x14ac:dyDescent="0.2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Jaime\QUIFA-CAJÚA\Cajua\[VAS_CAJUA_CF_SEC_20230125.xlsx]CF PND'!</v>
      </c>
      <c r="G88" s="7" t="s">
        <v>47</v>
      </c>
      <c r="H88" s="4">
        <f t="shared" si="4"/>
        <v>46</v>
      </c>
      <c r="I88" s="4" t="str">
        <f t="shared" si="2"/>
        <v>='C:\Users\jaime.benazar\Quorum Business Solutions\Ecopetrol Prometeo - Documents\Planning Space Implementation\3. Analysis &amp; Design\Design\FC22\DRR Jaime\QUIFA-CAJÚA\Cajua\[VAS_CAJUA_CF_SEC_20230125.xlsx]CF PND'!$AY$46</v>
      </c>
      <c r="J88" s="4" t="s">
        <v>213</v>
      </c>
    </row>
    <row r="89" spans="1:10" x14ac:dyDescent="0.2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Jaime\QUIFA-CAJÚA\Cajua\[VAS_CAJUA_CF_SEC_20230125.xlsx]CF PND'!</v>
      </c>
      <c r="G89" s="7" t="s">
        <v>47</v>
      </c>
      <c r="H89" s="4">
        <f t="shared" si="4"/>
        <v>47</v>
      </c>
      <c r="I89" s="4" t="str">
        <f t="shared" si="2"/>
        <v>='C:\Users\jaime.benazar\Quorum Business Solutions\Ecopetrol Prometeo - Documents\Planning Space Implementation\3. Analysis &amp; Design\Design\FC22\DRR Jaime\QUIFA-CAJÚA\Cajua\[VAS_CAJUA_CF_SEC_20230125.xlsx]CF PND'!$AY$47</v>
      </c>
      <c r="J89" s="4" t="s">
        <v>214</v>
      </c>
    </row>
    <row r="90" spans="1:10" x14ac:dyDescent="0.2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Jaime\QUIFA-CAJÚA\Cajua\[VAS_CAJUA_CF_SEC_20230125.xlsx]CF PND'!</v>
      </c>
      <c r="G90" s="7" t="s">
        <v>47</v>
      </c>
      <c r="H90" s="4">
        <f t="shared" si="4"/>
        <v>48</v>
      </c>
      <c r="I90" s="4" t="str">
        <f t="shared" si="2"/>
        <v>='C:\Users\jaime.benazar\Quorum Business Solutions\Ecopetrol Prometeo - Documents\Planning Space Implementation\3. Analysis &amp; Design\Design\FC22\DRR Jaime\QUIFA-CAJÚA\Cajua\[VAS_CAJUA_CF_SEC_20230125.xlsx]CF PND'!$AY$48</v>
      </c>
      <c r="J90" s="4" t="s">
        <v>215</v>
      </c>
    </row>
    <row r="91" spans="1:10" x14ac:dyDescent="0.2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Jaime\QUIFA-CAJÚA\Cajua\[VAS_CAJUA_CF_SEC_20230125.xlsx]CF PND'!</v>
      </c>
      <c r="G91" s="7" t="s">
        <v>47</v>
      </c>
      <c r="H91" s="4">
        <f t="shared" si="4"/>
        <v>49</v>
      </c>
      <c r="I91" s="4" t="str">
        <f t="shared" si="2"/>
        <v>='C:\Users\jaime.benazar\Quorum Business Solutions\Ecopetrol Prometeo - Documents\Planning Space Implementation\3. Analysis &amp; Design\Design\FC22\DRR Jaime\QUIFA-CAJÚA\Cajua\[VAS_CAJUA_CF_SEC_20230125.xlsx]CF PND'!$AY$49</v>
      </c>
      <c r="J91" s="4" t="s">
        <v>216</v>
      </c>
    </row>
    <row r="92" spans="1:10" x14ac:dyDescent="0.2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Jaime\QUIFA-CAJÚA\Cajua\[VAS_CAJUA_CF_SEC_20230125.xlsx]CF PND'!</v>
      </c>
      <c r="G92" s="7" t="s">
        <v>47</v>
      </c>
      <c r="H92" s="4">
        <f t="shared" si="4"/>
        <v>50</v>
      </c>
      <c r="I92" s="4" t="str">
        <f t="shared" si="2"/>
        <v>='C:\Users\jaime.benazar\Quorum Business Solutions\Ecopetrol Prometeo - Documents\Planning Space Implementation\3. Analysis &amp; Design\Design\FC22\DRR Jaime\QUIFA-CAJÚA\Cajua\[VAS_CAJUA_CF_SEC_20230125.xlsx]CF PND'!$AY$50</v>
      </c>
      <c r="J92" s="4" t="s">
        <v>217</v>
      </c>
    </row>
    <row r="93" spans="1:10" x14ac:dyDescent="0.2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Jaime\QUIFA-CAJÚA\Cajua\[VAS_CAJUA_CF_SEC_20230125.xlsx]CF PND'!</v>
      </c>
      <c r="G93" s="7" t="s">
        <v>47</v>
      </c>
      <c r="H93" s="4">
        <f t="shared" si="4"/>
        <v>51</v>
      </c>
      <c r="I93" s="4" t="str">
        <f t="shared" si="2"/>
        <v>='C:\Users\jaime.benazar\Quorum Business Solutions\Ecopetrol Prometeo - Documents\Planning Space Implementation\3. Analysis &amp; Design\Design\FC22\DRR Jaime\QUIFA-CAJÚA\Cajua\[VAS_CAJUA_CF_SEC_20230125.xlsx]CF PND'!$AY$51</v>
      </c>
      <c r="J93" s="4" t="s">
        <v>218</v>
      </c>
    </row>
    <row r="94" spans="1:10" x14ac:dyDescent="0.2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Jaime\QUIFA-CAJÚA\Cajua\[VAS_CAJUA_CF_SEC_20230125.xlsx]CF PND'!</v>
      </c>
      <c r="G94" s="7" t="s">
        <v>47</v>
      </c>
      <c r="H94" s="4">
        <f t="shared" si="4"/>
        <v>52</v>
      </c>
      <c r="I94" s="4" t="str">
        <f t="shared" si="2"/>
        <v>='C:\Users\jaime.benazar\Quorum Business Solutions\Ecopetrol Prometeo - Documents\Planning Space Implementation\3. Analysis &amp; Design\Design\FC22\DRR Jaime\QUIFA-CAJÚA\Cajua\[VAS_CAJUA_CF_SEC_20230125.xlsx]CF PND'!$AY$52</v>
      </c>
      <c r="J94" s="4" t="s">
        <v>219</v>
      </c>
    </row>
    <row r="95" spans="1:10" x14ac:dyDescent="0.2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Jaime\QUIFA-CAJÚA\Cajua\[VAS_CAJUA_CF_SEC_20230125.xlsx]CF PND'!</v>
      </c>
      <c r="G95" s="7" t="s">
        <v>47</v>
      </c>
      <c r="H95" s="4">
        <f t="shared" si="4"/>
        <v>53</v>
      </c>
      <c r="I95" s="4" t="str">
        <f t="shared" si="2"/>
        <v>='C:\Users\jaime.benazar\Quorum Business Solutions\Ecopetrol Prometeo - Documents\Planning Space Implementation\3. Analysis &amp; Design\Design\FC22\DRR Jaime\QUIFA-CAJÚA\Cajua\[VAS_CAJUA_CF_SEC_20230125.xlsx]CF PND'!$AY$53</v>
      </c>
      <c r="J95" s="4" t="s">
        <v>220</v>
      </c>
    </row>
    <row r="96" spans="1:10" x14ac:dyDescent="0.2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Jaime\QUIFA-CAJÚA\Cajua\[VAS_CAJUA_CF_SEC_20230125.xlsx]CF PND'!</v>
      </c>
      <c r="G96" s="7" t="s">
        <v>47</v>
      </c>
      <c r="H96" s="4">
        <f t="shared" si="4"/>
        <v>54</v>
      </c>
      <c r="I96" s="4" t="str">
        <f t="shared" si="2"/>
        <v>='C:\Users\jaime.benazar\Quorum Business Solutions\Ecopetrol Prometeo - Documents\Planning Space Implementation\3. Analysis &amp; Design\Design\FC22\DRR Jaime\QUIFA-CAJÚA\Cajua\[VAS_CAJUA_CF_SEC_20230125.xlsx]CF PND'!$AY$54</v>
      </c>
      <c r="J96" s="4" t="s">
        <v>221</v>
      </c>
    </row>
    <row r="97" spans="1:10" x14ac:dyDescent="0.2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Jaime\QUIFA-CAJÚA\Cajua\[VAS_CAJUA_CF_SEC_20230125.xlsx]CF PND'!</v>
      </c>
      <c r="G97" s="7" t="s">
        <v>47</v>
      </c>
      <c r="H97" s="4">
        <f t="shared" si="4"/>
        <v>55</v>
      </c>
      <c r="I97" s="4" t="str">
        <f t="shared" ref="I97:I402" si="25">_xlfn.CONCAT("='",F97:H97)</f>
        <v>='C:\Users\jaime.benazar\Quorum Business Solutions\Ecopetrol Prometeo - Documents\Planning Space Implementation\3. Analysis &amp; Design\Design\FC22\DRR Jaime\QUIFA-CAJÚA\Cajua\[VAS_CAJUA_CF_SEC_20230125.xlsx]CF PND'!$AY$55</v>
      </c>
      <c r="J97" s="4" t="s">
        <v>222</v>
      </c>
    </row>
    <row r="98" spans="1:10" x14ac:dyDescent="0.2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Jaime\QUIFA-CAJÚA\Cajua\[VAS_CAJUA_CF_SEC_20230125.xlsx]CF PND'!</v>
      </c>
      <c r="G98" s="7" t="s">
        <v>47</v>
      </c>
      <c r="H98" s="4">
        <f t="shared" ref="H98:H402" si="26">IF(A98&lt;&gt;A97,36,H97+1)</f>
        <v>56</v>
      </c>
      <c r="I98" s="4" t="str">
        <f t="shared" si="25"/>
        <v>='C:\Users\jaime.benazar\Quorum Business Solutions\Ecopetrol Prometeo - Documents\Planning Space Implementation\3. Analysis &amp; Design\Design\FC22\DRR Jaime\QUIFA-CAJÚA\Cajua\[VAS_CAJUA_CF_SEC_20230125.xlsx]CF PND'!$AY$56</v>
      </c>
      <c r="J98" s="4" t="s">
        <v>223</v>
      </c>
    </row>
    <row r="99" spans="1:10" x14ac:dyDescent="0.2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Jaime\QUIFA-CAJÚA\Cajua\[VAS_CAJUA_CF_SEC_20230125.xlsx]CF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Jaime\QUIFA-CAJÚA\Cajua\[VAS_CAJUA_CF_SEC_20230125.xlsx]CF PND'!$AY$57</v>
      </c>
      <c r="J99" s="4" t="s">
        <v>224</v>
      </c>
    </row>
    <row r="100" spans="1:10" x14ac:dyDescent="0.2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Jaime\QUIFA-CAJÚA\Cajua\[VAS_CAJUA_CF_SEC_20230125.xlsx]CF PND'!</v>
      </c>
      <c r="G100" s="7" t="s">
        <v>47</v>
      </c>
      <c r="H100" s="4">
        <f t="shared" si="29"/>
        <v>58</v>
      </c>
      <c r="I100" s="4" t="str">
        <f t="shared" si="30"/>
        <v>='C:\Users\jaime.benazar\Quorum Business Solutions\Ecopetrol Prometeo - Documents\Planning Space Implementation\3. Analysis &amp; Design\Design\FC22\DRR Jaime\QUIFA-CAJÚA\Cajua\[VAS_CAJUA_CF_SEC_20230125.xlsx]CF PND'!$AY$58</v>
      </c>
      <c r="J100" s="4" t="s">
        <v>225</v>
      </c>
    </row>
    <row r="101" spans="1:10" x14ac:dyDescent="0.2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Jaime\QUIFA-CAJÚA\Cajua\[VAS_CAJUA_CF_SEC_20230125.xlsx]CF PND'!</v>
      </c>
      <c r="G101" s="7" t="s">
        <v>47</v>
      </c>
      <c r="H101" s="4">
        <f t="shared" si="29"/>
        <v>59</v>
      </c>
      <c r="I101" s="4" t="str">
        <f t="shared" si="30"/>
        <v>='C:\Users\jaime.benazar\Quorum Business Solutions\Ecopetrol Prometeo - Documents\Planning Space Implementation\3. Analysis &amp; Design\Design\FC22\DRR Jaime\QUIFA-CAJÚA\Cajua\[VAS_CAJUA_CF_SEC_20230125.xlsx]CF PND'!$AY$59</v>
      </c>
      <c r="J101" s="4" t="s">
        <v>226</v>
      </c>
    </row>
    <row r="102" spans="1:10" x14ac:dyDescent="0.2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Jaime\QUIFA-CAJÚA\Cajua\[VAS_CAJUA_CF_SEC_20230125.xlsx]CF PND'!</v>
      </c>
      <c r="G102" s="7" t="s">
        <v>47</v>
      </c>
      <c r="H102" s="4">
        <f t="shared" si="29"/>
        <v>60</v>
      </c>
      <c r="I102" s="4" t="str">
        <f t="shared" si="30"/>
        <v>='C:\Users\jaime.benazar\Quorum Business Solutions\Ecopetrol Prometeo - Documents\Planning Space Implementation\3. Analysis &amp; Design\Design\FC22\DRR Jaime\QUIFA-CAJÚA\Cajua\[VAS_CAJUA_CF_SEC_20230125.xlsx]CF PND'!$AY$60</v>
      </c>
      <c r="J102" s="4" t="s">
        <v>227</v>
      </c>
    </row>
    <row r="103" spans="1:10" x14ac:dyDescent="0.2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Jaime\QUIFA-CAJÚA\Cajua\[VAS_CAJUA_CF_SEC_20230125.xlsx]CF PND'!</v>
      </c>
      <c r="G103" s="7" t="s">
        <v>47</v>
      </c>
      <c r="H103" s="4">
        <f t="shared" si="29"/>
        <v>61</v>
      </c>
      <c r="I103" s="4" t="str">
        <f t="shared" si="30"/>
        <v>='C:\Users\jaime.benazar\Quorum Business Solutions\Ecopetrol Prometeo - Documents\Planning Space Implementation\3. Analysis &amp; Design\Design\FC22\DRR Jaime\QUIFA-CAJÚA\Cajua\[VAS_CAJUA_CF_SEC_20230125.xlsx]CF PND'!$AY$61</v>
      </c>
      <c r="J103" s="4" t="s">
        <v>228</v>
      </c>
    </row>
    <row r="104" spans="1:10" x14ac:dyDescent="0.2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Jaime\QUIFA-CAJÚA\Cajua\[VAS_CAJUA_CF_SEC_20230125.xlsx]CF PND'!</v>
      </c>
      <c r="G104" s="7" t="s">
        <v>47</v>
      </c>
      <c r="H104" s="4">
        <f t="shared" si="29"/>
        <v>62</v>
      </c>
      <c r="I104" s="4" t="str">
        <f t="shared" si="30"/>
        <v>='C:\Users\jaime.benazar\Quorum Business Solutions\Ecopetrol Prometeo - Documents\Planning Space Implementation\3. Analysis &amp; Design\Design\FC22\DRR Jaime\QUIFA-CAJÚA\Cajua\[VAS_CAJUA_CF_SEC_20230125.xlsx]CF PND'!$AY$62</v>
      </c>
      <c r="J104" s="4" t="s">
        <v>229</v>
      </c>
    </row>
    <row r="105" spans="1:10" x14ac:dyDescent="0.2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Jaime\QUIFA-CAJÚA\Cajua\[VAS_CAJUA_CF_SEC_20230125.xlsx]CF PND'!</v>
      </c>
      <c r="G105" s="7" t="s">
        <v>47</v>
      </c>
      <c r="H105" s="4">
        <f t="shared" si="29"/>
        <v>63</v>
      </c>
      <c r="I105" s="4" t="str">
        <f t="shared" si="30"/>
        <v>='C:\Users\jaime.benazar\Quorum Business Solutions\Ecopetrol Prometeo - Documents\Planning Space Implementation\3. Analysis &amp; Design\Design\FC22\DRR Jaime\QUIFA-CAJÚA\Cajua\[VAS_CAJUA_CF_SEC_20230125.xlsx]CF PND'!$AY$63</v>
      </c>
      <c r="J105" s="4" t="s">
        <v>230</v>
      </c>
    </row>
    <row r="106" spans="1:10" x14ac:dyDescent="0.2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Jaime\QUIFA-CAJÚA\Cajua\[VAS_CAJUA_CF_SEC_20230125.xlsx]CF PND'!</v>
      </c>
      <c r="G106" s="7" t="s">
        <v>47</v>
      </c>
      <c r="H106" s="4">
        <f t="shared" si="29"/>
        <v>64</v>
      </c>
      <c r="I106" s="4" t="str">
        <f t="shared" si="30"/>
        <v>='C:\Users\jaime.benazar\Quorum Business Solutions\Ecopetrol Prometeo - Documents\Planning Space Implementation\3. Analysis &amp; Design\Design\FC22\DRR Jaime\QUIFA-CAJÚA\Cajua\[VAS_CAJUA_CF_SEC_20230125.xlsx]CF PND'!$AY$64</v>
      </c>
      <c r="J106" s="4" t="s">
        <v>231</v>
      </c>
    </row>
    <row r="107" spans="1:10" x14ac:dyDescent="0.2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Jaime\QUIFA-CAJÚA\Cajua\[VAS_CAJUA_CF_SEC_20230125.xlsx]CF PND'!</v>
      </c>
      <c r="G107" s="7" t="s">
        <v>47</v>
      </c>
      <c r="H107" s="4">
        <f t="shared" si="29"/>
        <v>65</v>
      </c>
      <c r="I107" s="4" t="str">
        <f t="shared" si="30"/>
        <v>='C:\Users\jaime.benazar\Quorum Business Solutions\Ecopetrol Prometeo - Documents\Planning Space Implementation\3. Analysis &amp; Design\Design\FC22\DRR Jaime\QUIFA-CAJÚA\Cajua\[VAS_CAJUA_CF_SEC_20230125.xlsx]CF PND'!$AY$65</v>
      </c>
      <c r="J107" s="4" t="s">
        <v>232</v>
      </c>
    </row>
    <row r="108" spans="1:10" x14ac:dyDescent="0.2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Jaime\QUIFA-CAJÚA\Cajua\[VAS_CAJUA_CF_SEC_20230125.xlsx]CF PND'!</v>
      </c>
      <c r="G108" s="7" t="s">
        <v>47</v>
      </c>
      <c r="H108" s="4">
        <f t="shared" si="29"/>
        <v>66</v>
      </c>
      <c r="I108" s="4" t="str">
        <f t="shared" si="30"/>
        <v>='C:\Users\jaime.benazar\Quorum Business Solutions\Ecopetrol Prometeo - Documents\Planning Space Implementation\3. Analysis &amp; Design\Design\FC22\DRR Jaime\QUIFA-CAJÚA\Cajua\[VAS_CAJUA_CF_SEC_20230125.xlsx]CF PND'!$AY$66</v>
      </c>
      <c r="J108" s="4" t="s">
        <v>233</v>
      </c>
    </row>
    <row r="109" spans="1:10" x14ac:dyDescent="0.2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Jaime\QUIFA-CAJÚA\Cajua\[VAS_CAJUA_CF_SEC_20230125.xlsx]CF PND'!</v>
      </c>
      <c r="G109" s="7" t="s">
        <v>47</v>
      </c>
      <c r="H109" s="4">
        <f t="shared" si="29"/>
        <v>67</v>
      </c>
      <c r="I109" s="4" t="str">
        <f t="shared" si="30"/>
        <v>='C:\Users\jaime.benazar\Quorum Business Solutions\Ecopetrol Prometeo - Documents\Planning Space Implementation\3. Analysis &amp; Design\Design\FC22\DRR Jaime\QUIFA-CAJÚA\Cajua\[VAS_CAJUA_CF_SEC_20230125.xlsx]CF PND'!$AY$67</v>
      </c>
      <c r="J109" s="4" t="s">
        <v>234</v>
      </c>
    </row>
    <row r="110" spans="1:10" x14ac:dyDescent="0.2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Jaime\QUIFA-CAJÚA\Cajua\[VAS_CAJUA_CF_SEC_20230125.xlsx]CF PND'!</v>
      </c>
      <c r="G110" s="7" t="s">
        <v>47</v>
      </c>
      <c r="H110" s="4">
        <f t="shared" si="29"/>
        <v>68</v>
      </c>
      <c r="I110" s="4" t="str">
        <f t="shared" si="30"/>
        <v>='C:\Users\jaime.benazar\Quorum Business Solutions\Ecopetrol Prometeo - Documents\Planning Space Implementation\3. Analysis &amp; Design\Design\FC22\DRR Jaime\QUIFA-CAJÚA\Cajua\[VAS_CAJUA_CF_SEC_20230125.xlsx]CF PND'!$AY$68</v>
      </c>
      <c r="J110" s="4" t="s">
        <v>235</v>
      </c>
    </row>
    <row r="111" spans="1:10" x14ac:dyDescent="0.2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Jaime\QUIFA-CAJÚA\Cajua\[VAS_CAJUA_CF_SEC_20230125.xlsx]CF PND'!</v>
      </c>
      <c r="G111" s="7" t="s">
        <v>47</v>
      </c>
      <c r="H111" s="4">
        <f t="shared" si="29"/>
        <v>69</v>
      </c>
      <c r="I111" s="4" t="str">
        <f t="shared" si="30"/>
        <v>='C:\Users\jaime.benazar\Quorum Business Solutions\Ecopetrol Prometeo - Documents\Planning Space Implementation\3. Analysis &amp; Design\Design\FC22\DRR Jaime\QUIFA-CAJÚA\Cajua\[VAS_CAJUA_CF_SEC_20230125.xlsx]CF PND'!$AY$69</v>
      </c>
      <c r="J111" s="4" t="s">
        <v>236</v>
      </c>
    </row>
    <row r="112" spans="1:10" x14ac:dyDescent="0.2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Jaime\QUIFA-CAJÚA\Cajua\[VAS_CAJUA_CF_SEC_20230125.xlsx]CF PND'!</v>
      </c>
      <c r="G112" s="7" t="s">
        <v>47</v>
      </c>
      <c r="H112" s="4">
        <f t="shared" si="29"/>
        <v>70</v>
      </c>
      <c r="I112" s="4" t="str">
        <f t="shared" si="30"/>
        <v>='C:\Users\jaime.benazar\Quorum Business Solutions\Ecopetrol Prometeo - Documents\Planning Space Implementation\3. Analysis &amp; Design\Design\FC22\DRR Jaime\QUIFA-CAJÚA\Cajua\[VAS_CAJUA_CF_SEC_20230125.xlsx]CF PND'!$AY$70</v>
      </c>
      <c r="J112" s="4" t="s">
        <v>237</v>
      </c>
    </row>
    <row r="113" spans="1:10" x14ac:dyDescent="0.2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Jaime\QUIFA-CAJÚA\Cajua\[VAS_CAJUA_CF_SEC_20230125.xlsx]CF PND'!</v>
      </c>
      <c r="G113" s="7" t="s">
        <v>47</v>
      </c>
      <c r="H113" s="4">
        <f t="shared" si="29"/>
        <v>71</v>
      </c>
      <c r="I113" s="4" t="str">
        <f t="shared" si="30"/>
        <v>='C:\Users\jaime.benazar\Quorum Business Solutions\Ecopetrol Prometeo - Documents\Planning Space Implementation\3. Analysis &amp; Design\Design\FC22\DRR Jaime\QUIFA-CAJÚA\Cajua\[VAS_CAJUA_CF_SEC_20230125.xlsx]CF PND'!$AY$71</v>
      </c>
      <c r="J113" s="4" t="s">
        <v>238</v>
      </c>
    </row>
    <row r="114" spans="1:10" x14ac:dyDescent="0.2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Jaime\QUIFA-CAJÚA\Cajua\[VAS_CAJUA_CF_SEC_20230125.xlsx]CF PND'!</v>
      </c>
      <c r="G114" s="7" t="s">
        <v>47</v>
      </c>
      <c r="H114" s="4">
        <f t="shared" si="29"/>
        <v>72</v>
      </c>
      <c r="I114" s="4" t="str">
        <f t="shared" si="30"/>
        <v>='C:\Users\jaime.benazar\Quorum Business Solutions\Ecopetrol Prometeo - Documents\Planning Space Implementation\3. Analysis &amp; Design\Design\FC22\DRR Jaime\QUIFA-CAJÚA\Cajua\[VAS_CAJUA_CF_SEC_20230125.xlsx]CF PND'!$AY$72</v>
      </c>
      <c r="J114" s="4" t="s">
        <v>239</v>
      </c>
    </row>
    <row r="115" spans="1:10" x14ac:dyDescent="0.25">
      <c r="A115" s="7" t="s">
        <v>28</v>
      </c>
      <c r="B115" s="7"/>
      <c r="C115" s="4" t="s">
        <v>51</v>
      </c>
      <c r="D115" s="5"/>
      <c r="E115" s="10"/>
      <c r="F115" s="5" t="str">
        <f t="shared" si="22"/>
        <v xml:space="preserve"> </v>
      </c>
      <c r="G115" s="7"/>
      <c r="H115" s="4"/>
      <c r="I115" s="4"/>
      <c r="J115" s="4"/>
    </row>
    <row r="116" spans="1:10" x14ac:dyDescent="0.2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Jaime\QUIFA-CAJÚA\Cajua\[VAS_CAJUA_CF_SEC_20230125.xlsx]CF PRBDP'!</v>
      </c>
      <c r="G116" s="7" t="s">
        <v>47</v>
      </c>
      <c r="H116" s="4"/>
      <c r="I116" s="4"/>
      <c r="J116" s="4"/>
    </row>
    <row r="117" spans="1:10" x14ac:dyDescent="0.2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Jaime\QUIFA-CAJÚA\Cajua\[VAS_CAJUA_CF_SEC_20230125.xlsx]CF PRBDP'!</v>
      </c>
      <c r="G117" s="7" t="s">
        <v>47</v>
      </c>
      <c r="H117" s="4"/>
      <c r="I117" s="4"/>
      <c r="J117" s="4"/>
    </row>
    <row r="118" spans="1:10" x14ac:dyDescent="0.2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Jaime\QUIFA-CAJÚA\Cajua\[VAS_CAJUA_CF_SEC_20230125.xlsx]CF PRBDP'!</v>
      </c>
      <c r="G118" s="7" t="s">
        <v>47</v>
      </c>
      <c r="H118" s="4"/>
      <c r="I118" s="4"/>
      <c r="J118" s="4"/>
    </row>
    <row r="119" spans="1:10" x14ac:dyDescent="0.2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Jaime\QUIFA-CAJÚA\Cajua\[VAS_CAJUA_CF_SEC_20230125.xlsx]CF PRBDP'!</v>
      </c>
      <c r="G119" s="7" t="s">
        <v>47</v>
      </c>
      <c r="H119" s="4"/>
      <c r="I119" s="4"/>
      <c r="J119" s="4"/>
    </row>
    <row r="120" spans="1:10" x14ac:dyDescent="0.2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Jaime\QUIFA-CAJÚA\Cajua\[VAS_CAJUA_CF_SEC_20230125.xlsx]CF PRBDP'!</v>
      </c>
      <c r="G120" s="7" t="s">
        <v>47</v>
      </c>
      <c r="H120" s="4"/>
      <c r="I120" s="4"/>
      <c r="J120" s="4"/>
    </row>
    <row r="121" spans="1:10" x14ac:dyDescent="0.2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Jaime\QUIFA-CAJÚA\Cajua\[VAS_CAJUA_CF_SEC_20230125.xlsx]CF PRBDP'!</v>
      </c>
      <c r="G121" s="7" t="s">
        <v>47</v>
      </c>
      <c r="H121" s="4"/>
      <c r="I121" s="4"/>
      <c r="J121" s="4"/>
    </row>
    <row r="122" spans="1:10" x14ac:dyDescent="0.2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Jaime\QUIFA-CAJÚA\Cajua\[VAS_CAJUA_CF_SEC_20230125.xlsx]CF PRBDP'!</v>
      </c>
      <c r="G122" s="7" t="s">
        <v>47</v>
      </c>
      <c r="H122" s="4"/>
      <c r="I122" s="4"/>
      <c r="J122" s="4"/>
    </row>
    <row r="123" spans="1:10" x14ac:dyDescent="0.2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Jaime\QUIFA-CAJÚA\Cajua\[VAS_CAJUA_CF_SEC_20230125.xlsx]CF PRBDP'!</v>
      </c>
      <c r="G123" s="7" t="s">
        <v>47</v>
      </c>
      <c r="H123" s="4"/>
      <c r="I123" s="4"/>
      <c r="J123" s="4"/>
    </row>
    <row r="124" spans="1:10" x14ac:dyDescent="0.2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Jaime\QUIFA-CAJÚA\Cajua\[VAS_CAJUA_CF_SEC_20230125.xlsx]CF PRBDP'!</v>
      </c>
      <c r="G124" s="7" t="s">
        <v>47</v>
      </c>
      <c r="H124" s="4"/>
      <c r="I124" s="4"/>
      <c r="J124" s="4"/>
    </row>
    <row r="125" spans="1:10" x14ac:dyDescent="0.2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Jaime\QUIFA-CAJÚA\Cajua\[VAS_CAJUA_CF_SEC_20230125.xlsx]CF PRBDP'!</v>
      </c>
      <c r="G125" s="7" t="s">
        <v>47</v>
      </c>
      <c r="H125" s="4"/>
      <c r="I125" s="4"/>
      <c r="J125" s="4"/>
    </row>
    <row r="126" spans="1:10" x14ac:dyDescent="0.2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Jaime\QUIFA-CAJÚA\Cajua\[VAS_CAJUA_CF_SEC_20230125.xlsx]CF PRBDP'!</v>
      </c>
      <c r="G126" s="7" t="s">
        <v>47</v>
      </c>
      <c r="H126" s="4"/>
      <c r="I126" s="4"/>
      <c r="J126" s="4"/>
    </row>
    <row r="127" spans="1:10" x14ac:dyDescent="0.2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Jaime\QUIFA-CAJÚA\Cajua\[VAS_CAJUA_CF_SEC_20230125.xlsx]CF PRBDP'!</v>
      </c>
      <c r="G127" s="7" t="s">
        <v>47</v>
      </c>
      <c r="H127" s="4"/>
      <c r="I127" s="4"/>
      <c r="J127" s="4"/>
    </row>
    <row r="128" spans="1:10" x14ac:dyDescent="0.2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Jaime\QUIFA-CAJÚA\Cajua\[VAS_CAJUA_CF_SEC_20230125.xlsx]CF PRBDP'!</v>
      </c>
      <c r="G128" s="7" t="s">
        <v>47</v>
      </c>
      <c r="H128" s="4"/>
      <c r="I128" s="4"/>
      <c r="J128" s="4"/>
    </row>
    <row r="129" spans="1:10" x14ac:dyDescent="0.2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Jaime\QUIFA-CAJÚA\Cajua\[VAS_CAJUA_CF_SEC_20230125.xlsx]CF PRBDP'!</v>
      </c>
      <c r="G129" s="7" t="s">
        <v>47</v>
      </c>
      <c r="H129" s="4"/>
      <c r="I129" s="4"/>
      <c r="J129" s="4"/>
    </row>
    <row r="130" spans="1:10" x14ac:dyDescent="0.2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Jaime\QUIFA-CAJÚA\Cajua\[VAS_CAJUA_CF_SEC_20230125.xlsx]CF PRBDP'!</v>
      </c>
      <c r="G130" s="7" t="s">
        <v>47</v>
      </c>
      <c r="H130" s="4"/>
      <c r="I130" s="4"/>
      <c r="J130" s="4"/>
    </row>
    <row r="131" spans="1:10" x14ac:dyDescent="0.2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Jaime\QUIFA-CAJÚA\Cajua\[VAS_CAJUA_CF_SEC_20230125.xlsx]CF PRBDP'!</v>
      </c>
      <c r="G131" s="7" t="s">
        <v>47</v>
      </c>
      <c r="H131" s="4"/>
      <c r="I131" s="4"/>
      <c r="J131" s="4"/>
    </row>
    <row r="132" spans="1:10" x14ac:dyDescent="0.2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Jaime\QUIFA-CAJÚA\Cajua\[VAS_CAJUA_CF_SEC_20230125.xlsx]CF PRBDP'!</v>
      </c>
      <c r="G132" s="7" t="s">
        <v>47</v>
      </c>
      <c r="H132" s="4"/>
      <c r="I132" s="4"/>
      <c r="J132" s="4"/>
    </row>
    <row r="133" spans="1:10" x14ac:dyDescent="0.2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Jaime\QUIFA-CAJÚA\Cajua\[VAS_CAJUA_CF_SEC_20230125.xlsx]CF PRBDP'!</v>
      </c>
      <c r="G133" s="7" t="s">
        <v>47</v>
      </c>
      <c r="H133" s="4"/>
      <c r="I133" s="4"/>
      <c r="J133" s="4"/>
    </row>
    <row r="134" spans="1:10" x14ac:dyDescent="0.2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Jaime\QUIFA-CAJÚA\Cajua\[VAS_CAJUA_CF_SEC_20230125.xlsx]CF PRBDP'!</v>
      </c>
      <c r="G134" s="7" t="s">
        <v>47</v>
      </c>
      <c r="H134" s="4"/>
      <c r="I134" s="4"/>
      <c r="J134" s="4"/>
    </row>
    <row r="135" spans="1:10" x14ac:dyDescent="0.2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Jaime\QUIFA-CAJÚA\Cajua\[VAS_CAJUA_CF_SEC_20230125.xlsx]CF PRBDP'!</v>
      </c>
      <c r="G135" s="7" t="s">
        <v>47</v>
      </c>
      <c r="H135" s="4"/>
      <c r="I135" s="4"/>
      <c r="J135" s="4"/>
    </row>
    <row r="136" spans="1:10" x14ac:dyDescent="0.2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Jaime\QUIFA-CAJÚA\Cajua\[VAS_CAJUA_CF_SEC_20230125.xlsx]CF PRBDP'!</v>
      </c>
      <c r="G136" s="7" t="s">
        <v>47</v>
      </c>
      <c r="H136" s="4"/>
      <c r="I136" s="4"/>
      <c r="J136" s="4"/>
    </row>
    <row r="137" spans="1:10" x14ac:dyDescent="0.2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Jaime\QUIFA-CAJÚA\Cajua\[VAS_CAJUA_CF_SEC_20230125.xlsx]CF PRBDP'!</v>
      </c>
      <c r="G137" s="7" t="s">
        <v>47</v>
      </c>
      <c r="H137" s="4"/>
      <c r="I137" s="4"/>
      <c r="J137" s="4"/>
    </row>
    <row r="138" spans="1:10" x14ac:dyDescent="0.2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Jaime\QUIFA-CAJÚA\Cajua\[VAS_CAJUA_CF_SEC_20230125.xlsx]CF PRBDP'!</v>
      </c>
      <c r="G138" s="7" t="s">
        <v>47</v>
      </c>
      <c r="H138" s="4"/>
      <c r="I138" s="4"/>
      <c r="J138" s="4"/>
    </row>
    <row r="139" spans="1:10" x14ac:dyDescent="0.2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Jaime\QUIFA-CAJÚA\Cajua\[VAS_CAJUA_CF_SEC_20230125.xlsx]CF PRBDP'!</v>
      </c>
      <c r="G139" s="7" t="s">
        <v>47</v>
      </c>
      <c r="H139" s="4"/>
      <c r="I139" s="4"/>
      <c r="J139" s="4"/>
    </row>
    <row r="140" spans="1:10" x14ac:dyDescent="0.2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Jaime\QUIFA-CAJÚA\Cajua\[VAS_CAJUA_CF_SEC_20230125.xlsx]CF PRBDP'!</v>
      </c>
      <c r="G140" s="7" t="s">
        <v>47</v>
      </c>
      <c r="H140" s="4"/>
      <c r="I140" s="4"/>
      <c r="J140" s="4"/>
    </row>
    <row r="141" spans="1:10" x14ac:dyDescent="0.2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Jaime\QUIFA-CAJÚA\Cajua\[VAS_CAJUA_CF_SEC_20230125.xlsx]CF PRBDP'!</v>
      </c>
      <c r="G141" s="7" t="s">
        <v>47</v>
      </c>
      <c r="H141" s="4"/>
      <c r="I141" s="4"/>
      <c r="J141" s="4"/>
    </row>
    <row r="142" spans="1:10" x14ac:dyDescent="0.2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Jaime\QUIFA-CAJÚA\Cajua\[VAS_CAJUA_CF_SEC_20230125.xlsx]CF PRBDP'!</v>
      </c>
      <c r="G142" s="7" t="s">
        <v>47</v>
      </c>
      <c r="H142" s="4"/>
      <c r="I142" s="4"/>
      <c r="J142" s="4"/>
    </row>
    <row r="143" spans="1:10" x14ac:dyDescent="0.2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Jaime\QUIFA-CAJÚA\Cajua\[VAS_CAJUA_CF_SEC_20230125.xlsx]CF PRBDP'!</v>
      </c>
      <c r="G143" s="7" t="s">
        <v>47</v>
      </c>
      <c r="H143" s="4"/>
      <c r="I143" s="4"/>
      <c r="J143" s="4"/>
    </row>
    <row r="144" spans="1:10" x14ac:dyDescent="0.2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Jaime\QUIFA-CAJÚA\Cajua\[VAS_CAJUA_CF_SEC_20230125.xlsx]CF PRBDP'!</v>
      </c>
      <c r="G144" s="7" t="s">
        <v>47</v>
      </c>
      <c r="H144" s="4"/>
      <c r="I144" s="4"/>
      <c r="J144" s="4"/>
    </row>
    <row r="145" spans="1:10" x14ac:dyDescent="0.2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Jaime\QUIFA-CAJÚA\Cajua\[VAS_CAJUA_CF_SEC_20230125.xlsx]CF PRBDP'!</v>
      </c>
      <c r="G145" s="7" t="s">
        <v>47</v>
      </c>
      <c r="H145" s="4"/>
      <c r="I145" s="4"/>
      <c r="J145" s="4"/>
    </row>
    <row r="146" spans="1:10" x14ac:dyDescent="0.2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Jaime\QUIFA-CAJÚA\Cajua\[VAS_CAJUA_CF_SEC_20230125.xlsx]CF PRBDP'!</v>
      </c>
      <c r="G146" s="7" t="s">
        <v>47</v>
      </c>
      <c r="H146" s="4"/>
      <c r="I146" s="4"/>
      <c r="J146" s="4"/>
    </row>
    <row r="147" spans="1:10" x14ac:dyDescent="0.2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Jaime\QUIFA-CAJÚA\Cajua\[VAS_CAJUA_CF_SEC_20230125.xlsx]CF PRBDP'!</v>
      </c>
      <c r="G147" s="7" t="s">
        <v>47</v>
      </c>
      <c r="H147" s="4"/>
      <c r="I147" s="4"/>
      <c r="J147" s="4"/>
    </row>
    <row r="148" spans="1:10" x14ac:dyDescent="0.2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Jaime\QUIFA-CAJÚA\Cajua\[VAS_CAJUA_CF_SEC_20230125.xlsx]CF PRBDP'!</v>
      </c>
      <c r="G148" s="7" t="s">
        <v>47</v>
      </c>
      <c r="H148" s="4"/>
      <c r="I148" s="4"/>
      <c r="J148" s="4"/>
    </row>
    <row r="149" spans="1:10" x14ac:dyDescent="0.2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Jaime\QUIFA-CAJÚA\Cajua\[VAS_CAJUA_CF_SEC_20230125.xlsx]CF PRBDP'!</v>
      </c>
      <c r="G149" s="7" t="s">
        <v>47</v>
      </c>
      <c r="H149" s="4"/>
      <c r="I149" s="4"/>
      <c r="J149" s="4"/>
    </row>
    <row r="150" spans="1:10" x14ac:dyDescent="0.2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Jaime\QUIFA-CAJÚA\Cajua\[VAS_CAJUA_CF_SEC_20230125.xlsx]CF PRBDP'!</v>
      </c>
      <c r="G150" s="7" t="s">
        <v>47</v>
      </c>
      <c r="H150" s="4"/>
      <c r="I150" s="4"/>
      <c r="J150" s="4"/>
    </row>
    <row r="151" spans="1:10" x14ac:dyDescent="0.2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Jaime\QUIFA-CAJÚA\Cajua\[VAS_CAJUA_CF_SEC_20230125.xlsx]CF PRBDP'!</v>
      </c>
      <c r="G151" s="7" t="s">
        <v>47</v>
      </c>
      <c r="H151" s="4"/>
      <c r="I151" s="4"/>
      <c r="J151" s="4"/>
    </row>
    <row r="152" spans="1:10" x14ac:dyDescent="0.2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Jaime\QUIFA-CAJÚA\Cajua\[VAS_CAJUA_CF_SEC_20230125.xlsx]CF PRBDP'!</v>
      </c>
      <c r="G152" s="7" t="s">
        <v>47</v>
      </c>
      <c r="H152" s="4"/>
      <c r="I152" s="4"/>
      <c r="J152" s="4"/>
    </row>
    <row r="153" spans="1:10" x14ac:dyDescent="0.25">
      <c r="A153" s="7" t="s">
        <v>28</v>
      </c>
      <c r="B153" s="7"/>
      <c r="C153" s="4" t="s">
        <v>51</v>
      </c>
      <c r="D153" s="5"/>
      <c r="E153" s="10"/>
      <c r="F153" s="5" t="str">
        <f t="shared" si="22"/>
        <v xml:space="preserve"> </v>
      </c>
      <c r="G153" s="7"/>
      <c r="H153" s="4"/>
      <c r="I153" s="4"/>
      <c r="J153" s="4"/>
    </row>
    <row r="154" spans="1:10" x14ac:dyDescent="0.2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Jaime\QUIFA-CAJÚA\Cajua\[VAS_CAJUA_CF_SEC_20230125.xlsx]CF PRBNP'!</v>
      </c>
      <c r="G154" s="7" t="s">
        <v>47</v>
      </c>
      <c r="H154" s="4"/>
      <c r="I154" s="4"/>
      <c r="J154" s="4"/>
    </row>
    <row r="155" spans="1:10" x14ac:dyDescent="0.2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Jaime\QUIFA-CAJÚA\Cajua\[VAS_CAJUA_CF_SEC_20230125.xlsx]CF PRBNP'!</v>
      </c>
      <c r="G155" s="7" t="s">
        <v>47</v>
      </c>
      <c r="H155" s="4"/>
      <c r="I155" s="4"/>
      <c r="J155" s="4"/>
    </row>
    <row r="156" spans="1:10" x14ac:dyDescent="0.2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Jaime\QUIFA-CAJÚA\Cajua\[VAS_CAJUA_CF_SEC_20230125.xlsx]CF PRBNP'!</v>
      </c>
      <c r="G156" s="7" t="s">
        <v>47</v>
      </c>
      <c r="H156" s="4"/>
      <c r="I156" s="4"/>
      <c r="J156" s="4"/>
    </row>
    <row r="157" spans="1:10" x14ac:dyDescent="0.2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Jaime\QUIFA-CAJÚA\Cajua\[VAS_CAJUA_CF_SEC_20230125.xlsx]CF PRBNP'!</v>
      </c>
      <c r="G157" s="7" t="s">
        <v>47</v>
      </c>
      <c r="H157" s="4"/>
      <c r="I157" s="4"/>
      <c r="J157" s="4"/>
    </row>
    <row r="158" spans="1:10" x14ac:dyDescent="0.2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Jaime\QUIFA-CAJÚA\Cajua\[VAS_CAJUA_CF_SEC_20230125.xlsx]CF PRBNP'!</v>
      </c>
      <c r="G158" s="7" t="s">
        <v>47</v>
      </c>
      <c r="H158" s="4"/>
      <c r="I158" s="4"/>
      <c r="J158" s="4"/>
    </row>
    <row r="159" spans="1:10" x14ac:dyDescent="0.2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Jaime\QUIFA-CAJÚA\Cajua\[VAS_CAJUA_CF_SEC_20230125.xlsx]CF PRBNP'!</v>
      </c>
      <c r="G159" s="7" t="s">
        <v>47</v>
      </c>
      <c r="H159" s="4"/>
      <c r="I159" s="4"/>
      <c r="J159" s="4"/>
    </row>
    <row r="160" spans="1:10" x14ac:dyDescent="0.2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Jaime\QUIFA-CAJÚA\Cajua\[VAS_CAJUA_CF_SEC_20230125.xlsx]CF PRBNP'!</v>
      </c>
      <c r="G160" s="7" t="s">
        <v>47</v>
      </c>
      <c r="H160" s="4"/>
      <c r="I160" s="4"/>
      <c r="J160" s="4"/>
    </row>
    <row r="161" spans="1:10" x14ac:dyDescent="0.2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Jaime\QUIFA-CAJÚA\Cajua\[VAS_CAJUA_CF_SEC_20230125.xlsx]CF PRBNP'!</v>
      </c>
      <c r="G161" s="7" t="s">
        <v>47</v>
      </c>
      <c r="H161" s="4"/>
      <c r="I161" s="4"/>
      <c r="J161" s="4"/>
    </row>
    <row r="162" spans="1:10" x14ac:dyDescent="0.2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Jaime\QUIFA-CAJÚA\Cajua\[VAS_CAJUA_CF_SEC_20230125.xlsx]CF PRBNP'!</v>
      </c>
      <c r="G162" s="7" t="s">
        <v>47</v>
      </c>
      <c r="H162" s="4"/>
      <c r="I162" s="4"/>
      <c r="J162" s="4"/>
    </row>
    <row r="163" spans="1:10" x14ac:dyDescent="0.2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Jaime\QUIFA-CAJÚA\Cajua\[VAS_CAJUA_CF_SEC_20230125.xlsx]CF PRBNP'!</v>
      </c>
      <c r="G163" s="7" t="s">
        <v>47</v>
      </c>
      <c r="H163" s="4"/>
      <c r="I163" s="4"/>
      <c r="J163" s="4"/>
    </row>
    <row r="164" spans="1:10" x14ac:dyDescent="0.2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Jaime\QUIFA-CAJÚA\Cajua\[VAS_CAJUA_CF_SEC_20230125.xlsx]CF PRBNP'!</v>
      </c>
      <c r="G164" s="7" t="s">
        <v>47</v>
      </c>
      <c r="H164" s="4"/>
      <c r="I164" s="4"/>
      <c r="J164" s="4"/>
    </row>
    <row r="165" spans="1:10" x14ac:dyDescent="0.2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Jaime\QUIFA-CAJÚA\Cajua\[VAS_CAJUA_CF_SEC_20230125.xlsx]CF PRBNP'!</v>
      </c>
      <c r="G165" s="7" t="s">
        <v>47</v>
      </c>
      <c r="H165" s="4"/>
      <c r="I165" s="4"/>
      <c r="J165" s="4"/>
    </row>
    <row r="166" spans="1:10" x14ac:dyDescent="0.2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Jaime\QUIFA-CAJÚA\Cajua\[VAS_CAJUA_CF_SEC_20230125.xlsx]CF PRBNP'!</v>
      </c>
      <c r="G166" s="7" t="s">
        <v>47</v>
      </c>
      <c r="H166" s="4"/>
      <c r="I166" s="4"/>
      <c r="J166" s="4"/>
    </row>
    <row r="167" spans="1:10" x14ac:dyDescent="0.2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Jaime\QUIFA-CAJÚA\Cajua\[VAS_CAJUA_CF_SEC_20230125.xlsx]CF PRBNP'!</v>
      </c>
      <c r="G167" s="7" t="s">
        <v>47</v>
      </c>
      <c r="H167" s="4"/>
      <c r="I167" s="4"/>
      <c r="J167" s="4"/>
    </row>
    <row r="168" spans="1:10" x14ac:dyDescent="0.2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Jaime\QUIFA-CAJÚA\Cajua\[VAS_CAJUA_CF_SEC_20230125.xlsx]CF PRBNP'!</v>
      </c>
      <c r="G168" s="7" t="s">
        <v>47</v>
      </c>
      <c r="H168" s="4"/>
      <c r="I168" s="4"/>
      <c r="J168" s="4"/>
    </row>
    <row r="169" spans="1:10" x14ac:dyDescent="0.2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Jaime\QUIFA-CAJÚA\Cajua\[VAS_CAJUA_CF_SEC_20230125.xlsx]CF PRBNP'!</v>
      </c>
      <c r="G169" s="7" t="s">
        <v>47</v>
      </c>
      <c r="H169" s="4"/>
      <c r="I169" s="4"/>
      <c r="J169" s="4"/>
    </row>
    <row r="170" spans="1:10" x14ac:dyDescent="0.2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Jaime\QUIFA-CAJÚA\Cajua\[VAS_CAJUA_CF_SEC_20230125.xlsx]CF PRBNP'!</v>
      </c>
      <c r="G170" s="7" t="s">
        <v>47</v>
      </c>
      <c r="H170" s="4"/>
      <c r="I170" s="4"/>
      <c r="J170" s="4"/>
    </row>
    <row r="171" spans="1:10" x14ac:dyDescent="0.2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Jaime\QUIFA-CAJÚA\Cajua\[VAS_CAJUA_CF_SEC_20230125.xlsx]CF PRBNP'!</v>
      </c>
      <c r="G171" s="7" t="s">
        <v>47</v>
      </c>
      <c r="H171" s="4"/>
      <c r="I171" s="4"/>
      <c r="J171" s="4"/>
    </row>
    <row r="172" spans="1:10" x14ac:dyDescent="0.2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Jaime\QUIFA-CAJÚA\Cajua\[VAS_CAJUA_CF_SEC_20230125.xlsx]CF PRBNP'!</v>
      </c>
      <c r="G172" s="7" t="s">
        <v>47</v>
      </c>
      <c r="H172" s="4"/>
      <c r="I172" s="4"/>
      <c r="J172" s="4"/>
    </row>
    <row r="173" spans="1:10" x14ac:dyDescent="0.2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Jaime\QUIFA-CAJÚA\Cajua\[VAS_CAJUA_CF_SEC_20230125.xlsx]CF PRBNP'!</v>
      </c>
      <c r="G173" s="7" t="s">
        <v>47</v>
      </c>
      <c r="H173" s="4"/>
      <c r="I173" s="4"/>
      <c r="J173" s="4"/>
    </row>
    <row r="174" spans="1:10" x14ac:dyDescent="0.2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Jaime\QUIFA-CAJÚA\Cajua\[VAS_CAJUA_CF_SEC_20230125.xlsx]CF PRBNP'!</v>
      </c>
      <c r="G174" s="7" t="s">
        <v>47</v>
      </c>
      <c r="H174" s="4"/>
      <c r="I174" s="4"/>
      <c r="J174" s="4"/>
    </row>
    <row r="175" spans="1:10" x14ac:dyDescent="0.2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Jaime\QUIFA-CAJÚA\Cajua\[VAS_CAJUA_CF_SEC_20230125.xlsx]CF PRBNP'!</v>
      </c>
      <c r="G175" s="7" t="s">
        <v>47</v>
      </c>
      <c r="H175" s="4"/>
      <c r="I175" s="4"/>
      <c r="J175" s="4"/>
    </row>
    <row r="176" spans="1:10" x14ac:dyDescent="0.2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Jaime\QUIFA-CAJÚA\Cajua\[VAS_CAJUA_CF_SEC_20230125.xlsx]CF PRBNP'!</v>
      </c>
      <c r="G176" s="7" t="s">
        <v>47</v>
      </c>
      <c r="H176" s="4"/>
      <c r="I176" s="4"/>
      <c r="J176" s="4"/>
    </row>
    <row r="177" spans="1:10" x14ac:dyDescent="0.2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Jaime\QUIFA-CAJÚA\Cajua\[VAS_CAJUA_CF_SEC_20230125.xlsx]CF PRBNP'!</v>
      </c>
      <c r="G177" s="7" t="s">
        <v>47</v>
      </c>
      <c r="H177" s="4"/>
      <c r="I177" s="4"/>
      <c r="J177" s="4"/>
    </row>
    <row r="178" spans="1:10" x14ac:dyDescent="0.2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Jaime\QUIFA-CAJÚA\Cajua\[VAS_CAJUA_CF_SEC_20230125.xlsx]CF PRBNP'!</v>
      </c>
      <c r="G178" s="7" t="s">
        <v>47</v>
      </c>
      <c r="H178" s="4"/>
      <c r="I178" s="4"/>
      <c r="J178" s="4"/>
    </row>
    <row r="179" spans="1:10" x14ac:dyDescent="0.2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Jaime\QUIFA-CAJÚA\Cajua\[VAS_CAJUA_CF_SEC_20230125.xlsx]CF PRBNP'!</v>
      </c>
      <c r="G179" s="7" t="s">
        <v>47</v>
      </c>
      <c r="H179" s="4"/>
      <c r="I179" s="4"/>
      <c r="J179" s="4"/>
    </row>
    <row r="180" spans="1:10" x14ac:dyDescent="0.2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Jaime\QUIFA-CAJÚA\Cajua\[VAS_CAJUA_CF_SEC_20230125.xlsx]CF PRBNP'!</v>
      </c>
      <c r="G180" s="7" t="s">
        <v>47</v>
      </c>
      <c r="H180" s="4"/>
      <c r="I180" s="4"/>
      <c r="J180" s="4"/>
    </row>
    <row r="181" spans="1:10" x14ac:dyDescent="0.2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Jaime\QUIFA-CAJÚA\Cajua\[VAS_CAJUA_CF_SEC_20230125.xlsx]CF PRBNP'!</v>
      </c>
      <c r="G181" s="7" t="s">
        <v>47</v>
      </c>
      <c r="H181" s="4"/>
      <c r="I181" s="4"/>
      <c r="J181" s="4"/>
    </row>
    <row r="182" spans="1:10" x14ac:dyDescent="0.2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Jaime\QUIFA-CAJÚA\Cajua\[VAS_CAJUA_CF_SEC_20230125.xlsx]CF PRBNP'!</v>
      </c>
      <c r="G182" s="7" t="s">
        <v>47</v>
      </c>
      <c r="H182" s="4"/>
      <c r="I182" s="4"/>
      <c r="J182" s="4"/>
    </row>
    <row r="183" spans="1:10" x14ac:dyDescent="0.2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Jaime\QUIFA-CAJÚA\Cajua\[VAS_CAJUA_CF_SEC_20230125.xlsx]CF PRBNP'!</v>
      </c>
      <c r="G183" s="7" t="s">
        <v>47</v>
      </c>
      <c r="H183" s="4"/>
      <c r="I183" s="4"/>
      <c r="J183" s="4"/>
    </row>
    <row r="184" spans="1:10" x14ac:dyDescent="0.2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Jaime\QUIFA-CAJÚA\Cajua\[VAS_CAJUA_CF_SEC_20230125.xlsx]CF PRBNP'!</v>
      </c>
      <c r="G184" s="7" t="s">
        <v>47</v>
      </c>
      <c r="H184" s="4"/>
      <c r="I184" s="4"/>
      <c r="J184" s="4"/>
    </row>
    <row r="185" spans="1:10" x14ac:dyDescent="0.2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Jaime\QUIFA-CAJÚA\Cajua\[VAS_CAJUA_CF_SEC_20230125.xlsx]CF PRBNP'!</v>
      </c>
      <c r="G185" s="7" t="s">
        <v>47</v>
      </c>
      <c r="H185" s="4"/>
      <c r="I185" s="4"/>
      <c r="J185" s="4"/>
    </row>
    <row r="186" spans="1:10" x14ac:dyDescent="0.2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Jaime\QUIFA-CAJÚA\Cajua\[VAS_CAJUA_CF_SEC_20230125.xlsx]CF PRBNP'!</v>
      </c>
      <c r="G186" s="7" t="s">
        <v>47</v>
      </c>
      <c r="H186" s="4"/>
      <c r="I186" s="4"/>
      <c r="J186" s="4"/>
    </row>
    <row r="187" spans="1:10" x14ac:dyDescent="0.2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Jaime\QUIFA-CAJÚA\Cajua\[VAS_CAJUA_CF_SEC_20230125.xlsx]CF PRBNP'!</v>
      </c>
      <c r="G187" s="7" t="s">
        <v>47</v>
      </c>
      <c r="H187" s="4"/>
      <c r="I187" s="4"/>
      <c r="J187" s="4"/>
    </row>
    <row r="188" spans="1:10" x14ac:dyDescent="0.2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Jaime\QUIFA-CAJÚA\Cajua\[VAS_CAJUA_CF_SEC_20230125.xlsx]CF PRBNP'!</v>
      </c>
      <c r="G188" s="7" t="s">
        <v>47</v>
      </c>
      <c r="H188" s="4"/>
      <c r="I188" s="4"/>
      <c r="J188" s="4"/>
    </row>
    <row r="189" spans="1:10" x14ac:dyDescent="0.2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Jaime\QUIFA-CAJÚA\Cajua\[VAS_CAJUA_CF_SEC_20230125.xlsx]CF PRBNP'!</v>
      </c>
      <c r="G189" s="7" t="s">
        <v>47</v>
      </c>
      <c r="H189" s="4"/>
      <c r="I189" s="4"/>
      <c r="J189" s="4"/>
    </row>
    <row r="190" spans="1:10" x14ac:dyDescent="0.2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Jaime\QUIFA-CAJÚA\Cajua\[VAS_CAJUA_CF_SEC_20230125.xlsx]CF PRBNP'!</v>
      </c>
      <c r="G190" s="7" t="s">
        <v>47</v>
      </c>
      <c r="H190" s="4"/>
      <c r="I190" s="4"/>
      <c r="J190" s="4"/>
    </row>
    <row r="191" spans="1:10" x14ac:dyDescent="0.25">
      <c r="A191" s="7" t="s">
        <v>28</v>
      </c>
      <c r="B191" s="7"/>
      <c r="C191" s="4" t="s">
        <v>51</v>
      </c>
      <c r="D191" s="5"/>
      <c r="E191" s="10"/>
      <c r="F191" s="5" t="str">
        <f t="shared" si="22"/>
        <v xml:space="preserve"> </v>
      </c>
      <c r="G191" s="7"/>
      <c r="H191" s="4"/>
      <c r="I191" s="4"/>
      <c r="J191" s="4"/>
    </row>
    <row r="192" spans="1:10" x14ac:dyDescent="0.2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Jaime\QUIFA-CAJÚA\Cajua\[VAS_CAJUA_CF_SEC_20230125.xlsx]CF PRBND'!</v>
      </c>
      <c r="G192" s="7" t="s">
        <v>47</v>
      </c>
      <c r="H192" s="4"/>
      <c r="I192" s="4"/>
      <c r="J192" s="4"/>
    </row>
    <row r="193" spans="1:10" x14ac:dyDescent="0.2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Jaime\QUIFA-CAJÚA\Cajua\[VAS_CAJUA_CF_SEC_20230125.xlsx]CF PRBND'!</v>
      </c>
      <c r="G193" s="7" t="s">
        <v>47</v>
      </c>
      <c r="H193" s="4"/>
      <c r="I193" s="4"/>
      <c r="J193" s="4"/>
    </row>
    <row r="194" spans="1:10" x14ac:dyDescent="0.2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Jaime\QUIFA-CAJÚA\Cajua\[VAS_CAJUA_CF_SEC_20230125.xlsx]CF PRBND'!</v>
      </c>
      <c r="G194" s="7" t="s">
        <v>47</v>
      </c>
      <c r="H194" s="4"/>
      <c r="I194" s="4"/>
      <c r="J194" s="4"/>
    </row>
    <row r="195" spans="1:10" x14ac:dyDescent="0.2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Jaime\QUIFA-CAJÚA\Cajua\[VAS_CAJUA_CF_SEC_20230125.xlsx]CF PRBND'!</v>
      </c>
      <c r="G195" s="7" t="s">
        <v>47</v>
      </c>
      <c r="H195" s="4"/>
      <c r="I195" s="4"/>
      <c r="J195" s="4"/>
    </row>
    <row r="196" spans="1:10" x14ac:dyDescent="0.2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Jaime\QUIFA-CAJÚA\Cajua\[VAS_CAJUA_CF_SEC_20230125.xlsx]CF PRBND'!</v>
      </c>
      <c r="G196" s="7" t="s">
        <v>47</v>
      </c>
      <c r="H196" s="4"/>
      <c r="I196" s="4"/>
      <c r="J196" s="4"/>
    </row>
    <row r="197" spans="1:10" x14ac:dyDescent="0.2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Jaime\QUIFA-CAJÚA\Cajua\[VAS_CAJUA_CF_SEC_20230125.xlsx]CF PRBND'!</v>
      </c>
      <c r="G197" s="7" t="s">
        <v>47</v>
      </c>
      <c r="H197" s="4"/>
      <c r="I197" s="4"/>
      <c r="J197" s="4"/>
    </row>
    <row r="198" spans="1:10" x14ac:dyDescent="0.2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Jaime\QUIFA-CAJÚA\Cajua\[VAS_CAJUA_CF_SEC_20230125.xlsx]CF PRBND'!</v>
      </c>
      <c r="G198" s="7" t="s">
        <v>47</v>
      </c>
      <c r="H198" s="4"/>
      <c r="I198" s="4"/>
      <c r="J198" s="4"/>
    </row>
    <row r="199" spans="1:10" x14ac:dyDescent="0.2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Jaime\QUIFA-CAJÚA\Cajua\[VAS_CAJUA_CF_SEC_20230125.xlsx]CF PRBND'!</v>
      </c>
      <c r="G199" s="7" t="s">
        <v>47</v>
      </c>
      <c r="H199" s="4"/>
      <c r="I199" s="4"/>
      <c r="J199" s="4"/>
    </row>
    <row r="200" spans="1:10" x14ac:dyDescent="0.2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Jaime\QUIFA-CAJÚA\Cajua\[VAS_CAJUA_CF_SEC_20230125.xlsx]CF PRBND'!</v>
      </c>
      <c r="G200" s="7" t="s">
        <v>47</v>
      </c>
      <c r="H200" s="4"/>
      <c r="I200" s="4"/>
      <c r="J200" s="4"/>
    </row>
    <row r="201" spans="1:10" x14ac:dyDescent="0.2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Jaime\QUIFA-CAJÚA\Cajua\[VAS_CAJUA_CF_SEC_20230125.xlsx]CF PRBND'!</v>
      </c>
      <c r="G201" s="7" t="s">
        <v>47</v>
      </c>
      <c r="H201" s="4"/>
      <c r="I201" s="4"/>
      <c r="J201" s="4"/>
    </row>
    <row r="202" spans="1:10" x14ac:dyDescent="0.2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Jaime\QUIFA-CAJÚA\Cajua\[VAS_CAJUA_CF_SEC_20230125.xlsx]CF PRBND'!</v>
      </c>
      <c r="G202" s="7" t="s">
        <v>47</v>
      </c>
      <c r="H202" s="4"/>
      <c r="I202" s="4"/>
      <c r="J202" s="4"/>
    </row>
    <row r="203" spans="1:10" x14ac:dyDescent="0.2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Jaime\QUIFA-CAJÚA\Cajua\[VAS_CAJUA_CF_SEC_20230125.xlsx]CF PRBND'!</v>
      </c>
      <c r="G203" s="7" t="s">
        <v>47</v>
      </c>
      <c r="H203" s="4"/>
      <c r="I203" s="4"/>
      <c r="J203" s="4"/>
    </row>
    <row r="204" spans="1:10" x14ac:dyDescent="0.2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Jaime\QUIFA-CAJÚA\Cajua\[VAS_CAJUA_CF_SEC_20230125.xlsx]CF PRBND'!</v>
      </c>
      <c r="G204" s="7" t="s">
        <v>47</v>
      </c>
      <c r="H204" s="4"/>
      <c r="I204" s="4"/>
      <c r="J204" s="4"/>
    </row>
    <row r="205" spans="1:10" x14ac:dyDescent="0.2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Jaime\QUIFA-CAJÚA\Cajua\[VAS_CAJUA_CF_SEC_20230125.xlsx]CF PRBND'!</v>
      </c>
      <c r="G205" s="7" t="s">
        <v>47</v>
      </c>
      <c r="H205" s="4"/>
      <c r="I205" s="4"/>
      <c r="J205" s="4"/>
    </row>
    <row r="206" spans="1:10" x14ac:dyDescent="0.2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Jaime\QUIFA-CAJÚA\Cajua\[VAS_CAJUA_CF_SEC_20230125.xlsx]CF PRBND'!</v>
      </c>
      <c r="G206" s="7" t="s">
        <v>47</v>
      </c>
      <c r="H206" s="4"/>
      <c r="I206" s="4"/>
      <c r="J206" s="4"/>
    </row>
    <row r="207" spans="1:10" x14ac:dyDescent="0.2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Jaime\QUIFA-CAJÚA\Cajua\[VAS_CAJUA_CF_SEC_20230125.xlsx]CF PRBND'!</v>
      </c>
      <c r="G207" s="7" t="s">
        <v>47</v>
      </c>
      <c r="H207" s="4"/>
      <c r="I207" s="4"/>
      <c r="J207" s="4"/>
    </row>
    <row r="208" spans="1:10" x14ac:dyDescent="0.2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Jaime\QUIFA-CAJÚA\Cajua\[VAS_CAJUA_CF_SEC_20230125.xlsx]CF PRBND'!</v>
      </c>
      <c r="G208" s="7" t="s">
        <v>47</v>
      </c>
      <c r="H208" s="4"/>
      <c r="I208" s="4"/>
      <c r="J208" s="4"/>
    </row>
    <row r="209" spans="1:10" x14ac:dyDescent="0.2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Jaime\QUIFA-CAJÚA\Cajua\[VAS_CAJUA_CF_SEC_20230125.xlsx]CF PRBND'!</v>
      </c>
      <c r="G209" s="7" t="s">
        <v>47</v>
      </c>
      <c r="H209" s="4"/>
      <c r="I209" s="4"/>
      <c r="J209" s="4"/>
    </row>
    <row r="210" spans="1:10" x14ac:dyDescent="0.2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Jaime\QUIFA-CAJÚA\Cajua\[VAS_CAJUA_CF_SEC_20230125.xlsx]CF PRBND'!</v>
      </c>
      <c r="G210" s="7" t="s">
        <v>47</v>
      </c>
      <c r="H210" s="4"/>
      <c r="I210" s="4"/>
      <c r="J210" s="4"/>
    </row>
    <row r="211" spans="1:10" x14ac:dyDescent="0.2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Jaime\QUIFA-CAJÚA\Cajua\[VAS_CAJUA_CF_SEC_20230125.xlsx]CF PRBND'!</v>
      </c>
      <c r="G211" s="7" t="s">
        <v>47</v>
      </c>
      <c r="H211" s="4"/>
      <c r="I211" s="4"/>
      <c r="J211" s="4"/>
    </row>
    <row r="212" spans="1:10" x14ac:dyDescent="0.2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Jaime\QUIFA-CAJÚA\Cajua\[VAS_CAJUA_CF_SEC_20230125.xlsx]CF PRBND'!</v>
      </c>
      <c r="G212" s="7" t="s">
        <v>47</v>
      </c>
      <c r="H212" s="4"/>
      <c r="I212" s="4"/>
      <c r="J212" s="4"/>
    </row>
    <row r="213" spans="1:10" x14ac:dyDescent="0.2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Jaime\QUIFA-CAJÚA\Cajua\[VAS_CAJUA_CF_SEC_20230125.xlsx]CF PRBND'!</v>
      </c>
      <c r="G213" s="7" t="s">
        <v>47</v>
      </c>
      <c r="H213" s="4"/>
      <c r="I213" s="4"/>
      <c r="J213" s="4"/>
    </row>
    <row r="214" spans="1:10" x14ac:dyDescent="0.2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Jaime\QUIFA-CAJÚA\Cajua\[VAS_CAJUA_CF_SEC_20230125.xlsx]CF PRBND'!</v>
      </c>
      <c r="G214" s="7" t="s">
        <v>47</v>
      </c>
      <c r="H214" s="4"/>
      <c r="I214" s="4"/>
      <c r="J214" s="4"/>
    </row>
    <row r="215" spans="1:10" x14ac:dyDescent="0.2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Jaime\QUIFA-CAJÚA\Cajua\[VAS_CAJUA_CF_SEC_20230125.xlsx]CF PRBND'!</v>
      </c>
      <c r="G215" s="7" t="s">
        <v>47</v>
      </c>
      <c r="H215" s="4"/>
      <c r="I215" s="4"/>
      <c r="J215" s="4"/>
    </row>
    <row r="216" spans="1:10" x14ac:dyDescent="0.2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Jaime\QUIFA-CAJÚA\Cajua\[VAS_CAJUA_CF_SEC_20230125.xlsx]CF PRBND'!</v>
      </c>
      <c r="G216" s="7" t="s">
        <v>47</v>
      </c>
      <c r="H216" s="4"/>
      <c r="I216" s="4"/>
      <c r="J216" s="4"/>
    </row>
    <row r="217" spans="1:10" x14ac:dyDescent="0.2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Jaime\QUIFA-CAJÚA\Cajua\[VAS_CAJUA_CF_SEC_20230125.xlsx]CF PRBND'!</v>
      </c>
      <c r="G217" s="7" t="s">
        <v>47</v>
      </c>
      <c r="H217" s="4"/>
      <c r="I217" s="4"/>
      <c r="J217" s="4"/>
    </row>
    <row r="218" spans="1:10" x14ac:dyDescent="0.2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Jaime\QUIFA-CAJÚA\Cajua\[VAS_CAJUA_CF_SEC_20230125.xlsx]CF PRBND'!</v>
      </c>
      <c r="G218" s="7" t="s">
        <v>47</v>
      </c>
      <c r="H218" s="4"/>
      <c r="I218" s="4"/>
      <c r="J218" s="4"/>
    </row>
    <row r="219" spans="1:10" x14ac:dyDescent="0.2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Jaime\QUIFA-CAJÚA\Cajua\[VAS_CAJUA_CF_SEC_20230125.xlsx]CF PRBND'!</v>
      </c>
      <c r="G219" s="7" t="s">
        <v>47</v>
      </c>
      <c r="H219" s="4"/>
      <c r="I219" s="4"/>
      <c r="J219" s="4"/>
    </row>
    <row r="220" spans="1:10" x14ac:dyDescent="0.2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Jaime\QUIFA-CAJÚA\Cajua\[VAS_CAJUA_CF_SEC_20230125.xlsx]CF PRBND'!</v>
      </c>
      <c r="G220" s="7" t="s">
        <v>47</v>
      </c>
      <c r="H220" s="4"/>
      <c r="I220" s="4"/>
      <c r="J220" s="4"/>
    </row>
    <row r="221" spans="1:10" x14ac:dyDescent="0.2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Jaime\QUIFA-CAJÚA\Cajua\[VAS_CAJUA_CF_SEC_20230125.xlsx]CF PRBND'!</v>
      </c>
      <c r="G221" s="7" t="s">
        <v>47</v>
      </c>
      <c r="H221" s="4"/>
      <c r="I221" s="4"/>
      <c r="J221" s="4"/>
    </row>
    <row r="222" spans="1:10" x14ac:dyDescent="0.2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Jaime\QUIFA-CAJÚA\Cajua\[VAS_CAJUA_CF_SEC_20230125.xlsx]CF PRBND'!</v>
      </c>
      <c r="G222" s="7" t="s">
        <v>47</v>
      </c>
      <c r="H222" s="4"/>
      <c r="I222" s="4"/>
      <c r="J222" s="4"/>
    </row>
    <row r="223" spans="1:10" x14ac:dyDescent="0.2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Jaime\QUIFA-CAJÚA\Cajua\[VAS_CAJUA_CF_SEC_20230125.xlsx]CF PRBND'!</v>
      </c>
      <c r="G223" s="7" t="s">
        <v>47</v>
      </c>
      <c r="H223" s="4"/>
      <c r="I223" s="4"/>
      <c r="J223" s="4"/>
    </row>
    <row r="224" spans="1:10" x14ac:dyDescent="0.2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Jaime\QUIFA-CAJÚA\Cajua\[VAS_CAJUA_CF_SEC_20230125.xlsx]CF PRBND'!</v>
      </c>
      <c r="G224" s="7" t="s">
        <v>47</v>
      </c>
      <c r="H224" s="4"/>
      <c r="I224" s="4"/>
      <c r="J224" s="4"/>
    </row>
    <row r="225" spans="1:10" x14ac:dyDescent="0.2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Jaime\QUIFA-CAJÚA\Cajua\[VAS_CAJUA_CF_SEC_20230125.xlsx]CF PRBND'!</v>
      </c>
      <c r="G225" s="7" t="s">
        <v>47</v>
      </c>
      <c r="H225" s="4"/>
      <c r="I225" s="4"/>
      <c r="J225" s="4"/>
    </row>
    <row r="226" spans="1:10" x14ac:dyDescent="0.2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Jaime\QUIFA-CAJÚA\Cajua\[VAS_CAJUA_CF_SEC_20230125.xlsx]CF PRBND'!</v>
      </c>
      <c r="G226" s="7" t="s">
        <v>47</v>
      </c>
      <c r="H226" s="4"/>
      <c r="I226" s="4"/>
      <c r="J226" s="4"/>
    </row>
    <row r="227" spans="1:10" x14ac:dyDescent="0.2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Jaime\QUIFA-CAJÚA\Cajua\[VAS_CAJUA_CF_SEC_20230125.xlsx]CF PRBND'!</v>
      </c>
      <c r="G227" s="7" t="s">
        <v>47</v>
      </c>
      <c r="H227" s="4"/>
      <c r="I227" s="4"/>
      <c r="J227" s="4"/>
    </row>
    <row r="228" spans="1:10" x14ac:dyDescent="0.2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Jaime\QUIFA-CAJÚA\Cajua\[VAS_CAJUA_CF_SEC_20230125.xlsx]CF PRBND'!</v>
      </c>
      <c r="G228" s="7" t="s">
        <v>47</v>
      </c>
      <c r="H228" s="4"/>
      <c r="I228" s="4"/>
      <c r="J228" s="4"/>
    </row>
    <row r="229" spans="1:10" x14ac:dyDescent="0.2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2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Jaime\QUIFA-CAJÚA\Cajua\[VAS_CAJUA_CF_SEC_20230125.xlsx]CF PRB'!</v>
      </c>
      <c r="G230" s="7" t="s">
        <v>47</v>
      </c>
      <c r="H230" s="4">
        <f>IF(A230&lt;&gt;A100,36,H100+1)</f>
        <v>36</v>
      </c>
      <c r="I230" s="4" t="str">
        <f t="shared" si="25"/>
        <v>='C:\Users\jaime.benazar\Quorum Business Solutions\Ecopetrol Prometeo - Documents\Planning Space Implementation\3. Analysis &amp; Design\Design\FC22\DRR Jaime\QUIFA-CAJÚA\Cajua\[VAS_CAJUA_CF_SEC_20230125.xlsx]CF PRB'!$AY$36</v>
      </c>
      <c r="J230" s="4" t="s">
        <v>240</v>
      </c>
    </row>
    <row r="231" spans="1:10" x14ac:dyDescent="0.2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Jaime\QUIFA-CAJÚA\Cajua\[VAS_CAJUA_CF_SEC_20230125.xlsx]CF PRB'!</v>
      </c>
      <c r="G231" s="7" t="s">
        <v>47</v>
      </c>
      <c r="H231" s="4">
        <f t="shared" si="26"/>
        <v>37</v>
      </c>
      <c r="I231" s="4" t="str">
        <f t="shared" si="25"/>
        <v>='C:\Users\jaime.benazar\Quorum Business Solutions\Ecopetrol Prometeo - Documents\Planning Space Implementation\3. Analysis &amp; Design\Design\FC22\DRR Jaime\QUIFA-CAJÚA\Cajua\[VAS_CAJUA_CF_SEC_20230125.xlsx]CF PRB'!$AY$37</v>
      </c>
      <c r="J231" s="4" t="s">
        <v>241</v>
      </c>
    </row>
    <row r="232" spans="1:10" x14ac:dyDescent="0.2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Jaime\QUIFA-CAJÚA\Cajua\[VAS_CAJUA_CF_SEC_20230125.xlsx]CF PRB'!</v>
      </c>
      <c r="G232" s="7" t="s">
        <v>47</v>
      </c>
      <c r="H232" s="4">
        <f t="shared" si="26"/>
        <v>38</v>
      </c>
      <c r="I232" s="4" t="str">
        <f t="shared" si="25"/>
        <v>='C:\Users\jaime.benazar\Quorum Business Solutions\Ecopetrol Prometeo - Documents\Planning Space Implementation\3. Analysis &amp; Design\Design\FC22\DRR Jaime\QUIFA-CAJÚA\Cajua\[VAS_CAJUA_CF_SEC_20230125.xlsx]CF PRB'!$AY$38</v>
      </c>
      <c r="J232" s="4" t="s">
        <v>242</v>
      </c>
    </row>
    <row r="233" spans="1:10" x14ac:dyDescent="0.2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Jaime\QUIFA-CAJÚA\Cajua\[VAS_CAJUA_CF_SEC_20230125.xlsx]CF PRB'!</v>
      </c>
      <c r="G233" s="7" t="s">
        <v>47</v>
      </c>
      <c r="H233" s="4">
        <f t="shared" si="26"/>
        <v>39</v>
      </c>
      <c r="I233" s="4" t="str">
        <f t="shared" si="25"/>
        <v>='C:\Users\jaime.benazar\Quorum Business Solutions\Ecopetrol Prometeo - Documents\Planning Space Implementation\3. Analysis &amp; Design\Design\FC22\DRR Jaime\QUIFA-CAJÚA\Cajua\[VAS_CAJUA_CF_SEC_20230125.xlsx]CF PRB'!$AY$39</v>
      </c>
      <c r="J233" s="4" t="s">
        <v>243</v>
      </c>
    </row>
    <row r="234" spans="1:10" x14ac:dyDescent="0.2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Jaime\QUIFA-CAJÚA\Cajua\[VAS_CAJUA_CF_SEC_20230125.xlsx]CF PRB'!</v>
      </c>
      <c r="G234" s="7" t="s">
        <v>47</v>
      </c>
      <c r="H234" s="4">
        <f t="shared" si="26"/>
        <v>40</v>
      </c>
      <c r="I234" s="4" t="str">
        <f t="shared" si="25"/>
        <v>='C:\Users\jaime.benazar\Quorum Business Solutions\Ecopetrol Prometeo - Documents\Planning Space Implementation\3. Analysis &amp; Design\Design\FC22\DRR Jaime\QUIFA-CAJÚA\Cajua\[VAS_CAJUA_CF_SEC_20230125.xlsx]CF PRB'!$AY$40</v>
      </c>
      <c r="J234" s="4" t="s">
        <v>244</v>
      </c>
    </row>
    <row r="235" spans="1:10" x14ac:dyDescent="0.2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Jaime\QUIFA-CAJÚA\Cajua\[VAS_CAJUA_CF_SEC_20230125.xlsx]CF PRB'!</v>
      </c>
      <c r="G235" s="7" t="s">
        <v>47</v>
      </c>
      <c r="H235" s="4">
        <f t="shared" si="26"/>
        <v>41</v>
      </c>
      <c r="I235" s="4" t="str">
        <f t="shared" si="25"/>
        <v>='C:\Users\jaime.benazar\Quorum Business Solutions\Ecopetrol Prometeo - Documents\Planning Space Implementation\3. Analysis &amp; Design\Design\FC22\DRR Jaime\QUIFA-CAJÚA\Cajua\[VAS_CAJUA_CF_SEC_20230125.xlsx]CF PRB'!$AY$41</v>
      </c>
      <c r="J235" s="4" t="s">
        <v>245</v>
      </c>
    </row>
    <row r="236" spans="1:10" x14ac:dyDescent="0.2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Jaime\QUIFA-CAJÚA\Cajua\[VAS_CAJUA_CF_SEC_20230125.xlsx]CF PRB'!</v>
      </c>
      <c r="G236" s="7" t="s">
        <v>47</v>
      </c>
      <c r="H236" s="4">
        <f t="shared" si="26"/>
        <v>42</v>
      </c>
      <c r="I236" s="4" t="str">
        <f t="shared" si="25"/>
        <v>='C:\Users\jaime.benazar\Quorum Business Solutions\Ecopetrol Prometeo - Documents\Planning Space Implementation\3. Analysis &amp; Design\Design\FC22\DRR Jaime\QUIFA-CAJÚA\Cajua\[VAS_CAJUA_CF_SEC_20230125.xlsx]CF PRB'!$AY$42</v>
      </c>
      <c r="J236" s="4" t="s">
        <v>246</v>
      </c>
    </row>
    <row r="237" spans="1:10" x14ac:dyDescent="0.2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Jaime\QUIFA-CAJÚA\Cajua\[VAS_CAJUA_CF_SEC_20230125.xlsx]CF PRB'!</v>
      </c>
      <c r="G237" s="7" t="s">
        <v>47</v>
      </c>
      <c r="H237" s="4">
        <f t="shared" si="26"/>
        <v>43</v>
      </c>
      <c r="I237" s="4" t="str">
        <f t="shared" si="25"/>
        <v>='C:\Users\jaime.benazar\Quorum Business Solutions\Ecopetrol Prometeo - Documents\Planning Space Implementation\3. Analysis &amp; Design\Design\FC22\DRR Jaime\QUIFA-CAJÚA\Cajua\[VAS_CAJUA_CF_SEC_20230125.xlsx]CF PRB'!$AY$43</v>
      </c>
      <c r="J237" s="4" t="s">
        <v>247</v>
      </c>
    </row>
    <row r="238" spans="1:10" x14ac:dyDescent="0.2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Jaime\QUIFA-CAJÚA\Cajua\[VAS_CAJUA_CF_SEC_20230125.xlsx]CF PRB'!</v>
      </c>
      <c r="G238" s="7" t="s">
        <v>47</v>
      </c>
      <c r="H238" s="4">
        <f t="shared" si="26"/>
        <v>44</v>
      </c>
      <c r="I238" s="4" t="str">
        <f t="shared" si="25"/>
        <v>='C:\Users\jaime.benazar\Quorum Business Solutions\Ecopetrol Prometeo - Documents\Planning Space Implementation\3. Analysis &amp; Design\Design\FC22\DRR Jaime\QUIFA-CAJÚA\Cajua\[VAS_CAJUA_CF_SEC_20230125.xlsx]CF PRB'!$AY$44</v>
      </c>
      <c r="J238" s="4" t="s">
        <v>248</v>
      </c>
    </row>
    <row r="239" spans="1:10" x14ac:dyDescent="0.2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Jaime\QUIFA-CAJÚA\Cajua\[VAS_CAJUA_CF_SEC_20230125.xlsx]CF PRB'!</v>
      </c>
      <c r="G239" s="7" t="s">
        <v>47</v>
      </c>
      <c r="H239" s="4">
        <f t="shared" si="26"/>
        <v>45</v>
      </c>
      <c r="I239" s="4" t="str">
        <f t="shared" si="25"/>
        <v>='C:\Users\jaime.benazar\Quorum Business Solutions\Ecopetrol Prometeo - Documents\Planning Space Implementation\3. Analysis &amp; Design\Design\FC22\DRR Jaime\QUIFA-CAJÚA\Cajua\[VAS_CAJUA_CF_SEC_20230125.xlsx]CF PRB'!$AY$45</v>
      </c>
      <c r="J239" s="4" t="s">
        <v>249</v>
      </c>
    </row>
    <row r="240" spans="1:10" x14ac:dyDescent="0.2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Jaime\QUIFA-CAJÚA\Cajua\[VAS_CAJUA_CF_SEC_20230125.xlsx]CF PRB'!</v>
      </c>
      <c r="G240" s="7" t="s">
        <v>47</v>
      </c>
      <c r="H240" s="4">
        <f t="shared" si="26"/>
        <v>46</v>
      </c>
      <c r="I240" s="4" t="str">
        <f t="shared" si="25"/>
        <v>='C:\Users\jaime.benazar\Quorum Business Solutions\Ecopetrol Prometeo - Documents\Planning Space Implementation\3. Analysis &amp; Design\Design\FC22\DRR Jaime\QUIFA-CAJÚA\Cajua\[VAS_CAJUA_CF_SEC_20230125.xlsx]CF PRB'!$AY$46</v>
      </c>
      <c r="J240" s="4" t="s">
        <v>250</v>
      </c>
    </row>
    <row r="241" spans="1:10" x14ac:dyDescent="0.2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Jaime\QUIFA-CAJÚA\Cajua\[VAS_CAJUA_CF_SEC_20230125.xlsx]CF PRB'!</v>
      </c>
      <c r="G241" s="7" t="s">
        <v>47</v>
      </c>
      <c r="H241" s="4">
        <f t="shared" si="26"/>
        <v>47</v>
      </c>
      <c r="I241" s="4" t="str">
        <f t="shared" si="25"/>
        <v>='C:\Users\jaime.benazar\Quorum Business Solutions\Ecopetrol Prometeo - Documents\Planning Space Implementation\3. Analysis &amp; Design\Design\FC22\DRR Jaime\QUIFA-CAJÚA\Cajua\[VAS_CAJUA_CF_SEC_20230125.xlsx]CF PRB'!$AY$47</v>
      </c>
      <c r="J241" s="4" t="s">
        <v>251</v>
      </c>
    </row>
    <row r="242" spans="1:10" x14ac:dyDescent="0.2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Jaime\QUIFA-CAJÚA\Cajua\[VAS_CAJUA_CF_SEC_20230125.xlsx]CF PRB'!</v>
      </c>
      <c r="G242" s="7" t="s">
        <v>47</v>
      </c>
      <c r="H242" s="4">
        <f t="shared" si="26"/>
        <v>48</v>
      </c>
      <c r="I242" s="4" t="str">
        <f t="shared" si="25"/>
        <v>='C:\Users\jaime.benazar\Quorum Business Solutions\Ecopetrol Prometeo - Documents\Planning Space Implementation\3. Analysis &amp; Design\Design\FC22\DRR Jaime\QUIFA-CAJÚA\Cajua\[VAS_CAJUA_CF_SEC_20230125.xlsx]CF PRB'!$AY$48</v>
      </c>
      <c r="J242" s="4" t="s">
        <v>252</v>
      </c>
    </row>
    <row r="243" spans="1:10" x14ac:dyDescent="0.2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Jaime\QUIFA-CAJÚA\Cajua\[VAS_CAJUA_CF_SEC_20230125.xlsx]CF PRB'!</v>
      </c>
      <c r="G243" s="7" t="s">
        <v>47</v>
      </c>
      <c r="H243" s="4">
        <f t="shared" si="26"/>
        <v>49</v>
      </c>
      <c r="I243" s="4" t="str">
        <f t="shared" si="25"/>
        <v>='C:\Users\jaime.benazar\Quorum Business Solutions\Ecopetrol Prometeo - Documents\Planning Space Implementation\3. Analysis &amp; Design\Design\FC22\DRR Jaime\QUIFA-CAJÚA\Cajua\[VAS_CAJUA_CF_SEC_20230125.xlsx]CF PRB'!$AY$49</v>
      </c>
      <c r="J243" s="4" t="s">
        <v>253</v>
      </c>
    </row>
    <row r="244" spans="1:10" x14ac:dyDescent="0.2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Jaime\QUIFA-CAJÚA\Cajua\[VAS_CAJUA_CF_SEC_20230125.xlsx]CF PRB'!</v>
      </c>
      <c r="G244" s="7" t="s">
        <v>47</v>
      </c>
      <c r="H244" s="4">
        <f t="shared" si="26"/>
        <v>50</v>
      </c>
      <c r="I244" s="4" t="str">
        <f t="shared" si="25"/>
        <v>='C:\Users\jaime.benazar\Quorum Business Solutions\Ecopetrol Prometeo - Documents\Planning Space Implementation\3. Analysis &amp; Design\Design\FC22\DRR Jaime\QUIFA-CAJÚA\Cajua\[VAS_CAJUA_CF_SEC_20230125.xlsx]CF PRB'!$AY$50</v>
      </c>
      <c r="J244" s="4" t="s">
        <v>254</v>
      </c>
    </row>
    <row r="245" spans="1:10" x14ac:dyDescent="0.2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Jaime\QUIFA-CAJÚA\Cajua\[VAS_CAJUA_CF_SEC_20230125.xlsx]CF PRB'!</v>
      </c>
      <c r="G245" s="7" t="s">
        <v>47</v>
      </c>
      <c r="H245" s="4">
        <f t="shared" si="26"/>
        <v>51</v>
      </c>
      <c r="I245" s="4" t="str">
        <f t="shared" si="25"/>
        <v>='C:\Users\jaime.benazar\Quorum Business Solutions\Ecopetrol Prometeo - Documents\Planning Space Implementation\3. Analysis &amp; Design\Design\FC22\DRR Jaime\QUIFA-CAJÚA\Cajua\[VAS_CAJUA_CF_SEC_20230125.xlsx]CF PRB'!$AY$51</v>
      </c>
      <c r="J245" s="4" t="s">
        <v>255</v>
      </c>
    </row>
    <row r="246" spans="1:10" x14ac:dyDescent="0.2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Jaime\QUIFA-CAJÚA\Cajua\[VAS_CAJUA_CF_SEC_20230125.xlsx]CF PRB'!</v>
      </c>
      <c r="G246" s="7" t="s">
        <v>47</v>
      </c>
      <c r="H246" s="4">
        <f t="shared" si="26"/>
        <v>52</v>
      </c>
      <c r="I246" s="4" t="str">
        <f t="shared" si="25"/>
        <v>='C:\Users\jaime.benazar\Quorum Business Solutions\Ecopetrol Prometeo - Documents\Planning Space Implementation\3. Analysis &amp; Design\Design\FC22\DRR Jaime\QUIFA-CAJÚA\Cajua\[VAS_CAJUA_CF_SEC_20230125.xlsx]CF PRB'!$AY$52</v>
      </c>
      <c r="J246" s="4" t="s">
        <v>256</v>
      </c>
    </row>
    <row r="247" spans="1:10" x14ac:dyDescent="0.2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Jaime\QUIFA-CAJÚA\Cajua\[VAS_CAJUA_CF_SEC_20230125.xlsx]CF PRB'!</v>
      </c>
      <c r="G247" s="7" t="s">
        <v>47</v>
      </c>
      <c r="H247" s="4">
        <f t="shared" si="26"/>
        <v>53</v>
      </c>
      <c r="I247" s="4" t="str">
        <f t="shared" si="25"/>
        <v>='C:\Users\jaime.benazar\Quorum Business Solutions\Ecopetrol Prometeo - Documents\Planning Space Implementation\3. Analysis &amp; Design\Design\FC22\DRR Jaime\QUIFA-CAJÚA\Cajua\[VAS_CAJUA_CF_SEC_20230125.xlsx]CF PRB'!$AY$53</v>
      </c>
      <c r="J247" s="4" t="s">
        <v>257</v>
      </c>
    </row>
    <row r="248" spans="1:10" x14ac:dyDescent="0.2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Jaime\QUIFA-CAJÚA\Cajua\[VAS_CAJUA_CF_SEC_20230125.xlsx]CF PRB'!</v>
      </c>
      <c r="G248" s="7" t="s">
        <v>47</v>
      </c>
      <c r="H248" s="4">
        <f t="shared" si="26"/>
        <v>54</v>
      </c>
      <c r="I248" s="4" t="str">
        <f t="shared" si="25"/>
        <v>='C:\Users\jaime.benazar\Quorum Business Solutions\Ecopetrol Prometeo - Documents\Planning Space Implementation\3. Analysis &amp; Design\Design\FC22\DRR Jaime\QUIFA-CAJÚA\Cajua\[VAS_CAJUA_CF_SEC_20230125.xlsx]CF PRB'!$AY$54</v>
      </c>
      <c r="J248" s="4" t="s">
        <v>258</v>
      </c>
    </row>
    <row r="249" spans="1:10" x14ac:dyDescent="0.2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Jaime\QUIFA-CAJÚA\Cajua\[VAS_CAJUA_CF_SEC_20230125.xlsx]CF PRB'!</v>
      </c>
      <c r="G249" s="7" t="s">
        <v>47</v>
      </c>
      <c r="H249" s="4">
        <f t="shared" si="26"/>
        <v>55</v>
      </c>
      <c r="I249" s="4" t="str">
        <f t="shared" si="25"/>
        <v>='C:\Users\jaime.benazar\Quorum Business Solutions\Ecopetrol Prometeo - Documents\Planning Space Implementation\3. Analysis &amp; Design\Design\FC22\DRR Jaime\QUIFA-CAJÚA\Cajua\[VAS_CAJUA_CF_SEC_20230125.xlsx]CF PRB'!$AY$55</v>
      </c>
      <c r="J249" s="4" t="s">
        <v>259</v>
      </c>
    </row>
    <row r="250" spans="1:10" x14ac:dyDescent="0.2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Jaime\QUIFA-CAJÚA\Cajua\[VAS_CAJUA_CF_SEC_20230125.xlsx]CF PRB'!</v>
      </c>
      <c r="G250" s="7" t="s">
        <v>47</v>
      </c>
      <c r="H250" s="4">
        <f t="shared" si="26"/>
        <v>56</v>
      </c>
      <c r="I250" s="4" t="str">
        <f t="shared" si="25"/>
        <v>='C:\Users\jaime.benazar\Quorum Business Solutions\Ecopetrol Prometeo - Documents\Planning Space Implementation\3. Analysis &amp; Design\Design\FC22\DRR Jaime\QUIFA-CAJÚA\Cajua\[VAS_CAJUA_CF_SEC_20230125.xlsx]CF PRB'!$AY$56</v>
      </c>
      <c r="J250" s="4" t="s">
        <v>260</v>
      </c>
    </row>
    <row r="251" spans="1:10" x14ac:dyDescent="0.2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Jaime\QUIFA-CAJÚA\Cajua\[VAS_CAJUA_CF_SEC_20230125.xlsx]CF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Jaime\QUIFA-CAJÚA\Cajua\[VAS_CAJUA_CF_SEC_20230125.xlsx]CF PRB'!$AY$57</v>
      </c>
      <c r="J251" s="4" t="s">
        <v>261</v>
      </c>
    </row>
    <row r="252" spans="1:10" x14ac:dyDescent="0.2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Jaime\QUIFA-CAJÚA\Cajua\[VAS_CAJUA_CF_SEC_20230125.xlsx]CF PRB'!</v>
      </c>
      <c r="G252" s="7" t="s">
        <v>47</v>
      </c>
      <c r="H252" s="4">
        <f t="shared" si="61"/>
        <v>58</v>
      </c>
      <c r="I252" s="4" t="str">
        <f t="shared" si="62"/>
        <v>='C:\Users\jaime.benazar\Quorum Business Solutions\Ecopetrol Prometeo - Documents\Planning Space Implementation\3. Analysis &amp; Design\Design\FC22\DRR Jaime\QUIFA-CAJÚA\Cajua\[VAS_CAJUA_CF_SEC_20230125.xlsx]CF PRB'!$AY$58</v>
      </c>
      <c r="J252" s="4" t="s">
        <v>262</v>
      </c>
    </row>
    <row r="253" spans="1:10" x14ac:dyDescent="0.2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Jaime\QUIFA-CAJÚA\Cajua\[VAS_CAJUA_CF_SEC_20230125.xlsx]CF PRB'!</v>
      </c>
      <c r="G253" s="7" t="s">
        <v>47</v>
      </c>
      <c r="H253" s="4">
        <f t="shared" si="61"/>
        <v>59</v>
      </c>
      <c r="I253" s="4" t="str">
        <f t="shared" si="62"/>
        <v>='C:\Users\jaime.benazar\Quorum Business Solutions\Ecopetrol Prometeo - Documents\Planning Space Implementation\3. Analysis &amp; Design\Design\FC22\DRR Jaime\QUIFA-CAJÚA\Cajua\[VAS_CAJUA_CF_SEC_20230125.xlsx]CF PRB'!$AY$59</v>
      </c>
      <c r="J253" s="4" t="s">
        <v>263</v>
      </c>
    </row>
    <row r="254" spans="1:10" x14ac:dyDescent="0.2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Jaime\QUIFA-CAJÚA\Cajua\[VAS_CAJUA_CF_SEC_20230125.xlsx]CF PRB'!</v>
      </c>
      <c r="G254" s="7" t="s">
        <v>47</v>
      </c>
      <c r="H254" s="4">
        <f t="shared" si="61"/>
        <v>60</v>
      </c>
      <c r="I254" s="4" t="str">
        <f t="shared" si="62"/>
        <v>='C:\Users\jaime.benazar\Quorum Business Solutions\Ecopetrol Prometeo - Documents\Planning Space Implementation\3. Analysis &amp; Design\Design\FC22\DRR Jaime\QUIFA-CAJÚA\Cajua\[VAS_CAJUA_CF_SEC_20230125.xlsx]CF PRB'!$AY$60</v>
      </c>
      <c r="J254" s="4" t="s">
        <v>264</v>
      </c>
    </row>
    <row r="255" spans="1:10" x14ac:dyDescent="0.2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Jaime\QUIFA-CAJÚA\Cajua\[VAS_CAJUA_CF_SEC_20230125.xlsx]CF PRB'!</v>
      </c>
      <c r="G255" s="7" t="s">
        <v>47</v>
      </c>
      <c r="H255" s="4">
        <f t="shared" si="61"/>
        <v>61</v>
      </c>
      <c r="I255" s="4" t="str">
        <f t="shared" si="62"/>
        <v>='C:\Users\jaime.benazar\Quorum Business Solutions\Ecopetrol Prometeo - Documents\Planning Space Implementation\3. Analysis &amp; Design\Design\FC22\DRR Jaime\QUIFA-CAJÚA\Cajua\[VAS_CAJUA_CF_SEC_20230125.xlsx]CF PRB'!$AY$61</v>
      </c>
      <c r="J255" s="4" t="s">
        <v>265</v>
      </c>
    </row>
    <row r="256" spans="1:10" x14ac:dyDescent="0.2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Jaime\QUIFA-CAJÚA\Cajua\[VAS_CAJUA_CF_SEC_20230125.xlsx]CF PRB'!</v>
      </c>
      <c r="G256" s="7" t="s">
        <v>47</v>
      </c>
      <c r="H256" s="4">
        <f t="shared" si="61"/>
        <v>62</v>
      </c>
      <c r="I256" s="4" t="str">
        <f t="shared" si="62"/>
        <v>='C:\Users\jaime.benazar\Quorum Business Solutions\Ecopetrol Prometeo - Documents\Planning Space Implementation\3. Analysis &amp; Design\Design\FC22\DRR Jaime\QUIFA-CAJÚA\Cajua\[VAS_CAJUA_CF_SEC_20230125.xlsx]CF PRB'!$AY$62</v>
      </c>
      <c r="J256" s="4" t="s">
        <v>266</v>
      </c>
    </row>
    <row r="257" spans="1:10" x14ac:dyDescent="0.2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Jaime\QUIFA-CAJÚA\Cajua\[VAS_CAJUA_CF_SEC_20230125.xlsx]CF PRB'!</v>
      </c>
      <c r="G257" s="7" t="s">
        <v>47</v>
      </c>
      <c r="H257" s="4">
        <f t="shared" si="61"/>
        <v>63</v>
      </c>
      <c r="I257" s="4" t="str">
        <f t="shared" si="62"/>
        <v>='C:\Users\jaime.benazar\Quorum Business Solutions\Ecopetrol Prometeo - Documents\Planning Space Implementation\3. Analysis &amp; Design\Design\FC22\DRR Jaime\QUIFA-CAJÚA\Cajua\[VAS_CAJUA_CF_SEC_20230125.xlsx]CF PRB'!$AY$63</v>
      </c>
      <c r="J257" s="4" t="s">
        <v>267</v>
      </c>
    </row>
    <row r="258" spans="1:10" x14ac:dyDescent="0.2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Jaime\QUIFA-CAJÚA\Cajua\[VAS_CAJUA_CF_SEC_20230125.xlsx]CF PRB'!</v>
      </c>
      <c r="G258" s="7" t="s">
        <v>47</v>
      </c>
      <c r="H258" s="4">
        <f t="shared" si="61"/>
        <v>64</v>
      </c>
      <c r="I258" s="4" t="str">
        <f t="shared" si="62"/>
        <v>='C:\Users\jaime.benazar\Quorum Business Solutions\Ecopetrol Prometeo - Documents\Planning Space Implementation\3. Analysis &amp; Design\Design\FC22\DRR Jaime\QUIFA-CAJÚA\Cajua\[VAS_CAJUA_CF_SEC_20230125.xlsx]CF PRB'!$AY$64</v>
      </c>
      <c r="J258" s="4" t="s">
        <v>268</v>
      </c>
    </row>
    <row r="259" spans="1:10" x14ac:dyDescent="0.2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Jaime\QUIFA-CAJÚA\Cajua\[VAS_CAJUA_CF_SEC_20230125.xlsx]CF PRB'!</v>
      </c>
      <c r="G259" s="7" t="s">
        <v>47</v>
      </c>
      <c r="H259" s="4">
        <f t="shared" si="61"/>
        <v>65</v>
      </c>
      <c r="I259" s="4" t="str">
        <f t="shared" si="62"/>
        <v>='C:\Users\jaime.benazar\Quorum Business Solutions\Ecopetrol Prometeo - Documents\Planning Space Implementation\3. Analysis &amp; Design\Design\FC22\DRR Jaime\QUIFA-CAJÚA\Cajua\[VAS_CAJUA_CF_SEC_20230125.xlsx]CF PRB'!$AY$65</v>
      </c>
      <c r="J259" s="4" t="s">
        <v>269</v>
      </c>
    </row>
    <row r="260" spans="1:10" x14ac:dyDescent="0.2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Jaime\QUIFA-CAJÚA\Cajua\[VAS_CAJUA_CF_SEC_20230125.xlsx]CF PRB'!</v>
      </c>
      <c r="G260" s="7" t="s">
        <v>47</v>
      </c>
      <c r="H260" s="4">
        <f t="shared" si="61"/>
        <v>66</v>
      </c>
      <c r="I260" s="4" t="str">
        <f t="shared" si="62"/>
        <v>='C:\Users\jaime.benazar\Quorum Business Solutions\Ecopetrol Prometeo - Documents\Planning Space Implementation\3. Analysis &amp; Design\Design\FC22\DRR Jaime\QUIFA-CAJÚA\Cajua\[VAS_CAJUA_CF_SEC_20230125.xlsx]CF PRB'!$AY$66</v>
      </c>
      <c r="J260" s="4" t="s">
        <v>270</v>
      </c>
    </row>
    <row r="261" spans="1:10" x14ac:dyDescent="0.2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Jaime\QUIFA-CAJÚA\Cajua\[VAS_CAJUA_CF_SEC_20230125.xlsx]CF PRB'!</v>
      </c>
      <c r="G261" s="7" t="s">
        <v>47</v>
      </c>
      <c r="H261" s="4">
        <f t="shared" si="61"/>
        <v>67</v>
      </c>
      <c r="I261" s="4" t="str">
        <f t="shared" si="62"/>
        <v>='C:\Users\jaime.benazar\Quorum Business Solutions\Ecopetrol Prometeo - Documents\Planning Space Implementation\3. Analysis &amp; Design\Design\FC22\DRR Jaime\QUIFA-CAJÚA\Cajua\[VAS_CAJUA_CF_SEC_20230125.xlsx]CF PRB'!$AY$67</v>
      </c>
      <c r="J261" s="4" t="s">
        <v>271</v>
      </c>
    </row>
    <row r="262" spans="1:10" x14ac:dyDescent="0.2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Jaime\QUIFA-CAJÚA\Cajua\[VAS_CAJUA_CF_SEC_20230125.xlsx]CF PRB'!</v>
      </c>
      <c r="G262" s="7" t="s">
        <v>47</v>
      </c>
      <c r="H262" s="4">
        <f t="shared" si="61"/>
        <v>68</v>
      </c>
      <c r="I262" s="4" t="str">
        <f t="shared" si="62"/>
        <v>='C:\Users\jaime.benazar\Quorum Business Solutions\Ecopetrol Prometeo - Documents\Planning Space Implementation\3. Analysis &amp; Design\Design\FC22\DRR Jaime\QUIFA-CAJÚA\Cajua\[VAS_CAJUA_CF_SEC_20230125.xlsx]CF PRB'!$AY$68</v>
      </c>
      <c r="J262" s="4" t="s">
        <v>272</v>
      </c>
    </row>
    <row r="263" spans="1:10" x14ac:dyDescent="0.2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Jaime\QUIFA-CAJÚA\Cajua\[VAS_CAJUA_CF_SEC_20230125.xlsx]CF PRB'!</v>
      </c>
      <c r="G263" s="7" t="s">
        <v>47</v>
      </c>
      <c r="H263" s="4">
        <f t="shared" si="61"/>
        <v>69</v>
      </c>
      <c r="I263" s="4" t="str">
        <f t="shared" si="62"/>
        <v>='C:\Users\jaime.benazar\Quorum Business Solutions\Ecopetrol Prometeo - Documents\Planning Space Implementation\3. Analysis &amp; Design\Design\FC22\DRR Jaime\QUIFA-CAJÚA\Cajua\[VAS_CAJUA_CF_SEC_20230125.xlsx]CF PRB'!$AY$69</v>
      </c>
      <c r="J263" s="4" t="s">
        <v>273</v>
      </c>
    </row>
    <row r="264" spans="1:10" x14ac:dyDescent="0.2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Jaime\QUIFA-CAJÚA\Cajua\[VAS_CAJUA_CF_SEC_20230125.xlsx]CF PRB'!</v>
      </c>
      <c r="G264" s="7" t="s">
        <v>47</v>
      </c>
      <c r="H264" s="4">
        <f t="shared" si="61"/>
        <v>70</v>
      </c>
      <c r="I264" s="4" t="str">
        <f t="shared" si="62"/>
        <v>='C:\Users\jaime.benazar\Quorum Business Solutions\Ecopetrol Prometeo - Documents\Planning Space Implementation\3. Analysis &amp; Design\Design\FC22\DRR Jaime\QUIFA-CAJÚA\Cajua\[VAS_CAJUA_CF_SEC_20230125.xlsx]CF PRB'!$AY$70</v>
      </c>
      <c r="J264" s="4" t="s">
        <v>274</v>
      </c>
    </row>
    <row r="265" spans="1:10" x14ac:dyDescent="0.2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Jaime\QUIFA-CAJÚA\Cajua\[VAS_CAJUA_CF_SEC_20230125.xlsx]CF PRB'!</v>
      </c>
      <c r="G265" s="7" t="s">
        <v>47</v>
      </c>
      <c r="H265" s="4">
        <f t="shared" si="61"/>
        <v>71</v>
      </c>
      <c r="I265" s="4" t="str">
        <f t="shared" si="62"/>
        <v>='C:\Users\jaime.benazar\Quorum Business Solutions\Ecopetrol Prometeo - Documents\Planning Space Implementation\3. Analysis &amp; Design\Design\FC22\DRR Jaime\QUIFA-CAJÚA\Cajua\[VAS_CAJUA_CF_SEC_20230125.xlsx]CF PRB'!$AY$71</v>
      </c>
      <c r="J265" s="4" t="s">
        <v>275</v>
      </c>
    </row>
    <row r="266" spans="1:10" x14ac:dyDescent="0.2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Jaime\QUIFA-CAJÚA\Cajua\[VAS_CAJUA_CF_SEC_20230125.xlsx]CF PRB'!</v>
      </c>
      <c r="G266" s="7" t="s">
        <v>47</v>
      </c>
      <c r="H266" s="4">
        <f t="shared" si="61"/>
        <v>72</v>
      </c>
      <c r="I266" s="4" t="str">
        <f t="shared" si="62"/>
        <v>='C:\Users\jaime.benazar\Quorum Business Solutions\Ecopetrol Prometeo - Documents\Planning Space Implementation\3. Analysis &amp; Design\Design\FC22\DRR Jaime\QUIFA-CAJÚA\Cajua\[VAS_CAJUA_CF_SEC_20230125.xlsx]CF PRB'!$AY$72</v>
      </c>
      <c r="J266" s="4" t="s">
        <v>276</v>
      </c>
    </row>
    <row r="267" spans="1:10" x14ac:dyDescent="0.25">
      <c r="A267" s="7" t="s">
        <v>28</v>
      </c>
      <c r="B267" s="7"/>
      <c r="C267" s="4" t="s">
        <v>51</v>
      </c>
      <c r="D267" s="5"/>
      <c r="E267" s="10"/>
      <c r="F267" s="5" t="str">
        <f t="shared" si="48"/>
        <v xml:space="preserve"> </v>
      </c>
      <c r="G267" s="7"/>
      <c r="H267" s="4"/>
      <c r="I267" s="4"/>
      <c r="J267" s="4"/>
    </row>
    <row r="268" spans="1:10" x14ac:dyDescent="0.2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Jaime\QUIFA-CAJÚA\Cajua\[VAS_CAJUA_CF_SEC_20230125.xlsx]CF PSDP'!</v>
      </c>
      <c r="G268" s="7" t="s">
        <v>47</v>
      </c>
      <c r="H268" s="4"/>
      <c r="I268" s="4"/>
      <c r="J268" s="4"/>
    </row>
    <row r="269" spans="1:10" x14ac:dyDescent="0.2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Jaime\QUIFA-CAJÚA\Cajua\[VAS_CAJUA_CF_SEC_20230125.xlsx]CF PSDP'!</v>
      </c>
      <c r="G269" s="7" t="s">
        <v>47</v>
      </c>
      <c r="H269" s="4"/>
      <c r="I269" s="4"/>
      <c r="J269" s="4"/>
    </row>
    <row r="270" spans="1:10" x14ac:dyDescent="0.2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Jaime\QUIFA-CAJÚA\Cajua\[VAS_CAJUA_CF_SEC_20230125.xlsx]CF PSDP'!</v>
      </c>
      <c r="G270" s="7" t="s">
        <v>47</v>
      </c>
      <c r="H270" s="4"/>
      <c r="I270" s="4"/>
      <c r="J270" s="4"/>
    </row>
    <row r="271" spans="1:10" x14ac:dyDescent="0.2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Jaime\QUIFA-CAJÚA\Cajua\[VAS_CAJUA_CF_SEC_20230125.xlsx]CF PSDP'!</v>
      </c>
      <c r="G271" s="7" t="s">
        <v>47</v>
      </c>
      <c r="H271" s="4"/>
      <c r="I271" s="4"/>
      <c r="J271" s="4"/>
    </row>
    <row r="272" spans="1:10" x14ac:dyDescent="0.2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Jaime\QUIFA-CAJÚA\Cajua\[VAS_CAJUA_CF_SEC_20230125.xlsx]CF PSDP'!</v>
      </c>
      <c r="G272" s="7" t="s">
        <v>47</v>
      </c>
      <c r="H272" s="4"/>
      <c r="I272" s="4"/>
      <c r="J272" s="4"/>
    </row>
    <row r="273" spans="1:10" x14ac:dyDescent="0.2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Jaime\QUIFA-CAJÚA\Cajua\[VAS_CAJUA_CF_SEC_20230125.xlsx]CF PSDP'!</v>
      </c>
      <c r="G273" s="7" t="s">
        <v>47</v>
      </c>
      <c r="H273" s="4"/>
      <c r="I273" s="4"/>
      <c r="J273" s="4"/>
    </row>
    <row r="274" spans="1:10" x14ac:dyDescent="0.2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Jaime\QUIFA-CAJÚA\Cajua\[VAS_CAJUA_CF_SEC_20230125.xlsx]CF PSDP'!</v>
      </c>
      <c r="G274" s="7" t="s">
        <v>47</v>
      </c>
      <c r="H274" s="4"/>
      <c r="I274" s="4"/>
      <c r="J274" s="4"/>
    </row>
    <row r="275" spans="1:10" x14ac:dyDescent="0.2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Jaime\QUIFA-CAJÚA\Cajua\[VAS_CAJUA_CF_SEC_20230125.xlsx]CF PSDP'!</v>
      </c>
      <c r="G275" s="7" t="s">
        <v>47</v>
      </c>
      <c r="H275" s="4"/>
      <c r="I275" s="4"/>
      <c r="J275" s="4"/>
    </row>
    <row r="276" spans="1:10" x14ac:dyDescent="0.2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Jaime\QUIFA-CAJÚA\Cajua\[VAS_CAJUA_CF_SEC_20230125.xlsx]CF PSDP'!</v>
      </c>
      <c r="G276" s="7" t="s">
        <v>47</v>
      </c>
      <c r="H276" s="4"/>
      <c r="I276" s="4"/>
      <c r="J276" s="4"/>
    </row>
    <row r="277" spans="1:10" x14ac:dyDescent="0.2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Jaime\QUIFA-CAJÚA\Cajua\[VAS_CAJUA_CF_SEC_20230125.xlsx]CF PSDP'!</v>
      </c>
      <c r="G277" s="7" t="s">
        <v>47</v>
      </c>
      <c r="H277" s="4"/>
      <c r="I277" s="4"/>
      <c r="J277" s="4"/>
    </row>
    <row r="278" spans="1:10" x14ac:dyDescent="0.2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Jaime\QUIFA-CAJÚA\Cajua\[VAS_CAJUA_CF_SEC_20230125.xlsx]CF PSDP'!</v>
      </c>
      <c r="G278" s="7" t="s">
        <v>47</v>
      </c>
      <c r="H278" s="4"/>
      <c r="I278" s="4"/>
      <c r="J278" s="4"/>
    </row>
    <row r="279" spans="1:10" x14ac:dyDescent="0.2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Jaime\QUIFA-CAJÚA\Cajua\[VAS_CAJUA_CF_SEC_20230125.xlsx]CF PSDP'!</v>
      </c>
      <c r="G279" s="7" t="s">
        <v>47</v>
      </c>
      <c r="H279" s="4"/>
      <c r="I279" s="4"/>
      <c r="J279" s="4"/>
    </row>
    <row r="280" spans="1:10" x14ac:dyDescent="0.2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Jaime\QUIFA-CAJÚA\Cajua\[VAS_CAJUA_CF_SEC_20230125.xlsx]CF PSDP'!</v>
      </c>
      <c r="G280" s="7" t="s">
        <v>47</v>
      </c>
      <c r="H280" s="4"/>
      <c r="I280" s="4"/>
      <c r="J280" s="4"/>
    </row>
    <row r="281" spans="1:10" x14ac:dyDescent="0.2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Jaime\QUIFA-CAJÚA\Cajua\[VAS_CAJUA_CF_SEC_20230125.xlsx]CF PSDP'!</v>
      </c>
      <c r="G281" s="7" t="s">
        <v>47</v>
      </c>
      <c r="H281" s="4"/>
      <c r="I281" s="4"/>
      <c r="J281" s="4"/>
    </row>
    <row r="282" spans="1:10" x14ac:dyDescent="0.2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Jaime\QUIFA-CAJÚA\Cajua\[VAS_CAJUA_CF_SEC_20230125.xlsx]CF PSDP'!</v>
      </c>
      <c r="G282" s="7" t="s">
        <v>47</v>
      </c>
      <c r="H282" s="4"/>
      <c r="I282" s="4"/>
      <c r="J282" s="4"/>
    </row>
    <row r="283" spans="1:10" x14ac:dyDescent="0.2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Jaime\QUIFA-CAJÚA\Cajua\[VAS_CAJUA_CF_SEC_20230125.xlsx]CF PSDP'!</v>
      </c>
      <c r="G283" s="7" t="s">
        <v>47</v>
      </c>
      <c r="H283" s="4"/>
      <c r="I283" s="4"/>
      <c r="J283" s="4"/>
    </row>
    <row r="284" spans="1:10" x14ac:dyDescent="0.2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Jaime\QUIFA-CAJÚA\Cajua\[VAS_CAJUA_CF_SEC_20230125.xlsx]CF PSDP'!</v>
      </c>
      <c r="G284" s="7" t="s">
        <v>47</v>
      </c>
      <c r="H284" s="4"/>
      <c r="I284" s="4"/>
      <c r="J284" s="4"/>
    </row>
    <row r="285" spans="1:10" x14ac:dyDescent="0.2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Jaime\QUIFA-CAJÚA\Cajua\[VAS_CAJUA_CF_SEC_20230125.xlsx]CF PSDP'!</v>
      </c>
      <c r="G285" s="7" t="s">
        <v>47</v>
      </c>
      <c r="H285" s="4"/>
      <c r="I285" s="4"/>
      <c r="J285" s="4"/>
    </row>
    <row r="286" spans="1:10" x14ac:dyDescent="0.2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Jaime\QUIFA-CAJÚA\Cajua\[VAS_CAJUA_CF_SEC_20230125.xlsx]CF PSDP'!</v>
      </c>
      <c r="G286" s="7" t="s">
        <v>47</v>
      </c>
      <c r="H286" s="4"/>
      <c r="I286" s="4"/>
      <c r="J286" s="4"/>
    </row>
    <row r="287" spans="1:10" x14ac:dyDescent="0.2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Jaime\QUIFA-CAJÚA\Cajua\[VAS_CAJUA_CF_SEC_20230125.xlsx]CF PSDP'!</v>
      </c>
      <c r="G287" s="7" t="s">
        <v>47</v>
      </c>
      <c r="H287" s="4"/>
      <c r="I287" s="4"/>
      <c r="J287" s="4"/>
    </row>
    <row r="288" spans="1:10" x14ac:dyDescent="0.2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Jaime\QUIFA-CAJÚA\Cajua\[VAS_CAJUA_CF_SEC_20230125.xlsx]CF PSDP'!</v>
      </c>
      <c r="G288" s="7" t="s">
        <v>47</v>
      </c>
      <c r="H288" s="4"/>
      <c r="I288" s="4"/>
      <c r="J288" s="4"/>
    </row>
    <row r="289" spans="1:10" x14ac:dyDescent="0.2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Jaime\QUIFA-CAJÚA\Cajua\[VAS_CAJUA_CF_SEC_20230125.xlsx]CF PSDP'!</v>
      </c>
      <c r="G289" s="7" t="s">
        <v>47</v>
      </c>
      <c r="H289" s="4"/>
      <c r="I289" s="4"/>
      <c r="J289" s="4"/>
    </row>
    <row r="290" spans="1:10" x14ac:dyDescent="0.2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Jaime\QUIFA-CAJÚA\Cajua\[VAS_CAJUA_CF_SEC_20230125.xlsx]CF PSDP'!</v>
      </c>
      <c r="G290" s="7" t="s">
        <v>47</v>
      </c>
      <c r="H290" s="4"/>
      <c r="I290" s="4"/>
      <c r="J290" s="4"/>
    </row>
    <row r="291" spans="1:10" x14ac:dyDescent="0.2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Jaime\QUIFA-CAJÚA\Cajua\[VAS_CAJUA_CF_SEC_20230125.xlsx]CF PSDP'!</v>
      </c>
      <c r="G291" s="7" t="s">
        <v>47</v>
      </c>
      <c r="H291" s="4"/>
      <c r="I291" s="4"/>
      <c r="J291" s="4"/>
    </row>
    <row r="292" spans="1:10" x14ac:dyDescent="0.2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Jaime\QUIFA-CAJÚA\Cajua\[VAS_CAJUA_CF_SEC_20230125.xlsx]CF PSDP'!</v>
      </c>
      <c r="G292" s="7" t="s">
        <v>47</v>
      </c>
      <c r="H292" s="4"/>
      <c r="I292" s="4"/>
      <c r="J292" s="4"/>
    </row>
    <row r="293" spans="1:10" x14ac:dyDescent="0.2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Jaime\QUIFA-CAJÚA\Cajua\[VAS_CAJUA_CF_SEC_20230125.xlsx]CF PSDP'!</v>
      </c>
      <c r="G293" s="7" t="s">
        <v>47</v>
      </c>
      <c r="H293" s="4"/>
      <c r="I293" s="4"/>
      <c r="J293" s="4"/>
    </row>
    <row r="294" spans="1:10" x14ac:dyDescent="0.2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Jaime\QUIFA-CAJÚA\Cajua\[VAS_CAJUA_CF_SEC_20230125.xlsx]CF PSDP'!</v>
      </c>
      <c r="G294" s="7" t="s">
        <v>47</v>
      </c>
      <c r="H294" s="4"/>
      <c r="I294" s="4"/>
      <c r="J294" s="4"/>
    </row>
    <row r="295" spans="1:10" x14ac:dyDescent="0.2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Jaime\QUIFA-CAJÚA\Cajua\[VAS_CAJUA_CF_SEC_20230125.xlsx]CF PSDP'!</v>
      </c>
      <c r="G295" s="7" t="s">
        <v>47</v>
      </c>
      <c r="H295" s="4"/>
      <c r="I295" s="4"/>
      <c r="J295" s="4"/>
    </row>
    <row r="296" spans="1:10" x14ac:dyDescent="0.2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Jaime\QUIFA-CAJÚA\Cajua\[VAS_CAJUA_CF_SEC_20230125.xlsx]CF PSDP'!</v>
      </c>
      <c r="G296" s="7" t="s">
        <v>47</v>
      </c>
      <c r="H296" s="4"/>
      <c r="I296" s="4"/>
      <c r="J296" s="4"/>
    </row>
    <row r="297" spans="1:10" x14ac:dyDescent="0.2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Jaime\QUIFA-CAJÚA\Cajua\[VAS_CAJUA_CF_SEC_20230125.xlsx]CF PSDP'!</v>
      </c>
      <c r="G297" s="7" t="s">
        <v>47</v>
      </c>
      <c r="H297" s="4"/>
      <c r="I297" s="4"/>
      <c r="J297" s="4"/>
    </row>
    <row r="298" spans="1:10" x14ac:dyDescent="0.2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Jaime\QUIFA-CAJÚA\Cajua\[VAS_CAJUA_CF_SEC_20230125.xlsx]CF PSDP'!</v>
      </c>
      <c r="G298" s="7" t="s">
        <v>47</v>
      </c>
      <c r="H298" s="4"/>
      <c r="I298" s="4"/>
      <c r="J298" s="4"/>
    </row>
    <row r="299" spans="1:10" x14ac:dyDescent="0.2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Jaime\QUIFA-CAJÚA\Cajua\[VAS_CAJUA_CF_SEC_20230125.xlsx]CF PSDP'!</v>
      </c>
      <c r="G299" s="7" t="s">
        <v>47</v>
      </c>
      <c r="H299" s="4"/>
      <c r="I299" s="4"/>
      <c r="J299" s="4"/>
    </row>
    <row r="300" spans="1:10" x14ac:dyDescent="0.2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Jaime\QUIFA-CAJÚA\Cajua\[VAS_CAJUA_CF_SEC_20230125.xlsx]CF PSDP'!</v>
      </c>
      <c r="G300" s="7" t="s">
        <v>47</v>
      </c>
      <c r="H300" s="4"/>
      <c r="I300" s="4"/>
      <c r="J300" s="4"/>
    </row>
    <row r="301" spans="1:10" x14ac:dyDescent="0.2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Jaime\QUIFA-CAJÚA\Cajua\[VAS_CAJUA_CF_SEC_20230125.xlsx]CF PSDP'!</v>
      </c>
      <c r="G301" s="7" t="s">
        <v>47</v>
      </c>
      <c r="H301" s="4"/>
      <c r="I301" s="4"/>
      <c r="J301" s="4"/>
    </row>
    <row r="302" spans="1:10" x14ac:dyDescent="0.2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Jaime\QUIFA-CAJÚA\Cajua\[VAS_CAJUA_CF_SEC_20230125.xlsx]CF PSDP'!</v>
      </c>
      <c r="G302" s="7" t="s">
        <v>47</v>
      </c>
      <c r="H302" s="4"/>
      <c r="I302" s="4"/>
      <c r="J302" s="4"/>
    </row>
    <row r="303" spans="1:10" x14ac:dyDescent="0.2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Jaime\QUIFA-CAJÚA\Cajua\[VAS_CAJUA_CF_SEC_20230125.xlsx]CF PSDP'!</v>
      </c>
      <c r="G303" s="7" t="s">
        <v>47</v>
      </c>
      <c r="H303" s="4"/>
      <c r="I303" s="4"/>
      <c r="J303" s="4"/>
    </row>
    <row r="304" spans="1:10" x14ac:dyDescent="0.2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Jaime\QUIFA-CAJÚA\Cajua\[VAS_CAJUA_CF_SEC_20230125.xlsx]CF PSDP'!</v>
      </c>
      <c r="G304" s="7" t="s">
        <v>47</v>
      </c>
      <c r="H304" s="4"/>
      <c r="I304" s="4"/>
      <c r="J304" s="4"/>
    </row>
    <row r="305" spans="1:10" x14ac:dyDescent="0.25">
      <c r="A305" s="7" t="s">
        <v>28</v>
      </c>
      <c r="B305" s="7"/>
      <c r="C305" s="4" t="s">
        <v>51</v>
      </c>
      <c r="D305" s="5"/>
      <c r="E305" s="10"/>
      <c r="F305" s="5" t="str">
        <f t="shared" si="48"/>
        <v xml:space="preserve"> </v>
      </c>
      <c r="G305" s="7"/>
      <c r="H305" s="4"/>
      <c r="I305" s="4"/>
      <c r="J305" s="4"/>
    </row>
    <row r="306" spans="1:10" x14ac:dyDescent="0.2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Jaime\QUIFA-CAJÚA\Cajua\[VAS_CAJUA_CF_SEC_20230125.xlsx]CF PSNP'!</v>
      </c>
      <c r="G306" s="7" t="s">
        <v>47</v>
      </c>
      <c r="H306" s="4"/>
      <c r="I306" s="4"/>
      <c r="J306" s="4"/>
    </row>
    <row r="307" spans="1:10" x14ac:dyDescent="0.2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Jaime\QUIFA-CAJÚA\Cajua\[VAS_CAJUA_CF_SEC_20230125.xlsx]CF PSNP'!</v>
      </c>
      <c r="G307" s="7" t="s">
        <v>47</v>
      </c>
      <c r="H307" s="4"/>
      <c r="I307" s="4"/>
      <c r="J307" s="4"/>
    </row>
    <row r="308" spans="1:10" x14ac:dyDescent="0.2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Jaime\QUIFA-CAJÚA\Cajua\[VAS_CAJUA_CF_SEC_20230125.xlsx]CF PSNP'!</v>
      </c>
      <c r="G308" s="7" t="s">
        <v>47</v>
      </c>
      <c r="H308" s="4"/>
      <c r="I308" s="4"/>
      <c r="J308" s="4"/>
    </row>
    <row r="309" spans="1:10" x14ac:dyDescent="0.2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Jaime\QUIFA-CAJÚA\Cajua\[VAS_CAJUA_CF_SEC_20230125.xlsx]CF PSNP'!</v>
      </c>
      <c r="G309" s="7" t="s">
        <v>47</v>
      </c>
      <c r="H309" s="4"/>
      <c r="I309" s="4"/>
      <c r="J309" s="4"/>
    </row>
    <row r="310" spans="1:10" x14ac:dyDescent="0.2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Jaime\QUIFA-CAJÚA\Cajua\[VAS_CAJUA_CF_SEC_20230125.xlsx]CF PSNP'!</v>
      </c>
      <c r="G310" s="7" t="s">
        <v>47</v>
      </c>
      <c r="H310" s="4"/>
      <c r="I310" s="4"/>
      <c r="J310" s="4"/>
    </row>
    <row r="311" spans="1:10" x14ac:dyDescent="0.2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Jaime\QUIFA-CAJÚA\Cajua\[VAS_CAJUA_CF_SEC_20230125.xlsx]CF PSNP'!</v>
      </c>
      <c r="G311" s="7" t="s">
        <v>47</v>
      </c>
      <c r="H311" s="4"/>
      <c r="I311" s="4"/>
      <c r="J311" s="4"/>
    </row>
    <row r="312" spans="1:10" x14ac:dyDescent="0.2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Jaime\QUIFA-CAJÚA\Cajua\[VAS_CAJUA_CF_SEC_20230125.xlsx]CF PSNP'!</v>
      </c>
      <c r="G312" s="7" t="s">
        <v>47</v>
      </c>
      <c r="H312" s="4"/>
      <c r="I312" s="4"/>
      <c r="J312" s="4"/>
    </row>
    <row r="313" spans="1:10" x14ac:dyDescent="0.2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Jaime\QUIFA-CAJÚA\Cajua\[VAS_CAJUA_CF_SEC_20230125.xlsx]CF PSNP'!</v>
      </c>
      <c r="G313" s="7" t="s">
        <v>47</v>
      </c>
      <c r="H313" s="4"/>
      <c r="I313" s="4"/>
      <c r="J313" s="4"/>
    </row>
    <row r="314" spans="1:10" x14ac:dyDescent="0.2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Jaime\QUIFA-CAJÚA\Cajua\[VAS_CAJUA_CF_SEC_20230125.xlsx]CF PSNP'!</v>
      </c>
      <c r="G314" s="7" t="s">
        <v>47</v>
      </c>
      <c r="H314" s="4"/>
      <c r="I314" s="4"/>
      <c r="J314" s="4"/>
    </row>
    <row r="315" spans="1:10" x14ac:dyDescent="0.2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Jaime\QUIFA-CAJÚA\Cajua\[VAS_CAJUA_CF_SEC_20230125.xlsx]CF PSNP'!</v>
      </c>
      <c r="G315" s="7" t="s">
        <v>47</v>
      </c>
      <c r="H315" s="4"/>
      <c r="I315" s="4"/>
      <c r="J315" s="4"/>
    </row>
    <row r="316" spans="1:10" x14ac:dyDescent="0.2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Jaime\QUIFA-CAJÚA\Cajua\[VAS_CAJUA_CF_SEC_20230125.xlsx]CF PSNP'!</v>
      </c>
      <c r="G316" s="7" t="s">
        <v>47</v>
      </c>
      <c r="H316" s="4"/>
      <c r="I316" s="4"/>
      <c r="J316" s="4"/>
    </row>
    <row r="317" spans="1:10" x14ac:dyDescent="0.2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Jaime\QUIFA-CAJÚA\Cajua\[VAS_CAJUA_CF_SEC_20230125.xlsx]CF PSNP'!</v>
      </c>
      <c r="G317" s="7" t="s">
        <v>47</v>
      </c>
      <c r="H317" s="4"/>
      <c r="I317" s="4"/>
      <c r="J317" s="4"/>
    </row>
    <row r="318" spans="1:10" x14ac:dyDescent="0.2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Jaime\QUIFA-CAJÚA\Cajua\[VAS_CAJUA_CF_SEC_20230125.xlsx]CF PSNP'!</v>
      </c>
      <c r="G318" s="7" t="s">
        <v>47</v>
      </c>
      <c r="H318" s="4"/>
      <c r="I318" s="4"/>
      <c r="J318" s="4"/>
    </row>
    <row r="319" spans="1:10" x14ac:dyDescent="0.2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Jaime\QUIFA-CAJÚA\Cajua\[VAS_CAJUA_CF_SEC_20230125.xlsx]CF PSNP'!</v>
      </c>
      <c r="G319" s="7" t="s">
        <v>47</v>
      </c>
      <c r="H319" s="4"/>
      <c r="I319" s="4"/>
      <c r="J319" s="4"/>
    </row>
    <row r="320" spans="1:10" x14ac:dyDescent="0.2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Jaime\QUIFA-CAJÚA\Cajua\[VAS_CAJUA_CF_SEC_20230125.xlsx]CF PSNP'!</v>
      </c>
      <c r="G320" s="7" t="s">
        <v>47</v>
      </c>
      <c r="H320" s="4"/>
      <c r="I320" s="4"/>
      <c r="J320" s="4"/>
    </row>
    <row r="321" spans="1:10" x14ac:dyDescent="0.2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Jaime\QUIFA-CAJÚA\Cajua\[VAS_CAJUA_CF_SEC_20230125.xlsx]CF PSNP'!</v>
      </c>
      <c r="G321" s="7" t="s">
        <v>47</v>
      </c>
      <c r="H321" s="4"/>
      <c r="I321" s="4"/>
      <c r="J321" s="4"/>
    </row>
    <row r="322" spans="1:10" x14ac:dyDescent="0.2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Jaime\QUIFA-CAJÚA\Cajua\[VAS_CAJUA_CF_SEC_20230125.xlsx]CF PSNP'!</v>
      </c>
      <c r="G322" s="7" t="s">
        <v>47</v>
      </c>
      <c r="H322" s="4"/>
      <c r="I322" s="4"/>
      <c r="J322" s="4"/>
    </row>
    <row r="323" spans="1:10" x14ac:dyDescent="0.2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Jaime\QUIFA-CAJÚA\Cajua\[VAS_CAJUA_CF_SEC_20230125.xlsx]CF PSNP'!</v>
      </c>
      <c r="G323" s="7" t="s">
        <v>47</v>
      </c>
      <c r="H323" s="4"/>
      <c r="I323" s="4"/>
      <c r="J323" s="4"/>
    </row>
    <row r="324" spans="1:10" x14ac:dyDescent="0.2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Jaime\QUIFA-CAJÚA\Cajua\[VAS_CAJUA_CF_SEC_20230125.xlsx]CF PSNP'!</v>
      </c>
      <c r="G324" s="7" t="s">
        <v>47</v>
      </c>
      <c r="H324" s="4"/>
      <c r="I324" s="4"/>
      <c r="J324" s="4"/>
    </row>
    <row r="325" spans="1:10" x14ac:dyDescent="0.2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Jaime\QUIFA-CAJÚA\Cajua\[VAS_CAJUA_CF_SEC_20230125.xlsx]CF PSNP'!</v>
      </c>
      <c r="G325" s="7" t="s">
        <v>47</v>
      </c>
      <c r="H325" s="4"/>
      <c r="I325" s="4"/>
      <c r="J325" s="4"/>
    </row>
    <row r="326" spans="1:10" x14ac:dyDescent="0.2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Jaime\QUIFA-CAJÚA\Cajua\[VAS_CAJUA_CF_SEC_20230125.xlsx]CF PSNP'!</v>
      </c>
      <c r="G326" s="7" t="s">
        <v>47</v>
      </c>
      <c r="H326" s="4"/>
      <c r="I326" s="4"/>
      <c r="J326" s="4"/>
    </row>
    <row r="327" spans="1:10" x14ac:dyDescent="0.2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Jaime\QUIFA-CAJÚA\Cajua\[VAS_CAJUA_CF_SEC_20230125.xlsx]CF PSNP'!</v>
      </c>
      <c r="G327" s="7" t="s">
        <v>47</v>
      </c>
      <c r="H327" s="4"/>
      <c r="I327" s="4"/>
      <c r="J327" s="4"/>
    </row>
    <row r="328" spans="1:10" x14ac:dyDescent="0.2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Jaime\QUIFA-CAJÚA\Cajua\[VAS_CAJUA_CF_SEC_20230125.xlsx]CF PSNP'!</v>
      </c>
      <c r="G328" s="7" t="s">
        <v>47</v>
      </c>
      <c r="H328" s="4"/>
      <c r="I328" s="4"/>
      <c r="J328" s="4"/>
    </row>
    <row r="329" spans="1:10" x14ac:dyDescent="0.2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Jaime\QUIFA-CAJÚA\Cajua\[VAS_CAJUA_CF_SEC_20230125.xlsx]CF PSNP'!</v>
      </c>
      <c r="G329" s="7" t="s">
        <v>47</v>
      </c>
      <c r="H329" s="4"/>
      <c r="I329" s="4"/>
      <c r="J329" s="4"/>
    </row>
    <row r="330" spans="1:10" x14ac:dyDescent="0.2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Jaime\QUIFA-CAJÚA\Cajua\[VAS_CAJUA_CF_SEC_20230125.xlsx]CF PSNP'!</v>
      </c>
      <c r="G330" s="7" t="s">
        <v>47</v>
      </c>
      <c r="H330" s="4"/>
      <c r="I330" s="4"/>
      <c r="J330" s="4"/>
    </row>
    <row r="331" spans="1:10" x14ac:dyDescent="0.2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Jaime\QUIFA-CAJÚA\Cajua\[VAS_CAJUA_CF_SEC_20230125.xlsx]CF PSNP'!</v>
      </c>
      <c r="G331" s="7" t="s">
        <v>47</v>
      </c>
      <c r="H331" s="4"/>
      <c r="I331" s="4"/>
      <c r="J331" s="4"/>
    </row>
    <row r="332" spans="1:10" x14ac:dyDescent="0.2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Jaime\QUIFA-CAJÚA\Cajua\[VAS_CAJUA_CF_SEC_20230125.xlsx]CF PSNP'!</v>
      </c>
      <c r="G332" s="7" t="s">
        <v>47</v>
      </c>
      <c r="H332" s="4"/>
      <c r="I332" s="4"/>
      <c r="J332" s="4"/>
    </row>
    <row r="333" spans="1:10" x14ac:dyDescent="0.2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Jaime\QUIFA-CAJÚA\Cajua\[VAS_CAJUA_CF_SEC_20230125.xlsx]CF PSNP'!</v>
      </c>
      <c r="G333" s="7" t="s">
        <v>47</v>
      </c>
      <c r="H333" s="4"/>
      <c r="I333" s="4"/>
      <c r="J333" s="4"/>
    </row>
    <row r="334" spans="1:10" x14ac:dyDescent="0.2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Jaime\QUIFA-CAJÚA\Cajua\[VAS_CAJUA_CF_SEC_20230125.xlsx]CF PSNP'!</v>
      </c>
      <c r="G334" s="7" t="s">
        <v>47</v>
      </c>
      <c r="H334" s="4"/>
      <c r="I334" s="4"/>
      <c r="J334" s="4"/>
    </row>
    <row r="335" spans="1:10" x14ac:dyDescent="0.2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Jaime\QUIFA-CAJÚA\Cajua\[VAS_CAJUA_CF_SEC_20230125.xlsx]CF PSNP'!</v>
      </c>
      <c r="G335" s="7" t="s">
        <v>47</v>
      </c>
      <c r="H335" s="4"/>
      <c r="I335" s="4"/>
      <c r="J335" s="4"/>
    </row>
    <row r="336" spans="1:10" x14ac:dyDescent="0.2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Jaime\QUIFA-CAJÚA\Cajua\[VAS_CAJUA_CF_SEC_20230125.xlsx]CF PSNP'!</v>
      </c>
      <c r="G336" s="7" t="s">
        <v>47</v>
      </c>
      <c r="H336" s="4"/>
      <c r="I336" s="4"/>
      <c r="J336" s="4"/>
    </row>
    <row r="337" spans="1:10" x14ac:dyDescent="0.2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Jaime\QUIFA-CAJÚA\Cajua\[VAS_CAJUA_CF_SEC_20230125.xlsx]CF PSNP'!</v>
      </c>
      <c r="G337" s="7" t="s">
        <v>47</v>
      </c>
      <c r="H337" s="4"/>
      <c r="I337" s="4"/>
      <c r="J337" s="4"/>
    </row>
    <row r="338" spans="1:10" x14ac:dyDescent="0.2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Jaime\QUIFA-CAJÚA\Cajua\[VAS_CAJUA_CF_SEC_20230125.xlsx]CF PSNP'!</v>
      </c>
      <c r="G338" s="7" t="s">
        <v>47</v>
      </c>
      <c r="H338" s="4"/>
      <c r="I338" s="4"/>
      <c r="J338" s="4"/>
    </row>
    <row r="339" spans="1:10" x14ac:dyDescent="0.2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Jaime\QUIFA-CAJÚA\Cajua\[VAS_CAJUA_CF_SEC_20230125.xlsx]CF PSNP'!</v>
      </c>
      <c r="G339" s="7" t="s">
        <v>47</v>
      </c>
      <c r="H339" s="4"/>
      <c r="I339" s="4"/>
      <c r="J339" s="4"/>
    </row>
    <row r="340" spans="1:10" x14ac:dyDescent="0.2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Jaime\QUIFA-CAJÚA\Cajua\[VAS_CAJUA_CF_SEC_20230125.xlsx]CF PSNP'!</v>
      </c>
      <c r="G340" s="7" t="s">
        <v>47</v>
      </c>
      <c r="H340" s="4"/>
      <c r="I340" s="4"/>
      <c r="J340" s="4"/>
    </row>
    <row r="341" spans="1:10" x14ac:dyDescent="0.2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Jaime\QUIFA-CAJÚA\Cajua\[VAS_CAJUA_CF_SEC_20230125.xlsx]CF PSNP'!</v>
      </c>
      <c r="G341" s="7" t="s">
        <v>47</v>
      </c>
      <c r="H341" s="4"/>
      <c r="I341" s="4"/>
      <c r="J341" s="4"/>
    </row>
    <row r="342" spans="1:10" x14ac:dyDescent="0.2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Jaime\QUIFA-CAJÚA\Cajua\[VAS_CAJUA_CF_SEC_20230125.xlsx]CF PSNP'!</v>
      </c>
      <c r="G342" s="7" t="s">
        <v>47</v>
      </c>
      <c r="H342" s="4"/>
      <c r="I342" s="4"/>
      <c r="J342" s="4"/>
    </row>
    <row r="343" spans="1:10" x14ac:dyDescent="0.25">
      <c r="A343" s="7" t="s">
        <v>28</v>
      </c>
      <c r="B343" s="7"/>
      <c r="C343" s="4" t="s">
        <v>51</v>
      </c>
      <c r="D343" s="5"/>
      <c r="E343" s="10"/>
      <c r="F343" s="5" t="str">
        <f t="shared" si="72"/>
        <v xml:space="preserve"> </v>
      </c>
      <c r="G343" s="7"/>
      <c r="H343" s="4"/>
      <c r="I343" s="4"/>
      <c r="J343" s="4"/>
    </row>
    <row r="344" spans="1:10" x14ac:dyDescent="0.2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Jaime\QUIFA-CAJÚA\Cajua\[VAS_CAJUA_CF_SEC_20230125.xlsx]CF PSND'!</v>
      </c>
      <c r="G344" s="7" t="s">
        <v>47</v>
      </c>
      <c r="H344" s="4"/>
      <c r="I344" s="4"/>
      <c r="J344" s="4"/>
    </row>
    <row r="345" spans="1:10" x14ac:dyDescent="0.2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Jaime\QUIFA-CAJÚA\Cajua\[VAS_CAJUA_CF_SEC_20230125.xlsx]CF PSND'!</v>
      </c>
      <c r="G345" s="7" t="s">
        <v>47</v>
      </c>
      <c r="H345" s="4"/>
      <c r="I345" s="4"/>
      <c r="J345" s="4"/>
    </row>
    <row r="346" spans="1:10" x14ac:dyDescent="0.2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Jaime\QUIFA-CAJÚA\Cajua\[VAS_CAJUA_CF_SEC_20230125.xlsx]CF PSND'!</v>
      </c>
      <c r="G346" s="7" t="s">
        <v>47</v>
      </c>
      <c r="H346" s="4"/>
      <c r="I346" s="4"/>
      <c r="J346" s="4"/>
    </row>
    <row r="347" spans="1:10" x14ac:dyDescent="0.2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Jaime\QUIFA-CAJÚA\Cajua\[VAS_CAJUA_CF_SEC_20230125.xlsx]CF PSND'!</v>
      </c>
      <c r="G347" s="7" t="s">
        <v>47</v>
      </c>
      <c r="H347" s="4"/>
      <c r="I347" s="4"/>
      <c r="J347" s="4"/>
    </row>
    <row r="348" spans="1:10" x14ac:dyDescent="0.2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Jaime\QUIFA-CAJÚA\Cajua\[VAS_CAJUA_CF_SEC_20230125.xlsx]CF PSND'!</v>
      </c>
      <c r="G348" s="7" t="s">
        <v>47</v>
      </c>
      <c r="H348" s="4"/>
      <c r="I348" s="4"/>
      <c r="J348" s="4"/>
    </row>
    <row r="349" spans="1:10" x14ac:dyDescent="0.2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Jaime\QUIFA-CAJÚA\Cajua\[VAS_CAJUA_CF_SEC_20230125.xlsx]CF PSND'!</v>
      </c>
      <c r="G349" s="7" t="s">
        <v>47</v>
      </c>
      <c r="H349" s="4"/>
      <c r="I349" s="4"/>
      <c r="J349" s="4"/>
    </row>
    <row r="350" spans="1:10" x14ac:dyDescent="0.2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Jaime\QUIFA-CAJÚA\Cajua\[VAS_CAJUA_CF_SEC_20230125.xlsx]CF PSND'!</v>
      </c>
      <c r="G350" s="7" t="s">
        <v>47</v>
      </c>
      <c r="H350" s="4"/>
      <c r="I350" s="4"/>
      <c r="J350" s="4"/>
    </row>
    <row r="351" spans="1:10" x14ac:dyDescent="0.2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Jaime\QUIFA-CAJÚA\Cajua\[VAS_CAJUA_CF_SEC_20230125.xlsx]CF PSND'!</v>
      </c>
      <c r="G351" s="7" t="s">
        <v>47</v>
      </c>
      <c r="H351" s="4"/>
      <c r="I351" s="4"/>
      <c r="J351" s="4"/>
    </row>
    <row r="352" spans="1:10" x14ac:dyDescent="0.2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Jaime\QUIFA-CAJÚA\Cajua\[VAS_CAJUA_CF_SEC_20230125.xlsx]CF PSND'!</v>
      </c>
      <c r="G352" s="7" t="s">
        <v>47</v>
      </c>
      <c r="H352" s="4"/>
      <c r="I352" s="4"/>
      <c r="J352" s="4"/>
    </row>
    <row r="353" spans="1:10" x14ac:dyDescent="0.2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Jaime\QUIFA-CAJÚA\Cajua\[VAS_CAJUA_CF_SEC_20230125.xlsx]CF PSND'!</v>
      </c>
      <c r="G353" s="7" t="s">
        <v>47</v>
      </c>
      <c r="H353" s="4"/>
      <c r="I353" s="4"/>
      <c r="J353" s="4"/>
    </row>
    <row r="354" spans="1:10" x14ac:dyDescent="0.2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Jaime\QUIFA-CAJÚA\Cajua\[VAS_CAJUA_CF_SEC_20230125.xlsx]CF PSND'!</v>
      </c>
      <c r="G354" s="7" t="s">
        <v>47</v>
      </c>
      <c r="H354" s="4"/>
      <c r="I354" s="4"/>
      <c r="J354" s="4"/>
    </row>
    <row r="355" spans="1:10" x14ac:dyDescent="0.2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Jaime\QUIFA-CAJÚA\Cajua\[VAS_CAJUA_CF_SEC_20230125.xlsx]CF PSND'!</v>
      </c>
      <c r="G355" s="7" t="s">
        <v>47</v>
      </c>
      <c r="H355" s="4"/>
      <c r="I355" s="4"/>
      <c r="J355" s="4"/>
    </row>
    <row r="356" spans="1:10" x14ac:dyDescent="0.2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Jaime\QUIFA-CAJÚA\Cajua\[VAS_CAJUA_CF_SEC_20230125.xlsx]CF PSND'!</v>
      </c>
      <c r="G356" s="7" t="s">
        <v>47</v>
      </c>
      <c r="H356" s="4"/>
      <c r="I356" s="4"/>
      <c r="J356" s="4"/>
    </row>
    <row r="357" spans="1:10" x14ac:dyDescent="0.2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Jaime\QUIFA-CAJÚA\Cajua\[VAS_CAJUA_CF_SEC_20230125.xlsx]CF PSND'!</v>
      </c>
      <c r="G357" s="7" t="s">
        <v>47</v>
      </c>
      <c r="H357" s="4"/>
      <c r="I357" s="4"/>
      <c r="J357" s="4"/>
    </row>
    <row r="358" spans="1:10" x14ac:dyDescent="0.2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Jaime\QUIFA-CAJÚA\Cajua\[VAS_CAJUA_CF_SEC_20230125.xlsx]CF PSND'!</v>
      </c>
      <c r="G358" s="7" t="s">
        <v>47</v>
      </c>
      <c r="H358" s="4"/>
      <c r="I358" s="4"/>
      <c r="J358" s="4"/>
    </row>
    <row r="359" spans="1:10" x14ac:dyDescent="0.2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Jaime\QUIFA-CAJÚA\Cajua\[VAS_CAJUA_CF_SEC_20230125.xlsx]CF PSND'!</v>
      </c>
      <c r="G359" s="7" t="s">
        <v>47</v>
      </c>
      <c r="H359" s="4"/>
      <c r="I359" s="4"/>
      <c r="J359" s="4"/>
    </row>
    <row r="360" spans="1:10" x14ac:dyDescent="0.2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Jaime\QUIFA-CAJÚA\Cajua\[VAS_CAJUA_CF_SEC_20230125.xlsx]CF PSND'!</v>
      </c>
      <c r="G360" s="7" t="s">
        <v>47</v>
      </c>
      <c r="H360" s="4"/>
      <c r="I360" s="4"/>
      <c r="J360" s="4"/>
    </row>
    <row r="361" spans="1:10" x14ac:dyDescent="0.2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Jaime\QUIFA-CAJÚA\Cajua\[VAS_CAJUA_CF_SEC_20230125.xlsx]CF PSND'!</v>
      </c>
      <c r="G361" s="7" t="s">
        <v>47</v>
      </c>
      <c r="H361" s="4"/>
      <c r="I361" s="4"/>
      <c r="J361" s="4"/>
    </row>
    <row r="362" spans="1:10" x14ac:dyDescent="0.2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Jaime\QUIFA-CAJÚA\Cajua\[VAS_CAJUA_CF_SEC_20230125.xlsx]CF PSND'!</v>
      </c>
      <c r="G362" s="7" t="s">
        <v>47</v>
      </c>
      <c r="H362" s="4"/>
      <c r="I362" s="4"/>
      <c r="J362" s="4"/>
    </row>
    <row r="363" spans="1:10" x14ac:dyDescent="0.2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Jaime\QUIFA-CAJÚA\Cajua\[VAS_CAJUA_CF_SEC_20230125.xlsx]CF PSND'!</v>
      </c>
      <c r="G363" s="7" t="s">
        <v>47</v>
      </c>
      <c r="H363" s="4"/>
      <c r="I363" s="4"/>
      <c r="J363" s="4"/>
    </row>
    <row r="364" spans="1:10" x14ac:dyDescent="0.2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Jaime\QUIFA-CAJÚA\Cajua\[VAS_CAJUA_CF_SEC_20230125.xlsx]CF PSND'!</v>
      </c>
      <c r="G364" s="7" t="s">
        <v>47</v>
      </c>
      <c r="H364" s="4"/>
      <c r="I364" s="4"/>
      <c r="J364" s="4"/>
    </row>
    <row r="365" spans="1:10" x14ac:dyDescent="0.2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Jaime\QUIFA-CAJÚA\Cajua\[VAS_CAJUA_CF_SEC_20230125.xlsx]CF PSND'!</v>
      </c>
      <c r="G365" s="7" t="s">
        <v>47</v>
      </c>
      <c r="H365" s="4"/>
      <c r="I365" s="4"/>
      <c r="J365" s="4"/>
    </row>
    <row r="366" spans="1:10" x14ac:dyDescent="0.2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Jaime\QUIFA-CAJÚA\Cajua\[VAS_CAJUA_CF_SEC_20230125.xlsx]CF PSND'!</v>
      </c>
      <c r="G366" s="7" t="s">
        <v>47</v>
      </c>
      <c r="H366" s="4"/>
      <c r="I366" s="4"/>
      <c r="J366" s="4"/>
    </row>
    <row r="367" spans="1:10" x14ac:dyDescent="0.2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Jaime\QUIFA-CAJÚA\Cajua\[VAS_CAJUA_CF_SEC_20230125.xlsx]CF PSND'!</v>
      </c>
      <c r="G367" s="7" t="s">
        <v>47</v>
      </c>
      <c r="H367" s="4"/>
      <c r="I367" s="4"/>
      <c r="J367" s="4"/>
    </row>
    <row r="368" spans="1:10" x14ac:dyDescent="0.2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Jaime\QUIFA-CAJÚA\Cajua\[VAS_CAJUA_CF_SEC_20230125.xlsx]CF PSND'!</v>
      </c>
      <c r="G368" s="7" t="s">
        <v>47</v>
      </c>
      <c r="H368" s="4"/>
      <c r="I368" s="4"/>
      <c r="J368" s="4"/>
    </row>
    <row r="369" spans="1:10" x14ac:dyDescent="0.2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Jaime\QUIFA-CAJÚA\Cajua\[VAS_CAJUA_CF_SEC_20230125.xlsx]CF PSND'!</v>
      </c>
      <c r="G369" s="7" t="s">
        <v>47</v>
      </c>
      <c r="H369" s="4"/>
      <c r="I369" s="4"/>
      <c r="J369" s="4"/>
    </row>
    <row r="370" spans="1:10" x14ac:dyDescent="0.2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Jaime\QUIFA-CAJÚA\Cajua\[VAS_CAJUA_CF_SEC_20230125.xlsx]CF PSND'!</v>
      </c>
      <c r="G370" s="7" t="s">
        <v>47</v>
      </c>
      <c r="H370" s="4"/>
      <c r="I370" s="4"/>
      <c r="J370" s="4"/>
    </row>
    <row r="371" spans="1:10" x14ac:dyDescent="0.2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Jaime\QUIFA-CAJÚA\Cajua\[VAS_CAJUA_CF_SEC_20230125.xlsx]CF PSND'!</v>
      </c>
      <c r="G371" s="7" t="s">
        <v>47</v>
      </c>
      <c r="H371" s="4"/>
      <c r="I371" s="4"/>
      <c r="J371" s="4"/>
    </row>
    <row r="372" spans="1:10" x14ac:dyDescent="0.2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Jaime\QUIFA-CAJÚA\Cajua\[VAS_CAJUA_CF_SEC_20230125.xlsx]CF PSND'!</v>
      </c>
      <c r="G372" s="7" t="s">
        <v>47</v>
      </c>
      <c r="H372" s="4"/>
      <c r="I372" s="4"/>
      <c r="J372" s="4"/>
    </row>
    <row r="373" spans="1:10" x14ac:dyDescent="0.2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Jaime\QUIFA-CAJÚA\Cajua\[VAS_CAJUA_CF_SEC_20230125.xlsx]CF PSND'!</v>
      </c>
      <c r="G373" s="7" t="s">
        <v>47</v>
      </c>
      <c r="H373" s="4"/>
      <c r="I373" s="4"/>
      <c r="J373" s="4"/>
    </row>
    <row r="374" spans="1:10" x14ac:dyDescent="0.2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Jaime\QUIFA-CAJÚA\Cajua\[VAS_CAJUA_CF_SEC_20230125.xlsx]CF PSND'!</v>
      </c>
      <c r="G374" s="7" t="s">
        <v>47</v>
      </c>
      <c r="H374" s="4"/>
      <c r="I374" s="4"/>
      <c r="J374" s="4"/>
    </row>
    <row r="375" spans="1:10" x14ac:dyDescent="0.2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Jaime\QUIFA-CAJÚA\Cajua\[VAS_CAJUA_CF_SEC_20230125.xlsx]CF PSND'!</v>
      </c>
      <c r="G375" s="7" t="s">
        <v>47</v>
      </c>
      <c r="H375" s="4"/>
      <c r="I375" s="4"/>
      <c r="J375" s="4"/>
    </row>
    <row r="376" spans="1:10" x14ac:dyDescent="0.2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Jaime\QUIFA-CAJÚA\Cajua\[VAS_CAJUA_CF_SEC_20230125.xlsx]CF PSND'!</v>
      </c>
      <c r="G376" s="7" t="s">
        <v>47</v>
      </c>
      <c r="H376" s="4"/>
      <c r="I376" s="4"/>
      <c r="J376" s="4"/>
    </row>
    <row r="377" spans="1:10" x14ac:dyDescent="0.2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Jaime\QUIFA-CAJÚA\Cajua\[VAS_CAJUA_CF_SEC_20230125.xlsx]CF PSND'!</v>
      </c>
      <c r="G377" s="7" t="s">
        <v>47</v>
      </c>
      <c r="H377" s="4"/>
      <c r="I377" s="4"/>
      <c r="J377" s="4"/>
    </row>
    <row r="378" spans="1:10" x14ac:dyDescent="0.2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Jaime\QUIFA-CAJÚA\Cajua\[VAS_CAJUA_CF_SEC_20230125.xlsx]CF PSND'!</v>
      </c>
      <c r="G378" s="7" t="s">
        <v>47</v>
      </c>
      <c r="H378" s="4"/>
      <c r="I378" s="4"/>
      <c r="J378" s="4"/>
    </row>
    <row r="379" spans="1:10" x14ac:dyDescent="0.2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Jaime\QUIFA-CAJÚA\Cajua\[VAS_CAJUA_CF_SEC_20230125.xlsx]CF PSND'!</v>
      </c>
      <c r="G379" s="7" t="s">
        <v>47</v>
      </c>
      <c r="H379" s="4"/>
      <c r="I379" s="4"/>
      <c r="J379" s="4"/>
    </row>
    <row r="380" spans="1:10" x14ac:dyDescent="0.2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Jaime\QUIFA-CAJÚA\Cajua\[VAS_CAJUA_CF_SEC_20230125.xlsx]CF PSND'!</v>
      </c>
      <c r="G380" s="7" t="s">
        <v>47</v>
      </c>
      <c r="H380" s="4"/>
      <c r="I380" s="4"/>
      <c r="J380" s="4"/>
    </row>
    <row r="381" spans="1:10" x14ac:dyDescent="0.25">
      <c r="A381" s="7" t="s">
        <v>28</v>
      </c>
      <c r="B381" s="7"/>
      <c r="C381" s="4" t="s">
        <v>51</v>
      </c>
      <c r="D381" s="5"/>
      <c r="E381" s="10"/>
      <c r="F381" s="5" t="str">
        <f t="shared" si="72"/>
        <v xml:space="preserve"> </v>
      </c>
      <c r="G381" s="7"/>
      <c r="H381" s="4"/>
      <c r="I381" s="4"/>
      <c r="J381" s="4"/>
    </row>
    <row r="382" spans="1:10" x14ac:dyDescent="0.2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Jaime\QUIFA-CAJÚA\Cajua\[VAS_CAJUA_CF_SEC_20230125.xlsx]CF PS'!</v>
      </c>
      <c r="G382" s="7" t="s">
        <v>47</v>
      </c>
      <c r="H382" s="4">
        <f>IF(A382&lt;&gt;A252,36,H252+1)</f>
        <v>36</v>
      </c>
      <c r="I382" s="4" t="str">
        <f t="shared" si="25"/>
        <v>='C:\Users\jaime.benazar\Quorum Business Solutions\Ecopetrol Prometeo - Documents\Planning Space Implementation\3. Analysis &amp; Design\Design\FC22\DRR Jaime\QUIFA-CAJÚA\Cajua\[VAS_CAJUA_CF_SEC_20230125.xlsx]CF PS'!$AY$36</v>
      </c>
      <c r="J382" s="4" t="s">
        <v>277</v>
      </c>
    </row>
    <row r="383" spans="1:10" x14ac:dyDescent="0.2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Jaime\QUIFA-CAJÚA\Cajua\[VAS_CAJUA_CF_SEC_20230125.xlsx]CF PS'!</v>
      </c>
      <c r="G383" s="7" t="s">
        <v>47</v>
      </c>
      <c r="H383" s="4">
        <f t="shared" si="26"/>
        <v>37</v>
      </c>
      <c r="I383" s="4" t="str">
        <f t="shared" si="25"/>
        <v>='C:\Users\jaime.benazar\Quorum Business Solutions\Ecopetrol Prometeo - Documents\Planning Space Implementation\3. Analysis &amp; Design\Design\FC22\DRR Jaime\QUIFA-CAJÚA\Cajua\[VAS_CAJUA_CF_SEC_20230125.xlsx]CF PS'!$AY$37</v>
      </c>
      <c r="J383" s="4" t="s">
        <v>278</v>
      </c>
    </row>
    <row r="384" spans="1:10" x14ac:dyDescent="0.2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Jaime\QUIFA-CAJÚA\Cajua\[VAS_CAJUA_CF_SEC_20230125.xlsx]CF PS'!</v>
      </c>
      <c r="G384" s="7" t="s">
        <v>47</v>
      </c>
      <c r="H384" s="4">
        <f t="shared" si="26"/>
        <v>38</v>
      </c>
      <c r="I384" s="4" t="str">
        <f t="shared" si="25"/>
        <v>='C:\Users\jaime.benazar\Quorum Business Solutions\Ecopetrol Prometeo - Documents\Planning Space Implementation\3. Analysis &amp; Design\Design\FC22\DRR Jaime\QUIFA-CAJÚA\Cajua\[VAS_CAJUA_CF_SEC_20230125.xlsx]CF PS'!$AY$38</v>
      </c>
      <c r="J384" s="4" t="s">
        <v>279</v>
      </c>
    </row>
    <row r="385" spans="1:10" x14ac:dyDescent="0.2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Jaime\QUIFA-CAJÚA\Cajua\[VAS_CAJUA_CF_SEC_20230125.xlsx]CF PS'!</v>
      </c>
      <c r="G385" s="7" t="s">
        <v>47</v>
      </c>
      <c r="H385" s="4">
        <f t="shared" si="26"/>
        <v>39</v>
      </c>
      <c r="I385" s="4" t="str">
        <f t="shared" si="25"/>
        <v>='C:\Users\jaime.benazar\Quorum Business Solutions\Ecopetrol Prometeo - Documents\Planning Space Implementation\3. Analysis &amp; Design\Design\FC22\DRR Jaime\QUIFA-CAJÚA\Cajua\[VAS_CAJUA_CF_SEC_20230125.xlsx]CF PS'!$AY$39</v>
      </c>
      <c r="J385" s="4" t="s">
        <v>280</v>
      </c>
    </row>
    <row r="386" spans="1:10" x14ac:dyDescent="0.2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Jaime\QUIFA-CAJÚA\Cajua\[VAS_CAJUA_CF_SEC_20230125.xlsx]CF PS'!</v>
      </c>
      <c r="G386" s="7" t="s">
        <v>47</v>
      </c>
      <c r="H386" s="4">
        <f t="shared" si="26"/>
        <v>40</v>
      </c>
      <c r="I386" s="4" t="str">
        <f t="shared" si="25"/>
        <v>='C:\Users\jaime.benazar\Quorum Business Solutions\Ecopetrol Prometeo - Documents\Planning Space Implementation\3. Analysis &amp; Design\Design\FC22\DRR Jaime\QUIFA-CAJÚA\Cajua\[VAS_CAJUA_CF_SEC_20230125.xlsx]CF PS'!$AY$40</v>
      </c>
      <c r="J386" s="4" t="s">
        <v>281</v>
      </c>
    </row>
    <row r="387" spans="1:10" x14ac:dyDescent="0.2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Jaime\QUIFA-CAJÚA\Cajua\[VAS_CAJUA_CF_SEC_20230125.xlsx]CF PS'!</v>
      </c>
      <c r="G387" s="7" t="s">
        <v>47</v>
      </c>
      <c r="H387" s="4">
        <f t="shared" si="26"/>
        <v>41</v>
      </c>
      <c r="I387" s="4" t="str">
        <f t="shared" si="25"/>
        <v>='C:\Users\jaime.benazar\Quorum Business Solutions\Ecopetrol Prometeo - Documents\Planning Space Implementation\3. Analysis &amp; Design\Design\FC22\DRR Jaime\QUIFA-CAJÚA\Cajua\[VAS_CAJUA_CF_SEC_20230125.xlsx]CF PS'!$AY$41</v>
      </c>
      <c r="J387" s="4" t="s">
        <v>282</v>
      </c>
    </row>
    <row r="388" spans="1:10" x14ac:dyDescent="0.2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Jaime\QUIFA-CAJÚA\Cajua\[VAS_CAJUA_CF_SEC_20230125.xlsx]CF PS'!</v>
      </c>
      <c r="G388" s="7" t="s">
        <v>47</v>
      </c>
      <c r="H388" s="4">
        <f t="shared" si="26"/>
        <v>42</v>
      </c>
      <c r="I388" s="4" t="str">
        <f t="shared" si="25"/>
        <v>='C:\Users\jaime.benazar\Quorum Business Solutions\Ecopetrol Prometeo - Documents\Planning Space Implementation\3. Analysis &amp; Design\Design\FC22\DRR Jaime\QUIFA-CAJÚA\Cajua\[VAS_CAJUA_CF_SEC_20230125.xlsx]CF PS'!$AY$42</v>
      </c>
      <c r="J388" s="4" t="s">
        <v>283</v>
      </c>
    </row>
    <row r="389" spans="1:10" x14ac:dyDescent="0.2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Jaime\QUIFA-CAJÚA\Cajua\[VAS_CAJUA_CF_SEC_20230125.xlsx]CF PS'!</v>
      </c>
      <c r="G389" s="7" t="s">
        <v>47</v>
      </c>
      <c r="H389" s="4">
        <f t="shared" si="26"/>
        <v>43</v>
      </c>
      <c r="I389" s="4" t="str">
        <f t="shared" si="25"/>
        <v>='C:\Users\jaime.benazar\Quorum Business Solutions\Ecopetrol Prometeo - Documents\Planning Space Implementation\3. Analysis &amp; Design\Design\FC22\DRR Jaime\QUIFA-CAJÚA\Cajua\[VAS_CAJUA_CF_SEC_20230125.xlsx]CF PS'!$AY$43</v>
      </c>
      <c r="J389" s="4" t="s">
        <v>284</v>
      </c>
    </row>
    <row r="390" spans="1:10" x14ac:dyDescent="0.2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Jaime\QUIFA-CAJÚA\Cajua\[VAS_CAJUA_CF_SEC_20230125.xlsx]CF PS'!</v>
      </c>
      <c r="G390" s="7" t="s">
        <v>47</v>
      </c>
      <c r="H390" s="4">
        <f t="shared" si="26"/>
        <v>44</v>
      </c>
      <c r="I390" s="4" t="str">
        <f t="shared" si="25"/>
        <v>='C:\Users\jaime.benazar\Quorum Business Solutions\Ecopetrol Prometeo - Documents\Planning Space Implementation\3. Analysis &amp; Design\Design\FC22\DRR Jaime\QUIFA-CAJÚA\Cajua\[VAS_CAJUA_CF_SEC_20230125.xlsx]CF PS'!$AY$44</v>
      </c>
      <c r="J390" s="4" t="s">
        <v>285</v>
      </c>
    </row>
    <row r="391" spans="1:10" x14ac:dyDescent="0.2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Jaime\QUIFA-CAJÚA\Cajua\[VAS_CAJUA_CF_SEC_20230125.xlsx]CF PS'!</v>
      </c>
      <c r="G391" s="7" t="s">
        <v>47</v>
      </c>
      <c r="H391" s="4">
        <f t="shared" si="26"/>
        <v>45</v>
      </c>
      <c r="I391" s="4" t="str">
        <f t="shared" si="25"/>
        <v>='C:\Users\jaime.benazar\Quorum Business Solutions\Ecopetrol Prometeo - Documents\Planning Space Implementation\3. Analysis &amp; Design\Design\FC22\DRR Jaime\QUIFA-CAJÚA\Cajua\[VAS_CAJUA_CF_SEC_20230125.xlsx]CF PS'!$AY$45</v>
      </c>
      <c r="J391" s="4" t="s">
        <v>286</v>
      </c>
    </row>
    <row r="392" spans="1:10" x14ac:dyDescent="0.2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Jaime\QUIFA-CAJÚA\Cajua\[VAS_CAJUA_CF_SEC_20230125.xlsx]CF PS'!</v>
      </c>
      <c r="G392" s="7" t="s">
        <v>47</v>
      </c>
      <c r="H392" s="4">
        <f t="shared" si="26"/>
        <v>46</v>
      </c>
      <c r="I392" s="4" t="str">
        <f t="shared" si="25"/>
        <v>='C:\Users\jaime.benazar\Quorum Business Solutions\Ecopetrol Prometeo - Documents\Planning Space Implementation\3. Analysis &amp; Design\Design\FC22\DRR Jaime\QUIFA-CAJÚA\Cajua\[VAS_CAJUA_CF_SEC_20230125.xlsx]CF PS'!$AY$46</v>
      </c>
      <c r="J392" s="4" t="s">
        <v>287</v>
      </c>
    </row>
    <row r="393" spans="1:10" x14ac:dyDescent="0.2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Jaime\QUIFA-CAJÚA\Cajua\[VAS_CAJUA_CF_SEC_20230125.xlsx]CF PS'!</v>
      </c>
      <c r="G393" s="7" t="s">
        <v>47</v>
      </c>
      <c r="H393" s="4">
        <f t="shared" si="26"/>
        <v>47</v>
      </c>
      <c r="I393" s="4" t="str">
        <f t="shared" si="25"/>
        <v>='C:\Users\jaime.benazar\Quorum Business Solutions\Ecopetrol Prometeo - Documents\Planning Space Implementation\3. Analysis &amp; Design\Design\FC22\DRR Jaime\QUIFA-CAJÚA\Cajua\[VAS_CAJUA_CF_SEC_20230125.xlsx]CF PS'!$AY$47</v>
      </c>
      <c r="J393" s="4" t="s">
        <v>288</v>
      </c>
    </row>
    <row r="394" spans="1:10" x14ac:dyDescent="0.2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Jaime\QUIFA-CAJÚA\Cajua\[VAS_CAJUA_CF_SEC_20230125.xlsx]CF PS'!</v>
      </c>
      <c r="G394" s="7" t="s">
        <v>47</v>
      </c>
      <c r="H394" s="4">
        <f t="shared" si="26"/>
        <v>48</v>
      </c>
      <c r="I394" s="4" t="str">
        <f t="shared" si="25"/>
        <v>='C:\Users\jaime.benazar\Quorum Business Solutions\Ecopetrol Prometeo - Documents\Planning Space Implementation\3. Analysis &amp; Design\Design\FC22\DRR Jaime\QUIFA-CAJÚA\Cajua\[VAS_CAJUA_CF_SEC_20230125.xlsx]CF PS'!$AY$48</v>
      </c>
      <c r="J394" s="4" t="s">
        <v>289</v>
      </c>
    </row>
    <row r="395" spans="1:10" x14ac:dyDescent="0.2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Jaime\QUIFA-CAJÚA\Cajua\[VAS_CAJUA_CF_SEC_20230125.xlsx]CF PS'!</v>
      </c>
      <c r="G395" s="7" t="s">
        <v>47</v>
      </c>
      <c r="H395" s="4">
        <f t="shared" si="26"/>
        <v>49</v>
      </c>
      <c r="I395" s="4" t="str">
        <f t="shared" si="25"/>
        <v>='C:\Users\jaime.benazar\Quorum Business Solutions\Ecopetrol Prometeo - Documents\Planning Space Implementation\3. Analysis &amp; Design\Design\FC22\DRR Jaime\QUIFA-CAJÚA\Cajua\[VAS_CAJUA_CF_SEC_20230125.xlsx]CF PS'!$AY$49</v>
      </c>
      <c r="J395" s="4" t="s">
        <v>290</v>
      </c>
    </row>
    <row r="396" spans="1:10" x14ac:dyDescent="0.2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Jaime\QUIFA-CAJÚA\Cajua\[VAS_CAJUA_CF_SEC_20230125.xlsx]CF PS'!</v>
      </c>
      <c r="G396" s="7" t="s">
        <v>47</v>
      </c>
      <c r="H396" s="4">
        <f t="shared" si="26"/>
        <v>50</v>
      </c>
      <c r="I396" s="4" t="str">
        <f t="shared" si="25"/>
        <v>='C:\Users\jaime.benazar\Quorum Business Solutions\Ecopetrol Prometeo - Documents\Planning Space Implementation\3. Analysis &amp; Design\Design\FC22\DRR Jaime\QUIFA-CAJÚA\Cajua\[VAS_CAJUA_CF_SEC_20230125.xlsx]CF PS'!$AY$50</v>
      </c>
      <c r="J396" s="4" t="s">
        <v>291</v>
      </c>
    </row>
    <row r="397" spans="1:10" x14ac:dyDescent="0.2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Jaime\QUIFA-CAJÚA\Cajua\[VAS_CAJUA_CF_SEC_20230125.xlsx]CF PS'!</v>
      </c>
      <c r="G397" s="7" t="s">
        <v>47</v>
      </c>
      <c r="H397" s="4">
        <f t="shared" si="26"/>
        <v>51</v>
      </c>
      <c r="I397" s="4" t="str">
        <f t="shared" si="25"/>
        <v>='C:\Users\jaime.benazar\Quorum Business Solutions\Ecopetrol Prometeo - Documents\Planning Space Implementation\3. Analysis &amp; Design\Design\FC22\DRR Jaime\QUIFA-CAJÚA\Cajua\[VAS_CAJUA_CF_SEC_20230125.xlsx]CF PS'!$AY$51</v>
      </c>
      <c r="J397" s="4" t="s">
        <v>292</v>
      </c>
    </row>
    <row r="398" spans="1:10" x14ac:dyDescent="0.2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Jaime\QUIFA-CAJÚA\Cajua\[VAS_CAJUA_CF_SEC_20230125.xlsx]CF PS'!</v>
      </c>
      <c r="G398" s="7" t="s">
        <v>47</v>
      </c>
      <c r="H398" s="4">
        <f t="shared" si="26"/>
        <v>52</v>
      </c>
      <c r="I398" s="4" t="str">
        <f t="shared" si="25"/>
        <v>='C:\Users\jaime.benazar\Quorum Business Solutions\Ecopetrol Prometeo - Documents\Planning Space Implementation\3. Analysis &amp; Design\Design\FC22\DRR Jaime\QUIFA-CAJÚA\Cajua\[VAS_CAJUA_CF_SEC_20230125.xlsx]CF PS'!$AY$52</v>
      </c>
      <c r="J398" s="4" t="s">
        <v>293</v>
      </c>
    </row>
    <row r="399" spans="1:10" x14ac:dyDescent="0.2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Jaime\QUIFA-CAJÚA\Cajua\[VAS_CAJUA_CF_SEC_20230125.xlsx]CF PS'!</v>
      </c>
      <c r="G399" s="7" t="s">
        <v>47</v>
      </c>
      <c r="H399" s="4">
        <f t="shared" si="26"/>
        <v>53</v>
      </c>
      <c r="I399" s="4" t="str">
        <f t="shared" si="25"/>
        <v>='C:\Users\jaime.benazar\Quorum Business Solutions\Ecopetrol Prometeo - Documents\Planning Space Implementation\3. Analysis &amp; Design\Design\FC22\DRR Jaime\QUIFA-CAJÚA\Cajua\[VAS_CAJUA_CF_SEC_20230125.xlsx]CF PS'!$AY$53</v>
      </c>
      <c r="J399" s="4" t="s">
        <v>294</v>
      </c>
    </row>
    <row r="400" spans="1:10" x14ac:dyDescent="0.2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Jaime\QUIFA-CAJÚA\Cajua\[VAS_CAJUA_CF_SEC_20230125.xlsx]CF PS'!</v>
      </c>
      <c r="G400" s="7" t="s">
        <v>47</v>
      </c>
      <c r="H400" s="4">
        <f t="shared" si="26"/>
        <v>54</v>
      </c>
      <c r="I400" s="4" t="str">
        <f t="shared" si="25"/>
        <v>='C:\Users\jaime.benazar\Quorum Business Solutions\Ecopetrol Prometeo - Documents\Planning Space Implementation\3. Analysis &amp; Design\Design\FC22\DRR Jaime\QUIFA-CAJÚA\Cajua\[VAS_CAJUA_CF_SEC_20230125.xlsx]CF PS'!$AY$54</v>
      </c>
      <c r="J400" s="4" t="s">
        <v>295</v>
      </c>
    </row>
    <row r="401" spans="1:10" x14ac:dyDescent="0.2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Jaime\QUIFA-CAJÚA\Cajua\[VAS_CAJUA_CF_SEC_20230125.xlsx]CF PS'!</v>
      </c>
      <c r="G401" s="7" t="s">
        <v>47</v>
      </c>
      <c r="H401" s="4">
        <f t="shared" si="26"/>
        <v>55</v>
      </c>
      <c r="I401" s="4" t="str">
        <f t="shared" si="25"/>
        <v>='C:\Users\jaime.benazar\Quorum Business Solutions\Ecopetrol Prometeo - Documents\Planning Space Implementation\3. Analysis &amp; Design\Design\FC22\DRR Jaime\QUIFA-CAJÚA\Cajua\[VAS_CAJUA_CF_SEC_20230125.xlsx]CF PS'!$AY$55</v>
      </c>
      <c r="J401" s="4" t="s">
        <v>296</v>
      </c>
    </row>
    <row r="402" spans="1:10" x14ac:dyDescent="0.2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Jaime\QUIFA-CAJÚA\Cajua\[VAS_CAJUA_CF_SEC_20230125.xlsx]CF PS'!</v>
      </c>
      <c r="G402" s="7" t="s">
        <v>47</v>
      </c>
      <c r="H402" s="4">
        <f t="shared" si="26"/>
        <v>56</v>
      </c>
      <c r="I402" s="4" t="str">
        <f t="shared" si="25"/>
        <v>='C:\Users\jaime.benazar\Quorum Business Solutions\Ecopetrol Prometeo - Documents\Planning Space Implementation\3. Analysis &amp; Design\Design\FC22\DRR Jaime\QUIFA-CAJÚA\Cajua\[VAS_CAJUA_CF_SEC_20230125.xlsx]CF PS'!$AY$56</v>
      </c>
      <c r="J402" s="4" t="s">
        <v>297</v>
      </c>
    </row>
    <row r="403" spans="1:10" x14ac:dyDescent="0.2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Jaime\QUIFA-CAJÚA\Cajua\[VAS_CAJUA_CF_SEC_20230125.xlsx]CF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Jaime\QUIFA-CAJÚA\Cajua\[VAS_CAJUA_CF_SEC_20230125.xlsx]CF PS'!$AY$57</v>
      </c>
      <c r="J403" s="4" t="s">
        <v>298</v>
      </c>
    </row>
    <row r="404" spans="1:10" x14ac:dyDescent="0.2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Jaime\QUIFA-CAJÚA\Cajua\[VAS_CAJUA_CF_SEC_20230125.xlsx]CF PS'!</v>
      </c>
      <c r="G404" s="7" t="s">
        <v>47</v>
      </c>
      <c r="H404" s="4">
        <f t="shared" si="92"/>
        <v>58</v>
      </c>
      <c r="I404" s="4" t="str">
        <f t="shared" si="93"/>
        <v>='C:\Users\jaime.benazar\Quorum Business Solutions\Ecopetrol Prometeo - Documents\Planning Space Implementation\3. Analysis &amp; Design\Design\FC22\DRR Jaime\QUIFA-CAJÚA\Cajua\[VAS_CAJUA_CF_SEC_20230125.xlsx]CF PS'!$AY$58</v>
      </c>
      <c r="J404" s="4" t="s">
        <v>299</v>
      </c>
    </row>
    <row r="405" spans="1:10" x14ac:dyDescent="0.2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Jaime\QUIFA-CAJÚA\Cajua\[VAS_CAJUA_CF_SEC_20230125.xlsx]CF PS'!</v>
      </c>
      <c r="G405" s="7" t="s">
        <v>47</v>
      </c>
      <c r="H405" s="4">
        <f t="shared" si="92"/>
        <v>59</v>
      </c>
      <c r="I405" s="4" t="str">
        <f t="shared" si="93"/>
        <v>='C:\Users\jaime.benazar\Quorum Business Solutions\Ecopetrol Prometeo - Documents\Planning Space Implementation\3. Analysis &amp; Design\Design\FC22\DRR Jaime\QUIFA-CAJÚA\Cajua\[VAS_CAJUA_CF_SEC_20230125.xlsx]CF PS'!$AY$59</v>
      </c>
      <c r="J405" s="4" t="s">
        <v>300</v>
      </c>
    </row>
    <row r="406" spans="1:10" x14ac:dyDescent="0.2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Jaime\QUIFA-CAJÚA\Cajua\[VAS_CAJUA_CF_SEC_20230125.xlsx]CF PS'!</v>
      </c>
      <c r="G406" s="7" t="s">
        <v>47</v>
      </c>
      <c r="H406" s="4">
        <f t="shared" si="92"/>
        <v>60</v>
      </c>
      <c r="I406" s="4" t="str">
        <f t="shared" si="93"/>
        <v>='C:\Users\jaime.benazar\Quorum Business Solutions\Ecopetrol Prometeo - Documents\Planning Space Implementation\3. Analysis &amp; Design\Design\FC22\DRR Jaime\QUIFA-CAJÚA\Cajua\[VAS_CAJUA_CF_SEC_20230125.xlsx]CF PS'!$AY$60</v>
      </c>
      <c r="J406" s="4" t="s">
        <v>301</v>
      </c>
    </row>
    <row r="407" spans="1:10" x14ac:dyDescent="0.2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Jaime\QUIFA-CAJÚA\Cajua\[VAS_CAJUA_CF_SEC_20230125.xlsx]CF PS'!</v>
      </c>
      <c r="G407" s="7" t="s">
        <v>47</v>
      </c>
      <c r="H407" s="4">
        <f t="shared" si="92"/>
        <v>61</v>
      </c>
      <c r="I407" s="4" t="str">
        <f t="shared" si="93"/>
        <v>='C:\Users\jaime.benazar\Quorum Business Solutions\Ecopetrol Prometeo - Documents\Planning Space Implementation\3. Analysis &amp; Design\Design\FC22\DRR Jaime\QUIFA-CAJÚA\Cajua\[VAS_CAJUA_CF_SEC_20230125.xlsx]CF PS'!$AY$61</v>
      </c>
      <c r="J407" s="4" t="s">
        <v>302</v>
      </c>
    </row>
    <row r="408" spans="1:10" x14ac:dyDescent="0.2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Jaime\QUIFA-CAJÚA\Cajua\[VAS_CAJUA_CF_SEC_20230125.xlsx]CF PS'!</v>
      </c>
      <c r="G408" s="7" t="s">
        <v>47</v>
      </c>
      <c r="H408" s="4">
        <f t="shared" si="92"/>
        <v>62</v>
      </c>
      <c r="I408" s="4" t="str">
        <f t="shared" si="93"/>
        <v>='C:\Users\jaime.benazar\Quorum Business Solutions\Ecopetrol Prometeo - Documents\Planning Space Implementation\3. Analysis &amp; Design\Design\FC22\DRR Jaime\QUIFA-CAJÚA\Cajua\[VAS_CAJUA_CF_SEC_20230125.xlsx]CF PS'!$AY$62</v>
      </c>
      <c r="J408" s="4" t="s">
        <v>303</v>
      </c>
    </row>
    <row r="409" spans="1:10" x14ac:dyDescent="0.2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Jaime\QUIFA-CAJÚA\Cajua\[VAS_CAJUA_CF_SEC_20230125.xlsx]CF PS'!</v>
      </c>
      <c r="G409" s="7" t="s">
        <v>47</v>
      </c>
      <c r="H409" s="4">
        <f t="shared" si="92"/>
        <v>63</v>
      </c>
      <c r="I409" s="4" t="str">
        <f t="shared" si="93"/>
        <v>='C:\Users\jaime.benazar\Quorum Business Solutions\Ecopetrol Prometeo - Documents\Planning Space Implementation\3. Analysis &amp; Design\Design\FC22\DRR Jaime\QUIFA-CAJÚA\Cajua\[VAS_CAJUA_CF_SEC_20230125.xlsx]CF PS'!$AY$63</v>
      </c>
      <c r="J409" s="4" t="s">
        <v>304</v>
      </c>
    </row>
    <row r="410" spans="1:10" x14ac:dyDescent="0.2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Jaime\QUIFA-CAJÚA\Cajua\[VAS_CAJUA_CF_SEC_20230125.xlsx]CF PS'!</v>
      </c>
      <c r="G410" s="7" t="s">
        <v>47</v>
      </c>
      <c r="H410" s="4">
        <f t="shared" si="92"/>
        <v>64</v>
      </c>
      <c r="I410" s="4" t="str">
        <f t="shared" si="93"/>
        <v>='C:\Users\jaime.benazar\Quorum Business Solutions\Ecopetrol Prometeo - Documents\Planning Space Implementation\3. Analysis &amp; Design\Design\FC22\DRR Jaime\QUIFA-CAJÚA\Cajua\[VAS_CAJUA_CF_SEC_20230125.xlsx]CF PS'!$AY$64</v>
      </c>
      <c r="J410" s="4" t="s">
        <v>305</v>
      </c>
    </row>
    <row r="411" spans="1:10" x14ac:dyDescent="0.2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Jaime\QUIFA-CAJÚA\Cajua\[VAS_CAJUA_CF_SEC_20230125.xlsx]CF PS'!</v>
      </c>
      <c r="G411" s="7" t="s">
        <v>47</v>
      </c>
      <c r="H411" s="4">
        <f t="shared" si="92"/>
        <v>65</v>
      </c>
      <c r="I411" s="4" t="str">
        <f t="shared" si="93"/>
        <v>='C:\Users\jaime.benazar\Quorum Business Solutions\Ecopetrol Prometeo - Documents\Planning Space Implementation\3. Analysis &amp; Design\Design\FC22\DRR Jaime\QUIFA-CAJÚA\Cajua\[VAS_CAJUA_CF_SEC_20230125.xlsx]CF PS'!$AY$65</v>
      </c>
      <c r="J411" s="4" t="s">
        <v>306</v>
      </c>
    </row>
    <row r="412" spans="1:10" x14ac:dyDescent="0.2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Jaime\QUIFA-CAJÚA\Cajua\[VAS_CAJUA_CF_SEC_20230125.xlsx]CF PS'!</v>
      </c>
      <c r="G412" s="7" t="s">
        <v>47</v>
      </c>
      <c r="H412" s="4">
        <f t="shared" si="92"/>
        <v>66</v>
      </c>
      <c r="I412" s="4" t="str">
        <f t="shared" si="93"/>
        <v>='C:\Users\jaime.benazar\Quorum Business Solutions\Ecopetrol Prometeo - Documents\Planning Space Implementation\3. Analysis &amp; Design\Design\FC22\DRR Jaime\QUIFA-CAJÚA\Cajua\[VAS_CAJUA_CF_SEC_20230125.xlsx]CF PS'!$AY$66</v>
      </c>
      <c r="J412" s="4" t="s">
        <v>307</v>
      </c>
    </row>
    <row r="413" spans="1:10" x14ac:dyDescent="0.2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Jaime\QUIFA-CAJÚA\Cajua\[VAS_CAJUA_CF_SEC_20230125.xlsx]CF PS'!</v>
      </c>
      <c r="G413" s="7" t="s">
        <v>47</v>
      </c>
      <c r="H413" s="4">
        <f t="shared" si="92"/>
        <v>67</v>
      </c>
      <c r="I413" s="4" t="str">
        <f t="shared" si="93"/>
        <v>='C:\Users\jaime.benazar\Quorum Business Solutions\Ecopetrol Prometeo - Documents\Planning Space Implementation\3. Analysis &amp; Design\Design\FC22\DRR Jaime\QUIFA-CAJÚA\Cajua\[VAS_CAJUA_CF_SEC_20230125.xlsx]CF PS'!$AY$67</v>
      </c>
      <c r="J413" s="4" t="s">
        <v>308</v>
      </c>
    </row>
    <row r="414" spans="1:10" x14ac:dyDescent="0.2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Jaime\QUIFA-CAJÚA\Cajua\[VAS_CAJUA_CF_SEC_20230125.xlsx]CF PS'!</v>
      </c>
      <c r="G414" s="7" t="s">
        <v>47</v>
      </c>
      <c r="H414" s="4">
        <f t="shared" si="92"/>
        <v>68</v>
      </c>
      <c r="I414" s="4" t="str">
        <f t="shared" si="93"/>
        <v>='C:\Users\jaime.benazar\Quorum Business Solutions\Ecopetrol Prometeo - Documents\Planning Space Implementation\3. Analysis &amp; Design\Design\FC22\DRR Jaime\QUIFA-CAJÚA\Cajua\[VAS_CAJUA_CF_SEC_20230125.xlsx]CF PS'!$AY$68</v>
      </c>
      <c r="J414" s="4" t="s">
        <v>309</v>
      </c>
    </row>
    <row r="415" spans="1:10" x14ac:dyDescent="0.2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Jaime\QUIFA-CAJÚA\Cajua\[VAS_CAJUA_CF_SEC_20230125.xlsx]CF PS'!</v>
      </c>
      <c r="G415" s="7" t="s">
        <v>47</v>
      </c>
      <c r="H415" s="4">
        <f t="shared" si="92"/>
        <v>69</v>
      </c>
      <c r="I415" s="4" t="str">
        <f t="shared" si="93"/>
        <v>='C:\Users\jaime.benazar\Quorum Business Solutions\Ecopetrol Prometeo - Documents\Planning Space Implementation\3. Analysis &amp; Design\Design\FC22\DRR Jaime\QUIFA-CAJÚA\Cajua\[VAS_CAJUA_CF_SEC_20230125.xlsx]CF PS'!$AY$69</v>
      </c>
      <c r="J415" s="4" t="s">
        <v>310</v>
      </c>
    </row>
    <row r="416" spans="1:10" x14ac:dyDescent="0.2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Jaime\QUIFA-CAJÚA\Cajua\[VAS_CAJUA_CF_SEC_20230125.xlsx]CF PS'!</v>
      </c>
      <c r="G416" s="7" t="s">
        <v>47</v>
      </c>
      <c r="H416" s="4">
        <f t="shared" si="92"/>
        <v>70</v>
      </c>
      <c r="I416" s="4" t="str">
        <f t="shared" si="93"/>
        <v>='C:\Users\jaime.benazar\Quorum Business Solutions\Ecopetrol Prometeo - Documents\Planning Space Implementation\3. Analysis &amp; Design\Design\FC22\DRR Jaime\QUIFA-CAJÚA\Cajua\[VAS_CAJUA_CF_SEC_20230125.xlsx]CF PS'!$AY$70</v>
      </c>
      <c r="J416" s="4" t="s">
        <v>311</v>
      </c>
    </row>
    <row r="417" spans="1:10" x14ac:dyDescent="0.2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Jaime\QUIFA-CAJÚA\Cajua\[VAS_CAJUA_CF_SEC_20230125.xlsx]CF PS'!</v>
      </c>
      <c r="G417" s="7" t="s">
        <v>47</v>
      </c>
      <c r="H417" s="4">
        <f t="shared" si="92"/>
        <v>71</v>
      </c>
      <c r="I417" s="4" t="str">
        <f t="shared" si="93"/>
        <v>='C:\Users\jaime.benazar\Quorum Business Solutions\Ecopetrol Prometeo - Documents\Planning Space Implementation\3. Analysis &amp; Design\Design\FC22\DRR Jaime\QUIFA-CAJÚA\Cajua\[VAS_CAJUA_CF_SEC_20230125.xlsx]CF PS'!$AY$71</v>
      </c>
      <c r="J417" s="4" t="s">
        <v>312</v>
      </c>
    </row>
    <row r="418" spans="1:10" x14ac:dyDescent="0.2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Jaime\QUIFA-CAJÚA\Cajua\[VAS_CAJUA_CF_SEC_20230125.xlsx]CF PS'!</v>
      </c>
      <c r="G418" s="7" t="s">
        <v>47</v>
      </c>
      <c r="H418" s="4">
        <f t="shared" si="92"/>
        <v>72</v>
      </c>
      <c r="I418" s="4" t="str">
        <f t="shared" si="93"/>
        <v>='C:\Users\jaime.benazar\Quorum Business Solutions\Ecopetrol Prometeo - Documents\Planning Space Implementation\3. Analysis &amp; Design\Design\FC22\DRR Jaime\QUIFA-CAJÚA\Cajua\[VAS_CAJUA_CF_SEC_20230125.xlsx]CF PS'!$AY$72</v>
      </c>
      <c r="J418" s="4" t="s">
        <v>313</v>
      </c>
    </row>
    <row r="419" spans="1:10" x14ac:dyDescent="0.25">
      <c r="A419" s="7" t="s">
        <v>28</v>
      </c>
      <c r="B419" s="7"/>
      <c r="C419" s="4" t="s">
        <v>51</v>
      </c>
      <c r="D419" s="5"/>
      <c r="E419" s="10"/>
      <c r="F419" s="5" t="str">
        <f t="shared" si="88"/>
        <v xml:space="preserve"> </v>
      </c>
      <c r="G419" s="7"/>
      <c r="H419" s="4"/>
      <c r="I419" s="4"/>
      <c r="J419" s="4"/>
    </row>
    <row r="420" spans="1:10" x14ac:dyDescent="0.2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Jaime\QUIFA-CAJÚA\Cajua\[VAS_CAJUA_CF_SEC_20230125.xlsx]CF PDP'!</v>
      </c>
      <c r="G420" s="6" t="s">
        <v>36</v>
      </c>
      <c r="H420" s="1">
        <f>IF(A420&lt;&gt;A404,36,H404+1)</f>
        <v>36</v>
      </c>
      <c r="I420" s="1" t="str">
        <f>_xlfn.CONCAT("='",F420:H420)</f>
        <v>='C:\Users\jaime.benazar\Quorum Business Solutions\Ecopetrol Prometeo - Documents\Planning Space Implementation\3. Analysis &amp; Design\Design\FC22\DRR Jaime\QUIFA-CAJÚA\Cajua\[VAS_CAJUA_CF_SEC_20230125.xlsx]CF PDP'!$BT$36</v>
      </c>
      <c r="J420" s="1" t="s">
        <v>314</v>
      </c>
    </row>
    <row r="421" spans="1:10" x14ac:dyDescent="0.2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Jaime\QUIFA-CAJÚA\Cajua\[VAS_CAJUA_CF_SEC_20230125.xlsx]CF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Jaime\QUIFA-CAJÚA\Cajua\[VAS_CAJUA_CF_SEC_20230125.xlsx]CF PDP'!$BT$37</v>
      </c>
      <c r="J421" s="1" t="s">
        <v>315</v>
      </c>
    </row>
    <row r="422" spans="1:10" x14ac:dyDescent="0.2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Jaime\QUIFA-CAJÚA\Cajua\[VAS_CAJUA_CF_SEC_20230125.xlsx]CF PDP'!</v>
      </c>
      <c r="G422" s="6" t="s">
        <v>36</v>
      </c>
      <c r="H422" s="1">
        <f t="shared" ref="H422:H515" si="98">IF(A422&lt;&gt;A421,36,H421+1)</f>
        <v>38</v>
      </c>
      <c r="I422" s="1" t="str">
        <f t="shared" si="96"/>
        <v>='C:\Users\jaime.benazar\Quorum Business Solutions\Ecopetrol Prometeo - Documents\Planning Space Implementation\3. Analysis &amp; Design\Design\FC22\DRR Jaime\QUIFA-CAJÚA\Cajua\[VAS_CAJUA_CF_SEC_20230125.xlsx]CF PDP'!$BT$38</v>
      </c>
      <c r="J422" s="1" t="s">
        <v>316</v>
      </c>
    </row>
    <row r="423" spans="1:10" x14ac:dyDescent="0.2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Jaime\QUIFA-CAJÚA\Cajua\[VAS_CAJUA_CF_SEC_20230125.xlsx]CF PDP'!</v>
      </c>
      <c r="G423" s="6" t="s">
        <v>36</v>
      </c>
      <c r="H423" s="1">
        <f t="shared" si="98"/>
        <v>39</v>
      </c>
      <c r="I423" s="1" t="str">
        <f t="shared" si="96"/>
        <v>='C:\Users\jaime.benazar\Quorum Business Solutions\Ecopetrol Prometeo - Documents\Planning Space Implementation\3. Analysis &amp; Design\Design\FC22\DRR Jaime\QUIFA-CAJÚA\Cajua\[VAS_CAJUA_CF_SEC_20230125.xlsx]CF PDP'!$BT$39</v>
      </c>
      <c r="J423" s="1" t="s">
        <v>317</v>
      </c>
    </row>
    <row r="424" spans="1:10" x14ac:dyDescent="0.2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Jaime\QUIFA-CAJÚA\Cajua\[VAS_CAJUA_CF_SEC_20230125.xlsx]CF PDP'!</v>
      </c>
      <c r="G424" s="6" t="s">
        <v>36</v>
      </c>
      <c r="H424" s="1">
        <f t="shared" si="98"/>
        <v>40</v>
      </c>
      <c r="I424" s="1" t="str">
        <f t="shared" si="96"/>
        <v>='C:\Users\jaime.benazar\Quorum Business Solutions\Ecopetrol Prometeo - Documents\Planning Space Implementation\3. Analysis &amp; Design\Design\FC22\DRR Jaime\QUIFA-CAJÚA\Cajua\[VAS_CAJUA_CF_SEC_20230125.xlsx]CF PDP'!$BT$40</v>
      </c>
      <c r="J424" s="1" t="s">
        <v>318</v>
      </c>
    </row>
    <row r="425" spans="1:10" x14ac:dyDescent="0.2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Jaime\QUIFA-CAJÚA\Cajua\[VAS_CAJUA_CF_SEC_20230125.xlsx]CF PDP'!</v>
      </c>
      <c r="G425" s="6" t="s">
        <v>36</v>
      </c>
      <c r="H425" s="1">
        <f t="shared" si="98"/>
        <v>41</v>
      </c>
      <c r="I425" s="1" t="str">
        <f t="shared" si="96"/>
        <v>='C:\Users\jaime.benazar\Quorum Business Solutions\Ecopetrol Prometeo - Documents\Planning Space Implementation\3. Analysis &amp; Design\Design\FC22\DRR Jaime\QUIFA-CAJÚA\Cajua\[VAS_CAJUA_CF_SEC_20230125.xlsx]CF PDP'!$BT$41</v>
      </c>
      <c r="J425" s="1" t="s">
        <v>319</v>
      </c>
    </row>
    <row r="426" spans="1:10" x14ac:dyDescent="0.2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Jaime\QUIFA-CAJÚA\Cajua\[VAS_CAJUA_CF_SEC_20230125.xlsx]CF PDP'!</v>
      </c>
      <c r="G426" s="6" t="s">
        <v>36</v>
      </c>
      <c r="H426" s="1">
        <f t="shared" si="98"/>
        <v>42</v>
      </c>
      <c r="I426" s="1" t="str">
        <f t="shared" si="96"/>
        <v>='C:\Users\jaime.benazar\Quorum Business Solutions\Ecopetrol Prometeo - Documents\Planning Space Implementation\3. Analysis &amp; Design\Design\FC22\DRR Jaime\QUIFA-CAJÚA\Cajua\[VAS_CAJUA_CF_SEC_20230125.xlsx]CF PDP'!$BT$42</v>
      </c>
      <c r="J426" s="1" t="s">
        <v>320</v>
      </c>
    </row>
    <row r="427" spans="1:10" x14ac:dyDescent="0.2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Jaime\QUIFA-CAJÚA\Cajua\[VAS_CAJUA_CF_SEC_20230125.xlsx]CF PDP'!</v>
      </c>
      <c r="G427" s="6" t="s">
        <v>36</v>
      </c>
      <c r="H427" s="1">
        <f t="shared" si="98"/>
        <v>43</v>
      </c>
      <c r="I427" s="1" t="str">
        <f t="shared" si="96"/>
        <v>='C:\Users\jaime.benazar\Quorum Business Solutions\Ecopetrol Prometeo - Documents\Planning Space Implementation\3. Analysis &amp; Design\Design\FC22\DRR Jaime\QUIFA-CAJÚA\Cajua\[VAS_CAJUA_CF_SEC_20230125.xlsx]CF PDP'!$BT$43</v>
      </c>
      <c r="J427" s="1" t="s">
        <v>321</v>
      </c>
    </row>
    <row r="428" spans="1:10" x14ac:dyDescent="0.2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Jaime\QUIFA-CAJÚA\Cajua\[VAS_CAJUA_CF_SEC_20230125.xlsx]CF PDP'!</v>
      </c>
      <c r="G428" s="6" t="s">
        <v>36</v>
      </c>
      <c r="H428" s="1">
        <f t="shared" si="98"/>
        <v>44</v>
      </c>
      <c r="I428" s="1" t="str">
        <f t="shared" si="96"/>
        <v>='C:\Users\jaime.benazar\Quorum Business Solutions\Ecopetrol Prometeo - Documents\Planning Space Implementation\3. Analysis &amp; Design\Design\FC22\DRR Jaime\QUIFA-CAJÚA\Cajua\[VAS_CAJUA_CF_SEC_20230125.xlsx]CF PDP'!$BT$44</v>
      </c>
      <c r="J428" s="1" t="s">
        <v>322</v>
      </c>
    </row>
    <row r="429" spans="1:10" x14ac:dyDescent="0.2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Jaime\QUIFA-CAJÚA\Cajua\[VAS_CAJUA_CF_SEC_20230125.xlsx]CF PDP'!</v>
      </c>
      <c r="G429" s="6" t="s">
        <v>36</v>
      </c>
      <c r="H429" s="1">
        <f t="shared" si="98"/>
        <v>45</v>
      </c>
      <c r="I429" s="1" t="str">
        <f t="shared" si="96"/>
        <v>='C:\Users\jaime.benazar\Quorum Business Solutions\Ecopetrol Prometeo - Documents\Planning Space Implementation\3. Analysis &amp; Design\Design\FC22\DRR Jaime\QUIFA-CAJÚA\Cajua\[VAS_CAJUA_CF_SEC_20230125.xlsx]CF PDP'!$BT$45</v>
      </c>
      <c r="J429" s="1" t="s">
        <v>323</v>
      </c>
    </row>
    <row r="430" spans="1:10" x14ac:dyDescent="0.2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Jaime\QUIFA-CAJÚA\Cajua\[VAS_CAJUA_CF_SEC_20230125.xlsx]CF PDP'!</v>
      </c>
      <c r="G430" s="6" t="s">
        <v>36</v>
      </c>
      <c r="H430" s="1">
        <f t="shared" si="98"/>
        <v>46</v>
      </c>
      <c r="I430" s="1" t="str">
        <f t="shared" si="96"/>
        <v>='C:\Users\jaime.benazar\Quorum Business Solutions\Ecopetrol Prometeo - Documents\Planning Space Implementation\3. Analysis &amp; Design\Design\FC22\DRR Jaime\QUIFA-CAJÚA\Cajua\[VAS_CAJUA_CF_SEC_20230125.xlsx]CF PDP'!$BT$46</v>
      </c>
      <c r="J430" s="1" t="s">
        <v>324</v>
      </c>
    </row>
    <row r="431" spans="1:10" x14ac:dyDescent="0.2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Jaime\QUIFA-CAJÚA\Cajua\[VAS_CAJUA_CF_SEC_20230125.xlsx]CF PDP'!</v>
      </c>
      <c r="G431" s="6" t="s">
        <v>36</v>
      </c>
      <c r="H431" s="1">
        <f t="shared" si="98"/>
        <v>47</v>
      </c>
      <c r="I431" s="1" t="str">
        <f t="shared" si="96"/>
        <v>='C:\Users\jaime.benazar\Quorum Business Solutions\Ecopetrol Prometeo - Documents\Planning Space Implementation\3. Analysis &amp; Design\Design\FC22\DRR Jaime\QUIFA-CAJÚA\Cajua\[VAS_CAJUA_CF_SEC_20230125.xlsx]CF PDP'!$BT$47</v>
      </c>
      <c r="J431" s="1" t="s">
        <v>325</v>
      </c>
    </row>
    <row r="432" spans="1:10" x14ac:dyDescent="0.2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Jaime\QUIFA-CAJÚA\Cajua\[VAS_CAJUA_CF_SEC_20230125.xlsx]CF PDP'!</v>
      </c>
      <c r="G432" s="6" t="s">
        <v>36</v>
      </c>
      <c r="H432" s="1">
        <f t="shared" si="98"/>
        <v>48</v>
      </c>
      <c r="I432" s="1" t="str">
        <f t="shared" si="96"/>
        <v>='C:\Users\jaime.benazar\Quorum Business Solutions\Ecopetrol Prometeo - Documents\Planning Space Implementation\3. Analysis &amp; Design\Design\FC22\DRR Jaime\QUIFA-CAJÚA\Cajua\[VAS_CAJUA_CF_SEC_20230125.xlsx]CF PDP'!$BT$48</v>
      </c>
      <c r="J432" s="1" t="s">
        <v>326</v>
      </c>
    </row>
    <row r="433" spans="1:10" x14ac:dyDescent="0.2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Jaime\QUIFA-CAJÚA\Cajua\[VAS_CAJUA_CF_SEC_20230125.xlsx]CF PDP'!</v>
      </c>
      <c r="G433" s="6" t="s">
        <v>36</v>
      </c>
      <c r="H433" s="1">
        <f t="shared" si="98"/>
        <v>49</v>
      </c>
      <c r="I433" s="1" t="str">
        <f t="shared" si="96"/>
        <v>='C:\Users\jaime.benazar\Quorum Business Solutions\Ecopetrol Prometeo - Documents\Planning Space Implementation\3. Analysis &amp; Design\Design\FC22\DRR Jaime\QUIFA-CAJÚA\Cajua\[VAS_CAJUA_CF_SEC_20230125.xlsx]CF PDP'!$BT$49</v>
      </c>
      <c r="J433" s="1" t="s">
        <v>327</v>
      </c>
    </row>
    <row r="434" spans="1:10" x14ac:dyDescent="0.2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Jaime\QUIFA-CAJÚA\Cajua\[VAS_CAJUA_CF_SEC_20230125.xlsx]CF PDP'!</v>
      </c>
      <c r="G434" s="6" t="s">
        <v>36</v>
      </c>
      <c r="H434" s="1">
        <f t="shared" si="98"/>
        <v>50</v>
      </c>
      <c r="I434" s="1" t="str">
        <f t="shared" si="96"/>
        <v>='C:\Users\jaime.benazar\Quorum Business Solutions\Ecopetrol Prometeo - Documents\Planning Space Implementation\3. Analysis &amp; Design\Design\FC22\DRR Jaime\QUIFA-CAJÚA\Cajua\[VAS_CAJUA_CF_SEC_20230125.xlsx]CF PDP'!$BT$50</v>
      </c>
      <c r="J434" s="1" t="s">
        <v>328</v>
      </c>
    </row>
    <row r="435" spans="1:10" x14ac:dyDescent="0.2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Jaime\QUIFA-CAJÚA\Cajua\[VAS_CAJUA_CF_SEC_20230125.xlsx]CF PDP'!</v>
      </c>
      <c r="G435" s="6" t="s">
        <v>36</v>
      </c>
      <c r="H435" s="1">
        <f t="shared" si="98"/>
        <v>51</v>
      </c>
      <c r="I435" s="1" t="str">
        <f t="shared" si="96"/>
        <v>='C:\Users\jaime.benazar\Quorum Business Solutions\Ecopetrol Prometeo - Documents\Planning Space Implementation\3. Analysis &amp; Design\Design\FC22\DRR Jaime\QUIFA-CAJÚA\Cajua\[VAS_CAJUA_CF_SEC_20230125.xlsx]CF PDP'!$BT$51</v>
      </c>
      <c r="J435" s="1" t="s">
        <v>329</v>
      </c>
    </row>
    <row r="436" spans="1:10" x14ac:dyDescent="0.2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Jaime\QUIFA-CAJÚA\Cajua\[VAS_CAJUA_CF_SEC_20230125.xlsx]CF PDP'!</v>
      </c>
      <c r="G436" s="6" t="s">
        <v>36</v>
      </c>
      <c r="H436" s="1">
        <f t="shared" si="98"/>
        <v>52</v>
      </c>
      <c r="I436" s="1" t="str">
        <f t="shared" si="96"/>
        <v>='C:\Users\jaime.benazar\Quorum Business Solutions\Ecopetrol Prometeo - Documents\Planning Space Implementation\3. Analysis &amp; Design\Design\FC22\DRR Jaime\QUIFA-CAJÚA\Cajua\[VAS_CAJUA_CF_SEC_20230125.xlsx]CF PDP'!$BT$52</v>
      </c>
      <c r="J436" s="1" t="s">
        <v>330</v>
      </c>
    </row>
    <row r="437" spans="1:10" x14ac:dyDescent="0.2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Jaime\QUIFA-CAJÚA\Cajua\[VAS_CAJUA_CF_SEC_20230125.xlsx]CF PDP'!</v>
      </c>
      <c r="G437" s="6" t="s">
        <v>36</v>
      </c>
      <c r="H437" s="1">
        <f t="shared" si="98"/>
        <v>53</v>
      </c>
      <c r="I437" s="1" t="str">
        <f t="shared" si="96"/>
        <v>='C:\Users\jaime.benazar\Quorum Business Solutions\Ecopetrol Prometeo - Documents\Planning Space Implementation\3. Analysis &amp; Design\Design\FC22\DRR Jaime\QUIFA-CAJÚA\Cajua\[VAS_CAJUA_CF_SEC_20230125.xlsx]CF PDP'!$BT$53</v>
      </c>
      <c r="J437" s="1" t="s">
        <v>331</v>
      </c>
    </row>
    <row r="438" spans="1:10" x14ac:dyDescent="0.2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Jaime\QUIFA-CAJÚA\Cajua\[VAS_CAJUA_CF_SEC_20230125.xlsx]CF PDP'!</v>
      </c>
      <c r="G438" s="6" t="s">
        <v>36</v>
      </c>
      <c r="H438" s="1">
        <f t="shared" si="98"/>
        <v>54</v>
      </c>
      <c r="I438" s="1" t="str">
        <f t="shared" si="96"/>
        <v>='C:\Users\jaime.benazar\Quorum Business Solutions\Ecopetrol Prometeo - Documents\Planning Space Implementation\3. Analysis &amp; Design\Design\FC22\DRR Jaime\QUIFA-CAJÚA\Cajua\[VAS_CAJUA_CF_SEC_20230125.xlsx]CF PDP'!$BT$54</v>
      </c>
      <c r="J438" s="1" t="s">
        <v>332</v>
      </c>
    </row>
    <row r="439" spans="1:10" x14ac:dyDescent="0.2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Jaime\QUIFA-CAJÚA\Cajua\[VAS_CAJUA_CF_SEC_20230125.xlsx]CF PDP'!</v>
      </c>
      <c r="G439" s="6" t="s">
        <v>36</v>
      </c>
      <c r="H439" s="1">
        <f t="shared" si="98"/>
        <v>55</v>
      </c>
      <c r="I439" s="1" t="str">
        <f t="shared" si="96"/>
        <v>='C:\Users\jaime.benazar\Quorum Business Solutions\Ecopetrol Prometeo - Documents\Planning Space Implementation\3. Analysis &amp; Design\Design\FC22\DRR Jaime\QUIFA-CAJÚA\Cajua\[VAS_CAJUA_CF_SEC_20230125.xlsx]CF PDP'!$BT$55</v>
      </c>
      <c r="J439" s="1" t="s">
        <v>333</v>
      </c>
    </row>
    <row r="440" spans="1:10" x14ac:dyDescent="0.2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Jaime\QUIFA-CAJÚA\Cajua\[VAS_CAJUA_CF_SEC_20230125.xlsx]CF PDP'!</v>
      </c>
      <c r="G440" s="6" t="s">
        <v>36</v>
      </c>
      <c r="H440" s="1">
        <f t="shared" si="98"/>
        <v>56</v>
      </c>
      <c r="I440" s="1" t="str">
        <f t="shared" si="96"/>
        <v>='C:\Users\jaime.benazar\Quorum Business Solutions\Ecopetrol Prometeo - Documents\Planning Space Implementation\3. Analysis &amp; Design\Design\FC22\DRR Jaime\QUIFA-CAJÚA\Cajua\[VAS_CAJUA_CF_SEC_20230125.xlsx]CF PDP'!$BT$56</v>
      </c>
      <c r="J440" s="1" t="s">
        <v>334</v>
      </c>
    </row>
    <row r="441" spans="1:10" x14ac:dyDescent="0.2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Jaime\QUIFA-CAJÚA\Cajua\[VAS_CAJUA_CF_SEC_20230125.xlsx]CF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Jaime\QUIFA-CAJÚA\Cajua\[VAS_CAJUA_CF_SEC_20230125.xlsx]CF PDP'!$BT$57</v>
      </c>
      <c r="J441" s="1" t="s">
        <v>335</v>
      </c>
    </row>
    <row r="442" spans="1:10" x14ac:dyDescent="0.2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Jaime\QUIFA-CAJÚA\Cajua\[VAS_CAJUA_CF_SEC_20230125.xlsx]CF PDP'!</v>
      </c>
      <c r="G442" s="6" t="s">
        <v>36</v>
      </c>
      <c r="H442" s="1">
        <f t="shared" si="103"/>
        <v>58</v>
      </c>
      <c r="I442" s="1" t="str">
        <f t="shared" si="104"/>
        <v>='C:\Users\jaime.benazar\Quorum Business Solutions\Ecopetrol Prometeo - Documents\Planning Space Implementation\3. Analysis &amp; Design\Design\FC22\DRR Jaime\QUIFA-CAJÚA\Cajua\[VAS_CAJUA_CF_SEC_20230125.xlsx]CF PDP'!$BT$58</v>
      </c>
      <c r="J442" s="1" t="s">
        <v>336</v>
      </c>
    </row>
    <row r="443" spans="1:10" x14ac:dyDescent="0.2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Jaime\QUIFA-CAJÚA\Cajua\[VAS_CAJUA_CF_SEC_20230125.xlsx]CF PDP'!</v>
      </c>
      <c r="G443" s="6" t="s">
        <v>36</v>
      </c>
      <c r="H443" s="1">
        <f t="shared" si="103"/>
        <v>59</v>
      </c>
      <c r="I443" s="1" t="str">
        <f t="shared" si="104"/>
        <v>='C:\Users\jaime.benazar\Quorum Business Solutions\Ecopetrol Prometeo - Documents\Planning Space Implementation\3. Analysis &amp; Design\Design\FC22\DRR Jaime\QUIFA-CAJÚA\Cajua\[VAS_CAJUA_CF_SEC_20230125.xlsx]CF PDP'!$BT$59</v>
      </c>
      <c r="J443" s="1" t="s">
        <v>337</v>
      </c>
    </row>
    <row r="444" spans="1:10" x14ac:dyDescent="0.2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Jaime\QUIFA-CAJÚA\Cajua\[VAS_CAJUA_CF_SEC_20230125.xlsx]CF PDP'!</v>
      </c>
      <c r="G444" s="6" t="s">
        <v>36</v>
      </c>
      <c r="H444" s="1">
        <f t="shared" si="103"/>
        <v>60</v>
      </c>
      <c r="I444" s="1" t="str">
        <f t="shared" si="104"/>
        <v>='C:\Users\jaime.benazar\Quorum Business Solutions\Ecopetrol Prometeo - Documents\Planning Space Implementation\3. Analysis &amp; Design\Design\FC22\DRR Jaime\QUIFA-CAJÚA\Cajua\[VAS_CAJUA_CF_SEC_20230125.xlsx]CF PDP'!$BT$60</v>
      </c>
      <c r="J444" s="1" t="s">
        <v>338</v>
      </c>
    </row>
    <row r="445" spans="1:10" x14ac:dyDescent="0.2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Jaime\QUIFA-CAJÚA\Cajua\[VAS_CAJUA_CF_SEC_20230125.xlsx]CF PDP'!</v>
      </c>
      <c r="G445" s="6" t="s">
        <v>36</v>
      </c>
      <c r="H445" s="1">
        <f t="shared" si="103"/>
        <v>61</v>
      </c>
      <c r="I445" s="1" t="str">
        <f t="shared" si="104"/>
        <v>='C:\Users\jaime.benazar\Quorum Business Solutions\Ecopetrol Prometeo - Documents\Planning Space Implementation\3. Analysis &amp; Design\Design\FC22\DRR Jaime\QUIFA-CAJÚA\Cajua\[VAS_CAJUA_CF_SEC_20230125.xlsx]CF PDP'!$BT$61</v>
      </c>
      <c r="J445" s="1" t="s">
        <v>339</v>
      </c>
    </row>
    <row r="446" spans="1:10" x14ac:dyDescent="0.2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Jaime\QUIFA-CAJÚA\Cajua\[VAS_CAJUA_CF_SEC_20230125.xlsx]CF PDP'!</v>
      </c>
      <c r="G446" s="6" t="s">
        <v>36</v>
      </c>
      <c r="H446" s="1">
        <f t="shared" si="103"/>
        <v>62</v>
      </c>
      <c r="I446" s="1" t="str">
        <f t="shared" si="104"/>
        <v>='C:\Users\jaime.benazar\Quorum Business Solutions\Ecopetrol Prometeo - Documents\Planning Space Implementation\3. Analysis &amp; Design\Design\FC22\DRR Jaime\QUIFA-CAJÚA\Cajua\[VAS_CAJUA_CF_SEC_20230125.xlsx]CF PDP'!$BT$62</v>
      </c>
      <c r="J446" s="1" t="s">
        <v>340</v>
      </c>
    </row>
    <row r="447" spans="1:10" x14ac:dyDescent="0.2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Jaime\QUIFA-CAJÚA\Cajua\[VAS_CAJUA_CF_SEC_20230125.xlsx]CF PDP'!</v>
      </c>
      <c r="G447" s="6" t="s">
        <v>36</v>
      </c>
      <c r="H447" s="1">
        <f t="shared" si="103"/>
        <v>63</v>
      </c>
      <c r="I447" s="1" t="str">
        <f t="shared" si="104"/>
        <v>='C:\Users\jaime.benazar\Quorum Business Solutions\Ecopetrol Prometeo - Documents\Planning Space Implementation\3. Analysis &amp; Design\Design\FC22\DRR Jaime\QUIFA-CAJÚA\Cajua\[VAS_CAJUA_CF_SEC_20230125.xlsx]CF PDP'!$BT$63</v>
      </c>
      <c r="J447" s="1" t="s">
        <v>341</v>
      </c>
    </row>
    <row r="448" spans="1:10" x14ac:dyDescent="0.2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Jaime\QUIFA-CAJÚA\Cajua\[VAS_CAJUA_CF_SEC_20230125.xlsx]CF PDP'!</v>
      </c>
      <c r="G448" s="6" t="s">
        <v>36</v>
      </c>
      <c r="H448" s="1">
        <f t="shared" si="103"/>
        <v>64</v>
      </c>
      <c r="I448" s="1" t="str">
        <f t="shared" si="104"/>
        <v>='C:\Users\jaime.benazar\Quorum Business Solutions\Ecopetrol Prometeo - Documents\Planning Space Implementation\3. Analysis &amp; Design\Design\FC22\DRR Jaime\QUIFA-CAJÚA\Cajua\[VAS_CAJUA_CF_SEC_20230125.xlsx]CF PDP'!$BT$64</v>
      </c>
      <c r="J448" s="1" t="s">
        <v>342</v>
      </c>
    </row>
    <row r="449" spans="1:10" x14ac:dyDescent="0.2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Jaime\QUIFA-CAJÚA\Cajua\[VAS_CAJUA_CF_SEC_20230125.xlsx]CF PDP'!</v>
      </c>
      <c r="G449" s="6" t="s">
        <v>36</v>
      </c>
      <c r="H449" s="1">
        <f t="shared" si="103"/>
        <v>65</v>
      </c>
      <c r="I449" s="1" t="str">
        <f t="shared" si="104"/>
        <v>='C:\Users\jaime.benazar\Quorum Business Solutions\Ecopetrol Prometeo - Documents\Planning Space Implementation\3. Analysis &amp; Design\Design\FC22\DRR Jaime\QUIFA-CAJÚA\Cajua\[VAS_CAJUA_CF_SEC_20230125.xlsx]CF PDP'!$BT$65</v>
      </c>
      <c r="J449" s="1" t="s">
        <v>343</v>
      </c>
    </row>
    <row r="450" spans="1:10" x14ac:dyDescent="0.2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Jaime\QUIFA-CAJÚA\Cajua\[VAS_CAJUA_CF_SEC_20230125.xlsx]CF PDP'!</v>
      </c>
      <c r="G450" s="6" t="s">
        <v>36</v>
      </c>
      <c r="H450" s="1">
        <f t="shared" si="103"/>
        <v>66</v>
      </c>
      <c r="I450" s="1" t="str">
        <f t="shared" si="104"/>
        <v>='C:\Users\jaime.benazar\Quorum Business Solutions\Ecopetrol Prometeo - Documents\Planning Space Implementation\3. Analysis &amp; Design\Design\FC22\DRR Jaime\QUIFA-CAJÚA\Cajua\[VAS_CAJUA_CF_SEC_20230125.xlsx]CF PDP'!$BT$66</v>
      </c>
      <c r="J450" s="1" t="s">
        <v>344</v>
      </c>
    </row>
    <row r="451" spans="1:10" x14ac:dyDescent="0.2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Jaime\QUIFA-CAJÚA\Cajua\[VAS_CAJUA_CF_SEC_20230125.xlsx]CF PDP'!</v>
      </c>
      <c r="G451" s="6" t="s">
        <v>36</v>
      </c>
      <c r="H451" s="1">
        <f t="shared" si="103"/>
        <v>67</v>
      </c>
      <c r="I451" s="1" t="str">
        <f t="shared" si="104"/>
        <v>='C:\Users\jaime.benazar\Quorum Business Solutions\Ecopetrol Prometeo - Documents\Planning Space Implementation\3. Analysis &amp; Design\Design\FC22\DRR Jaime\QUIFA-CAJÚA\Cajua\[VAS_CAJUA_CF_SEC_20230125.xlsx]CF PDP'!$BT$67</v>
      </c>
      <c r="J451" s="1" t="s">
        <v>345</v>
      </c>
    </row>
    <row r="452" spans="1:10" x14ac:dyDescent="0.2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Jaime\QUIFA-CAJÚA\Cajua\[VAS_CAJUA_CF_SEC_20230125.xlsx]CF PDP'!</v>
      </c>
      <c r="G452" s="6" t="s">
        <v>36</v>
      </c>
      <c r="H452" s="1">
        <f t="shared" si="103"/>
        <v>68</v>
      </c>
      <c r="I452" s="1" t="str">
        <f t="shared" si="104"/>
        <v>='C:\Users\jaime.benazar\Quorum Business Solutions\Ecopetrol Prometeo - Documents\Planning Space Implementation\3. Analysis &amp; Design\Design\FC22\DRR Jaime\QUIFA-CAJÚA\Cajua\[VAS_CAJUA_CF_SEC_20230125.xlsx]CF PDP'!$BT$68</v>
      </c>
      <c r="J452" s="1" t="s">
        <v>346</v>
      </c>
    </row>
    <row r="453" spans="1:10" x14ac:dyDescent="0.2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Jaime\QUIFA-CAJÚA\Cajua\[VAS_CAJUA_CF_SEC_20230125.xlsx]CF PDP'!</v>
      </c>
      <c r="G453" s="6" t="s">
        <v>36</v>
      </c>
      <c r="H453" s="1">
        <f t="shared" si="103"/>
        <v>69</v>
      </c>
      <c r="I453" s="1" t="str">
        <f t="shared" si="104"/>
        <v>='C:\Users\jaime.benazar\Quorum Business Solutions\Ecopetrol Prometeo - Documents\Planning Space Implementation\3. Analysis &amp; Design\Design\FC22\DRR Jaime\QUIFA-CAJÚA\Cajua\[VAS_CAJUA_CF_SEC_20230125.xlsx]CF PDP'!$BT$69</v>
      </c>
      <c r="J453" s="1" t="s">
        <v>347</v>
      </c>
    </row>
    <row r="454" spans="1:10" x14ac:dyDescent="0.2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Jaime\QUIFA-CAJÚA\Cajua\[VAS_CAJUA_CF_SEC_20230125.xlsx]CF PDP'!</v>
      </c>
      <c r="G454" s="6" t="s">
        <v>36</v>
      </c>
      <c r="H454" s="1">
        <f t="shared" si="103"/>
        <v>70</v>
      </c>
      <c r="I454" s="1" t="str">
        <f t="shared" si="104"/>
        <v>='C:\Users\jaime.benazar\Quorum Business Solutions\Ecopetrol Prometeo - Documents\Planning Space Implementation\3. Analysis &amp; Design\Design\FC22\DRR Jaime\QUIFA-CAJÚA\Cajua\[VAS_CAJUA_CF_SEC_20230125.xlsx]CF PDP'!$BT$70</v>
      </c>
      <c r="J454" s="1" t="s">
        <v>348</v>
      </c>
    </row>
    <row r="455" spans="1:10" x14ac:dyDescent="0.2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Jaime\QUIFA-CAJÚA\Cajua\[VAS_CAJUA_CF_SEC_20230125.xlsx]CF PDP'!</v>
      </c>
      <c r="G455" s="6" t="s">
        <v>36</v>
      </c>
      <c r="H455" s="1">
        <f t="shared" si="103"/>
        <v>71</v>
      </c>
      <c r="I455" s="1" t="str">
        <f t="shared" si="104"/>
        <v>='C:\Users\jaime.benazar\Quorum Business Solutions\Ecopetrol Prometeo - Documents\Planning Space Implementation\3. Analysis &amp; Design\Design\FC22\DRR Jaime\QUIFA-CAJÚA\Cajua\[VAS_CAJUA_CF_SEC_20230125.xlsx]CF PDP'!$BT$71</v>
      </c>
      <c r="J455" s="1" t="s">
        <v>349</v>
      </c>
    </row>
    <row r="456" spans="1:10" x14ac:dyDescent="0.2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Jaime\QUIFA-CAJÚA\Cajua\[VAS_CAJUA_CF_SEC_20230125.xlsx]CF PDP'!</v>
      </c>
      <c r="G456" s="6" t="s">
        <v>36</v>
      </c>
      <c r="H456" s="1">
        <f t="shared" si="103"/>
        <v>72</v>
      </c>
      <c r="I456" s="1" t="str">
        <f t="shared" si="104"/>
        <v>='C:\Users\jaime.benazar\Quorum Business Solutions\Ecopetrol Prometeo - Documents\Planning Space Implementation\3. Analysis &amp; Design\Design\FC22\DRR Jaime\QUIFA-CAJÚA\Cajua\[VAS_CAJUA_CF_SEC_20230125.xlsx]CF PDP'!$BT$72</v>
      </c>
      <c r="J456" s="1" t="s">
        <v>350</v>
      </c>
    </row>
    <row r="457" spans="1:10" x14ac:dyDescent="0.25">
      <c r="A457" s="6" t="s">
        <v>28</v>
      </c>
      <c r="B457" s="6"/>
      <c r="C457" s="1" t="s">
        <v>8</v>
      </c>
      <c r="D457" s="2"/>
      <c r="E457" s="9"/>
      <c r="F457" s="5" t="str">
        <f t="shared" si="88"/>
        <v xml:space="preserve"> </v>
      </c>
      <c r="G457" s="6"/>
      <c r="H457" s="1"/>
      <c r="I457" s="1"/>
      <c r="J457" s="4"/>
    </row>
    <row r="458" spans="1:10" x14ac:dyDescent="0.2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Jaime\QUIFA-CAJÚA\Cajua\[VAS_CAJUA_CF_SEC_20230125.xlsx]CF PNP'!</v>
      </c>
      <c r="G458" s="6" t="s">
        <v>36</v>
      </c>
      <c r="H458" s="1">
        <f>IF(A458&lt;&gt;A442,36,H442+1)</f>
        <v>36</v>
      </c>
      <c r="I458" s="1" t="str">
        <f t="shared" si="96"/>
        <v>='C:\Users\jaime.benazar\Quorum Business Solutions\Ecopetrol Prometeo - Documents\Planning Space Implementation\3. Analysis &amp; Design\Design\FC22\DRR Jaime\QUIFA-CAJÚA\Cajua\[VAS_CAJUA_CF_SEC_20230125.xlsx]CF PNP'!$BT$36</v>
      </c>
      <c r="J458" s="1" t="s">
        <v>351</v>
      </c>
    </row>
    <row r="459" spans="1:10" x14ac:dyDescent="0.2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Jaime\QUIFA-CAJÚA\Cajua\[VAS_CAJUA_CF_SEC_20230125.xlsx]CF PNP'!</v>
      </c>
      <c r="G459" s="6" t="s">
        <v>36</v>
      </c>
      <c r="H459" s="1">
        <f t="shared" si="98"/>
        <v>37</v>
      </c>
      <c r="I459" s="1" t="str">
        <f t="shared" si="96"/>
        <v>='C:\Users\jaime.benazar\Quorum Business Solutions\Ecopetrol Prometeo - Documents\Planning Space Implementation\3. Analysis &amp; Design\Design\FC22\DRR Jaime\QUIFA-CAJÚA\Cajua\[VAS_CAJUA_CF_SEC_20230125.xlsx]CF PNP'!$BT$37</v>
      </c>
      <c r="J459" s="1" t="s">
        <v>352</v>
      </c>
    </row>
    <row r="460" spans="1:10" x14ac:dyDescent="0.2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Jaime\QUIFA-CAJÚA\Cajua\[VAS_CAJUA_CF_SEC_20230125.xlsx]CF PNP'!</v>
      </c>
      <c r="G460" s="6" t="s">
        <v>36</v>
      </c>
      <c r="H460" s="1">
        <f t="shared" si="98"/>
        <v>38</v>
      </c>
      <c r="I460" s="1" t="str">
        <f t="shared" si="96"/>
        <v>='C:\Users\jaime.benazar\Quorum Business Solutions\Ecopetrol Prometeo - Documents\Planning Space Implementation\3. Analysis &amp; Design\Design\FC22\DRR Jaime\QUIFA-CAJÚA\Cajua\[VAS_CAJUA_CF_SEC_20230125.xlsx]CF PNP'!$BT$38</v>
      </c>
      <c r="J460" s="1" t="s">
        <v>353</v>
      </c>
    </row>
    <row r="461" spans="1:10" x14ac:dyDescent="0.2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Jaime\QUIFA-CAJÚA\Cajua\[VAS_CAJUA_CF_SEC_20230125.xlsx]CF PNP'!</v>
      </c>
      <c r="G461" s="6" t="s">
        <v>36</v>
      </c>
      <c r="H461" s="1">
        <f t="shared" si="98"/>
        <v>39</v>
      </c>
      <c r="I461" s="1" t="str">
        <f t="shared" si="96"/>
        <v>='C:\Users\jaime.benazar\Quorum Business Solutions\Ecopetrol Prometeo - Documents\Planning Space Implementation\3. Analysis &amp; Design\Design\FC22\DRR Jaime\QUIFA-CAJÚA\Cajua\[VAS_CAJUA_CF_SEC_20230125.xlsx]CF PNP'!$BT$39</v>
      </c>
      <c r="J461" s="1" t="s">
        <v>354</v>
      </c>
    </row>
    <row r="462" spans="1:10" x14ac:dyDescent="0.2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Jaime\QUIFA-CAJÚA\Cajua\[VAS_CAJUA_CF_SEC_20230125.xlsx]CF PNP'!</v>
      </c>
      <c r="G462" s="6" t="s">
        <v>36</v>
      </c>
      <c r="H462" s="1">
        <f t="shared" si="98"/>
        <v>40</v>
      </c>
      <c r="I462" s="1" t="str">
        <f t="shared" si="96"/>
        <v>='C:\Users\jaime.benazar\Quorum Business Solutions\Ecopetrol Prometeo - Documents\Planning Space Implementation\3. Analysis &amp; Design\Design\FC22\DRR Jaime\QUIFA-CAJÚA\Cajua\[VAS_CAJUA_CF_SEC_20230125.xlsx]CF PNP'!$BT$40</v>
      </c>
      <c r="J462" s="1" t="s">
        <v>355</v>
      </c>
    </row>
    <row r="463" spans="1:10" x14ac:dyDescent="0.2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Jaime\QUIFA-CAJÚA\Cajua\[VAS_CAJUA_CF_SEC_20230125.xlsx]CF PNP'!</v>
      </c>
      <c r="G463" s="6" t="s">
        <v>36</v>
      </c>
      <c r="H463" s="1">
        <f t="shared" si="98"/>
        <v>41</v>
      </c>
      <c r="I463" s="1" t="str">
        <f t="shared" si="96"/>
        <v>='C:\Users\jaime.benazar\Quorum Business Solutions\Ecopetrol Prometeo - Documents\Planning Space Implementation\3. Analysis &amp; Design\Design\FC22\DRR Jaime\QUIFA-CAJÚA\Cajua\[VAS_CAJUA_CF_SEC_20230125.xlsx]CF PNP'!$BT$41</v>
      </c>
      <c r="J463" s="1" t="s">
        <v>356</v>
      </c>
    </row>
    <row r="464" spans="1:10" x14ac:dyDescent="0.2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Jaime\QUIFA-CAJÚA\Cajua\[VAS_CAJUA_CF_SEC_20230125.xlsx]CF PNP'!</v>
      </c>
      <c r="G464" s="6" t="s">
        <v>36</v>
      </c>
      <c r="H464" s="1">
        <f t="shared" si="98"/>
        <v>42</v>
      </c>
      <c r="I464" s="1" t="str">
        <f t="shared" si="96"/>
        <v>='C:\Users\jaime.benazar\Quorum Business Solutions\Ecopetrol Prometeo - Documents\Planning Space Implementation\3. Analysis &amp; Design\Design\FC22\DRR Jaime\QUIFA-CAJÚA\Cajua\[VAS_CAJUA_CF_SEC_20230125.xlsx]CF PNP'!$BT$42</v>
      </c>
      <c r="J464" s="1" t="s">
        <v>357</v>
      </c>
    </row>
    <row r="465" spans="1:10" x14ac:dyDescent="0.2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Jaime\QUIFA-CAJÚA\Cajua\[VAS_CAJUA_CF_SEC_20230125.xlsx]CF PNP'!</v>
      </c>
      <c r="G465" s="6" t="s">
        <v>36</v>
      </c>
      <c r="H465" s="1">
        <f t="shared" si="98"/>
        <v>43</v>
      </c>
      <c r="I465" s="1" t="str">
        <f t="shared" si="96"/>
        <v>='C:\Users\jaime.benazar\Quorum Business Solutions\Ecopetrol Prometeo - Documents\Planning Space Implementation\3. Analysis &amp; Design\Design\FC22\DRR Jaime\QUIFA-CAJÚA\Cajua\[VAS_CAJUA_CF_SEC_20230125.xlsx]CF PNP'!$BT$43</v>
      </c>
      <c r="J465" s="1" t="s">
        <v>358</v>
      </c>
    </row>
    <row r="466" spans="1:10" x14ac:dyDescent="0.2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Jaime\QUIFA-CAJÚA\Cajua\[VAS_CAJUA_CF_SEC_20230125.xlsx]CF PNP'!</v>
      </c>
      <c r="G466" s="6" t="s">
        <v>36</v>
      </c>
      <c r="H466" s="1">
        <f t="shared" si="98"/>
        <v>44</v>
      </c>
      <c r="I466" s="1" t="str">
        <f t="shared" si="96"/>
        <v>='C:\Users\jaime.benazar\Quorum Business Solutions\Ecopetrol Prometeo - Documents\Planning Space Implementation\3. Analysis &amp; Design\Design\FC22\DRR Jaime\QUIFA-CAJÚA\Cajua\[VAS_CAJUA_CF_SEC_20230125.xlsx]CF PNP'!$BT$44</v>
      </c>
      <c r="J466" s="1" t="s">
        <v>359</v>
      </c>
    </row>
    <row r="467" spans="1:10" x14ac:dyDescent="0.2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Jaime\QUIFA-CAJÚA\Cajua\[VAS_CAJUA_CF_SEC_20230125.xlsx]CF PNP'!</v>
      </c>
      <c r="G467" s="6" t="s">
        <v>36</v>
      </c>
      <c r="H467" s="1">
        <f t="shared" si="98"/>
        <v>45</v>
      </c>
      <c r="I467" s="1" t="str">
        <f t="shared" si="96"/>
        <v>='C:\Users\jaime.benazar\Quorum Business Solutions\Ecopetrol Prometeo - Documents\Planning Space Implementation\3. Analysis &amp; Design\Design\FC22\DRR Jaime\QUIFA-CAJÚA\Cajua\[VAS_CAJUA_CF_SEC_20230125.xlsx]CF PNP'!$BT$45</v>
      </c>
      <c r="J467" s="1" t="s">
        <v>360</v>
      </c>
    </row>
    <row r="468" spans="1:10" x14ac:dyDescent="0.2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Jaime\QUIFA-CAJÚA\Cajua\[VAS_CAJUA_CF_SEC_20230125.xlsx]CF PNP'!</v>
      </c>
      <c r="G468" s="6" t="s">
        <v>36</v>
      </c>
      <c r="H468" s="1">
        <f t="shared" si="98"/>
        <v>46</v>
      </c>
      <c r="I468" s="1" t="str">
        <f t="shared" si="96"/>
        <v>='C:\Users\jaime.benazar\Quorum Business Solutions\Ecopetrol Prometeo - Documents\Planning Space Implementation\3. Analysis &amp; Design\Design\FC22\DRR Jaime\QUIFA-CAJÚA\Cajua\[VAS_CAJUA_CF_SEC_20230125.xlsx]CF PNP'!$BT$46</v>
      </c>
      <c r="J468" s="1" t="s">
        <v>361</v>
      </c>
    </row>
    <row r="469" spans="1:10" x14ac:dyDescent="0.2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Jaime\QUIFA-CAJÚA\Cajua\[VAS_CAJUA_CF_SEC_20230125.xlsx]CF PNP'!</v>
      </c>
      <c r="G469" s="6" t="s">
        <v>36</v>
      </c>
      <c r="H469" s="1">
        <f t="shared" si="98"/>
        <v>47</v>
      </c>
      <c r="I469" s="1" t="str">
        <f t="shared" si="96"/>
        <v>='C:\Users\jaime.benazar\Quorum Business Solutions\Ecopetrol Prometeo - Documents\Planning Space Implementation\3. Analysis &amp; Design\Design\FC22\DRR Jaime\QUIFA-CAJÚA\Cajua\[VAS_CAJUA_CF_SEC_20230125.xlsx]CF PNP'!$BT$47</v>
      </c>
      <c r="J469" s="1" t="s">
        <v>362</v>
      </c>
    </row>
    <row r="470" spans="1:10" x14ac:dyDescent="0.2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Jaime\QUIFA-CAJÚA\Cajua\[VAS_CAJUA_CF_SEC_20230125.xlsx]CF PNP'!</v>
      </c>
      <c r="G470" s="6" t="s">
        <v>36</v>
      </c>
      <c r="H470" s="1">
        <f t="shared" si="98"/>
        <v>48</v>
      </c>
      <c r="I470" s="1" t="str">
        <f t="shared" si="96"/>
        <v>='C:\Users\jaime.benazar\Quorum Business Solutions\Ecopetrol Prometeo - Documents\Planning Space Implementation\3. Analysis &amp; Design\Design\FC22\DRR Jaime\QUIFA-CAJÚA\Cajua\[VAS_CAJUA_CF_SEC_20230125.xlsx]CF PNP'!$BT$48</v>
      </c>
      <c r="J470" s="1" t="s">
        <v>363</v>
      </c>
    </row>
    <row r="471" spans="1:10" x14ac:dyDescent="0.2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Jaime\QUIFA-CAJÚA\Cajua\[VAS_CAJUA_CF_SEC_20230125.xlsx]CF PNP'!</v>
      </c>
      <c r="G471" s="6" t="s">
        <v>36</v>
      </c>
      <c r="H471" s="1">
        <f t="shared" si="98"/>
        <v>49</v>
      </c>
      <c r="I471" s="1" t="str">
        <f t="shared" si="96"/>
        <v>='C:\Users\jaime.benazar\Quorum Business Solutions\Ecopetrol Prometeo - Documents\Planning Space Implementation\3. Analysis &amp; Design\Design\FC22\DRR Jaime\QUIFA-CAJÚA\Cajua\[VAS_CAJUA_CF_SEC_20230125.xlsx]CF PNP'!$BT$49</v>
      </c>
      <c r="J471" s="1" t="s">
        <v>364</v>
      </c>
    </row>
    <row r="472" spans="1:10" x14ac:dyDescent="0.2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Jaime\QUIFA-CAJÚA\Cajua\[VAS_CAJUA_CF_SEC_20230125.xlsx]CF PNP'!</v>
      </c>
      <c r="G472" s="6" t="s">
        <v>36</v>
      </c>
      <c r="H472" s="1">
        <f t="shared" si="98"/>
        <v>50</v>
      </c>
      <c r="I472" s="1" t="str">
        <f t="shared" si="96"/>
        <v>='C:\Users\jaime.benazar\Quorum Business Solutions\Ecopetrol Prometeo - Documents\Planning Space Implementation\3. Analysis &amp; Design\Design\FC22\DRR Jaime\QUIFA-CAJÚA\Cajua\[VAS_CAJUA_CF_SEC_20230125.xlsx]CF PNP'!$BT$50</v>
      </c>
      <c r="J472" s="1" t="s">
        <v>365</v>
      </c>
    </row>
    <row r="473" spans="1:10" x14ac:dyDescent="0.2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Jaime\QUIFA-CAJÚA\Cajua\[VAS_CAJUA_CF_SEC_20230125.xlsx]CF PNP'!</v>
      </c>
      <c r="G473" s="6" t="s">
        <v>36</v>
      </c>
      <c r="H473" s="1">
        <f t="shared" si="98"/>
        <v>51</v>
      </c>
      <c r="I473" s="1" t="str">
        <f t="shared" si="96"/>
        <v>='C:\Users\jaime.benazar\Quorum Business Solutions\Ecopetrol Prometeo - Documents\Planning Space Implementation\3. Analysis &amp; Design\Design\FC22\DRR Jaime\QUIFA-CAJÚA\Cajua\[VAS_CAJUA_CF_SEC_20230125.xlsx]CF PNP'!$BT$51</v>
      </c>
      <c r="J473" s="1" t="s">
        <v>366</v>
      </c>
    </row>
    <row r="474" spans="1:10" x14ac:dyDescent="0.2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Jaime\QUIFA-CAJÚA\Cajua\[VAS_CAJUA_CF_SEC_20230125.xlsx]CF PNP'!</v>
      </c>
      <c r="G474" s="6" t="s">
        <v>36</v>
      </c>
      <c r="H474" s="1">
        <f t="shared" si="98"/>
        <v>52</v>
      </c>
      <c r="I474" s="1" t="str">
        <f t="shared" si="96"/>
        <v>='C:\Users\jaime.benazar\Quorum Business Solutions\Ecopetrol Prometeo - Documents\Planning Space Implementation\3. Analysis &amp; Design\Design\FC22\DRR Jaime\QUIFA-CAJÚA\Cajua\[VAS_CAJUA_CF_SEC_20230125.xlsx]CF PNP'!$BT$52</v>
      </c>
      <c r="J474" s="1" t="s">
        <v>367</v>
      </c>
    </row>
    <row r="475" spans="1:10" x14ac:dyDescent="0.2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Jaime\QUIFA-CAJÚA\Cajua\[VAS_CAJUA_CF_SEC_20230125.xlsx]CF PNP'!</v>
      </c>
      <c r="G475" s="6" t="s">
        <v>36</v>
      </c>
      <c r="H475" s="1">
        <f t="shared" si="98"/>
        <v>53</v>
      </c>
      <c r="I475" s="1" t="str">
        <f t="shared" si="96"/>
        <v>='C:\Users\jaime.benazar\Quorum Business Solutions\Ecopetrol Prometeo - Documents\Planning Space Implementation\3. Analysis &amp; Design\Design\FC22\DRR Jaime\QUIFA-CAJÚA\Cajua\[VAS_CAJUA_CF_SEC_20230125.xlsx]CF PNP'!$BT$53</v>
      </c>
      <c r="J475" s="1" t="s">
        <v>368</v>
      </c>
    </row>
    <row r="476" spans="1:10" x14ac:dyDescent="0.2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Jaime\QUIFA-CAJÚA\Cajua\[VAS_CAJUA_CF_SEC_20230125.xlsx]CF PNP'!</v>
      </c>
      <c r="G476" s="6" t="s">
        <v>36</v>
      </c>
      <c r="H476" s="1">
        <f t="shared" si="98"/>
        <v>54</v>
      </c>
      <c r="I476" s="1" t="str">
        <f t="shared" si="96"/>
        <v>='C:\Users\jaime.benazar\Quorum Business Solutions\Ecopetrol Prometeo - Documents\Planning Space Implementation\3. Analysis &amp; Design\Design\FC22\DRR Jaime\QUIFA-CAJÚA\Cajua\[VAS_CAJUA_CF_SEC_20230125.xlsx]CF PNP'!$BT$54</v>
      </c>
      <c r="J476" s="1" t="s">
        <v>369</v>
      </c>
    </row>
    <row r="477" spans="1:10" x14ac:dyDescent="0.2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Jaime\QUIFA-CAJÚA\Cajua\[VAS_CAJUA_CF_SEC_20230125.xlsx]CF PNP'!</v>
      </c>
      <c r="G477" s="6" t="s">
        <v>36</v>
      </c>
      <c r="H477" s="1">
        <f t="shared" si="98"/>
        <v>55</v>
      </c>
      <c r="I477" s="1" t="str">
        <f t="shared" si="96"/>
        <v>='C:\Users\jaime.benazar\Quorum Business Solutions\Ecopetrol Prometeo - Documents\Planning Space Implementation\3. Analysis &amp; Design\Design\FC22\DRR Jaime\QUIFA-CAJÚA\Cajua\[VAS_CAJUA_CF_SEC_20230125.xlsx]CF PNP'!$BT$55</v>
      </c>
      <c r="J477" s="1" t="s">
        <v>370</v>
      </c>
    </row>
    <row r="478" spans="1:10" x14ac:dyDescent="0.2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Jaime\QUIFA-CAJÚA\Cajua\[VAS_CAJUA_CF_SEC_20230125.xlsx]CF PNP'!</v>
      </c>
      <c r="G478" s="6" t="s">
        <v>36</v>
      </c>
      <c r="H478" s="1">
        <f t="shared" si="98"/>
        <v>56</v>
      </c>
      <c r="I478" s="1" t="str">
        <f t="shared" si="96"/>
        <v>='C:\Users\jaime.benazar\Quorum Business Solutions\Ecopetrol Prometeo - Documents\Planning Space Implementation\3. Analysis &amp; Design\Design\FC22\DRR Jaime\QUIFA-CAJÚA\Cajua\[VAS_CAJUA_CF_SEC_20230125.xlsx]CF PNP'!$BT$56</v>
      </c>
      <c r="J478" s="1" t="s">
        <v>371</v>
      </c>
    </row>
    <row r="479" spans="1:10" x14ac:dyDescent="0.2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Jaime\QUIFA-CAJÚA\Cajua\[VAS_CAJUA_CF_SEC_20230125.xlsx]CF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Jaime\QUIFA-CAJÚA\Cajua\[VAS_CAJUA_CF_SEC_20230125.xlsx]CF PNP'!$BT$57</v>
      </c>
      <c r="J479" s="1" t="s">
        <v>372</v>
      </c>
    </row>
    <row r="480" spans="1:10" x14ac:dyDescent="0.2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Jaime\QUIFA-CAJÚA\Cajua\[VAS_CAJUA_CF_SEC_20230125.xlsx]CF PNP'!</v>
      </c>
      <c r="G480" s="6" t="s">
        <v>36</v>
      </c>
      <c r="H480" s="1">
        <f t="shared" si="111"/>
        <v>58</v>
      </c>
      <c r="I480" s="1" t="str">
        <f t="shared" si="112"/>
        <v>='C:\Users\jaime.benazar\Quorum Business Solutions\Ecopetrol Prometeo - Documents\Planning Space Implementation\3. Analysis &amp; Design\Design\FC22\DRR Jaime\QUIFA-CAJÚA\Cajua\[VAS_CAJUA_CF_SEC_20230125.xlsx]CF PNP'!$BT$58</v>
      </c>
      <c r="J480" s="1" t="s">
        <v>373</v>
      </c>
    </row>
    <row r="481" spans="1:10" x14ac:dyDescent="0.2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Jaime\QUIFA-CAJÚA\Cajua\[VAS_CAJUA_CF_SEC_20230125.xlsx]CF PNP'!</v>
      </c>
      <c r="G481" s="6" t="s">
        <v>36</v>
      </c>
      <c r="H481" s="1">
        <f t="shared" si="111"/>
        <v>59</v>
      </c>
      <c r="I481" s="1" t="str">
        <f t="shared" si="112"/>
        <v>='C:\Users\jaime.benazar\Quorum Business Solutions\Ecopetrol Prometeo - Documents\Planning Space Implementation\3. Analysis &amp; Design\Design\FC22\DRR Jaime\QUIFA-CAJÚA\Cajua\[VAS_CAJUA_CF_SEC_20230125.xlsx]CF PNP'!$BT$59</v>
      </c>
      <c r="J481" s="1" t="s">
        <v>374</v>
      </c>
    </row>
    <row r="482" spans="1:10" x14ac:dyDescent="0.2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Jaime\QUIFA-CAJÚA\Cajua\[VAS_CAJUA_CF_SEC_20230125.xlsx]CF PNP'!</v>
      </c>
      <c r="G482" s="6" t="s">
        <v>36</v>
      </c>
      <c r="H482" s="1">
        <f t="shared" si="111"/>
        <v>60</v>
      </c>
      <c r="I482" s="1" t="str">
        <f t="shared" si="112"/>
        <v>='C:\Users\jaime.benazar\Quorum Business Solutions\Ecopetrol Prometeo - Documents\Planning Space Implementation\3. Analysis &amp; Design\Design\FC22\DRR Jaime\QUIFA-CAJÚA\Cajua\[VAS_CAJUA_CF_SEC_20230125.xlsx]CF PNP'!$BT$60</v>
      </c>
      <c r="J482" s="1" t="s">
        <v>375</v>
      </c>
    </row>
    <row r="483" spans="1:10" x14ac:dyDescent="0.2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Jaime\QUIFA-CAJÚA\Cajua\[VAS_CAJUA_CF_SEC_20230125.xlsx]CF PNP'!</v>
      </c>
      <c r="G483" s="6" t="s">
        <v>36</v>
      </c>
      <c r="H483" s="1">
        <f t="shared" si="111"/>
        <v>61</v>
      </c>
      <c r="I483" s="1" t="str">
        <f t="shared" si="112"/>
        <v>='C:\Users\jaime.benazar\Quorum Business Solutions\Ecopetrol Prometeo - Documents\Planning Space Implementation\3. Analysis &amp; Design\Design\FC22\DRR Jaime\QUIFA-CAJÚA\Cajua\[VAS_CAJUA_CF_SEC_20230125.xlsx]CF PNP'!$BT$61</v>
      </c>
      <c r="J483" s="1" t="s">
        <v>376</v>
      </c>
    </row>
    <row r="484" spans="1:10" x14ac:dyDescent="0.2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Jaime\QUIFA-CAJÚA\Cajua\[VAS_CAJUA_CF_SEC_20230125.xlsx]CF PNP'!</v>
      </c>
      <c r="G484" s="6" t="s">
        <v>36</v>
      </c>
      <c r="H484" s="1">
        <f t="shared" si="111"/>
        <v>62</v>
      </c>
      <c r="I484" s="1" t="str">
        <f t="shared" si="112"/>
        <v>='C:\Users\jaime.benazar\Quorum Business Solutions\Ecopetrol Prometeo - Documents\Planning Space Implementation\3. Analysis &amp; Design\Design\FC22\DRR Jaime\QUIFA-CAJÚA\Cajua\[VAS_CAJUA_CF_SEC_20230125.xlsx]CF PNP'!$BT$62</v>
      </c>
      <c r="J484" s="1" t="s">
        <v>377</v>
      </c>
    </row>
    <row r="485" spans="1:10" x14ac:dyDescent="0.2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Jaime\QUIFA-CAJÚA\Cajua\[VAS_CAJUA_CF_SEC_20230125.xlsx]CF PNP'!</v>
      </c>
      <c r="G485" s="6" t="s">
        <v>36</v>
      </c>
      <c r="H485" s="1">
        <f t="shared" si="111"/>
        <v>63</v>
      </c>
      <c r="I485" s="1" t="str">
        <f t="shared" si="112"/>
        <v>='C:\Users\jaime.benazar\Quorum Business Solutions\Ecopetrol Prometeo - Documents\Planning Space Implementation\3. Analysis &amp; Design\Design\FC22\DRR Jaime\QUIFA-CAJÚA\Cajua\[VAS_CAJUA_CF_SEC_20230125.xlsx]CF PNP'!$BT$63</v>
      </c>
      <c r="J485" s="1" t="s">
        <v>378</v>
      </c>
    </row>
    <row r="486" spans="1:10" x14ac:dyDescent="0.2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Jaime\QUIFA-CAJÚA\Cajua\[VAS_CAJUA_CF_SEC_20230125.xlsx]CF PNP'!</v>
      </c>
      <c r="G486" s="6" t="s">
        <v>36</v>
      </c>
      <c r="H486" s="1">
        <f t="shared" si="111"/>
        <v>64</v>
      </c>
      <c r="I486" s="1" t="str">
        <f t="shared" si="112"/>
        <v>='C:\Users\jaime.benazar\Quorum Business Solutions\Ecopetrol Prometeo - Documents\Planning Space Implementation\3. Analysis &amp; Design\Design\FC22\DRR Jaime\QUIFA-CAJÚA\Cajua\[VAS_CAJUA_CF_SEC_20230125.xlsx]CF PNP'!$BT$64</v>
      </c>
      <c r="J486" s="1" t="s">
        <v>379</v>
      </c>
    </row>
    <row r="487" spans="1:10" x14ac:dyDescent="0.2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Jaime\QUIFA-CAJÚA\Cajua\[VAS_CAJUA_CF_SEC_20230125.xlsx]CF PNP'!</v>
      </c>
      <c r="G487" s="6" t="s">
        <v>36</v>
      </c>
      <c r="H487" s="1">
        <f t="shared" si="111"/>
        <v>65</v>
      </c>
      <c r="I487" s="1" t="str">
        <f t="shared" si="112"/>
        <v>='C:\Users\jaime.benazar\Quorum Business Solutions\Ecopetrol Prometeo - Documents\Planning Space Implementation\3. Analysis &amp; Design\Design\FC22\DRR Jaime\QUIFA-CAJÚA\Cajua\[VAS_CAJUA_CF_SEC_20230125.xlsx]CF PNP'!$BT$65</v>
      </c>
      <c r="J487" s="1" t="s">
        <v>380</v>
      </c>
    </row>
    <row r="488" spans="1:10" x14ac:dyDescent="0.2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Jaime\QUIFA-CAJÚA\Cajua\[VAS_CAJUA_CF_SEC_20230125.xlsx]CF PNP'!</v>
      </c>
      <c r="G488" s="6" t="s">
        <v>36</v>
      </c>
      <c r="H488" s="1">
        <f t="shared" si="111"/>
        <v>66</v>
      </c>
      <c r="I488" s="1" t="str">
        <f t="shared" si="112"/>
        <v>='C:\Users\jaime.benazar\Quorum Business Solutions\Ecopetrol Prometeo - Documents\Planning Space Implementation\3. Analysis &amp; Design\Design\FC22\DRR Jaime\QUIFA-CAJÚA\Cajua\[VAS_CAJUA_CF_SEC_20230125.xlsx]CF PNP'!$BT$66</v>
      </c>
      <c r="J488" s="1" t="s">
        <v>381</v>
      </c>
    </row>
    <row r="489" spans="1:10" x14ac:dyDescent="0.2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Jaime\QUIFA-CAJÚA\Cajua\[VAS_CAJUA_CF_SEC_20230125.xlsx]CF PNP'!</v>
      </c>
      <c r="G489" s="6" t="s">
        <v>36</v>
      </c>
      <c r="H489" s="1">
        <f t="shared" si="111"/>
        <v>67</v>
      </c>
      <c r="I489" s="1" t="str">
        <f t="shared" si="112"/>
        <v>='C:\Users\jaime.benazar\Quorum Business Solutions\Ecopetrol Prometeo - Documents\Planning Space Implementation\3. Analysis &amp; Design\Design\FC22\DRR Jaime\QUIFA-CAJÚA\Cajua\[VAS_CAJUA_CF_SEC_20230125.xlsx]CF PNP'!$BT$67</v>
      </c>
      <c r="J489" s="1" t="s">
        <v>382</v>
      </c>
    </row>
    <row r="490" spans="1:10" x14ac:dyDescent="0.2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Jaime\QUIFA-CAJÚA\Cajua\[VAS_CAJUA_CF_SEC_20230125.xlsx]CF PNP'!</v>
      </c>
      <c r="G490" s="6" t="s">
        <v>36</v>
      </c>
      <c r="H490" s="1">
        <f t="shared" si="111"/>
        <v>68</v>
      </c>
      <c r="I490" s="1" t="str">
        <f t="shared" si="112"/>
        <v>='C:\Users\jaime.benazar\Quorum Business Solutions\Ecopetrol Prometeo - Documents\Planning Space Implementation\3. Analysis &amp; Design\Design\FC22\DRR Jaime\QUIFA-CAJÚA\Cajua\[VAS_CAJUA_CF_SEC_20230125.xlsx]CF PNP'!$BT$68</v>
      </c>
      <c r="J490" s="1" t="s">
        <v>383</v>
      </c>
    </row>
    <row r="491" spans="1:10" x14ac:dyDescent="0.2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Jaime\QUIFA-CAJÚA\Cajua\[VAS_CAJUA_CF_SEC_20230125.xlsx]CF PNP'!</v>
      </c>
      <c r="G491" s="6" t="s">
        <v>36</v>
      </c>
      <c r="H491" s="1">
        <f t="shared" si="111"/>
        <v>69</v>
      </c>
      <c r="I491" s="1" t="str">
        <f t="shared" si="112"/>
        <v>='C:\Users\jaime.benazar\Quorum Business Solutions\Ecopetrol Prometeo - Documents\Planning Space Implementation\3. Analysis &amp; Design\Design\FC22\DRR Jaime\QUIFA-CAJÚA\Cajua\[VAS_CAJUA_CF_SEC_20230125.xlsx]CF PNP'!$BT$69</v>
      </c>
      <c r="J491" s="1" t="s">
        <v>384</v>
      </c>
    </row>
    <row r="492" spans="1:10" x14ac:dyDescent="0.2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Jaime\QUIFA-CAJÚA\Cajua\[VAS_CAJUA_CF_SEC_20230125.xlsx]CF PNP'!</v>
      </c>
      <c r="G492" s="6" t="s">
        <v>36</v>
      </c>
      <c r="H492" s="1">
        <f t="shared" si="111"/>
        <v>70</v>
      </c>
      <c r="I492" s="1" t="str">
        <f t="shared" si="112"/>
        <v>='C:\Users\jaime.benazar\Quorum Business Solutions\Ecopetrol Prometeo - Documents\Planning Space Implementation\3. Analysis &amp; Design\Design\FC22\DRR Jaime\QUIFA-CAJÚA\Cajua\[VAS_CAJUA_CF_SEC_20230125.xlsx]CF PNP'!$BT$70</v>
      </c>
      <c r="J492" s="1" t="s">
        <v>385</v>
      </c>
    </row>
    <row r="493" spans="1:10" x14ac:dyDescent="0.2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Jaime\QUIFA-CAJÚA\Cajua\[VAS_CAJUA_CF_SEC_20230125.xlsx]CF PNP'!</v>
      </c>
      <c r="G493" s="6" t="s">
        <v>36</v>
      </c>
      <c r="H493" s="1">
        <f t="shared" si="111"/>
        <v>71</v>
      </c>
      <c r="I493" s="1" t="str">
        <f t="shared" si="112"/>
        <v>='C:\Users\jaime.benazar\Quorum Business Solutions\Ecopetrol Prometeo - Documents\Planning Space Implementation\3. Analysis &amp; Design\Design\FC22\DRR Jaime\QUIFA-CAJÚA\Cajua\[VAS_CAJUA_CF_SEC_20230125.xlsx]CF PNP'!$BT$71</v>
      </c>
      <c r="J493" s="1" t="s">
        <v>386</v>
      </c>
    </row>
    <row r="494" spans="1:10" x14ac:dyDescent="0.2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Jaime\QUIFA-CAJÚA\Cajua\[VAS_CAJUA_CF_SEC_20230125.xlsx]CF PNP'!</v>
      </c>
      <c r="G494" s="6" t="s">
        <v>36</v>
      </c>
      <c r="H494" s="1">
        <f t="shared" si="111"/>
        <v>72</v>
      </c>
      <c r="I494" s="1" t="str">
        <f t="shared" si="112"/>
        <v>='C:\Users\jaime.benazar\Quorum Business Solutions\Ecopetrol Prometeo - Documents\Planning Space Implementation\3. Analysis &amp; Design\Design\FC22\DRR Jaime\QUIFA-CAJÚA\Cajua\[VAS_CAJUA_CF_SEC_20230125.xlsx]CF PNP'!$BT$72</v>
      </c>
      <c r="J494" s="1" t="s">
        <v>387</v>
      </c>
    </row>
    <row r="495" spans="1:10" x14ac:dyDescent="0.25">
      <c r="A495" s="6" t="s">
        <v>28</v>
      </c>
      <c r="B495" s="6"/>
      <c r="C495" s="1" t="s">
        <v>8</v>
      </c>
      <c r="D495" s="2"/>
      <c r="E495" s="9"/>
      <c r="F495" s="5" t="str">
        <f t="shared" si="88"/>
        <v xml:space="preserve"> </v>
      </c>
      <c r="G495" s="6"/>
      <c r="H495" s="1"/>
      <c r="I495" s="1"/>
      <c r="J495" s="4"/>
    </row>
    <row r="496" spans="1:10" x14ac:dyDescent="0.2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Jaime\QUIFA-CAJÚA\Cajua\[VAS_CAJUA_CF_SEC_20230125.xlsx]CF PND'!</v>
      </c>
      <c r="G496" s="6" t="s">
        <v>36</v>
      </c>
      <c r="H496" s="1">
        <f>IF(A496&lt;&gt;A480,36,H480+1)</f>
        <v>36</v>
      </c>
      <c r="I496" s="1" t="str">
        <f t="shared" si="96"/>
        <v>='C:\Users\jaime.benazar\Quorum Business Solutions\Ecopetrol Prometeo - Documents\Planning Space Implementation\3. Analysis &amp; Design\Design\FC22\DRR Jaime\QUIFA-CAJÚA\Cajua\[VAS_CAJUA_CF_SEC_20230125.xlsx]CF PND'!$BT$36</v>
      </c>
      <c r="J496" s="1" t="s">
        <v>388</v>
      </c>
    </row>
    <row r="497" spans="1:10" x14ac:dyDescent="0.2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Jaime\QUIFA-CAJÚA\Cajua\[VAS_CAJUA_CF_SEC_20230125.xlsx]CF PND'!</v>
      </c>
      <c r="G497" s="6" t="s">
        <v>36</v>
      </c>
      <c r="H497" s="1">
        <f t="shared" si="98"/>
        <v>37</v>
      </c>
      <c r="I497" s="1" t="str">
        <f t="shared" si="96"/>
        <v>='C:\Users\jaime.benazar\Quorum Business Solutions\Ecopetrol Prometeo - Documents\Planning Space Implementation\3. Analysis &amp; Design\Design\FC22\DRR Jaime\QUIFA-CAJÚA\Cajua\[VAS_CAJUA_CF_SEC_20230125.xlsx]CF PND'!$BT$37</v>
      </c>
      <c r="J497" s="1" t="s">
        <v>389</v>
      </c>
    </row>
    <row r="498" spans="1:10" x14ac:dyDescent="0.2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Jaime\QUIFA-CAJÚA\Cajua\[VAS_CAJUA_CF_SEC_20230125.xlsx]CF PND'!</v>
      </c>
      <c r="G498" s="6" t="s">
        <v>36</v>
      </c>
      <c r="H498" s="1">
        <f t="shared" si="98"/>
        <v>38</v>
      </c>
      <c r="I498" s="1" t="str">
        <f t="shared" si="96"/>
        <v>='C:\Users\jaime.benazar\Quorum Business Solutions\Ecopetrol Prometeo - Documents\Planning Space Implementation\3. Analysis &amp; Design\Design\FC22\DRR Jaime\QUIFA-CAJÚA\Cajua\[VAS_CAJUA_CF_SEC_20230125.xlsx]CF PND'!$BT$38</v>
      </c>
      <c r="J498" s="1" t="s">
        <v>390</v>
      </c>
    </row>
    <row r="499" spans="1:10" x14ac:dyDescent="0.2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Jaime\QUIFA-CAJÚA\Cajua\[VAS_CAJUA_CF_SEC_20230125.xlsx]CF PND'!</v>
      </c>
      <c r="G499" s="6" t="s">
        <v>36</v>
      </c>
      <c r="H499" s="1">
        <f t="shared" si="98"/>
        <v>39</v>
      </c>
      <c r="I499" s="1" t="str">
        <f t="shared" si="96"/>
        <v>='C:\Users\jaime.benazar\Quorum Business Solutions\Ecopetrol Prometeo - Documents\Planning Space Implementation\3. Analysis &amp; Design\Design\FC22\DRR Jaime\QUIFA-CAJÚA\Cajua\[VAS_CAJUA_CF_SEC_20230125.xlsx]CF PND'!$BT$39</v>
      </c>
      <c r="J499" s="1" t="s">
        <v>391</v>
      </c>
    </row>
    <row r="500" spans="1:10" x14ac:dyDescent="0.2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Jaime\QUIFA-CAJÚA\Cajua\[VAS_CAJUA_CF_SEC_20230125.xlsx]CF PND'!</v>
      </c>
      <c r="G500" s="6" t="s">
        <v>36</v>
      </c>
      <c r="H500" s="1">
        <f t="shared" si="98"/>
        <v>40</v>
      </c>
      <c r="I500" s="1" t="str">
        <f t="shared" si="96"/>
        <v>='C:\Users\jaime.benazar\Quorum Business Solutions\Ecopetrol Prometeo - Documents\Planning Space Implementation\3. Analysis &amp; Design\Design\FC22\DRR Jaime\QUIFA-CAJÚA\Cajua\[VAS_CAJUA_CF_SEC_20230125.xlsx]CF PND'!$BT$40</v>
      </c>
      <c r="J500" s="1" t="s">
        <v>392</v>
      </c>
    </row>
    <row r="501" spans="1:10" x14ac:dyDescent="0.2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Jaime\QUIFA-CAJÚA\Cajua\[VAS_CAJUA_CF_SEC_20230125.xlsx]CF PND'!</v>
      </c>
      <c r="G501" s="6" t="s">
        <v>36</v>
      </c>
      <c r="H501" s="1">
        <f t="shared" si="98"/>
        <v>41</v>
      </c>
      <c r="I501" s="1" t="str">
        <f t="shared" si="96"/>
        <v>='C:\Users\jaime.benazar\Quorum Business Solutions\Ecopetrol Prometeo - Documents\Planning Space Implementation\3. Analysis &amp; Design\Design\FC22\DRR Jaime\QUIFA-CAJÚA\Cajua\[VAS_CAJUA_CF_SEC_20230125.xlsx]CF PND'!$BT$41</v>
      </c>
      <c r="J501" s="1" t="s">
        <v>393</v>
      </c>
    </row>
    <row r="502" spans="1:10" x14ac:dyDescent="0.2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Jaime\QUIFA-CAJÚA\Cajua\[VAS_CAJUA_CF_SEC_20230125.xlsx]CF PND'!</v>
      </c>
      <c r="G502" s="6" t="s">
        <v>36</v>
      </c>
      <c r="H502" s="1">
        <f t="shared" si="98"/>
        <v>42</v>
      </c>
      <c r="I502" s="1" t="str">
        <f t="shared" si="96"/>
        <v>='C:\Users\jaime.benazar\Quorum Business Solutions\Ecopetrol Prometeo - Documents\Planning Space Implementation\3. Analysis &amp; Design\Design\FC22\DRR Jaime\QUIFA-CAJÚA\Cajua\[VAS_CAJUA_CF_SEC_20230125.xlsx]CF PND'!$BT$42</v>
      </c>
      <c r="J502" s="1" t="s">
        <v>394</v>
      </c>
    </row>
    <row r="503" spans="1:10" x14ac:dyDescent="0.2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Jaime\QUIFA-CAJÚA\Cajua\[VAS_CAJUA_CF_SEC_20230125.xlsx]CF PND'!</v>
      </c>
      <c r="G503" s="6" t="s">
        <v>36</v>
      </c>
      <c r="H503" s="1">
        <f t="shared" si="98"/>
        <v>43</v>
      </c>
      <c r="I503" s="1" t="str">
        <f t="shared" si="96"/>
        <v>='C:\Users\jaime.benazar\Quorum Business Solutions\Ecopetrol Prometeo - Documents\Planning Space Implementation\3. Analysis &amp; Design\Design\FC22\DRR Jaime\QUIFA-CAJÚA\Cajua\[VAS_CAJUA_CF_SEC_20230125.xlsx]CF PND'!$BT$43</v>
      </c>
      <c r="J503" s="1" t="s">
        <v>395</v>
      </c>
    </row>
    <row r="504" spans="1:10" x14ac:dyDescent="0.2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Jaime\QUIFA-CAJÚA\Cajua\[VAS_CAJUA_CF_SEC_20230125.xlsx]CF PND'!</v>
      </c>
      <c r="G504" s="6" t="s">
        <v>36</v>
      </c>
      <c r="H504" s="1">
        <f t="shared" si="98"/>
        <v>44</v>
      </c>
      <c r="I504" s="1" t="str">
        <f t="shared" si="96"/>
        <v>='C:\Users\jaime.benazar\Quorum Business Solutions\Ecopetrol Prometeo - Documents\Planning Space Implementation\3. Analysis &amp; Design\Design\FC22\DRR Jaime\QUIFA-CAJÚA\Cajua\[VAS_CAJUA_CF_SEC_20230125.xlsx]CF PND'!$BT$44</v>
      </c>
      <c r="J504" s="1" t="s">
        <v>396</v>
      </c>
    </row>
    <row r="505" spans="1:10" x14ac:dyDescent="0.2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Jaime\QUIFA-CAJÚA\Cajua\[VAS_CAJUA_CF_SEC_20230125.xlsx]CF PND'!</v>
      </c>
      <c r="G505" s="6" t="s">
        <v>36</v>
      </c>
      <c r="H505" s="1">
        <f t="shared" si="98"/>
        <v>45</v>
      </c>
      <c r="I505" s="1" t="str">
        <f t="shared" si="96"/>
        <v>='C:\Users\jaime.benazar\Quorum Business Solutions\Ecopetrol Prometeo - Documents\Planning Space Implementation\3. Analysis &amp; Design\Design\FC22\DRR Jaime\QUIFA-CAJÚA\Cajua\[VAS_CAJUA_CF_SEC_20230125.xlsx]CF PND'!$BT$45</v>
      </c>
      <c r="J505" s="1" t="s">
        <v>397</v>
      </c>
    </row>
    <row r="506" spans="1:10" x14ac:dyDescent="0.2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Jaime\QUIFA-CAJÚA\Cajua\[VAS_CAJUA_CF_SEC_20230125.xlsx]CF PND'!</v>
      </c>
      <c r="G506" s="6" t="s">
        <v>36</v>
      </c>
      <c r="H506" s="1">
        <f t="shared" si="98"/>
        <v>46</v>
      </c>
      <c r="I506" s="1" t="str">
        <f t="shared" si="96"/>
        <v>='C:\Users\jaime.benazar\Quorum Business Solutions\Ecopetrol Prometeo - Documents\Planning Space Implementation\3. Analysis &amp; Design\Design\FC22\DRR Jaime\QUIFA-CAJÚA\Cajua\[VAS_CAJUA_CF_SEC_20230125.xlsx]CF PND'!$BT$46</v>
      </c>
      <c r="J506" s="1" t="s">
        <v>398</v>
      </c>
    </row>
    <row r="507" spans="1:10" x14ac:dyDescent="0.2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Jaime\QUIFA-CAJÚA\Cajua\[VAS_CAJUA_CF_SEC_20230125.xlsx]CF PND'!</v>
      </c>
      <c r="G507" s="6" t="s">
        <v>36</v>
      </c>
      <c r="H507" s="1">
        <f t="shared" si="98"/>
        <v>47</v>
      </c>
      <c r="I507" s="1" t="str">
        <f t="shared" si="96"/>
        <v>='C:\Users\jaime.benazar\Quorum Business Solutions\Ecopetrol Prometeo - Documents\Planning Space Implementation\3. Analysis &amp; Design\Design\FC22\DRR Jaime\QUIFA-CAJÚA\Cajua\[VAS_CAJUA_CF_SEC_20230125.xlsx]CF PND'!$BT$47</v>
      </c>
      <c r="J507" s="1" t="s">
        <v>399</v>
      </c>
    </row>
    <row r="508" spans="1:10" x14ac:dyDescent="0.2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Jaime\QUIFA-CAJÚA\Cajua\[VAS_CAJUA_CF_SEC_20230125.xlsx]CF PND'!</v>
      </c>
      <c r="G508" s="6" t="s">
        <v>36</v>
      </c>
      <c r="H508" s="1">
        <f t="shared" si="98"/>
        <v>48</v>
      </c>
      <c r="I508" s="1" t="str">
        <f t="shared" si="96"/>
        <v>='C:\Users\jaime.benazar\Quorum Business Solutions\Ecopetrol Prometeo - Documents\Planning Space Implementation\3. Analysis &amp; Design\Design\FC22\DRR Jaime\QUIFA-CAJÚA\Cajua\[VAS_CAJUA_CF_SEC_20230125.xlsx]CF PND'!$BT$48</v>
      </c>
      <c r="J508" s="1" t="s">
        <v>400</v>
      </c>
    </row>
    <row r="509" spans="1:10" x14ac:dyDescent="0.2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Jaime\QUIFA-CAJÚA\Cajua\[VAS_CAJUA_CF_SEC_20230125.xlsx]CF PND'!</v>
      </c>
      <c r="G509" s="6" t="s">
        <v>36</v>
      </c>
      <c r="H509" s="1">
        <f t="shared" si="98"/>
        <v>49</v>
      </c>
      <c r="I509" s="1" t="str">
        <f t="shared" si="96"/>
        <v>='C:\Users\jaime.benazar\Quorum Business Solutions\Ecopetrol Prometeo - Documents\Planning Space Implementation\3. Analysis &amp; Design\Design\FC22\DRR Jaime\QUIFA-CAJÚA\Cajua\[VAS_CAJUA_CF_SEC_20230125.xlsx]CF PND'!$BT$49</v>
      </c>
      <c r="J509" s="1" t="s">
        <v>401</v>
      </c>
    </row>
    <row r="510" spans="1:10" x14ac:dyDescent="0.2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Jaime\QUIFA-CAJÚA\Cajua\[VAS_CAJUA_CF_SEC_20230125.xlsx]CF PND'!</v>
      </c>
      <c r="G510" s="6" t="s">
        <v>36</v>
      </c>
      <c r="H510" s="1">
        <f t="shared" si="98"/>
        <v>50</v>
      </c>
      <c r="I510" s="1" t="str">
        <f t="shared" si="96"/>
        <v>='C:\Users\jaime.benazar\Quorum Business Solutions\Ecopetrol Prometeo - Documents\Planning Space Implementation\3. Analysis &amp; Design\Design\FC22\DRR Jaime\QUIFA-CAJÚA\Cajua\[VAS_CAJUA_CF_SEC_20230125.xlsx]CF PND'!$BT$50</v>
      </c>
      <c r="J510" s="1" t="s">
        <v>402</v>
      </c>
    </row>
    <row r="511" spans="1:10" x14ac:dyDescent="0.2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Jaime\QUIFA-CAJÚA\Cajua\[VAS_CAJUA_CF_SEC_20230125.xlsx]CF PND'!</v>
      </c>
      <c r="G511" s="6" t="s">
        <v>36</v>
      </c>
      <c r="H511" s="1">
        <f t="shared" si="98"/>
        <v>51</v>
      </c>
      <c r="I511" s="1" t="str">
        <f t="shared" si="96"/>
        <v>='C:\Users\jaime.benazar\Quorum Business Solutions\Ecopetrol Prometeo - Documents\Planning Space Implementation\3. Analysis &amp; Design\Design\FC22\DRR Jaime\QUIFA-CAJÚA\Cajua\[VAS_CAJUA_CF_SEC_20230125.xlsx]CF PND'!$BT$51</v>
      </c>
      <c r="J511" s="1" t="s">
        <v>403</v>
      </c>
    </row>
    <row r="512" spans="1:10" x14ac:dyDescent="0.2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Jaime\QUIFA-CAJÚA\Cajua\[VAS_CAJUA_CF_SEC_20230125.xlsx]CF PND'!</v>
      </c>
      <c r="G512" s="6" t="s">
        <v>36</v>
      </c>
      <c r="H512" s="1">
        <f t="shared" si="98"/>
        <v>52</v>
      </c>
      <c r="I512" s="1" t="str">
        <f t="shared" si="96"/>
        <v>='C:\Users\jaime.benazar\Quorum Business Solutions\Ecopetrol Prometeo - Documents\Planning Space Implementation\3. Analysis &amp; Design\Design\FC22\DRR Jaime\QUIFA-CAJÚA\Cajua\[VAS_CAJUA_CF_SEC_20230125.xlsx]CF PND'!$BT$52</v>
      </c>
      <c r="J512" s="1" t="s">
        <v>404</v>
      </c>
    </row>
    <row r="513" spans="1:10" x14ac:dyDescent="0.2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Jaime\QUIFA-CAJÚA\Cajua\[VAS_CAJUA_CF_SEC_20230125.xlsx]CF PND'!</v>
      </c>
      <c r="G513" s="6" t="s">
        <v>36</v>
      </c>
      <c r="H513" s="1">
        <f t="shared" si="98"/>
        <v>53</v>
      </c>
      <c r="I513" s="1" t="str">
        <f t="shared" si="96"/>
        <v>='C:\Users\jaime.benazar\Quorum Business Solutions\Ecopetrol Prometeo - Documents\Planning Space Implementation\3. Analysis &amp; Design\Design\FC22\DRR Jaime\QUIFA-CAJÚA\Cajua\[VAS_CAJUA_CF_SEC_20230125.xlsx]CF PND'!$BT$53</v>
      </c>
      <c r="J513" s="1" t="s">
        <v>405</v>
      </c>
    </row>
    <row r="514" spans="1:10" x14ac:dyDescent="0.2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Jaime\QUIFA-CAJÚA\Cajua\[VAS_CAJUA_CF_SEC_20230125.xlsx]CF PND'!</v>
      </c>
      <c r="G514" s="6" t="s">
        <v>36</v>
      </c>
      <c r="H514" s="1">
        <f t="shared" si="98"/>
        <v>54</v>
      </c>
      <c r="I514" s="1" t="str">
        <f t="shared" si="96"/>
        <v>='C:\Users\jaime.benazar\Quorum Business Solutions\Ecopetrol Prometeo - Documents\Planning Space Implementation\3. Analysis &amp; Design\Design\FC22\DRR Jaime\QUIFA-CAJÚA\Cajua\[VAS_CAJUA_CF_SEC_20230125.xlsx]CF PND'!$BT$54</v>
      </c>
      <c r="J514" s="1" t="s">
        <v>406</v>
      </c>
    </row>
    <row r="515" spans="1:10" x14ac:dyDescent="0.2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Jaime\QUIFA-CAJÚA\Cajua\[VAS_CAJUA_CF_SEC_20230125.xlsx]CF PND'!</v>
      </c>
      <c r="G515" s="6" t="s">
        <v>36</v>
      </c>
      <c r="H515" s="1">
        <f t="shared" si="98"/>
        <v>55</v>
      </c>
      <c r="I515" s="1" t="str">
        <f t="shared" ref="I515:I820" si="119">_xlfn.CONCAT("='",F515:H515)</f>
        <v>='C:\Users\jaime.benazar\Quorum Business Solutions\Ecopetrol Prometeo - Documents\Planning Space Implementation\3. Analysis &amp; Design\Design\FC22\DRR Jaime\QUIFA-CAJÚA\Cajua\[VAS_CAJUA_CF_SEC_20230125.xlsx]CF PND'!$BT$55</v>
      </c>
      <c r="J515" s="1" t="s">
        <v>407</v>
      </c>
    </row>
    <row r="516" spans="1:10" x14ac:dyDescent="0.2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Jaime\QUIFA-CAJÚA\Cajua\[VAS_CAJUA_CF_SEC_20230125.xlsx]CF PND'!</v>
      </c>
      <c r="G516" s="6" t="s">
        <v>36</v>
      </c>
      <c r="H516" s="1">
        <f t="shared" ref="H516:H820" si="120">IF(A516&lt;&gt;A515,36,H515+1)</f>
        <v>56</v>
      </c>
      <c r="I516" s="1" t="str">
        <f t="shared" si="119"/>
        <v>='C:\Users\jaime.benazar\Quorum Business Solutions\Ecopetrol Prometeo - Documents\Planning Space Implementation\3. Analysis &amp; Design\Design\FC22\DRR Jaime\QUIFA-CAJÚA\Cajua\[VAS_CAJUA_CF_SEC_20230125.xlsx]CF PND'!$BT$56</v>
      </c>
      <c r="J516" s="1" t="s">
        <v>408</v>
      </c>
    </row>
    <row r="517" spans="1:10" x14ac:dyDescent="0.2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Jaime\QUIFA-CAJÚA\Cajua\[VAS_CAJUA_CF_SEC_20230125.xlsx]CF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Jaime\QUIFA-CAJÚA\Cajua\[VAS_CAJUA_CF_SEC_20230125.xlsx]CF PND'!$BT$57</v>
      </c>
      <c r="J517" s="1" t="s">
        <v>409</v>
      </c>
    </row>
    <row r="518" spans="1:10" x14ac:dyDescent="0.2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Jaime\QUIFA-CAJÚA\Cajua\[VAS_CAJUA_CF_SEC_20230125.xlsx]CF PND'!</v>
      </c>
      <c r="G518" s="6" t="s">
        <v>36</v>
      </c>
      <c r="H518" s="1">
        <f t="shared" si="123"/>
        <v>58</v>
      </c>
      <c r="I518" s="1" t="str">
        <f t="shared" si="124"/>
        <v>='C:\Users\jaime.benazar\Quorum Business Solutions\Ecopetrol Prometeo - Documents\Planning Space Implementation\3. Analysis &amp; Design\Design\FC22\DRR Jaime\QUIFA-CAJÚA\Cajua\[VAS_CAJUA_CF_SEC_20230125.xlsx]CF PND'!$BT$58</v>
      </c>
      <c r="J518" s="1" t="s">
        <v>410</v>
      </c>
    </row>
    <row r="519" spans="1:10" x14ac:dyDescent="0.2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Jaime\QUIFA-CAJÚA\Cajua\[VAS_CAJUA_CF_SEC_20230125.xlsx]CF PND'!</v>
      </c>
      <c r="G519" s="6" t="s">
        <v>36</v>
      </c>
      <c r="H519" s="1">
        <f t="shared" si="123"/>
        <v>59</v>
      </c>
      <c r="I519" s="1" t="str">
        <f t="shared" si="124"/>
        <v>='C:\Users\jaime.benazar\Quorum Business Solutions\Ecopetrol Prometeo - Documents\Planning Space Implementation\3. Analysis &amp; Design\Design\FC22\DRR Jaime\QUIFA-CAJÚA\Cajua\[VAS_CAJUA_CF_SEC_20230125.xlsx]CF PND'!$BT$59</v>
      </c>
      <c r="J519" s="1" t="s">
        <v>411</v>
      </c>
    </row>
    <row r="520" spans="1:10" x14ac:dyDescent="0.2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Jaime\QUIFA-CAJÚA\Cajua\[VAS_CAJUA_CF_SEC_20230125.xlsx]CF PND'!</v>
      </c>
      <c r="G520" s="6" t="s">
        <v>36</v>
      </c>
      <c r="H520" s="1">
        <f t="shared" si="123"/>
        <v>60</v>
      </c>
      <c r="I520" s="1" t="str">
        <f t="shared" si="124"/>
        <v>='C:\Users\jaime.benazar\Quorum Business Solutions\Ecopetrol Prometeo - Documents\Planning Space Implementation\3. Analysis &amp; Design\Design\FC22\DRR Jaime\QUIFA-CAJÚA\Cajua\[VAS_CAJUA_CF_SEC_20230125.xlsx]CF PND'!$BT$60</v>
      </c>
      <c r="J520" s="1" t="s">
        <v>412</v>
      </c>
    </row>
    <row r="521" spans="1:10" x14ac:dyDescent="0.2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Jaime\QUIFA-CAJÚA\Cajua\[VAS_CAJUA_CF_SEC_20230125.xlsx]CF PND'!</v>
      </c>
      <c r="G521" s="6" t="s">
        <v>36</v>
      </c>
      <c r="H521" s="1">
        <f t="shared" si="123"/>
        <v>61</v>
      </c>
      <c r="I521" s="1" t="str">
        <f t="shared" si="124"/>
        <v>='C:\Users\jaime.benazar\Quorum Business Solutions\Ecopetrol Prometeo - Documents\Planning Space Implementation\3. Analysis &amp; Design\Design\FC22\DRR Jaime\QUIFA-CAJÚA\Cajua\[VAS_CAJUA_CF_SEC_20230125.xlsx]CF PND'!$BT$61</v>
      </c>
      <c r="J521" s="1" t="s">
        <v>413</v>
      </c>
    </row>
    <row r="522" spans="1:10" x14ac:dyDescent="0.2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Jaime\QUIFA-CAJÚA\Cajua\[VAS_CAJUA_CF_SEC_20230125.xlsx]CF PND'!</v>
      </c>
      <c r="G522" s="6" t="s">
        <v>36</v>
      </c>
      <c r="H522" s="1">
        <f t="shared" si="123"/>
        <v>62</v>
      </c>
      <c r="I522" s="1" t="str">
        <f t="shared" si="124"/>
        <v>='C:\Users\jaime.benazar\Quorum Business Solutions\Ecopetrol Prometeo - Documents\Planning Space Implementation\3. Analysis &amp; Design\Design\FC22\DRR Jaime\QUIFA-CAJÚA\Cajua\[VAS_CAJUA_CF_SEC_20230125.xlsx]CF PND'!$BT$62</v>
      </c>
      <c r="J522" s="1" t="s">
        <v>414</v>
      </c>
    </row>
    <row r="523" spans="1:10" x14ac:dyDescent="0.2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Jaime\QUIFA-CAJÚA\Cajua\[VAS_CAJUA_CF_SEC_20230125.xlsx]CF PND'!</v>
      </c>
      <c r="G523" s="6" t="s">
        <v>36</v>
      </c>
      <c r="H523" s="1">
        <f t="shared" si="123"/>
        <v>63</v>
      </c>
      <c r="I523" s="1" t="str">
        <f t="shared" si="124"/>
        <v>='C:\Users\jaime.benazar\Quorum Business Solutions\Ecopetrol Prometeo - Documents\Planning Space Implementation\3. Analysis &amp; Design\Design\FC22\DRR Jaime\QUIFA-CAJÚA\Cajua\[VAS_CAJUA_CF_SEC_20230125.xlsx]CF PND'!$BT$63</v>
      </c>
      <c r="J523" s="1" t="s">
        <v>415</v>
      </c>
    </row>
    <row r="524" spans="1:10" x14ac:dyDescent="0.2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Jaime\QUIFA-CAJÚA\Cajua\[VAS_CAJUA_CF_SEC_20230125.xlsx]CF PND'!</v>
      </c>
      <c r="G524" s="6" t="s">
        <v>36</v>
      </c>
      <c r="H524" s="1">
        <f t="shared" si="123"/>
        <v>64</v>
      </c>
      <c r="I524" s="1" t="str">
        <f t="shared" si="124"/>
        <v>='C:\Users\jaime.benazar\Quorum Business Solutions\Ecopetrol Prometeo - Documents\Planning Space Implementation\3. Analysis &amp; Design\Design\FC22\DRR Jaime\QUIFA-CAJÚA\Cajua\[VAS_CAJUA_CF_SEC_20230125.xlsx]CF PND'!$BT$64</v>
      </c>
      <c r="J524" s="1" t="s">
        <v>416</v>
      </c>
    </row>
    <row r="525" spans="1:10" x14ac:dyDescent="0.2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Jaime\QUIFA-CAJÚA\Cajua\[VAS_CAJUA_CF_SEC_20230125.xlsx]CF PND'!</v>
      </c>
      <c r="G525" s="6" t="s">
        <v>36</v>
      </c>
      <c r="H525" s="1">
        <f t="shared" si="123"/>
        <v>65</v>
      </c>
      <c r="I525" s="1" t="str">
        <f t="shared" si="124"/>
        <v>='C:\Users\jaime.benazar\Quorum Business Solutions\Ecopetrol Prometeo - Documents\Planning Space Implementation\3. Analysis &amp; Design\Design\FC22\DRR Jaime\QUIFA-CAJÚA\Cajua\[VAS_CAJUA_CF_SEC_20230125.xlsx]CF PND'!$BT$65</v>
      </c>
      <c r="J525" s="1" t="s">
        <v>417</v>
      </c>
    </row>
    <row r="526" spans="1:10" x14ac:dyDescent="0.2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Jaime\QUIFA-CAJÚA\Cajua\[VAS_CAJUA_CF_SEC_20230125.xlsx]CF PND'!</v>
      </c>
      <c r="G526" s="6" t="s">
        <v>36</v>
      </c>
      <c r="H526" s="1">
        <f t="shared" si="123"/>
        <v>66</v>
      </c>
      <c r="I526" s="1" t="str">
        <f t="shared" si="124"/>
        <v>='C:\Users\jaime.benazar\Quorum Business Solutions\Ecopetrol Prometeo - Documents\Planning Space Implementation\3. Analysis &amp; Design\Design\FC22\DRR Jaime\QUIFA-CAJÚA\Cajua\[VAS_CAJUA_CF_SEC_20230125.xlsx]CF PND'!$BT$66</v>
      </c>
      <c r="J526" s="1" t="s">
        <v>418</v>
      </c>
    </row>
    <row r="527" spans="1:10" x14ac:dyDescent="0.2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Jaime\QUIFA-CAJÚA\Cajua\[VAS_CAJUA_CF_SEC_20230125.xlsx]CF PND'!</v>
      </c>
      <c r="G527" s="6" t="s">
        <v>36</v>
      </c>
      <c r="H527" s="1">
        <f t="shared" si="123"/>
        <v>67</v>
      </c>
      <c r="I527" s="1" t="str">
        <f t="shared" si="124"/>
        <v>='C:\Users\jaime.benazar\Quorum Business Solutions\Ecopetrol Prometeo - Documents\Planning Space Implementation\3. Analysis &amp; Design\Design\FC22\DRR Jaime\QUIFA-CAJÚA\Cajua\[VAS_CAJUA_CF_SEC_20230125.xlsx]CF PND'!$BT$67</v>
      </c>
      <c r="J527" s="1" t="s">
        <v>419</v>
      </c>
    </row>
    <row r="528" spans="1:10" x14ac:dyDescent="0.2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Jaime\QUIFA-CAJÚA\Cajua\[VAS_CAJUA_CF_SEC_20230125.xlsx]CF PND'!</v>
      </c>
      <c r="G528" s="6" t="s">
        <v>36</v>
      </c>
      <c r="H528" s="1">
        <f t="shared" si="123"/>
        <v>68</v>
      </c>
      <c r="I528" s="1" t="str">
        <f t="shared" si="124"/>
        <v>='C:\Users\jaime.benazar\Quorum Business Solutions\Ecopetrol Prometeo - Documents\Planning Space Implementation\3. Analysis &amp; Design\Design\FC22\DRR Jaime\QUIFA-CAJÚA\Cajua\[VAS_CAJUA_CF_SEC_20230125.xlsx]CF PND'!$BT$68</v>
      </c>
      <c r="J528" s="1" t="s">
        <v>420</v>
      </c>
    </row>
    <row r="529" spans="1:10" x14ac:dyDescent="0.2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Jaime\QUIFA-CAJÚA\Cajua\[VAS_CAJUA_CF_SEC_20230125.xlsx]CF PND'!</v>
      </c>
      <c r="G529" s="6" t="s">
        <v>36</v>
      </c>
      <c r="H529" s="1">
        <f t="shared" si="123"/>
        <v>69</v>
      </c>
      <c r="I529" s="1" t="str">
        <f t="shared" si="124"/>
        <v>='C:\Users\jaime.benazar\Quorum Business Solutions\Ecopetrol Prometeo - Documents\Planning Space Implementation\3. Analysis &amp; Design\Design\FC22\DRR Jaime\QUIFA-CAJÚA\Cajua\[VAS_CAJUA_CF_SEC_20230125.xlsx]CF PND'!$BT$69</v>
      </c>
      <c r="J529" s="1" t="s">
        <v>421</v>
      </c>
    </row>
    <row r="530" spans="1:10" x14ac:dyDescent="0.2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Jaime\QUIFA-CAJÚA\Cajua\[VAS_CAJUA_CF_SEC_20230125.xlsx]CF PND'!</v>
      </c>
      <c r="G530" s="6" t="s">
        <v>36</v>
      </c>
      <c r="H530" s="1">
        <f t="shared" si="123"/>
        <v>70</v>
      </c>
      <c r="I530" s="1" t="str">
        <f t="shared" si="124"/>
        <v>='C:\Users\jaime.benazar\Quorum Business Solutions\Ecopetrol Prometeo - Documents\Planning Space Implementation\3. Analysis &amp; Design\Design\FC22\DRR Jaime\QUIFA-CAJÚA\Cajua\[VAS_CAJUA_CF_SEC_20230125.xlsx]CF PND'!$BT$70</v>
      </c>
      <c r="J530" s="1" t="s">
        <v>422</v>
      </c>
    </row>
    <row r="531" spans="1:10" x14ac:dyDescent="0.2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Jaime\QUIFA-CAJÚA\Cajua\[VAS_CAJUA_CF_SEC_20230125.xlsx]CF PND'!</v>
      </c>
      <c r="G531" s="6" t="s">
        <v>36</v>
      </c>
      <c r="H531" s="1">
        <f t="shared" si="123"/>
        <v>71</v>
      </c>
      <c r="I531" s="1" t="str">
        <f t="shared" si="124"/>
        <v>='C:\Users\jaime.benazar\Quorum Business Solutions\Ecopetrol Prometeo - Documents\Planning Space Implementation\3. Analysis &amp; Design\Design\FC22\DRR Jaime\QUIFA-CAJÚA\Cajua\[VAS_CAJUA_CF_SEC_20230125.xlsx]CF PND'!$BT$71</v>
      </c>
      <c r="J531" s="1" t="s">
        <v>423</v>
      </c>
    </row>
    <row r="532" spans="1:10" x14ac:dyDescent="0.2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Jaime\QUIFA-CAJÚA\Cajua\[VAS_CAJUA_CF_SEC_20230125.xlsx]CF PND'!</v>
      </c>
      <c r="G532" s="6" t="s">
        <v>36</v>
      </c>
      <c r="H532" s="1">
        <f t="shared" si="123"/>
        <v>72</v>
      </c>
      <c r="I532" s="1" t="str">
        <f t="shared" si="124"/>
        <v>='C:\Users\jaime.benazar\Quorum Business Solutions\Ecopetrol Prometeo - Documents\Planning Space Implementation\3. Analysis &amp; Design\Design\FC22\DRR Jaime\QUIFA-CAJÚA\Cajua\[VAS_CAJUA_CF_SEC_20230125.xlsx]CF PND'!$BT$72</v>
      </c>
      <c r="J532" s="1" t="s">
        <v>424</v>
      </c>
    </row>
    <row r="533" spans="1:10" x14ac:dyDescent="0.25">
      <c r="A533" s="6" t="s">
        <v>28</v>
      </c>
      <c r="B533" s="6"/>
      <c r="C533" s="1" t="s">
        <v>8</v>
      </c>
      <c r="D533" s="2"/>
      <c r="E533" s="9"/>
      <c r="F533" s="2"/>
      <c r="G533" s="6"/>
      <c r="H533" s="1"/>
      <c r="I533" s="1"/>
      <c r="J533" s="4"/>
    </row>
    <row r="534" spans="1:10" x14ac:dyDescent="0.2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Jaime\QUIFA-CAJÚA\Cajua\[VAS_CAJUA_CF_SEC_20230125.xlsx]CF PRBDP'!</v>
      </c>
      <c r="G534" s="6" t="s">
        <v>36</v>
      </c>
      <c r="H534" s="1"/>
      <c r="I534" s="1"/>
      <c r="J534" s="1"/>
    </row>
    <row r="535" spans="1:10" x14ac:dyDescent="0.2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Jaime\QUIFA-CAJÚA\Cajua\[VAS_CAJUA_CF_SEC_20230125.xlsx]CF PRBDP'!</v>
      </c>
      <c r="G535" s="6" t="s">
        <v>36</v>
      </c>
      <c r="H535" s="1"/>
      <c r="I535" s="1"/>
      <c r="J535" s="1"/>
    </row>
    <row r="536" spans="1:10" x14ac:dyDescent="0.2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Jaime\QUIFA-CAJÚA\Cajua\[VAS_CAJUA_CF_SEC_20230125.xlsx]CF PRBDP'!</v>
      </c>
      <c r="G536" s="6" t="s">
        <v>36</v>
      </c>
      <c r="H536" s="1"/>
      <c r="I536" s="1"/>
      <c r="J536" s="1"/>
    </row>
    <row r="537" spans="1:10" x14ac:dyDescent="0.2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Jaime\QUIFA-CAJÚA\Cajua\[VAS_CAJUA_CF_SEC_20230125.xlsx]CF PRBDP'!</v>
      </c>
      <c r="G537" s="6" t="s">
        <v>36</v>
      </c>
      <c r="H537" s="1"/>
      <c r="I537" s="1"/>
      <c r="J537" s="1"/>
    </row>
    <row r="538" spans="1:10" x14ac:dyDescent="0.2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Jaime\QUIFA-CAJÚA\Cajua\[VAS_CAJUA_CF_SEC_20230125.xlsx]CF PRBDP'!</v>
      </c>
      <c r="G538" s="6" t="s">
        <v>36</v>
      </c>
      <c r="H538" s="1"/>
      <c r="I538" s="1"/>
      <c r="J538" s="1"/>
    </row>
    <row r="539" spans="1:10" x14ac:dyDescent="0.2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Jaime\QUIFA-CAJÚA\Cajua\[VAS_CAJUA_CF_SEC_20230125.xlsx]CF PRBDP'!</v>
      </c>
      <c r="G539" s="6" t="s">
        <v>36</v>
      </c>
      <c r="H539" s="1"/>
      <c r="I539" s="1"/>
      <c r="J539" s="1"/>
    </row>
    <row r="540" spans="1:10" x14ac:dyDescent="0.2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Jaime\QUIFA-CAJÚA\Cajua\[VAS_CAJUA_CF_SEC_20230125.xlsx]CF PRBDP'!</v>
      </c>
      <c r="G540" s="6" t="s">
        <v>36</v>
      </c>
      <c r="H540" s="1"/>
      <c r="I540" s="1"/>
      <c r="J540" s="1"/>
    </row>
    <row r="541" spans="1:10" x14ac:dyDescent="0.2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Jaime\QUIFA-CAJÚA\Cajua\[VAS_CAJUA_CF_SEC_20230125.xlsx]CF PRBDP'!</v>
      </c>
      <c r="G541" s="6" t="s">
        <v>36</v>
      </c>
      <c r="H541" s="1"/>
      <c r="I541" s="1"/>
      <c r="J541" s="1"/>
    </row>
    <row r="542" spans="1:10" x14ac:dyDescent="0.2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Jaime\QUIFA-CAJÚA\Cajua\[VAS_CAJUA_CF_SEC_20230125.xlsx]CF PRBDP'!</v>
      </c>
      <c r="G542" s="6" t="s">
        <v>36</v>
      </c>
      <c r="H542" s="1"/>
      <c r="I542" s="1"/>
      <c r="J542" s="1"/>
    </row>
    <row r="543" spans="1:10" x14ac:dyDescent="0.2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Jaime\QUIFA-CAJÚA\Cajua\[VAS_CAJUA_CF_SEC_20230125.xlsx]CF PRBDP'!</v>
      </c>
      <c r="G543" s="6" t="s">
        <v>36</v>
      </c>
      <c r="H543" s="1"/>
      <c r="I543" s="1"/>
      <c r="J543" s="1"/>
    </row>
    <row r="544" spans="1:10" x14ac:dyDescent="0.2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Jaime\QUIFA-CAJÚA\Cajua\[VAS_CAJUA_CF_SEC_20230125.xlsx]CF PRBDP'!</v>
      </c>
      <c r="G544" s="6" t="s">
        <v>36</v>
      </c>
      <c r="H544" s="1"/>
      <c r="I544" s="1"/>
      <c r="J544" s="1"/>
    </row>
    <row r="545" spans="1:10" x14ac:dyDescent="0.2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Jaime\QUIFA-CAJÚA\Cajua\[VAS_CAJUA_CF_SEC_20230125.xlsx]CF PRBDP'!</v>
      </c>
      <c r="G545" s="6" t="s">
        <v>36</v>
      </c>
      <c r="H545" s="1"/>
      <c r="I545" s="1"/>
      <c r="J545" s="1"/>
    </row>
    <row r="546" spans="1:10" x14ac:dyDescent="0.2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Jaime\QUIFA-CAJÚA\Cajua\[VAS_CAJUA_CF_SEC_20230125.xlsx]CF PRBDP'!</v>
      </c>
      <c r="G546" s="6" t="s">
        <v>36</v>
      </c>
      <c r="H546" s="1"/>
      <c r="I546" s="1"/>
      <c r="J546" s="1"/>
    </row>
    <row r="547" spans="1:10" x14ac:dyDescent="0.2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Jaime\QUIFA-CAJÚA\Cajua\[VAS_CAJUA_CF_SEC_20230125.xlsx]CF PRBDP'!</v>
      </c>
      <c r="G547" s="6" t="s">
        <v>36</v>
      </c>
      <c r="H547" s="1"/>
      <c r="I547" s="1"/>
      <c r="J547" s="1"/>
    </row>
    <row r="548" spans="1:10" x14ac:dyDescent="0.2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Jaime\QUIFA-CAJÚA\Cajua\[VAS_CAJUA_CF_SEC_20230125.xlsx]CF PRBDP'!</v>
      </c>
      <c r="G548" s="6" t="s">
        <v>36</v>
      </c>
      <c r="H548" s="1"/>
      <c r="I548" s="1"/>
      <c r="J548" s="1"/>
    </row>
    <row r="549" spans="1:10" x14ac:dyDescent="0.2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Jaime\QUIFA-CAJÚA\Cajua\[VAS_CAJUA_CF_SEC_20230125.xlsx]CF PRBDP'!</v>
      </c>
      <c r="G549" s="6" t="s">
        <v>36</v>
      </c>
      <c r="H549" s="1"/>
      <c r="I549" s="1"/>
      <c r="J549" s="1"/>
    </row>
    <row r="550" spans="1:10" x14ac:dyDescent="0.2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Jaime\QUIFA-CAJÚA\Cajua\[VAS_CAJUA_CF_SEC_20230125.xlsx]CF PRBDP'!</v>
      </c>
      <c r="G550" s="6" t="s">
        <v>36</v>
      </c>
      <c r="H550" s="1"/>
      <c r="I550" s="1"/>
      <c r="J550" s="1"/>
    </row>
    <row r="551" spans="1:10" x14ac:dyDescent="0.2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Jaime\QUIFA-CAJÚA\Cajua\[VAS_CAJUA_CF_SEC_20230125.xlsx]CF PRBDP'!</v>
      </c>
      <c r="G551" s="6" t="s">
        <v>36</v>
      </c>
      <c r="H551" s="1"/>
      <c r="I551" s="1"/>
      <c r="J551" s="1"/>
    </row>
    <row r="552" spans="1:10" x14ac:dyDescent="0.2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Jaime\QUIFA-CAJÚA\Cajua\[VAS_CAJUA_CF_SEC_20230125.xlsx]CF PRBDP'!</v>
      </c>
      <c r="G552" s="6" t="s">
        <v>36</v>
      </c>
      <c r="H552" s="1"/>
      <c r="I552" s="1"/>
      <c r="J552" s="1"/>
    </row>
    <row r="553" spans="1:10" x14ac:dyDescent="0.2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Jaime\QUIFA-CAJÚA\Cajua\[VAS_CAJUA_CF_SEC_20230125.xlsx]CF PRBDP'!</v>
      </c>
      <c r="G553" s="6" t="s">
        <v>36</v>
      </c>
      <c r="H553" s="1"/>
      <c r="I553" s="1"/>
      <c r="J553" s="1"/>
    </row>
    <row r="554" spans="1:10" x14ac:dyDescent="0.2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Jaime\QUIFA-CAJÚA\Cajua\[VAS_CAJUA_CF_SEC_20230125.xlsx]CF PRBDP'!</v>
      </c>
      <c r="G554" s="6" t="s">
        <v>36</v>
      </c>
      <c r="H554" s="1"/>
      <c r="I554" s="1"/>
      <c r="J554" s="1"/>
    </row>
    <row r="555" spans="1:10" x14ac:dyDescent="0.2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Jaime\QUIFA-CAJÚA\Cajua\[VAS_CAJUA_CF_SEC_20230125.xlsx]CF PRBDP'!</v>
      </c>
      <c r="G555" s="6" t="s">
        <v>36</v>
      </c>
      <c r="H555" s="1"/>
      <c r="I555" s="1"/>
      <c r="J555" s="1"/>
    </row>
    <row r="556" spans="1:10" x14ac:dyDescent="0.2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Jaime\QUIFA-CAJÚA\Cajua\[VAS_CAJUA_CF_SEC_20230125.xlsx]CF PRBDP'!</v>
      </c>
      <c r="G556" s="6" t="s">
        <v>36</v>
      </c>
      <c r="H556" s="1"/>
      <c r="I556" s="1"/>
      <c r="J556" s="1"/>
    </row>
    <row r="557" spans="1:10" x14ac:dyDescent="0.2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Jaime\QUIFA-CAJÚA\Cajua\[VAS_CAJUA_CF_SEC_20230125.xlsx]CF PRBDP'!</v>
      </c>
      <c r="G557" s="6" t="s">
        <v>36</v>
      </c>
      <c r="H557" s="1"/>
      <c r="I557" s="1"/>
      <c r="J557" s="1"/>
    </row>
    <row r="558" spans="1:10" x14ac:dyDescent="0.2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Jaime\QUIFA-CAJÚA\Cajua\[VAS_CAJUA_CF_SEC_20230125.xlsx]CF PRBDP'!</v>
      </c>
      <c r="G558" s="6" t="s">
        <v>36</v>
      </c>
      <c r="H558" s="1"/>
      <c r="I558" s="1"/>
      <c r="J558" s="1"/>
    </row>
    <row r="559" spans="1:10" x14ac:dyDescent="0.2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Jaime\QUIFA-CAJÚA\Cajua\[VAS_CAJUA_CF_SEC_20230125.xlsx]CF PRBDP'!</v>
      </c>
      <c r="G559" s="6" t="s">
        <v>36</v>
      </c>
      <c r="H559" s="1"/>
      <c r="I559" s="1"/>
      <c r="J559" s="1"/>
    </row>
    <row r="560" spans="1:10" x14ac:dyDescent="0.2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Jaime\QUIFA-CAJÚA\Cajua\[VAS_CAJUA_CF_SEC_20230125.xlsx]CF PRBDP'!</v>
      </c>
      <c r="G560" s="6" t="s">
        <v>36</v>
      </c>
      <c r="H560" s="1"/>
      <c r="I560" s="1"/>
      <c r="J560" s="1"/>
    </row>
    <row r="561" spans="1:10" x14ac:dyDescent="0.2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Jaime\QUIFA-CAJÚA\Cajua\[VAS_CAJUA_CF_SEC_20230125.xlsx]CF PRBDP'!</v>
      </c>
      <c r="G561" s="6" t="s">
        <v>36</v>
      </c>
      <c r="H561" s="1"/>
      <c r="I561" s="1"/>
      <c r="J561" s="1"/>
    </row>
    <row r="562" spans="1:10" x14ac:dyDescent="0.2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Jaime\QUIFA-CAJÚA\Cajua\[VAS_CAJUA_CF_SEC_20230125.xlsx]CF PRBDP'!</v>
      </c>
      <c r="G562" s="6" t="s">
        <v>36</v>
      </c>
      <c r="H562" s="1"/>
      <c r="I562" s="1"/>
      <c r="J562" s="1"/>
    </row>
    <row r="563" spans="1:10" x14ac:dyDescent="0.2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Jaime\QUIFA-CAJÚA\Cajua\[VAS_CAJUA_CF_SEC_20230125.xlsx]CF PRBDP'!</v>
      </c>
      <c r="G563" s="6" t="s">
        <v>36</v>
      </c>
      <c r="H563" s="1"/>
      <c r="I563" s="1"/>
      <c r="J563" s="1"/>
    </row>
    <row r="564" spans="1:10" x14ac:dyDescent="0.2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Jaime\QUIFA-CAJÚA\Cajua\[VAS_CAJUA_CF_SEC_20230125.xlsx]CF PRBDP'!</v>
      </c>
      <c r="G564" s="6" t="s">
        <v>36</v>
      </c>
      <c r="H564" s="1"/>
      <c r="I564" s="1"/>
      <c r="J564" s="1"/>
    </row>
    <row r="565" spans="1:10" x14ac:dyDescent="0.2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Jaime\QUIFA-CAJÚA\Cajua\[VAS_CAJUA_CF_SEC_20230125.xlsx]CF PRBDP'!</v>
      </c>
      <c r="G565" s="6" t="s">
        <v>36</v>
      </c>
      <c r="H565" s="1"/>
      <c r="I565" s="1"/>
      <c r="J565" s="1"/>
    </row>
    <row r="566" spans="1:10" x14ac:dyDescent="0.2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Jaime\QUIFA-CAJÚA\Cajua\[VAS_CAJUA_CF_SEC_20230125.xlsx]CF PRBDP'!</v>
      </c>
      <c r="G566" s="6" t="s">
        <v>36</v>
      </c>
      <c r="H566" s="1"/>
      <c r="I566" s="1"/>
      <c r="J566" s="1"/>
    </row>
    <row r="567" spans="1:10" x14ac:dyDescent="0.2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Jaime\QUIFA-CAJÚA\Cajua\[VAS_CAJUA_CF_SEC_20230125.xlsx]CF PRBDP'!</v>
      </c>
      <c r="G567" s="6" t="s">
        <v>36</v>
      </c>
      <c r="H567" s="1"/>
      <c r="I567" s="1"/>
      <c r="J567" s="1"/>
    </row>
    <row r="568" spans="1:10" x14ac:dyDescent="0.2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Jaime\QUIFA-CAJÚA\Cajua\[VAS_CAJUA_CF_SEC_20230125.xlsx]CF PRBDP'!</v>
      </c>
      <c r="G568" s="6" t="s">
        <v>36</v>
      </c>
      <c r="H568" s="1"/>
      <c r="I568" s="1"/>
      <c r="J568" s="1"/>
    </row>
    <row r="569" spans="1:10" x14ac:dyDescent="0.2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Jaime\QUIFA-CAJÚA\Cajua\[VAS_CAJUA_CF_SEC_20230125.xlsx]CF PRBDP'!</v>
      </c>
      <c r="G569" s="6" t="s">
        <v>36</v>
      </c>
      <c r="H569" s="1"/>
      <c r="I569" s="1"/>
      <c r="J569" s="1"/>
    </row>
    <row r="570" spans="1:10" x14ac:dyDescent="0.2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Jaime\QUIFA-CAJÚA\Cajua\[VAS_CAJUA_CF_SEC_20230125.xlsx]CF PRBDP'!</v>
      </c>
      <c r="G570" s="6" t="s">
        <v>36</v>
      </c>
      <c r="H570" s="1"/>
      <c r="I570" s="1"/>
      <c r="J570" s="1"/>
    </row>
    <row r="571" spans="1:10" x14ac:dyDescent="0.25">
      <c r="A571" s="6" t="s">
        <v>28</v>
      </c>
      <c r="B571" s="6"/>
      <c r="C571" s="1" t="s">
        <v>8</v>
      </c>
      <c r="D571" s="2"/>
      <c r="E571" s="9"/>
      <c r="F571" s="2"/>
      <c r="G571" s="6"/>
      <c r="H571" s="1"/>
      <c r="I571" s="1"/>
      <c r="J571" s="1"/>
    </row>
    <row r="572" spans="1:10" x14ac:dyDescent="0.2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Jaime\QUIFA-CAJÚA\Cajua\[VAS_CAJUA_CF_SEC_20230125.xlsx]CF PRBNP'!</v>
      </c>
      <c r="G572" s="6" t="s">
        <v>36</v>
      </c>
      <c r="H572" s="1"/>
      <c r="I572" s="1"/>
      <c r="J572" s="1"/>
    </row>
    <row r="573" spans="1:10" x14ac:dyDescent="0.2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Jaime\QUIFA-CAJÚA\Cajua\[VAS_CAJUA_CF_SEC_20230125.xlsx]CF PRBNP'!</v>
      </c>
      <c r="G573" s="6" t="s">
        <v>36</v>
      </c>
      <c r="H573" s="1"/>
      <c r="I573" s="1"/>
      <c r="J573" s="1"/>
    </row>
    <row r="574" spans="1:10" x14ac:dyDescent="0.2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Jaime\QUIFA-CAJÚA\Cajua\[VAS_CAJUA_CF_SEC_20230125.xlsx]CF PRBNP'!</v>
      </c>
      <c r="G574" s="6" t="s">
        <v>36</v>
      </c>
      <c r="H574" s="1"/>
      <c r="I574" s="1"/>
      <c r="J574" s="1"/>
    </row>
    <row r="575" spans="1:10" x14ac:dyDescent="0.2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Jaime\QUIFA-CAJÚA\Cajua\[VAS_CAJUA_CF_SEC_20230125.xlsx]CF PRBNP'!</v>
      </c>
      <c r="G575" s="6" t="s">
        <v>36</v>
      </c>
      <c r="H575" s="1"/>
      <c r="I575" s="1"/>
      <c r="J575" s="1"/>
    </row>
    <row r="576" spans="1:10" x14ac:dyDescent="0.2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Jaime\QUIFA-CAJÚA\Cajua\[VAS_CAJUA_CF_SEC_20230125.xlsx]CF PRBNP'!</v>
      </c>
      <c r="G576" s="6" t="s">
        <v>36</v>
      </c>
      <c r="H576" s="1"/>
      <c r="I576" s="1"/>
      <c r="J576" s="1"/>
    </row>
    <row r="577" spans="1:10" x14ac:dyDescent="0.2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Jaime\QUIFA-CAJÚA\Cajua\[VAS_CAJUA_CF_SEC_20230125.xlsx]CF PRBNP'!</v>
      </c>
      <c r="G577" s="6" t="s">
        <v>36</v>
      </c>
      <c r="H577" s="1"/>
      <c r="I577" s="1"/>
      <c r="J577" s="1"/>
    </row>
    <row r="578" spans="1:10" x14ac:dyDescent="0.2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Jaime\QUIFA-CAJÚA\Cajua\[VAS_CAJUA_CF_SEC_20230125.xlsx]CF PRBNP'!</v>
      </c>
      <c r="G578" s="6" t="s">
        <v>36</v>
      </c>
      <c r="H578" s="1"/>
      <c r="I578" s="1"/>
      <c r="J578" s="1"/>
    </row>
    <row r="579" spans="1:10" x14ac:dyDescent="0.2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Jaime\QUIFA-CAJÚA\Cajua\[VAS_CAJUA_CF_SEC_20230125.xlsx]CF PRBNP'!</v>
      </c>
      <c r="G579" s="6" t="s">
        <v>36</v>
      </c>
      <c r="H579" s="1"/>
      <c r="I579" s="1"/>
      <c r="J579" s="1"/>
    </row>
    <row r="580" spans="1:10" x14ac:dyDescent="0.2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Jaime\QUIFA-CAJÚA\Cajua\[VAS_CAJUA_CF_SEC_20230125.xlsx]CF PRBNP'!</v>
      </c>
      <c r="G580" s="6" t="s">
        <v>36</v>
      </c>
      <c r="H580" s="1"/>
      <c r="I580" s="1"/>
      <c r="J580" s="1"/>
    </row>
    <row r="581" spans="1:10" x14ac:dyDescent="0.2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Jaime\QUIFA-CAJÚA\Cajua\[VAS_CAJUA_CF_SEC_20230125.xlsx]CF PRBNP'!</v>
      </c>
      <c r="G581" s="6" t="s">
        <v>36</v>
      </c>
      <c r="H581" s="1"/>
      <c r="I581" s="1"/>
      <c r="J581" s="1"/>
    </row>
    <row r="582" spans="1:10" x14ac:dyDescent="0.2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Jaime\QUIFA-CAJÚA\Cajua\[VAS_CAJUA_CF_SEC_20230125.xlsx]CF PRBNP'!</v>
      </c>
      <c r="G582" s="6" t="s">
        <v>36</v>
      </c>
      <c r="H582" s="1"/>
      <c r="I582" s="1"/>
      <c r="J582" s="1"/>
    </row>
    <row r="583" spans="1:10" x14ac:dyDescent="0.2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Jaime\QUIFA-CAJÚA\Cajua\[VAS_CAJUA_CF_SEC_20230125.xlsx]CF PRBNP'!</v>
      </c>
      <c r="G583" s="6" t="s">
        <v>36</v>
      </c>
      <c r="H583" s="1"/>
      <c r="I583" s="1"/>
      <c r="J583" s="1"/>
    </row>
    <row r="584" spans="1:10" x14ac:dyDescent="0.2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Jaime\QUIFA-CAJÚA\Cajua\[VAS_CAJUA_CF_SEC_20230125.xlsx]CF PRBNP'!</v>
      </c>
      <c r="G584" s="6" t="s">
        <v>36</v>
      </c>
      <c r="H584" s="1"/>
      <c r="I584" s="1"/>
      <c r="J584" s="1"/>
    </row>
    <row r="585" spans="1:10" x14ac:dyDescent="0.2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Jaime\QUIFA-CAJÚA\Cajua\[VAS_CAJUA_CF_SEC_20230125.xlsx]CF PRBNP'!</v>
      </c>
      <c r="G585" s="6" t="s">
        <v>36</v>
      </c>
      <c r="H585" s="1"/>
      <c r="I585" s="1"/>
      <c r="J585" s="1"/>
    </row>
    <row r="586" spans="1:10" x14ac:dyDescent="0.2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Jaime\QUIFA-CAJÚA\Cajua\[VAS_CAJUA_CF_SEC_20230125.xlsx]CF PRBNP'!</v>
      </c>
      <c r="G586" s="6" t="s">
        <v>36</v>
      </c>
      <c r="H586" s="1"/>
      <c r="I586" s="1"/>
      <c r="J586" s="1"/>
    </row>
    <row r="587" spans="1:10" x14ac:dyDescent="0.2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Jaime\QUIFA-CAJÚA\Cajua\[VAS_CAJUA_CF_SEC_20230125.xlsx]CF PRBNP'!</v>
      </c>
      <c r="G587" s="6" t="s">
        <v>36</v>
      </c>
      <c r="H587" s="1"/>
      <c r="I587" s="1"/>
      <c r="J587" s="1"/>
    </row>
    <row r="588" spans="1:10" x14ac:dyDescent="0.2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Jaime\QUIFA-CAJÚA\Cajua\[VAS_CAJUA_CF_SEC_20230125.xlsx]CF PRBNP'!</v>
      </c>
      <c r="G588" s="6" t="s">
        <v>36</v>
      </c>
      <c r="H588" s="1"/>
      <c r="I588" s="1"/>
      <c r="J588" s="1"/>
    </row>
    <row r="589" spans="1:10" x14ac:dyDescent="0.2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Jaime\QUIFA-CAJÚA\Cajua\[VAS_CAJUA_CF_SEC_20230125.xlsx]CF PRBNP'!</v>
      </c>
      <c r="G589" s="6" t="s">
        <v>36</v>
      </c>
      <c r="H589" s="1"/>
      <c r="I589" s="1"/>
      <c r="J589" s="1"/>
    </row>
    <row r="590" spans="1:10" x14ac:dyDescent="0.2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Jaime\QUIFA-CAJÚA\Cajua\[VAS_CAJUA_CF_SEC_20230125.xlsx]CF PRBNP'!</v>
      </c>
      <c r="G590" s="6" t="s">
        <v>36</v>
      </c>
      <c r="H590" s="1"/>
      <c r="I590" s="1"/>
      <c r="J590" s="1"/>
    </row>
    <row r="591" spans="1:10" x14ac:dyDescent="0.2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Jaime\QUIFA-CAJÚA\Cajua\[VAS_CAJUA_CF_SEC_20230125.xlsx]CF PRBNP'!</v>
      </c>
      <c r="G591" s="6" t="s">
        <v>36</v>
      </c>
      <c r="H591" s="1"/>
      <c r="I591" s="1"/>
      <c r="J591" s="1"/>
    </row>
    <row r="592" spans="1:10" x14ac:dyDescent="0.2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Jaime\QUIFA-CAJÚA\Cajua\[VAS_CAJUA_CF_SEC_20230125.xlsx]CF PRBNP'!</v>
      </c>
      <c r="G592" s="6" t="s">
        <v>36</v>
      </c>
      <c r="H592" s="1"/>
      <c r="I592" s="1"/>
      <c r="J592" s="1"/>
    </row>
    <row r="593" spans="1:10" x14ac:dyDescent="0.2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Jaime\QUIFA-CAJÚA\Cajua\[VAS_CAJUA_CF_SEC_20230125.xlsx]CF PRBNP'!</v>
      </c>
      <c r="G593" s="6" t="s">
        <v>36</v>
      </c>
      <c r="H593" s="1"/>
      <c r="I593" s="1"/>
      <c r="J593" s="1"/>
    </row>
    <row r="594" spans="1:10" x14ac:dyDescent="0.2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Jaime\QUIFA-CAJÚA\Cajua\[VAS_CAJUA_CF_SEC_20230125.xlsx]CF PRBNP'!</v>
      </c>
      <c r="G594" s="6" t="s">
        <v>36</v>
      </c>
      <c r="H594" s="1"/>
      <c r="I594" s="1"/>
      <c r="J594" s="1"/>
    </row>
    <row r="595" spans="1:10" x14ac:dyDescent="0.2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Jaime\QUIFA-CAJÚA\Cajua\[VAS_CAJUA_CF_SEC_20230125.xlsx]CF PRBNP'!</v>
      </c>
      <c r="G595" s="6" t="s">
        <v>36</v>
      </c>
      <c r="H595" s="1"/>
      <c r="I595" s="1"/>
      <c r="J595" s="1"/>
    </row>
    <row r="596" spans="1:10" x14ac:dyDescent="0.2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Jaime\QUIFA-CAJÚA\Cajua\[VAS_CAJUA_CF_SEC_20230125.xlsx]CF PRBNP'!</v>
      </c>
      <c r="G596" s="6" t="s">
        <v>36</v>
      </c>
      <c r="H596" s="1"/>
      <c r="I596" s="1"/>
      <c r="J596" s="1"/>
    </row>
    <row r="597" spans="1:10" x14ac:dyDescent="0.2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Jaime\QUIFA-CAJÚA\Cajua\[VAS_CAJUA_CF_SEC_20230125.xlsx]CF PRBNP'!</v>
      </c>
      <c r="G597" s="6" t="s">
        <v>36</v>
      </c>
      <c r="H597" s="1"/>
      <c r="I597" s="1"/>
      <c r="J597" s="1"/>
    </row>
    <row r="598" spans="1:10" x14ac:dyDescent="0.2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Jaime\QUIFA-CAJÚA\Cajua\[VAS_CAJUA_CF_SEC_20230125.xlsx]CF PRBNP'!</v>
      </c>
      <c r="G598" s="6" t="s">
        <v>36</v>
      </c>
      <c r="H598" s="1"/>
      <c r="I598" s="1"/>
      <c r="J598" s="1"/>
    </row>
    <row r="599" spans="1:10" x14ac:dyDescent="0.2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Jaime\QUIFA-CAJÚA\Cajua\[VAS_CAJUA_CF_SEC_20230125.xlsx]CF PRBNP'!</v>
      </c>
      <c r="G599" s="6" t="s">
        <v>36</v>
      </c>
      <c r="H599" s="1"/>
      <c r="I599" s="1"/>
      <c r="J599" s="1"/>
    </row>
    <row r="600" spans="1:10" x14ac:dyDescent="0.2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Jaime\QUIFA-CAJÚA\Cajua\[VAS_CAJUA_CF_SEC_20230125.xlsx]CF PRBNP'!</v>
      </c>
      <c r="G600" s="6" t="s">
        <v>36</v>
      </c>
      <c r="H600" s="1"/>
      <c r="I600" s="1"/>
      <c r="J600" s="1"/>
    </row>
    <row r="601" spans="1:10" x14ac:dyDescent="0.2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Jaime\QUIFA-CAJÚA\Cajua\[VAS_CAJUA_CF_SEC_20230125.xlsx]CF PRBNP'!</v>
      </c>
      <c r="G601" s="6" t="s">
        <v>36</v>
      </c>
      <c r="H601" s="1"/>
      <c r="I601" s="1"/>
      <c r="J601" s="1"/>
    </row>
    <row r="602" spans="1:10" x14ac:dyDescent="0.2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Jaime\QUIFA-CAJÚA\Cajua\[VAS_CAJUA_CF_SEC_20230125.xlsx]CF PRBNP'!</v>
      </c>
      <c r="G602" s="6" t="s">
        <v>36</v>
      </c>
      <c r="H602" s="1"/>
      <c r="I602" s="1"/>
      <c r="J602" s="1"/>
    </row>
    <row r="603" spans="1:10" x14ac:dyDescent="0.2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Jaime\QUIFA-CAJÚA\Cajua\[VAS_CAJUA_CF_SEC_20230125.xlsx]CF PRBNP'!</v>
      </c>
      <c r="G603" s="6" t="s">
        <v>36</v>
      </c>
      <c r="H603" s="1"/>
      <c r="I603" s="1"/>
      <c r="J603" s="1"/>
    </row>
    <row r="604" spans="1:10" x14ac:dyDescent="0.2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Jaime\QUIFA-CAJÚA\Cajua\[VAS_CAJUA_CF_SEC_20230125.xlsx]CF PRBNP'!</v>
      </c>
      <c r="G604" s="6" t="s">
        <v>36</v>
      </c>
      <c r="H604" s="1"/>
      <c r="I604" s="1"/>
      <c r="J604" s="1"/>
    </row>
    <row r="605" spans="1:10" x14ac:dyDescent="0.2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Jaime\QUIFA-CAJÚA\Cajua\[VAS_CAJUA_CF_SEC_20230125.xlsx]CF PRBNP'!</v>
      </c>
      <c r="G605" s="6" t="s">
        <v>36</v>
      </c>
      <c r="H605" s="1"/>
      <c r="I605" s="1"/>
      <c r="J605" s="1"/>
    </row>
    <row r="606" spans="1:10" x14ac:dyDescent="0.2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Jaime\QUIFA-CAJÚA\Cajua\[VAS_CAJUA_CF_SEC_20230125.xlsx]CF PRBNP'!</v>
      </c>
      <c r="G606" s="6" t="s">
        <v>36</v>
      </c>
      <c r="H606" s="1"/>
      <c r="I606" s="1"/>
      <c r="J606" s="1"/>
    </row>
    <row r="607" spans="1:10" x14ac:dyDescent="0.2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Jaime\QUIFA-CAJÚA\Cajua\[VAS_CAJUA_CF_SEC_20230125.xlsx]CF PRBNP'!</v>
      </c>
      <c r="G607" s="6" t="s">
        <v>36</v>
      </c>
      <c r="H607" s="1"/>
      <c r="I607" s="1"/>
      <c r="J607" s="1"/>
    </row>
    <row r="608" spans="1:10" x14ac:dyDescent="0.2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Jaime\QUIFA-CAJÚA\Cajua\[VAS_CAJUA_CF_SEC_20230125.xlsx]CF PRBNP'!</v>
      </c>
      <c r="G608" s="6" t="s">
        <v>36</v>
      </c>
      <c r="H608" s="1"/>
      <c r="I608" s="1"/>
      <c r="J608" s="1"/>
    </row>
    <row r="609" spans="1:10" x14ac:dyDescent="0.25">
      <c r="A609" s="6" t="s">
        <v>28</v>
      </c>
      <c r="B609" s="6"/>
      <c r="C609" s="1" t="s">
        <v>8</v>
      </c>
      <c r="D609" s="2"/>
      <c r="E609" s="9"/>
      <c r="F609" s="2"/>
      <c r="G609" s="6"/>
      <c r="H609" s="1"/>
      <c r="I609" s="1"/>
      <c r="J609" s="1"/>
    </row>
    <row r="610" spans="1:10" x14ac:dyDescent="0.2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Jaime\QUIFA-CAJÚA\Cajua\[VAS_CAJUA_CF_SEC_20230125.xlsx]CF PRBND'!</v>
      </c>
      <c r="G610" s="6" t="s">
        <v>36</v>
      </c>
      <c r="H610" s="1"/>
      <c r="I610" s="1"/>
      <c r="J610" s="1"/>
    </row>
    <row r="611" spans="1:10" x14ac:dyDescent="0.2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Jaime\QUIFA-CAJÚA\Cajua\[VAS_CAJUA_CF_SEC_20230125.xlsx]CF PRBND'!</v>
      </c>
      <c r="G611" s="6" t="s">
        <v>36</v>
      </c>
      <c r="H611" s="1"/>
      <c r="I611" s="1"/>
      <c r="J611" s="1"/>
    </row>
    <row r="612" spans="1:10" x14ac:dyDescent="0.2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Jaime\QUIFA-CAJÚA\Cajua\[VAS_CAJUA_CF_SEC_20230125.xlsx]CF PRBND'!</v>
      </c>
      <c r="G612" s="6" t="s">
        <v>36</v>
      </c>
      <c r="H612" s="1"/>
      <c r="I612" s="1"/>
      <c r="J612" s="1"/>
    </row>
    <row r="613" spans="1:10" x14ac:dyDescent="0.2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Jaime\QUIFA-CAJÚA\Cajua\[VAS_CAJUA_CF_SEC_20230125.xlsx]CF PRBND'!</v>
      </c>
      <c r="G613" s="6" t="s">
        <v>36</v>
      </c>
      <c r="H613" s="1"/>
      <c r="I613" s="1"/>
      <c r="J613" s="1"/>
    </row>
    <row r="614" spans="1:10" x14ac:dyDescent="0.2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Jaime\QUIFA-CAJÚA\Cajua\[VAS_CAJUA_CF_SEC_20230125.xlsx]CF PRBND'!</v>
      </c>
      <c r="G614" s="6" t="s">
        <v>36</v>
      </c>
      <c r="H614" s="1"/>
      <c r="I614" s="1"/>
      <c r="J614" s="1"/>
    </row>
    <row r="615" spans="1:10" x14ac:dyDescent="0.2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Jaime\QUIFA-CAJÚA\Cajua\[VAS_CAJUA_CF_SEC_20230125.xlsx]CF PRBND'!</v>
      </c>
      <c r="G615" s="6" t="s">
        <v>36</v>
      </c>
      <c r="H615" s="1"/>
      <c r="I615" s="1"/>
      <c r="J615" s="1"/>
    </row>
    <row r="616" spans="1:10" x14ac:dyDescent="0.2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Jaime\QUIFA-CAJÚA\Cajua\[VAS_CAJUA_CF_SEC_20230125.xlsx]CF PRBND'!</v>
      </c>
      <c r="G616" s="6" t="s">
        <v>36</v>
      </c>
      <c r="H616" s="1"/>
      <c r="I616" s="1"/>
      <c r="J616" s="1"/>
    </row>
    <row r="617" spans="1:10" x14ac:dyDescent="0.2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Jaime\QUIFA-CAJÚA\Cajua\[VAS_CAJUA_CF_SEC_20230125.xlsx]CF PRBND'!</v>
      </c>
      <c r="G617" s="6" t="s">
        <v>36</v>
      </c>
      <c r="H617" s="1"/>
      <c r="I617" s="1"/>
      <c r="J617" s="1"/>
    </row>
    <row r="618" spans="1:10" x14ac:dyDescent="0.2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Jaime\QUIFA-CAJÚA\Cajua\[VAS_CAJUA_CF_SEC_20230125.xlsx]CF PRBND'!</v>
      </c>
      <c r="G618" s="6" t="s">
        <v>36</v>
      </c>
      <c r="H618" s="1"/>
      <c r="I618" s="1"/>
      <c r="J618" s="1"/>
    </row>
    <row r="619" spans="1:10" x14ac:dyDescent="0.2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Jaime\QUIFA-CAJÚA\Cajua\[VAS_CAJUA_CF_SEC_20230125.xlsx]CF PRBND'!</v>
      </c>
      <c r="G619" s="6" t="s">
        <v>36</v>
      </c>
      <c r="H619" s="1"/>
      <c r="I619" s="1"/>
      <c r="J619" s="1"/>
    </row>
    <row r="620" spans="1:10" x14ac:dyDescent="0.2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Jaime\QUIFA-CAJÚA\Cajua\[VAS_CAJUA_CF_SEC_20230125.xlsx]CF PRBND'!</v>
      </c>
      <c r="G620" s="6" t="s">
        <v>36</v>
      </c>
      <c r="H620" s="1"/>
      <c r="I620" s="1"/>
      <c r="J620" s="1"/>
    </row>
    <row r="621" spans="1:10" x14ac:dyDescent="0.2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Jaime\QUIFA-CAJÚA\Cajua\[VAS_CAJUA_CF_SEC_20230125.xlsx]CF PRBND'!</v>
      </c>
      <c r="G621" s="6" t="s">
        <v>36</v>
      </c>
      <c r="H621" s="1"/>
      <c r="I621" s="1"/>
      <c r="J621" s="1"/>
    </row>
    <row r="622" spans="1:10" x14ac:dyDescent="0.2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Jaime\QUIFA-CAJÚA\Cajua\[VAS_CAJUA_CF_SEC_20230125.xlsx]CF PRBND'!</v>
      </c>
      <c r="G622" s="6" t="s">
        <v>36</v>
      </c>
      <c r="H622" s="1"/>
      <c r="I622" s="1"/>
      <c r="J622" s="1"/>
    </row>
    <row r="623" spans="1:10" x14ac:dyDescent="0.2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Jaime\QUIFA-CAJÚA\Cajua\[VAS_CAJUA_CF_SEC_20230125.xlsx]CF PRBND'!</v>
      </c>
      <c r="G623" s="6" t="s">
        <v>36</v>
      </c>
      <c r="H623" s="1"/>
      <c r="I623" s="1"/>
      <c r="J623" s="1"/>
    </row>
    <row r="624" spans="1:10" x14ac:dyDescent="0.2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Jaime\QUIFA-CAJÚA\Cajua\[VAS_CAJUA_CF_SEC_20230125.xlsx]CF PRBND'!</v>
      </c>
      <c r="G624" s="6" t="s">
        <v>36</v>
      </c>
      <c r="H624" s="1"/>
      <c r="I624" s="1"/>
      <c r="J624" s="1"/>
    </row>
    <row r="625" spans="1:10" x14ac:dyDescent="0.2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Jaime\QUIFA-CAJÚA\Cajua\[VAS_CAJUA_CF_SEC_20230125.xlsx]CF PRBND'!</v>
      </c>
      <c r="G625" s="6" t="s">
        <v>36</v>
      </c>
      <c r="H625" s="1"/>
      <c r="I625" s="1"/>
      <c r="J625" s="1"/>
    </row>
    <row r="626" spans="1:10" x14ac:dyDescent="0.2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Jaime\QUIFA-CAJÚA\Cajua\[VAS_CAJUA_CF_SEC_20230125.xlsx]CF PRBND'!</v>
      </c>
      <c r="G626" s="6" t="s">
        <v>36</v>
      </c>
      <c r="H626" s="1"/>
      <c r="I626" s="1"/>
      <c r="J626" s="1"/>
    </row>
    <row r="627" spans="1:10" x14ac:dyDescent="0.2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Jaime\QUIFA-CAJÚA\Cajua\[VAS_CAJUA_CF_SEC_20230125.xlsx]CF PRBND'!</v>
      </c>
      <c r="G627" s="6" t="s">
        <v>36</v>
      </c>
      <c r="H627" s="1"/>
      <c r="I627" s="1"/>
      <c r="J627" s="1"/>
    </row>
    <row r="628" spans="1:10" x14ac:dyDescent="0.2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Jaime\QUIFA-CAJÚA\Cajua\[VAS_CAJUA_CF_SEC_20230125.xlsx]CF PRBND'!</v>
      </c>
      <c r="G628" s="6" t="s">
        <v>36</v>
      </c>
      <c r="H628" s="1"/>
      <c r="I628" s="1"/>
      <c r="J628" s="1"/>
    </row>
    <row r="629" spans="1:10" x14ac:dyDescent="0.2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Jaime\QUIFA-CAJÚA\Cajua\[VAS_CAJUA_CF_SEC_20230125.xlsx]CF PRBND'!</v>
      </c>
      <c r="G629" s="6" t="s">
        <v>36</v>
      </c>
      <c r="H629" s="1"/>
      <c r="I629" s="1"/>
      <c r="J629" s="1"/>
    </row>
    <row r="630" spans="1:10" x14ac:dyDescent="0.2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Jaime\QUIFA-CAJÚA\Cajua\[VAS_CAJUA_CF_SEC_20230125.xlsx]CF PRBND'!</v>
      </c>
      <c r="G630" s="6" t="s">
        <v>36</v>
      </c>
      <c r="H630" s="1"/>
      <c r="I630" s="1"/>
      <c r="J630" s="1"/>
    </row>
    <row r="631" spans="1:10" x14ac:dyDescent="0.2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Jaime\QUIFA-CAJÚA\Cajua\[VAS_CAJUA_CF_SEC_20230125.xlsx]CF PRBND'!</v>
      </c>
      <c r="G631" s="6" t="s">
        <v>36</v>
      </c>
      <c r="H631" s="1"/>
      <c r="I631" s="1"/>
      <c r="J631" s="1"/>
    </row>
    <row r="632" spans="1:10" x14ac:dyDescent="0.2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Jaime\QUIFA-CAJÚA\Cajua\[VAS_CAJUA_CF_SEC_20230125.xlsx]CF PRBND'!</v>
      </c>
      <c r="G632" s="6" t="s">
        <v>36</v>
      </c>
      <c r="H632" s="1"/>
      <c r="I632" s="1"/>
      <c r="J632" s="1"/>
    </row>
    <row r="633" spans="1:10" x14ac:dyDescent="0.2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Jaime\QUIFA-CAJÚA\Cajua\[VAS_CAJUA_CF_SEC_20230125.xlsx]CF PRBND'!</v>
      </c>
      <c r="G633" s="6" t="s">
        <v>36</v>
      </c>
      <c r="H633" s="1"/>
      <c r="I633" s="1"/>
      <c r="J633" s="1"/>
    </row>
    <row r="634" spans="1:10" x14ac:dyDescent="0.2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Jaime\QUIFA-CAJÚA\Cajua\[VAS_CAJUA_CF_SEC_20230125.xlsx]CF PRBND'!</v>
      </c>
      <c r="G634" s="6" t="s">
        <v>36</v>
      </c>
      <c r="H634" s="1"/>
      <c r="I634" s="1"/>
      <c r="J634" s="1"/>
    </row>
    <row r="635" spans="1:10" x14ac:dyDescent="0.2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Jaime\QUIFA-CAJÚA\Cajua\[VAS_CAJUA_CF_SEC_20230125.xlsx]CF PRBND'!</v>
      </c>
      <c r="G635" s="6" t="s">
        <v>36</v>
      </c>
      <c r="H635" s="1"/>
      <c r="I635" s="1"/>
      <c r="J635" s="1"/>
    </row>
    <row r="636" spans="1:10" x14ac:dyDescent="0.2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Jaime\QUIFA-CAJÚA\Cajua\[VAS_CAJUA_CF_SEC_20230125.xlsx]CF PRBND'!</v>
      </c>
      <c r="G636" s="6" t="s">
        <v>36</v>
      </c>
      <c r="H636" s="1"/>
      <c r="I636" s="1"/>
      <c r="J636" s="1"/>
    </row>
    <row r="637" spans="1:10" x14ac:dyDescent="0.2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Jaime\QUIFA-CAJÚA\Cajua\[VAS_CAJUA_CF_SEC_20230125.xlsx]CF PRBND'!</v>
      </c>
      <c r="G637" s="6" t="s">
        <v>36</v>
      </c>
      <c r="H637" s="1"/>
      <c r="I637" s="1"/>
      <c r="J637" s="1"/>
    </row>
    <row r="638" spans="1:10" x14ac:dyDescent="0.2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Jaime\QUIFA-CAJÚA\Cajua\[VAS_CAJUA_CF_SEC_20230125.xlsx]CF PRBND'!</v>
      </c>
      <c r="G638" s="6" t="s">
        <v>36</v>
      </c>
      <c r="H638" s="1"/>
      <c r="I638" s="1"/>
      <c r="J638" s="1"/>
    </row>
    <row r="639" spans="1:10" x14ac:dyDescent="0.2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Jaime\QUIFA-CAJÚA\Cajua\[VAS_CAJUA_CF_SEC_20230125.xlsx]CF PRBND'!</v>
      </c>
      <c r="G639" s="6" t="s">
        <v>36</v>
      </c>
      <c r="H639" s="1"/>
      <c r="I639" s="1"/>
      <c r="J639" s="1"/>
    </row>
    <row r="640" spans="1:10" x14ac:dyDescent="0.2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Jaime\QUIFA-CAJÚA\Cajua\[VAS_CAJUA_CF_SEC_20230125.xlsx]CF PRBND'!</v>
      </c>
      <c r="G640" s="6" t="s">
        <v>36</v>
      </c>
      <c r="H640" s="1"/>
      <c r="I640" s="1"/>
      <c r="J640" s="1"/>
    </row>
    <row r="641" spans="1:10" x14ac:dyDescent="0.2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Jaime\QUIFA-CAJÚA\Cajua\[VAS_CAJUA_CF_SEC_20230125.xlsx]CF PRBND'!</v>
      </c>
      <c r="G641" s="6" t="s">
        <v>36</v>
      </c>
      <c r="H641" s="1"/>
      <c r="I641" s="1"/>
      <c r="J641" s="1"/>
    </row>
    <row r="642" spans="1:10" x14ac:dyDescent="0.2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Jaime\QUIFA-CAJÚA\Cajua\[VAS_CAJUA_CF_SEC_20230125.xlsx]CF PRBND'!</v>
      </c>
      <c r="G642" s="6" t="s">
        <v>36</v>
      </c>
      <c r="H642" s="1"/>
      <c r="I642" s="1"/>
      <c r="J642" s="1"/>
    </row>
    <row r="643" spans="1:10" x14ac:dyDescent="0.2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Jaime\QUIFA-CAJÚA\Cajua\[VAS_CAJUA_CF_SEC_20230125.xlsx]CF PRBND'!</v>
      </c>
      <c r="G643" s="6" t="s">
        <v>36</v>
      </c>
      <c r="H643" s="1"/>
      <c r="I643" s="1"/>
      <c r="J643" s="1"/>
    </row>
    <row r="644" spans="1:10" x14ac:dyDescent="0.2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Jaime\QUIFA-CAJÚA\Cajua\[VAS_CAJUA_CF_SEC_20230125.xlsx]CF PRBND'!</v>
      </c>
      <c r="G644" s="6" t="s">
        <v>36</v>
      </c>
      <c r="H644" s="1"/>
      <c r="I644" s="1"/>
      <c r="J644" s="1"/>
    </row>
    <row r="645" spans="1:10" x14ac:dyDescent="0.2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Jaime\QUIFA-CAJÚA\Cajua\[VAS_CAJUA_CF_SEC_20230125.xlsx]CF PRBND'!</v>
      </c>
      <c r="G645" s="6" t="s">
        <v>36</v>
      </c>
      <c r="H645" s="1"/>
      <c r="I645" s="1"/>
      <c r="J645" s="1"/>
    </row>
    <row r="646" spans="1:10" x14ac:dyDescent="0.2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Jaime\QUIFA-CAJÚA\Cajua\[VAS_CAJUA_CF_SEC_20230125.xlsx]CF PRBND'!</v>
      </c>
      <c r="G646" s="6" t="s">
        <v>36</v>
      </c>
      <c r="H646" s="1"/>
      <c r="I646" s="1"/>
      <c r="J646" s="1"/>
    </row>
    <row r="647" spans="1:10" x14ac:dyDescent="0.25">
      <c r="A647" s="6" t="s">
        <v>28</v>
      </c>
      <c r="B647" s="6"/>
      <c r="C647" s="1" t="s">
        <v>8</v>
      </c>
      <c r="D647" s="2"/>
      <c r="E647" s="9"/>
      <c r="F647" s="2"/>
      <c r="G647" s="6"/>
      <c r="H647" s="1"/>
      <c r="I647" s="1"/>
      <c r="J647" s="1"/>
    </row>
    <row r="648" spans="1:10" x14ac:dyDescent="0.2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Jaime\QUIFA-CAJÚA\Cajua\[VAS_CAJUA_CF_SEC_20230125.xlsx]CF PRB'!</v>
      </c>
      <c r="G648" s="6" t="s">
        <v>36</v>
      </c>
      <c r="H648" s="1">
        <f>IF(A648&lt;&gt;A518,36,H518+1)</f>
        <v>36</v>
      </c>
      <c r="I648" s="1" t="str">
        <f t="shared" si="119"/>
        <v>='C:\Users\jaime.benazar\Quorum Business Solutions\Ecopetrol Prometeo - Documents\Planning Space Implementation\3. Analysis &amp; Design\Design\FC22\DRR Jaime\QUIFA-CAJÚA\Cajua\[VAS_CAJUA_CF_SEC_20230125.xlsx]CF PRB'!$BT$36</v>
      </c>
      <c r="J648" s="1" t="s">
        <v>425</v>
      </c>
    </row>
    <row r="649" spans="1:10" x14ac:dyDescent="0.2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Jaime\QUIFA-CAJÚA\Cajua\[VAS_CAJUA_CF_SEC_20230125.xlsx]CF PRB'!</v>
      </c>
      <c r="G649" s="6" t="s">
        <v>36</v>
      </c>
      <c r="H649" s="1">
        <f t="shared" si="120"/>
        <v>37</v>
      </c>
      <c r="I649" s="1" t="str">
        <f t="shared" si="119"/>
        <v>='C:\Users\jaime.benazar\Quorum Business Solutions\Ecopetrol Prometeo - Documents\Planning Space Implementation\3. Analysis &amp; Design\Design\FC22\DRR Jaime\QUIFA-CAJÚA\Cajua\[VAS_CAJUA_CF_SEC_20230125.xlsx]CF PRB'!$BT$37</v>
      </c>
      <c r="J649" s="1" t="s">
        <v>426</v>
      </c>
    </row>
    <row r="650" spans="1:10" x14ac:dyDescent="0.2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Jaime\QUIFA-CAJÚA\Cajua\[VAS_CAJUA_CF_SEC_20230125.xlsx]CF PRB'!</v>
      </c>
      <c r="G650" s="6" t="s">
        <v>36</v>
      </c>
      <c r="H650" s="1">
        <f t="shared" si="120"/>
        <v>38</v>
      </c>
      <c r="I650" s="1" t="str">
        <f t="shared" si="119"/>
        <v>='C:\Users\jaime.benazar\Quorum Business Solutions\Ecopetrol Prometeo - Documents\Planning Space Implementation\3. Analysis &amp; Design\Design\FC22\DRR Jaime\QUIFA-CAJÚA\Cajua\[VAS_CAJUA_CF_SEC_20230125.xlsx]CF PRB'!$BT$38</v>
      </c>
      <c r="J650" s="1" t="s">
        <v>427</v>
      </c>
    </row>
    <row r="651" spans="1:10" x14ac:dyDescent="0.2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Jaime\QUIFA-CAJÚA\Cajua\[VAS_CAJUA_CF_SEC_20230125.xlsx]CF PRB'!</v>
      </c>
      <c r="G651" s="6" t="s">
        <v>36</v>
      </c>
      <c r="H651" s="1">
        <f t="shared" si="120"/>
        <v>39</v>
      </c>
      <c r="I651" s="1" t="str">
        <f t="shared" si="119"/>
        <v>='C:\Users\jaime.benazar\Quorum Business Solutions\Ecopetrol Prometeo - Documents\Planning Space Implementation\3. Analysis &amp; Design\Design\FC22\DRR Jaime\QUIFA-CAJÚA\Cajua\[VAS_CAJUA_CF_SEC_20230125.xlsx]CF PRB'!$BT$39</v>
      </c>
      <c r="J651" s="1" t="s">
        <v>428</v>
      </c>
    </row>
    <row r="652" spans="1:10" x14ac:dyDescent="0.2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Jaime\QUIFA-CAJÚA\Cajua\[VAS_CAJUA_CF_SEC_20230125.xlsx]CF PRB'!</v>
      </c>
      <c r="G652" s="6" t="s">
        <v>36</v>
      </c>
      <c r="H652" s="1">
        <f t="shared" si="120"/>
        <v>40</v>
      </c>
      <c r="I652" s="1" t="str">
        <f t="shared" si="119"/>
        <v>='C:\Users\jaime.benazar\Quorum Business Solutions\Ecopetrol Prometeo - Documents\Planning Space Implementation\3. Analysis &amp; Design\Design\FC22\DRR Jaime\QUIFA-CAJÚA\Cajua\[VAS_CAJUA_CF_SEC_20230125.xlsx]CF PRB'!$BT$40</v>
      </c>
      <c r="J652" s="1" t="s">
        <v>429</v>
      </c>
    </row>
    <row r="653" spans="1:10" x14ac:dyDescent="0.2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Jaime\QUIFA-CAJÚA\Cajua\[VAS_CAJUA_CF_SEC_20230125.xlsx]CF PRB'!</v>
      </c>
      <c r="G653" s="6" t="s">
        <v>36</v>
      </c>
      <c r="H653" s="1">
        <f t="shared" si="120"/>
        <v>41</v>
      </c>
      <c r="I653" s="1" t="str">
        <f t="shared" si="119"/>
        <v>='C:\Users\jaime.benazar\Quorum Business Solutions\Ecopetrol Prometeo - Documents\Planning Space Implementation\3. Analysis &amp; Design\Design\FC22\DRR Jaime\QUIFA-CAJÚA\Cajua\[VAS_CAJUA_CF_SEC_20230125.xlsx]CF PRB'!$BT$41</v>
      </c>
      <c r="J653" s="1" t="s">
        <v>430</v>
      </c>
    </row>
    <row r="654" spans="1:10" x14ac:dyDescent="0.2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Jaime\QUIFA-CAJÚA\Cajua\[VAS_CAJUA_CF_SEC_20230125.xlsx]CF PRB'!</v>
      </c>
      <c r="G654" s="6" t="s">
        <v>36</v>
      </c>
      <c r="H654" s="1">
        <f t="shared" si="120"/>
        <v>42</v>
      </c>
      <c r="I654" s="1" t="str">
        <f t="shared" si="119"/>
        <v>='C:\Users\jaime.benazar\Quorum Business Solutions\Ecopetrol Prometeo - Documents\Planning Space Implementation\3. Analysis &amp; Design\Design\FC22\DRR Jaime\QUIFA-CAJÚA\Cajua\[VAS_CAJUA_CF_SEC_20230125.xlsx]CF PRB'!$BT$42</v>
      </c>
      <c r="J654" s="1" t="s">
        <v>431</v>
      </c>
    </row>
    <row r="655" spans="1:10" x14ac:dyDescent="0.2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Jaime\QUIFA-CAJÚA\Cajua\[VAS_CAJUA_CF_SEC_20230125.xlsx]CF PRB'!</v>
      </c>
      <c r="G655" s="6" t="s">
        <v>36</v>
      </c>
      <c r="H655" s="1">
        <f t="shared" si="120"/>
        <v>43</v>
      </c>
      <c r="I655" s="1" t="str">
        <f t="shared" si="119"/>
        <v>='C:\Users\jaime.benazar\Quorum Business Solutions\Ecopetrol Prometeo - Documents\Planning Space Implementation\3. Analysis &amp; Design\Design\FC22\DRR Jaime\QUIFA-CAJÚA\Cajua\[VAS_CAJUA_CF_SEC_20230125.xlsx]CF PRB'!$BT$43</v>
      </c>
      <c r="J655" s="1" t="s">
        <v>432</v>
      </c>
    </row>
    <row r="656" spans="1:10" x14ac:dyDescent="0.2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Jaime\QUIFA-CAJÚA\Cajua\[VAS_CAJUA_CF_SEC_20230125.xlsx]CF PRB'!</v>
      </c>
      <c r="G656" s="6" t="s">
        <v>36</v>
      </c>
      <c r="H656" s="1">
        <f t="shared" si="120"/>
        <v>44</v>
      </c>
      <c r="I656" s="1" t="str">
        <f t="shared" si="119"/>
        <v>='C:\Users\jaime.benazar\Quorum Business Solutions\Ecopetrol Prometeo - Documents\Planning Space Implementation\3. Analysis &amp; Design\Design\FC22\DRR Jaime\QUIFA-CAJÚA\Cajua\[VAS_CAJUA_CF_SEC_20230125.xlsx]CF PRB'!$BT$44</v>
      </c>
      <c r="J656" s="1" t="s">
        <v>433</v>
      </c>
    </row>
    <row r="657" spans="1:10" x14ac:dyDescent="0.2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Jaime\QUIFA-CAJÚA\Cajua\[VAS_CAJUA_CF_SEC_20230125.xlsx]CF PRB'!</v>
      </c>
      <c r="G657" s="6" t="s">
        <v>36</v>
      </c>
      <c r="H657" s="1">
        <f t="shared" si="120"/>
        <v>45</v>
      </c>
      <c r="I657" s="1" t="str">
        <f t="shared" si="119"/>
        <v>='C:\Users\jaime.benazar\Quorum Business Solutions\Ecopetrol Prometeo - Documents\Planning Space Implementation\3. Analysis &amp; Design\Design\FC22\DRR Jaime\QUIFA-CAJÚA\Cajua\[VAS_CAJUA_CF_SEC_20230125.xlsx]CF PRB'!$BT$45</v>
      </c>
      <c r="J657" s="1" t="s">
        <v>434</v>
      </c>
    </row>
    <row r="658" spans="1:10" x14ac:dyDescent="0.2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Jaime\QUIFA-CAJÚA\Cajua\[VAS_CAJUA_CF_SEC_20230125.xlsx]CF PRB'!</v>
      </c>
      <c r="G658" s="6" t="s">
        <v>36</v>
      </c>
      <c r="H658" s="1">
        <f t="shared" si="120"/>
        <v>46</v>
      </c>
      <c r="I658" s="1" t="str">
        <f t="shared" si="119"/>
        <v>='C:\Users\jaime.benazar\Quorum Business Solutions\Ecopetrol Prometeo - Documents\Planning Space Implementation\3. Analysis &amp; Design\Design\FC22\DRR Jaime\QUIFA-CAJÚA\Cajua\[VAS_CAJUA_CF_SEC_20230125.xlsx]CF PRB'!$BT$46</v>
      </c>
      <c r="J658" s="1" t="s">
        <v>435</v>
      </c>
    </row>
    <row r="659" spans="1:10" x14ac:dyDescent="0.2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Jaime\QUIFA-CAJÚA\Cajua\[VAS_CAJUA_CF_SEC_20230125.xlsx]CF PRB'!</v>
      </c>
      <c r="G659" s="6" t="s">
        <v>36</v>
      </c>
      <c r="H659" s="1">
        <f t="shared" si="120"/>
        <v>47</v>
      </c>
      <c r="I659" s="1" t="str">
        <f t="shared" si="119"/>
        <v>='C:\Users\jaime.benazar\Quorum Business Solutions\Ecopetrol Prometeo - Documents\Planning Space Implementation\3. Analysis &amp; Design\Design\FC22\DRR Jaime\QUIFA-CAJÚA\Cajua\[VAS_CAJUA_CF_SEC_20230125.xlsx]CF PRB'!$BT$47</v>
      </c>
      <c r="J659" s="1" t="s">
        <v>436</v>
      </c>
    </row>
    <row r="660" spans="1:10" x14ac:dyDescent="0.2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Jaime\QUIFA-CAJÚA\Cajua\[VAS_CAJUA_CF_SEC_20230125.xlsx]CF PRB'!</v>
      </c>
      <c r="G660" s="6" t="s">
        <v>36</v>
      </c>
      <c r="H660" s="1">
        <f t="shared" si="120"/>
        <v>48</v>
      </c>
      <c r="I660" s="1" t="str">
        <f t="shared" si="119"/>
        <v>='C:\Users\jaime.benazar\Quorum Business Solutions\Ecopetrol Prometeo - Documents\Planning Space Implementation\3. Analysis &amp; Design\Design\FC22\DRR Jaime\QUIFA-CAJÚA\Cajua\[VAS_CAJUA_CF_SEC_20230125.xlsx]CF PRB'!$BT$48</v>
      </c>
      <c r="J660" s="1" t="s">
        <v>437</v>
      </c>
    </row>
    <row r="661" spans="1:10" x14ac:dyDescent="0.2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Jaime\QUIFA-CAJÚA\Cajua\[VAS_CAJUA_CF_SEC_20230125.xlsx]CF PRB'!</v>
      </c>
      <c r="G661" s="6" t="s">
        <v>36</v>
      </c>
      <c r="H661" s="1">
        <f t="shared" si="120"/>
        <v>49</v>
      </c>
      <c r="I661" s="1" t="str">
        <f t="shared" si="119"/>
        <v>='C:\Users\jaime.benazar\Quorum Business Solutions\Ecopetrol Prometeo - Documents\Planning Space Implementation\3. Analysis &amp; Design\Design\FC22\DRR Jaime\QUIFA-CAJÚA\Cajua\[VAS_CAJUA_CF_SEC_20230125.xlsx]CF PRB'!$BT$49</v>
      </c>
      <c r="J661" s="1" t="s">
        <v>438</v>
      </c>
    </row>
    <row r="662" spans="1:10" x14ac:dyDescent="0.2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Jaime\QUIFA-CAJÚA\Cajua\[VAS_CAJUA_CF_SEC_20230125.xlsx]CF PRB'!</v>
      </c>
      <c r="G662" s="6" t="s">
        <v>36</v>
      </c>
      <c r="H662" s="1">
        <f t="shared" si="120"/>
        <v>50</v>
      </c>
      <c r="I662" s="1" t="str">
        <f t="shared" si="119"/>
        <v>='C:\Users\jaime.benazar\Quorum Business Solutions\Ecopetrol Prometeo - Documents\Planning Space Implementation\3. Analysis &amp; Design\Design\FC22\DRR Jaime\QUIFA-CAJÚA\Cajua\[VAS_CAJUA_CF_SEC_20230125.xlsx]CF PRB'!$BT$50</v>
      </c>
      <c r="J662" s="1" t="s">
        <v>439</v>
      </c>
    </row>
    <row r="663" spans="1:10" x14ac:dyDescent="0.2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Jaime\QUIFA-CAJÚA\Cajua\[VAS_CAJUA_CF_SEC_20230125.xlsx]CF PRB'!</v>
      </c>
      <c r="G663" s="6" t="s">
        <v>36</v>
      </c>
      <c r="H663" s="1">
        <f t="shared" si="120"/>
        <v>51</v>
      </c>
      <c r="I663" s="1" t="str">
        <f t="shared" si="119"/>
        <v>='C:\Users\jaime.benazar\Quorum Business Solutions\Ecopetrol Prometeo - Documents\Planning Space Implementation\3. Analysis &amp; Design\Design\FC22\DRR Jaime\QUIFA-CAJÚA\Cajua\[VAS_CAJUA_CF_SEC_20230125.xlsx]CF PRB'!$BT$51</v>
      </c>
      <c r="J663" s="1" t="s">
        <v>440</v>
      </c>
    </row>
    <row r="664" spans="1:10" x14ac:dyDescent="0.2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Jaime\QUIFA-CAJÚA\Cajua\[VAS_CAJUA_CF_SEC_20230125.xlsx]CF PRB'!</v>
      </c>
      <c r="G664" s="6" t="s">
        <v>36</v>
      </c>
      <c r="H664" s="1">
        <f t="shared" si="120"/>
        <v>52</v>
      </c>
      <c r="I664" s="1" t="str">
        <f t="shared" si="119"/>
        <v>='C:\Users\jaime.benazar\Quorum Business Solutions\Ecopetrol Prometeo - Documents\Planning Space Implementation\3. Analysis &amp; Design\Design\FC22\DRR Jaime\QUIFA-CAJÚA\Cajua\[VAS_CAJUA_CF_SEC_20230125.xlsx]CF PRB'!$BT$52</v>
      </c>
      <c r="J664" s="1" t="s">
        <v>441</v>
      </c>
    </row>
    <row r="665" spans="1:10" x14ac:dyDescent="0.2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Jaime\QUIFA-CAJÚA\Cajua\[VAS_CAJUA_CF_SEC_20230125.xlsx]CF PRB'!</v>
      </c>
      <c r="G665" s="6" t="s">
        <v>36</v>
      </c>
      <c r="H665" s="1">
        <f t="shared" si="120"/>
        <v>53</v>
      </c>
      <c r="I665" s="1" t="str">
        <f t="shared" si="119"/>
        <v>='C:\Users\jaime.benazar\Quorum Business Solutions\Ecopetrol Prometeo - Documents\Planning Space Implementation\3. Analysis &amp; Design\Design\FC22\DRR Jaime\QUIFA-CAJÚA\Cajua\[VAS_CAJUA_CF_SEC_20230125.xlsx]CF PRB'!$BT$53</v>
      </c>
      <c r="J665" s="1" t="s">
        <v>442</v>
      </c>
    </row>
    <row r="666" spans="1:10" x14ac:dyDescent="0.2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Jaime\QUIFA-CAJÚA\Cajua\[VAS_CAJUA_CF_SEC_20230125.xlsx]CF PRB'!</v>
      </c>
      <c r="G666" s="6" t="s">
        <v>36</v>
      </c>
      <c r="H666" s="1">
        <f t="shared" si="120"/>
        <v>54</v>
      </c>
      <c r="I666" s="1" t="str">
        <f t="shared" si="119"/>
        <v>='C:\Users\jaime.benazar\Quorum Business Solutions\Ecopetrol Prometeo - Documents\Planning Space Implementation\3. Analysis &amp; Design\Design\FC22\DRR Jaime\QUIFA-CAJÚA\Cajua\[VAS_CAJUA_CF_SEC_20230125.xlsx]CF PRB'!$BT$54</v>
      </c>
      <c r="J666" s="1" t="s">
        <v>443</v>
      </c>
    </row>
    <row r="667" spans="1:10" x14ac:dyDescent="0.2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Jaime\QUIFA-CAJÚA\Cajua\[VAS_CAJUA_CF_SEC_20230125.xlsx]CF PRB'!</v>
      </c>
      <c r="G667" s="6" t="s">
        <v>36</v>
      </c>
      <c r="H667" s="1">
        <f t="shared" si="120"/>
        <v>55</v>
      </c>
      <c r="I667" s="1" t="str">
        <f t="shared" si="119"/>
        <v>='C:\Users\jaime.benazar\Quorum Business Solutions\Ecopetrol Prometeo - Documents\Planning Space Implementation\3. Analysis &amp; Design\Design\FC22\DRR Jaime\QUIFA-CAJÚA\Cajua\[VAS_CAJUA_CF_SEC_20230125.xlsx]CF PRB'!$BT$55</v>
      </c>
      <c r="J667" s="1" t="s">
        <v>444</v>
      </c>
    </row>
    <row r="668" spans="1:10" x14ac:dyDescent="0.2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Jaime\QUIFA-CAJÚA\Cajua\[VAS_CAJUA_CF_SEC_20230125.xlsx]CF PRB'!</v>
      </c>
      <c r="G668" s="6" t="s">
        <v>36</v>
      </c>
      <c r="H668" s="1">
        <f t="shared" si="120"/>
        <v>56</v>
      </c>
      <c r="I668" s="1" t="str">
        <f t="shared" si="119"/>
        <v>='C:\Users\jaime.benazar\Quorum Business Solutions\Ecopetrol Prometeo - Documents\Planning Space Implementation\3. Analysis &amp; Design\Design\FC22\DRR Jaime\QUIFA-CAJÚA\Cajua\[VAS_CAJUA_CF_SEC_20230125.xlsx]CF PRB'!$BT$56</v>
      </c>
      <c r="J668" s="1" t="s">
        <v>445</v>
      </c>
    </row>
    <row r="669" spans="1:10" x14ac:dyDescent="0.2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Jaime\QUIFA-CAJÚA\Cajua\[VAS_CAJUA_CF_SEC_20230125.xlsx]CF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Jaime\QUIFA-CAJÚA\Cajua\[VAS_CAJUA_CF_SEC_20230125.xlsx]CF PRB'!$BT$57</v>
      </c>
      <c r="J669" s="1" t="s">
        <v>446</v>
      </c>
    </row>
    <row r="670" spans="1:10" x14ac:dyDescent="0.2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Jaime\QUIFA-CAJÚA\Cajua\[VAS_CAJUA_CF_SEC_20230125.xlsx]CF PRB'!</v>
      </c>
      <c r="G670" s="6" t="s">
        <v>36</v>
      </c>
      <c r="H670" s="1">
        <f t="shared" si="155"/>
        <v>58</v>
      </c>
      <c r="I670" s="1" t="str">
        <f t="shared" si="156"/>
        <v>='C:\Users\jaime.benazar\Quorum Business Solutions\Ecopetrol Prometeo - Documents\Planning Space Implementation\3. Analysis &amp; Design\Design\FC22\DRR Jaime\QUIFA-CAJÚA\Cajua\[VAS_CAJUA_CF_SEC_20230125.xlsx]CF PRB'!$BT$58</v>
      </c>
      <c r="J670" s="1" t="s">
        <v>447</v>
      </c>
    </row>
    <row r="671" spans="1:10" x14ac:dyDescent="0.2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Jaime\QUIFA-CAJÚA\Cajua\[VAS_CAJUA_CF_SEC_20230125.xlsx]CF PRB'!</v>
      </c>
      <c r="G671" s="6" t="s">
        <v>36</v>
      </c>
      <c r="H671" s="1">
        <f t="shared" si="155"/>
        <v>59</v>
      </c>
      <c r="I671" s="1" t="str">
        <f t="shared" si="156"/>
        <v>='C:\Users\jaime.benazar\Quorum Business Solutions\Ecopetrol Prometeo - Documents\Planning Space Implementation\3. Analysis &amp; Design\Design\FC22\DRR Jaime\QUIFA-CAJÚA\Cajua\[VAS_CAJUA_CF_SEC_20230125.xlsx]CF PRB'!$BT$59</v>
      </c>
      <c r="J671" s="1" t="s">
        <v>448</v>
      </c>
    </row>
    <row r="672" spans="1:10" x14ac:dyDescent="0.2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Jaime\QUIFA-CAJÚA\Cajua\[VAS_CAJUA_CF_SEC_20230125.xlsx]CF PRB'!</v>
      </c>
      <c r="G672" s="6" t="s">
        <v>36</v>
      </c>
      <c r="H672" s="1">
        <f t="shared" si="155"/>
        <v>60</v>
      </c>
      <c r="I672" s="1" t="str">
        <f t="shared" si="156"/>
        <v>='C:\Users\jaime.benazar\Quorum Business Solutions\Ecopetrol Prometeo - Documents\Planning Space Implementation\3. Analysis &amp; Design\Design\FC22\DRR Jaime\QUIFA-CAJÚA\Cajua\[VAS_CAJUA_CF_SEC_20230125.xlsx]CF PRB'!$BT$60</v>
      </c>
      <c r="J672" s="1" t="s">
        <v>449</v>
      </c>
    </row>
    <row r="673" spans="1:10" x14ac:dyDescent="0.2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Jaime\QUIFA-CAJÚA\Cajua\[VAS_CAJUA_CF_SEC_20230125.xlsx]CF PRB'!</v>
      </c>
      <c r="G673" s="6" t="s">
        <v>36</v>
      </c>
      <c r="H673" s="1">
        <f t="shared" si="155"/>
        <v>61</v>
      </c>
      <c r="I673" s="1" t="str">
        <f t="shared" si="156"/>
        <v>='C:\Users\jaime.benazar\Quorum Business Solutions\Ecopetrol Prometeo - Documents\Planning Space Implementation\3. Analysis &amp; Design\Design\FC22\DRR Jaime\QUIFA-CAJÚA\Cajua\[VAS_CAJUA_CF_SEC_20230125.xlsx]CF PRB'!$BT$61</v>
      </c>
      <c r="J673" s="1" t="s">
        <v>450</v>
      </c>
    </row>
    <row r="674" spans="1:10" x14ac:dyDescent="0.2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Jaime\QUIFA-CAJÚA\Cajua\[VAS_CAJUA_CF_SEC_20230125.xlsx]CF PRB'!</v>
      </c>
      <c r="G674" s="6" t="s">
        <v>36</v>
      </c>
      <c r="H674" s="1">
        <f t="shared" si="155"/>
        <v>62</v>
      </c>
      <c r="I674" s="1" t="str">
        <f t="shared" si="156"/>
        <v>='C:\Users\jaime.benazar\Quorum Business Solutions\Ecopetrol Prometeo - Documents\Planning Space Implementation\3. Analysis &amp; Design\Design\FC22\DRR Jaime\QUIFA-CAJÚA\Cajua\[VAS_CAJUA_CF_SEC_20230125.xlsx]CF PRB'!$BT$62</v>
      </c>
      <c r="J674" s="1" t="s">
        <v>451</v>
      </c>
    </row>
    <row r="675" spans="1:10" x14ac:dyDescent="0.2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Jaime\QUIFA-CAJÚA\Cajua\[VAS_CAJUA_CF_SEC_20230125.xlsx]CF PRB'!</v>
      </c>
      <c r="G675" s="6" t="s">
        <v>36</v>
      </c>
      <c r="H675" s="1">
        <f t="shared" si="155"/>
        <v>63</v>
      </c>
      <c r="I675" s="1" t="str">
        <f t="shared" si="156"/>
        <v>='C:\Users\jaime.benazar\Quorum Business Solutions\Ecopetrol Prometeo - Documents\Planning Space Implementation\3. Analysis &amp; Design\Design\FC22\DRR Jaime\QUIFA-CAJÚA\Cajua\[VAS_CAJUA_CF_SEC_20230125.xlsx]CF PRB'!$BT$63</v>
      </c>
      <c r="J675" s="1" t="s">
        <v>452</v>
      </c>
    </row>
    <row r="676" spans="1:10" x14ac:dyDescent="0.2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Jaime\QUIFA-CAJÚA\Cajua\[VAS_CAJUA_CF_SEC_20230125.xlsx]CF PRB'!</v>
      </c>
      <c r="G676" s="6" t="s">
        <v>36</v>
      </c>
      <c r="H676" s="1">
        <f t="shared" si="155"/>
        <v>64</v>
      </c>
      <c r="I676" s="1" t="str">
        <f t="shared" si="156"/>
        <v>='C:\Users\jaime.benazar\Quorum Business Solutions\Ecopetrol Prometeo - Documents\Planning Space Implementation\3. Analysis &amp; Design\Design\FC22\DRR Jaime\QUIFA-CAJÚA\Cajua\[VAS_CAJUA_CF_SEC_20230125.xlsx]CF PRB'!$BT$64</v>
      </c>
      <c r="J676" s="1" t="s">
        <v>453</v>
      </c>
    </row>
    <row r="677" spans="1:10" x14ac:dyDescent="0.2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Jaime\QUIFA-CAJÚA\Cajua\[VAS_CAJUA_CF_SEC_20230125.xlsx]CF PRB'!</v>
      </c>
      <c r="G677" s="6" t="s">
        <v>36</v>
      </c>
      <c r="H677" s="1">
        <f t="shared" si="155"/>
        <v>65</v>
      </c>
      <c r="I677" s="1" t="str">
        <f t="shared" si="156"/>
        <v>='C:\Users\jaime.benazar\Quorum Business Solutions\Ecopetrol Prometeo - Documents\Planning Space Implementation\3. Analysis &amp; Design\Design\FC22\DRR Jaime\QUIFA-CAJÚA\Cajua\[VAS_CAJUA_CF_SEC_20230125.xlsx]CF PRB'!$BT$65</v>
      </c>
      <c r="J677" s="1" t="s">
        <v>454</v>
      </c>
    </row>
    <row r="678" spans="1:10" x14ac:dyDescent="0.2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Jaime\QUIFA-CAJÚA\Cajua\[VAS_CAJUA_CF_SEC_20230125.xlsx]CF PRB'!</v>
      </c>
      <c r="G678" s="6" t="s">
        <v>36</v>
      </c>
      <c r="H678" s="1">
        <f t="shared" si="155"/>
        <v>66</v>
      </c>
      <c r="I678" s="1" t="str">
        <f t="shared" si="156"/>
        <v>='C:\Users\jaime.benazar\Quorum Business Solutions\Ecopetrol Prometeo - Documents\Planning Space Implementation\3. Analysis &amp; Design\Design\FC22\DRR Jaime\QUIFA-CAJÚA\Cajua\[VAS_CAJUA_CF_SEC_20230125.xlsx]CF PRB'!$BT$66</v>
      </c>
      <c r="J678" s="1" t="s">
        <v>455</v>
      </c>
    </row>
    <row r="679" spans="1:10" x14ac:dyDescent="0.2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Jaime\QUIFA-CAJÚA\Cajua\[VAS_CAJUA_CF_SEC_20230125.xlsx]CF PRB'!</v>
      </c>
      <c r="G679" s="6" t="s">
        <v>36</v>
      </c>
      <c r="H679" s="1">
        <f t="shared" si="155"/>
        <v>67</v>
      </c>
      <c r="I679" s="1" t="str">
        <f t="shared" si="156"/>
        <v>='C:\Users\jaime.benazar\Quorum Business Solutions\Ecopetrol Prometeo - Documents\Planning Space Implementation\3. Analysis &amp; Design\Design\FC22\DRR Jaime\QUIFA-CAJÚA\Cajua\[VAS_CAJUA_CF_SEC_20230125.xlsx]CF PRB'!$BT$67</v>
      </c>
      <c r="J679" s="1" t="s">
        <v>456</v>
      </c>
    </row>
    <row r="680" spans="1:10" x14ac:dyDescent="0.2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Jaime\QUIFA-CAJÚA\Cajua\[VAS_CAJUA_CF_SEC_20230125.xlsx]CF PRB'!</v>
      </c>
      <c r="G680" s="6" t="s">
        <v>36</v>
      </c>
      <c r="H680" s="1">
        <f t="shared" si="155"/>
        <v>68</v>
      </c>
      <c r="I680" s="1" t="str">
        <f t="shared" si="156"/>
        <v>='C:\Users\jaime.benazar\Quorum Business Solutions\Ecopetrol Prometeo - Documents\Planning Space Implementation\3. Analysis &amp; Design\Design\FC22\DRR Jaime\QUIFA-CAJÚA\Cajua\[VAS_CAJUA_CF_SEC_20230125.xlsx]CF PRB'!$BT$68</v>
      </c>
      <c r="J680" s="1" t="s">
        <v>457</v>
      </c>
    </row>
    <row r="681" spans="1:10" x14ac:dyDescent="0.2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Jaime\QUIFA-CAJÚA\Cajua\[VAS_CAJUA_CF_SEC_20230125.xlsx]CF PRB'!</v>
      </c>
      <c r="G681" s="6" t="s">
        <v>36</v>
      </c>
      <c r="H681" s="1">
        <f t="shared" si="155"/>
        <v>69</v>
      </c>
      <c r="I681" s="1" t="str">
        <f t="shared" si="156"/>
        <v>='C:\Users\jaime.benazar\Quorum Business Solutions\Ecopetrol Prometeo - Documents\Planning Space Implementation\3. Analysis &amp; Design\Design\FC22\DRR Jaime\QUIFA-CAJÚA\Cajua\[VAS_CAJUA_CF_SEC_20230125.xlsx]CF PRB'!$BT$69</v>
      </c>
      <c r="J681" s="1" t="s">
        <v>458</v>
      </c>
    </row>
    <row r="682" spans="1:10" x14ac:dyDescent="0.2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Jaime\QUIFA-CAJÚA\Cajua\[VAS_CAJUA_CF_SEC_20230125.xlsx]CF PRB'!</v>
      </c>
      <c r="G682" s="6" t="s">
        <v>36</v>
      </c>
      <c r="H682" s="1">
        <f t="shared" si="155"/>
        <v>70</v>
      </c>
      <c r="I682" s="1" t="str">
        <f t="shared" si="156"/>
        <v>='C:\Users\jaime.benazar\Quorum Business Solutions\Ecopetrol Prometeo - Documents\Planning Space Implementation\3. Analysis &amp; Design\Design\FC22\DRR Jaime\QUIFA-CAJÚA\Cajua\[VAS_CAJUA_CF_SEC_20230125.xlsx]CF PRB'!$BT$70</v>
      </c>
      <c r="J682" s="1" t="s">
        <v>459</v>
      </c>
    </row>
    <row r="683" spans="1:10" x14ac:dyDescent="0.2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Jaime\QUIFA-CAJÚA\Cajua\[VAS_CAJUA_CF_SEC_20230125.xlsx]CF PRB'!</v>
      </c>
      <c r="G683" s="6" t="s">
        <v>36</v>
      </c>
      <c r="H683" s="1">
        <f t="shared" si="155"/>
        <v>71</v>
      </c>
      <c r="I683" s="1" t="str">
        <f t="shared" si="156"/>
        <v>='C:\Users\jaime.benazar\Quorum Business Solutions\Ecopetrol Prometeo - Documents\Planning Space Implementation\3. Analysis &amp; Design\Design\FC22\DRR Jaime\QUIFA-CAJÚA\Cajua\[VAS_CAJUA_CF_SEC_20230125.xlsx]CF PRB'!$BT$71</v>
      </c>
      <c r="J683" s="1" t="s">
        <v>460</v>
      </c>
    </row>
    <row r="684" spans="1:10" x14ac:dyDescent="0.2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Jaime\QUIFA-CAJÚA\Cajua\[VAS_CAJUA_CF_SEC_20230125.xlsx]CF PRB'!</v>
      </c>
      <c r="G684" s="6" t="s">
        <v>36</v>
      </c>
      <c r="H684" s="1">
        <f t="shared" si="155"/>
        <v>72</v>
      </c>
      <c r="I684" s="1" t="str">
        <f t="shared" si="156"/>
        <v>='C:\Users\jaime.benazar\Quorum Business Solutions\Ecopetrol Prometeo - Documents\Planning Space Implementation\3. Analysis &amp; Design\Design\FC22\DRR Jaime\QUIFA-CAJÚA\Cajua\[VAS_CAJUA_CF_SEC_20230125.xlsx]CF PRB'!$BT$72</v>
      </c>
      <c r="J684" s="1" t="s">
        <v>461</v>
      </c>
    </row>
    <row r="685" spans="1:10" x14ac:dyDescent="0.25">
      <c r="A685" s="6" t="s">
        <v>28</v>
      </c>
      <c r="B685" s="6"/>
      <c r="C685" s="1" t="s">
        <v>8</v>
      </c>
      <c r="D685" s="2"/>
      <c r="E685" s="9"/>
      <c r="F685" s="2"/>
      <c r="G685" s="6"/>
      <c r="H685" s="1"/>
      <c r="I685" s="1"/>
      <c r="J685" s="4"/>
    </row>
    <row r="686" spans="1:10" x14ac:dyDescent="0.2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Jaime\QUIFA-CAJÚA\Cajua\[VAS_CAJUA_CF_SEC_20230125.xlsx]CF PSDP'!</v>
      </c>
      <c r="G686" s="6" t="s">
        <v>36</v>
      </c>
      <c r="H686" s="1"/>
      <c r="I686" s="1"/>
      <c r="J686" s="1"/>
    </row>
    <row r="687" spans="1:10" x14ac:dyDescent="0.2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Jaime\QUIFA-CAJÚA\Cajua\[VAS_CAJUA_CF_SEC_20230125.xlsx]CF PSDP'!</v>
      </c>
      <c r="G687" s="6" t="s">
        <v>36</v>
      </c>
      <c r="H687" s="1"/>
      <c r="I687" s="1"/>
      <c r="J687" s="1"/>
    </row>
    <row r="688" spans="1:10" x14ac:dyDescent="0.2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Jaime\QUIFA-CAJÚA\Cajua\[VAS_CAJUA_CF_SEC_20230125.xlsx]CF PSDP'!</v>
      </c>
      <c r="G688" s="6" t="s">
        <v>36</v>
      </c>
      <c r="H688" s="1"/>
      <c r="I688" s="1"/>
      <c r="J688" s="1"/>
    </row>
    <row r="689" spans="1:10" x14ac:dyDescent="0.2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Jaime\QUIFA-CAJÚA\Cajua\[VAS_CAJUA_CF_SEC_20230125.xlsx]CF PSDP'!</v>
      </c>
      <c r="G689" s="6" t="s">
        <v>36</v>
      </c>
      <c r="H689" s="1"/>
      <c r="I689" s="1"/>
      <c r="J689" s="1"/>
    </row>
    <row r="690" spans="1:10" x14ac:dyDescent="0.2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Jaime\QUIFA-CAJÚA\Cajua\[VAS_CAJUA_CF_SEC_20230125.xlsx]CF PSDP'!</v>
      </c>
      <c r="G690" s="6" t="s">
        <v>36</v>
      </c>
      <c r="H690" s="1"/>
      <c r="I690" s="1"/>
      <c r="J690" s="1"/>
    </row>
    <row r="691" spans="1:10" x14ac:dyDescent="0.2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Jaime\QUIFA-CAJÚA\Cajua\[VAS_CAJUA_CF_SEC_20230125.xlsx]CF PSDP'!</v>
      </c>
      <c r="G691" s="6" t="s">
        <v>36</v>
      </c>
      <c r="H691" s="1"/>
      <c r="I691" s="1"/>
      <c r="J691" s="1"/>
    </row>
    <row r="692" spans="1:10" x14ac:dyDescent="0.2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Jaime\QUIFA-CAJÚA\Cajua\[VAS_CAJUA_CF_SEC_20230125.xlsx]CF PSDP'!</v>
      </c>
      <c r="G692" s="6" t="s">
        <v>36</v>
      </c>
      <c r="H692" s="1"/>
      <c r="I692" s="1"/>
      <c r="J692" s="1"/>
    </row>
    <row r="693" spans="1:10" x14ac:dyDescent="0.2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Jaime\QUIFA-CAJÚA\Cajua\[VAS_CAJUA_CF_SEC_20230125.xlsx]CF PSDP'!</v>
      </c>
      <c r="G693" s="6" t="s">
        <v>36</v>
      </c>
      <c r="H693" s="1"/>
      <c r="I693" s="1"/>
      <c r="J693" s="1"/>
    </row>
    <row r="694" spans="1:10" x14ac:dyDescent="0.2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Jaime\QUIFA-CAJÚA\Cajua\[VAS_CAJUA_CF_SEC_20230125.xlsx]CF PSDP'!</v>
      </c>
      <c r="G694" s="6" t="s">
        <v>36</v>
      </c>
      <c r="H694" s="1"/>
      <c r="I694" s="1"/>
      <c r="J694" s="1"/>
    </row>
    <row r="695" spans="1:10" x14ac:dyDescent="0.2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Jaime\QUIFA-CAJÚA\Cajua\[VAS_CAJUA_CF_SEC_20230125.xlsx]CF PSDP'!</v>
      </c>
      <c r="G695" s="6" t="s">
        <v>36</v>
      </c>
      <c r="H695" s="1"/>
      <c r="I695" s="1"/>
      <c r="J695" s="1"/>
    </row>
    <row r="696" spans="1:10" x14ac:dyDescent="0.2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Jaime\QUIFA-CAJÚA\Cajua\[VAS_CAJUA_CF_SEC_20230125.xlsx]CF PSDP'!</v>
      </c>
      <c r="G696" s="6" t="s">
        <v>36</v>
      </c>
      <c r="H696" s="1"/>
      <c r="I696" s="1"/>
      <c r="J696" s="1"/>
    </row>
    <row r="697" spans="1:10" x14ac:dyDescent="0.2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Jaime\QUIFA-CAJÚA\Cajua\[VAS_CAJUA_CF_SEC_20230125.xlsx]CF PSDP'!</v>
      </c>
      <c r="G697" s="6" t="s">
        <v>36</v>
      </c>
      <c r="H697" s="1"/>
      <c r="I697" s="1"/>
      <c r="J697" s="1"/>
    </row>
    <row r="698" spans="1:10" x14ac:dyDescent="0.2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Jaime\QUIFA-CAJÚA\Cajua\[VAS_CAJUA_CF_SEC_20230125.xlsx]CF PSDP'!</v>
      </c>
      <c r="G698" s="6" t="s">
        <v>36</v>
      </c>
      <c r="H698" s="1"/>
      <c r="I698" s="1"/>
      <c r="J698" s="1"/>
    </row>
    <row r="699" spans="1:10" x14ac:dyDescent="0.2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Jaime\QUIFA-CAJÚA\Cajua\[VAS_CAJUA_CF_SEC_20230125.xlsx]CF PSDP'!</v>
      </c>
      <c r="G699" s="6" t="s">
        <v>36</v>
      </c>
      <c r="H699" s="1"/>
      <c r="I699" s="1"/>
      <c r="J699" s="1"/>
    </row>
    <row r="700" spans="1:10" x14ac:dyDescent="0.2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Jaime\QUIFA-CAJÚA\Cajua\[VAS_CAJUA_CF_SEC_20230125.xlsx]CF PSDP'!</v>
      </c>
      <c r="G700" s="6" t="s">
        <v>36</v>
      </c>
      <c r="H700" s="1"/>
      <c r="I700" s="1"/>
      <c r="J700" s="1"/>
    </row>
    <row r="701" spans="1:10" x14ac:dyDescent="0.2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Jaime\QUIFA-CAJÚA\Cajua\[VAS_CAJUA_CF_SEC_20230125.xlsx]CF PSDP'!</v>
      </c>
      <c r="G701" s="6" t="s">
        <v>36</v>
      </c>
      <c r="H701" s="1"/>
      <c r="I701" s="1"/>
      <c r="J701" s="1"/>
    </row>
    <row r="702" spans="1:10" x14ac:dyDescent="0.2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Jaime\QUIFA-CAJÚA\Cajua\[VAS_CAJUA_CF_SEC_20230125.xlsx]CF PSDP'!</v>
      </c>
      <c r="G702" s="6" t="s">
        <v>36</v>
      </c>
      <c r="H702" s="1"/>
      <c r="I702" s="1"/>
      <c r="J702" s="1"/>
    </row>
    <row r="703" spans="1:10" x14ac:dyDescent="0.2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Jaime\QUIFA-CAJÚA\Cajua\[VAS_CAJUA_CF_SEC_20230125.xlsx]CF PSDP'!</v>
      </c>
      <c r="G703" s="6" t="s">
        <v>36</v>
      </c>
      <c r="H703" s="1"/>
      <c r="I703" s="1"/>
      <c r="J703" s="1"/>
    </row>
    <row r="704" spans="1:10" x14ac:dyDescent="0.2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Jaime\QUIFA-CAJÚA\Cajua\[VAS_CAJUA_CF_SEC_20230125.xlsx]CF PSDP'!</v>
      </c>
      <c r="G704" s="6" t="s">
        <v>36</v>
      </c>
      <c r="H704" s="1"/>
      <c r="I704" s="1"/>
      <c r="J704" s="1"/>
    </row>
    <row r="705" spans="1:10" x14ac:dyDescent="0.2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Jaime\QUIFA-CAJÚA\Cajua\[VAS_CAJUA_CF_SEC_20230125.xlsx]CF PSDP'!</v>
      </c>
      <c r="G705" s="6" t="s">
        <v>36</v>
      </c>
      <c r="H705" s="1"/>
      <c r="I705" s="1"/>
      <c r="J705" s="1"/>
    </row>
    <row r="706" spans="1:10" x14ac:dyDescent="0.2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Jaime\QUIFA-CAJÚA\Cajua\[VAS_CAJUA_CF_SEC_20230125.xlsx]CF PSDP'!</v>
      </c>
      <c r="G706" s="6" t="s">
        <v>36</v>
      </c>
      <c r="H706" s="1"/>
      <c r="I706" s="1"/>
      <c r="J706" s="1"/>
    </row>
    <row r="707" spans="1:10" x14ac:dyDescent="0.2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Jaime\QUIFA-CAJÚA\Cajua\[VAS_CAJUA_CF_SEC_20230125.xlsx]CF PSDP'!</v>
      </c>
      <c r="G707" s="6" t="s">
        <v>36</v>
      </c>
      <c r="H707" s="1"/>
      <c r="I707" s="1"/>
      <c r="J707" s="1"/>
    </row>
    <row r="708" spans="1:10" x14ac:dyDescent="0.2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Jaime\QUIFA-CAJÚA\Cajua\[VAS_CAJUA_CF_SEC_20230125.xlsx]CF PSDP'!</v>
      </c>
      <c r="G708" s="6" t="s">
        <v>36</v>
      </c>
      <c r="H708" s="1"/>
      <c r="I708" s="1"/>
      <c r="J708" s="1"/>
    </row>
    <row r="709" spans="1:10" x14ac:dyDescent="0.2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Jaime\QUIFA-CAJÚA\Cajua\[VAS_CAJUA_CF_SEC_20230125.xlsx]CF PSDP'!</v>
      </c>
      <c r="G709" s="6" t="s">
        <v>36</v>
      </c>
      <c r="H709" s="1"/>
      <c r="I709" s="1"/>
      <c r="J709" s="1"/>
    </row>
    <row r="710" spans="1:10" x14ac:dyDescent="0.2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Jaime\QUIFA-CAJÚA\Cajua\[VAS_CAJUA_CF_SEC_20230125.xlsx]CF PSDP'!</v>
      </c>
      <c r="G710" s="6" t="s">
        <v>36</v>
      </c>
      <c r="H710" s="1"/>
      <c r="I710" s="1"/>
      <c r="J710" s="1"/>
    </row>
    <row r="711" spans="1:10" x14ac:dyDescent="0.2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Jaime\QUIFA-CAJÚA\Cajua\[VAS_CAJUA_CF_SEC_20230125.xlsx]CF PSDP'!</v>
      </c>
      <c r="G711" s="6" t="s">
        <v>36</v>
      </c>
      <c r="H711" s="1"/>
      <c r="I711" s="1"/>
      <c r="J711" s="1"/>
    </row>
    <row r="712" spans="1:10" x14ac:dyDescent="0.2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Jaime\QUIFA-CAJÚA\Cajua\[VAS_CAJUA_CF_SEC_20230125.xlsx]CF PSDP'!</v>
      </c>
      <c r="G712" s="6" t="s">
        <v>36</v>
      </c>
      <c r="H712" s="1"/>
      <c r="I712" s="1"/>
      <c r="J712" s="1"/>
    </row>
    <row r="713" spans="1:10" x14ac:dyDescent="0.2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Jaime\QUIFA-CAJÚA\Cajua\[VAS_CAJUA_CF_SEC_20230125.xlsx]CF PSDP'!</v>
      </c>
      <c r="G713" s="6" t="s">
        <v>36</v>
      </c>
      <c r="H713" s="1"/>
      <c r="I713" s="1"/>
      <c r="J713" s="1"/>
    </row>
    <row r="714" spans="1:10" x14ac:dyDescent="0.2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Jaime\QUIFA-CAJÚA\Cajua\[VAS_CAJUA_CF_SEC_20230125.xlsx]CF PSDP'!</v>
      </c>
      <c r="G714" s="6" t="s">
        <v>36</v>
      </c>
      <c r="H714" s="1"/>
      <c r="I714" s="1"/>
      <c r="J714" s="1"/>
    </row>
    <row r="715" spans="1:10" x14ac:dyDescent="0.2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Jaime\QUIFA-CAJÚA\Cajua\[VAS_CAJUA_CF_SEC_20230125.xlsx]CF PSDP'!</v>
      </c>
      <c r="G715" s="6" t="s">
        <v>36</v>
      </c>
      <c r="H715" s="1"/>
      <c r="I715" s="1"/>
      <c r="J715" s="1"/>
    </row>
    <row r="716" spans="1:10" x14ac:dyDescent="0.2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Jaime\QUIFA-CAJÚA\Cajua\[VAS_CAJUA_CF_SEC_20230125.xlsx]CF PSDP'!</v>
      </c>
      <c r="G716" s="6" t="s">
        <v>36</v>
      </c>
      <c r="H716" s="1"/>
      <c r="I716" s="1"/>
      <c r="J716" s="1"/>
    </row>
    <row r="717" spans="1:10" x14ac:dyDescent="0.2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Jaime\QUIFA-CAJÚA\Cajua\[VAS_CAJUA_CF_SEC_20230125.xlsx]CF PSDP'!</v>
      </c>
      <c r="G717" s="6" t="s">
        <v>36</v>
      </c>
      <c r="H717" s="1"/>
      <c r="I717" s="1"/>
      <c r="J717" s="1"/>
    </row>
    <row r="718" spans="1:10" x14ac:dyDescent="0.2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Jaime\QUIFA-CAJÚA\Cajua\[VAS_CAJUA_CF_SEC_20230125.xlsx]CF PSDP'!</v>
      </c>
      <c r="G718" s="6" t="s">
        <v>36</v>
      </c>
      <c r="H718" s="1"/>
      <c r="I718" s="1"/>
      <c r="J718" s="1"/>
    </row>
    <row r="719" spans="1:10" x14ac:dyDescent="0.2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Jaime\QUIFA-CAJÚA\Cajua\[VAS_CAJUA_CF_SEC_20230125.xlsx]CF PSDP'!</v>
      </c>
      <c r="G719" s="6" t="s">
        <v>36</v>
      </c>
      <c r="H719" s="1"/>
      <c r="I719" s="1"/>
      <c r="J719" s="1"/>
    </row>
    <row r="720" spans="1:10" x14ac:dyDescent="0.2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Jaime\QUIFA-CAJÚA\Cajua\[VAS_CAJUA_CF_SEC_20230125.xlsx]CF PSDP'!</v>
      </c>
      <c r="G720" s="6" t="s">
        <v>36</v>
      </c>
      <c r="H720" s="1"/>
      <c r="I720" s="1"/>
      <c r="J720" s="1"/>
    </row>
    <row r="721" spans="1:10" x14ac:dyDescent="0.2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Jaime\QUIFA-CAJÚA\Cajua\[VAS_CAJUA_CF_SEC_20230125.xlsx]CF PSDP'!</v>
      </c>
      <c r="G721" s="6" t="s">
        <v>36</v>
      </c>
      <c r="H721" s="1"/>
      <c r="I721" s="1"/>
      <c r="J721" s="1"/>
    </row>
    <row r="722" spans="1:10" x14ac:dyDescent="0.2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Jaime\QUIFA-CAJÚA\Cajua\[VAS_CAJUA_CF_SEC_20230125.xlsx]CF PSDP'!</v>
      </c>
      <c r="G722" s="6" t="s">
        <v>36</v>
      </c>
      <c r="H722" s="1"/>
      <c r="I722" s="1"/>
      <c r="J722" s="1"/>
    </row>
    <row r="723" spans="1:10" x14ac:dyDescent="0.25">
      <c r="A723" s="6" t="s">
        <v>28</v>
      </c>
      <c r="B723" s="6"/>
      <c r="C723" s="1" t="s">
        <v>8</v>
      </c>
      <c r="D723" s="2"/>
      <c r="E723" s="9"/>
      <c r="F723" s="2"/>
      <c r="G723" s="6"/>
      <c r="H723" s="1"/>
      <c r="I723" s="1"/>
      <c r="J723" s="1"/>
    </row>
    <row r="724" spans="1:10" x14ac:dyDescent="0.2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Jaime\QUIFA-CAJÚA\Cajua\[VAS_CAJUA_CF_SEC_20230125.xlsx]CF PSNP'!</v>
      </c>
      <c r="G724" s="6" t="s">
        <v>36</v>
      </c>
      <c r="H724" s="1"/>
      <c r="I724" s="1"/>
      <c r="J724" s="1"/>
    </row>
    <row r="725" spans="1:10" x14ac:dyDescent="0.2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Jaime\QUIFA-CAJÚA\Cajua\[VAS_CAJUA_CF_SEC_20230125.xlsx]CF PSNP'!</v>
      </c>
      <c r="G725" s="6" t="s">
        <v>36</v>
      </c>
      <c r="H725" s="1"/>
      <c r="I725" s="1"/>
      <c r="J725" s="1"/>
    </row>
    <row r="726" spans="1:10" x14ac:dyDescent="0.2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Jaime\QUIFA-CAJÚA\Cajua\[VAS_CAJUA_CF_SEC_20230125.xlsx]CF PSNP'!</v>
      </c>
      <c r="G726" s="6" t="s">
        <v>36</v>
      </c>
      <c r="H726" s="1"/>
      <c r="I726" s="1"/>
      <c r="J726" s="1"/>
    </row>
    <row r="727" spans="1:10" x14ac:dyDescent="0.2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Jaime\QUIFA-CAJÚA\Cajua\[VAS_CAJUA_CF_SEC_20230125.xlsx]CF PSNP'!</v>
      </c>
      <c r="G727" s="6" t="s">
        <v>36</v>
      </c>
      <c r="H727" s="1"/>
      <c r="I727" s="1"/>
      <c r="J727" s="1"/>
    </row>
    <row r="728" spans="1:10" x14ac:dyDescent="0.2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Jaime\QUIFA-CAJÚA\Cajua\[VAS_CAJUA_CF_SEC_20230125.xlsx]CF PSNP'!</v>
      </c>
      <c r="G728" s="6" t="s">
        <v>36</v>
      </c>
      <c r="H728" s="1"/>
      <c r="I728" s="1"/>
      <c r="J728" s="1"/>
    </row>
    <row r="729" spans="1:10" x14ac:dyDescent="0.2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Jaime\QUIFA-CAJÚA\Cajua\[VAS_CAJUA_CF_SEC_20230125.xlsx]CF PSNP'!</v>
      </c>
      <c r="G729" s="6" t="s">
        <v>36</v>
      </c>
      <c r="H729" s="1"/>
      <c r="I729" s="1"/>
      <c r="J729" s="1"/>
    </row>
    <row r="730" spans="1:10" x14ac:dyDescent="0.2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Jaime\QUIFA-CAJÚA\Cajua\[VAS_CAJUA_CF_SEC_20230125.xlsx]CF PSNP'!</v>
      </c>
      <c r="G730" s="6" t="s">
        <v>36</v>
      </c>
      <c r="H730" s="1"/>
      <c r="I730" s="1"/>
      <c r="J730" s="1"/>
    </row>
    <row r="731" spans="1:10" x14ac:dyDescent="0.2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Jaime\QUIFA-CAJÚA\Cajua\[VAS_CAJUA_CF_SEC_20230125.xlsx]CF PSNP'!</v>
      </c>
      <c r="G731" s="6" t="s">
        <v>36</v>
      </c>
      <c r="H731" s="1"/>
      <c r="I731" s="1"/>
      <c r="J731" s="1"/>
    </row>
    <row r="732" spans="1:10" x14ac:dyDescent="0.2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Jaime\QUIFA-CAJÚA\Cajua\[VAS_CAJUA_CF_SEC_20230125.xlsx]CF PSNP'!</v>
      </c>
      <c r="G732" s="6" t="s">
        <v>36</v>
      </c>
      <c r="H732" s="1"/>
      <c r="I732" s="1"/>
      <c r="J732" s="1"/>
    </row>
    <row r="733" spans="1:10" x14ac:dyDescent="0.2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Jaime\QUIFA-CAJÚA\Cajua\[VAS_CAJUA_CF_SEC_20230125.xlsx]CF PSNP'!</v>
      </c>
      <c r="G733" s="6" t="s">
        <v>36</v>
      </c>
      <c r="H733" s="1"/>
      <c r="I733" s="1"/>
      <c r="J733" s="1"/>
    </row>
    <row r="734" spans="1:10" x14ac:dyDescent="0.2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Jaime\QUIFA-CAJÚA\Cajua\[VAS_CAJUA_CF_SEC_20230125.xlsx]CF PSNP'!</v>
      </c>
      <c r="G734" s="6" t="s">
        <v>36</v>
      </c>
      <c r="H734" s="1"/>
      <c r="I734" s="1"/>
      <c r="J734" s="1"/>
    </row>
    <row r="735" spans="1:10" x14ac:dyDescent="0.2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Jaime\QUIFA-CAJÚA\Cajua\[VAS_CAJUA_CF_SEC_20230125.xlsx]CF PSNP'!</v>
      </c>
      <c r="G735" s="6" t="s">
        <v>36</v>
      </c>
      <c r="H735" s="1"/>
      <c r="I735" s="1"/>
      <c r="J735" s="1"/>
    </row>
    <row r="736" spans="1:10" x14ac:dyDescent="0.2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Jaime\QUIFA-CAJÚA\Cajua\[VAS_CAJUA_CF_SEC_20230125.xlsx]CF PSNP'!</v>
      </c>
      <c r="G736" s="6" t="s">
        <v>36</v>
      </c>
      <c r="H736" s="1"/>
      <c r="I736" s="1"/>
      <c r="J736" s="1"/>
    </row>
    <row r="737" spans="1:10" x14ac:dyDescent="0.2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Jaime\QUIFA-CAJÚA\Cajua\[VAS_CAJUA_CF_SEC_20230125.xlsx]CF PSNP'!</v>
      </c>
      <c r="G737" s="6" t="s">
        <v>36</v>
      </c>
      <c r="H737" s="1"/>
      <c r="I737" s="1"/>
      <c r="J737" s="1"/>
    </row>
    <row r="738" spans="1:10" x14ac:dyDescent="0.2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Jaime\QUIFA-CAJÚA\Cajua\[VAS_CAJUA_CF_SEC_20230125.xlsx]CF PSNP'!</v>
      </c>
      <c r="G738" s="6" t="s">
        <v>36</v>
      </c>
      <c r="H738" s="1"/>
      <c r="I738" s="1"/>
      <c r="J738" s="1"/>
    </row>
    <row r="739" spans="1:10" x14ac:dyDescent="0.2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Jaime\QUIFA-CAJÚA\Cajua\[VAS_CAJUA_CF_SEC_20230125.xlsx]CF PSNP'!</v>
      </c>
      <c r="G739" s="6" t="s">
        <v>36</v>
      </c>
      <c r="H739" s="1"/>
      <c r="I739" s="1"/>
      <c r="J739" s="1"/>
    </row>
    <row r="740" spans="1:10" x14ac:dyDescent="0.2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Jaime\QUIFA-CAJÚA\Cajua\[VAS_CAJUA_CF_SEC_20230125.xlsx]CF PSNP'!</v>
      </c>
      <c r="G740" s="6" t="s">
        <v>36</v>
      </c>
      <c r="H740" s="1"/>
      <c r="I740" s="1"/>
      <c r="J740" s="1"/>
    </row>
    <row r="741" spans="1:10" x14ac:dyDescent="0.2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Jaime\QUIFA-CAJÚA\Cajua\[VAS_CAJUA_CF_SEC_20230125.xlsx]CF PSNP'!</v>
      </c>
      <c r="G741" s="6" t="s">
        <v>36</v>
      </c>
      <c r="H741" s="1"/>
      <c r="I741" s="1"/>
      <c r="J741" s="1"/>
    </row>
    <row r="742" spans="1:10" x14ac:dyDescent="0.2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Jaime\QUIFA-CAJÚA\Cajua\[VAS_CAJUA_CF_SEC_20230125.xlsx]CF PSNP'!</v>
      </c>
      <c r="G742" s="6" t="s">
        <v>36</v>
      </c>
      <c r="H742" s="1"/>
      <c r="I742" s="1"/>
      <c r="J742" s="1"/>
    </row>
    <row r="743" spans="1:10" x14ac:dyDescent="0.2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Jaime\QUIFA-CAJÚA\Cajua\[VAS_CAJUA_CF_SEC_20230125.xlsx]CF PSNP'!</v>
      </c>
      <c r="G743" s="6" t="s">
        <v>36</v>
      </c>
      <c r="H743" s="1"/>
      <c r="I743" s="1"/>
      <c r="J743" s="1"/>
    </row>
    <row r="744" spans="1:10" x14ac:dyDescent="0.2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Jaime\QUIFA-CAJÚA\Cajua\[VAS_CAJUA_CF_SEC_20230125.xlsx]CF PSNP'!</v>
      </c>
      <c r="G744" s="6" t="s">
        <v>36</v>
      </c>
      <c r="H744" s="1"/>
      <c r="I744" s="1"/>
      <c r="J744" s="1"/>
    </row>
    <row r="745" spans="1:10" x14ac:dyDescent="0.2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Jaime\QUIFA-CAJÚA\Cajua\[VAS_CAJUA_CF_SEC_20230125.xlsx]CF PSNP'!</v>
      </c>
      <c r="G745" s="6" t="s">
        <v>36</v>
      </c>
      <c r="H745" s="1"/>
      <c r="I745" s="1"/>
      <c r="J745" s="1"/>
    </row>
    <row r="746" spans="1:10" x14ac:dyDescent="0.2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Jaime\QUIFA-CAJÚA\Cajua\[VAS_CAJUA_CF_SEC_20230125.xlsx]CF PSNP'!</v>
      </c>
      <c r="G746" s="6" t="s">
        <v>36</v>
      </c>
      <c r="H746" s="1"/>
      <c r="I746" s="1"/>
      <c r="J746" s="1"/>
    </row>
    <row r="747" spans="1:10" x14ac:dyDescent="0.2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Jaime\QUIFA-CAJÚA\Cajua\[VAS_CAJUA_CF_SEC_20230125.xlsx]CF PSNP'!</v>
      </c>
      <c r="G747" s="6" t="s">
        <v>36</v>
      </c>
      <c r="H747" s="1"/>
      <c r="I747" s="1"/>
      <c r="J747" s="1"/>
    </row>
    <row r="748" spans="1:10" x14ac:dyDescent="0.2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Jaime\QUIFA-CAJÚA\Cajua\[VAS_CAJUA_CF_SEC_20230125.xlsx]CF PSNP'!</v>
      </c>
      <c r="G748" s="6" t="s">
        <v>36</v>
      </c>
      <c r="H748" s="1"/>
      <c r="I748" s="1"/>
      <c r="J748" s="1"/>
    </row>
    <row r="749" spans="1:10" x14ac:dyDescent="0.2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Jaime\QUIFA-CAJÚA\Cajua\[VAS_CAJUA_CF_SEC_20230125.xlsx]CF PSNP'!</v>
      </c>
      <c r="G749" s="6" t="s">
        <v>36</v>
      </c>
      <c r="H749" s="1"/>
      <c r="I749" s="1"/>
      <c r="J749" s="1"/>
    </row>
    <row r="750" spans="1:10" x14ac:dyDescent="0.2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Jaime\QUIFA-CAJÚA\Cajua\[VAS_CAJUA_CF_SEC_20230125.xlsx]CF PSNP'!</v>
      </c>
      <c r="G750" s="6" t="s">
        <v>36</v>
      </c>
      <c r="H750" s="1"/>
      <c r="I750" s="1"/>
      <c r="J750" s="1"/>
    </row>
    <row r="751" spans="1:10" x14ac:dyDescent="0.2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Jaime\QUIFA-CAJÚA\Cajua\[VAS_CAJUA_CF_SEC_20230125.xlsx]CF PSNP'!</v>
      </c>
      <c r="G751" s="6" t="s">
        <v>36</v>
      </c>
      <c r="H751" s="1"/>
      <c r="I751" s="1"/>
      <c r="J751" s="1"/>
    </row>
    <row r="752" spans="1:10" x14ac:dyDescent="0.2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Jaime\QUIFA-CAJÚA\Cajua\[VAS_CAJUA_CF_SEC_20230125.xlsx]CF PSNP'!</v>
      </c>
      <c r="G752" s="6" t="s">
        <v>36</v>
      </c>
      <c r="H752" s="1"/>
      <c r="I752" s="1"/>
      <c r="J752" s="1"/>
    </row>
    <row r="753" spans="1:10" x14ac:dyDescent="0.2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Jaime\QUIFA-CAJÚA\Cajua\[VAS_CAJUA_CF_SEC_20230125.xlsx]CF PSNP'!</v>
      </c>
      <c r="G753" s="6" t="s">
        <v>36</v>
      </c>
      <c r="H753" s="1"/>
      <c r="I753" s="1"/>
      <c r="J753" s="1"/>
    </row>
    <row r="754" spans="1:10" x14ac:dyDescent="0.2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Jaime\QUIFA-CAJÚA\Cajua\[VAS_CAJUA_CF_SEC_20230125.xlsx]CF PSNP'!</v>
      </c>
      <c r="G754" s="6" t="s">
        <v>36</v>
      </c>
      <c r="H754" s="1"/>
      <c r="I754" s="1"/>
      <c r="J754" s="1"/>
    </row>
    <row r="755" spans="1:10" x14ac:dyDescent="0.2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Jaime\QUIFA-CAJÚA\Cajua\[VAS_CAJUA_CF_SEC_20230125.xlsx]CF PSNP'!</v>
      </c>
      <c r="G755" s="6" t="s">
        <v>36</v>
      </c>
      <c r="H755" s="1"/>
      <c r="I755" s="1"/>
      <c r="J755" s="1"/>
    </row>
    <row r="756" spans="1:10" x14ac:dyDescent="0.2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Jaime\QUIFA-CAJÚA\Cajua\[VAS_CAJUA_CF_SEC_20230125.xlsx]CF PSNP'!</v>
      </c>
      <c r="G756" s="6" t="s">
        <v>36</v>
      </c>
      <c r="H756" s="1"/>
      <c r="I756" s="1"/>
      <c r="J756" s="1"/>
    </row>
    <row r="757" spans="1:10" x14ac:dyDescent="0.2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Jaime\QUIFA-CAJÚA\Cajua\[VAS_CAJUA_CF_SEC_20230125.xlsx]CF PSNP'!</v>
      </c>
      <c r="G757" s="6" t="s">
        <v>36</v>
      </c>
      <c r="H757" s="1"/>
      <c r="I757" s="1"/>
      <c r="J757" s="1"/>
    </row>
    <row r="758" spans="1:10" x14ac:dyDescent="0.2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Jaime\QUIFA-CAJÚA\Cajua\[VAS_CAJUA_CF_SEC_20230125.xlsx]CF PSNP'!</v>
      </c>
      <c r="G758" s="6" t="s">
        <v>36</v>
      </c>
      <c r="H758" s="1"/>
      <c r="I758" s="1"/>
      <c r="J758" s="1"/>
    </row>
    <row r="759" spans="1:10" x14ac:dyDescent="0.2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Jaime\QUIFA-CAJÚA\Cajua\[VAS_CAJUA_CF_SEC_20230125.xlsx]CF PSNP'!</v>
      </c>
      <c r="G759" s="6" t="s">
        <v>36</v>
      </c>
      <c r="H759" s="1"/>
      <c r="I759" s="1"/>
      <c r="J759" s="1"/>
    </row>
    <row r="760" spans="1:10" x14ac:dyDescent="0.2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Jaime\QUIFA-CAJÚA\Cajua\[VAS_CAJUA_CF_SEC_20230125.xlsx]CF PSNP'!</v>
      </c>
      <c r="G760" s="6" t="s">
        <v>36</v>
      </c>
      <c r="H760" s="1"/>
      <c r="I760" s="1"/>
      <c r="J760" s="1"/>
    </row>
    <row r="761" spans="1:10" x14ac:dyDescent="0.25">
      <c r="A761" s="6" t="s">
        <v>28</v>
      </c>
      <c r="B761" s="6"/>
      <c r="C761" s="1" t="s">
        <v>8</v>
      </c>
      <c r="D761" s="2"/>
      <c r="E761" s="9"/>
      <c r="F761" s="2"/>
      <c r="G761" s="6"/>
      <c r="H761" s="1"/>
      <c r="I761" s="1"/>
      <c r="J761" s="1"/>
    </row>
    <row r="762" spans="1:10" x14ac:dyDescent="0.2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Jaime\QUIFA-CAJÚA\Cajua\[VAS_CAJUA_CF_SEC_20230125.xlsx]CF PSND'!</v>
      </c>
      <c r="G762" s="6" t="s">
        <v>36</v>
      </c>
      <c r="H762" s="1"/>
      <c r="I762" s="1"/>
      <c r="J762" s="1"/>
    </row>
    <row r="763" spans="1:10" x14ac:dyDescent="0.2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Jaime\QUIFA-CAJÚA\Cajua\[VAS_CAJUA_CF_SEC_20230125.xlsx]CF PSND'!</v>
      </c>
      <c r="G763" s="6" t="s">
        <v>36</v>
      </c>
      <c r="H763" s="1"/>
      <c r="I763" s="1"/>
      <c r="J763" s="1"/>
    </row>
    <row r="764" spans="1:10" x14ac:dyDescent="0.2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Jaime\QUIFA-CAJÚA\Cajua\[VAS_CAJUA_CF_SEC_20230125.xlsx]CF PSND'!</v>
      </c>
      <c r="G764" s="6" t="s">
        <v>36</v>
      </c>
      <c r="H764" s="1"/>
      <c r="I764" s="1"/>
      <c r="J764" s="1"/>
    </row>
    <row r="765" spans="1:10" x14ac:dyDescent="0.2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Jaime\QUIFA-CAJÚA\Cajua\[VAS_CAJUA_CF_SEC_20230125.xlsx]CF PSND'!</v>
      </c>
      <c r="G765" s="6" t="s">
        <v>36</v>
      </c>
      <c r="H765" s="1"/>
      <c r="I765" s="1"/>
      <c r="J765" s="1"/>
    </row>
    <row r="766" spans="1:10" x14ac:dyDescent="0.2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Jaime\QUIFA-CAJÚA\Cajua\[VAS_CAJUA_CF_SEC_20230125.xlsx]CF PSND'!</v>
      </c>
      <c r="G766" s="6" t="s">
        <v>36</v>
      </c>
      <c r="H766" s="1"/>
      <c r="I766" s="1"/>
      <c r="J766" s="1"/>
    </row>
    <row r="767" spans="1:10" x14ac:dyDescent="0.2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Jaime\QUIFA-CAJÚA\Cajua\[VAS_CAJUA_CF_SEC_20230125.xlsx]CF PSND'!</v>
      </c>
      <c r="G767" s="6" t="s">
        <v>36</v>
      </c>
      <c r="H767" s="1"/>
      <c r="I767" s="1"/>
      <c r="J767" s="1"/>
    </row>
    <row r="768" spans="1:10" x14ac:dyDescent="0.2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Jaime\QUIFA-CAJÚA\Cajua\[VAS_CAJUA_CF_SEC_20230125.xlsx]CF PSND'!</v>
      </c>
      <c r="G768" s="6" t="s">
        <v>36</v>
      </c>
      <c r="H768" s="1"/>
      <c r="I768" s="1"/>
      <c r="J768" s="1"/>
    </row>
    <row r="769" spans="1:10" x14ac:dyDescent="0.2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Jaime\QUIFA-CAJÚA\Cajua\[VAS_CAJUA_CF_SEC_20230125.xlsx]CF PSND'!</v>
      </c>
      <c r="G769" s="6" t="s">
        <v>36</v>
      </c>
      <c r="H769" s="1"/>
      <c r="I769" s="1"/>
      <c r="J769" s="1"/>
    </row>
    <row r="770" spans="1:10" x14ac:dyDescent="0.2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Jaime\QUIFA-CAJÚA\Cajua\[VAS_CAJUA_CF_SEC_20230125.xlsx]CF PSND'!</v>
      </c>
      <c r="G770" s="6" t="s">
        <v>36</v>
      </c>
      <c r="H770" s="1"/>
      <c r="I770" s="1"/>
      <c r="J770" s="1"/>
    </row>
    <row r="771" spans="1:10" x14ac:dyDescent="0.2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Jaime\QUIFA-CAJÚA\Cajua\[VAS_CAJUA_CF_SEC_20230125.xlsx]CF PSND'!</v>
      </c>
      <c r="G771" s="6" t="s">
        <v>36</v>
      </c>
      <c r="H771" s="1"/>
      <c r="I771" s="1"/>
      <c r="J771" s="1"/>
    </row>
    <row r="772" spans="1:10" x14ac:dyDescent="0.2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Jaime\QUIFA-CAJÚA\Cajua\[VAS_CAJUA_CF_SEC_20230125.xlsx]CF PSND'!</v>
      </c>
      <c r="G772" s="6" t="s">
        <v>36</v>
      </c>
      <c r="H772" s="1"/>
      <c r="I772" s="1"/>
      <c r="J772" s="1"/>
    </row>
    <row r="773" spans="1:10" x14ac:dyDescent="0.2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Jaime\QUIFA-CAJÚA\Cajua\[VAS_CAJUA_CF_SEC_20230125.xlsx]CF PSND'!</v>
      </c>
      <c r="G773" s="6" t="s">
        <v>36</v>
      </c>
      <c r="H773" s="1"/>
      <c r="I773" s="1"/>
      <c r="J773" s="1"/>
    </row>
    <row r="774" spans="1:10" x14ac:dyDescent="0.2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Jaime\QUIFA-CAJÚA\Cajua\[VAS_CAJUA_CF_SEC_20230125.xlsx]CF PSND'!</v>
      </c>
      <c r="G774" s="6" t="s">
        <v>36</v>
      </c>
      <c r="H774" s="1"/>
      <c r="I774" s="1"/>
      <c r="J774" s="1"/>
    </row>
    <row r="775" spans="1:10" x14ac:dyDescent="0.2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Jaime\QUIFA-CAJÚA\Cajua\[VAS_CAJUA_CF_SEC_20230125.xlsx]CF PSND'!</v>
      </c>
      <c r="G775" s="6" t="s">
        <v>36</v>
      </c>
      <c r="H775" s="1"/>
      <c r="I775" s="1"/>
      <c r="J775" s="1"/>
    </row>
    <row r="776" spans="1:10" x14ac:dyDescent="0.2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Jaime\QUIFA-CAJÚA\Cajua\[VAS_CAJUA_CF_SEC_20230125.xlsx]CF PSND'!</v>
      </c>
      <c r="G776" s="6" t="s">
        <v>36</v>
      </c>
      <c r="H776" s="1"/>
      <c r="I776" s="1"/>
      <c r="J776" s="1"/>
    </row>
    <row r="777" spans="1:10" x14ac:dyDescent="0.2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Jaime\QUIFA-CAJÚA\Cajua\[VAS_CAJUA_CF_SEC_20230125.xlsx]CF PSND'!</v>
      </c>
      <c r="G777" s="6" t="s">
        <v>36</v>
      </c>
      <c r="H777" s="1"/>
      <c r="I777" s="1"/>
      <c r="J777" s="1"/>
    </row>
    <row r="778" spans="1:10" x14ac:dyDescent="0.2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Jaime\QUIFA-CAJÚA\Cajua\[VAS_CAJUA_CF_SEC_20230125.xlsx]CF PSND'!</v>
      </c>
      <c r="G778" s="6" t="s">
        <v>36</v>
      </c>
      <c r="H778" s="1"/>
      <c r="I778" s="1"/>
      <c r="J778" s="1"/>
    </row>
    <row r="779" spans="1:10" x14ac:dyDescent="0.2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Jaime\QUIFA-CAJÚA\Cajua\[VAS_CAJUA_CF_SEC_20230125.xlsx]CF PSND'!</v>
      </c>
      <c r="G779" s="6" t="s">
        <v>36</v>
      </c>
      <c r="H779" s="1"/>
      <c r="I779" s="1"/>
      <c r="J779" s="1"/>
    </row>
    <row r="780" spans="1:10" x14ac:dyDescent="0.2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Jaime\QUIFA-CAJÚA\Cajua\[VAS_CAJUA_CF_SEC_20230125.xlsx]CF PSND'!</v>
      </c>
      <c r="G780" s="6" t="s">
        <v>36</v>
      </c>
      <c r="H780" s="1"/>
      <c r="I780" s="1"/>
      <c r="J780" s="1"/>
    </row>
    <row r="781" spans="1:10" x14ac:dyDescent="0.2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Jaime\QUIFA-CAJÚA\Cajua\[VAS_CAJUA_CF_SEC_20230125.xlsx]CF PSND'!</v>
      </c>
      <c r="G781" s="6" t="s">
        <v>36</v>
      </c>
      <c r="H781" s="1"/>
      <c r="I781" s="1"/>
      <c r="J781" s="1"/>
    </row>
    <row r="782" spans="1:10" x14ac:dyDescent="0.2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Jaime\QUIFA-CAJÚA\Cajua\[VAS_CAJUA_CF_SEC_20230125.xlsx]CF PSND'!</v>
      </c>
      <c r="G782" s="6" t="s">
        <v>36</v>
      </c>
      <c r="H782" s="1"/>
      <c r="I782" s="1"/>
      <c r="J782" s="1"/>
    </row>
    <row r="783" spans="1:10" x14ac:dyDescent="0.2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Jaime\QUIFA-CAJÚA\Cajua\[VAS_CAJUA_CF_SEC_20230125.xlsx]CF PSND'!</v>
      </c>
      <c r="G783" s="6" t="s">
        <v>36</v>
      </c>
      <c r="H783" s="1"/>
      <c r="I783" s="1"/>
      <c r="J783" s="1"/>
    </row>
    <row r="784" spans="1:10" x14ac:dyDescent="0.2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Jaime\QUIFA-CAJÚA\Cajua\[VAS_CAJUA_CF_SEC_20230125.xlsx]CF PSND'!</v>
      </c>
      <c r="G784" s="6" t="s">
        <v>36</v>
      </c>
      <c r="H784" s="1"/>
      <c r="I784" s="1"/>
      <c r="J784" s="1"/>
    </row>
    <row r="785" spans="1:10" x14ac:dyDescent="0.2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Jaime\QUIFA-CAJÚA\Cajua\[VAS_CAJUA_CF_SEC_20230125.xlsx]CF PSND'!</v>
      </c>
      <c r="G785" s="6" t="s">
        <v>36</v>
      </c>
      <c r="H785" s="1"/>
      <c r="I785" s="1"/>
      <c r="J785" s="1"/>
    </row>
    <row r="786" spans="1:10" x14ac:dyDescent="0.2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Jaime\QUIFA-CAJÚA\Cajua\[VAS_CAJUA_CF_SEC_20230125.xlsx]CF PSND'!</v>
      </c>
      <c r="G786" s="6" t="s">
        <v>36</v>
      </c>
      <c r="H786" s="1"/>
      <c r="I786" s="1"/>
      <c r="J786" s="1"/>
    </row>
    <row r="787" spans="1:10" x14ac:dyDescent="0.2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Jaime\QUIFA-CAJÚA\Cajua\[VAS_CAJUA_CF_SEC_20230125.xlsx]CF PSND'!</v>
      </c>
      <c r="G787" s="6" t="s">
        <v>36</v>
      </c>
      <c r="H787" s="1"/>
      <c r="I787" s="1"/>
      <c r="J787" s="1"/>
    </row>
    <row r="788" spans="1:10" x14ac:dyDescent="0.2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Jaime\QUIFA-CAJÚA\Cajua\[VAS_CAJUA_CF_SEC_20230125.xlsx]CF PSND'!</v>
      </c>
      <c r="G788" s="6" t="s">
        <v>36</v>
      </c>
      <c r="H788" s="1"/>
      <c r="I788" s="1"/>
      <c r="J788" s="1"/>
    </row>
    <row r="789" spans="1:10" x14ac:dyDescent="0.2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Jaime\QUIFA-CAJÚA\Cajua\[VAS_CAJUA_CF_SEC_20230125.xlsx]CF PSND'!</v>
      </c>
      <c r="G789" s="6" t="s">
        <v>36</v>
      </c>
      <c r="H789" s="1"/>
      <c r="I789" s="1"/>
      <c r="J789" s="1"/>
    </row>
    <row r="790" spans="1:10" x14ac:dyDescent="0.2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Jaime\QUIFA-CAJÚA\Cajua\[VAS_CAJUA_CF_SEC_20230125.xlsx]CF PSND'!</v>
      </c>
      <c r="G790" s="6" t="s">
        <v>36</v>
      </c>
      <c r="H790" s="1"/>
      <c r="I790" s="1"/>
      <c r="J790" s="1"/>
    </row>
    <row r="791" spans="1:10" x14ac:dyDescent="0.2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Jaime\QUIFA-CAJÚA\Cajua\[VAS_CAJUA_CF_SEC_20230125.xlsx]CF PSND'!</v>
      </c>
      <c r="G791" s="6" t="s">
        <v>36</v>
      </c>
      <c r="H791" s="1"/>
      <c r="I791" s="1"/>
      <c r="J791" s="1"/>
    </row>
    <row r="792" spans="1:10" x14ac:dyDescent="0.2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Jaime\QUIFA-CAJÚA\Cajua\[VAS_CAJUA_CF_SEC_20230125.xlsx]CF PSND'!</v>
      </c>
      <c r="G792" s="6" t="s">
        <v>36</v>
      </c>
      <c r="H792" s="1"/>
      <c r="I792" s="1"/>
      <c r="J792" s="1"/>
    </row>
    <row r="793" spans="1:10" x14ac:dyDescent="0.2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Jaime\QUIFA-CAJÚA\Cajua\[VAS_CAJUA_CF_SEC_20230125.xlsx]CF PSND'!</v>
      </c>
      <c r="G793" s="6" t="s">
        <v>36</v>
      </c>
      <c r="H793" s="1"/>
      <c r="I793" s="1"/>
      <c r="J793" s="1"/>
    </row>
    <row r="794" spans="1:10" x14ac:dyDescent="0.2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Jaime\QUIFA-CAJÚA\Cajua\[VAS_CAJUA_CF_SEC_20230125.xlsx]CF PSND'!</v>
      </c>
      <c r="G794" s="6" t="s">
        <v>36</v>
      </c>
      <c r="H794" s="1"/>
      <c r="I794" s="1"/>
      <c r="J794" s="1"/>
    </row>
    <row r="795" spans="1:10" x14ac:dyDescent="0.2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Jaime\QUIFA-CAJÚA\Cajua\[VAS_CAJUA_CF_SEC_20230125.xlsx]CF PSND'!</v>
      </c>
      <c r="G795" s="6" t="s">
        <v>36</v>
      </c>
      <c r="H795" s="1"/>
      <c r="I795" s="1"/>
      <c r="J795" s="1"/>
    </row>
    <row r="796" spans="1:10" x14ac:dyDescent="0.2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Jaime\QUIFA-CAJÚA\Cajua\[VAS_CAJUA_CF_SEC_20230125.xlsx]CF PSND'!</v>
      </c>
      <c r="G796" s="6" t="s">
        <v>36</v>
      </c>
      <c r="H796" s="1"/>
      <c r="I796" s="1"/>
      <c r="J796" s="1"/>
    </row>
    <row r="797" spans="1:10" x14ac:dyDescent="0.2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Jaime\QUIFA-CAJÚA\Cajua\[VAS_CAJUA_CF_SEC_20230125.xlsx]CF PSND'!</v>
      </c>
      <c r="G797" s="6" t="s">
        <v>36</v>
      </c>
      <c r="H797" s="1"/>
      <c r="I797" s="1"/>
      <c r="J797" s="1"/>
    </row>
    <row r="798" spans="1:10" x14ac:dyDescent="0.2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Jaime\QUIFA-CAJÚA\Cajua\[VAS_CAJUA_CF_SEC_20230125.xlsx]CF PSND'!</v>
      </c>
      <c r="G798" s="6" t="s">
        <v>36</v>
      </c>
      <c r="H798" s="1"/>
      <c r="I798" s="1"/>
      <c r="J798" s="1"/>
    </row>
    <row r="799" spans="1:10" x14ac:dyDescent="0.25">
      <c r="A799" s="6" t="s">
        <v>28</v>
      </c>
      <c r="B799" s="6"/>
      <c r="C799" s="1" t="s">
        <v>8</v>
      </c>
      <c r="D799" s="2"/>
      <c r="E799" s="9"/>
      <c r="F799" s="2"/>
      <c r="G799" s="6"/>
      <c r="H799" s="1"/>
      <c r="I799" s="1"/>
      <c r="J799" s="1"/>
    </row>
    <row r="800" spans="1:10" x14ac:dyDescent="0.2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Jaime\QUIFA-CAJÚA\Cajua\[VAS_CAJUA_CF_SEC_20230125.xlsx]CF PS'!</v>
      </c>
      <c r="G800" s="6" t="s">
        <v>36</v>
      </c>
      <c r="H800" s="1">
        <f>IF(A800&lt;&gt;A670,36,H670+1)</f>
        <v>36</v>
      </c>
      <c r="I800" s="1" t="str">
        <f t="shared" si="119"/>
        <v>='C:\Users\jaime.benazar\Quorum Business Solutions\Ecopetrol Prometeo - Documents\Planning Space Implementation\3. Analysis &amp; Design\Design\FC22\DRR Jaime\QUIFA-CAJÚA\Cajua\[VAS_CAJUA_CF_SEC_20230125.xlsx]CF PS'!$BT$36</v>
      </c>
      <c r="J800" s="1" t="s">
        <v>462</v>
      </c>
    </row>
    <row r="801" spans="1:10" x14ac:dyDescent="0.2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Jaime\QUIFA-CAJÚA\Cajua\[VAS_CAJUA_CF_SEC_20230125.xlsx]CF PS'!</v>
      </c>
      <c r="G801" s="6" t="s">
        <v>36</v>
      </c>
      <c r="H801" s="1">
        <f t="shared" si="120"/>
        <v>37</v>
      </c>
      <c r="I801" s="1" t="str">
        <f t="shared" si="119"/>
        <v>='C:\Users\jaime.benazar\Quorum Business Solutions\Ecopetrol Prometeo - Documents\Planning Space Implementation\3. Analysis &amp; Design\Design\FC22\DRR Jaime\QUIFA-CAJÚA\Cajua\[VAS_CAJUA_CF_SEC_20230125.xlsx]CF PS'!$BT$37</v>
      </c>
      <c r="J801" s="1" t="s">
        <v>463</v>
      </c>
    </row>
    <row r="802" spans="1:10" x14ac:dyDescent="0.2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Jaime\QUIFA-CAJÚA\Cajua\[VAS_CAJUA_CF_SEC_20230125.xlsx]CF PS'!</v>
      </c>
      <c r="G802" s="6" t="s">
        <v>36</v>
      </c>
      <c r="H802" s="1">
        <f t="shared" si="120"/>
        <v>38</v>
      </c>
      <c r="I802" s="1" t="str">
        <f t="shared" si="119"/>
        <v>='C:\Users\jaime.benazar\Quorum Business Solutions\Ecopetrol Prometeo - Documents\Planning Space Implementation\3. Analysis &amp; Design\Design\FC22\DRR Jaime\QUIFA-CAJÚA\Cajua\[VAS_CAJUA_CF_SEC_20230125.xlsx]CF PS'!$BT$38</v>
      </c>
      <c r="J802" s="1" t="s">
        <v>464</v>
      </c>
    </row>
    <row r="803" spans="1:10" x14ac:dyDescent="0.2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Jaime\QUIFA-CAJÚA\Cajua\[VAS_CAJUA_CF_SEC_20230125.xlsx]CF PS'!</v>
      </c>
      <c r="G803" s="6" t="s">
        <v>36</v>
      </c>
      <c r="H803" s="1">
        <f t="shared" si="120"/>
        <v>39</v>
      </c>
      <c r="I803" s="1" t="str">
        <f t="shared" si="119"/>
        <v>='C:\Users\jaime.benazar\Quorum Business Solutions\Ecopetrol Prometeo - Documents\Planning Space Implementation\3. Analysis &amp; Design\Design\FC22\DRR Jaime\QUIFA-CAJÚA\Cajua\[VAS_CAJUA_CF_SEC_20230125.xlsx]CF PS'!$BT$39</v>
      </c>
      <c r="J803" s="1" t="s">
        <v>465</v>
      </c>
    </row>
    <row r="804" spans="1:10" x14ac:dyDescent="0.2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Jaime\QUIFA-CAJÚA\Cajua\[VAS_CAJUA_CF_SEC_20230125.xlsx]CF PS'!</v>
      </c>
      <c r="G804" s="6" t="s">
        <v>36</v>
      </c>
      <c r="H804" s="1">
        <f t="shared" si="120"/>
        <v>40</v>
      </c>
      <c r="I804" s="1" t="str">
        <f t="shared" si="119"/>
        <v>='C:\Users\jaime.benazar\Quorum Business Solutions\Ecopetrol Prometeo - Documents\Planning Space Implementation\3. Analysis &amp; Design\Design\FC22\DRR Jaime\QUIFA-CAJÚA\Cajua\[VAS_CAJUA_CF_SEC_20230125.xlsx]CF PS'!$BT$40</v>
      </c>
      <c r="J804" s="1" t="s">
        <v>466</v>
      </c>
    </row>
    <row r="805" spans="1:10" x14ac:dyDescent="0.2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Jaime\QUIFA-CAJÚA\Cajua\[VAS_CAJUA_CF_SEC_20230125.xlsx]CF PS'!</v>
      </c>
      <c r="G805" s="6" t="s">
        <v>36</v>
      </c>
      <c r="H805" s="1">
        <f t="shared" si="120"/>
        <v>41</v>
      </c>
      <c r="I805" s="1" t="str">
        <f t="shared" si="119"/>
        <v>='C:\Users\jaime.benazar\Quorum Business Solutions\Ecopetrol Prometeo - Documents\Planning Space Implementation\3. Analysis &amp; Design\Design\FC22\DRR Jaime\QUIFA-CAJÚA\Cajua\[VAS_CAJUA_CF_SEC_20230125.xlsx]CF PS'!$BT$41</v>
      </c>
      <c r="J805" s="1" t="s">
        <v>467</v>
      </c>
    </row>
    <row r="806" spans="1:10" x14ac:dyDescent="0.2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Jaime\QUIFA-CAJÚA\Cajua\[VAS_CAJUA_CF_SEC_20230125.xlsx]CF PS'!</v>
      </c>
      <c r="G806" s="6" t="s">
        <v>36</v>
      </c>
      <c r="H806" s="1">
        <f t="shared" si="120"/>
        <v>42</v>
      </c>
      <c r="I806" s="1" t="str">
        <f t="shared" si="119"/>
        <v>='C:\Users\jaime.benazar\Quorum Business Solutions\Ecopetrol Prometeo - Documents\Planning Space Implementation\3. Analysis &amp; Design\Design\FC22\DRR Jaime\QUIFA-CAJÚA\Cajua\[VAS_CAJUA_CF_SEC_20230125.xlsx]CF PS'!$BT$42</v>
      </c>
      <c r="J806" s="1" t="s">
        <v>468</v>
      </c>
    </row>
    <row r="807" spans="1:10" x14ac:dyDescent="0.2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Jaime\QUIFA-CAJÚA\Cajua\[VAS_CAJUA_CF_SEC_20230125.xlsx]CF PS'!</v>
      </c>
      <c r="G807" s="6" t="s">
        <v>36</v>
      </c>
      <c r="H807" s="1">
        <f t="shared" si="120"/>
        <v>43</v>
      </c>
      <c r="I807" s="1" t="str">
        <f t="shared" si="119"/>
        <v>='C:\Users\jaime.benazar\Quorum Business Solutions\Ecopetrol Prometeo - Documents\Planning Space Implementation\3. Analysis &amp; Design\Design\FC22\DRR Jaime\QUIFA-CAJÚA\Cajua\[VAS_CAJUA_CF_SEC_20230125.xlsx]CF PS'!$BT$43</v>
      </c>
      <c r="J807" s="1" t="s">
        <v>469</v>
      </c>
    </row>
    <row r="808" spans="1:10" x14ac:dyDescent="0.2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Jaime\QUIFA-CAJÚA\Cajua\[VAS_CAJUA_CF_SEC_20230125.xlsx]CF PS'!</v>
      </c>
      <c r="G808" s="6" t="s">
        <v>36</v>
      </c>
      <c r="H808" s="1">
        <f t="shared" si="120"/>
        <v>44</v>
      </c>
      <c r="I808" s="1" t="str">
        <f t="shared" si="119"/>
        <v>='C:\Users\jaime.benazar\Quorum Business Solutions\Ecopetrol Prometeo - Documents\Planning Space Implementation\3. Analysis &amp; Design\Design\FC22\DRR Jaime\QUIFA-CAJÚA\Cajua\[VAS_CAJUA_CF_SEC_20230125.xlsx]CF PS'!$BT$44</v>
      </c>
      <c r="J808" s="1" t="s">
        <v>470</v>
      </c>
    </row>
    <row r="809" spans="1:10" x14ac:dyDescent="0.2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Jaime\QUIFA-CAJÚA\Cajua\[VAS_CAJUA_CF_SEC_20230125.xlsx]CF PS'!</v>
      </c>
      <c r="G809" s="6" t="s">
        <v>36</v>
      </c>
      <c r="H809" s="1">
        <f t="shared" si="120"/>
        <v>45</v>
      </c>
      <c r="I809" s="1" t="str">
        <f t="shared" si="119"/>
        <v>='C:\Users\jaime.benazar\Quorum Business Solutions\Ecopetrol Prometeo - Documents\Planning Space Implementation\3. Analysis &amp; Design\Design\FC22\DRR Jaime\QUIFA-CAJÚA\Cajua\[VAS_CAJUA_CF_SEC_20230125.xlsx]CF PS'!$BT$45</v>
      </c>
      <c r="J809" s="1" t="s">
        <v>471</v>
      </c>
    </row>
    <row r="810" spans="1:10" x14ac:dyDescent="0.2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Jaime\QUIFA-CAJÚA\Cajua\[VAS_CAJUA_CF_SEC_20230125.xlsx]CF PS'!</v>
      </c>
      <c r="G810" s="6" t="s">
        <v>36</v>
      </c>
      <c r="H810" s="1">
        <f t="shared" si="120"/>
        <v>46</v>
      </c>
      <c r="I810" s="1" t="str">
        <f t="shared" si="119"/>
        <v>='C:\Users\jaime.benazar\Quorum Business Solutions\Ecopetrol Prometeo - Documents\Planning Space Implementation\3. Analysis &amp; Design\Design\FC22\DRR Jaime\QUIFA-CAJÚA\Cajua\[VAS_CAJUA_CF_SEC_20230125.xlsx]CF PS'!$BT$46</v>
      </c>
      <c r="J810" s="1" t="s">
        <v>472</v>
      </c>
    </row>
    <row r="811" spans="1:10" x14ac:dyDescent="0.2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Jaime\QUIFA-CAJÚA\Cajua\[VAS_CAJUA_CF_SEC_20230125.xlsx]CF PS'!</v>
      </c>
      <c r="G811" s="6" t="s">
        <v>36</v>
      </c>
      <c r="H811" s="1">
        <f t="shared" si="120"/>
        <v>47</v>
      </c>
      <c r="I811" s="1" t="str">
        <f t="shared" si="119"/>
        <v>='C:\Users\jaime.benazar\Quorum Business Solutions\Ecopetrol Prometeo - Documents\Planning Space Implementation\3. Analysis &amp; Design\Design\FC22\DRR Jaime\QUIFA-CAJÚA\Cajua\[VAS_CAJUA_CF_SEC_20230125.xlsx]CF PS'!$BT$47</v>
      </c>
      <c r="J811" s="1" t="s">
        <v>473</v>
      </c>
    </row>
    <row r="812" spans="1:10" x14ac:dyDescent="0.2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Jaime\QUIFA-CAJÚA\Cajua\[VAS_CAJUA_CF_SEC_20230125.xlsx]CF PS'!</v>
      </c>
      <c r="G812" s="6" t="s">
        <v>36</v>
      </c>
      <c r="H812" s="1">
        <f t="shared" si="120"/>
        <v>48</v>
      </c>
      <c r="I812" s="1" t="str">
        <f t="shared" si="119"/>
        <v>='C:\Users\jaime.benazar\Quorum Business Solutions\Ecopetrol Prometeo - Documents\Planning Space Implementation\3. Analysis &amp; Design\Design\FC22\DRR Jaime\QUIFA-CAJÚA\Cajua\[VAS_CAJUA_CF_SEC_20230125.xlsx]CF PS'!$BT$48</v>
      </c>
      <c r="J812" s="1" t="s">
        <v>474</v>
      </c>
    </row>
    <row r="813" spans="1:10" x14ac:dyDescent="0.2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Jaime\QUIFA-CAJÚA\Cajua\[VAS_CAJUA_CF_SEC_20230125.xlsx]CF PS'!</v>
      </c>
      <c r="G813" s="6" t="s">
        <v>36</v>
      </c>
      <c r="H813" s="1">
        <f t="shared" si="120"/>
        <v>49</v>
      </c>
      <c r="I813" s="1" t="str">
        <f t="shared" si="119"/>
        <v>='C:\Users\jaime.benazar\Quorum Business Solutions\Ecopetrol Prometeo - Documents\Planning Space Implementation\3. Analysis &amp; Design\Design\FC22\DRR Jaime\QUIFA-CAJÚA\Cajua\[VAS_CAJUA_CF_SEC_20230125.xlsx]CF PS'!$BT$49</v>
      </c>
      <c r="J813" s="1" t="s">
        <v>475</v>
      </c>
    </row>
    <row r="814" spans="1:10" x14ac:dyDescent="0.2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Jaime\QUIFA-CAJÚA\Cajua\[VAS_CAJUA_CF_SEC_20230125.xlsx]CF PS'!</v>
      </c>
      <c r="G814" s="6" t="s">
        <v>36</v>
      </c>
      <c r="H814" s="1">
        <f t="shared" si="120"/>
        <v>50</v>
      </c>
      <c r="I814" s="1" t="str">
        <f t="shared" si="119"/>
        <v>='C:\Users\jaime.benazar\Quorum Business Solutions\Ecopetrol Prometeo - Documents\Planning Space Implementation\3. Analysis &amp; Design\Design\FC22\DRR Jaime\QUIFA-CAJÚA\Cajua\[VAS_CAJUA_CF_SEC_20230125.xlsx]CF PS'!$BT$50</v>
      </c>
      <c r="J814" s="1" t="s">
        <v>476</v>
      </c>
    </row>
    <row r="815" spans="1:10" x14ac:dyDescent="0.2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Jaime\QUIFA-CAJÚA\Cajua\[VAS_CAJUA_CF_SEC_20230125.xlsx]CF PS'!</v>
      </c>
      <c r="G815" s="6" t="s">
        <v>36</v>
      </c>
      <c r="H815" s="1">
        <f t="shared" si="120"/>
        <v>51</v>
      </c>
      <c r="I815" s="1" t="str">
        <f t="shared" si="119"/>
        <v>='C:\Users\jaime.benazar\Quorum Business Solutions\Ecopetrol Prometeo - Documents\Planning Space Implementation\3. Analysis &amp; Design\Design\FC22\DRR Jaime\QUIFA-CAJÚA\Cajua\[VAS_CAJUA_CF_SEC_20230125.xlsx]CF PS'!$BT$51</v>
      </c>
      <c r="J815" s="1" t="s">
        <v>477</v>
      </c>
    </row>
    <row r="816" spans="1:10" x14ac:dyDescent="0.2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Jaime\QUIFA-CAJÚA\Cajua\[VAS_CAJUA_CF_SEC_20230125.xlsx]CF PS'!</v>
      </c>
      <c r="G816" s="6" t="s">
        <v>36</v>
      </c>
      <c r="H816" s="1">
        <f t="shared" si="120"/>
        <v>52</v>
      </c>
      <c r="I816" s="1" t="str">
        <f t="shared" si="119"/>
        <v>='C:\Users\jaime.benazar\Quorum Business Solutions\Ecopetrol Prometeo - Documents\Planning Space Implementation\3. Analysis &amp; Design\Design\FC22\DRR Jaime\QUIFA-CAJÚA\Cajua\[VAS_CAJUA_CF_SEC_20230125.xlsx]CF PS'!$BT$52</v>
      </c>
      <c r="J816" s="1" t="s">
        <v>478</v>
      </c>
    </row>
    <row r="817" spans="1:10" x14ac:dyDescent="0.2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Jaime\QUIFA-CAJÚA\Cajua\[VAS_CAJUA_CF_SEC_20230125.xlsx]CF PS'!</v>
      </c>
      <c r="G817" s="6" t="s">
        <v>36</v>
      </c>
      <c r="H817" s="1">
        <f t="shared" si="120"/>
        <v>53</v>
      </c>
      <c r="I817" s="1" t="str">
        <f t="shared" si="119"/>
        <v>='C:\Users\jaime.benazar\Quorum Business Solutions\Ecopetrol Prometeo - Documents\Planning Space Implementation\3. Analysis &amp; Design\Design\FC22\DRR Jaime\QUIFA-CAJÚA\Cajua\[VAS_CAJUA_CF_SEC_20230125.xlsx]CF PS'!$BT$53</v>
      </c>
      <c r="J817" s="1" t="s">
        <v>479</v>
      </c>
    </row>
    <row r="818" spans="1:10" x14ac:dyDescent="0.2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Jaime\QUIFA-CAJÚA\Cajua\[VAS_CAJUA_CF_SEC_20230125.xlsx]CF PS'!</v>
      </c>
      <c r="G818" s="6" t="s">
        <v>36</v>
      </c>
      <c r="H818" s="1">
        <f t="shared" si="120"/>
        <v>54</v>
      </c>
      <c r="I818" s="1" t="str">
        <f t="shared" si="119"/>
        <v>='C:\Users\jaime.benazar\Quorum Business Solutions\Ecopetrol Prometeo - Documents\Planning Space Implementation\3. Analysis &amp; Design\Design\FC22\DRR Jaime\QUIFA-CAJÚA\Cajua\[VAS_CAJUA_CF_SEC_20230125.xlsx]CF PS'!$BT$54</v>
      </c>
      <c r="J818" s="1" t="s">
        <v>480</v>
      </c>
    </row>
    <row r="819" spans="1:10" x14ac:dyDescent="0.2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Jaime\QUIFA-CAJÚA\Cajua\[VAS_CAJUA_CF_SEC_20230125.xlsx]CF PS'!</v>
      </c>
      <c r="G819" s="6" t="s">
        <v>36</v>
      </c>
      <c r="H819" s="1">
        <f t="shared" si="120"/>
        <v>55</v>
      </c>
      <c r="I819" s="1" t="str">
        <f t="shared" si="119"/>
        <v>='C:\Users\jaime.benazar\Quorum Business Solutions\Ecopetrol Prometeo - Documents\Planning Space Implementation\3. Analysis &amp; Design\Design\FC22\DRR Jaime\QUIFA-CAJÚA\Cajua\[VAS_CAJUA_CF_SEC_20230125.xlsx]CF PS'!$BT$55</v>
      </c>
      <c r="J819" s="1" t="s">
        <v>481</v>
      </c>
    </row>
    <row r="820" spans="1:10" x14ac:dyDescent="0.2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Jaime\QUIFA-CAJÚA\Cajua\[VAS_CAJUA_CF_SEC_20230125.xlsx]CF PS'!</v>
      </c>
      <c r="G820" s="6" t="s">
        <v>36</v>
      </c>
      <c r="H820" s="1">
        <f t="shared" si="120"/>
        <v>56</v>
      </c>
      <c r="I820" s="1" t="str">
        <f t="shared" si="119"/>
        <v>='C:\Users\jaime.benazar\Quorum Business Solutions\Ecopetrol Prometeo - Documents\Planning Space Implementation\3. Analysis &amp; Design\Design\FC22\DRR Jaime\QUIFA-CAJÚA\Cajua\[VAS_CAJUA_CF_SEC_20230125.xlsx]CF PS'!$BT$56</v>
      </c>
      <c r="J820" s="1" t="s">
        <v>482</v>
      </c>
    </row>
    <row r="821" spans="1:10" x14ac:dyDescent="0.2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Jaime\QUIFA-CAJÚA\Cajua\[VAS_CAJUA_CF_SEC_20230125.xlsx]CF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Jaime\QUIFA-CAJÚA\Cajua\[VAS_CAJUA_CF_SEC_20230125.xlsx]CF PS'!$BT$57</v>
      </c>
      <c r="J821" s="1" t="s">
        <v>483</v>
      </c>
    </row>
    <row r="822" spans="1:10" x14ac:dyDescent="0.2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Jaime\QUIFA-CAJÚA\Cajua\[VAS_CAJUA_CF_SEC_20230125.xlsx]CF PS'!</v>
      </c>
      <c r="G822" s="6" t="s">
        <v>36</v>
      </c>
      <c r="H822" s="1">
        <f t="shared" si="188"/>
        <v>58</v>
      </c>
      <c r="I822" s="1" t="str">
        <f t="shared" si="189"/>
        <v>='C:\Users\jaime.benazar\Quorum Business Solutions\Ecopetrol Prometeo - Documents\Planning Space Implementation\3. Analysis &amp; Design\Design\FC22\DRR Jaime\QUIFA-CAJÚA\Cajua\[VAS_CAJUA_CF_SEC_20230125.xlsx]CF PS'!$BT$58</v>
      </c>
      <c r="J822" s="1" t="s">
        <v>484</v>
      </c>
    </row>
    <row r="823" spans="1:10" x14ac:dyDescent="0.2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Jaime\QUIFA-CAJÚA\Cajua\[VAS_CAJUA_CF_SEC_20230125.xlsx]CF PS'!</v>
      </c>
      <c r="G823" s="6" t="s">
        <v>36</v>
      </c>
      <c r="H823" s="1">
        <f t="shared" si="188"/>
        <v>59</v>
      </c>
      <c r="I823" s="1" t="str">
        <f t="shared" si="189"/>
        <v>='C:\Users\jaime.benazar\Quorum Business Solutions\Ecopetrol Prometeo - Documents\Planning Space Implementation\3. Analysis &amp; Design\Design\FC22\DRR Jaime\QUIFA-CAJÚA\Cajua\[VAS_CAJUA_CF_SEC_20230125.xlsx]CF PS'!$BT$59</v>
      </c>
      <c r="J823" s="1" t="s">
        <v>485</v>
      </c>
    </row>
    <row r="824" spans="1:10" x14ac:dyDescent="0.2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Jaime\QUIFA-CAJÚA\Cajua\[VAS_CAJUA_CF_SEC_20230125.xlsx]CF PS'!</v>
      </c>
      <c r="G824" s="6" t="s">
        <v>36</v>
      </c>
      <c r="H824" s="1">
        <f t="shared" si="188"/>
        <v>60</v>
      </c>
      <c r="I824" s="1" t="str">
        <f t="shared" si="189"/>
        <v>='C:\Users\jaime.benazar\Quorum Business Solutions\Ecopetrol Prometeo - Documents\Planning Space Implementation\3. Analysis &amp; Design\Design\FC22\DRR Jaime\QUIFA-CAJÚA\Cajua\[VAS_CAJUA_CF_SEC_20230125.xlsx]CF PS'!$BT$60</v>
      </c>
      <c r="J824" s="1" t="s">
        <v>486</v>
      </c>
    </row>
    <row r="825" spans="1:10" x14ac:dyDescent="0.2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Jaime\QUIFA-CAJÚA\Cajua\[VAS_CAJUA_CF_SEC_20230125.xlsx]CF PS'!</v>
      </c>
      <c r="G825" s="6" t="s">
        <v>36</v>
      </c>
      <c r="H825" s="1">
        <f t="shared" si="188"/>
        <v>61</v>
      </c>
      <c r="I825" s="1" t="str">
        <f t="shared" si="189"/>
        <v>='C:\Users\jaime.benazar\Quorum Business Solutions\Ecopetrol Prometeo - Documents\Planning Space Implementation\3. Analysis &amp; Design\Design\FC22\DRR Jaime\QUIFA-CAJÚA\Cajua\[VAS_CAJUA_CF_SEC_20230125.xlsx]CF PS'!$BT$61</v>
      </c>
      <c r="J825" s="1" t="s">
        <v>487</v>
      </c>
    </row>
    <row r="826" spans="1:10" x14ac:dyDescent="0.2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Jaime\QUIFA-CAJÚA\Cajua\[VAS_CAJUA_CF_SEC_20230125.xlsx]CF PS'!</v>
      </c>
      <c r="G826" s="6" t="s">
        <v>36</v>
      </c>
      <c r="H826" s="1">
        <f t="shared" si="188"/>
        <v>62</v>
      </c>
      <c r="I826" s="1" t="str">
        <f t="shared" si="189"/>
        <v>='C:\Users\jaime.benazar\Quorum Business Solutions\Ecopetrol Prometeo - Documents\Planning Space Implementation\3. Analysis &amp; Design\Design\FC22\DRR Jaime\QUIFA-CAJÚA\Cajua\[VAS_CAJUA_CF_SEC_20230125.xlsx]CF PS'!$BT$62</v>
      </c>
      <c r="J826" s="1" t="s">
        <v>488</v>
      </c>
    </row>
    <row r="827" spans="1:10" x14ac:dyDescent="0.2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Jaime\QUIFA-CAJÚA\Cajua\[VAS_CAJUA_CF_SEC_20230125.xlsx]CF PS'!</v>
      </c>
      <c r="G827" s="6" t="s">
        <v>36</v>
      </c>
      <c r="H827" s="1">
        <f t="shared" si="188"/>
        <v>63</v>
      </c>
      <c r="I827" s="1" t="str">
        <f t="shared" si="189"/>
        <v>='C:\Users\jaime.benazar\Quorum Business Solutions\Ecopetrol Prometeo - Documents\Planning Space Implementation\3. Analysis &amp; Design\Design\FC22\DRR Jaime\QUIFA-CAJÚA\Cajua\[VAS_CAJUA_CF_SEC_20230125.xlsx]CF PS'!$BT$63</v>
      </c>
      <c r="J827" s="1" t="s">
        <v>489</v>
      </c>
    </row>
    <row r="828" spans="1:10" x14ac:dyDescent="0.2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Jaime\QUIFA-CAJÚA\Cajua\[VAS_CAJUA_CF_SEC_20230125.xlsx]CF PS'!</v>
      </c>
      <c r="G828" s="6" t="s">
        <v>36</v>
      </c>
      <c r="H828" s="1">
        <f t="shared" si="188"/>
        <v>64</v>
      </c>
      <c r="I828" s="1" t="str">
        <f t="shared" si="189"/>
        <v>='C:\Users\jaime.benazar\Quorum Business Solutions\Ecopetrol Prometeo - Documents\Planning Space Implementation\3. Analysis &amp; Design\Design\FC22\DRR Jaime\QUIFA-CAJÚA\Cajua\[VAS_CAJUA_CF_SEC_20230125.xlsx]CF PS'!$BT$64</v>
      </c>
      <c r="J828" s="1" t="s">
        <v>490</v>
      </c>
    </row>
    <row r="829" spans="1:10" x14ac:dyDescent="0.2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Jaime\QUIFA-CAJÚA\Cajua\[VAS_CAJUA_CF_SEC_20230125.xlsx]CF PS'!</v>
      </c>
      <c r="G829" s="6" t="s">
        <v>36</v>
      </c>
      <c r="H829" s="1">
        <f t="shared" si="188"/>
        <v>65</v>
      </c>
      <c r="I829" s="1" t="str">
        <f t="shared" si="189"/>
        <v>='C:\Users\jaime.benazar\Quorum Business Solutions\Ecopetrol Prometeo - Documents\Planning Space Implementation\3. Analysis &amp; Design\Design\FC22\DRR Jaime\QUIFA-CAJÚA\Cajua\[VAS_CAJUA_CF_SEC_20230125.xlsx]CF PS'!$BT$65</v>
      </c>
      <c r="J829" s="1" t="s">
        <v>491</v>
      </c>
    </row>
    <row r="830" spans="1:10" x14ac:dyDescent="0.2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Jaime\QUIFA-CAJÚA\Cajua\[VAS_CAJUA_CF_SEC_20230125.xlsx]CF PS'!</v>
      </c>
      <c r="G830" s="6" t="s">
        <v>36</v>
      </c>
      <c r="H830" s="1">
        <f t="shared" si="188"/>
        <v>66</v>
      </c>
      <c r="I830" s="1" t="str">
        <f t="shared" si="189"/>
        <v>='C:\Users\jaime.benazar\Quorum Business Solutions\Ecopetrol Prometeo - Documents\Planning Space Implementation\3. Analysis &amp; Design\Design\FC22\DRR Jaime\QUIFA-CAJÚA\Cajua\[VAS_CAJUA_CF_SEC_20230125.xlsx]CF PS'!$BT$66</v>
      </c>
      <c r="J830" s="1" t="s">
        <v>492</v>
      </c>
    </row>
    <row r="831" spans="1:10" x14ac:dyDescent="0.2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Jaime\QUIFA-CAJÚA\Cajua\[VAS_CAJUA_CF_SEC_20230125.xlsx]CF PS'!</v>
      </c>
      <c r="G831" s="6" t="s">
        <v>36</v>
      </c>
      <c r="H831" s="1">
        <f t="shared" si="188"/>
        <v>67</v>
      </c>
      <c r="I831" s="1" t="str">
        <f t="shared" si="189"/>
        <v>='C:\Users\jaime.benazar\Quorum Business Solutions\Ecopetrol Prometeo - Documents\Planning Space Implementation\3. Analysis &amp; Design\Design\FC22\DRR Jaime\QUIFA-CAJÚA\Cajua\[VAS_CAJUA_CF_SEC_20230125.xlsx]CF PS'!$BT$67</v>
      </c>
      <c r="J831" s="1" t="s">
        <v>493</v>
      </c>
    </row>
    <row r="832" spans="1:10" x14ac:dyDescent="0.2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Jaime\QUIFA-CAJÚA\Cajua\[VAS_CAJUA_CF_SEC_20230125.xlsx]CF PS'!</v>
      </c>
      <c r="G832" s="6" t="s">
        <v>36</v>
      </c>
      <c r="H832" s="1">
        <f t="shared" si="188"/>
        <v>68</v>
      </c>
      <c r="I832" s="1" t="str">
        <f t="shared" si="189"/>
        <v>='C:\Users\jaime.benazar\Quorum Business Solutions\Ecopetrol Prometeo - Documents\Planning Space Implementation\3. Analysis &amp; Design\Design\FC22\DRR Jaime\QUIFA-CAJÚA\Cajua\[VAS_CAJUA_CF_SEC_20230125.xlsx]CF PS'!$BT$68</v>
      </c>
      <c r="J832" s="1" t="s">
        <v>494</v>
      </c>
    </row>
    <row r="833" spans="1:10" x14ac:dyDescent="0.2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Jaime\QUIFA-CAJÚA\Cajua\[VAS_CAJUA_CF_SEC_20230125.xlsx]CF PS'!</v>
      </c>
      <c r="G833" s="6" t="s">
        <v>36</v>
      </c>
      <c r="H833" s="1">
        <f t="shared" si="188"/>
        <v>69</v>
      </c>
      <c r="I833" s="1" t="str">
        <f t="shared" si="189"/>
        <v>='C:\Users\jaime.benazar\Quorum Business Solutions\Ecopetrol Prometeo - Documents\Planning Space Implementation\3. Analysis &amp; Design\Design\FC22\DRR Jaime\QUIFA-CAJÚA\Cajua\[VAS_CAJUA_CF_SEC_20230125.xlsx]CF PS'!$BT$69</v>
      </c>
      <c r="J833" s="1" t="s">
        <v>495</v>
      </c>
    </row>
    <row r="834" spans="1:10" x14ac:dyDescent="0.2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Jaime\QUIFA-CAJÚA\Cajua\[VAS_CAJUA_CF_SEC_20230125.xlsx]CF PS'!</v>
      </c>
      <c r="G834" s="6" t="s">
        <v>36</v>
      </c>
      <c r="H834" s="1">
        <f t="shared" si="188"/>
        <v>70</v>
      </c>
      <c r="I834" s="1" t="str">
        <f t="shared" si="189"/>
        <v>='C:\Users\jaime.benazar\Quorum Business Solutions\Ecopetrol Prometeo - Documents\Planning Space Implementation\3. Analysis &amp; Design\Design\FC22\DRR Jaime\QUIFA-CAJÚA\Cajua\[VAS_CAJUA_CF_SEC_20230125.xlsx]CF PS'!$BT$70</v>
      </c>
      <c r="J834" s="1" t="s">
        <v>496</v>
      </c>
    </row>
    <row r="835" spans="1:10" x14ac:dyDescent="0.2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Jaime\QUIFA-CAJÚA\Cajua\[VAS_CAJUA_CF_SEC_20230125.xlsx]CF PS'!</v>
      </c>
      <c r="G835" s="6" t="s">
        <v>36</v>
      </c>
      <c r="H835" s="1">
        <f t="shared" si="188"/>
        <v>71</v>
      </c>
      <c r="I835" s="1" t="str">
        <f t="shared" si="189"/>
        <v>='C:\Users\jaime.benazar\Quorum Business Solutions\Ecopetrol Prometeo - Documents\Planning Space Implementation\3. Analysis &amp; Design\Design\FC22\DRR Jaime\QUIFA-CAJÚA\Cajua\[VAS_CAJUA_CF_SEC_20230125.xlsx]CF PS'!$BT$71</v>
      </c>
      <c r="J835" s="1" t="s">
        <v>497</v>
      </c>
    </row>
    <row r="836" spans="1:10" x14ac:dyDescent="0.2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Jaime\QUIFA-CAJÚA\Cajua\[VAS_CAJUA_CF_SEC_20230125.xlsx]CF PS'!</v>
      </c>
      <c r="G836" s="6" t="s">
        <v>36</v>
      </c>
      <c r="H836" s="1">
        <f t="shared" si="188"/>
        <v>72</v>
      </c>
      <c r="I836" s="1" t="str">
        <f t="shared" si="189"/>
        <v>='C:\Users\jaime.benazar\Quorum Business Solutions\Ecopetrol Prometeo - Documents\Planning Space Implementation\3. Analysis &amp; Design\Design\FC22\DRR Jaime\QUIFA-CAJÚA\Cajua\[VAS_CAJUA_CF_SEC_20230125.xlsx]CF PS'!$BT$72</v>
      </c>
      <c r="J836" s="1" t="s">
        <v>498</v>
      </c>
    </row>
    <row r="837" spans="1:10" x14ac:dyDescent="0.25">
      <c r="A837" s="6" t="s">
        <v>28</v>
      </c>
      <c r="B837" s="6"/>
      <c r="C837" s="1" t="s">
        <v>8</v>
      </c>
      <c r="D837" s="2"/>
      <c r="E837" s="9"/>
      <c r="F837" s="2"/>
      <c r="G837" s="6"/>
      <c r="H837" s="1"/>
      <c r="I837" s="1"/>
      <c r="J837" s="4"/>
    </row>
    <row r="838" spans="1:10" x14ac:dyDescent="0.2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Jaime\QUIFA-CAJÚA\Cajua\[VAS_CAJUA_CF_SEC_20230125.xlsx]CF PDP'!</v>
      </c>
      <c r="G838" s="7" t="s">
        <v>37</v>
      </c>
      <c r="H838" s="4">
        <f>IF(A838&lt;&gt;A822,36,H822+1)</f>
        <v>36</v>
      </c>
      <c r="I838" s="4" t="str">
        <f>_xlfn.CONCAT("='",F838:H838)</f>
        <v>='C:\Users\jaime.benazar\Quorum Business Solutions\Ecopetrol Prometeo - Documents\Planning Space Implementation\3. Analysis &amp; Design\Design\FC22\DRR Jaime\QUIFA-CAJÚA\Cajua\[VAS_CAJUA_CF_SEC_20230125.xlsx]CF PDP'!$BW$36</v>
      </c>
      <c r="J838" s="4" t="s">
        <v>499</v>
      </c>
    </row>
    <row r="839" spans="1:10" x14ac:dyDescent="0.2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Jaime\QUIFA-CAJÚA\Cajua\[VAS_CAJUA_CF_SEC_20230125.xlsx]CF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Jaime\QUIFA-CAJÚA\Cajua\[VAS_CAJUA_CF_SEC_20230125.xlsx]CF PDP'!$BW$37</v>
      </c>
      <c r="J839" s="4" t="s">
        <v>500</v>
      </c>
    </row>
    <row r="840" spans="1:10" x14ac:dyDescent="0.2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Jaime\QUIFA-CAJÚA\Cajua\[VAS_CAJUA_CF_SEC_20230125.xlsx]CF PDP'!</v>
      </c>
      <c r="G840" s="7" t="s">
        <v>37</v>
      </c>
      <c r="H840" s="4">
        <f t="shared" ref="H840:H933" si="195">IF(A840&lt;&gt;A839,36,H839+1)</f>
        <v>38</v>
      </c>
      <c r="I840" s="4" t="str">
        <f t="shared" si="193"/>
        <v>='C:\Users\jaime.benazar\Quorum Business Solutions\Ecopetrol Prometeo - Documents\Planning Space Implementation\3. Analysis &amp; Design\Design\FC22\DRR Jaime\QUIFA-CAJÚA\Cajua\[VAS_CAJUA_CF_SEC_20230125.xlsx]CF PDP'!$BW$38</v>
      </c>
      <c r="J840" s="4" t="s">
        <v>501</v>
      </c>
    </row>
    <row r="841" spans="1:10" x14ac:dyDescent="0.2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Jaime\QUIFA-CAJÚA\Cajua\[VAS_CAJUA_CF_SEC_20230125.xlsx]CF PDP'!</v>
      </c>
      <c r="G841" s="7" t="s">
        <v>37</v>
      </c>
      <c r="H841" s="4">
        <f t="shared" si="195"/>
        <v>39</v>
      </c>
      <c r="I841" s="4" t="str">
        <f t="shared" si="193"/>
        <v>='C:\Users\jaime.benazar\Quorum Business Solutions\Ecopetrol Prometeo - Documents\Planning Space Implementation\3. Analysis &amp; Design\Design\FC22\DRR Jaime\QUIFA-CAJÚA\Cajua\[VAS_CAJUA_CF_SEC_20230125.xlsx]CF PDP'!$BW$39</v>
      </c>
      <c r="J841" s="4" t="s">
        <v>502</v>
      </c>
    </row>
    <row r="842" spans="1:10" x14ac:dyDescent="0.2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Jaime\QUIFA-CAJÚA\Cajua\[VAS_CAJUA_CF_SEC_20230125.xlsx]CF PDP'!</v>
      </c>
      <c r="G842" s="7" t="s">
        <v>37</v>
      </c>
      <c r="H842" s="4">
        <f t="shared" si="195"/>
        <v>40</v>
      </c>
      <c r="I842" s="4" t="str">
        <f t="shared" si="193"/>
        <v>='C:\Users\jaime.benazar\Quorum Business Solutions\Ecopetrol Prometeo - Documents\Planning Space Implementation\3. Analysis &amp; Design\Design\FC22\DRR Jaime\QUIFA-CAJÚA\Cajua\[VAS_CAJUA_CF_SEC_20230125.xlsx]CF PDP'!$BW$40</v>
      </c>
      <c r="J842" s="4" t="s">
        <v>503</v>
      </c>
    </row>
    <row r="843" spans="1:10" x14ac:dyDescent="0.2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Jaime\QUIFA-CAJÚA\Cajua\[VAS_CAJUA_CF_SEC_20230125.xlsx]CF PDP'!</v>
      </c>
      <c r="G843" s="7" t="s">
        <v>37</v>
      </c>
      <c r="H843" s="4">
        <f t="shared" si="195"/>
        <v>41</v>
      </c>
      <c r="I843" s="4" t="str">
        <f t="shared" si="193"/>
        <v>='C:\Users\jaime.benazar\Quorum Business Solutions\Ecopetrol Prometeo - Documents\Planning Space Implementation\3. Analysis &amp; Design\Design\FC22\DRR Jaime\QUIFA-CAJÚA\Cajua\[VAS_CAJUA_CF_SEC_20230125.xlsx]CF PDP'!$BW$41</v>
      </c>
      <c r="J843" s="4" t="s">
        <v>504</v>
      </c>
    </row>
    <row r="844" spans="1:10" x14ac:dyDescent="0.2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Jaime\QUIFA-CAJÚA\Cajua\[VAS_CAJUA_CF_SEC_20230125.xlsx]CF PDP'!</v>
      </c>
      <c r="G844" s="7" t="s">
        <v>37</v>
      </c>
      <c r="H844" s="4">
        <f t="shared" si="195"/>
        <v>42</v>
      </c>
      <c r="I844" s="4" t="str">
        <f t="shared" si="193"/>
        <v>='C:\Users\jaime.benazar\Quorum Business Solutions\Ecopetrol Prometeo - Documents\Planning Space Implementation\3. Analysis &amp; Design\Design\FC22\DRR Jaime\QUIFA-CAJÚA\Cajua\[VAS_CAJUA_CF_SEC_20230125.xlsx]CF PDP'!$BW$42</v>
      </c>
      <c r="J844" s="4" t="s">
        <v>505</v>
      </c>
    </row>
    <row r="845" spans="1:10" x14ac:dyDescent="0.2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Jaime\QUIFA-CAJÚA\Cajua\[VAS_CAJUA_CF_SEC_20230125.xlsx]CF PDP'!</v>
      </c>
      <c r="G845" s="7" t="s">
        <v>37</v>
      </c>
      <c r="H845" s="4">
        <f t="shared" si="195"/>
        <v>43</v>
      </c>
      <c r="I845" s="4" t="str">
        <f t="shared" si="193"/>
        <v>='C:\Users\jaime.benazar\Quorum Business Solutions\Ecopetrol Prometeo - Documents\Planning Space Implementation\3. Analysis &amp; Design\Design\FC22\DRR Jaime\QUIFA-CAJÚA\Cajua\[VAS_CAJUA_CF_SEC_20230125.xlsx]CF PDP'!$BW$43</v>
      </c>
      <c r="J845" s="4" t="s">
        <v>506</v>
      </c>
    </row>
    <row r="846" spans="1:10" x14ac:dyDescent="0.2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Jaime\QUIFA-CAJÚA\Cajua\[VAS_CAJUA_CF_SEC_20230125.xlsx]CF PDP'!</v>
      </c>
      <c r="G846" s="7" t="s">
        <v>37</v>
      </c>
      <c r="H846" s="4">
        <f t="shared" si="195"/>
        <v>44</v>
      </c>
      <c r="I846" s="4" t="str">
        <f t="shared" si="193"/>
        <v>='C:\Users\jaime.benazar\Quorum Business Solutions\Ecopetrol Prometeo - Documents\Planning Space Implementation\3. Analysis &amp; Design\Design\FC22\DRR Jaime\QUIFA-CAJÚA\Cajua\[VAS_CAJUA_CF_SEC_20230125.xlsx]CF PDP'!$BW$44</v>
      </c>
      <c r="J846" s="4" t="s">
        <v>507</v>
      </c>
    </row>
    <row r="847" spans="1:10" x14ac:dyDescent="0.2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Jaime\QUIFA-CAJÚA\Cajua\[VAS_CAJUA_CF_SEC_20230125.xlsx]CF PDP'!</v>
      </c>
      <c r="G847" s="7" t="s">
        <v>37</v>
      </c>
      <c r="H847" s="4">
        <f t="shared" si="195"/>
        <v>45</v>
      </c>
      <c r="I847" s="4" t="str">
        <f t="shared" si="193"/>
        <v>='C:\Users\jaime.benazar\Quorum Business Solutions\Ecopetrol Prometeo - Documents\Planning Space Implementation\3. Analysis &amp; Design\Design\FC22\DRR Jaime\QUIFA-CAJÚA\Cajua\[VAS_CAJUA_CF_SEC_20230125.xlsx]CF PDP'!$BW$45</v>
      </c>
      <c r="J847" s="4" t="s">
        <v>508</v>
      </c>
    </row>
    <row r="848" spans="1:10" x14ac:dyDescent="0.2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Jaime\QUIFA-CAJÚA\Cajua\[VAS_CAJUA_CF_SEC_20230125.xlsx]CF PDP'!</v>
      </c>
      <c r="G848" s="7" t="s">
        <v>37</v>
      </c>
      <c r="H848" s="4">
        <f t="shared" si="195"/>
        <v>46</v>
      </c>
      <c r="I848" s="4" t="str">
        <f t="shared" si="193"/>
        <v>='C:\Users\jaime.benazar\Quorum Business Solutions\Ecopetrol Prometeo - Documents\Planning Space Implementation\3. Analysis &amp; Design\Design\FC22\DRR Jaime\QUIFA-CAJÚA\Cajua\[VAS_CAJUA_CF_SEC_20230125.xlsx]CF PDP'!$BW$46</v>
      </c>
      <c r="J848" s="4" t="s">
        <v>509</v>
      </c>
    </row>
    <row r="849" spans="1:10" x14ac:dyDescent="0.2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Jaime\QUIFA-CAJÚA\Cajua\[VAS_CAJUA_CF_SEC_20230125.xlsx]CF PDP'!</v>
      </c>
      <c r="G849" s="7" t="s">
        <v>37</v>
      </c>
      <c r="H849" s="4">
        <f t="shared" si="195"/>
        <v>47</v>
      </c>
      <c r="I849" s="4" t="str">
        <f t="shared" si="193"/>
        <v>='C:\Users\jaime.benazar\Quorum Business Solutions\Ecopetrol Prometeo - Documents\Planning Space Implementation\3. Analysis &amp; Design\Design\FC22\DRR Jaime\QUIFA-CAJÚA\Cajua\[VAS_CAJUA_CF_SEC_20230125.xlsx]CF PDP'!$BW$47</v>
      </c>
      <c r="J849" s="4" t="s">
        <v>510</v>
      </c>
    </row>
    <row r="850" spans="1:10" x14ac:dyDescent="0.2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Jaime\QUIFA-CAJÚA\Cajua\[VAS_CAJUA_CF_SEC_20230125.xlsx]CF PDP'!</v>
      </c>
      <c r="G850" s="7" t="s">
        <v>37</v>
      </c>
      <c r="H850" s="4">
        <f t="shared" si="195"/>
        <v>48</v>
      </c>
      <c r="I850" s="4" t="str">
        <f t="shared" si="193"/>
        <v>='C:\Users\jaime.benazar\Quorum Business Solutions\Ecopetrol Prometeo - Documents\Planning Space Implementation\3. Analysis &amp; Design\Design\FC22\DRR Jaime\QUIFA-CAJÚA\Cajua\[VAS_CAJUA_CF_SEC_20230125.xlsx]CF PDP'!$BW$48</v>
      </c>
      <c r="J850" s="4" t="s">
        <v>511</v>
      </c>
    </row>
    <row r="851" spans="1:10" x14ac:dyDescent="0.2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Jaime\QUIFA-CAJÚA\Cajua\[VAS_CAJUA_CF_SEC_20230125.xlsx]CF PDP'!</v>
      </c>
      <c r="G851" s="7" t="s">
        <v>37</v>
      </c>
      <c r="H851" s="4">
        <f t="shared" si="195"/>
        <v>49</v>
      </c>
      <c r="I851" s="4" t="str">
        <f t="shared" si="193"/>
        <v>='C:\Users\jaime.benazar\Quorum Business Solutions\Ecopetrol Prometeo - Documents\Planning Space Implementation\3. Analysis &amp; Design\Design\FC22\DRR Jaime\QUIFA-CAJÚA\Cajua\[VAS_CAJUA_CF_SEC_20230125.xlsx]CF PDP'!$BW$49</v>
      </c>
      <c r="J851" s="4" t="s">
        <v>512</v>
      </c>
    </row>
    <row r="852" spans="1:10" x14ac:dyDescent="0.2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Jaime\QUIFA-CAJÚA\Cajua\[VAS_CAJUA_CF_SEC_20230125.xlsx]CF PDP'!</v>
      </c>
      <c r="G852" s="7" t="s">
        <v>37</v>
      </c>
      <c r="H852" s="4">
        <f t="shared" si="195"/>
        <v>50</v>
      </c>
      <c r="I852" s="4" t="str">
        <f t="shared" si="193"/>
        <v>='C:\Users\jaime.benazar\Quorum Business Solutions\Ecopetrol Prometeo - Documents\Planning Space Implementation\3. Analysis &amp; Design\Design\FC22\DRR Jaime\QUIFA-CAJÚA\Cajua\[VAS_CAJUA_CF_SEC_20230125.xlsx]CF PDP'!$BW$50</v>
      </c>
      <c r="J852" s="4" t="s">
        <v>513</v>
      </c>
    </row>
    <row r="853" spans="1:10" x14ac:dyDescent="0.2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Jaime\QUIFA-CAJÚA\Cajua\[VAS_CAJUA_CF_SEC_20230125.xlsx]CF PDP'!</v>
      </c>
      <c r="G853" s="7" t="s">
        <v>37</v>
      </c>
      <c r="H853" s="4">
        <f t="shared" si="195"/>
        <v>51</v>
      </c>
      <c r="I853" s="4" t="str">
        <f t="shared" si="193"/>
        <v>='C:\Users\jaime.benazar\Quorum Business Solutions\Ecopetrol Prometeo - Documents\Planning Space Implementation\3. Analysis &amp; Design\Design\FC22\DRR Jaime\QUIFA-CAJÚA\Cajua\[VAS_CAJUA_CF_SEC_20230125.xlsx]CF PDP'!$BW$51</v>
      </c>
      <c r="J853" s="4" t="s">
        <v>514</v>
      </c>
    </row>
    <row r="854" spans="1:10" x14ac:dyDescent="0.2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Jaime\QUIFA-CAJÚA\Cajua\[VAS_CAJUA_CF_SEC_20230125.xlsx]CF PDP'!</v>
      </c>
      <c r="G854" s="7" t="s">
        <v>37</v>
      </c>
      <c r="H854" s="4">
        <f t="shared" si="195"/>
        <v>52</v>
      </c>
      <c r="I854" s="4" t="str">
        <f t="shared" si="193"/>
        <v>='C:\Users\jaime.benazar\Quorum Business Solutions\Ecopetrol Prometeo - Documents\Planning Space Implementation\3. Analysis &amp; Design\Design\FC22\DRR Jaime\QUIFA-CAJÚA\Cajua\[VAS_CAJUA_CF_SEC_20230125.xlsx]CF PDP'!$BW$52</v>
      </c>
      <c r="J854" s="4" t="s">
        <v>515</v>
      </c>
    </row>
    <row r="855" spans="1:10" x14ac:dyDescent="0.2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Jaime\QUIFA-CAJÚA\Cajua\[VAS_CAJUA_CF_SEC_20230125.xlsx]CF PDP'!</v>
      </c>
      <c r="G855" s="7" t="s">
        <v>37</v>
      </c>
      <c r="H855" s="4">
        <f t="shared" si="195"/>
        <v>53</v>
      </c>
      <c r="I855" s="4" t="str">
        <f t="shared" si="193"/>
        <v>='C:\Users\jaime.benazar\Quorum Business Solutions\Ecopetrol Prometeo - Documents\Planning Space Implementation\3. Analysis &amp; Design\Design\FC22\DRR Jaime\QUIFA-CAJÚA\Cajua\[VAS_CAJUA_CF_SEC_20230125.xlsx]CF PDP'!$BW$53</v>
      </c>
      <c r="J855" s="4" t="s">
        <v>516</v>
      </c>
    </row>
    <row r="856" spans="1:10" x14ac:dyDescent="0.2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Jaime\QUIFA-CAJÚA\Cajua\[VAS_CAJUA_CF_SEC_20230125.xlsx]CF PDP'!</v>
      </c>
      <c r="G856" s="7" t="s">
        <v>37</v>
      </c>
      <c r="H856" s="4">
        <f t="shared" si="195"/>
        <v>54</v>
      </c>
      <c r="I856" s="4" t="str">
        <f t="shared" si="193"/>
        <v>='C:\Users\jaime.benazar\Quorum Business Solutions\Ecopetrol Prometeo - Documents\Planning Space Implementation\3. Analysis &amp; Design\Design\FC22\DRR Jaime\QUIFA-CAJÚA\Cajua\[VAS_CAJUA_CF_SEC_20230125.xlsx]CF PDP'!$BW$54</v>
      </c>
      <c r="J856" s="4" t="s">
        <v>517</v>
      </c>
    </row>
    <row r="857" spans="1:10" x14ac:dyDescent="0.2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Jaime\QUIFA-CAJÚA\Cajua\[VAS_CAJUA_CF_SEC_20230125.xlsx]CF PDP'!</v>
      </c>
      <c r="G857" s="7" t="s">
        <v>37</v>
      </c>
      <c r="H857" s="4">
        <f t="shared" si="195"/>
        <v>55</v>
      </c>
      <c r="I857" s="4" t="str">
        <f t="shared" si="193"/>
        <v>='C:\Users\jaime.benazar\Quorum Business Solutions\Ecopetrol Prometeo - Documents\Planning Space Implementation\3. Analysis &amp; Design\Design\FC22\DRR Jaime\QUIFA-CAJÚA\Cajua\[VAS_CAJUA_CF_SEC_20230125.xlsx]CF PDP'!$BW$55</v>
      </c>
      <c r="J857" s="4" t="s">
        <v>518</v>
      </c>
    </row>
    <row r="858" spans="1:10" x14ac:dyDescent="0.2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Jaime\QUIFA-CAJÚA\Cajua\[VAS_CAJUA_CF_SEC_20230125.xlsx]CF PDP'!</v>
      </c>
      <c r="G858" s="7" t="s">
        <v>37</v>
      </c>
      <c r="H858" s="4">
        <f t="shared" si="195"/>
        <v>56</v>
      </c>
      <c r="I858" s="4" t="str">
        <f t="shared" si="193"/>
        <v>='C:\Users\jaime.benazar\Quorum Business Solutions\Ecopetrol Prometeo - Documents\Planning Space Implementation\3. Analysis &amp; Design\Design\FC22\DRR Jaime\QUIFA-CAJÚA\Cajua\[VAS_CAJUA_CF_SEC_20230125.xlsx]CF PDP'!$BW$56</v>
      </c>
      <c r="J858" s="4" t="s">
        <v>519</v>
      </c>
    </row>
    <row r="859" spans="1:10" x14ac:dyDescent="0.2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Jaime\QUIFA-CAJÚA\Cajua\[VAS_CAJUA_CF_SEC_20230125.xlsx]CF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Jaime\QUIFA-CAJÚA\Cajua\[VAS_CAJUA_CF_SEC_20230125.xlsx]CF PDP'!$BW$57</v>
      </c>
      <c r="J859" s="4" t="s">
        <v>520</v>
      </c>
    </row>
    <row r="860" spans="1:10" x14ac:dyDescent="0.2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Jaime\QUIFA-CAJÚA\Cajua\[VAS_CAJUA_CF_SEC_20230125.xlsx]CF PDP'!</v>
      </c>
      <c r="G860" s="7" t="s">
        <v>37</v>
      </c>
      <c r="H860" s="4">
        <f t="shared" si="200"/>
        <v>58</v>
      </c>
      <c r="I860" s="4" t="str">
        <f t="shared" si="201"/>
        <v>='C:\Users\jaime.benazar\Quorum Business Solutions\Ecopetrol Prometeo - Documents\Planning Space Implementation\3. Analysis &amp; Design\Design\FC22\DRR Jaime\QUIFA-CAJÚA\Cajua\[VAS_CAJUA_CF_SEC_20230125.xlsx]CF PDP'!$BW$58</v>
      </c>
      <c r="J860" s="4" t="s">
        <v>521</v>
      </c>
    </row>
    <row r="861" spans="1:10" x14ac:dyDescent="0.2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Jaime\QUIFA-CAJÚA\Cajua\[VAS_CAJUA_CF_SEC_20230125.xlsx]CF PDP'!</v>
      </c>
      <c r="G861" s="7" t="s">
        <v>37</v>
      </c>
      <c r="H861" s="4">
        <f t="shared" si="200"/>
        <v>59</v>
      </c>
      <c r="I861" s="4" t="str">
        <f t="shared" si="201"/>
        <v>='C:\Users\jaime.benazar\Quorum Business Solutions\Ecopetrol Prometeo - Documents\Planning Space Implementation\3. Analysis &amp; Design\Design\FC22\DRR Jaime\QUIFA-CAJÚA\Cajua\[VAS_CAJUA_CF_SEC_20230125.xlsx]CF PDP'!$BW$59</v>
      </c>
      <c r="J861" s="4" t="s">
        <v>522</v>
      </c>
    </row>
    <row r="862" spans="1:10" x14ac:dyDescent="0.2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Jaime\QUIFA-CAJÚA\Cajua\[VAS_CAJUA_CF_SEC_20230125.xlsx]CF PDP'!</v>
      </c>
      <c r="G862" s="7" t="s">
        <v>37</v>
      </c>
      <c r="H862" s="4">
        <f t="shared" si="200"/>
        <v>60</v>
      </c>
      <c r="I862" s="4" t="str">
        <f t="shared" si="201"/>
        <v>='C:\Users\jaime.benazar\Quorum Business Solutions\Ecopetrol Prometeo - Documents\Planning Space Implementation\3. Analysis &amp; Design\Design\FC22\DRR Jaime\QUIFA-CAJÚA\Cajua\[VAS_CAJUA_CF_SEC_20230125.xlsx]CF PDP'!$BW$60</v>
      </c>
      <c r="J862" s="4" t="s">
        <v>523</v>
      </c>
    </row>
    <row r="863" spans="1:10" x14ac:dyDescent="0.2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Jaime\QUIFA-CAJÚA\Cajua\[VAS_CAJUA_CF_SEC_20230125.xlsx]CF PDP'!</v>
      </c>
      <c r="G863" s="7" t="s">
        <v>37</v>
      </c>
      <c r="H863" s="4">
        <f t="shared" si="200"/>
        <v>61</v>
      </c>
      <c r="I863" s="4" t="str">
        <f t="shared" si="201"/>
        <v>='C:\Users\jaime.benazar\Quorum Business Solutions\Ecopetrol Prometeo - Documents\Planning Space Implementation\3. Analysis &amp; Design\Design\FC22\DRR Jaime\QUIFA-CAJÚA\Cajua\[VAS_CAJUA_CF_SEC_20230125.xlsx]CF PDP'!$BW$61</v>
      </c>
      <c r="J863" s="4" t="s">
        <v>524</v>
      </c>
    </row>
    <row r="864" spans="1:10" x14ac:dyDescent="0.2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Jaime\QUIFA-CAJÚA\Cajua\[VAS_CAJUA_CF_SEC_20230125.xlsx]CF PDP'!</v>
      </c>
      <c r="G864" s="7" t="s">
        <v>37</v>
      </c>
      <c r="H864" s="4">
        <f t="shared" si="200"/>
        <v>62</v>
      </c>
      <c r="I864" s="4" t="str">
        <f t="shared" si="201"/>
        <v>='C:\Users\jaime.benazar\Quorum Business Solutions\Ecopetrol Prometeo - Documents\Planning Space Implementation\3. Analysis &amp; Design\Design\FC22\DRR Jaime\QUIFA-CAJÚA\Cajua\[VAS_CAJUA_CF_SEC_20230125.xlsx]CF PDP'!$BW$62</v>
      </c>
      <c r="J864" s="4" t="s">
        <v>525</v>
      </c>
    </row>
    <row r="865" spans="1:10" x14ac:dyDescent="0.2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Jaime\QUIFA-CAJÚA\Cajua\[VAS_CAJUA_CF_SEC_20230125.xlsx]CF PDP'!</v>
      </c>
      <c r="G865" s="7" t="s">
        <v>37</v>
      </c>
      <c r="H865" s="4">
        <f t="shared" si="200"/>
        <v>63</v>
      </c>
      <c r="I865" s="4" t="str">
        <f t="shared" si="201"/>
        <v>='C:\Users\jaime.benazar\Quorum Business Solutions\Ecopetrol Prometeo - Documents\Planning Space Implementation\3. Analysis &amp; Design\Design\FC22\DRR Jaime\QUIFA-CAJÚA\Cajua\[VAS_CAJUA_CF_SEC_20230125.xlsx]CF PDP'!$BW$63</v>
      </c>
      <c r="J865" s="4" t="s">
        <v>526</v>
      </c>
    </row>
    <row r="866" spans="1:10" x14ac:dyDescent="0.2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Jaime\QUIFA-CAJÚA\Cajua\[VAS_CAJUA_CF_SEC_20230125.xlsx]CF PDP'!</v>
      </c>
      <c r="G866" s="7" t="s">
        <v>37</v>
      </c>
      <c r="H866" s="4">
        <f t="shared" si="200"/>
        <v>64</v>
      </c>
      <c r="I866" s="4" t="str">
        <f t="shared" si="201"/>
        <v>='C:\Users\jaime.benazar\Quorum Business Solutions\Ecopetrol Prometeo - Documents\Planning Space Implementation\3. Analysis &amp; Design\Design\FC22\DRR Jaime\QUIFA-CAJÚA\Cajua\[VAS_CAJUA_CF_SEC_20230125.xlsx]CF PDP'!$BW$64</v>
      </c>
      <c r="J866" s="4" t="s">
        <v>527</v>
      </c>
    </row>
    <row r="867" spans="1:10" x14ac:dyDescent="0.2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Jaime\QUIFA-CAJÚA\Cajua\[VAS_CAJUA_CF_SEC_20230125.xlsx]CF PDP'!</v>
      </c>
      <c r="G867" s="7" t="s">
        <v>37</v>
      </c>
      <c r="H867" s="4">
        <f t="shared" si="200"/>
        <v>65</v>
      </c>
      <c r="I867" s="4" t="str">
        <f t="shared" si="201"/>
        <v>='C:\Users\jaime.benazar\Quorum Business Solutions\Ecopetrol Prometeo - Documents\Planning Space Implementation\3. Analysis &amp; Design\Design\FC22\DRR Jaime\QUIFA-CAJÚA\Cajua\[VAS_CAJUA_CF_SEC_20230125.xlsx]CF PDP'!$BW$65</v>
      </c>
      <c r="J867" s="4" t="s">
        <v>528</v>
      </c>
    </row>
    <row r="868" spans="1:10" x14ac:dyDescent="0.2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Jaime\QUIFA-CAJÚA\Cajua\[VAS_CAJUA_CF_SEC_20230125.xlsx]CF PDP'!</v>
      </c>
      <c r="G868" s="7" t="s">
        <v>37</v>
      </c>
      <c r="H868" s="4">
        <f t="shared" si="200"/>
        <v>66</v>
      </c>
      <c r="I868" s="4" t="str">
        <f t="shared" si="201"/>
        <v>='C:\Users\jaime.benazar\Quorum Business Solutions\Ecopetrol Prometeo - Documents\Planning Space Implementation\3. Analysis &amp; Design\Design\FC22\DRR Jaime\QUIFA-CAJÚA\Cajua\[VAS_CAJUA_CF_SEC_20230125.xlsx]CF PDP'!$BW$66</v>
      </c>
      <c r="J868" s="4" t="s">
        <v>529</v>
      </c>
    </row>
    <row r="869" spans="1:10" x14ac:dyDescent="0.2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Jaime\QUIFA-CAJÚA\Cajua\[VAS_CAJUA_CF_SEC_20230125.xlsx]CF PDP'!</v>
      </c>
      <c r="G869" s="7" t="s">
        <v>37</v>
      </c>
      <c r="H869" s="4">
        <f t="shared" si="200"/>
        <v>67</v>
      </c>
      <c r="I869" s="4" t="str">
        <f t="shared" si="201"/>
        <v>='C:\Users\jaime.benazar\Quorum Business Solutions\Ecopetrol Prometeo - Documents\Planning Space Implementation\3. Analysis &amp; Design\Design\FC22\DRR Jaime\QUIFA-CAJÚA\Cajua\[VAS_CAJUA_CF_SEC_20230125.xlsx]CF PDP'!$BW$67</v>
      </c>
      <c r="J869" s="4" t="s">
        <v>530</v>
      </c>
    </row>
    <row r="870" spans="1:10" x14ac:dyDescent="0.2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Jaime\QUIFA-CAJÚA\Cajua\[VAS_CAJUA_CF_SEC_20230125.xlsx]CF PDP'!</v>
      </c>
      <c r="G870" s="7" t="s">
        <v>37</v>
      </c>
      <c r="H870" s="4">
        <f t="shared" si="200"/>
        <v>68</v>
      </c>
      <c r="I870" s="4" t="str">
        <f t="shared" si="201"/>
        <v>='C:\Users\jaime.benazar\Quorum Business Solutions\Ecopetrol Prometeo - Documents\Planning Space Implementation\3. Analysis &amp; Design\Design\FC22\DRR Jaime\QUIFA-CAJÚA\Cajua\[VAS_CAJUA_CF_SEC_20230125.xlsx]CF PDP'!$BW$68</v>
      </c>
      <c r="J870" s="4" t="s">
        <v>531</v>
      </c>
    </row>
    <row r="871" spans="1:10" x14ac:dyDescent="0.2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Jaime\QUIFA-CAJÚA\Cajua\[VAS_CAJUA_CF_SEC_20230125.xlsx]CF PDP'!</v>
      </c>
      <c r="G871" s="7" t="s">
        <v>37</v>
      </c>
      <c r="H871" s="4">
        <f t="shared" si="200"/>
        <v>69</v>
      </c>
      <c r="I871" s="4" t="str">
        <f t="shared" si="201"/>
        <v>='C:\Users\jaime.benazar\Quorum Business Solutions\Ecopetrol Prometeo - Documents\Planning Space Implementation\3. Analysis &amp; Design\Design\FC22\DRR Jaime\QUIFA-CAJÚA\Cajua\[VAS_CAJUA_CF_SEC_20230125.xlsx]CF PDP'!$BW$69</v>
      </c>
      <c r="J871" s="4" t="s">
        <v>532</v>
      </c>
    </row>
    <row r="872" spans="1:10" x14ac:dyDescent="0.2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Jaime\QUIFA-CAJÚA\Cajua\[VAS_CAJUA_CF_SEC_20230125.xlsx]CF PDP'!</v>
      </c>
      <c r="G872" s="7" t="s">
        <v>37</v>
      </c>
      <c r="H872" s="4">
        <f t="shared" si="200"/>
        <v>70</v>
      </c>
      <c r="I872" s="4" t="str">
        <f t="shared" si="201"/>
        <v>='C:\Users\jaime.benazar\Quorum Business Solutions\Ecopetrol Prometeo - Documents\Planning Space Implementation\3. Analysis &amp; Design\Design\FC22\DRR Jaime\QUIFA-CAJÚA\Cajua\[VAS_CAJUA_CF_SEC_20230125.xlsx]CF PDP'!$BW$70</v>
      </c>
      <c r="J872" s="4" t="s">
        <v>533</v>
      </c>
    </row>
    <row r="873" spans="1:10" x14ac:dyDescent="0.2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Jaime\QUIFA-CAJÚA\Cajua\[VAS_CAJUA_CF_SEC_20230125.xlsx]CF PDP'!</v>
      </c>
      <c r="G873" s="7" t="s">
        <v>37</v>
      </c>
      <c r="H873" s="4">
        <f t="shared" si="200"/>
        <v>71</v>
      </c>
      <c r="I873" s="4" t="str">
        <f t="shared" si="201"/>
        <v>='C:\Users\jaime.benazar\Quorum Business Solutions\Ecopetrol Prometeo - Documents\Planning Space Implementation\3. Analysis &amp; Design\Design\FC22\DRR Jaime\QUIFA-CAJÚA\Cajua\[VAS_CAJUA_CF_SEC_20230125.xlsx]CF PDP'!$BW$71</v>
      </c>
      <c r="J873" s="4" t="s">
        <v>534</v>
      </c>
    </row>
    <row r="874" spans="1:10" x14ac:dyDescent="0.2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Jaime\QUIFA-CAJÚA\Cajua\[VAS_CAJUA_CF_SEC_20230125.xlsx]CF PDP'!</v>
      </c>
      <c r="G874" s="7" t="s">
        <v>37</v>
      </c>
      <c r="H874" s="4">
        <f t="shared" si="200"/>
        <v>72</v>
      </c>
      <c r="I874" s="4" t="str">
        <f t="shared" si="201"/>
        <v>='C:\Users\jaime.benazar\Quorum Business Solutions\Ecopetrol Prometeo - Documents\Planning Space Implementation\3. Analysis &amp; Design\Design\FC22\DRR Jaime\QUIFA-CAJÚA\Cajua\[VAS_CAJUA_CF_SEC_20230125.xlsx]CF PDP'!$BW$72</v>
      </c>
      <c r="J874" s="4" t="s">
        <v>535</v>
      </c>
    </row>
    <row r="875" spans="1:10" x14ac:dyDescent="0.25">
      <c r="A875" s="7" t="s">
        <v>28</v>
      </c>
      <c r="B875" s="7"/>
      <c r="C875" s="4" t="s">
        <v>11</v>
      </c>
      <c r="D875" s="5"/>
      <c r="E875" s="10"/>
      <c r="F875" s="5"/>
      <c r="G875" s="7"/>
      <c r="H875" s="4"/>
      <c r="I875" s="4"/>
      <c r="J875" s="4"/>
    </row>
    <row r="876" spans="1:10" x14ac:dyDescent="0.2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Jaime\QUIFA-CAJÚA\Cajua\[VAS_CAJUA_CF_SEC_20230125.xlsx]CF PNP'!</v>
      </c>
      <c r="G876" s="7" t="s">
        <v>37</v>
      </c>
      <c r="H876" s="4">
        <f>IF(A876&lt;&gt;A860,36,H860+1)</f>
        <v>36</v>
      </c>
      <c r="I876" s="4" t="str">
        <f t="shared" si="193"/>
        <v>='C:\Users\jaime.benazar\Quorum Business Solutions\Ecopetrol Prometeo - Documents\Planning Space Implementation\3. Analysis &amp; Design\Design\FC22\DRR Jaime\QUIFA-CAJÚA\Cajua\[VAS_CAJUA_CF_SEC_20230125.xlsx]CF PNP'!$BW$36</v>
      </c>
      <c r="J876" s="4" t="s">
        <v>536</v>
      </c>
    </row>
    <row r="877" spans="1:10" x14ac:dyDescent="0.2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Jaime\QUIFA-CAJÚA\Cajua\[VAS_CAJUA_CF_SEC_20230125.xlsx]CF PNP'!</v>
      </c>
      <c r="G877" s="7" t="s">
        <v>37</v>
      </c>
      <c r="H877" s="4">
        <f t="shared" si="195"/>
        <v>37</v>
      </c>
      <c r="I877" s="4" t="str">
        <f t="shared" si="193"/>
        <v>='C:\Users\jaime.benazar\Quorum Business Solutions\Ecopetrol Prometeo - Documents\Planning Space Implementation\3. Analysis &amp; Design\Design\FC22\DRR Jaime\QUIFA-CAJÚA\Cajua\[VAS_CAJUA_CF_SEC_20230125.xlsx]CF PNP'!$BW$37</v>
      </c>
      <c r="J877" s="4" t="s">
        <v>537</v>
      </c>
    </row>
    <row r="878" spans="1:10" x14ac:dyDescent="0.2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Jaime\QUIFA-CAJÚA\Cajua\[VAS_CAJUA_CF_SEC_20230125.xlsx]CF PNP'!</v>
      </c>
      <c r="G878" s="7" t="s">
        <v>37</v>
      </c>
      <c r="H878" s="4">
        <f t="shared" si="195"/>
        <v>38</v>
      </c>
      <c r="I878" s="4" t="str">
        <f t="shared" si="193"/>
        <v>='C:\Users\jaime.benazar\Quorum Business Solutions\Ecopetrol Prometeo - Documents\Planning Space Implementation\3. Analysis &amp; Design\Design\FC22\DRR Jaime\QUIFA-CAJÚA\Cajua\[VAS_CAJUA_CF_SEC_20230125.xlsx]CF PNP'!$BW$38</v>
      </c>
      <c r="J878" s="4" t="s">
        <v>538</v>
      </c>
    </row>
    <row r="879" spans="1:10" x14ac:dyDescent="0.2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Jaime\QUIFA-CAJÚA\Cajua\[VAS_CAJUA_CF_SEC_20230125.xlsx]CF PNP'!</v>
      </c>
      <c r="G879" s="7" t="s">
        <v>37</v>
      </c>
      <c r="H879" s="4">
        <f t="shared" si="195"/>
        <v>39</v>
      </c>
      <c r="I879" s="4" t="str">
        <f t="shared" si="193"/>
        <v>='C:\Users\jaime.benazar\Quorum Business Solutions\Ecopetrol Prometeo - Documents\Planning Space Implementation\3. Analysis &amp; Design\Design\FC22\DRR Jaime\QUIFA-CAJÚA\Cajua\[VAS_CAJUA_CF_SEC_20230125.xlsx]CF PNP'!$BW$39</v>
      </c>
      <c r="J879" s="4" t="s">
        <v>539</v>
      </c>
    </row>
    <row r="880" spans="1:10" x14ac:dyDescent="0.2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Jaime\QUIFA-CAJÚA\Cajua\[VAS_CAJUA_CF_SEC_20230125.xlsx]CF PNP'!</v>
      </c>
      <c r="G880" s="7" t="s">
        <v>37</v>
      </c>
      <c r="H880" s="4">
        <f t="shared" si="195"/>
        <v>40</v>
      </c>
      <c r="I880" s="4" t="str">
        <f t="shared" si="193"/>
        <v>='C:\Users\jaime.benazar\Quorum Business Solutions\Ecopetrol Prometeo - Documents\Planning Space Implementation\3. Analysis &amp; Design\Design\FC22\DRR Jaime\QUIFA-CAJÚA\Cajua\[VAS_CAJUA_CF_SEC_20230125.xlsx]CF PNP'!$BW$40</v>
      </c>
      <c r="J880" s="4" t="s">
        <v>540</v>
      </c>
    </row>
    <row r="881" spans="1:10" x14ac:dyDescent="0.2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Jaime\QUIFA-CAJÚA\Cajua\[VAS_CAJUA_CF_SEC_20230125.xlsx]CF PNP'!</v>
      </c>
      <c r="G881" s="7" t="s">
        <v>37</v>
      </c>
      <c r="H881" s="4">
        <f t="shared" si="195"/>
        <v>41</v>
      </c>
      <c r="I881" s="4" t="str">
        <f t="shared" si="193"/>
        <v>='C:\Users\jaime.benazar\Quorum Business Solutions\Ecopetrol Prometeo - Documents\Planning Space Implementation\3. Analysis &amp; Design\Design\FC22\DRR Jaime\QUIFA-CAJÚA\Cajua\[VAS_CAJUA_CF_SEC_20230125.xlsx]CF PNP'!$BW$41</v>
      </c>
      <c r="J881" s="4" t="s">
        <v>541</v>
      </c>
    </row>
    <row r="882" spans="1:10" x14ac:dyDescent="0.2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Jaime\QUIFA-CAJÚA\Cajua\[VAS_CAJUA_CF_SEC_20230125.xlsx]CF PNP'!</v>
      </c>
      <c r="G882" s="7" t="s">
        <v>37</v>
      </c>
      <c r="H882" s="4">
        <f t="shared" si="195"/>
        <v>42</v>
      </c>
      <c r="I882" s="4" t="str">
        <f t="shared" si="193"/>
        <v>='C:\Users\jaime.benazar\Quorum Business Solutions\Ecopetrol Prometeo - Documents\Planning Space Implementation\3. Analysis &amp; Design\Design\FC22\DRR Jaime\QUIFA-CAJÚA\Cajua\[VAS_CAJUA_CF_SEC_20230125.xlsx]CF PNP'!$BW$42</v>
      </c>
      <c r="J882" s="4" t="s">
        <v>542</v>
      </c>
    </row>
    <row r="883" spans="1:10" x14ac:dyDescent="0.2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Jaime\QUIFA-CAJÚA\Cajua\[VAS_CAJUA_CF_SEC_20230125.xlsx]CF PNP'!</v>
      </c>
      <c r="G883" s="7" t="s">
        <v>37</v>
      </c>
      <c r="H883" s="4">
        <f t="shared" si="195"/>
        <v>43</v>
      </c>
      <c r="I883" s="4" t="str">
        <f t="shared" si="193"/>
        <v>='C:\Users\jaime.benazar\Quorum Business Solutions\Ecopetrol Prometeo - Documents\Planning Space Implementation\3. Analysis &amp; Design\Design\FC22\DRR Jaime\QUIFA-CAJÚA\Cajua\[VAS_CAJUA_CF_SEC_20230125.xlsx]CF PNP'!$BW$43</v>
      </c>
      <c r="J883" s="4" t="s">
        <v>543</v>
      </c>
    </row>
    <row r="884" spans="1:10" x14ac:dyDescent="0.2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Jaime\QUIFA-CAJÚA\Cajua\[VAS_CAJUA_CF_SEC_20230125.xlsx]CF PNP'!</v>
      </c>
      <c r="G884" s="7" t="s">
        <v>37</v>
      </c>
      <c r="H884" s="4">
        <f t="shared" si="195"/>
        <v>44</v>
      </c>
      <c r="I884" s="4" t="str">
        <f t="shared" si="193"/>
        <v>='C:\Users\jaime.benazar\Quorum Business Solutions\Ecopetrol Prometeo - Documents\Planning Space Implementation\3. Analysis &amp; Design\Design\FC22\DRR Jaime\QUIFA-CAJÚA\Cajua\[VAS_CAJUA_CF_SEC_20230125.xlsx]CF PNP'!$BW$44</v>
      </c>
      <c r="J884" s="4" t="s">
        <v>544</v>
      </c>
    </row>
    <row r="885" spans="1:10" x14ac:dyDescent="0.2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Jaime\QUIFA-CAJÚA\Cajua\[VAS_CAJUA_CF_SEC_20230125.xlsx]CF PNP'!</v>
      </c>
      <c r="G885" s="7" t="s">
        <v>37</v>
      </c>
      <c r="H885" s="4">
        <f t="shared" si="195"/>
        <v>45</v>
      </c>
      <c r="I885" s="4" t="str">
        <f t="shared" si="193"/>
        <v>='C:\Users\jaime.benazar\Quorum Business Solutions\Ecopetrol Prometeo - Documents\Planning Space Implementation\3. Analysis &amp; Design\Design\FC22\DRR Jaime\QUIFA-CAJÚA\Cajua\[VAS_CAJUA_CF_SEC_20230125.xlsx]CF PNP'!$BW$45</v>
      </c>
      <c r="J885" s="4" t="s">
        <v>545</v>
      </c>
    </row>
    <row r="886" spans="1:10" x14ac:dyDescent="0.2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Jaime\QUIFA-CAJÚA\Cajua\[VAS_CAJUA_CF_SEC_20230125.xlsx]CF PNP'!</v>
      </c>
      <c r="G886" s="7" t="s">
        <v>37</v>
      </c>
      <c r="H886" s="4">
        <f t="shared" si="195"/>
        <v>46</v>
      </c>
      <c r="I886" s="4" t="str">
        <f t="shared" si="193"/>
        <v>='C:\Users\jaime.benazar\Quorum Business Solutions\Ecopetrol Prometeo - Documents\Planning Space Implementation\3. Analysis &amp; Design\Design\FC22\DRR Jaime\QUIFA-CAJÚA\Cajua\[VAS_CAJUA_CF_SEC_20230125.xlsx]CF PNP'!$BW$46</v>
      </c>
      <c r="J886" s="4" t="s">
        <v>546</v>
      </c>
    </row>
    <row r="887" spans="1:10" x14ac:dyDescent="0.2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Jaime\QUIFA-CAJÚA\Cajua\[VAS_CAJUA_CF_SEC_20230125.xlsx]CF PNP'!</v>
      </c>
      <c r="G887" s="7" t="s">
        <v>37</v>
      </c>
      <c r="H887" s="4">
        <f t="shared" si="195"/>
        <v>47</v>
      </c>
      <c r="I887" s="4" t="str">
        <f t="shared" si="193"/>
        <v>='C:\Users\jaime.benazar\Quorum Business Solutions\Ecopetrol Prometeo - Documents\Planning Space Implementation\3. Analysis &amp; Design\Design\FC22\DRR Jaime\QUIFA-CAJÚA\Cajua\[VAS_CAJUA_CF_SEC_20230125.xlsx]CF PNP'!$BW$47</v>
      </c>
      <c r="J887" s="4" t="s">
        <v>547</v>
      </c>
    </row>
    <row r="888" spans="1:10" x14ac:dyDescent="0.2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Jaime\QUIFA-CAJÚA\Cajua\[VAS_CAJUA_CF_SEC_20230125.xlsx]CF PNP'!</v>
      </c>
      <c r="G888" s="7" t="s">
        <v>37</v>
      </c>
      <c r="H888" s="4">
        <f t="shared" si="195"/>
        <v>48</v>
      </c>
      <c r="I888" s="4" t="str">
        <f t="shared" si="193"/>
        <v>='C:\Users\jaime.benazar\Quorum Business Solutions\Ecopetrol Prometeo - Documents\Planning Space Implementation\3. Analysis &amp; Design\Design\FC22\DRR Jaime\QUIFA-CAJÚA\Cajua\[VAS_CAJUA_CF_SEC_20230125.xlsx]CF PNP'!$BW$48</v>
      </c>
      <c r="J888" s="4" t="s">
        <v>548</v>
      </c>
    </row>
    <row r="889" spans="1:10" x14ac:dyDescent="0.2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Jaime\QUIFA-CAJÚA\Cajua\[VAS_CAJUA_CF_SEC_20230125.xlsx]CF PNP'!</v>
      </c>
      <c r="G889" s="7" t="s">
        <v>37</v>
      </c>
      <c r="H889" s="4">
        <f t="shared" si="195"/>
        <v>49</v>
      </c>
      <c r="I889" s="4" t="str">
        <f t="shared" si="193"/>
        <v>='C:\Users\jaime.benazar\Quorum Business Solutions\Ecopetrol Prometeo - Documents\Planning Space Implementation\3. Analysis &amp; Design\Design\FC22\DRR Jaime\QUIFA-CAJÚA\Cajua\[VAS_CAJUA_CF_SEC_20230125.xlsx]CF PNP'!$BW$49</v>
      </c>
      <c r="J889" s="4" t="s">
        <v>549</v>
      </c>
    </row>
    <row r="890" spans="1:10" x14ac:dyDescent="0.2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Jaime\QUIFA-CAJÚA\Cajua\[VAS_CAJUA_CF_SEC_20230125.xlsx]CF PNP'!</v>
      </c>
      <c r="G890" s="7" t="s">
        <v>37</v>
      </c>
      <c r="H890" s="4">
        <f t="shared" si="195"/>
        <v>50</v>
      </c>
      <c r="I890" s="4" t="str">
        <f t="shared" si="193"/>
        <v>='C:\Users\jaime.benazar\Quorum Business Solutions\Ecopetrol Prometeo - Documents\Planning Space Implementation\3. Analysis &amp; Design\Design\FC22\DRR Jaime\QUIFA-CAJÚA\Cajua\[VAS_CAJUA_CF_SEC_20230125.xlsx]CF PNP'!$BW$50</v>
      </c>
      <c r="J890" s="4" t="s">
        <v>550</v>
      </c>
    </row>
    <row r="891" spans="1:10" x14ac:dyDescent="0.2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Jaime\QUIFA-CAJÚA\Cajua\[VAS_CAJUA_CF_SEC_20230125.xlsx]CF PNP'!</v>
      </c>
      <c r="G891" s="7" t="s">
        <v>37</v>
      </c>
      <c r="H891" s="4">
        <f t="shared" si="195"/>
        <v>51</v>
      </c>
      <c r="I891" s="4" t="str">
        <f t="shared" si="193"/>
        <v>='C:\Users\jaime.benazar\Quorum Business Solutions\Ecopetrol Prometeo - Documents\Planning Space Implementation\3. Analysis &amp; Design\Design\FC22\DRR Jaime\QUIFA-CAJÚA\Cajua\[VAS_CAJUA_CF_SEC_20230125.xlsx]CF PNP'!$BW$51</v>
      </c>
      <c r="J891" s="4" t="s">
        <v>551</v>
      </c>
    </row>
    <row r="892" spans="1:10" x14ac:dyDescent="0.2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Jaime\QUIFA-CAJÚA\Cajua\[VAS_CAJUA_CF_SEC_20230125.xlsx]CF PNP'!</v>
      </c>
      <c r="G892" s="7" t="s">
        <v>37</v>
      </c>
      <c r="H892" s="4">
        <f t="shared" si="195"/>
        <v>52</v>
      </c>
      <c r="I892" s="4" t="str">
        <f t="shared" si="193"/>
        <v>='C:\Users\jaime.benazar\Quorum Business Solutions\Ecopetrol Prometeo - Documents\Planning Space Implementation\3. Analysis &amp; Design\Design\FC22\DRR Jaime\QUIFA-CAJÚA\Cajua\[VAS_CAJUA_CF_SEC_20230125.xlsx]CF PNP'!$BW$52</v>
      </c>
      <c r="J892" s="4" t="s">
        <v>552</v>
      </c>
    </row>
    <row r="893" spans="1:10" x14ac:dyDescent="0.2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Jaime\QUIFA-CAJÚA\Cajua\[VAS_CAJUA_CF_SEC_20230125.xlsx]CF PNP'!</v>
      </c>
      <c r="G893" s="7" t="s">
        <v>37</v>
      </c>
      <c r="H893" s="4">
        <f t="shared" si="195"/>
        <v>53</v>
      </c>
      <c r="I893" s="4" t="str">
        <f t="shared" si="193"/>
        <v>='C:\Users\jaime.benazar\Quorum Business Solutions\Ecopetrol Prometeo - Documents\Planning Space Implementation\3. Analysis &amp; Design\Design\FC22\DRR Jaime\QUIFA-CAJÚA\Cajua\[VAS_CAJUA_CF_SEC_20230125.xlsx]CF PNP'!$BW$53</v>
      </c>
      <c r="J893" s="4" t="s">
        <v>553</v>
      </c>
    </row>
    <row r="894" spans="1:10" x14ac:dyDescent="0.2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Jaime\QUIFA-CAJÚA\Cajua\[VAS_CAJUA_CF_SEC_20230125.xlsx]CF PNP'!</v>
      </c>
      <c r="G894" s="7" t="s">
        <v>37</v>
      </c>
      <c r="H894" s="4">
        <f t="shared" si="195"/>
        <v>54</v>
      </c>
      <c r="I894" s="4" t="str">
        <f t="shared" si="193"/>
        <v>='C:\Users\jaime.benazar\Quorum Business Solutions\Ecopetrol Prometeo - Documents\Planning Space Implementation\3. Analysis &amp; Design\Design\FC22\DRR Jaime\QUIFA-CAJÚA\Cajua\[VAS_CAJUA_CF_SEC_20230125.xlsx]CF PNP'!$BW$54</v>
      </c>
      <c r="J894" s="4" t="s">
        <v>554</v>
      </c>
    </row>
    <row r="895" spans="1:10" x14ac:dyDescent="0.2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Jaime\QUIFA-CAJÚA\Cajua\[VAS_CAJUA_CF_SEC_20230125.xlsx]CF PNP'!</v>
      </c>
      <c r="G895" s="7" t="s">
        <v>37</v>
      </c>
      <c r="H895" s="4">
        <f t="shared" si="195"/>
        <v>55</v>
      </c>
      <c r="I895" s="4" t="str">
        <f t="shared" si="193"/>
        <v>='C:\Users\jaime.benazar\Quorum Business Solutions\Ecopetrol Prometeo - Documents\Planning Space Implementation\3. Analysis &amp; Design\Design\FC22\DRR Jaime\QUIFA-CAJÚA\Cajua\[VAS_CAJUA_CF_SEC_20230125.xlsx]CF PNP'!$BW$55</v>
      </c>
      <c r="J895" s="4" t="s">
        <v>555</v>
      </c>
    </row>
    <row r="896" spans="1:10" x14ac:dyDescent="0.2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Jaime\QUIFA-CAJÚA\Cajua\[VAS_CAJUA_CF_SEC_20230125.xlsx]CF PNP'!</v>
      </c>
      <c r="G896" s="7" t="s">
        <v>37</v>
      </c>
      <c r="H896" s="4">
        <f t="shared" si="195"/>
        <v>56</v>
      </c>
      <c r="I896" s="4" t="str">
        <f t="shared" si="193"/>
        <v>='C:\Users\jaime.benazar\Quorum Business Solutions\Ecopetrol Prometeo - Documents\Planning Space Implementation\3. Analysis &amp; Design\Design\FC22\DRR Jaime\QUIFA-CAJÚA\Cajua\[VAS_CAJUA_CF_SEC_20230125.xlsx]CF PNP'!$BW$56</v>
      </c>
      <c r="J896" s="4" t="s">
        <v>556</v>
      </c>
    </row>
    <row r="897" spans="1:10" x14ac:dyDescent="0.2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Jaime\QUIFA-CAJÚA\Cajua\[VAS_CAJUA_CF_SEC_20230125.xlsx]CF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Jaime\QUIFA-CAJÚA\Cajua\[VAS_CAJUA_CF_SEC_20230125.xlsx]CF PNP'!$BW$57</v>
      </c>
      <c r="J897" s="4" t="s">
        <v>557</v>
      </c>
    </row>
    <row r="898" spans="1:10" x14ac:dyDescent="0.2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Jaime\QUIFA-CAJÚA\Cajua\[VAS_CAJUA_CF_SEC_20230125.xlsx]CF PNP'!</v>
      </c>
      <c r="G898" s="7" t="s">
        <v>37</v>
      </c>
      <c r="H898" s="4">
        <f t="shared" si="209"/>
        <v>58</v>
      </c>
      <c r="I898" s="4" t="str">
        <f t="shared" si="210"/>
        <v>='C:\Users\jaime.benazar\Quorum Business Solutions\Ecopetrol Prometeo - Documents\Planning Space Implementation\3. Analysis &amp; Design\Design\FC22\DRR Jaime\QUIFA-CAJÚA\Cajua\[VAS_CAJUA_CF_SEC_20230125.xlsx]CF PNP'!$BW$58</v>
      </c>
      <c r="J898" s="4" t="s">
        <v>558</v>
      </c>
    </row>
    <row r="899" spans="1:10" x14ac:dyDescent="0.2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Jaime\QUIFA-CAJÚA\Cajua\[VAS_CAJUA_CF_SEC_20230125.xlsx]CF PNP'!</v>
      </c>
      <c r="G899" s="7" t="s">
        <v>37</v>
      </c>
      <c r="H899" s="4">
        <f t="shared" si="209"/>
        <v>59</v>
      </c>
      <c r="I899" s="4" t="str">
        <f t="shared" si="210"/>
        <v>='C:\Users\jaime.benazar\Quorum Business Solutions\Ecopetrol Prometeo - Documents\Planning Space Implementation\3. Analysis &amp; Design\Design\FC22\DRR Jaime\QUIFA-CAJÚA\Cajua\[VAS_CAJUA_CF_SEC_20230125.xlsx]CF PNP'!$BW$59</v>
      </c>
      <c r="J899" s="4" t="s">
        <v>559</v>
      </c>
    </row>
    <row r="900" spans="1:10" x14ac:dyDescent="0.2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Jaime\QUIFA-CAJÚA\Cajua\[VAS_CAJUA_CF_SEC_20230125.xlsx]CF PNP'!</v>
      </c>
      <c r="G900" s="7" t="s">
        <v>37</v>
      </c>
      <c r="H900" s="4">
        <f t="shared" si="209"/>
        <v>60</v>
      </c>
      <c r="I900" s="4" t="str">
        <f t="shared" si="210"/>
        <v>='C:\Users\jaime.benazar\Quorum Business Solutions\Ecopetrol Prometeo - Documents\Planning Space Implementation\3. Analysis &amp; Design\Design\FC22\DRR Jaime\QUIFA-CAJÚA\Cajua\[VAS_CAJUA_CF_SEC_20230125.xlsx]CF PNP'!$BW$60</v>
      </c>
      <c r="J900" s="4" t="s">
        <v>560</v>
      </c>
    </row>
    <row r="901" spans="1:10" x14ac:dyDescent="0.2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Jaime\QUIFA-CAJÚA\Cajua\[VAS_CAJUA_CF_SEC_20230125.xlsx]CF PNP'!</v>
      </c>
      <c r="G901" s="7" t="s">
        <v>37</v>
      </c>
      <c r="H901" s="4">
        <f t="shared" si="209"/>
        <v>61</v>
      </c>
      <c r="I901" s="4" t="str">
        <f t="shared" si="210"/>
        <v>='C:\Users\jaime.benazar\Quorum Business Solutions\Ecopetrol Prometeo - Documents\Planning Space Implementation\3. Analysis &amp; Design\Design\FC22\DRR Jaime\QUIFA-CAJÚA\Cajua\[VAS_CAJUA_CF_SEC_20230125.xlsx]CF PNP'!$BW$61</v>
      </c>
      <c r="J901" s="4" t="s">
        <v>561</v>
      </c>
    </row>
    <row r="902" spans="1:10" x14ac:dyDescent="0.2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Jaime\QUIFA-CAJÚA\Cajua\[VAS_CAJUA_CF_SEC_20230125.xlsx]CF PNP'!</v>
      </c>
      <c r="G902" s="7" t="s">
        <v>37</v>
      </c>
      <c r="H902" s="4">
        <f t="shared" si="209"/>
        <v>62</v>
      </c>
      <c r="I902" s="4" t="str">
        <f t="shared" si="210"/>
        <v>='C:\Users\jaime.benazar\Quorum Business Solutions\Ecopetrol Prometeo - Documents\Planning Space Implementation\3. Analysis &amp; Design\Design\FC22\DRR Jaime\QUIFA-CAJÚA\Cajua\[VAS_CAJUA_CF_SEC_20230125.xlsx]CF PNP'!$BW$62</v>
      </c>
      <c r="J902" s="4" t="s">
        <v>562</v>
      </c>
    </row>
    <row r="903" spans="1:10" x14ac:dyDescent="0.2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Jaime\QUIFA-CAJÚA\Cajua\[VAS_CAJUA_CF_SEC_20230125.xlsx]CF PNP'!</v>
      </c>
      <c r="G903" s="7" t="s">
        <v>37</v>
      </c>
      <c r="H903" s="4">
        <f t="shared" si="209"/>
        <v>63</v>
      </c>
      <c r="I903" s="4" t="str">
        <f t="shared" si="210"/>
        <v>='C:\Users\jaime.benazar\Quorum Business Solutions\Ecopetrol Prometeo - Documents\Planning Space Implementation\3. Analysis &amp; Design\Design\FC22\DRR Jaime\QUIFA-CAJÚA\Cajua\[VAS_CAJUA_CF_SEC_20230125.xlsx]CF PNP'!$BW$63</v>
      </c>
      <c r="J903" s="4" t="s">
        <v>563</v>
      </c>
    </row>
    <row r="904" spans="1:10" x14ac:dyDescent="0.2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Jaime\QUIFA-CAJÚA\Cajua\[VAS_CAJUA_CF_SEC_20230125.xlsx]CF PNP'!</v>
      </c>
      <c r="G904" s="7" t="s">
        <v>37</v>
      </c>
      <c r="H904" s="4">
        <f t="shared" si="209"/>
        <v>64</v>
      </c>
      <c r="I904" s="4" t="str">
        <f t="shared" si="210"/>
        <v>='C:\Users\jaime.benazar\Quorum Business Solutions\Ecopetrol Prometeo - Documents\Planning Space Implementation\3. Analysis &amp; Design\Design\FC22\DRR Jaime\QUIFA-CAJÚA\Cajua\[VAS_CAJUA_CF_SEC_20230125.xlsx]CF PNP'!$BW$64</v>
      </c>
      <c r="J904" s="4" t="s">
        <v>564</v>
      </c>
    </row>
    <row r="905" spans="1:10" x14ac:dyDescent="0.2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Jaime\QUIFA-CAJÚA\Cajua\[VAS_CAJUA_CF_SEC_20230125.xlsx]CF PNP'!</v>
      </c>
      <c r="G905" s="7" t="s">
        <v>37</v>
      </c>
      <c r="H905" s="4">
        <f t="shared" si="209"/>
        <v>65</v>
      </c>
      <c r="I905" s="4" t="str">
        <f t="shared" si="210"/>
        <v>='C:\Users\jaime.benazar\Quorum Business Solutions\Ecopetrol Prometeo - Documents\Planning Space Implementation\3. Analysis &amp; Design\Design\FC22\DRR Jaime\QUIFA-CAJÚA\Cajua\[VAS_CAJUA_CF_SEC_20230125.xlsx]CF PNP'!$BW$65</v>
      </c>
      <c r="J905" s="4" t="s">
        <v>565</v>
      </c>
    </row>
    <row r="906" spans="1:10" x14ac:dyDescent="0.2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Jaime\QUIFA-CAJÚA\Cajua\[VAS_CAJUA_CF_SEC_20230125.xlsx]CF PNP'!</v>
      </c>
      <c r="G906" s="7" t="s">
        <v>37</v>
      </c>
      <c r="H906" s="4">
        <f t="shared" si="209"/>
        <v>66</v>
      </c>
      <c r="I906" s="4" t="str">
        <f t="shared" si="210"/>
        <v>='C:\Users\jaime.benazar\Quorum Business Solutions\Ecopetrol Prometeo - Documents\Planning Space Implementation\3. Analysis &amp; Design\Design\FC22\DRR Jaime\QUIFA-CAJÚA\Cajua\[VAS_CAJUA_CF_SEC_20230125.xlsx]CF PNP'!$BW$66</v>
      </c>
      <c r="J906" s="4" t="s">
        <v>566</v>
      </c>
    </row>
    <row r="907" spans="1:10" x14ac:dyDescent="0.2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Jaime\QUIFA-CAJÚA\Cajua\[VAS_CAJUA_CF_SEC_20230125.xlsx]CF PNP'!</v>
      </c>
      <c r="G907" s="7" t="s">
        <v>37</v>
      </c>
      <c r="H907" s="4">
        <f t="shared" si="209"/>
        <v>67</v>
      </c>
      <c r="I907" s="4" t="str">
        <f t="shared" si="210"/>
        <v>='C:\Users\jaime.benazar\Quorum Business Solutions\Ecopetrol Prometeo - Documents\Planning Space Implementation\3. Analysis &amp; Design\Design\FC22\DRR Jaime\QUIFA-CAJÚA\Cajua\[VAS_CAJUA_CF_SEC_20230125.xlsx]CF PNP'!$BW$67</v>
      </c>
      <c r="J907" s="4" t="s">
        <v>567</v>
      </c>
    </row>
    <row r="908" spans="1:10" x14ac:dyDescent="0.2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Jaime\QUIFA-CAJÚA\Cajua\[VAS_CAJUA_CF_SEC_20230125.xlsx]CF PNP'!</v>
      </c>
      <c r="G908" s="7" t="s">
        <v>37</v>
      </c>
      <c r="H908" s="4">
        <f t="shared" si="209"/>
        <v>68</v>
      </c>
      <c r="I908" s="4" t="str">
        <f t="shared" si="210"/>
        <v>='C:\Users\jaime.benazar\Quorum Business Solutions\Ecopetrol Prometeo - Documents\Planning Space Implementation\3. Analysis &amp; Design\Design\FC22\DRR Jaime\QUIFA-CAJÚA\Cajua\[VAS_CAJUA_CF_SEC_20230125.xlsx]CF PNP'!$BW$68</v>
      </c>
      <c r="J908" s="4" t="s">
        <v>568</v>
      </c>
    </row>
    <row r="909" spans="1:10" x14ac:dyDescent="0.2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Jaime\QUIFA-CAJÚA\Cajua\[VAS_CAJUA_CF_SEC_20230125.xlsx]CF PNP'!</v>
      </c>
      <c r="G909" s="7" t="s">
        <v>37</v>
      </c>
      <c r="H909" s="4">
        <f t="shared" si="209"/>
        <v>69</v>
      </c>
      <c r="I909" s="4" t="str">
        <f t="shared" si="210"/>
        <v>='C:\Users\jaime.benazar\Quorum Business Solutions\Ecopetrol Prometeo - Documents\Planning Space Implementation\3. Analysis &amp; Design\Design\FC22\DRR Jaime\QUIFA-CAJÚA\Cajua\[VAS_CAJUA_CF_SEC_20230125.xlsx]CF PNP'!$BW$69</v>
      </c>
      <c r="J909" s="4" t="s">
        <v>569</v>
      </c>
    </row>
    <row r="910" spans="1:10" x14ac:dyDescent="0.2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Jaime\QUIFA-CAJÚA\Cajua\[VAS_CAJUA_CF_SEC_20230125.xlsx]CF PNP'!</v>
      </c>
      <c r="G910" s="7" t="s">
        <v>37</v>
      </c>
      <c r="H910" s="4">
        <f t="shared" si="209"/>
        <v>70</v>
      </c>
      <c r="I910" s="4" t="str">
        <f t="shared" si="210"/>
        <v>='C:\Users\jaime.benazar\Quorum Business Solutions\Ecopetrol Prometeo - Documents\Planning Space Implementation\3. Analysis &amp; Design\Design\FC22\DRR Jaime\QUIFA-CAJÚA\Cajua\[VAS_CAJUA_CF_SEC_20230125.xlsx]CF PNP'!$BW$70</v>
      </c>
      <c r="J910" s="4" t="s">
        <v>570</v>
      </c>
    </row>
    <row r="911" spans="1:10" x14ac:dyDescent="0.2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Jaime\QUIFA-CAJÚA\Cajua\[VAS_CAJUA_CF_SEC_20230125.xlsx]CF PNP'!</v>
      </c>
      <c r="G911" s="7" t="s">
        <v>37</v>
      </c>
      <c r="H911" s="4">
        <f t="shared" si="209"/>
        <v>71</v>
      </c>
      <c r="I911" s="4" t="str">
        <f t="shared" si="210"/>
        <v>='C:\Users\jaime.benazar\Quorum Business Solutions\Ecopetrol Prometeo - Documents\Planning Space Implementation\3. Analysis &amp; Design\Design\FC22\DRR Jaime\QUIFA-CAJÚA\Cajua\[VAS_CAJUA_CF_SEC_20230125.xlsx]CF PNP'!$BW$71</v>
      </c>
      <c r="J911" s="4" t="s">
        <v>571</v>
      </c>
    </row>
    <row r="912" spans="1:10" x14ac:dyDescent="0.2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Jaime\QUIFA-CAJÚA\Cajua\[VAS_CAJUA_CF_SEC_20230125.xlsx]CF PNP'!</v>
      </c>
      <c r="G912" s="7" t="s">
        <v>37</v>
      </c>
      <c r="H912" s="4">
        <f t="shared" si="209"/>
        <v>72</v>
      </c>
      <c r="I912" s="4" t="str">
        <f t="shared" si="210"/>
        <v>='C:\Users\jaime.benazar\Quorum Business Solutions\Ecopetrol Prometeo - Documents\Planning Space Implementation\3. Analysis &amp; Design\Design\FC22\DRR Jaime\QUIFA-CAJÚA\Cajua\[VAS_CAJUA_CF_SEC_20230125.xlsx]CF PNP'!$BW$72</v>
      </c>
      <c r="J912" s="4" t="s">
        <v>572</v>
      </c>
    </row>
    <row r="913" spans="1:10" x14ac:dyDescent="0.25">
      <c r="A913" s="7" t="s">
        <v>28</v>
      </c>
      <c r="B913" s="7"/>
      <c r="C913" s="4" t="s">
        <v>11</v>
      </c>
      <c r="D913" s="5"/>
      <c r="E913" s="10"/>
      <c r="F913" s="5"/>
      <c r="G913" s="7"/>
      <c r="H913" s="4"/>
      <c r="I913" s="4"/>
      <c r="J913" s="4"/>
    </row>
    <row r="914" spans="1:10" x14ac:dyDescent="0.2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Jaime\QUIFA-CAJÚA\Cajua\[VAS_CAJUA_CF_SEC_20230125.xlsx]CF PND'!</v>
      </c>
      <c r="G914" s="7" t="s">
        <v>37</v>
      </c>
      <c r="H914" s="4">
        <f>IF(A914&lt;&gt;A898,36,H898+1)</f>
        <v>36</v>
      </c>
      <c r="I914" s="4" t="str">
        <f t="shared" si="193"/>
        <v>='C:\Users\jaime.benazar\Quorum Business Solutions\Ecopetrol Prometeo - Documents\Planning Space Implementation\3. Analysis &amp; Design\Design\FC22\DRR Jaime\QUIFA-CAJÚA\Cajua\[VAS_CAJUA_CF_SEC_20230125.xlsx]CF PND'!$BW$36</v>
      </c>
      <c r="J914" s="4" t="s">
        <v>573</v>
      </c>
    </row>
    <row r="915" spans="1:10" x14ac:dyDescent="0.2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Jaime\QUIFA-CAJÚA\Cajua\[VAS_CAJUA_CF_SEC_20230125.xlsx]CF PND'!</v>
      </c>
      <c r="G915" s="7" t="s">
        <v>37</v>
      </c>
      <c r="H915" s="4">
        <f t="shared" si="195"/>
        <v>37</v>
      </c>
      <c r="I915" s="4" t="str">
        <f t="shared" si="193"/>
        <v>='C:\Users\jaime.benazar\Quorum Business Solutions\Ecopetrol Prometeo - Documents\Planning Space Implementation\3. Analysis &amp; Design\Design\FC22\DRR Jaime\QUIFA-CAJÚA\Cajua\[VAS_CAJUA_CF_SEC_20230125.xlsx]CF PND'!$BW$37</v>
      </c>
      <c r="J915" s="4" t="s">
        <v>574</v>
      </c>
    </row>
    <row r="916" spans="1:10" x14ac:dyDescent="0.2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Jaime\QUIFA-CAJÚA\Cajua\[VAS_CAJUA_CF_SEC_20230125.xlsx]CF PND'!</v>
      </c>
      <c r="G916" s="7" t="s">
        <v>37</v>
      </c>
      <c r="H916" s="4">
        <f t="shared" si="195"/>
        <v>38</v>
      </c>
      <c r="I916" s="4" t="str">
        <f t="shared" si="193"/>
        <v>='C:\Users\jaime.benazar\Quorum Business Solutions\Ecopetrol Prometeo - Documents\Planning Space Implementation\3. Analysis &amp; Design\Design\FC22\DRR Jaime\QUIFA-CAJÚA\Cajua\[VAS_CAJUA_CF_SEC_20230125.xlsx]CF PND'!$BW$38</v>
      </c>
      <c r="J916" s="4" t="s">
        <v>575</v>
      </c>
    </row>
    <row r="917" spans="1:10" x14ac:dyDescent="0.2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Jaime\QUIFA-CAJÚA\Cajua\[VAS_CAJUA_CF_SEC_20230125.xlsx]CF PND'!</v>
      </c>
      <c r="G917" s="7" t="s">
        <v>37</v>
      </c>
      <c r="H917" s="4">
        <f t="shared" si="195"/>
        <v>39</v>
      </c>
      <c r="I917" s="4" t="str">
        <f t="shared" si="193"/>
        <v>='C:\Users\jaime.benazar\Quorum Business Solutions\Ecopetrol Prometeo - Documents\Planning Space Implementation\3. Analysis &amp; Design\Design\FC22\DRR Jaime\QUIFA-CAJÚA\Cajua\[VAS_CAJUA_CF_SEC_20230125.xlsx]CF PND'!$BW$39</v>
      </c>
      <c r="J917" s="4" t="s">
        <v>576</v>
      </c>
    </row>
    <row r="918" spans="1:10" x14ac:dyDescent="0.2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Jaime\QUIFA-CAJÚA\Cajua\[VAS_CAJUA_CF_SEC_20230125.xlsx]CF PND'!</v>
      </c>
      <c r="G918" s="7" t="s">
        <v>37</v>
      </c>
      <c r="H918" s="4">
        <f t="shared" si="195"/>
        <v>40</v>
      </c>
      <c r="I918" s="4" t="str">
        <f t="shared" si="193"/>
        <v>='C:\Users\jaime.benazar\Quorum Business Solutions\Ecopetrol Prometeo - Documents\Planning Space Implementation\3. Analysis &amp; Design\Design\FC22\DRR Jaime\QUIFA-CAJÚA\Cajua\[VAS_CAJUA_CF_SEC_20230125.xlsx]CF PND'!$BW$40</v>
      </c>
      <c r="J918" s="4" t="s">
        <v>577</v>
      </c>
    </row>
    <row r="919" spans="1:10" x14ac:dyDescent="0.2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Jaime\QUIFA-CAJÚA\Cajua\[VAS_CAJUA_CF_SEC_20230125.xlsx]CF PND'!</v>
      </c>
      <c r="G919" s="7" t="s">
        <v>37</v>
      </c>
      <c r="H919" s="4">
        <f t="shared" si="195"/>
        <v>41</v>
      </c>
      <c r="I919" s="4" t="str">
        <f t="shared" si="193"/>
        <v>='C:\Users\jaime.benazar\Quorum Business Solutions\Ecopetrol Prometeo - Documents\Planning Space Implementation\3. Analysis &amp; Design\Design\FC22\DRR Jaime\QUIFA-CAJÚA\Cajua\[VAS_CAJUA_CF_SEC_20230125.xlsx]CF PND'!$BW$41</v>
      </c>
      <c r="J919" s="4" t="s">
        <v>578</v>
      </c>
    </row>
    <row r="920" spans="1:10" x14ac:dyDescent="0.2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Jaime\QUIFA-CAJÚA\Cajua\[VAS_CAJUA_CF_SEC_20230125.xlsx]CF PND'!</v>
      </c>
      <c r="G920" s="7" t="s">
        <v>37</v>
      </c>
      <c r="H920" s="4">
        <f t="shared" si="195"/>
        <v>42</v>
      </c>
      <c r="I920" s="4" t="str">
        <f t="shared" si="193"/>
        <v>='C:\Users\jaime.benazar\Quorum Business Solutions\Ecopetrol Prometeo - Documents\Planning Space Implementation\3. Analysis &amp; Design\Design\FC22\DRR Jaime\QUIFA-CAJÚA\Cajua\[VAS_CAJUA_CF_SEC_20230125.xlsx]CF PND'!$BW$42</v>
      </c>
      <c r="J920" s="4" t="s">
        <v>579</v>
      </c>
    </row>
    <row r="921" spans="1:10" x14ac:dyDescent="0.2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Jaime\QUIFA-CAJÚA\Cajua\[VAS_CAJUA_CF_SEC_20230125.xlsx]CF PND'!</v>
      </c>
      <c r="G921" s="7" t="s">
        <v>37</v>
      </c>
      <c r="H921" s="4">
        <f t="shared" si="195"/>
        <v>43</v>
      </c>
      <c r="I921" s="4" t="str">
        <f t="shared" si="193"/>
        <v>='C:\Users\jaime.benazar\Quorum Business Solutions\Ecopetrol Prometeo - Documents\Planning Space Implementation\3. Analysis &amp; Design\Design\FC22\DRR Jaime\QUIFA-CAJÚA\Cajua\[VAS_CAJUA_CF_SEC_20230125.xlsx]CF PND'!$BW$43</v>
      </c>
      <c r="J921" s="4" t="s">
        <v>580</v>
      </c>
    </row>
    <row r="922" spans="1:10" x14ac:dyDescent="0.2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Jaime\QUIFA-CAJÚA\Cajua\[VAS_CAJUA_CF_SEC_20230125.xlsx]CF PND'!</v>
      </c>
      <c r="G922" s="7" t="s">
        <v>37</v>
      </c>
      <c r="H922" s="4">
        <f t="shared" si="195"/>
        <v>44</v>
      </c>
      <c r="I922" s="4" t="str">
        <f t="shared" si="193"/>
        <v>='C:\Users\jaime.benazar\Quorum Business Solutions\Ecopetrol Prometeo - Documents\Planning Space Implementation\3. Analysis &amp; Design\Design\FC22\DRR Jaime\QUIFA-CAJÚA\Cajua\[VAS_CAJUA_CF_SEC_20230125.xlsx]CF PND'!$BW$44</v>
      </c>
      <c r="J922" s="4" t="s">
        <v>581</v>
      </c>
    </row>
    <row r="923" spans="1:10" x14ac:dyDescent="0.2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Jaime\QUIFA-CAJÚA\Cajua\[VAS_CAJUA_CF_SEC_20230125.xlsx]CF PND'!</v>
      </c>
      <c r="G923" s="7" t="s">
        <v>37</v>
      </c>
      <c r="H923" s="4">
        <f t="shared" si="195"/>
        <v>45</v>
      </c>
      <c r="I923" s="4" t="str">
        <f t="shared" si="193"/>
        <v>='C:\Users\jaime.benazar\Quorum Business Solutions\Ecopetrol Prometeo - Documents\Planning Space Implementation\3. Analysis &amp; Design\Design\FC22\DRR Jaime\QUIFA-CAJÚA\Cajua\[VAS_CAJUA_CF_SEC_20230125.xlsx]CF PND'!$BW$45</v>
      </c>
      <c r="J923" s="4" t="s">
        <v>582</v>
      </c>
    </row>
    <row r="924" spans="1:10" x14ac:dyDescent="0.2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Jaime\QUIFA-CAJÚA\Cajua\[VAS_CAJUA_CF_SEC_20230125.xlsx]CF PND'!</v>
      </c>
      <c r="G924" s="7" t="s">
        <v>37</v>
      </c>
      <c r="H924" s="4">
        <f t="shared" si="195"/>
        <v>46</v>
      </c>
      <c r="I924" s="4" t="str">
        <f t="shared" si="193"/>
        <v>='C:\Users\jaime.benazar\Quorum Business Solutions\Ecopetrol Prometeo - Documents\Planning Space Implementation\3. Analysis &amp; Design\Design\FC22\DRR Jaime\QUIFA-CAJÚA\Cajua\[VAS_CAJUA_CF_SEC_20230125.xlsx]CF PND'!$BW$46</v>
      </c>
      <c r="J924" s="4" t="s">
        <v>583</v>
      </c>
    </row>
    <row r="925" spans="1:10" x14ac:dyDescent="0.2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Jaime\QUIFA-CAJÚA\Cajua\[VAS_CAJUA_CF_SEC_20230125.xlsx]CF PND'!</v>
      </c>
      <c r="G925" s="7" t="s">
        <v>37</v>
      </c>
      <c r="H925" s="4">
        <f t="shared" si="195"/>
        <v>47</v>
      </c>
      <c r="I925" s="4" t="str">
        <f t="shared" si="193"/>
        <v>='C:\Users\jaime.benazar\Quorum Business Solutions\Ecopetrol Prometeo - Documents\Planning Space Implementation\3. Analysis &amp; Design\Design\FC22\DRR Jaime\QUIFA-CAJÚA\Cajua\[VAS_CAJUA_CF_SEC_20230125.xlsx]CF PND'!$BW$47</v>
      </c>
      <c r="J925" s="4" t="s">
        <v>584</v>
      </c>
    </row>
    <row r="926" spans="1:10" x14ac:dyDescent="0.2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Jaime\QUIFA-CAJÚA\Cajua\[VAS_CAJUA_CF_SEC_20230125.xlsx]CF PND'!</v>
      </c>
      <c r="G926" s="7" t="s">
        <v>37</v>
      </c>
      <c r="H926" s="4">
        <f t="shared" si="195"/>
        <v>48</v>
      </c>
      <c r="I926" s="4" t="str">
        <f t="shared" si="193"/>
        <v>='C:\Users\jaime.benazar\Quorum Business Solutions\Ecopetrol Prometeo - Documents\Planning Space Implementation\3. Analysis &amp; Design\Design\FC22\DRR Jaime\QUIFA-CAJÚA\Cajua\[VAS_CAJUA_CF_SEC_20230125.xlsx]CF PND'!$BW$48</v>
      </c>
      <c r="J926" s="4" t="s">
        <v>585</v>
      </c>
    </row>
    <row r="927" spans="1:10" x14ac:dyDescent="0.2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Jaime\QUIFA-CAJÚA\Cajua\[VAS_CAJUA_CF_SEC_20230125.xlsx]CF PND'!</v>
      </c>
      <c r="G927" s="7" t="s">
        <v>37</v>
      </c>
      <c r="H927" s="4">
        <f t="shared" si="195"/>
        <v>49</v>
      </c>
      <c r="I927" s="4" t="str">
        <f t="shared" si="193"/>
        <v>='C:\Users\jaime.benazar\Quorum Business Solutions\Ecopetrol Prometeo - Documents\Planning Space Implementation\3. Analysis &amp; Design\Design\FC22\DRR Jaime\QUIFA-CAJÚA\Cajua\[VAS_CAJUA_CF_SEC_20230125.xlsx]CF PND'!$BW$49</v>
      </c>
      <c r="J927" s="4" t="s">
        <v>586</v>
      </c>
    </row>
    <row r="928" spans="1:10" x14ac:dyDescent="0.2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Jaime\QUIFA-CAJÚA\Cajua\[VAS_CAJUA_CF_SEC_20230125.xlsx]CF PND'!</v>
      </c>
      <c r="G928" s="7" t="s">
        <v>37</v>
      </c>
      <c r="H928" s="4">
        <f t="shared" si="195"/>
        <v>50</v>
      </c>
      <c r="I928" s="4" t="str">
        <f t="shared" si="193"/>
        <v>='C:\Users\jaime.benazar\Quorum Business Solutions\Ecopetrol Prometeo - Documents\Planning Space Implementation\3. Analysis &amp; Design\Design\FC22\DRR Jaime\QUIFA-CAJÚA\Cajua\[VAS_CAJUA_CF_SEC_20230125.xlsx]CF PND'!$BW$50</v>
      </c>
      <c r="J928" s="4" t="s">
        <v>587</v>
      </c>
    </row>
    <row r="929" spans="1:10" x14ac:dyDescent="0.2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Jaime\QUIFA-CAJÚA\Cajua\[VAS_CAJUA_CF_SEC_20230125.xlsx]CF PND'!</v>
      </c>
      <c r="G929" s="7" t="s">
        <v>37</v>
      </c>
      <c r="H929" s="4">
        <f t="shared" si="195"/>
        <v>51</v>
      </c>
      <c r="I929" s="4" t="str">
        <f t="shared" si="193"/>
        <v>='C:\Users\jaime.benazar\Quorum Business Solutions\Ecopetrol Prometeo - Documents\Planning Space Implementation\3. Analysis &amp; Design\Design\FC22\DRR Jaime\QUIFA-CAJÚA\Cajua\[VAS_CAJUA_CF_SEC_20230125.xlsx]CF PND'!$BW$51</v>
      </c>
      <c r="J929" s="4" t="s">
        <v>588</v>
      </c>
    </row>
    <row r="930" spans="1:10" x14ac:dyDescent="0.2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Jaime\QUIFA-CAJÚA\Cajua\[VAS_CAJUA_CF_SEC_20230125.xlsx]CF PND'!</v>
      </c>
      <c r="G930" s="7" t="s">
        <v>37</v>
      </c>
      <c r="H930" s="4">
        <f t="shared" si="195"/>
        <v>52</v>
      </c>
      <c r="I930" s="4" t="str">
        <f t="shared" si="193"/>
        <v>='C:\Users\jaime.benazar\Quorum Business Solutions\Ecopetrol Prometeo - Documents\Planning Space Implementation\3. Analysis &amp; Design\Design\FC22\DRR Jaime\QUIFA-CAJÚA\Cajua\[VAS_CAJUA_CF_SEC_20230125.xlsx]CF PND'!$BW$52</v>
      </c>
      <c r="J930" s="4" t="s">
        <v>589</v>
      </c>
    </row>
    <row r="931" spans="1:10" x14ac:dyDescent="0.2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Jaime\QUIFA-CAJÚA\Cajua\[VAS_CAJUA_CF_SEC_20230125.xlsx]CF PND'!</v>
      </c>
      <c r="G931" s="7" t="s">
        <v>37</v>
      </c>
      <c r="H931" s="4">
        <f t="shared" si="195"/>
        <v>53</v>
      </c>
      <c r="I931" s="4" t="str">
        <f t="shared" si="193"/>
        <v>='C:\Users\jaime.benazar\Quorum Business Solutions\Ecopetrol Prometeo - Documents\Planning Space Implementation\3. Analysis &amp; Design\Design\FC22\DRR Jaime\QUIFA-CAJÚA\Cajua\[VAS_CAJUA_CF_SEC_20230125.xlsx]CF PND'!$BW$53</v>
      </c>
      <c r="J931" s="4" t="s">
        <v>590</v>
      </c>
    </row>
    <row r="932" spans="1:10" x14ac:dyDescent="0.2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Jaime\QUIFA-CAJÚA\Cajua\[VAS_CAJUA_CF_SEC_20230125.xlsx]CF PND'!</v>
      </c>
      <c r="G932" s="7" t="s">
        <v>37</v>
      </c>
      <c r="H932" s="4">
        <f t="shared" si="195"/>
        <v>54</v>
      </c>
      <c r="I932" s="4" t="str">
        <f t="shared" si="193"/>
        <v>='C:\Users\jaime.benazar\Quorum Business Solutions\Ecopetrol Prometeo - Documents\Planning Space Implementation\3. Analysis &amp; Design\Design\FC22\DRR Jaime\QUIFA-CAJÚA\Cajua\[VAS_CAJUA_CF_SEC_20230125.xlsx]CF PND'!$BW$54</v>
      </c>
      <c r="J932" s="4" t="s">
        <v>591</v>
      </c>
    </row>
    <row r="933" spans="1:10" x14ac:dyDescent="0.2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Jaime\QUIFA-CAJÚA\Cajua\[VAS_CAJUA_CF_SEC_20230125.xlsx]CF PND'!</v>
      </c>
      <c r="G933" s="7" t="s">
        <v>37</v>
      </c>
      <c r="H933" s="4">
        <f t="shared" si="195"/>
        <v>55</v>
      </c>
      <c r="I933" s="4" t="str">
        <f t="shared" ref="I933:I1238" si="217">_xlfn.CONCAT("='",F933:H933)</f>
        <v>='C:\Users\jaime.benazar\Quorum Business Solutions\Ecopetrol Prometeo - Documents\Planning Space Implementation\3. Analysis &amp; Design\Design\FC22\DRR Jaime\QUIFA-CAJÚA\Cajua\[VAS_CAJUA_CF_SEC_20230125.xlsx]CF PND'!$BW$55</v>
      </c>
      <c r="J933" s="4" t="s">
        <v>592</v>
      </c>
    </row>
    <row r="934" spans="1:10" x14ac:dyDescent="0.2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Jaime\QUIFA-CAJÚA\Cajua\[VAS_CAJUA_CF_SEC_20230125.xlsx]CF PND'!</v>
      </c>
      <c r="G934" s="7" t="s">
        <v>37</v>
      </c>
      <c r="H934" s="4">
        <f t="shared" ref="H934:H1238" si="218">IF(A934&lt;&gt;A933,36,H933+1)</f>
        <v>56</v>
      </c>
      <c r="I934" s="4" t="str">
        <f t="shared" si="217"/>
        <v>='C:\Users\jaime.benazar\Quorum Business Solutions\Ecopetrol Prometeo - Documents\Planning Space Implementation\3. Analysis &amp; Design\Design\FC22\DRR Jaime\QUIFA-CAJÚA\Cajua\[VAS_CAJUA_CF_SEC_20230125.xlsx]CF PND'!$BW$56</v>
      </c>
      <c r="J934" s="4" t="s">
        <v>593</v>
      </c>
    </row>
    <row r="935" spans="1:10" x14ac:dyDescent="0.2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Jaime\QUIFA-CAJÚA\Cajua\[VAS_CAJUA_CF_SEC_20230125.xlsx]CF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Jaime\QUIFA-CAJÚA\Cajua\[VAS_CAJUA_CF_SEC_20230125.xlsx]CF PND'!$BW$57</v>
      </c>
      <c r="J935" s="4" t="s">
        <v>594</v>
      </c>
    </row>
    <row r="936" spans="1:10" x14ac:dyDescent="0.2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Jaime\QUIFA-CAJÚA\Cajua\[VAS_CAJUA_CF_SEC_20230125.xlsx]CF PND'!</v>
      </c>
      <c r="G936" s="7" t="s">
        <v>37</v>
      </c>
      <c r="H936" s="4">
        <f t="shared" si="221"/>
        <v>58</v>
      </c>
      <c r="I936" s="4" t="str">
        <f t="shared" si="222"/>
        <v>='C:\Users\jaime.benazar\Quorum Business Solutions\Ecopetrol Prometeo - Documents\Planning Space Implementation\3. Analysis &amp; Design\Design\FC22\DRR Jaime\QUIFA-CAJÚA\Cajua\[VAS_CAJUA_CF_SEC_20230125.xlsx]CF PND'!$BW$58</v>
      </c>
      <c r="J936" s="4" t="s">
        <v>595</v>
      </c>
    </row>
    <row r="937" spans="1:10" x14ac:dyDescent="0.2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Jaime\QUIFA-CAJÚA\Cajua\[VAS_CAJUA_CF_SEC_20230125.xlsx]CF PND'!</v>
      </c>
      <c r="G937" s="7" t="s">
        <v>37</v>
      </c>
      <c r="H937" s="4">
        <f t="shared" si="221"/>
        <v>59</v>
      </c>
      <c r="I937" s="4" t="str">
        <f t="shared" si="222"/>
        <v>='C:\Users\jaime.benazar\Quorum Business Solutions\Ecopetrol Prometeo - Documents\Planning Space Implementation\3. Analysis &amp; Design\Design\FC22\DRR Jaime\QUIFA-CAJÚA\Cajua\[VAS_CAJUA_CF_SEC_20230125.xlsx]CF PND'!$BW$59</v>
      </c>
      <c r="J937" s="4" t="s">
        <v>596</v>
      </c>
    </row>
    <row r="938" spans="1:10" x14ac:dyDescent="0.2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Jaime\QUIFA-CAJÚA\Cajua\[VAS_CAJUA_CF_SEC_20230125.xlsx]CF PND'!</v>
      </c>
      <c r="G938" s="7" t="s">
        <v>37</v>
      </c>
      <c r="H938" s="4">
        <f t="shared" si="221"/>
        <v>60</v>
      </c>
      <c r="I938" s="4" t="str">
        <f t="shared" si="222"/>
        <v>='C:\Users\jaime.benazar\Quorum Business Solutions\Ecopetrol Prometeo - Documents\Planning Space Implementation\3. Analysis &amp; Design\Design\FC22\DRR Jaime\QUIFA-CAJÚA\Cajua\[VAS_CAJUA_CF_SEC_20230125.xlsx]CF PND'!$BW$60</v>
      </c>
      <c r="J938" s="4" t="s">
        <v>597</v>
      </c>
    </row>
    <row r="939" spans="1:10" x14ac:dyDescent="0.2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Jaime\QUIFA-CAJÚA\Cajua\[VAS_CAJUA_CF_SEC_20230125.xlsx]CF PND'!</v>
      </c>
      <c r="G939" s="7" t="s">
        <v>37</v>
      </c>
      <c r="H939" s="4">
        <f t="shared" si="221"/>
        <v>61</v>
      </c>
      <c r="I939" s="4" t="str">
        <f t="shared" si="222"/>
        <v>='C:\Users\jaime.benazar\Quorum Business Solutions\Ecopetrol Prometeo - Documents\Planning Space Implementation\3. Analysis &amp; Design\Design\FC22\DRR Jaime\QUIFA-CAJÚA\Cajua\[VAS_CAJUA_CF_SEC_20230125.xlsx]CF PND'!$BW$61</v>
      </c>
      <c r="J939" s="4" t="s">
        <v>598</v>
      </c>
    </row>
    <row r="940" spans="1:10" x14ac:dyDescent="0.2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Jaime\QUIFA-CAJÚA\Cajua\[VAS_CAJUA_CF_SEC_20230125.xlsx]CF PND'!</v>
      </c>
      <c r="G940" s="7" t="s">
        <v>37</v>
      </c>
      <c r="H940" s="4">
        <f t="shared" si="221"/>
        <v>62</v>
      </c>
      <c r="I940" s="4" t="str">
        <f t="shared" si="222"/>
        <v>='C:\Users\jaime.benazar\Quorum Business Solutions\Ecopetrol Prometeo - Documents\Planning Space Implementation\3. Analysis &amp; Design\Design\FC22\DRR Jaime\QUIFA-CAJÚA\Cajua\[VAS_CAJUA_CF_SEC_20230125.xlsx]CF PND'!$BW$62</v>
      </c>
      <c r="J940" s="4" t="s">
        <v>599</v>
      </c>
    </row>
    <row r="941" spans="1:10" x14ac:dyDescent="0.2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Jaime\QUIFA-CAJÚA\Cajua\[VAS_CAJUA_CF_SEC_20230125.xlsx]CF PND'!</v>
      </c>
      <c r="G941" s="7" t="s">
        <v>37</v>
      </c>
      <c r="H941" s="4">
        <f t="shared" si="221"/>
        <v>63</v>
      </c>
      <c r="I941" s="4" t="str">
        <f t="shared" si="222"/>
        <v>='C:\Users\jaime.benazar\Quorum Business Solutions\Ecopetrol Prometeo - Documents\Planning Space Implementation\3. Analysis &amp; Design\Design\FC22\DRR Jaime\QUIFA-CAJÚA\Cajua\[VAS_CAJUA_CF_SEC_20230125.xlsx]CF PND'!$BW$63</v>
      </c>
      <c r="J941" s="4" t="s">
        <v>600</v>
      </c>
    </row>
    <row r="942" spans="1:10" x14ac:dyDescent="0.2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Jaime\QUIFA-CAJÚA\Cajua\[VAS_CAJUA_CF_SEC_20230125.xlsx]CF PND'!</v>
      </c>
      <c r="G942" s="7" t="s">
        <v>37</v>
      </c>
      <c r="H942" s="4">
        <f t="shared" si="221"/>
        <v>64</v>
      </c>
      <c r="I942" s="4" t="str">
        <f t="shared" si="222"/>
        <v>='C:\Users\jaime.benazar\Quorum Business Solutions\Ecopetrol Prometeo - Documents\Planning Space Implementation\3. Analysis &amp; Design\Design\FC22\DRR Jaime\QUIFA-CAJÚA\Cajua\[VAS_CAJUA_CF_SEC_20230125.xlsx]CF PND'!$BW$64</v>
      </c>
      <c r="J942" s="4" t="s">
        <v>601</v>
      </c>
    </row>
    <row r="943" spans="1:10" x14ac:dyDescent="0.2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Jaime\QUIFA-CAJÚA\Cajua\[VAS_CAJUA_CF_SEC_20230125.xlsx]CF PND'!</v>
      </c>
      <c r="G943" s="7" t="s">
        <v>37</v>
      </c>
      <c r="H943" s="4">
        <f t="shared" si="221"/>
        <v>65</v>
      </c>
      <c r="I943" s="4" t="str">
        <f t="shared" si="222"/>
        <v>='C:\Users\jaime.benazar\Quorum Business Solutions\Ecopetrol Prometeo - Documents\Planning Space Implementation\3. Analysis &amp; Design\Design\FC22\DRR Jaime\QUIFA-CAJÚA\Cajua\[VAS_CAJUA_CF_SEC_20230125.xlsx]CF PND'!$BW$65</v>
      </c>
      <c r="J943" s="4" t="s">
        <v>602</v>
      </c>
    </row>
    <row r="944" spans="1:10" x14ac:dyDescent="0.2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Jaime\QUIFA-CAJÚA\Cajua\[VAS_CAJUA_CF_SEC_20230125.xlsx]CF PND'!</v>
      </c>
      <c r="G944" s="7" t="s">
        <v>37</v>
      </c>
      <c r="H944" s="4">
        <f t="shared" si="221"/>
        <v>66</v>
      </c>
      <c r="I944" s="4" t="str">
        <f t="shared" si="222"/>
        <v>='C:\Users\jaime.benazar\Quorum Business Solutions\Ecopetrol Prometeo - Documents\Planning Space Implementation\3. Analysis &amp; Design\Design\FC22\DRR Jaime\QUIFA-CAJÚA\Cajua\[VAS_CAJUA_CF_SEC_20230125.xlsx]CF PND'!$BW$66</v>
      </c>
      <c r="J944" s="4" t="s">
        <v>603</v>
      </c>
    </row>
    <row r="945" spans="1:10" x14ac:dyDescent="0.2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Jaime\QUIFA-CAJÚA\Cajua\[VAS_CAJUA_CF_SEC_20230125.xlsx]CF PND'!</v>
      </c>
      <c r="G945" s="7" t="s">
        <v>37</v>
      </c>
      <c r="H945" s="4">
        <f t="shared" si="221"/>
        <v>67</v>
      </c>
      <c r="I945" s="4" t="str">
        <f t="shared" si="222"/>
        <v>='C:\Users\jaime.benazar\Quorum Business Solutions\Ecopetrol Prometeo - Documents\Planning Space Implementation\3. Analysis &amp; Design\Design\FC22\DRR Jaime\QUIFA-CAJÚA\Cajua\[VAS_CAJUA_CF_SEC_20230125.xlsx]CF PND'!$BW$67</v>
      </c>
      <c r="J945" s="4" t="s">
        <v>604</v>
      </c>
    </row>
    <row r="946" spans="1:10" x14ac:dyDescent="0.2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Jaime\QUIFA-CAJÚA\Cajua\[VAS_CAJUA_CF_SEC_20230125.xlsx]CF PND'!</v>
      </c>
      <c r="G946" s="7" t="s">
        <v>37</v>
      </c>
      <c r="H946" s="4">
        <f t="shared" si="221"/>
        <v>68</v>
      </c>
      <c r="I946" s="4" t="str">
        <f t="shared" si="222"/>
        <v>='C:\Users\jaime.benazar\Quorum Business Solutions\Ecopetrol Prometeo - Documents\Planning Space Implementation\3. Analysis &amp; Design\Design\FC22\DRR Jaime\QUIFA-CAJÚA\Cajua\[VAS_CAJUA_CF_SEC_20230125.xlsx]CF PND'!$BW$68</v>
      </c>
      <c r="J946" s="4" t="s">
        <v>605</v>
      </c>
    </row>
    <row r="947" spans="1:10" x14ac:dyDescent="0.2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Jaime\QUIFA-CAJÚA\Cajua\[VAS_CAJUA_CF_SEC_20230125.xlsx]CF PND'!</v>
      </c>
      <c r="G947" s="7" t="s">
        <v>37</v>
      </c>
      <c r="H947" s="4">
        <f t="shared" si="221"/>
        <v>69</v>
      </c>
      <c r="I947" s="4" t="str">
        <f t="shared" si="222"/>
        <v>='C:\Users\jaime.benazar\Quorum Business Solutions\Ecopetrol Prometeo - Documents\Planning Space Implementation\3. Analysis &amp; Design\Design\FC22\DRR Jaime\QUIFA-CAJÚA\Cajua\[VAS_CAJUA_CF_SEC_20230125.xlsx]CF PND'!$BW$69</v>
      </c>
      <c r="J947" s="4" t="s">
        <v>606</v>
      </c>
    </row>
    <row r="948" spans="1:10" x14ac:dyDescent="0.2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Jaime\QUIFA-CAJÚA\Cajua\[VAS_CAJUA_CF_SEC_20230125.xlsx]CF PND'!</v>
      </c>
      <c r="G948" s="7" t="s">
        <v>37</v>
      </c>
      <c r="H948" s="4">
        <f t="shared" si="221"/>
        <v>70</v>
      </c>
      <c r="I948" s="4" t="str">
        <f t="shared" si="222"/>
        <v>='C:\Users\jaime.benazar\Quorum Business Solutions\Ecopetrol Prometeo - Documents\Planning Space Implementation\3. Analysis &amp; Design\Design\FC22\DRR Jaime\QUIFA-CAJÚA\Cajua\[VAS_CAJUA_CF_SEC_20230125.xlsx]CF PND'!$BW$70</v>
      </c>
      <c r="J948" s="4" t="s">
        <v>607</v>
      </c>
    </row>
    <row r="949" spans="1:10" x14ac:dyDescent="0.2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Jaime\QUIFA-CAJÚA\Cajua\[VAS_CAJUA_CF_SEC_20230125.xlsx]CF PND'!</v>
      </c>
      <c r="G949" s="7" t="s">
        <v>37</v>
      </c>
      <c r="H949" s="4">
        <f t="shared" si="221"/>
        <v>71</v>
      </c>
      <c r="I949" s="4" t="str">
        <f t="shared" si="222"/>
        <v>='C:\Users\jaime.benazar\Quorum Business Solutions\Ecopetrol Prometeo - Documents\Planning Space Implementation\3. Analysis &amp; Design\Design\FC22\DRR Jaime\QUIFA-CAJÚA\Cajua\[VAS_CAJUA_CF_SEC_20230125.xlsx]CF PND'!$BW$71</v>
      </c>
      <c r="J949" s="4" t="s">
        <v>608</v>
      </c>
    </row>
    <row r="950" spans="1:10" x14ac:dyDescent="0.2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Jaime\QUIFA-CAJÚA\Cajua\[VAS_CAJUA_CF_SEC_20230125.xlsx]CF PND'!</v>
      </c>
      <c r="G950" s="7" t="s">
        <v>37</v>
      </c>
      <c r="H950" s="4">
        <f t="shared" si="221"/>
        <v>72</v>
      </c>
      <c r="I950" s="4" t="str">
        <f t="shared" si="222"/>
        <v>='C:\Users\jaime.benazar\Quorum Business Solutions\Ecopetrol Prometeo - Documents\Planning Space Implementation\3. Analysis &amp; Design\Design\FC22\DRR Jaime\QUIFA-CAJÚA\Cajua\[VAS_CAJUA_CF_SEC_20230125.xlsx]CF PND'!$BW$72</v>
      </c>
      <c r="J950" s="4" t="s">
        <v>609</v>
      </c>
    </row>
    <row r="951" spans="1:10" x14ac:dyDescent="0.25">
      <c r="A951" s="7" t="s">
        <v>28</v>
      </c>
      <c r="B951" s="7"/>
      <c r="C951" s="4" t="s">
        <v>11</v>
      </c>
      <c r="D951" s="5"/>
      <c r="E951" s="10"/>
      <c r="F951" s="5" t="str">
        <f t="shared" si="212"/>
        <v xml:space="preserve"> </v>
      </c>
      <c r="G951" s="7"/>
      <c r="H951" s="4"/>
      <c r="I951" s="4"/>
      <c r="J951" s="4"/>
    </row>
    <row r="952" spans="1:10" x14ac:dyDescent="0.2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Jaime\QUIFA-CAJÚA\Cajua\[VAS_CAJUA_CF_SEC_20230125.xlsx]CF PRBDP'!</v>
      </c>
      <c r="G952" s="7" t="s">
        <v>37</v>
      </c>
      <c r="H952" s="4"/>
      <c r="I952" s="4"/>
      <c r="J952" s="4"/>
    </row>
    <row r="953" spans="1:10" x14ac:dyDescent="0.2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Jaime\QUIFA-CAJÚA\Cajua\[VAS_CAJUA_CF_SEC_20230125.xlsx]CF PRBDP'!</v>
      </c>
      <c r="G953" s="7" t="s">
        <v>37</v>
      </c>
      <c r="H953" s="4"/>
      <c r="I953" s="4"/>
      <c r="J953" s="4"/>
    </row>
    <row r="954" spans="1:10" x14ac:dyDescent="0.2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Jaime\QUIFA-CAJÚA\Cajua\[VAS_CAJUA_CF_SEC_20230125.xlsx]CF PRBDP'!</v>
      </c>
      <c r="G954" s="7" t="s">
        <v>37</v>
      </c>
      <c r="H954" s="4"/>
      <c r="I954" s="4"/>
      <c r="J954" s="4"/>
    </row>
    <row r="955" spans="1:10" x14ac:dyDescent="0.2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Jaime\QUIFA-CAJÚA\Cajua\[VAS_CAJUA_CF_SEC_20230125.xlsx]CF PRBDP'!</v>
      </c>
      <c r="G955" s="7" t="s">
        <v>37</v>
      </c>
      <c r="H955" s="4"/>
      <c r="I955" s="4"/>
      <c r="J955" s="4"/>
    </row>
    <row r="956" spans="1:10" x14ac:dyDescent="0.2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Jaime\QUIFA-CAJÚA\Cajua\[VAS_CAJUA_CF_SEC_20230125.xlsx]CF PRBDP'!</v>
      </c>
      <c r="G956" s="7" t="s">
        <v>37</v>
      </c>
      <c r="H956" s="4"/>
      <c r="I956" s="4"/>
      <c r="J956" s="4"/>
    </row>
    <row r="957" spans="1:10" x14ac:dyDescent="0.2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Jaime\QUIFA-CAJÚA\Cajua\[VAS_CAJUA_CF_SEC_20230125.xlsx]CF PRBDP'!</v>
      </c>
      <c r="G957" s="7" t="s">
        <v>37</v>
      </c>
      <c r="H957" s="4"/>
      <c r="I957" s="4"/>
      <c r="J957" s="4"/>
    </row>
    <row r="958" spans="1:10" x14ac:dyDescent="0.2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Jaime\QUIFA-CAJÚA\Cajua\[VAS_CAJUA_CF_SEC_20230125.xlsx]CF PRBDP'!</v>
      </c>
      <c r="G958" s="7" t="s">
        <v>37</v>
      </c>
      <c r="H958" s="4"/>
      <c r="I958" s="4"/>
      <c r="J958" s="4"/>
    </row>
    <row r="959" spans="1:10" x14ac:dyDescent="0.2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Jaime\QUIFA-CAJÚA\Cajua\[VAS_CAJUA_CF_SEC_20230125.xlsx]CF PRBDP'!</v>
      </c>
      <c r="G959" s="7" t="s">
        <v>37</v>
      </c>
      <c r="H959" s="4"/>
      <c r="I959" s="4"/>
      <c r="J959" s="4"/>
    </row>
    <row r="960" spans="1:10" x14ac:dyDescent="0.2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Jaime\QUIFA-CAJÚA\Cajua\[VAS_CAJUA_CF_SEC_20230125.xlsx]CF PRBDP'!</v>
      </c>
      <c r="G960" s="7" t="s">
        <v>37</v>
      </c>
      <c r="H960" s="4"/>
      <c r="I960" s="4"/>
      <c r="J960" s="4"/>
    </row>
    <row r="961" spans="1:10" x14ac:dyDescent="0.2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Jaime\QUIFA-CAJÚA\Cajua\[VAS_CAJUA_CF_SEC_20230125.xlsx]CF PRBDP'!</v>
      </c>
      <c r="G961" s="7" t="s">
        <v>37</v>
      </c>
      <c r="H961" s="4"/>
      <c r="I961" s="4"/>
      <c r="J961" s="4"/>
    </row>
    <row r="962" spans="1:10" x14ac:dyDescent="0.2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Jaime\QUIFA-CAJÚA\Cajua\[VAS_CAJUA_CF_SEC_20230125.xlsx]CF PRBDP'!</v>
      </c>
      <c r="G962" s="7" t="s">
        <v>37</v>
      </c>
      <c r="H962" s="4"/>
      <c r="I962" s="4"/>
      <c r="J962" s="4"/>
    </row>
    <row r="963" spans="1:10" x14ac:dyDescent="0.2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Jaime\QUIFA-CAJÚA\Cajua\[VAS_CAJUA_CF_SEC_20230125.xlsx]CF PRBDP'!</v>
      </c>
      <c r="G963" s="7" t="s">
        <v>37</v>
      </c>
      <c r="H963" s="4"/>
      <c r="I963" s="4"/>
      <c r="J963" s="4"/>
    </row>
    <row r="964" spans="1:10" x14ac:dyDescent="0.2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Jaime\QUIFA-CAJÚA\Cajua\[VAS_CAJUA_CF_SEC_20230125.xlsx]CF PRBDP'!</v>
      </c>
      <c r="G964" s="7" t="s">
        <v>37</v>
      </c>
      <c r="H964" s="4"/>
      <c r="I964" s="4"/>
      <c r="J964" s="4"/>
    </row>
    <row r="965" spans="1:10" x14ac:dyDescent="0.2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Jaime\QUIFA-CAJÚA\Cajua\[VAS_CAJUA_CF_SEC_20230125.xlsx]CF PRBDP'!</v>
      </c>
      <c r="G965" s="7" t="s">
        <v>37</v>
      </c>
      <c r="H965" s="4"/>
      <c r="I965" s="4"/>
      <c r="J965" s="4"/>
    </row>
    <row r="966" spans="1:10" x14ac:dyDescent="0.2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Jaime\QUIFA-CAJÚA\Cajua\[VAS_CAJUA_CF_SEC_20230125.xlsx]CF PRBDP'!</v>
      </c>
      <c r="G966" s="7" t="s">
        <v>37</v>
      </c>
      <c r="H966" s="4"/>
      <c r="I966" s="4"/>
      <c r="J966" s="4"/>
    </row>
    <row r="967" spans="1:10" x14ac:dyDescent="0.2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Jaime\QUIFA-CAJÚA\Cajua\[VAS_CAJUA_CF_SEC_20230125.xlsx]CF PRBDP'!</v>
      </c>
      <c r="G967" s="7" t="s">
        <v>37</v>
      </c>
      <c r="H967" s="4"/>
      <c r="I967" s="4"/>
      <c r="J967" s="4"/>
    </row>
    <row r="968" spans="1:10" x14ac:dyDescent="0.2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Jaime\QUIFA-CAJÚA\Cajua\[VAS_CAJUA_CF_SEC_20230125.xlsx]CF PRBDP'!</v>
      </c>
      <c r="G968" s="7" t="s">
        <v>37</v>
      </c>
      <c r="H968" s="4"/>
      <c r="I968" s="4"/>
      <c r="J968" s="4"/>
    </row>
    <row r="969" spans="1:10" x14ac:dyDescent="0.2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Jaime\QUIFA-CAJÚA\Cajua\[VAS_CAJUA_CF_SEC_20230125.xlsx]CF PRBDP'!</v>
      </c>
      <c r="G969" s="7" t="s">
        <v>37</v>
      </c>
      <c r="H969" s="4"/>
      <c r="I969" s="4"/>
      <c r="J969" s="4"/>
    </row>
    <row r="970" spans="1:10" x14ac:dyDescent="0.2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Jaime\QUIFA-CAJÚA\Cajua\[VAS_CAJUA_CF_SEC_20230125.xlsx]CF PRBDP'!</v>
      </c>
      <c r="G970" s="7" t="s">
        <v>37</v>
      </c>
      <c r="H970" s="4"/>
      <c r="I970" s="4"/>
      <c r="J970" s="4"/>
    </row>
    <row r="971" spans="1:10" x14ac:dyDescent="0.2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Jaime\QUIFA-CAJÚA\Cajua\[VAS_CAJUA_CF_SEC_20230125.xlsx]CF PRBDP'!</v>
      </c>
      <c r="G971" s="7" t="s">
        <v>37</v>
      </c>
      <c r="H971" s="4"/>
      <c r="I971" s="4"/>
      <c r="J971" s="4"/>
    </row>
    <row r="972" spans="1:10" x14ac:dyDescent="0.2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Jaime\QUIFA-CAJÚA\Cajua\[VAS_CAJUA_CF_SEC_20230125.xlsx]CF PRBDP'!</v>
      </c>
      <c r="G972" s="7" t="s">
        <v>37</v>
      </c>
      <c r="H972" s="4"/>
      <c r="I972" s="4"/>
      <c r="J972" s="4"/>
    </row>
    <row r="973" spans="1:10" x14ac:dyDescent="0.2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Jaime\QUIFA-CAJÚA\Cajua\[VAS_CAJUA_CF_SEC_20230125.xlsx]CF PRBDP'!</v>
      </c>
      <c r="G973" s="7" t="s">
        <v>37</v>
      </c>
      <c r="H973" s="4"/>
      <c r="I973" s="4"/>
      <c r="J973" s="4"/>
    </row>
    <row r="974" spans="1:10" x14ac:dyDescent="0.2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Jaime\QUIFA-CAJÚA\Cajua\[VAS_CAJUA_CF_SEC_20230125.xlsx]CF PRBDP'!</v>
      </c>
      <c r="G974" s="7" t="s">
        <v>37</v>
      </c>
      <c r="H974" s="4"/>
      <c r="I974" s="4"/>
      <c r="J974" s="4"/>
    </row>
    <row r="975" spans="1:10" x14ac:dyDescent="0.2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Jaime\QUIFA-CAJÚA\Cajua\[VAS_CAJUA_CF_SEC_20230125.xlsx]CF PRBDP'!</v>
      </c>
      <c r="G975" s="7" t="s">
        <v>37</v>
      </c>
      <c r="H975" s="4"/>
      <c r="I975" s="4"/>
      <c r="J975" s="4"/>
    </row>
    <row r="976" spans="1:10" x14ac:dyDescent="0.2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Jaime\QUIFA-CAJÚA\Cajua\[VAS_CAJUA_CF_SEC_20230125.xlsx]CF PRBDP'!</v>
      </c>
      <c r="G976" s="7" t="s">
        <v>37</v>
      </c>
      <c r="H976" s="4"/>
      <c r="I976" s="4"/>
      <c r="J976" s="4"/>
    </row>
    <row r="977" spans="1:10" x14ac:dyDescent="0.2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Jaime\QUIFA-CAJÚA\Cajua\[VAS_CAJUA_CF_SEC_20230125.xlsx]CF PRBDP'!</v>
      </c>
      <c r="G977" s="7" t="s">
        <v>37</v>
      </c>
      <c r="H977" s="4"/>
      <c r="I977" s="4"/>
      <c r="J977" s="4"/>
    </row>
    <row r="978" spans="1:10" x14ac:dyDescent="0.2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Jaime\QUIFA-CAJÚA\Cajua\[VAS_CAJUA_CF_SEC_20230125.xlsx]CF PRBDP'!</v>
      </c>
      <c r="G978" s="7" t="s">
        <v>37</v>
      </c>
      <c r="H978" s="4"/>
      <c r="I978" s="4"/>
      <c r="J978" s="4"/>
    </row>
    <row r="979" spans="1:10" x14ac:dyDescent="0.2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Jaime\QUIFA-CAJÚA\Cajua\[VAS_CAJUA_CF_SEC_20230125.xlsx]CF PRBDP'!</v>
      </c>
      <c r="G979" s="7" t="s">
        <v>37</v>
      </c>
      <c r="H979" s="4"/>
      <c r="I979" s="4"/>
      <c r="J979" s="4"/>
    </row>
    <row r="980" spans="1:10" x14ac:dyDescent="0.2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Jaime\QUIFA-CAJÚA\Cajua\[VAS_CAJUA_CF_SEC_20230125.xlsx]CF PRBDP'!</v>
      </c>
      <c r="G980" s="7" t="s">
        <v>37</v>
      </c>
      <c r="H980" s="4"/>
      <c r="I980" s="4"/>
      <c r="J980" s="4"/>
    </row>
    <row r="981" spans="1:10" x14ac:dyDescent="0.2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Jaime\QUIFA-CAJÚA\Cajua\[VAS_CAJUA_CF_SEC_20230125.xlsx]CF PRBDP'!</v>
      </c>
      <c r="G981" s="7" t="s">
        <v>37</v>
      </c>
      <c r="H981" s="4"/>
      <c r="I981" s="4"/>
      <c r="J981" s="4"/>
    </row>
    <row r="982" spans="1:10" x14ac:dyDescent="0.2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Jaime\QUIFA-CAJÚA\Cajua\[VAS_CAJUA_CF_SEC_20230125.xlsx]CF PRBDP'!</v>
      </c>
      <c r="G982" s="7" t="s">
        <v>37</v>
      </c>
      <c r="H982" s="4"/>
      <c r="I982" s="4"/>
      <c r="J982" s="4"/>
    </row>
    <row r="983" spans="1:10" x14ac:dyDescent="0.2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Jaime\QUIFA-CAJÚA\Cajua\[VAS_CAJUA_CF_SEC_20230125.xlsx]CF PRBDP'!</v>
      </c>
      <c r="G983" s="7" t="s">
        <v>37</v>
      </c>
      <c r="H983" s="4"/>
      <c r="I983" s="4"/>
      <c r="J983" s="4"/>
    </row>
    <row r="984" spans="1:10" x14ac:dyDescent="0.2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Jaime\QUIFA-CAJÚA\Cajua\[VAS_CAJUA_CF_SEC_20230125.xlsx]CF PRBDP'!</v>
      </c>
      <c r="G984" s="7" t="s">
        <v>37</v>
      </c>
      <c r="H984" s="4"/>
      <c r="I984" s="4"/>
      <c r="J984" s="4"/>
    </row>
    <row r="985" spans="1:10" x14ac:dyDescent="0.2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Jaime\QUIFA-CAJÚA\Cajua\[VAS_CAJUA_CF_SEC_20230125.xlsx]CF PRBDP'!</v>
      </c>
      <c r="G985" s="7" t="s">
        <v>37</v>
      </c>
      <c r="H985" s="4"/>
      <c r="I985" s="4"/>
      <c r="J985" s="4"/>
    </row>
    <row r="986" spans="1:10" x14ac:dyDescent="0.2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Jaime\QUIFA-CAJÚA\Cajua\[VAS_CAJUA_CF_SEC_20230125.xlsx]CF PRBDP'!</v>
      </c>
      <c r="G986" s="7" t="s">
        <v>37</v>
      </c>
      <c r="H986" s="4"/>
      <c r="I986" s="4"/>
      <c r="J986" s="4"/>
    </row>
    <row r="987" spans="1:10" x14ac:dyDescent="0.2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Jaime\QUIFA-CAJÚA\Cajua\[VAS_CAJUA_CF_SEC_20230125.xlsx]CF PRBDP'!</v>
      </c>
      <c r="G987" s="7" t="s">
        <v>37</v>
      </c>
      <c r="H987" s="4"/>
      <c r="I987" s="4"/>
      <c r="J987" s="4"/>
    </row>
    <row r="988" spans="1:10" x14ac:dyDescent="0.2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Jaime\QUIFA-CAJÚA\Cajua\[VAS_CAJUA_CF_SEC_20230125.xlsx]CF PRBDP'!</v>
      </c>
      <c r="G988" s="7" t="s">
        <v>37</v>
      </c>
      <c r="H988" s="4"/>
      <c r="I988" s="4"/>
      <c r="J988" s="4"/>
    </row>
    <row r="989" spans="1:10" x14ac:dyDescent="0.25">
      <c r="A989" s="7" t="s">
        <v>28</v>
      </c>
      <c r="B989" s="7"/>
      <c r="C989" s="4" t="s">
        <v>11</v>
      </c>
      <c r="D989" s="5"/>
      <c r="E989" s="10"/>
      <c r="F989" s="5" t="str">
        <f t="shared" si="212"/>
        <v xml:space="preserve"> </v>
      </c>
      <c r="G989" s="7"/>
      <c r="H989" s="4"/>
      <c r="I989" s="4"/>
      <c r="J989" s="4"/>
    </row>
    <row r="990" spans="1:10" x14ac:dyDescent="0.2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Jaime\QUIFA-CAJÚA\Cajua\[VAS_CAJUA_CF_SEC_20230125.xlsx]CF PRBNP'!</v>
      </c>
      <c r="G990" s="7" t="s">
        <v>37</v>
      </c>
      <c r="H990" s="4"/>
      <c r="I990" s="4"/>
      <c r="J990" s="4"/>
    </row>
    <row r="991" spans="1:10" x14ac:dyDescent="0.2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Jaime\QUIFA-CAJÚA\Cajua\[VAS_CAJUA_CF_SEC_20230125.xlsx]CF PRBNP'!</v>
      </c>
      <c r="G991" s="7" t="s">
        <v>37</v>
      </c>
      <c r="H991" s="4"/>
      <c r="I991" s="4"/>
      <c r="J991" s="4"/>
    </row>
    <row r="992" spans="1:10" x14ac:dyDescent="0.2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Jaime\QUIFA-CAJÚA\Cajua\[VAS_CAJUA_CF_SEC_20230125.xlsx]CF PRBNP'!</v>
      </c>
      <c r="G992" s="7" t="s">
        <v>37</v>
      </c>
      <c r="H992" s="4"/>
      <c r="I992" s="4"/>
      <c r="J992" s="4"/>
    </row>
    <row r="993" spans="1:10" x14ac:dyDescent="0.2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Jaime\QUIFA-CAJÚA\Cajua\[VAS_CAJUA_CF_SEC_20230125.xlsx]CF PRBNP'!</v>
      </c>
      <c r="G993" s="7" t="s">
        <v>37</v>
      </c>
      <c r="H993" s="4"/>
      <c r="I993" s="4"/>
      <c r="J993" s="4"/>
    </row>
    <row r="994" spans="1:10" x14ac:dyDescent="0.2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Jaime\QUIFA-CAJÚA\Cajua\[VAS_CAJUA_CF_SEC_20230125.xlsx]CF PRBNP'!</v>
      </c>
      <c r="G994" s="7" t="s">
        <v>37</v>
      </c>
      <c r="H994" s="4"/>
      <c r="I994" s="4"/>
      <c r="J994" s="4"/>
    </row>
    <row r="995" spans="1:10" x14ac:dyDescent="0.2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Jaime\QUIFA-CAJÚA\Cajua\[VAS_CAJUA_CF_SEC_20230125.xlsx]CF PRBNP'!</v>
      </c>
      <c r="G995" s="7" t="s">
        <v>37</v>
      </c>
      <c r="H995" s="4"/>
      <c r="I995" s="4"/>
      <c r="J995" s="4"/>
    </row>
    <row r="996" spans="1:10" x14ac:dyDescent="0.2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Jaime\QUIFA-CAJÚA\Cajua\[VAS_CAJUA_CF_SEC_20230125.xlsx]CF PRBNP'!</v>
      </c>
      <c r="G996" s="7" t="s">
        <v>37</v>
      </c>
      <c r="H996" s="4"/>
      <c r="I996" s="4"/>
      <c r="J996" s="4"/>
    </row>
    <row r="997" spans="1:10" x14ac:dyDescent="0.2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Jaime\QUIFA-CAJÚA\Cajua\[VAS_CAJUA_CF_SEC_20230125.xlsx]CF PRBNP'!</v>
      </c>
      <c r="G997" s="7" t="s">
        <v>37</v>
      </c>
      <c r="H997" s="4"/>
      <c r="I997" s="4"/>
      <c r="J997" s="4"/>
    </row>
    <row r="998" spans="1:10" x14ac:dyDescent="0.2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Jaime\QUIFA-CAJÚA\Cajua\[VAS_CAJUA_CF_SEC_20230125.xlsx]CF PRBNP'!</v>
      </c>
      <c r="G998" s="7" t="s">
        <v>37</v>
      </c>
      <c r="H998" s="4"/>
      <c r="I998" s="4"/>
      <c r="J998" s="4"/>
    </row>
    <row r="999" spans="1:10" x14ac:dyDescent="0.2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Jaime\QUIFA-CAJÚA\Cajua\[VAS_CAJUA_CF_SEC_20230125.xlsx]CF PRBNP'!</v>
      </c>
      <c r="G999" s="7" t="s">
        <v>37</v>
      </c>
      <c r="H999" s="4"/>
      <c r="I999" s="4"/>
      <c r="J999" s="4"/>
    </row>
    <row r="1000" spans="1:10" x14ac:dyDescent="0.2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Jaime\QUIFA-CAJÚA\Cajua\[VAS_CAJUA_CF_SEC_20230125.xlsx]CF PRBNP'!</v>
      </c>
      <c r="G1000" s="7" t="s">
        <v>37</v>
      </c>
      <c r="H1000" s="4"/>
      <c r="I1000" s="4"/>
      <c r="J1000" s="4"/>
    </row>
    <row r="1001" spans="1:10" x14ac:dyDescent="0.2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Jaime\QUIFA-CAJÚA\Cajua\[VAS_CAJUA_CF_SEC_20230125.xlsx]CF PRBNP'!</v>
      </c>
      <c r="G1001" s="7" t="s">
        <v>37</v>
      </c>
      <c r="H1001" s="4"/>
      <c r="I1001" s="4"/>
      <c r="J1001" s="4"/>
    </row>
    <row r="1002" spans="1:10" x14ac:dyDescent="0.2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Jaime\QUIFA-CAJÚA\Cajua\[VAS_CAJUA_CF_SEC_20230125.xlsx]CF PRBNP'!</v>
      </c>
      <c r="G1002" s="7" t="s">
        <v>37</v>
      </c>
      <c r="H1002" s="4"/>
      <c r="I1002" s="4"/>
      <c r="J1002" s="4"/>
    </row>
    <row r="1003" spans="1:10" x14ac:dyDescent="0.2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Jaime\QUIFA-CAJÚA\Cajua\[VAS_CAJUA_CF_SEC_20230125.xlsx]CF PRBNP'!</v>
      </c>
      <c r="G1003" s="7" t="s">
        <v>37</v>
      </c>
      <c r="H1003" s="4"/>
      <c r="I1003" s="4"/>
      <c r="J1003" s="4"/>
    </row>
    <row r="1004" spans="1:10" x14ac:dyDescent="0.2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Jaime\QUIFA-CAJÚA\Cajua\[VAS_CAJUA_CF_SEC_20230125.xlsx]CF PRBNP'!</v>
      </c>
      <c r="G1004" s="7" t="s">
        <v>37</v>
      </c>
      <c r="H1004" s="4"/>
      <c r="I1004" s="4"/>
      <c r="J1004" s="4"/>
    </row>
    <row r="1005" spans="1:10" x14ac:dyDescent="0.2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Jaime\QUIFA-CAJÚA\Cajua\[VAS_CAJUA_CF_SEC_20230125.xlsx]CF PRBNP'!</v>
      </c>
      <c r="G1005" s="7" t="s">
        <v>37</v>
      </c>
      <c r="H1005" s="4"/>
      <c r="I1005" s="4"/>
      <c r="J1005" s="4"/>
    </row>
    <row r="1006" spans="1:10" x14ac:dyDescent="0.2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Jaime\QUIFA-CAJÚA\Cajua\[VAS_CAJUA_CF_SEC_20230125.xlsx]CF PRBNP'!</v>
      </c>
      <c r="G1006" s="7" t="s">
        <v>37</v>
      </c>
      <c r="H1006" s="4"/>
      <c r="I1006" s="4"/>
      <c r="J1006" s="4"/>
    </row>
    <row r="1007" spans="1:10" x14ac:dyDescent="0.2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Jaime\QUIFA-CAJÚA\Cajua\[VAS_CAJUA_CF_SEC_20230125.xlsx]CF PRBNP'!</v>
      </c>
      <c r="G1007" s="7" t="s">
        <v>37</v>
      </c>
      <c r="H1007" s="4"/>
      <c r="I1007" s="4"/>
      <c r="J1007" s="4"/>
    </row>
    <row r="1008" spans="1:10" x14ac:dyDescent="0.2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Jaime\QUIFA-CAJÚA\Cajua\[VAS_CAJUA_CF_SEC_20230125.xlsx]CF PRBNP'!</v>
      </c>
      <c r="G1008" s="7" t="s">
        <v>37</v>
      </c>
      <c r="H1008" s="4"/>
      <c r="I1008" s="4"/>
      <c r="J1008" s="4"/>
    </row>
    <row r="1009" spans="1:10" x14ac:dyDescent="0.2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Jaime\QUIFA-CAJÚA\Cajua\[VAS_CAJUA_CF_SEC_20230125.xlsx]CF PRBNP'!</v>
      </c>
      <c r="G1009" s="7" t="s">
        <v>37</v>
      </c>
      <c r="H1009" s="4"/>
      <c r="I1009" s="4"/>
      <c r="J1009" s="4"/>
    </row>
    <row r="1010" spans="1:10" x14ac:dyDescent="0.2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Jaime\QUIFA-CAJÚA\Cajua\[VAS_CAJUA_CF_SEC_20230125.xlsx]CF PRBNP'!</v>
      </c>
      <c r="G1010" s="7" t="s">
        <v>37</v>
      </c>
      <c r="H1010" s="4"/>
      <c r="I1010" s="4"/>
      <c r="J1010" s="4"/>
    </row>
    <row r="1011" spans="1:10" x14ac:dyDescent="0.2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Jaime\QUIFA-CAJÚA\Cajua\[VAS_CAJUA_CF_SEC_20230125.xlsx]CF PRBNP'!</v>
      </c>
      <c r="G1011" s="7" t="s">
        <v>37</v>
      </c>
      <c r="H1011" s="4"/>
      <c r="I1011" s="4"/>
      <c r="J1011" s="4"/>
    </row>
    <row r="1012" spans="1:10" x14ac:dyDescent="0.2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Jaime\QUIFA-CAJÚA\Cajua\[VAS_CAJUA_CF_SEC_20230125.xlsx]CF PRBNP'!</v>
      </c>
      <c r="G1012" s="7" t="s">
        <v>37</v>
      </c>
      <c r="H1012" s="4"/>
      <c r="I1012" s="4"/>
      <c r="J1012" s="4"/>
    </row>
    <row r="1013" spans="1:10" x14ac:dyDescent="0.2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Jaime\QUIFA-CAJÚA\Cajua\[VAS_CAJUA_CF_SEC_20230125.xlsx]CF PRBNP'!</v>
      </c>
      <c r="G1013" s="7" t="s">
        <v>37</v>
      </c>
      <c r="H1013" s="4"/>
      <c r="I1013" s="4"/>
      <c r="J1013" s="4"/>
    </row>
    <row r="1014" spans="1:10" x14ac:dyDescent="0.2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Jaime\QUIFA-CAJÚA\Cajua\[VAS_CAJUA_CF_SEC_20230125.xlsx]CF PRBNP'!</v>
      </c>
      <c r="G1014" s="7" t="s">
        <v>37</v>
      </c>
      <c r="H1014" s="4"/>
      <c r="I1014" s="4"/>
      <c r="J1014" s="4"/>
    </row>
    <row r="1015" spans="1:10" x14ac:dyDescent="0.2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Jaime\QUIFA-CAJÚA\Cajua\[VAS_CAJUA_CF_SEC_20230125.xlsx]CF PRBNP'!</v>
      </c>
      <c r="G1015" s="7" t="s">
        <v>37</v>
      </c>
      <c r="H1015" s="4"/>
      <c r="I1015" s="4"/>
      <c r="J1015" s="4"/>
    </row>
    <row r="1016" spans="1:10" x14ac:dyDescent="0.2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Jaime\QUIFA-CAJÚA\Cajua\[VAS_CAJUA_CF_SEC_20230125.xlsx]CF PRBNP'!</v>
      </c>
      <c r="G1016" s="7" t="s">
        <v>37</v>
      </c>
      <c r="H1016" s="4"/>
      <c r="I1016" s="4"/>
      <c r="J1016" s="4"/>
    </row>
    <row r="1017" spans="1:10" x14ac:dyDescent="0.2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Jaime\QUIFA-CAJÚA\Cajua\[VAS_CAJUA_CF_SEC_20230125.xlsx]CF PRBNP'!</v>
      </c>
      <c r="G1017" s="7" t="s">
        <v>37</v>
      </c>
      <c r="H1017" s="4"/>
      <c r="I1017" s="4"/>
      <c r="J1017" s="4"/>
    </row>
    <row r="1018" spans="1:10" x14ac:dyDescent="0.2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Jaime\QUIFA-CAJÚA\Cajua\[VAS_CAJUA_CF_SEC_20230125.xlsx]CF PRBNP'!</v>
      </c>
      <c r="G1018" s="7" t="s">
        <v>37</v>
      </c>
      <c r="H1018" s="4"/>
      <c r="I1018" s="4"/>
      <c r="J1018" s="4"/>
    </row>
    <row r="1019" spans="1:10" x14ac:dyDescent="0.2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Jaime\QUIFA-CAJÚA\Cajua\[VAS_CAJUA_CF_SEC_20230125.xlsx]CF PRBNP'!</v>
      </c>
      <c r="G1019" s="7" t="s">
        <v>37</v>
      </c>
      <c r="H1019" s="4"/>
      <c r="I1019" s="4"/>
      <c r="J1019" s="4"/>
    </row>
    <row r="1020" spans="1:10" x14ac:dyDescent="0.2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Jaime\QUIFA-CAJÚA\Cajua\[VAS_CAJUA_CF_SEC_20230125.xlsx]CF PRBNP'!</v>
      </c>
      <c r="G1020" s="7" t="s">
        <v>37</v>
      </c>
      <c r="H1020" s="4"/>
      <c r="I1020" s="4"/>
      <c r="J1020" s="4"/>
    </row>
    <row r="1021" spans="1:10" x14ac:dyDescent="0.2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Jaime\QUIFA-CAJÚA\Cajua\[VAS_CAJUA_CF_SEC_20230125.xlsx]CF PRBNP'!</v>
      </c>
      <c r="G1021" s="7" t="s">
        <v>37</v>
      </c>
      <c r="H1021" s="4"/>
      <c r="I1021" s="4"/>
      <c r="J1021" s="4"/>
    </row>
    <row r="1022" spans="1:10" x14ac:dyDescent="0.2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Jaime\QUIFA-CAJÚA\Cajua\[VAS_CAJUA_CF_SEC_20230125.xlsx]CF PRBNP'!</v>
      </c>
      <c r="G1022" s="7" t="s">
        <v>37</v>
      </c>
      <c r="H1022" s="4"/>
      <c r="I1022" s="4"/>
      <c r="J1022" s="4"/>
    </row>
    <row r="1023" spans="1:10" x14ac:dyDescent="0.2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Jaime\QUIFA-CAJÚA\Cajua\[VAS_CAJUA_CF_SEC_20230125.xlsx]CF PRBNP'!</v>
      </c>
      <c r="G1023" s="7" t="s">
        <v>37</v>
      </c>
      <c r="H1023" s="4"/>
      <c r="I1023" s="4"/>
      <c r="J1023" s="4"/>
    </row>
    <row r="1024" spans="1:10" x14ac:dyDescent="0.2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Jaime\QUIFA-CAJÚA\Cajua\[VAS_CAJUA_CF_SEC_20230125.xlsx]CF PRBNP'!</v>
      </c>
      <c r="G1024" s="7" t="s">
        <v>37</v>
      </c>
      <c r="H1024" s="4"/>
      <c r="I1024" s="4"/>
      <c r="J1024" s="4"/>
    </row>
    <row r="1025" spans="1:10" x14ac:dyDescent="0.2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Jaime\QUIFA-CAJÚA\Cajua\[VAS_CAJUA_CF_SEC_20230125.xlsx]CF PRBNP'!</v>
      </c>
      <c r="G1025" s="7" t="s">
        <v>37</v>
      </c>
      <c r="H1025" s="4"/>
      <c r="I1025" s="4"/>
      <c r="J1025" s="4"/>
    </row>
    <row r="1026" spans="1:10" x14ac:dyDescent="0.2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Jaime\QUIFA-CAJÚA\Cajua\[VAS_CAJUA_CF_SEC_20230125.xlsx]CF PRBNP'!</v>
      </c>
      <c r="G1026" s="7" t="s">
        <v>37</v>
      </c>
      <c r="H1026" s="4"/>
      <c r="I1026" s="4"/>
      <c r="J1026" s="4"/>
    </row>
    <row r="1027" spans="1:10" x14ac:dyDescent="0.25">
      <c r="A1027" s="7" t="s">
        <v>28</v>
      </c>
      <c r="B1027" s="7"/>
      <c r="C1027" s="4" t="s">
        <v>11</v>
      </c>
      <c r="D1027" s="5"/>
      <c r="E1027" s="10"/>
      <c r="F1027" s="5" t="str">
        <f t="shared" si="234"/>
        <v xml:space="preserve"> </v>
      </c>
      <c r="G1027" s="7"/>
      <c r="H1027" s="4"/>
      <c r="I1027" s="4"/>
      <c r="J1027" s="4"/>
    </row>
    <row r="1028" spans="1:10" x14ac:dyDescent="0.2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Jaime\QUIFA-CAJÚA\Cajua\[VAS_CAJUA_CF_SEC_20230125.xlsx]CF PRBND'!</v>
      </c>
      <c r="G1028" s="7" t="s">
        <v>37</v>
      </c>
      <c r="H1028" s="4"/>
      <c r="I1028" s="4"/>
      <c r="J1028" s="4"/>
    </row>
    <row r="1029" spans="1:10" x14ac:dyDescent="0.2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Jaime\QUIFA-CAJÚA\Cajua\[VAS_CAJUA_CF_SEC_20230125.xlsx]CF PRBND'!</v>
      </c>
      <c r="G1029" s="7" t="s">
        <v>37</v>
      </c>
      <c r="H1029" s="4"/>
      <c r="I1029" s="4"/>
      <c r="J1029" s="4"/>
    </row>
    <row r="1030" spans="1:10" x14ac:dyDescent="0.2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Jaime\QUIFA-CAJÚA\Cajua\[VAS_CAJUA_CF_SEC_20230125.xlsx]CF PRBND'!</v>
      </c>
      <c r="G1030" s="7" t="s">
        <v>37</v>
      </c>
      <c r="H1030" s="4"/>
      <c r="I1030" s="4"/>
      <c r="J1030" s="4"/>
    </row>
    <row r="1031" spans="1:10" x14ac:dyDescent="0.2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Jaime\QUIFA-CAJÚA\Cajua\[VAS_CAJUA_CF_SEC_20230125.xlsx]CF PRBND'!</v>
      </c>
      <c r="G1031" s="7" t="s">
        <v>37</v>
      </c>
      <c r="H1031" s="4"/>
      <c r="I1031" s="4"/>
      <c r="J1031" s="4"/>
    </row>
    <row r="1032" spans="1:10" x14ac:dyDescent="0.2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Jaime\QUIFA-CAJÚA\Cajua\[VAS_CAJUA_CF_SEC_20230125.xlsx]CF PRBND'!</v>
      </c>
      <c r="G1032" s="7" t="s">
        <v>37</v>
      </c>
      <c r="H1032" s="4"/>
      <c r="I1032" s="4"/>
      <c r="J1032" s="4"/>
    </row>
    <row r="1033" spans="1:10" x14ac:dyDescent="0.2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Jaime\QUIFA-CAJÚA\Cajua\[VAS_CAJUA_CF_SEC_20230125.xlsx]CF PRBND'!</v>
      </c>
      <c r="G1033" s="7" t="s">
        <v>37</v>
      </c>
      <c r="H1033" s="4"/>
      <c r="I1033" s="4"/>
      <c r="J1033" s="4"/>
    </row>
    <row r="1034" spans="1:10" x14ac:dyDescent="0.2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Jaime\QUIFA-CAJÚA\Cajua\[VAS_CAJUA_CF_SEC_20230125.xlsx]CF PRBND'!</v>
      </c>
      <c r="G1034" s="7" t="s">
        <v>37</v>
      </c>
      <c r="H1034" s="4"/>
      <c r="I1034" s="4"/>
      <c r="J1034" s="4"/>
    </row>
    <row r="1035" spans="1:10" x14ac:dyDescent="0.2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Jaime\QUIFA-CAJÚA\Cajua\[VAS_CAJUA_CF_SEC_20230125.xlsx]CF PRBND'!</v>
      </c>
      <c r="G1035" s="7" t="s">
        <v>37</v>
      </c>
      <c r="H1035" s="4"/>
      <c r="I1035" s="4"/>
      <c r="J1035" s="4"/>
    </row>
    <row r="1036" spans="1:10" x14ac:dyDescent="0.2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Jaime\QUIFA-CAJÚA\Cajua\[VAS_CAJUA_CF_SEC_20230125.xlsx]CF PRBND'!</v>
      </c>
      <c r="G1036" s="7" t="s">
        <v>37</v>
      </c>
      <c r="H1036" s="4"/>
      <c r="I1036" s="4"/>
      <c r="J1036" s="4"/>
    </row>
    <row r="1037" spans="1:10" x14ac:dyDescent="0.2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Jaime\QUIFA-CAJÚA\Cajua\[VAS_CAJUA_CF_SEC_20230125.xlsx]CF PRBND'!</v>
      </c>
      <c r="G1037" s="7" t="s">
        <v>37</v>
      </c>
      <c r="H1037" s="4"/>
      <c r="I1037" s="4"/>
      <c r="J1037" s="4"/>
    </row>
    <row r="1038" spans="1:10" x14ac:dyDescent="0.2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Jaime\QUIFA-CAJÚA\Cajua\[VAS_CAJUA_CF_SEC_20230125.xlsx]CF PRBND'!</v>
      </c>
      <c r="G1038" s="7" t="s">
        <v>37</v>
      </c>
      <c r="H1038" s="4"/>
      <c r="I1038" s="4"/>
      <c r="J1038" s="4"/>
    </row>
    <row r="1039" spans="1:10" x14ac:dyDescent="0.2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Jaime\QUIFA-CAJÚA\Cajua\[VAS_CAJUA_CF_SEC_20230125.xlsx]CF PRBND'!</v>
      </c>
      <c r="G1039" s="7" t="s">
        <v>37</v>
      </c>
      <c r="H1039" s="4"/>
      <c r="I1039" s="4"/>
      <c r="J1039" s="4"/>
    </row>
    <row r="1040" spans="1:10" x14ac:dyDescent="0.2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Jaime\QUIFA-CAJÚA\Cajua\[VAS_CAJUA_CF_SEC_20230125.xlsx]CF PRBND'!</v>
      </c>
      <c r="G1040" s="7" t="s">
        <v>37</v>
      </c>
      <c r="H1040" s="4"/>
      <c r="I1040" s="4"/>
      <c r="J1040" s="4"/>
    </row>
    <row r="1041" spans="1:10" x14ac:dyDescent="0.2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Jaime\QUIFA-CAJÚA\Cajua\[VAS_CAJUA_CF_SEC_20230125.xlsx]CF PRBND'!</v>
      </c>
      <c r="G1041" s="7" t="s">
        <v>37</v>
      </c>
      <c r="H1041" s="4"/>
      <c r="I1041" s="4"/>
      <c r="J1041" s="4"/>
    </row>
    <row r="1042" spans="1:10" x14ac:dyDescent="0.2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Jaime\QUIFA-CAJÚA\Cajua\[VAS_CAJUA_CF_SEC_20230125.xlsx]CF PRBND'!</v>
      </c>
      <c r="G1042" s="7" t="s">
        <v>37</v>
      </c>
      <c r="H1042" s="4"/>
      <c r="I1042" s="4"/>
      <c r="J1042" s="4"/>
    </row>
    <row r="1043" spans="1:10" x14ac:dyDescent="0.2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Jaime\QUIFA-CAJÚA\Cajua\[VAS_CAJUA_CF_SEC_20230125.xlsx]CF PRBND'!</v>
      </c>
      <c r="G1043" s="7" t="s">
        <v>37</v>
      </c>
      <c r="H1043" s="4"/>
      <c r="I1043" s="4"/>
      <c r="J1043" s="4"/>
    </row>
    <row r="1044" spans="1:10" x14ac:dyDescent="0.2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Jaime\QUIFA-CAJÚA\Cajua\[VAS_CAJUA_CF_SEC_20230125.xlsx]CF PRBND'!</v>
      </c>
      <c r="G1044" s="7" t="s">
        <v>37</v>
      </c>
      <c r="H1044" s="4"/>
      <c r="I1044" s="4"/>
      <c r="J1044" s="4"/>
    </row>
    <row r="1045" spans="1:10" x14ac:dyDescent="0.2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Jaime\QUIFA-CAJÚA\Cajua\[VAS_CAJUA_CF_SEC_20230125.xlsx]CF PRBND'!</v>
      </c>
      <c r="G1045" s="7" t="s">
        <v>37</v>
      </c>
      <c r="H1045" s="4"/>
      <c r="I1045" s="4"/>
      <c r="J1045" s="4"/>
    </row>
    <row r="1046" spans="1:10" x14ac:dyDescent="0.2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Jaime\QUIFA-CAJÚA\Cajua\[VAS_CAJUA_CF_SEC_20230125.xlsx]CF PRBND'!</v>
      </c>
      <c r="G1046" s="7" t="s">
        <v>37</v>
      </c>
      <c r="H1046" s="4"/>
      <c r="I1046" s="4"/>
      <c r="J1046" s="4"/>
    </row>
    <row r="1047" spans="1:10" x14ac:dyDescent="0.2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Jaime\QUIFA-CAJÚA\Cajua\[VAS_CAJUA_CF_SEC_20230125.xlsx]CF PRBND'!</v>
      </c>
      <c r="G1047" s="7" t="s">
        <v>37</v>
      </c>
      <c r="H1047" s="4"/>
      <c r="I1047" s="4"/>
      <c r="J1047" s="4"/>
    </row>
    <row r="1048" spans="1:10" x14ac:dyDescent="0.2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Jaime\QUIFA-CAJÚA\Cajua\[VAS_CAJUA_CF_SEC_20230125.xlsx]CF PRBND'!</v>
      </c>
      <c r="G1048" s="7" t="s">
        <v>37</v>
      </c>
      <c r="H1048" s="4"/>
      <c r="I1048" s="4"/>
      <c r="J1048" s="4"/>
    </row>
    <row r="1049" spans="1:10" x14ac:dyDescent="0.2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Jaime\QUIFA-CAJÚA\Cajua\[VAS_CAJUA_CF_SEC_20230125.xlsx]CF PRBND'!</v>
      </c>
      <c r="G1049" s="7" t="s">
        <v>37</v>
      </c>
      <c r="H1049" s="4"/>
      <c r="I1049" s="4"/>
      <c r="J1049" s="4"/>
    </row>
    <row r="1050" spans="1:10" x14ac:dyDescent="0.2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Jaime\QUIFA-CAJÚA\Cajua\[VAS_CAJUA_CF_SEC_20230125.xlsx]CF PRBND'!</v>
      </c>
      <c r="G1050" s="7" t="s">
        <v>37</v>
      </c>
      <c r="H1050" s="4"/>
      <c r="I1050" s="4"/>
      <c r="J1050" s="4"/>
    </row>
    <row r="1051" spans="1:10" x14ac:dyDescent="0.2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Jaime\QUIFA-CAJÚA\Cajua\[VAS_CAJUA_CF_SEC_20230125.xlsx]CF PRBND'!</v>
      </c>
      <c r="G1051" s="7" t="s">
        <v>37</v>
      </c>
      <c r="H1051" s="4"/>
      <c r="I1051" s="4"/>
      <c r="J1051" s="4"/>
    </row>
    <row r="1052" spans="1:10" x14ac:dyDescent="0.2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Jaime\QUIFA-CAJÚA\Cajua\[VAS_CAJUA_CF_SEC_20230125.xlsx]CF PRBND'!</v>
      </c>
      <c r="G1052" s="7" t="s">
        <v>37</v>
      </c>
      <c r="H1052" s="4"/>
      <c r="I1052" s="4"/>
      <c r="J1052" s="4"/>
    </row>
    <row r="1053" spans="1:10" x14ac:dyDescent="0.2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Jaime\QUIFA-CAJÚA\Cajua\[VAS_CAJUA_CF_SEC_20230125.xlsx]CF PRBND'!</v>
      </c>
      <c r="G1053" s="7" t="s">
        <v>37</v>
      </c>
      <c r="H1053" s="4"/>
      <c r="I1053" s="4"/>
      <c r="J1053" s="4"/>
    </row>
    <row r="1054" spans="1:10" x14ac:dyDescent="0.2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Jaime\QUIFA-CAJÚA\Cajua\[VAS_CAJUA_CF_SEC_20230125.xlsx]CF PRBND'!</v>
      </c>
      <c r="G1054" s="7" t="s">
        <v>37</v>
      </c>
      <c r="H1054" s="4"/>
      <c r="I1054" s="4"/>
      <c r="J1054" s="4"/>
    </row>
    <row r="1055" spans="1:10" x14ac:dyDescent="0.2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Jaime\QUIFA-CAJÚA\Cajua\[VAS_CAJUA_CF_SEC_20230125.xlsx]CF PRBND'!</v>
      </c>
      <c r="G1055" s="7" t="s">
        <v>37</v>
      </c>
      <c r="H1055" s="4"/>
      <c r="I1055" s="4"/>
      <c r="J1055" s="4"/>
    </row>
    <row r="1056" spans="1:10" x14ac:dyDescent="0.2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Jaime\QUIFA-CAJÚA\Cajua\[VAS_CAJUA_CF_SEC_20230125.xlsx]CF PRBND'!</v>
      </c>
      <c r="G1056" s="7" t="s">
        <v>37</v>
      </c>
      <c r="H1056" s="4"/>
      <c r="I1056" s="4"/>
      <c r="J1056" s="4"/>
    </row>
    <row r="1057" spans="1:10" x14ac:dyDescent="0.2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Jaime\QUIFA-CAJÚA\Cajua\[VAS_CAJUA_CF_SEC_20230125.xlsx]CF PRBND'!</v>
      </c>
      <c r="G1057" s="7" t="s">
        <v>37</v>
      </c>
      <c r="H1057" s="4"/>
      <c r="I1057" s="4"/>
      <c r="J1057" s="4"/>
    </row>
    <row r="1058" spans="1:10" x14ac:dyDescent="0.2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Jaime\QUIFA-CAJÚA\Cajua\[VAS_CAJUA_CF_SEC_20230125.xlsx]CF PRBND'!</v>
      </c>
      <c r="G1058" s="7" t="s">
        <v>37</v>
      </c>
      <c r="H1058" s="4"/>
      <c r="I1058" s="4"/>
      <c r="J1058" s="4"/>
    </row>
    <row r="1059" spans="1:10" x14ac:dyDescent="0.2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Jaime\QUIFA-CAJÚA\Cajua\[VAS_CAJUA_CF_SEC_20230125.xlsx]CF PRBND'!</v>
      </c>
      <c r="G1059" s="7" t="s">
        <v>37</v>
      </c>
      <c r="H1059" s="4"/>
      <c r="I1059" s="4"/>
      <c r="J1059" s="4"/>
    </row>
    <row r="1060" spans="1:10" x14ac:dyDescent="0.2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Jaime\QUIFA-CAJÚA\Cajua\[VAS_CAJUA_CF_SEC_20230125.xlsx]CF PRBND'!</v>
      </c>
      <c r="G1060" s="7" t="s">
        <v>37</v>
      </c>
      <c r="H1060" s="4"/>
      <c r="I1060" s="4"/>
      <c r="J1060" s="4"/>
    </row>
    <row r="1061" spans="1:10" x14ac:dyDescent="0.2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Jaime\QUIFA-CAJÚA\Cajua\[VAS_CAJUA_CF_SEC_20230125.xlsx]CF PRBND'!</v>
      </c>
      <c r="G1061" s="7" t="s">
        <v>37</v>
      </c>
      <c r="H1061" s="4"/>
      <c r="I1061" s="4"/>
      <c r="J1061" s="4"/>
    </row>
    <row r="1062" spans="1:10" x14ac:dyDescent="0.2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Jaime\QUIFA-CAJÚA\Cajua\[VAS_CAJUA_CF_SEC_20230125.xlsx]CF PRBND'!</v>
      </c>
      <c r="G1062" s="7" t="s">
        <v>37</v>
      </c>
      <c r="H1062" s="4"/>
      <c r="I1062" s="4"/>
      <c r="J1062" s="4"/>
    </row>
    <row r="1063" spans="1:10" x14ac:dyDescent="0.2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Jaime\QUIFA-CAJÚA\Cajua\[VAS_CAJUA_CF_SEC_20230125.xlsx]CF PRBND'!</v>
      </c>
      <c r="G1063" s="7" t="s">
        <v>37</v>
      </c>
      <c r="H1063" s="4"/>
      <c r="I1063" s="4"/>
      <c r="J1063" s="4"/>
    </row>
    <row r="1064" spans="1:10" x14ac:dyDescent="0.2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Jaime\QUIFA-CAJÚA\Cajua\[VAS_CAJUA_CF_SEC_20230125.xlsx]CF PRBND'!</v>
      </c>
      <c r="G1064" s="7" t="s">
        <v>37</v>
      </c>
      <c r="H1064" s="4"/>
      <c r="I1064" s="4"/>
      <c r="J1064" s="4"/>
    </row>
    <row r="1065" spans="1:10" x14ac:dyDescent="0.25">
      <c r="A1065" s="7" t="s">
        <v>28</v>
      </c>
      <c r="B1065" s="7"/>
      <c r="C1065" s="4" t="s">
        <v>11</v>
      </c>
      <c r="D1065" s="5"/>
      <c r="E1065" s="10"/>
      <c r="F1065" s="5" t="str">
        <f t="shared" si="234"/>
        <v xml:space="preserve"> </v>
      </c>
      <c r="G1065" s="7"/>
      <c r="H1065" s="4"/>
      <c r="I1065" s="4"/>
      <c r="J1065" s="4"/>
    </row>
    <row r="1066" spans="1:10" x14ac:dyDescent="0.2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Jaime\QUIFA-CAJÚA\Cajua\[VAS_CAJUA_CF_SEC_20230125.xlsx]CF PRB'!</v>
      </c>
      <c r="G1066" s="7" t="s">
        <v>37</v>
      </c>
      <c r="H1066" s="4">
        <f>IF(A1066&lt;&gt;A936,36,H936+1)</f>
        <v>36</v>
      </c>
      <c r="I1066" s="4" t="str">
        <f t="shared" si="217"/>
        <v>='C:\Users\jaime.benazar\Quorum Business Solutions\Ecopetrol Prometeo - Documents\Planning Space Implementation\3. Analysis &amp; Design\Design\FC22\DRR Jaime\QUIFA-CAJÚA\Cajua\[VAS_CAJUA_CF_SEC_20230125.xlsx]CF PRB'!$BW$36</v>
      </c>
      <c r="J1066" s="4" t="s">
        <v>610</v>
      </c>
    </row>
    <row r="1067" spans="1:10" x14ac:dyDescent="0.2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Jaime\QUIFA-CAJÚA\Cajua\[VAS_CAJUA_CF_SEC_20230125.xlsx]CF PRB'!</v>
      </c>
      <c r="G1067" s="7" t="s">
        <v>37</v>
      </c>
      <c r="H1067" s="4">
        <f t="shared" si="218"/>
        <v>37</v>
      </c>
      <c r="I1067" s="4" t="str">
        <f t="shared" si="217"/>
        <v>='C:\Users\jaime.benazar\Quorum Business Solutions\Ecopetrol Prometeo - Documents\Planning Space Implementation\3. Analysis &amp; Design\Design\FC22\DRR Jaime\QUIFA-CAJÚA\Cajua\[VAS_CAJUA_CF_SEC_20230125.xlsx]CF PRB'!$BW$37</v>
      </c>
      <c r="J1067" s="4" t="s">
        <v>611</v>
      </c>
    </row>
    <row r="1068" spans="1:10" x14ac:dyDescent="0.2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Jaime\QUIFA-CAJÚA\Cajua\[VAS_CAJUA_CF_SEC_20230125.xlsx]CF PRB'!</v>
      </c>
      <c r="G1068" s="7" t="s">
        <v>37</v>
      </c>
      <c r="H1068" s="4">
        <f t="shared" si="218"/>
        <v>38</v>
      </c>
      <c r="I1068" s="4" t="str">
        <f t="shared" si="217"/>
        <v>='C:\Users\jaime.benazar\Quorum Business Solutions\Ecopetrol Prometeo - Documents\Planning Space Implementation\3. Analysis &amp; Design\Design\FC22\DRR Jaime\QUIFA-CAJÚA\Cajua\[VAS_CAJUA_CF_SEC_20230125.xlsx]CF PRB'!$BW$38</v>
      </c>
      <c r="J1068" s="4" t="s">
        <v>612</v>
      </c>
    </row>
    <row r="1069" spans="1:10" x14ac:dyDescent="0.2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Jaime\QUIFA-CAJÚA\Cajua\[VAS_CAJUA_CF_SEC_20230125.xlsx]CF PRB'!</v>
      </c>
      <c r="G1069" s="7" t="s">
        <v>37</v>
      </c>
      <c r="H1069" s="4">
        <f t="shared" si="218"/>
        <v>39</v>
      </c>
      <c r="I1069" s="4" t="str">
        <f t="shared" si="217"/>
        <v>='C:\Users\jaime.benazar\Quorum Business Solutions\Ecopetrol Prometeo - Documents\Planning Space Implementation\3. Analysis &amp; Design\Design\FC22\DRR Jaime\QUIFA-CAJÚA\Cajua\[VAS_CAJUA_CF_SEC_20230125.xlsx]CF PRB'!$BW$39</v>
      </c>
      <c r="J1069" s="4" t="s">
        <v>613</v>
      </c>
    </row>
    <row r="1070" spans="1:10" x14ac:dyDescent="0.2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Jaime\QUIFA-CAJÚA\Cajua\[VAS_CAJUA_CF_SEC_20230125.xlsx]CF PRB'!</v>
      </c>
      <c r="G1070" s="7" t="s">
        <v>37</v>
      </c>
      <c r="H1070" s="4">
        <f t="shared" si="218"/>
        <v>40</v>
      </c>
      <c r="I1070" s="4" t="str">
        <f t="shared" si="217"/>
        <v>='C:\Users\jaime.benazar\Quorum Business Solutions\Ecopetrol Prometeo - Documents\Planning Space Implementation\3. Analysis &amp; Design\Design\FC22\DRR Jaime\QUIFA-CAJÚA\Cajua\[VAS_CAJUA_CF_SEC_20230125.xlsx]CF PRB'!$BW$40</v>
      </c>
      <c r="J1070" s="4" t="s">
        <v>614</v>
      </c>
    </row>
    <row r="1071" spans="1:10" x14ac:dyDescent="0.2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Jaime\QUIFA-CAJÚA\Cajua\[VAS_CAJUA_CF_SEC_20230125.xlsx]CF PRB'!</v>
      </c>
      <c r="G1071" s="7" t="s">
        <v>37</v>
      </c>
      <c r="H1071" s="4">
        <f t="shared" si="218"/>
        <v>41</v>
      </c>
      <c r="I1071" s="4" t="str">
        <f t="shared" si="217"/>
        <v>='C:\Users\jaime.benazar\Quorum Business Solutions\Ecopetrol Prometeo - Documents\Planning Space Implementation\3. Analysis &amp; Design\Design\FC22\DRR Jaime\QUIFA-CAJÚA\Cajua\[VAS_CAJUA_CF_SEC_20230125.xlsx]CF PRB'!$BW$41</v>
      </c>
      <c r="J1071" s="4" t="s">
        <v>615</v>
      </c>
    </row>
    <row r="1072" spans="1:10" x14ac:dyDescent="0.2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Jaime\QUIFA-CAJÚA\Cajua\[VAS_CAJUA_CF_SEC_20230125.xlsx]CF PRB'!</v>
      </c>
      <c r="G1072" s="7" t="s">
        <v>37</v>
      </c>
      <c r="H1072" s="4">
        <f t="shared" si="218"/>
        <v>42</v>
      </c>
      <c r="I1072" s="4" t="str">
        <f t="shared" si="217"/>
        <v>='C:\Users\jaime.benazar\Quorum Business Solutions\Ecopetrol Prometeo - Documents\Planning Space Implementation\3. Analysis &amp; Design\Design\FC22\DRR Jaime\QUIFA-CAJÚA\Cajua\[VAS_CAJUA_CF_SEC_20230125.xlsx]CF PRB'!$BW$42</v>
      </c>
      <c r="J1072" s="4" t="s">
        <v>616</v>
      </c>
    </row>
    <row r="1073" spans="1:10" x14ac:dyDescent="0.2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Jaime\QUIFA-CAJÚA\Cajua\[VAS_CAJUA_CF_SEC_20230125.xlsx]CF PRB'!</v>
      </c>
      <c r="G1073" s="7" t="s">
        <v>37</v>
      </c>
      <c r="H1073" s="4">
        <f t="shared" si="218"/>
        <v>43</v>
      </c>
      <c r="I1073" s="4" t="str">
        <f t="shared" si="217"/>
        <v>='C:\Users\jaime.benazar\Quorum Business Solutions\Ecopetrol Prometeo - Documents\Planning Space Implementation\3. Analysis &amp; Design\Design\FC22\DRR Jaime\QUIFA-CAJÚA\Cajua\[VAS_CAJUA_CF_SEC_20230125.xlsx]CF PRB'!$BW$43</v>
      </c>
      <c r="J1073" s="4" t="s">
        <v>617</v>
      </c>
    </row>
    <row r="1074" spans="1:10" x14ac:dyDescent="0.2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Jaime\QUIFA-CAJÚA\Cajua\[VAS_CAJUA_CF_SEC_20230125.xlsx]CF PRB'!</v>
      </c>
      <c r="G1074" s="7" t="s">
        <v>37</v>
      </c>
      <c r="H1074" s="4">
        <f t="shared" si="218"/>
        <v>44</v>
      </c>
      <c r="I1074" s="4" t="str">
        <f t="shared" si="217"/>
        <v>='C:\Users\jaime.benazar\Quorum Business Solutions\Ecopetrol Prometeo - Documents\Planning Space Implementation\3. Analysis &amp; Design\Design\FC22\DRR Jaime\QUIFA-CAJÚA\Cajua\[VAS_CAJUA_CF_SEC_20230125.xlsx]CF PRB'!$BW$44</v>
      </c>
      <c r="J1074" s="4" t="s">
        <v>618</v>
      </c>
    </row>
    <row r="1075" spans="1:10" x14ac:dyDescent="0.2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Jaime\QUIFA-CAJÚA\Cajua\[VAS_CAJUA_CF_SEC_20230125.xlsx]CF PRB'!</v>
      </c>
      <c r="G1075" s="7" t="s">
        <v>37</v>
      </c>
      <c r="H1075" s="4">
        <f t="shared" si="218"/>
        <v>45</v>
      </c>
      <c r="I1075" s="4" t="str">
        <f t="shared" si="217"/>
        <v>='C:\Users\jaime.benazar\Quorum Business Solutions\Ecopetrol Prometeo - Documents\Planning Space Implementation\3. Analysis &amp; Design\Design\FC22\DRR Jaime\QUIFA-CAJÚA\Cajua\[VAS_CAJUA_CF_SEC_20230125.xlsx]CF PRB'!$BW$45</v>
      </c>
      <c r="J1075" s="4" t="s">
        <v>619</v>
      </c>
    </row>
    <row r="1076" spans="1:10" x14ac:dyDescent="0.2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Jaime\QUIFA-CAJÚA\Cajua\[VAS_CAJUA_CF_SEC_20230125.xlsx]CF PRB'!</v>
      </c>
      <c r="G1076" s="7" t="s">
        <v>37</v>
      </c>
      <c r="H1076" s="4">
        <f t="shared" si="218"/>
        <v>46</v>
      </c>
      <c r="I1076" s="4" t="str">
        <f t="shared" si="217"/>
        <v>='C:\Users\jaime.benazar\Quorum Business Solutions\Ecopetrol Prometeo - Documents\Planning Space Implementation\3. Analysis &amp; Design\Design\FC22\DRR Jaime\QUIFA-CAJÚA\Cajua\[VAS_CAJUA_CF_SEC_20230125.xlsx]CF PRB'!$BW$46</v>
      </c>
      <c r="J1076" s="4" t="s">
        <v>620</v>
      </c>
    </row>
    <row r="1077" spans="1:10" x14ac:dyDescent="0.2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Jaime\QUIFA-CAJÚA\Cajua\[VAS_CAJUA_CF_SEC_20230125.xlsx]CF PRB'!</v>
      </c>
      <c r="G1077" s="7" t="s">
        <v>37</v>
      </c>
      <c r="H1077" s="4">
        <f t="shared" si="218"/>
        <v>47</v>
      </c>
      <c r="I1077" s="4" t="str">
        <f t="shared" si="217"/>
        <v>='C:\Users\jaime.benazar\Quorum Business Solutions\Ecopetrol Prometeo - Documents\Planning Space Implementation\3. Analysis &amp; Design\Design\FC22\DRR Jaime\QUIFA-CAJÚA\Cajua\[VAS_CAJUA_CF_SEC_20230125.xlsx]CF PRB'!$BW$47</v>
      </c>
      <c r="J1077" s="4" t="s">
        <v>621</v>
      </c>
    </row>
    <row r="1078" spans="1:10" x14ac:dyDescent="0.2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Jaime\QUIFA-CAJÚA\Cajua\[VAS_CAJUA_CF_SEC_20230125.xlsx]CF PRB'!</v>
      </c>
      <c r="G1078" s="7" t="s">
        <v>37</v>
      </c>
      <c r="H1078" s="4">
        <f t="shared" si="218"/>
        <v>48</v>
      </c>
      <c r="I1078" s="4" t="str">
        <f t="shared" si="217"/>
        <v>='C:\Users\jaime.benazar\Quorum Business Solutions\Ecopetrol Prometeo - Documents\Planning Space Implementation\3. Analysis &amp; Design\Design\FC22\DRR Jaime\QUIFA-CAJÚA\Cajua\[VAS_CAJUA_CF_SEC_20230125.xlsx]CF PRB'!$BW$48</v>
      </c>
      <c r="J1078" s="4" t="s">
        <v>622</v>
      </c>
    </row>
    <row r="1079" spans="1:10" x14ac:dyDescent="0.2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Jaime\QUIFA-CAJÚA\Cajua\[VAS_CAJUA_CF_SEC_20230125.xlsx]CF PRB'!</v>
      </c>
      <c r="G1079" s="7" t="s">
        <v>37</v>
      </c>
      <c r="H1079" s="4">
        <f t="shared" si="218"/>
        <v>49</v>
      </c>
      <c r="I1079" s="4" t="str">
        <f t="shared" si="217"/>
        <v>='C:\Users\jaime.benazar\Quorum Business Solutions\Ecopetrol Prometeo - Documents\Planning Space Implementation\3. Analysis &amp; Design\Design\FC22\DRR Jaime\QUIFA-CAJÚA\Cajua\[VAS_CAJUA_CF_SEC_20230125.xlsx]CF PRB'!$BW$49</v>
      </c>
      <c r="J1079" s="4" t="s">
        <v>623</v>
      </c>
    </row>
    <row r="1080" spans="1:10" x14ac:dyDescent="0.2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Jaime\QUIFA-CAJÚA\Cajua\[VAS_CAJUA_CF_SEC_20230125.xlsx]CF PRB'!</v>
      </c>
      <c r="G1080" s="7" t="s">
        <v>37</v>
      </c>
      <c r="H1080" s="4">
        <f t="shared" si="218"/>
        <v>50</v>
      </c>
      <c r="I1080" s="4" t="str">
        <f t="shared" si="217"/>
        <v>='C:\Users\jaime.benazar\Quorum Business Solutions\Ecopetrol Prometeo - Documents\Planning Space Implementation\3. Analysis &amp; Design\Design\FC22\DRR Jaime\QUIFA-CAJÚA\Cajua\[VAS_CAJUA_CF_SEC_20230125.xlsx]CF PRB'!$BW$50</v>
      </c>
      <c r="J1080" s="4" t="s">
        <v>624</v>
      </c>
    </row>
    <row r="1081" spans="1:10" x14ac:dyDescent="0.2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Jaime\QUIFA-CAJÚA\Cajua\[VAS_CAJUA_CF_SEC_20230125.xlsx]CF PRB'!</v>
      </c>
      <c r="G1081" s="7" t="s">
        <v>37</v>
      </c>
      <c r="H1081" s="4">
        <f t="shared" si="218"/>
        <v>51</v>
      </c>
      <c r="I1081" s="4" t="str">
        <f t="shared" si="217"/>
        <v>='C:\Users\jaime.benazar\Quorum Business Solutions\Ecopetrol Prometeo - Documents\Planning Space Implementation\3. Analysis &amp; Design\Design\FC22\DRR Jaime\QUIFA-CAJÚA\Cajua\[VAS_CAJUA_CF_SEC_20230125.xlsx]CF PRB'!$BW$51</v>
      </c>
      <c r="J1081" s="4" t="s">
        <v>625</v>
      </c>
    </row>
    <row r="1082" spans="1:10" x14ac:dyDescent="0.2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Jaime\QUIFA-CAJÚA\Cajua\[VAS_CAJUA_CF_SEC_20230125.xlsx]CF PRB'!</v>
      </c>
      <c r="G1082" s="7" t="s">
        <v>37</v>
      </c>
      <c r="H1082" s="4">
        <f t="shared" si="218"/>
        <v>52</v>
      </c>
      <c r="I1082" s="4" t="str">
        <f t="shared" si="217"/>
        <v>='C:\Users\jaime.benazar\Quorum Business Solutions\Ecopetrol Prometeo - Documents\Planning Space Implementation\3. Analysis &amp; Design\Design\FC22\DRR Jaime\QUIFA-CAJÚA\Cajua\[VAS_CAJUA_CF_SEC_20230125.xlsx]CF PRB'!$BW$52</v>
      </c>
      <c r="J1082" s="4" t="s">
        <v>626</v>
      </c>
    </row>
    <row r="1083" spans="1:10" x14ac:dyDescent="0.2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Jaime\QUIFA-CAJÚA\Cajua\[VAS_CAJUA_CF_SEC_20230125.xlsx]CF PRB'!</v>
      </c>
      <c r="G1083" s="7" t="s">
        <v>37</v>
      </c>
      <c r="H1083" s="4">
        <f t="shared" si="218"/>
        <v>53</v>
      </c>
      <c r="I1083" s="4" t="str">
        <f t="shared" si="217"/>
        <v>='C:\Users\jaime.benazar\Quorum Business Solutions\Ecopetrol Prometeo - Documents\Planning Space Implementation\3. Analysis &amp; Design\Design\FC22\DRR Jaime\QUIFA-CAJÚA\Cajua\[VAS_CAJUA_CF_SEC_20230125.xlsx]CF PRB'!$BW$53</v>
      </c>
      <c r="J1083" s="4" t="s">
        <v>627</v>
      </c>
    </row>
    <row r="1084" spans="1:10" x14ac:dyDescent="0.2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Jaime\QUIFA-CAJÚA\Cajua\[VAS_CAJUA_CF_SEC_20230125.xlsx]CF PRB'!</v>
      </c>
      <c r="G1084" s="7" t="s">
        <v>37</v>
      </c>
      <c r="H1084" s="4">
        <f t="shared" si="218"/>
        <v>54</v>
      </c>
      <c r="I1084" s="4" t="str">
        <f t="shared" si="217"/>
        <v>='C:\Users\jaime.benazar\Quorum Business Solutions\Ecopetrol Prometeo - Documents\Planning Space Implementation\3. Analysis &amp; Design\Design\FC22\DRR Jaime\QUIFA-CAJÚA\Cajua\[VAS_CAJUA_CF_SEC_20230125.xlsx]CF PRB'!$BW$54</v>
      </c>
      <c r="J1084" s="4" t="s">
        <v>628</v>
      </c>
    </row>
    <row r="1085" spans="1:10" x14ac:dyDescent="0.2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Jaime\QUIFA-CAJÚA\Cajua\[VAS_CAJUA_CF_SEC_20230125.xlsx]CF PRB'!</v>
      </c>
      <c r="G1085" s="7" t="s">
        <v>37</v>
      </c>
      <c r="H1085" s="4">
        <f t="shared" si="218"/>
        <v>55</v>
      </c>
      <c r="I1085" s="4" t="str">
        <f t="shared" si="217"/>
        <v>='C:\Users\jaime.benazar\Quorum Business Solutions\Ecopetrol Prometeo - Documents\Planning Space Implementation\3. Analysis &amp; Design\Design\FC22\DRR Jaime\QUIFA-CAJÚA\Cajua\[VAS_CAJUA_CF_SEC_20230125.xlsx]CF PRB'!$BW$55</v>
      </c>
      <c r="J1085" s="4" t="s">
        <v>629</v>
      </c>
    </row>
    <row r="1086" spans="1:10" x14ac:dyDescent="0.2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Jaime\QUIFA-CAJÚA\Cajua\[VAS_CAJUA_CF_SEC_20230125.xlsx]CF PRB'!</v>
      </c>
      <c r="G1086" s="7" t="s">
        <v>37</v>
      </c>
      <c r="H1086" s="4">
        <f t="shared" si="218"/>
        <v>56</v>
      </c>
      <c r="I1086" s="4" t="str">
        <f t="shared" si="217"/>
        <v>='C:\Users\jaime.benazar\Quorum Business Solutions\Ecopetrol Prometeo - Documents\Planning Space Implementation\3. Analysis &amp; Design\Design\FC22\DRR Jaime\QUIFA-CAJÚA\Cajua\[VAS_CAJUA_CF_SEC_20230125.xlsx]CF PRB'!$BW$56</v>
      </c>
      <c r="J1086" s="4" t="s">
        <v>630</v>
      </c>
    </row>
    <row r="1087" spans="1:10" x14ac:dyDescent="0.2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Jaime\QUIFA-CAJÚA\Cajua\[VAS_CAJUA_CF_SEC_20230125.xlsx]CF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Jaime\QUIFA-CAJÚA\Cajua\[VAS_CAJUA_CF_SEC_20230125.xlsx]CF PRB'!$BW$57</v>
      </c>
      <c r="J1087" s="4" t="s">
        <v>631</v>
      </c>
    </row>
    <row r="1088" spans="1:10" x14ac:dyDescent="0.2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Jaime\QUIFA-CAJÚA\Cajua\[VAS_CAJUA_CF_SEC_20230125.xlsx]CF PRB'!</v>
      </c>
      <c r="G1088" s="7" t="s">
        <v>37</v>
      </c>
      <c r="H1088" s="4">
        <f t="shared" si="251"/>
        <v>58</v>
      </c>
      <c r="I1088" s="4" t="str">
        <f t="shared" si="252"/>
        <v>='C:\Users\jaime.benazar\Quorum Business Solutions\Ecopetrol Prometeo - Documents\Planning Space Implementation\3. Analysis &amp; Design\Design\FC22\DRR Jaime\QUIFA-CAJÚA\Cajua\[VAS_CAJUA_CF_SEC_20230125.xlsx]CF PRB'!$BW$58</v>
      </c>
      <c r="J1088" s="4" t="s">
        <v>632</v>
      </c>
    </row>
    <row r="1089" spans="1:10" x14ac:dyDescent="0.2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Jaime\QUIFA-CAJÚA\Cajua\[VAS_CAJUA_CF_SEC_20230125.xlsx]CF PRB'!</v>
      </c>
      <c r="G1089" s="7" t="s">
        <v>37</v>
      </c>
      <c r="H1089" s="4">
        <f t="shared" si="251"/>
        <v>59</v>
      </c>
      <c r="I1089" s="4" t="str">
        <f t="shared" si="252"/>
        <v>='C:\Users\jaime.benazar\Quorum Business Solutions\Ecopetrol Prometeo - Documents\Planning Space Implementation\3. Analysis &amp; Design\Design\FC22\DRR Jaime\QUIFA-CAJÚA\Cajua\[VAS_CAJUA_CF_SEC_20230125.xlsx]CF PRB'!$BW$59</v>
      </c>
      <c r="J1089" s="4" t="s">
        <v>633</v>
      </c>
    </row>
    <row r="1090" spans="1:10" x14ac:dyDescent="0.2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Jaime\QUIFA-CAJÚA\Cajua\[VAS_CAJUA_CF_SEC_20230125.xlsx]CF PRB'!</v>
      </c>
      <c r="G1090" s="7" t="s">
        <v>37</v>
      </c>
      <c r="H1090" s="4">
        <f t="shared" si="251"/>
        <v>60</v>
      </c>
      <c r="I1090" s="4" t="str">
        <f t="shared" si="252"/>
        <v>='C:\Users\jaime.benazar\Quorum Business Solutions\Ecopetrol Prometeo - Documents\Planning Space Implementation\3. Analysis &amp; Design\Design\FC22\DRR Jaime\QUIFA-CAJÚA\Cajua\[VAS_CAJUA_CF_SEC_20230125.xlsx]CF PRB'!$BW$60</v>
      </c>
      <c r="J1090" s="4" t="s">
        <v>634</v>
      </c>
    </row>
    <row r="1091" spans="1:10" x14ac:dyDescent="0.2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Jaime\QUIFA-CAJÚA\Cajua\[VAS_CAJUA_CF_SEC_20230125.xlsx]CF PRB'!</v>
      </c>
      <c r="G1091" s="7" t="s">
        <v>37</v>
      </c>
      <c r="H1091" s="4">
        <f t="shared" si="251"/>
        <v>61</v>
      </c>
      <c r="I1091" s="4" t="str">
        <f t="shared" si="252"/>
        <v>='C:\Users\jaime.benazar\Quorum Business Solutions\Ecopetrol Prometeo - Documents\Planning Space Implementation\3. Analysis &amp; Design\Design\FC22\DRR Jaime\QUIFA-CAJÚA\Cajua\[VAS_CAJUA_CF_SEC_20230125.xlsx]CF PRB'!$BW$61</v>
      </c>
      <c r="J1091" s="4" t="s">
        <v>635</v>
      </c>
    </row>
    <row r="1092" spans="1:10" x14ac:dyDescent="0.2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Jaime\QUIFA-CAJÚA\Cajua\[VAS_CAJUA_CF_SEC_20230125.xlsx]CF PRB'!</v>
      </c>
      <c r="G1092" s="7" t="s">
        <v>37</v>
      </c>
      <c r="H1092" s="4">
        <f t="shared" si="251"/>
        <v>62</v>
      </c>
      <c r="I1092" s="4" t="str">
        <f t="shared" si="252"/>
        <v>='C:\Users\jaime.benazar\Quorum Business Solutions\Ecopetrol Prometeo - Documents\Planning Space Implementation\3. Analysis &amp; Design\Design\FC22\DRR Jaime\QUIFA-CAJÚA\Cajua\[VAS_CAJUA_CF_SEC_20230125.xlsx]CF PRB'!$BW$62</v>
      </c>
      <c r="J1092" s="4" t="s">
        <v>636</v>
      </c>
    </row>
    <row r="1093" spans="1:10" x14ac:dyDescent="0.2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Jaime\QUIFA-CAJÚA\Cajua\[VAS_CAJUA_CF_SEC_20230125.xlsx]CF PRB'!</v>
      </c>
      <c r="G1093" s="7" t="s">
        <v>37</v>
      </c>
      <c r="H1093" s="4">
        <f t="shared" si="251"/>
        <v>63</v>
      </c>
      <c r="I1093" s="4" t="str">
        <f t="shared" si="252"/>
        <v>='C:\Users\jaime.benazar\Quorum Business Solutions\Ecopetrol Prometeo - Documents\Planning Space Implementation\3. Analysis &amp; Design\Design\FC22\DRR Jaime\QUIFA-CAJÚA\Cajua\[VAS_CAJUA_CF_SEC_20230125.xlsx]CF PRB'!$BW$63</v>
      </c>
      <c r="J1093" s="4" t="s">
        <v>637</v>
      </c>
    </row>
    <row r="1094" spans="1:10" x14ac:dyDescent="0.2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Jaime\QUIFA-CAJÚA\Cajua\[VAS_CAJUA_CF_SEC_20230125.xlsx]CF PRB'!</v>
      </c>
      <c r="G1094" s="7" t="s">
        <v>37</v>
      </c>
      <c r="H1094" s="4">
        <f t="shared" si="251"/>
        <v>64</v>
      </c>
      <c r="I1094" s="4" t="str">
        <f t="shared" si="252"/>
        <v>='C:\Users\jaime.benazar\Quorum Business Solutions\Ecopetrol Prometeo - Documents\Planning Space Implementation\3. Analysis &amp; Design\Design\FC22\DRR Jaime\QUIFA-CAJÚA\Cajua\[VAS_CAJUA_CF_SEC_20230125.xlsx]CF PRB'!$BW$64</v>
      </c>
      <c r="J1094" s="4" t="s">
        <v>638</v>
      </c>
    </row>
    <row r="1095" spans="1:10" x14ac:dyDescent="0.2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Jaime\QUIFA-CAJÚA\Cajua\[VAS_CAJUA_CF_SEC_20230125.xlsx]CF PRB'!</v>
      </c>
      <c r="G1095" s="7" t="s">
        <v>37</v>
      </c>
      <c r="H1095" s="4">
        <f t="shared" si="251"/>
        <v>65</v>
      </c>
      <c r="I1095" s="4" t="str">
        <f t="shared" si="252"/>
        <v>='C:\Users\jaime.benazar\Quorum Business Solutions\Ecopetrol Prometeo - Documents\Planning Space Implementation\3. Analysis &amp; Design\Design\FC22\DRR Jaime\QUIFA-CAJÚA\Cajua\[VAS_CAJUA_CF_SEC_20230125.xlsx]CF PRB'!$BW$65</v>
      </c>
      <c r="J1095" s="4" t="s">
        <v>639</v>
      </c>
    </row>
    <row r="1096" spans="1:10" x14ac:dyDescent="0.2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Jaime\QUIFA-CAJÚA\Cajua\[VAS_CAJUA_CF_SEC_20230125.xlsx]CF PRB'!</v>
      </c>
      <c r="G1096" s="7" t="s">
        <v>37</v>
      </c>
      <c r="H1096" s="4">
        <f t="shared" si="251"/>
        <v>66</v>
      </c>
      <c r="I1096" s="4" t="str">
        <f t="shared" si="252"/>
        <v>='C:\Users\jaime.benazar\Quorum Business Solutions\Ecopetrol Prometeo - Documents\Planning Space Implementation\3. Analysis &amp; Design\Design\FC22\DRR Jaime\QUIFA-CAJÚA\Cajua\[VAS_CAJUA_CF_SEC_20230125.xlsx]CF PRB'!$BW$66</v>
      </c>
      <c r="J1096" s="4" t="s">
        <v>640</v>
      </c>
    </row>
    <row r="1097" spans="1:10" x14ac:dyDescent="0.2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Jaime\QUIFA-CAJÚA\Cajua\[VAS_CAJUA_CF_SEC_20230125.xlsx]CF PRB'!</v>
      </c>
      <c r="G1097" s="7" t="s">
        <v>37</v>
      </c>
      <c r="H1097" s="4">
        <f t="shared" si="251"/>
        <v>67</v>
      </c>
      <c r="I1097" s="4" t="str">
        <f t="shared" si="252"/>
        <v>='C:\Users\jaime.benazar\Quorum Business Solutions\Ecopetrol Prometeo - Documents\Planning Space Implementation\3. Analysis &amp; Design\Design\FC22\DRR Jaime\QUIFA-CAJÚA\Cajua\[VAS_CAJUA_CF_SEC_20230125.xlsx]CF PRB'!$BW$67</v>
      </c>
      <c r="J1097" s="4" t="s">
        <v>641</v>
      </c>
    </row>
    <row r="1098" spans="1:10" x14ac:dyDescent="0.2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Jaime\QUIFA-CAJÚA\Cajua\[VAS_CAJUA_CF_SEC_20230125.xlsx]CF PRB'!</v>
      </c>
      <c r="G1098" s="7" t="s">
        <v>37</v>
      </c>
      <c r="H1098" s="4">
        <f t="shared" si="251"/>
        <v>68</v>
      </c>
      <c r="I1098" s="4" t="str">
        <f t="shared" si="252"/>
        <v>='C:\Users\jaime.benazar\Quorum Business Solutions\Ecopetrol Prometeo - Documents\Planning Space Implementation\3. Analysis &amp; Design\Design\FC22\DRR Jaime\QUIFA-CAJÚA\Cajua\[VAS_CAJUA_CF_SEC_20230125.xlsx]CF PRB'!$BW$68</v>
      </c>
      <c r="J1098" s="4" t="s">
        <v>642</v>
      </c>
    </row>
    <row r="1099" spans="1:10" x14ac:dyDescent="0.2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Jaime\QUIFA-CAJÚA\Cajua\[VAS_CAJUA_CF_SEC_20230125.xlsx]CF PRB'!</v>
      </c>
      <c r="G1099" s="7" t="s">
        <v>37</v>
      </c>
      <c r="H1099" s="4">
        <f t="shared" si="251"/>
        <v>69</v>
      </c>
      <c r="I1099" s="4" t="str">
        <f t="shared" si="252"/>
        <v>='C:\Users\jaime.benazar\Quorum Business Solutions\Ecopetrol Prometeo - Documents\Planning Space Implementation\3. Analysis &amp; Design\Design\FC22\DRR Jaime\QUIFA-CAJÚA\Cajua\[VAS_CAJUA_CF_SEC_20230125.xlsx]CF PRB'!$BW$69</v>
      </c>
      <c r="J1099" s="4" t="s">
        <v>643</v>
      </c>
    </row>
    <row r="1100" spans="1:10" x14ac:dyDescent="0.2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Jaime\QUIFA-CAJÚA\Cajua\[VAS_CAJUA_CF_SEC_20230125.xlsx]CF PRB'!</v>
      </c>
      <c r="G1100" s="7" t="s">
        <v>37</v>
      </c>
      <c r="H1100" s="4">
        <f t="shared" si="251"/>
        <v>70</v>
      </c>
      <c r="I1100" s="4" t="str">
        <f t="shared" si="252"/>
        <v>='C:\Users\jaime.benazar\Quorum Business Solutions\Ecopetrol Prometeo - Documents\Planning Space Implementation\3. Analysis &amp; Design\Design\FC22\DRR Jaime\QUIFA-CAJÚA\Cajua\[VAS_CAJUA_CF_SEC_20230125.xlsx]CF PRB'!$BW$70</v>
      </c>
      <c r="J1100" s="4" t="s">
        <v>644</v>
      </c>
    </row>
    <row r="1101" spans="1:10" x14ac:dyDescent="0.2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Jaime\QUIFA-CAJÚA\Cajua\[VAS_CAJUA_CF_SEC_20230125.xlsx]CF PRB'!</v>
      </c>
      <c r="G1101" s="7" t="s">
        <v>37</v>
      </c>
      <c r="H1101" s="4">
        <f t="shared" si="251"/>
        <v>71</v>
      </c>
      <c r="I1101" s="4" t="str">
        <f t="shared" si="252"/>
        <v>='C:\Users\jaime.benazar\Quorum Business Solutions\Ecopetrol Prometeo - Documents\Planning Space Implementation\3. Analysis &amp; Design\Design\FC22\DRR Jaime\QUIFA-CAJÚA\Cajua\[VAS_CAJUA_CF_SEC_20230125.xlsx]CF PRB'!$BW$71</v>
      </c>
      <c r="J1101" s="4" t="s">
        <v>645</v>
      </c>
    </row>
    <row r="1102" spans="1:10" x14ac:dyDescent="0.2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Jaime\QUIFA-CAJÚA\Cajua\[VAS_CAJUA_CF_SEC_20230125.xlsx]CF PRB'!</v>
      </c>
      <c r="G1102" s="7" t="s">
        <v>37</v>
      </c>
      <c r="H1102" s="4">
        <f t="shared" si="251"/>
        <v>72</v>
      </c>
      <c r="I1102" s="4" t="str">
        <f t="shared" si="252"/>
        <v>='C:\Users\jaime.benazar\Quorum Business Solutions\Ecopetrol Prometeo - Documents\Planning Space Implementation\3. Analysis &amp; Design\Design\FC22\DRR Jaime\QUIFA-CAJÚA\Cajua\[VAS_CAJUA_CF_SEC_20230125.xlsx]CF PRB'!$BW$72</v>
      </c>
      <c r="J1102" s="4" t="s">
        <v>646</v>
      </c>
    </row>
    <row r="1103" spans="1:10" x14ac:dyDescent="0.25">
      <c r="A1103" s="7" t="s">
        <v>28</v>
      </c>
      <c r="B1103" s="7"/>
      <c r="C1103" s="4" t="s">
        <v>11</v>
      </c>
      <c r="D1103" s="5"/>
      <c r="E1103" s="10"/>
      <c r="F1103" s="5" t="str">
        <f t="shared" si="234"/>
        <v xml:space="preserve"> </v>
      </c>
      <c r="G1103" s="7"/>
      <c r="H1103" s="4"/>
      <c r="I1103" s="4"/>
      <c r="J1103" s="4"/>
    </row>
    <row r="1104" spans="1:10" x14ac:dyDescent="0.2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Jaime\QUIFA-CAJÚA\Cajua\[VAS_CAJUA_CF_SEC_20230125.xlsx]CF PSDP'!</v>
      </c>
      <c r="G1104" s="7" t="s">
        <v>37</v>
      </c>
      <c r="H1104" s="4"/>
      <c r="I1104" s="4"/>
      <c r="J1104" s="4"/>
    </row>
    <row r="1105" spans="1:10" x14ac:dyDescent="0.2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Jaime\QUIFA-CAJÚA\Cajua\[VAS_CAJUA_CF_SEC_20230125.xlsx]CF PSDP'!</v>
      </c>
      <c r="G1105" s="7" t="s">
        <v>37</v>
      </c>
      <c r="H1105" s="4"/>
      <c r="I1105" s="4"/>
      <c r="J1105" s="4"/>
    </row>
    <row r="1106" spans="1:10" x14ac:dyDescent="0.2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Jaime\QUIFA-CAJÚA\Cajua\[VAS_CAJUA_CF_SEC_20230125.xlsx]CF PSDP'!</v>
      </c>
      <c r="G1106" s="7" t="s">
        <v>37</v>
      </c>
      <c r="H1106" s="4"/>
      <c r="I1106" s="4"/>
      <c r="J1106" s="4"/>
    </row>
    <row r="1107" spans="1:10" x14ac:dyDescent="0.2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Jaime\QUIFA-CAJÚA\Cajua\[VAS_CAJUA_CF_SEC_20230125.xlsx]CF PSDP'!</v>
      </c>
      <c r="G1107" s="7" t="s">
        <v>37</v>
      </c>
      <c r="H1107" s="4"/>
      <c r="I1107" s="4"/>
      <c r="J1107" s="4"/>
    </row>
    <row r="1108" spans="1:10" x14ac:dyDescent="0.2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Jaime\QUIFA-CAJÚA\Cajua\[VAS_CAJUA_CF_SEC_20230125.xlsx]CF PSDP'!</v>
      </c>
      <c r="G1108" s="7" t="s">
        <v>37</v>
      </c>
      <c r="H1108" s="4"/>
      <c r="I1108" s="4"/>
      <c r="J1108" s="4"/>
    </row>
    <row r="1109" spans="1:10" x14ac:dyDescent="0.2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Jaime\QUIFA-CAJÚA\Cajua\[VAS_CAJUA_CF_SEC_20230125.xlsx]CF PSDP'!</v>
      </c>
      <c r="G1109" s="7" t="s">
        <v>37</v>
      </c>
      <c r="H1109" s="4"/>
      <c r="I1109" s="4"/>
      <c r="J1109" s="4"/>
    </row>
    <row r="1110" spans="1:10" x14ac:dyDescent="0.2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Jaime\QUIFA-CAJÚA\Cajua\[VAS_CAJUA_CF_SEC_20230125.xlsx]CF PSDP'!</v>
      </c>
      <c r="G1110" s="7" t="s">
        <v>37</v>
      </c>
      <c r="H1110" s="4"/>
      <c r="I1110" s="4"/>
      <c r="J1110" s="4"/>
    </row>
    <row r="1111" spans="1:10" x14ac:dyDescent="0.2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Jaime\QUIFA-CAJÚA\Cajua\[VAS_CAJUA_CF_SEC_20230125.xlsx]CF PSDP'!</v>
      </c>
      <c r="G1111" s="7" t="s">
        <v>37</v>
      </c>
      <c r="H1111" s="4"/>
      <c r="I1111" s="4"/>
      <c r="J1111" s="4"/>
    </row>
    <row r="1112" spans="1:10" x14ac:dyDescent="0.2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Jaime\QUIFA-CAJÚA\Cajua\[VAS_CAJUA_CF_SEC_20230125.xlsx]CF PSDP'!</v>
      </c>
      <c r="G1112" s="7" t="s">
        <v>37</v>
      </c>
      <c r="H1112" s="4"/>
      <c r="I1112" s="4"/>
      <c r="J1112" s="4"/>
    </row>
    <row r="1113" spans="1:10" x14ac:dyDescent="0.2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Jaime\QUIFA-CAJÚA\Cajua\[VAS_CAJUA_CF_SEC_20230125.xlsx]CF PSDP'!</v>
      </c>
      <c r="G1113" s="7" t="s">
        <v>37</v>
      </c>
      <c r="H1113" s="4"/>
      <c r="I1113" s="4"/>
      <c r="J1113" s="4"/>
    </row>
    <row r="1114" spans="1:10" x14ac:dyDescent="0.2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Jaime\QUIFA-CAJÚA\Cajua\[VAS_CAJUA_CF_SEC_20230125.xlsx]CF PSDP'!</v>
      </c>
      <c r="G1114" s="7" t="s">
        <v>37</v>
      </c>
      <c r="H1114" s="4"/>
      <c r="I1114" s="4"/>
      <c r="J1114" s="4"/>
    </row>
    <row r="1115" spans="1:10" x14ac:dyDescent="0.2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Jaime\QUIFA-CAJÚA\Cajua\[VAS_CAJUA_CF_SEC_20230125.xlsx]CF PSDP'!</v>
      </c>
      <c r="G1115" s="7" t="s">
        <v>37</v>
      </c>
      <c r="H1115" s="4"/>
      <c r="I1115" s="4"/>
      <c r="J1115" s="4"/>
    </row>
    <row r="1116" spans="1:10" x14ac:dyDescent="0.2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Jaime\QUIFA-CAJÚA\Cajua\[VAS_CAJUA_CF_SEC_20230125.xlsx]CF PSDP'!</v>
      </c>
      <c r="G1116" s="7" t="s">
        <v>37</v>
      </c>
      <c r="H1116" s="4"/>
      <c r="I1116" s="4"/>
      <c r="J1116" s="4"/>
    </row>
    <row r="1117" spans="1:10" x14ac:dyDescent="0.2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Jaime\QUIFA-CAJÚA\Cajua\[VAS_CAJUA_CF_SEC_20230125.xlsx]CF PSDP'!</v>
      </c>
      <c r="G1117" s="7" t="s">
        <v>37</v>
      </c>
      <c r="H1117" s="4"/>
      <c r="I1117" s="4"/>
      <c r="J1117" s="4"/>
    </row>
    <row r="1118" spans="1:10" x14ac:dyDescent="0.2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Jaime\QUIFA-CAJÚA\Cajua\[VAS_CAJUA_CF_SEC_20230125.xlsx]CF PSDP'!</v>
      </c>
      <c r="G1118" s="7" t="s">
        <v>37</v>
      </c>
      <c r="H1118" s="4"/>
      <c r="I1118" s="4"/>
      <c r="J1118" s="4"/>
    </row>
    <row r="1119" spans="1:10" x14ac:dyDescent="0.2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Jaime\QUIFA-CAJÚA\Cajua\[VAS_CAJUA_CF_SEC_20230125.xlsx]CF PSDP'!</v>
      </c>
      <c r="G1119" s="7" t="s">
        <v>37</v>
      </c>
      <c r="H1119" s="4"/>
      <c r="I1119" s="4"/>
      <c r="J1119" s="4"/>
    </row>
    <row r="1120" spans="1:10" x14ac:dyDescent="0.2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Jaime\QUIFA-CAJÚA\Cajua\[VAS_CAJUA_CF_SEC_20230125.xlsx]CF PSDP'!</v>
      </c>
      <c r="G1120" s="7" t="s">
        <v>37</v>
      </c>
      <c r="H1120" s="4"/>
      <c r="I1120" s="4"/>
      <c r="J1120" s="4"/>
    </row>
    <row r="1121" spans="1:10" x14ac:dyDescent="0.2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Jaime\QUIFA-CAJÚA\Cajua\[VAS_CAJUA_CF_SEC_20230125.xlsx]CF PSDP'!</v>
      </c>
      <c r="G1121" s="7" t="s">
        <v>37</v>
      </c>
      <c r="H1121" s="4"/>
      <c r="I1121" s="4"/>
      <c r="J1121" s="4"/>
    </row>
    <row r="1122" spans="1:10" x14ac:dyDescent="0.2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Jaime\QUIFA-CAJÚA\Cajua\[VAS_CAJUA_CF_SEC_20230125.xlsx]CF PSDP'!</v>
      </c>
      <c r="G1122" s="7" t="s">
        <v>37</v>
      </c>
      <c r="H1122" s="4"/>
      <c r="I1122" s="4"/>
      <c r="J1122" s="4"/>
    </row>
    <row r="1123" spans="1:10" x14ac:dyDescent="0.2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Jaime\QUIFA-CAJÚA\Cajua\[VAS_CAJUA_CF_SEC_20230125.xlsx]CF PSDP'!</v>
      </c>
      <c r="G1123" s="7" t="s">
        <v>37</v>
      </c>
      <c r="H1123" s="4"/>
      <c r="I1123" s="4"/>
      <c r="J1123" s="4"/>
    </row>
    <row r="1124" spans="1:10" x14ac:dyDescent="0.2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Jaime\QUIFA-CAJÚA\Cajua\[VAS_CAJUA_CF_SEC_20230125.xlsx]CF PSDP'!</v>
      </c>
      <c r="G1124" s="7" t="s">
        <v>37</v>
      </c>
      <c r="H1124" s="4"/>
      <c r="I1124" s="4"/>
      <c r="J1124" s="4"/>
    </row>
    <row r="1125" spans="1:10" x14ac:dyDescent="0.2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Jaime\QUIFA-CAJÚA\Cajua\[VAS_CAJUA_CF_SEC_20230125.xlsx]CF PSDP'!</v>
      </c>
      <c r="G1125" s="7" t="s">
        <v>37</v>
      </c>
      <c r="H1125" s="4"/>
      <c r="I1125" s="4"/>
      <c r="J1125" s="4"/>
    </row>
    <row r="1126" spans="1:10" x14ac:dyDescent="0.2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Jaime\QUIFA-CAJÚA\Cajua\[VAS_CAJUA_CF_SEC_20230125.xlsx]CF PSDP'!</v>
      </c>
      <c r="G1126" s="7" t="s">
        <v>37</v>
      </c>
      <c r="H1126" s="4"/>
      <c r="I1126" s="4"/>
      <c r="J1126" s="4"/>
    </row>
    <row r="1127" spans="1:10" x14ac:dyDescent="0.2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Jaime\QUIFA-CAJÚA\Cajua\[VAS_CAJUA_CF_SEC_20230125.xlsx]CF PSDP'!</v>
      </c>
      <c r="G1127" s="7" t="s">
        <v>37</v>
      </c>
      <c r="H1127" s="4"/>
      <c r="I1127" s="4"/>
      <c r="J1127" s="4"/>
    </row>
    <row r="1128" spans="1:10" x14ac:dyDescent="0.2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Jaime\QUIFA-CAJÚA\Cajua\[VAS_CAJUA_CF_SEC_20230125.xlsx]CF PSDP'!</v>
      </c>
      <c r="G1128" s="7" t="s">
        <v>37</v>
      </c>
      <c r="H1128" s="4"/>
      <c r="I1128" s="4"/>
      <c r="J1128" s="4"/>
    </row>
    <row r="1129" spans="1:10" x14ac:dyDescent="0.2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Jaime\QUIFA-CAJÚA\Cajua\[VAS_CAJUA_CF_SEC_20230125.xlsx]CF PSDP'!</v>
      </c>
      <c r="G1129" s="7" t="s">
        <v>37</v>
      </c>
      <c r="H1129" s="4"/>
      <c r="I1129" s="4"/>
      <c r="J1129" s="4"/>
    </row>
    <row r="1130" spans="1:10" x14ac:dyDescent="0.2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Jaime\QUIFA-CAJÚA\Cajua\[VAS_CAJUA_CF_SEC_20230125.xlsx]CF PSDP'!</v>
      </c>
      <c r="G1130" s="7" t="s">
        <v>37</v>
      </c>
      <c r="H1130" s="4"/>
      <c r="I1130" s="4"/>
      <c r="J1130" s="4"/>
    </row>
    <row r="1131" spans="1:10" x14ac:dyDescent="0.2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Jaime\QUIFA-CAJÚA\Cajua\[VAS_CAJUA_CF_SEC_20230125.xlsx]CF PSDP'!</v>
      </c>
      <c r="G1131" s="7" t="s">
        <v>37</v>
      </c>
      <c r="H1131" s="4"/>
      <c r="I1131" s="4"/>
      <c r="J1131" s="4"/>
    </row>
    <row r="1132" spans="1:10" x14ac:dyDescent="0.2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Jaime\QUIFA-CAJÚA\Cajua\[VAS_CAJUA_CF_SEC_20230125.xlsx]CF PSDP'!</v>
      </c>
      <c r="G1132" s="7" t="s">
        <v>37</v>
      </c>
      <c r="H1132" s="4"/>
      <c r="I1132" s="4"/>
      <c r="J1132" s="4"/>
    </row>
    <row r="1133" spans="1:10" x14ac:dyDescent="0.2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Jaime\QUIFA-CAJÚA\Cajua\[VAS_CAJUA_CF_SEC_20230125.xlsx]CF PSDP'!</v>
      </c>
      <c r="G1133" s="7" t="s">
        <v>37</v>
      </c>
      <c r="H1133" s="4"/>
      <c r="I1133" s="4"/>
      <c r="J1133" s="4"/>
    </row>
    <row r="1134" spans="1:10" x14ac:dyDescent="0.2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Jaime\QUIFA-CAJÚA\Cajua\[VAS_CAJUA_CF_SEC_20230125.xlsx]CF PSDP'!</v>
      </c>
      <c r="G1134" s="7" t="s">
        <v>37</v>
      </c>
      <c r="H1134" s="4"/>
      <c r="I1134" s="4"/>
      <c r="J1134" s="4"/>
    </row>
    <row r="1135" spans="1:10" x14ac:dyDescent="0.2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Jaime\QUIFA-CAJÚA\Cajua\[VAS_CAJUA_CF_SEC_20230125.xlsx]CF PSDP'!</v>
      </c>
      <c r="G1135" s="7" t="s">
        <v>37</v>
      </c>
      <c r="H1135" s="4"/>
      <c r="I1135" s="4"/>
      <c r="J1135" s="4"/>
    </row>
    <row r="1136" spans="1:10" x14ac:dyDescent="0.2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Jaime\QUIFA-CAJÚA\Cajua\[VAS_CAJUA_CF_SEC_20230125.xlsx]CF PSDP'!</v>
      </c>
      <c r="G1136" s="7" t="s">
        <v>37</v>
      </c>
      <c r="H1136" s="4"/>
      <c r="I1136" s="4"/>
      <c r="J1136" s="4"/>
    </row>
    <row r="1137" spans="1:10" x14ac:dyDescent="0.2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Jaime\QUIFA-CAJÚA\Cajua\[VAS_CAJUA_CF_SEC_20230125.xlsx]CF PSDP'!</v>
      </c>
      <c r="G1137" s="7" t="s">
        <v>37</v>
      </c>
      <c r="H1137" s="4"/>
      <c r="I1137" s="4"/>
      <c r="J1137" s="4"/>
    </row>
    <row r="1138" spans="1:10" x14ac:dyDescent="0.2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Jaime\QUIFA-CAJÚA\Cajua\[VAS_CAJUA_CF_SEC_20230125.xlsx]CF PSDP'!</v>
      </c>
      <c r="G1138" s="7" t="s">
        <v>37</v>
      </c>
      <c r="H1138" s="4"/>
      <c r="I1138" s="4"/>
      <c r="J1138" s="4"/>
    </row>
    <row r="1139" spans="1:10" x14ac:dyDescent="0.2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Jaime\QUIFA-CAJÚA\Cajua\[VAS_CAJUA_CF_SEC_20230125.xlsx]CF PSDP'!</v>
      </c>
      <c r="G1139" s="7" t="s">
        <v>37</v>
      </c>
      <c r="H1139" s="4"/>
      <c r="I1139" s="4"/>
      <c r="J1139" s="4"/>
    </row>
    <row r="1140" spans="1:10" x14ac:dyDescent="0.2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Jaime\QUIFA-CAJÚA\Cajua\[VAS_CAJUA_CF_SEC_20230125.xlsx]CF PSDP'!</v>
      </c>
      <c r="G1140" s="7" t="s">
        <v>37</v>
      </c>
      <c r="H1140" s="4"/>
      <c r="I1140" s="4"/>
      <c r="J1140" s="4"/>
    </row>
    <row r="1141" spans="1:10" x14ac:dyDescent="0.25">
      <c r="A1141" s="7" t="s">
        <v>28</v>
      </c>
      <c r="B1141" s="7"/>
      <c r="C1141" s="4" t="s">
        <v>11</v>
      </c>
      <c r="D1141" s="5"/>
      <c r="E1141" s="10"/>
      <c r="F1141" s="5" t="str">
        <f t="shared" si="256"/>
        <v xml:space="preserve"> </v>
      </c>
      <c r="G1141" s="7"/>
      <c r="H1141" s="4"/>
      <c r="I1141" s="4"/>
      <c r="J1141" s="4"/>
    </row>
    <row r="1142" spans="1:10" x14ac:dyDescent="0.2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Jaime\QUIFA-CAJÚA\Cajua\[VAS_CAJUA_CF_SEC_20230125.xlsx]CF PSNP'!</v>
      </c>
      <c r="G1142" s="7" t="s">
        <v>37</v>
      </c>
      <c r="H1142" s="4"/>
      <c r="I1142" s="4"/>
      <c r="J1142" s="4"/>
    </row>
    <row r="1143" spans="1:10" x14ac:dyDescent="0.2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Jaime\QUIFA-CAJÚA\Cajua\[VAS_CAJUA_CF_SEC_20230125.xlsx]CF PSNP'!</v>
      </c>
      <c r="G1143" s="7" t="s">
        <v>37</v>
      </c>
      <c r="H1143" s="4"/>
      <c r="I1143" s="4"/>
      <c r="J1143" s="4"/>
    </row>
    <row r="1144" spans="1:10" x14ac:dyDescent="0.2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Jaime\QUIFA-CAJÚA\Cajua\[VAS_CAJUA_CF_SEC_20230125.xlsx]CF PSNP'!</v>
      </c>
      <c r="G1144" s="7" t="s">
        <v>37</v>
      </c>
      <c r="H1144" s="4"/>
      <c r="I1144" s="4"/>
      <c r="J1144" s="4"/>
    </row>
    <row r="1145" spans="1:10" x14ac:dyDescent="0.2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Jaime\QUIFA-CAJÚA\Cajua\[VAS_CAJUA_CF_SEC_20230125.xlsx]CF PSNP'!</v>
      </c>
      <c r="G1145" s="7" t="s">
        <v>37</v>
      </c>
      <c r="H1145" s="4"/>
      <c r="I1145" s="4"/>
      <c r="J1145" s="4"/>
    </row>
    <row r="1146" spans="1:10" x14ac:dyDescent="0.2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Jaime\QUIFA-CAJÚA\Cajua\[VAS_CAJUA_CF_SEC_20230125.xlsx]CF PSNP'!</v>
      </c>
      <c r="G1146" s="7" t="s">
        <v>37</v>
      </c>
      <c r="H1146" s="4"/>
      <c r="I1146" s="4"/>
      <c r="J1146" s="4"/>
    </row>
    <row r="1147" spans="1:10" x14ac:dyDescent="0.2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Jaime\QUIFA-CAJÚA\Cajua\[VAS_CAJUA_CF_SEC_20230125.xlsx]CF PSNP'!</v>
      </c>
      <c r="G1147" s="7" t="s">
        <v>37</v>
      </c>
      <c r="H1147" s="4"/>
      <c r="I1147" s="4"/>
      <c r="J1147" s="4"/>
    </row>
    <row r="1148" spans="1:10" x14ac:dyDescent="0.2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Jaime\QUIFA-CAJÚA\Cajua\[VAS_CAJUA_CF_SEC_20230125.xlsx]CF PSNP'!</v>
      </c>
      <c r="G1148" s="7" t="s">
        <v>37</v>
      </c>
      <c r="H1148" s="4"/>
      <c r="I1148" s="4"/>
      <c r="J1148" s="4"/>
    </row>
    <row r="1149" spans="1:10" x14ac:dyDescent="0.2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Jaime\QUIFA-CAJÚA\Cajua\[VAS_CAJUA_CF_SEC_20230125.xlsx]CF PSNP'!</v>
      </c>
      <c r="G1149" s="7" t="s">
        <v>37</v>
      </c>
      <c r="H1149" s="4"/>
      <c r="I1149" s="4"/>
      <c r="J1149" s="4"/>
    </row>
    <row r="1150" spans="1:10" x14ac:dyDescent="0.2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Jaime\QUIFA-CAJÚA\Cajua\[VAS_CAJUA_CF_SEC_20230125.xlsx]CF PSNP'!</v>
      </c>
      <c r="G1150" s="7" t="s">
        <v>37</v>
      </c>
      <c r="H1150" s="4"/>
      <c r="I1150" s="4"/>
      <c r="J1150" s="4"/>
    </row>
    <row r="1151" spans="1:10" x14ac:dyDescent="0.2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Jaime\QUIFA-CAJÚA\Cajua\[VAS_CAJUA_CF_SEC_20230125.xlsx]CF PSNP'!</v>
      </c>
      <c r="G1151" s="7" t="s">
        <v>37</v>
      </c>
      <c r="H1151" s="4"/>
      <c r="I1151" s="4"/>
      <c r="J1151" s="4"/>
    </row>
    <row r="1152" spans="1:10" x14ac:dyDescent="0.2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Jaime\QUIFA-CAJÚA\Cajua\[VAS_CAJUA_CF_SEC_20230125.xlsx]CF PSNP'!</v>
      </c>
      <c r="G1152" s="7" t="s">
        <v>37</v>
      </c>
      <c r="H1152" s="4"/>
      <c r="I1152" s="4"/>
      <c r="J1152" s="4"/>
    </row>
    <row r="1153" spans="1:10" x14ac:dyDescent="0.2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Jaime\QUIFA-CAJÚA\Cajua\[VAS_CAJUA_CF_SEC_20230125.xlsx]CF PSNP'!</v>
      </c>
      <c r="G1153" s="7" t="s">
        <v>37</v>
      </c>
      <c r="H1153" s="4"/>
      <c r="I1153" s="4"/>
      <c r="J1153" s="4"/>
    </row>
    <row r="1154" spans="1:10" x14ac:dyDescent="0.2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Jaime\QUIFA-CAJÚA\Cajua\[VAS_CAJUA_CF_SEC_20230125.xlsx]CF PSNP'!</v>
      </c>
      <c r="G1154" s="7" t="s">
        <v>37</v>
      </c>
      <c r="H1154" s="4"/>
      <c r="I1154" s="4"/>
      <c r="J1154" s="4"/>
    </row>
    <row r="1155" spans="1:10" x14ac:dyDescent="0.2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Jaime\QUIFA-CAJÚA\Cajua\[VAS_CAJUA_CF_SEC_20230125.xlsx]CF PSNP'!</v>
      </c>
      <c r="G1155" s="7" t="s">
        <v>37</v>
      </c>
      <c r="H1155" s="4"/>
      <c r="I1155" s="4"/>
      <c r="J1155" s="4"/>
    </row>
    <row r="1156" spans="1:10" x14ac:dyDescent="0.2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Jaime\QUIFA-CAJÚA\Cajua\[VAS_CAJUA_CF_SEC_20230125.xlsx]CF PSNP'!</v>
      </c>
      <c r="G1156" s="7" t="s">
        <v>37</v>
      </c>
      <c r="H1156" s="4"/>
      <c r="I1156" s="4"/>
      <c r="J1156" s="4"/>
    </row>
    <row r="1157" spans="1:10" x14ac:dyDescent="0.2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Jaime\QUIFA-CAJÚA\Cajua\[VAS_CAJUA_CF_SEC_20230125.xlsx]CF PSNP'!</v>
      </c>
      <c r="G1157" s="7" t="s">
        <v>37</v>
      </c>
      <c r="H1157" s="4"/>
      <c r="I1157" s="4"/>
      <c r="J1157" s="4"/>
    </row>
    <row r="1158" spans="1:10" x14ac:dyDescent="0.2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Jaime\QUIFA-CAJÚA\Cajua\[VAS_CAJUA_CF_SEC_20230125.xlsx]CF PSNP'!</v>
      </c>
      <c r="G1158" s="7" t="s">
        <v>37</v>
      </c>
      <c r="H1158" s="4"/>
      <c r="I1158" s="4"/>
      <c r="J1158" s="4"/>
    </row>
    <row r="1159" spans="1:10" x14ac:dyDescent="0.2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Jaime\QUIFA-CAJÚA\Cajua\[VAS_CAJUA_CF_SEC_20230125.xlsx]CF PSNP'!</v>
      </c>
      <c r="G1159" s="7" t="s">
        <v>37</v>
      </c>
      <c r="H1159" s="4"/>
      <c r="I1159" s="4"/>
      <c r="J1159" s="4"/>
    </row>
    <row r="1160" spans="1:10" x14ac:dyDescent="0.2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Jaime\QUIFA-CAJÚA\Cajua\[VAS_CAJUA_CF_SEC_20230125.xlsx]CF PSNP'!</v>
      </c>
      <c r="G1160" s="7" t="s">
        <v>37</v>
      </c>
      <c r="H1160" s="4"/>
      <c r="I1160" s="4"/>
      <c r="J1160" s="4"/>
    </row>
    <row r="1161" spans="1:10" x14ac:dyDescent="0.2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Jaime\QUIFA-CAJÚA\Cajua\[VAS_CAJUA_CF_SEC_20230125.xlsx]CF PSNP'!</v>
      </c>
      <c r="G1161" s="7" t="s">
        <v>37</v>
      </c>
      <c r="H1161" s="4"/>
      <c r="I1161" s="4"/>
      <c r="J1161" s="4"/>
    </row>
    <row r="1162" spans="1:10" x14ac:dyDescent="0.2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Jaime\QUIFA-CAJÚA\Cajua\[VAS_CAJUA_CF_SEC_20230125.xlsx]CF PSNP'!</v>
      </c>
      <c r="G1162" s="7" t="s">
        <v>37</v>
      </c>
      <c r="H1162" s="4"/>
      <c r="I1162" s="4"/>
      <c r="J1162" s="4"/>
    </row>
    <row r="1163" spans="1:10" x14ac:dyDescent="0.2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Jaime\QUIFA-CAJÚA\Cajua\[VAS_CAJUA_CF_SEC_20230125.xlsx]CF PSNP'!</v>
      </c>
      <c r="G1163" s="7" t="s">
        <v>37</v>
      </c>
      <c r="H1163" s="4"/>
      <c r="I1163" s="4"/>
      <c r="J1163" s="4"/>
    </row>
    <row r="1164" spans="1:10" x14ac:dyDescent="0.2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Jaime\QUIFA-CAJÚA\Cajua\[VAS_CAJUA_CF_SEC_20230125.xlsx]CF PSNP'!</v>
      </c>
      <c r="G1164" s="7" t="s">
        <v>37</v>
      </c>
      <c r="H1164" s="4"/>
      <c r="I1164" s="4"/>
      <c r="J1164" s="4"/>
    </row>
    <row r="1165" spans="1:10" x14ac:dyDescent="0.2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Jaime\QUIFA-CAJÚA\Cajua\[VAS_CAJUA_CF_SEC_20230125.xlsx]CF PSNP'!</v>
      </c>
      <c r="G1165" s="7" t="s">
        <v>37</v>
      </c>
      <c r="H1165" s="4"/>
      <c r="I1165" s="4"/>
      <c r="J1165" s="4"/>
    </row>
    <row r="1166" spans="1:10" x14ac:dyDescent="0.2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Jaime\QUIFA-CAJÚA\Cajua\[VAS_CAJUA_CF_SEC_20230125.xlsx]CF PSNP'!</v>
      </c>
      <c r="G1166" s="7" t="s">
        <v>37</v>
      </c>
      <c r="H1166" s="4"/>
      <c r="I1166" s="4"/>
      <c r="J1166" s="4"/>
    </row>
    <row r="1167" spans="1:10" x14ac:dyDescent="0.2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Jaime\QUIFA-CAJÚA\Cajua\[VAS_CAJUA_CF_SEC_20230125.xlsx]CF PSNP'!</v>
      </c>
      <c r="G1167" s="7" t="s">
        <v>37</v>
      </c>
      <c r="H1167" s="4"/>
      <c r="I1167" s="4"/>
      <c r="J1167" s="4"/>
    </row>
    <row r="1168" spans="1:10" x14ac:dyDescent="0.2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Jaime\QUIFA-CAJÚA\Cajua\[VAS_CAJUA_CF_SEC_20230125.xlsx]CF PSNP'!</v>
      </c>
      <c r="G1168" s="7" t="s">
        <v>37</v>
      </c>
      <c r="H1168" s="4"/>
      <c r="I1168" s="4"/>
      <c r="J1168" s="4"/>
    </row>
    <row r="1169" spans="1:10" x14ac:dyDescent="0.2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Jaime\QUIFA-CAJÚA\Cajua\[VAS_CAJUA_CF_SEC_20230125.xlsx]CF PSNP'!</v>
      </c>
      <c r="G1169" s="7" t="s">
        <v>37</v>
      </c>
      <c r="H1169" s="4"/>
      <c r="I1169" s="4"/>
      <c r="J1169" s="4"/>
    </row>
    <row r="1170" spans="1:10" x14ac:dyDescent="0.2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Jaime\QUIFA-CAJÚA\Cajua\[VAS_CAJUA_CF_SEC_20230125.xlsx]CF PSNP'!</v>
      </c>
      <c r="G1170" s="7" t="s">
        <v>37</v>
      </c>
      <c r="H1170" s="4"/>
      <c r="I1170" s="4"/>
      <c r="J1170" s="4"/>
    </row>
    <row r="1171" spans="1:10" x14ac:dyDescent="0.2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Jaime\QUIFA-CAJÚA\Cajua\[VAS_CAJUA_CF_SEC_20230125.xlsx]CF PSNP'!</v>
      </c>
      <c r="G1171" s="7" t="s">
        <v>37</v>
      </c>
      <c r="H1171" s="4"/>
      <c r="I1171" s="4"/>
      <c r="J1171" s="4"/>
    </row>
    <row r="1172" spans="1:10" x14ac:dyDescent="0.2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Jaime\QUIFA-CAJÚA\Cajua\[VAS_CAJUA_CF_SEC_20230125.xlsx]CF PSNP'!</v>
      </c>
      <c r="G1172" s="7" t="s">
        <v>37</v>
      </c>
      <c r="H1172" s="4"/>
      <c r="I1172" s="4"/>
      <c r="J1172" s="4"/>
    </row>
    <row r="1173" spans="1:10" x14ac:dyDescent="0.2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Jaime\QUIFA-CAJÚA\Cajua\[VAS_CAJUA_CF_SEC_20230125.xlsx]CF PSNP'!</v>
      </c>
      <c r="G1173" s="7" t="s">
        <v>37</v>
      </c>
      <c r="H1173" s="4"/>
      <c r="I1173" s="4"/>
      <c r="J1173" s="4"/>
    </row>
    <row r="1174" spans="1:10" x14ac:dyDescent="0.2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Jaime\QUIFA-CAJÚA\Cajua\[VAS_CAJUA_CF_SEC_20230125.xlsx]CF PSNP'!</v>
      </c>
      <c r="G1174" s="7" t="s">
        <v>37</v>
      </c>
      <c r="H1174" s="4"/>
      <c r="I1174" s="4"/>
      <c r="J1174" s="4"/>
    </row>
    <row r="1175" spans="1:10" x14ac:dyDescent="0.2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Jaime\QUIFA-CAJÚA\Cajua\[VAS_CAJUA_CF_SEC_20230125.xlsx]CF PSNP'!</v>
      </c>
      <c r="G1175" s="7" t="s">
        <v>37</v>
      </c>
      <c r="H1175" s="4"/>
      <c r="I1175" s="4"/>
      <c r="J1175" s="4"/>
    </row>
    <row r="1176" spans="1:10" x14ac:dyDescent="0.2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Jaime\QUIFA-CAJÚA\Cajua\[VAS_CAJUA_CF_SEC_20230125.xlsx]CF PSNP'!</v>
      </c>
      <c r="G1176" s="7" t="s">
        <v>37</v>
      </c>
      <c r="H1176" s="4"/>
      <c r="I1176" s="4"/>
      <c r="J1176" s="4"/>
    </row>
    <row r="1177" spans="1:10" x14ac:dyDescent="0.2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Jaime\QUIFA-CAJÚA\Cajua\[VAS_CAJUA_CF_SEC_20230125.xlsx]CF PSNP'!</v>
      </c>
      <c r="G1177" s="7" t="s">
        <v>37</v>
      </c>
      <c r="H1177" s="4"/>
      <c r="I1177" s="4"/>
      <c r="J1177" s="4"/>
    </row>
    <row r="1178" spans="1:10" x14ac:dyDescent="0.2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Jaime\QUIFA-CAJÚA\Cajua\[VAS_CAJUA_CF_SEC_20230125.xlsx]CF PSNP'!</v>
      </c>
      <c r="G1178" s="7" t="s">
        <v>37</v>
      </c>
      <c r="H1178" s="4"/>
      <c r="I1178" s="4"/>
      <c r="J1178" s="4"/>
    </row>
    <row r="1179" spans="1:10" x14ac:dyDescent="0.25">
      <c r="A1179" s="7" t="s">
        <v>28</v>
      </c>
      <c r="B1179" s="7"/>
      <c r="C1179" s="4" t="s">
        <v>11</v>
      </c>
      <c r="D1179" s="5"/>
      <c r="E1179" s="10"/>
      <c r="F1179" s="5" t="str">
        <f t="shared" si="256"/>
        <v xml:space="preserve"> </v>
      </c>
      <c r="G1179" s="7"/>
      <c r="H1179" s="4"/>
      <c r="I1179" s="4"/>
      <c r="J1179" s="4"/>
    </row>
    <row r="1180" spans="1:10" x14ac:dyDescent="0.2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Jaime\QUIFA-CAJÚA\Cajua\[VAS_CAJUA_CF_SEC_20230125.xlsx]CF PSND'!</v>
      </c>
      <c r="G1180" s="7" t="s">
        <v>37</v>
      </c>
      <c r="H1180" s="4"/>
      <c r="I1180" s="4"/>
      <c r="J1180" s="4"/>
    </row>
    <row r="1181" spans="1:10" x14ac:dyDescent="0.2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Jaime\QUIFA-CAJÚA\Cajua\[VAS_CAJUA_CF_SEC_20230125.xlsx]CF PSND'!</v>
      </c>
      <c r="G1181" s="7" t="s">
        <v>37</v>
      </c>
      <c r="H1181" s="4"/>
      <c r="I1181" s="4"/>
      <c r="J1181" s="4"/>
    </row>
    <row r="1182" spans="1:10" x14ac:dyDescent="0.2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Jaime\QUIFA-CAJÚA\Cajua\[VAS_CAJUA_CF_SEC_20230125.xlsx]CF PSND'!</v>
      </c>
      <c r="G1182" s="7" t="s">
        <v>37</v>
      </c>
      <c r="H1182" s="4"/>
      <c r="I1182" s="4"/>
      <c r="J1182" s="4"/>
    </row>
    <row r="1183" spans="1:10" x14ac:dyDescent="0.2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Jaime\QUIFA-CAJÚA\Cajua\[VAS_CAJUA_CF_SEC_20230125.xlsx]CF PSND'!</v>
      </c>
      <c r="G1183" s="7" t="s">
        <v>37</v>
      </c>
      <c r="H1183" s="4"/>
      <c r="I1183" s="4"/>
      <c r="J1183" s="4"/>
    </row>
    <row r="1184" spans="1:10" x14ac:dyDescent="0.2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Jaime\QUIFA-CAJÚA\Cajua\[VAS_CAJUA_CF_SEC_20230125.xlsx]CF PSND'!</v>
      </c>
      <c r="G1184" s="7" t="s">
        <v>37</v>
      </c>
      <c r="H1184" s="4"/>
      <c r="I1184" s="4"/>
      <c r="J1184" s="4"/>
    </row>
    <row r="1185" spans="1:10" x14ac:dyDescent="0.2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Jaime\QUIFA-CAJÚA\Cajua\[VAS_CAJUA_CF_SEC_20230125.xlsx]CF PSND'!</v>
      </c>
      <c r="G1185" s="7" t="s">
        <v>37</v>
      </c>
      <c r="H1185" s="4"/>
      <c r="I1185" s="4"/>
      <c r="J1185" s="4"/>
    </row>
    <row r="1186" spans="1:10" x14ac:dyDescent="0.2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Jaime\QUIFA-CAJÚA\Cajua\[VAS_CAJUA_CF_SEC_20230125.xlsx]CF PSND'!</v>
      </c>
      <c r="G1186" s="7" t="s">
        <v>37</v>
      </c>
      <c r="H1186" s="4"/>
      <c r="I1186" s="4"/>
      <c r="J1186" s="4"/>
    </row>
    <row r="1187" spans="1:10" x14ac:dyDescent="0.2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Jaime\QUIFA-CAJÚA\Cajua\[VAS_CAJUA_CF_SEC_20230125.xlsx]CF PSND'!</v>
      </c>
      <c r="G1187" s="7" t="s">
        <v>37</v>
      </c>
      <c r="H1187" s="4"/>
      <c r="I1187" s="4"/>
      <c r="J1187" s="4"/>
    </row>
    <row r="1188" spans="1:10" x14ac:dyDescent="0.2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Jaime\QUIFA-CAJÚA\Cajua\[VAS_CAJUA_CF_SEC_20230125.xlsx]CF PSND'!</v>
      </c>
      <c r="G1188" s="7" t="s">
        <v>37</v>
      </c>
      <c r="H1188" s="4"/>
      <c r="I1188" s="4"/>
      <c r="J1188" s="4"/>
    </row>
    <row r="1189" spans="1:10" x14ac:dyDescent="0.2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Jaime\QUIFA-CAJÚA\Cajua\[VAS_CAJUA_CF_SEC_20230125.xlsx]CF PSND'!</v>
      </c>
      <c r="G1189" s="7" t="s">
        <v>37</v>
      </c>
      <c r="H1189" s="4"/>
      <c r="I1189" s="4"/>
      <c r="J1189" s="4"/>
    </row>
    <row r="1190" spans="1:10" x14ac:dyDescent="0.2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Jaime\QUIFA-CAJÚA\Cajua\[VAS_CAJUA_CF_SEC_20230125.xlsx]CF PSND'!</v>
      </c>
      <c r="G1190" s="7" t="s">
        <v>37</v>
      </c>
      <c r="H1190" s="4"/>
      <c r="I1190" s="4"/>
      <c r="J1190" s="4"/>
    </row>
    <row r="1191" spans="1:10" x14ac:dyDescent="0.2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Jaime\QUIFA-CAJÚA\Cajua\[VAS_CAJUA_CF_SEC_20230125.xlsx]CF PSND'!</v>
      </c>
      <c r="G1191" s="7" t="s">
        <v>37</v>
      </c>
      <c r="H1191" s="4"/>
      <c r="I1191" s="4"/>
      <c r="J1191" s="4"/>
    </row>
    <row r="1192" spans="1:10" x14ac:dyDescent="0.2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Jaime\QUIFA-CAJÚA\Cajua\[VAS_CAJUA_CF_SEC_20230125.xlsx]CF PSND'!</v>
      </c>
      <c r="G1192" s="7" t="s">
        <v>37</v>
      </c>
      <c r="H1192" s="4"/>
      <c r="I1192" s="4"/>
      <c r="J1192" s="4"/>
    </row>
    <row r="1193" spans="1:10" x14ac:dyDescent="0.2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Jaime\QUIFA-CAJÚA\Cajua\[VAS_CAJUA_CF_SEC_20230125.xlsx]CF PSND'!</v>
      </c>
      <c r="G1193" s="7" t="s">
        <v>37</v>
      </c>
      <c r="H1193" s="4"/>
      <c r="I1193" s="4"/>
      <c r="J1193" s="4"/>
    </row>
    <row r="1194" spans="1:10" x14ac:dyDescent="0.2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Jaime\QUIFA-CAJÚA\Cajua\[VAS_CAJUA_CF_SEC_20230125.xlsx]CF PSND'!</v>
      </c>
      <c r="G1194" s="7" t="s">
        <v>37</v>
      </c>
      <c r="H1194" s="4"/>
      <c r="I1194" s="4"/>
      <c r="J1194" s="4"/>
    </row>
    <row r="1195" spans="1:10" x14ac:dyDescent="0.2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Jaime\QUIFA-CAJÚA\Cajua\[VAS_CAJUA_CF_SEC_20230125.xlsx]CF PSND'!</v>
      </c>
      <c r="G1195" s="7" t="s">
        <v>37</v>
      </c>
      <c r="H1195" s="4"/>
      <c r="I1195" s="4"/>
      <c r="J1195" s="4"/>
    </row>
    <row r="1196" spans="1:10" x14ac:dyDescent="0.2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Jaime\QUIFA-CAJÚA\Cajua\[VAS_CAJUA_CF_SEC_20230125.xlsx]CF PSND'!</v>
      </c>
      <c r="G1196" s="7" t="s">
        <v>37</v>
      </c>
      <c r="H1196" s="4"/>
      <c r="I1196" s="4"/>
      <c r="J1196" s="4"/>
    </row>
    <row r="1197" spans="1:10" x14ac:dyDescent="0.2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Jaime\QUIFA-CAJÚA\Cajua\[VAS_CAJUA_CF_SEC_20230125.xlsx]CF PSND'!</v>
      </c>
      <c r="G1197" s="7" t="s">
        <v>37</v>
      </c>
      <c r="H1197" s="4"/>
      <c r="I1197" s="4"/>
      <c r="J1197" s="4"/>
    </row>
    <row r="1198" spans="1:10" x14ac:dyDescent="0.2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Jaime\QUIFA-CAJÚA\Cajua\[VAS_CAJUA_CF_SEC_20230125.xlsx]CF PSND'!</v>
      </c>
      <c r="G1198" s="7" t="s">
        <v>37</v>
      </c>
      <c r="H1198" s="4"/>
      <c r="I1198" s="4"/>
      <c r="J1198" s="4"/>
    </row>
    <row r="1199" spans="1:10" x14ac:dyDescent="0.2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Jaime\QUIFA-CAJÚA\Cajua\[VAS_CAJUA_CF_SEC_20230125.xlsx]CF PSND'!</v>
      </c>
      <c r="G1199" s="7" t="s">
        <v>37</v>
      </c>
      <c r="H1199" s="4"/>
      <c r="I1199" s="4"/>
      <c r="J1199" s="4"/>
    </row>
    <row r="1200" spans="1:10" x14ac:dyDescent="0.2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Jaime\QUIFA-CAJÚA\Cajua\[VAS_CAJUA_CF_SEC_20230125.xlsx]CF PSND'!</v>
      </c>
      <c r="G1200" s="7" t="s">
        <v>37</v>
      </c>
      <c r="H1200" s="4"/>
      <c r="I1200" s="4"/>
      <c r="J1200" s="4"/>
    </row>
    <row r="1201" spans="1:10" x14ac:dyDescent="0.2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Jaime\QUIFA-CAJÚA\Cajua\[VAS_CAJUA_CF_SEC_20230125.xlsx]CF PSND'!</v>
      </c>
      <c r="G1201" s="7" t="s">
        <v>37</v>
      </c>
      <c r="H1201" s="4"/>
      <c r="I1201" s="4"/>
      <c r="J1201" s="4"/>
    </row>
    <row r="1202" spans="1:10" x14ac:dyDescent="0.2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Jaime\QUIFA-CAJÚA\Cajua\[VAS_CAJUA_CF_SEC_20230125.xlsx]CF PSND'!</v>
      </c>
      <c r="G1202" s="7" t="s">
        <v>37</v>
      </c>
      <c r="H1202" s="4"/>
      <c r="I1202" s="4"/>
      <c r="J1202" s="4"/>
    </row>
    <row r="1203" spans="1:10" x14ac:dyDescent="0.2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Jaime\QUIFA-CAJÚA\Cajua\[VAS_CAJUA_CF_SEC_20230125.xlsx]CF PSND'!</v>
      </c>
      <c r="G1203" s="7" t="s">
        <v>37</v>
      </c>
      <c r="H1203" s="4"/>
      <c r="I1203" s="4"/>
      <c r="J1203" s="4"/>
    </row>
    <row r="1204" spans="1:10" x14ac:dyDescent="0.2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Jaime\QUIFA-CAJÚA\Cajua\[VAS_CAJUA_CF_SEC_20230125.xlsx]CF PSND'!</v>
      </c>
      <c r="G1204" s="7" t="s">
        <v>37</v>
      </c>
      <c r="H1204" s="4"/>
      <c r="I1204" s="4"/>
      <c r="J1204" s="4"/>
    </row>
    <row r="1205" spans="1:10" x14ac:dyDescent="0.2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Jaime\QUIFA-CAJÚA\Cajua\[VAS_CAJUA_CF_SEC_20230125.xlsx]CF PSND'!</v>
      </c>
      <c r="G1205" s="7" t="s">
        <v>37</v>
      </c>
      <c r="H1205" s="4"/>
      <c r="I1205" s="4"/>
      <c r="J1205" s="4"/>
    </row>
    <row r="1206" spans="1:10" x14ac:dyDescent="0.2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Jaime\QUIFA-CAJÚA\Cajua\[VAS_CAJUA_CF_SEC_20230125.xlsx]CF PSND'!</v>
      </c>
      <c r="G1206" s="7" t="s">
        <v>37</v>
      </c>
      <c r="H1206" s="4"/>
      <c r="I1206" s="4"/>
      <c r="J1206" s="4"/>
    </row>
    <row r="1207" spans="1:10" x14ac:dyDescent="0.2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Jaime\QUIFA-CAJÚA\Cajua\[VAS_CAJUA_CF_SEC_20230125.xlsx]CF PSND'!</v>
      </c>
      <c r="G1207" s="7" t="s">
        <v>37</v>
      </c>
      <c r="H1207" s="4"/>
      <c r="I1207" s="4"/>
      <c r="J1207" s="4"/>
    </row>
    <row r="1208" spans="1:10" x14ac:dyDescent="0.2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Jaime\QUIFA-CAJÚA\Cajua\[VAS_CAJUA_CF_SEC_20230125.xlsx]CF PSND'!</v>
      </c>
      <c r="G1208" s="7" t="s">
        <v>37</v>
      </c>
      <c r="H1208" s="4"/>
      <c r="I1208" s="4"/>
      <c r="J1208" s="4"/>
    </row>
    <row r="1209" spans="1:10" x14ac:dyDescent="0.2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Jaime\QUIFA-CAJÚA\Cajua\[VAS_CAJUA_CF_SEC_20230125.xlsx]CF PSND'!</v>
      </c>
      <c r="G1209" s="7" t="s">
        <v>37</v>
      </c>
      <c r="H1209" s="4"/>
      <c r="I1209" s="4"/>
      <c r="J1209" s="4"/>
    </row>
    <row r="1210" spans="1:10" x14ac:dyDescent="0.2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Jaime\QUIFA-CAJÚA\Cajua\[VAS_CAJUA_CF_SEC_20230125.xlsx]CF PSND'!</v>
      </c>
      <c r="G1210" s="7" t="s">
        <v>37</v>
      </c>
      <c r="H1210" s="4"/>
      <c r="I1210" s="4"/>
      <c r="J1210" s="4"/>
    </row>
    <row r="1211" spans="1:10" x14ac:dyDescent="0.2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Jaime\QUIFA-CAJÚA\Cajua\[VAS_CAJUA_CF_SEC_20230125.xlsx]CF PSND'!</v>
      </c>
      <c r="G1211" s="7" t="s">
        <v>37</v>
      </c>
      <c r="H1211" s="4"/>
      <c r="I1211" s="4"/>
      <c r="J1211" s="4"/>
    </row>
    <row r="1212" spans="1:10" x14ac:dyDescent="0.2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Jaime\QUIFA-CAJÚA\Cajua\[VAS_CAJUA_CF_SEC_20230125.xlsx]CF PSND'!</v>
      </c>
      <c r="G1212" s="7" t="s">
        <v>37</v>
      </c>
      <c r="H1212" s="4"/>
      <c r="I1212" s="4"/>
      <c r="J1212" s="4"/>
    </row>
    <row r="1213" spans="1:10" x14ac:dyDescent="0.2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Jaime\QUIFA-CAJÚA\Cajua\[VAS_CAJUA_CF_SEC_20230125.xlsx]CF PSND'!</v>
      </c>
      <c r="G1213" s="7" t="s">
        <v>37</v>
      </c>
      <c r="H1213" s="4"/>
      <c r="I1213" s="4"/>
      <c r="J1213" s="4"/>
    </row>
    <row r="1214" spans="1:10" x14ac:dyDescent="0.2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Jaime\QUIFA-CAJÚA\Cajua\[VAS_CAJUA_CF_SEC_20230125.xlsx]CF PSND'!</v>
      </c>
      <c r="G1214" s="7" t="s">
        <v>37</v>
      </c>
      <c r="H1214" s="4"/>
      <c r="I1214" s="4"/>
      <c r="J1214" s="4"/>
    </row>
    <row r="1215" spans="1:10" x14ac:dyDescent="0.2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Jaime\QUIFA-CAJÚA\Cajua\[VAS_CAJUA_CF_SEC_20230125.xlsx]CF PSND'!</v>
      </c>
      <c r="G1215" s="7" t="s">
        <v>37</v>
      </c>
      <c r="H1215" s="4"/>
      <c r="I1215" s="4"/>
      <c r="J1215" s="4"/>
    </row>
    <row r="1216" spans="1:10" x14ac:dyDescent="0.2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Jaime\QUIFA-CAJÚA\Cajua\[VAS_CAJUA_CF_SEC_20230125.xlsx]CF PSND'!</v>
      </c>
      <c r="G1216" s="7" t="s">
        <v>37</v>
      </c>
      <c r="H1216" s="4"/>
      <c r="I1216" s="4"/>
      <c r="J1216" s="4"/>
    </row>
    <row r="1217" spans="1:10" x14ac:dyDescent="0.25">
      <c r="A1217" s="7" t="s">
        <v>28</v>
      </c>
      <c r="B1217" s="7"/>
      <c r="C1217" s="4" t="s">
        <v>11</v>
      </c>
      <c r="D1217" s="5"/>
      <c r="E1217" s="10"/>
      <c r="F1217" s="5" t="str">
        <f t="shared" si="256"/>
        <v xml:space="preserve"> </v>
      </c>
      <c r="G1217" s="7"/>
      <c r="H1217" s="4"/>
      <c r="I1217" s="4"/>
      <c r="J1217" s="4"/>
    </row>
    <row r="1218" spans="1:10" x14ac:dyDescent="0.2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Jaime\QUIFA-CAJÚA\Cajua\[VAS_CAJUA_CF_SEC_20230125.xlsx]CF PS'!</v>
      </c>
      <c r="G1218" s="7" t="s">
        <v>37</v>
      </c>
      <c r="H1218" s="4">
        <f>IF(A1218&lt;&gt;A1088,36,H1088+1)</f>
        <v>36</v>
      </c>
      <c r="I1218" s="4" t="str">
        <f t="shared" si="217"/>
        <v>='C:\Users\jaime.benazar\Quorum Business Solutions\Ecopetrol Prometeo - Documents\Planning Space Implementation\3. Analysis &amp; Design\Design\FC22\DRR Jaime\QUIFA-CAJÚA\Cajua\[VAS_CAJUA_CF_SEC_20230125.xlsx]CF PS'!$BW$36</v>
      </c>
      <c r="J1218" s="4" t="s">
        <v>647</v>
      </c>
    </row>
    <row r="1219" spans="1:10" x14ac:dyDescent="0.2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Jaime\QUIFA-CAJÚA\Cajua\[VAS_CAJUA_CF_SEC_20230125.xlsx]CF PS'!</v>
      </c>
      <c r="G1219" s="7" t="s">
        <v>37</v>
      </c>
      <c r="H1219" s="4">
        <f t="shared" si="218"/>
        <v>37</v>
      </c>
      <c r="I1219" s="4" t="str">
        <f t="shared" si="217"/>
        <v>='C:\Users\jaime.benazar\Quorum Business Solutions\Ecopetrol Prometeo - Documents\Planning Space Implementation\3. Analysis &amp; Design\Design\FC22\DRR Jaime\QUIFA-CAJÚA\Cajua\[VAS_CAJUA_CF_SEC_20230125.xlsx]CF PS'!$BW$37</v>
      </c>
      <c r="J1219" s="4" t="s">
        <v>648</v>
      </c>
    </row>
    <row r="1220" spans="1:10" x14ac:dyDescent="0.2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Jaime\QUIFA-CAJÚA\Cajua\[VAS_CAJUA_CF_SEC_20230125.xlsx]CF PS'!</v>
      </c>
      <c r="G1220" s="7" t="s">
        <v>37</v>
      </c>
      <c r="H1220" s="4">
        <f t="shared" si="218"/>
        <v>38</v>
      </c>
      <c r="I1220" s="4" t="str">
        <f t="shared" si="217"/>
        <v>='C:\Users\jaime.benazar\Quorum Business Solutions\Ecopetrol Prometeo - Documents\Planning Space Implementation\3. Analysis &amp; Design\Design\FC22\DRR Jaime\QUIFA-CAJÚA\Cajua\[VAS_CAJUA_CF_SEC_20230125.xlsx]CF PS'!$BW$38</v>
      </c>
      <c r="J1220" s="4" t="s">
        <v>649</v>
      </c>
    </row>
    <row r="1221" spans="1:10" x14ac:dyDescent="0.2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Jaime\QUIFA-CAJÚA\Cajua\[VAS_CAJUA_CF_SEC_20230125.xlsx]CF PS'!</v>
      </c>
      <c r="G1221" s="7" t="s">
        <v>37</v>
      </c>
      <c r="H1221" s="4">
        <f t="shared" si="218"/>
        <v>39</v>
      </c>
      <c r="I1221" s="4" t="str">
        <f t="shared" si="217"/>
        <v>='C:\Users\jaime.benazar\Quorum Business Solutions\Ecopetrol Prometeo - Documents\Planning Space Implementation\3. Analysis &amp; Design\Design\FC22\DRR Jaime\QUIFA-CAJÚA\Cajua\[VAS_CAJUA_CF_SEC_20230125.xlsx]CF PS'!$BW$39</v>
      </c>
      <c r="J1221" s="4" t="s">
        <v>650</v>
      </c>
    </row>
    <row r="1222" spans="1:10" x14ac:dyDescent="0.2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Jaime\QUIFA-CAJÚA\Cajua\[VAS_CAJUA_CF_SEC_20230125.xlsx]CF PS'!</v>
      </c>
      <c r="G1222" s="7" t="s">
        <v>37</v>
      </c>
      <c r="H1222" s="4">
        <f t="shared" si="218"/>
        <v>40</v>
      </c>
      <c r="I1222" s="4" t="str">
        <f t="shared" si="217"/>
        <v>='C:\Users\jaime.benazar\Quorum Business Solutions\Ecopetrol Prometeo - Documents\Planning Space Implementation\3. Analysis &amp; Design\Design\FC22\DRR Jaime\QUIFA-CAJÚA\Cajua\[VAS_CAJUA_CF_SEC_20230125.xlsx]CF PS'!$BW$40</v>
      </c>
      <c r="J1222" s="4" t="s">
        <v>651</v>
      </c>
    </row>
    <row r="1223" spans="1:10" x14ac:dyDescent="0.2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Jaime\QUIFA-CAJÚA\Cajua\[VAS_CAJUA_CF_SEC_20230125.xlsx]CF PS'!</v>
      </c>
      <c r="G1223" s="7" t="s">
        <v>37</v>
      </c>
      <c r="H1223" s="4">
        <f t="shared" si="218"/>
        <v>41</v>
      </c>
      <c r="I1223" s="4" t="str">
        <f t="shared" si="217"/>
        <v>='C:\Users\jaime.benazar\Quorum Business Solutions\Ecopetrol Prometeo - Documents\Planning Space Implementation\3. Analysis &amp; Design\Design\FC22\DRR Jaime\QUIFA-CAJÚA\Cajua\[VAS_CAJUA_CF_SEC_20230125.xlsx]CF PS'!$BW$41</v>
      </c>
      <c r="J1223" s="4" t="s">
        <v>652</v>
      </c>
    </row>
    <row r="1224" spans="1:10" x14ac:dyDescent="0.2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Jaime\QUIFA-CAJÚA\Cajua\[VAS_CAJUA_CF_SEC_20230125.xlsx]CF PS'!</v>
      </c>
      <c r="G1224" s="7" t="s">
        <v>37</v>
      </c>
      <c r="H1224" s="4">
        <f t="shared" si="218"/>
        <v>42</v>
      </c>
      <c r="I1224" s="4" t="str">
        <f t="shared" si="217"/>
        <v>='C:\Users\jaime.benazar\Quorum Business Solutions\Ecopetrol Prometeo - Documents\Planning Space Implementation\3. Analysis &amp; Design\Design\FC22\DRR Jaime\QUIFA-CAJÚA\Cajua\[VAS_CAJUA_CF_SEC_20230125.xlsx]CF PS'!$BW$42</v>
      </c>
      <c r="J1224" s="4" t="s">
        <v>653</v>
      </c>
    </row>
    <row r="1225" spans="1:10" x14ac:dyDescent="0.2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Jaime\QUIFA-CAJÚA\Cajua\[VAS_CAJUA_CF_SEC_20230125.xlsx]CF PS'!</v>
      </c>
      <c r="G1225" s="7" t="s">
        <v>37</v>
      </c>
      <c r="H1225" s="4">
        <f t="shared" si="218"/>
        <v>43</v>
      </c>
      <c r="I1225" s="4" t="str">
        <f t="shared" si="217"/>
        <v>='C:\Users\jaime.benazar\Quorum Business Solutions\Ecopetrol Prometeo - Documents\Planning Space Implementation\3. Analysis &amp; Design\Design\FC22\DRR Jaime\QUIFA-CAJÚA\Cajua\[VAS_CAJUA_CF_SEC_20230125.xlsx]CF PS'!$BW$43</v>
      </c>
      <c r="J1225" s="4" t="s">
        <v>654</v>
      </c>
    </row>
    <row r="1226" spans="1:10" x14ac:dyDescent="0.2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Jaime\QUIFA-CAJÚA\Cajua\[VAS_CAJUA_CF_SEC_20230125.xlsx]CF PS'!</v>
      </c>
      <c r="G1226" s="7" t="s">
        <v>37</v>
      </c>
      <c r="H1226" s="4">
        <f t="shared" si="218"/>
        <v>44</v>
      </c>
      <c r="I1226" s="4" t="str">
        <f t="shared" si="217"/>
        <v>='C:\Users\jaime.benazar\Quorum Business Solutions\Ecopetrol Prometeo - Documents\Planning Space Implementation\3. Analysis &amp; Design\Design\FC22\DRR Jaime\QUIFA-CAJÚA\Cajua\[VAS_CAJUA_CF_SEC_20230125.xlsx]CF PS'!$BW$44</v>
      </c>
      <c r="J1226" s="4" t="s">
        <v>655</v>
      </c>
    </row>
    <row r="1227" spans="1:10" x14ac:dyDescent="0.2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Jaime\QUIFA-CAJÚA\Cajua\[VAS_CAJUA_CF_SEC_20230125.xlsx]CF PS'!</v>
      </c>
      <c r="G1227" s="7" t="s">
        <v>37</v>
      </c>
      <c r="H1227" s="4">
        <f t="shared" si="218"/>
        <v>45</v>
      </c>
      <c r="I1227" s="4" t="str">
        <f t="shared" si="217"/>
        <v>='C:\Users\jaime.benazar\Quorum Business Solutions\Ecopetrol Prometeo - Documents\Planning Space Implementation\3. Analysis &amp; Design\Design\FC22\DRR Jaime\QUIFA-CAJÚA\Cajua\[VAS_CAJUA_CF_SEC_20230125.xlsx]CF PS'!$BW$45</v>
      </c>
      <c r="J1227" s="4" t="s">
        <v>656</v>
      </c>
    </row>
    <row r="1228" spans="1:10" x14ac:dyDescent="0.2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Jaime\QUIFA-CAJÚA\Cajua\[VAS_CAJUA_CF_SEC_20230125.xlsx]CF PS'!</v>
      </c>
      <c r="G1228" s="7" t="s">
        <v>37</v>
      </c>
      <c r="H1228" s="4">
        <f t="shared" si="218"/>
        <v>46</v>
      </c>
      <c r="I1228" s="4" t="str">
        <f t="shared" si="217"/>
        <v>='C:\Users\jaime.benazar\Quorum Business Solutions\Ecopetrol Prometeo - Documents\Planning Space Implementation\3. Analysis &amp; Design\Design\FC22\DRR Jaime\QUIFA-CAJÚA\Cajua\[VAS_CAJUA_CF_SEC_20230125.xlsx]CF PS'!$BW$46</v>
      </c>
      <c r="J1228" s="4" t="s">
        <v>657</v>
      </c>
    </row>
    <row r="1229" spans="1:10" x14ac:dyDescent="0.2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Jaime\QUIFA-CAJÚA\Cajua\[VAS_CAJUA_CF_SEC_20230125.xlsx]CF PS'!</v>
      </c>
      <c r="G1229" s="7" t="s">
        <v>37</v>
      </c>
      <c r="H1229" s="4">
        <f t="shared" si="218"/>
        <v>47</v>
      </c>
      <c r="I1229" s="4" t="str">
        <f t="shared" si="217"/>
        <v>='C:\Users\jaime.benazar\Quorum Business Solutions\Ecopetrol Prometeo - Documents\Planning Space Implementation\3. Analysis &amp; Design\Design\FC22\DRR Jaime\QUIFA-CAJÚA\Cajua\[VAS_CAJUA_CF_SEC_20230125.xlsx]CF PS'!$BW$47</v>
      </c>
      <c r="J1229" s="4" t="s">
        <v>658</v>
      </c>
    </row>
    <row r="1230" spans="1:10" x14ac:dyDescent="0.2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Jaime\QUIFA-CAJÚA\Cajua\[VAS_CAJUA_CF_SEC_20230125.xlsx]CF PS'!</v>
      </c>
      <c r="G1230" s="7" t="s">
        <v>37</v>
      </c>
      <c r="H1230" s="4">
        <f t="shared" si="218"/>
        <v>48</v>
      </c>
      <c r="I1230" s="4" t="str">
        <f t="shared" si="217"/>
        <v>='C:\Users\jaime.benazar\Quorum Business Solutions\Ecopetrol Prometeo - Documents\Planning Space Implementation\3. Analysis &amp; Design\Design\FC22\DRR Jaime\QUIFA-CAJÚA\Cajua\[VAS_CAJUA_CF_SEC_20230125.xlsx]CF PS'!$BW$48</v>
      </c>
      <c r="J1230" s="4" t="s">
        <v>659</v>
      </c>
    </row>
    <row r="1231" spans="1:10" x14ac:dyDescent="0.2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Jaime\QUIFA-CAJÚA\Cajua\[VAS_CAJUA_CF_SEC_20230125.xlsx]CF PS'!</v>
      </c>
      <c r="G1231" s="7" t="s">
        <v>37</v>
      </c>
      <c r="H1231" s="4">
        <f t="shared" si="218"/>
        <v>49</v>
      </c>
      <c r="I1231" s="4" t="str">
        <f t="shared" si="217"/>
        <v>='C:\Users\jaime.benazar\Quorum Business Solutions\Ecopetrol Prometeo - Documents\Planning Space Implementation\3. Analysis &amp; Design\Design\FC22\DRR Jaime\QUIFA-CAJÚA\Cajua\[VAS_CAJUA_CF_SEC_20230125.xlsx]CF PS'!$BW$49</v>
      </c>
      <c r="J1231" s="4" t="s">
        <v>660</v>
      </c>
    </row>
    <row r="1232" spans="1:10" x14ac:dyDescent="0.2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Jaime\QUIFA-CAJÚA\Cajua\[VAS_CAJUA_CF_SEC_20230125.xlsx]CF PS'!</v>
      </c>
      <c r="G1232" s="7" t="s">
        <v>37</v>
      </c>
      <c r="H1232" s="4">
        <f t="shared" si="218"/>
        <v>50</v>
      </c>
      <c r="I1232" s="4" t="str">
        <f t="shared" si="217"/>
        <v>='C:\Users\jaime.benazar\Quorum Business Solutions\Ecopetrol Prometeo - Documents\Planning Space Implementation\3. Analysis &amp; Design\Design\FC22\DRR Jaime\QUIFA-CAJÚA\Cajua\[VAS_CAJUA_CF_SEC_20230125.xlsx]CF PS'!$BW$50</v>
      </c>
      <c r="J1232" s="4" t="s">
        <v>661</v>
      </c>
    </row>
    <row r="1233" spans="1:10" x14ac:dyDescent="0.2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Jaime\QUIFA-CAJÚA\Cajua\[VAS_CAJUA_CF_SEC_20230125.xlsx]CF PS'!</v>
      </c>
      <c r="G1233" s="7" t="s">
        <v>37</v>
      </c>
      <c r="H1233" s="4">
        <f t="shared" si="218"/>
        <v>51</v>
      </c>
      <c r="I1233" s="4" t="str">
        <f t="shared" si="217"/>
        <v>='C:\Users\jaime.benazar\Quorum Business Solutions\Ecopetrol Prometeo - Documents\Planning Space Implementation\3. Analysis &amp; Design\Design\FC22\DRR Jaime\QUIFA-CAJÚA\Cajua\[VAS_CAJUA_CF_SEC_20230125.xlsx]CF PS'!$BW$51</v>
      </c>
      <c r="J1233" s="4" t="s">
        <v>662</v>
      </c>
    </row>
    <row r="1234" spans="1:10" x14ac:dyDescent="0.2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Jaime\QUIFA-CAJÚA\Cajua\[VAS_CAJUA_CF_SEC_20230125.xlsx]CF PS'!</v>
      </c>
      <c r="G1234" s="7" t="s">
        <v>37</v>
      </c>
      <c r="H1234" s="4">
        <f t="shared" si="218"/>
        <v>52</v>
      </c>
      <c r="I1234" s="4" t="str">
        <f t="shared" si="217"/>
        <v>='C:\Users\jaime.benazar\Quorum Business Solutions\Ecopetrol Prometeo - Documents\Planning Space Implementation\3. Analysis &amp; Design\Design\FC22\DRR Jaime\QUIFA-CAJÚA\Cajua\[VAS_CAJUA_CF_SEC_20230125.xlsx]CF PS'!$BW$52</v>
      </c>
      <c r="J1234" s="4" t="s">
        <v>663</v>
      </c>
    </row>
    <row r="1235" spans="1:10" x14ac:dyDescent="0.2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Jaime\QUIFA-CAJÚA\Cajua\[VAS_CAJUA_CF_SEC_20230125.xlsx]CF PS'!</v>
      </c>
      <c r="G1235" s="7" t="s">
        <v>37</v>
      </c>
      <c r="H1235" s="4">
        <f t="shared" si="218"/>
        <v>53</v>
      </c>
      <c r="I1235" s="4" t="str">
        <f t="shared" si="217"/>
        <v>='C:\Users\jaime.benazar\Quorum Business Solutions\Ecopetrol Prometeo - Documents\Planning Space Implementation\3. Analysis &amp; Design\Design\FC22\DRR Jaime\QUIFA-CAJÚA\Cajua\[VAS_CAJUA_CF_SEC_20230125.xlsx]CF PS'!$BW$53</v>
      </c>
      <c r="J1235" s="4" t="s">
        <v>664</v>
      </c>
    </row>
    <row r="1236" spans="1:10" x14ac:dyDescent="0.2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Jaime\QUIFA-CAJÚA\Cajua\[VAS_CAJUA_CF_SEC_20230125.xlsx]CF PS'!</v>
      </c>
      <c r="G1236" s="7" t="s">
        <v>37</v>
      </c>
      <c r="H1236" s="4">
        <f t="shared" si="218"/>
        <v>54</v>
      </c>
      <c r="I1236" s="4" t="str">
        <f t="shared" si="217"/>
        <v>='C:\Users\jaime.benazar\Quorum Business Solutions\Ecopetrol Prometeo - Documents\Planning Space Implementation\3. Analysis &amp; Design\Design\FC22\DRR Jaime\QUIFA-CAJÚA\Cajua\[VAS_CAJUA_CF_SEC_20230125.xlsx]CF PS'!$BW$54</v>
      </c>
      <c r="J1236" s="4" t="s">
        <v>665</v>
      </c>
    </row>
    <row r="1237" spans="1:10" x14ac:dyDescent="0.2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Jaime\QUIFA-CAJÚA\Cajua\[VAS_CAJUA_CF_SEC_20230125.xlsx]CF PS'!</v>
      </c>
      <c r="G1237" s="7" t="s">
        <v>37</v>
      </c>
      <c r="H1237" s="4">
        <f t="shared" si="218"/>
        <v>55</v>
      </c>
      <c r="I1237" s="4" t="str">
        <f t="shared" si="217"/>
        <v>='C:\Users\jaime.benazar\Quorum Business Solutions\Ecopetrol Prometeo - Documents\Planning Space Implementation\3. Analysis &amp; Design\Design\FC22\DRR Jaime\QUIFA-CAJÚA\Cajua\[VAS_CAJUA_CF_SEC_20230125.xlsx]CF PS'!$BW$55</v>
      </c>
      <c r="J1237" s="4" t="s">
        <v>666</v>
      </c>
    </row>
    <row r="1238" spans="1:10" x14ac:dyDescent="0.2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Jaime\QUIFA-CAJÚA\Cajua\[VAS_CAJUA_CF_SEC_20230125.xlsx]CF PS'!</v>
      </c>
      <c r="G1238" s="7" t="s">
        <v>37</v>
      </c>
      <c r="H1238" s="4">
        <f t="shared" si="218"/>
        <v>56</v>
      </c>
      <c r="I1238" s="4" t="str">
        <f t="shared" si="217"/>
        <v>='C:\Users\jaime.benazar\Quorum Business Solutions\Ecopetrol Prometeo - Documents\Planning Space Implementation\3. Analysis &amp; Design\Design\FC22\DRR Jaime\QUIFA-CAJÚA\Cajua\[VAS_CAJUA_CF_SEC_20230125.xlsx]CF PS'!$BW$56</v>
      </c>
      <c r="J1238" s="4" t="s">
        <v>667</v>
      </c>
    </row>
    <row r="1239" spans="1:10" x14ac:dyDescent="0.2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Jaime\QUIFA-CAJÚA\Cajua\[VAS_CAJUA_CF_SEC_20230125.xlsx]CF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Jaime\QUIFA-CAJÚA\Cajua\[VAS_CAJUA_CF_SEC_20230125.xlsx]CF PS'!$BW$57</v>
      </c>
      <c r="J1239" s="4" t="s">
        <v>668</v>
      </c>
    </row>
    <row r="1240" spans="1:10" x14ac:dyDescent="0.2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Jaime\QUIFA-CAJÚA\Cajua\[VAS_CAJUA_CF_SEC_20230125.xlsx]CF PS'!</v>
      </c>
      <c r="G1240" s="7" t="s">
        <v>37</v>
      </c>
      <c r="H1240" s="4">
        <f t="shared" si="282"/>
        <v>58</v>
      </c>
      <c r="I1240" s="4" t="str">
        <f t="shared" si="283"/>
        <v>='C:\Users\jaime.benazar\Quorum Business Solutions\Ecopetrol Prometeo - Documents\Planning Space Implementation\3. Analysis &amp; Design\Design\FC22\DRR Jaime\QUIFA-CAJÚA\Cajua\[VAS_CAJUA_CF_SEC_20230125.xlsx]CF PS'!$BW$58</v>
      </c>
      <c r="J1240" s="4" t="s">
        <v>669</v>
      </c>
    </row>
    <row r="1241" spans="1:10" x14ac:dyDescent="0.2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Jaime\QUIFA-CAJÚA\Cajua\[VAS_CAJUA_CF_SEC_20230125.xlsx]CF PS'!</v>
      </c>
      <c r="G1241" s="7" t="s">
        <v>37</v>
      </c>
      <c r="H1241" s="4">
        <f t="shared" si="282"/>
        <v>59</v>
      </c>
      <c r="I1241" s="4" t="str">
        <f t="shared" si="283"/>
        <v>='C:\Users\jaime.benazar\Quorum Business Solutions\Ecopetrol Prometeo - Documents\Planning Space Implementation\3. Analysis &amp; Design\Design\FC22\DRR Jaime\QUIFA-CAJÚA\Cajua\[VAS_CAJUA_CF_SEC_20230125.xlsx]CF PS'!$BW$59</v>
      </c>
      <c r="J1241" s="4" t="s">
        <v>670</v>
      </c>
    </row>
    <row r="1242" spans="1:10" x14ac:dyDescent="0.2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Jaime\QUIFA-CAJÚA\Cajua\[VAS_CAJUA_CF_SEC_20230125.xlsx]CF PS'!</v>
      </c>
      <c r="G1242" s="7" t="s">
        <v>37</v>
      </c>
      <c r="H1242" s="4">
        <f t="shared" si="282"/>
        <v>60</v>
      </c>
      <c r="I1242" s="4" t="str">
        <f t="shared" si="283"/>
        <v>='C:\Users\jaime.benazar\Quorum Business Solutions\Ecopetrol Prometeo - Documents\Planning Space Implementation\3. Analysis &amp; Design\Design\FC22\DRR Jaime\QUIFA-CAJÚA\Cajua\[VAS_CAJUA_CF_SEC_20230125.xlsx]CF PS'!$BW$60</v>
      </c>
      <c r="J1242" s="4" t="s">
        <v>671</v>
      </c>
    </row>
    <row r="1243" spans="1:10" x14ac:dyDescent="0.2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Jaime\QUIFA-CAJÚA\Cajua\[VAS_CAJUA_CF_SEC_20230125.xlsx]CF PS'!</v>
      </c>
      <c r="G1243" s="7" t="s">
        <v>37</v>
      </c>
      <c r="H1243" s="4">
        <f t="shared" si="282"/>
        <v>61</v>
      </c>
      <c r="I1243" s="4" t="str">
        <f t="shared" si="283"/>
        <v>='C:\Users\jaime.benazar\Quorum Business Solutions\Ecopetrol Prometeo - Documents\Planning Space Implementation\3. Analysis &amp; Design\Design\FC22\DRR Jaime\QUIFA-CAJÚA\Cajua\[VAS_CAJUA_CF_SEC_20230125.xlsx]CF PS'!$BW$61</v>
      </c>
      <c r="J1243" s="4" t="s">
        <v>672</v>
      </c>
    </row>
    <row r="1244" spans="1:10" x14ac:dyDescent="0.2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Jaime\QUIFA-CAJÚA\Cajua\[VAS_CAJUA_CF_SEC_20230125.xlsx]CF PS'!</v>
      </c>
      <c r="G1244" s="7" t="s">
        <v>37</v>
      </c>
      <c r="H1244" s="4">
        <f t="shared" si="282"/>
        <v>62</v>
      </c>
      <c r="I1244" s="4" t="str">
        <f t="shared" si="283"/>
        <v>='C:\Users\jaime.benazar\Quorum Business Solutions\Ecopetrol Prometeo - Documents\Planning Space Implementation\3. Analysis &amp; Design\Design\FC22\DRR Jaime\QUIFA-CAJÚA\Cajua\[VAS_CAJUA_CF_SEC_20230125.xlsx]CF PS'!$BW$62</v>
      </c>
      <c r="J1244" s="4" t="s">
        <v>673</v>
      </c>
    </row>
    <row r="1245" spans="1:10" x14ac:dyDescent="0.2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Jaime\QUIFA-CAJÚA\Cajua\[VAS_CAJUA_CF_SEC_20230125.xlsx]CF PS'!</v>
      </c>
      <c r="G1245" s="7" t="s">
        <v>37</v>
      </c>
      <c r="H1245" s="4">
        <f t="shared" si="282"/>
        <v>63</v>
      </c>
      <c r="I1245" s="4" t="str">
        <f t="shared" si="283"/>
        <v>='C:\Users\jaime.benazar\Quorum Business Solutions\Ecopetrol Prometeo - Documents\Planning Space Implementation\3. Analysis &amp; Design\Design\FC22\DRR Jaime\QUIFA-CAJÚA\Cajua\[VAS_CAJUA_CF_SEC_20230125.xlsx]CF PS'!$BW$63</v>
      </c>
      <c r="J1245" s="4" t="s">
        <v>674</v>
      </c>
    </row>
    <row r="1246" spans="1:10" x14ac:dyDescent="0.2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Jaime\QUIFA-CAJÚA\Cajua\[VAS_CAJUA_CF_SEC_20230125.xlsx]CF PS'!</v>
      </c>
      <c r="G1246" s="7" t="s">
        <v>37</v>
      </c>
      <c r="H1246" s="4">
        <f t="shared" si="282"/>
        <v>64</v>
      </c>
      <c r="I1246" s="4" t="str">
        <f t="shared" si="283"/>
        <v>='C:\Users\jaime.benazar\Quorum Business Solutions\Ecopetrol Prometeo - Documents\Planning Space Implementation\3. Analysis &amp; Design\Design\FC22\DRR Jaime\QUIFA-CAJÚA\Cajua\[VAS_CAJUA_CF_SEC_20230125.xlsx]CF PS'!$BW$64</v>
      </c>
      <c r="J1246" s="4" t="s">
        <v>675</v>
      </c>
    </row>
    <row r="1247" spans="1:10" x14ac:dyDescent="0.2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Jaime\QUIFA-CAJÚA\Cajua\[VAS_CAJUA_CF_SEC_20230125.xlsx]CF PS'!</v>
      </c>
      <c r="G1247" s="7" t="s">
        <v>37</v>
      </c>
      <c r="H1247" s="4">
        <f t="shared" si="282"/>
        <v>65</v>
      </c>
      <c r="I1247" s="4" t="str">
        <f t="shared" si="283"/>
        <v>='C:\Users\jaime.benazar\Quorum Business Solutions\Ecopetrol Prometeo - Documents\Planning Space Implementation\3. Analysis &amp; Design\Design\FC22\DRR Jaime\QUIFA-CAJÚA\Cajua\[VAS_CAJUA_CF_SEC_20230125.xlsx]CF PS'!$BW$65</v>
      </c>
      <c r="J1247" s="4" t="s">
        <v>676</v>
      </c>
    </row>
    <row r="1248" spans="1:10" x14ac:dyDescent="0.2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Jaime\QUIFA-CAJÚA\Cajua\[VAS_CAJUA_CF_SEC_20230125.xlsx]CF PS'!</v>
      </c>
      <c r="G1248" s="7" t="s">
        <v>37</v>
      </c>
      <c r="H1248" s="4">
        <f t="shared" si="282"/>
        <v>66</v>
      </c>
      <c r="I1248" s="4" t="str">
        <f t="shared" si="283"/>
        <v>='C:\Users\jaime.benazar\Quorum Business Solutions\Ecopetrol Prometeo - Documents\Planning Space Implementation\3. Analysis &amp; Design\Design\FC22\DRR Jaime\QUIFA-CAJÚA\Cajua\[VAS_CAJUA_CF_SEC_20230125.xlsx]CF PS'!$BW$66</v>
      </c>
      <c r="J1248" s="4" t="s">
        <v>677</v>
      </c>
    </row>
    <row r="1249" spans="1:10" x14ac:dyDescent="0.2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Jaime\QUIFA-CAJÚA\Cajua\[VAS_CAJUA_CF_SEC_20230125.xlsx]CF PS'!</v>
      </c>
      <c r="G1249" s="7" t="s">
        <v>37</v>
      </c>
      <c r="H1249" s="4">
        <f t="shared" si="282"/>
        <v>67</v>
      </c>
      <c r="I1249" s="4" t="str">
        <f t="shared" si="283"/>
        <v>='C:\Users\jaime.benazar\Quorum Business Solutions\Ecopetrol Prometeo - Documents\Planning Space Implementation\3. Analysis &amp; Design\Design\FC22\DRR Jaime\QUIFA-CAJÚA\Cajua\[VAS_CAJUA_CF_SEC_20230125.xlsx]CF PS'!$BW$67</v>
      </c>
      <c r="J1249" s="4" t="s">
        <v>678</v>
      </c>
    </row>
    <row r="1250" spans="1:10" x14ac:dyDescent="0.2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Jaime\QUIFA-CAJÚA\Cajua\[VAS_CAJUA_CF_SEC_20230125.xlsx]CF PS'!</v>
      </c>
      <c r="G1250" s="7" t="s">
        <v>37</v>
      </c>
      <c r="H1250" s="4">
        <f t="shared" si="282"/>
        <v>68</v>
      </c>
      <c r="I1250" s="4" t="str">
        <f t="shared" si="283"/>
        <v>='C:\Users\jaime.benazar\Quorum Business Solutions\Ecopetrol Prometeo - Documents\Planning Space Implementation\3. Analysis &amp; Design\Design\FC22\DRR Jaime\QUIFA-CAJÚA\Cajua\[VAS_CAJUA_CF_SEC_20230125.xlsx]CF PS'!$BW$68</v>
      </c>
      <c r="J1250" s="4" t="s">
        <v>679</v>
      </c>
    </row>
    <row r="1251" spans="1:10" x14ac:dyDescent="0.2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Jaime\QUIFA-CAJÚA\Cajua\[VAS_CAJUA_CF_SEC_20230125.xlsx]CF PS'!</v>
      </c>
      <c r="G1251" s="7" t="s">
        <v>37</v>
      </c>
      <c r="H1251" s="4">
        <f t="shared" si="282"/>
        <v>69</v>
      </c>
      <c r="I1251" s="4" t="str">
        <f t="shared" si="283"/>
        <v>='C:\Users\jaime.benazar\Quorum Business Solutions\Ecopetrol Prometeo - Documents\Planning Space Implementation\3. Analysis &amp; Design\Design\FC22\DRR Jaime\QUIFA-CAJÚA\Cajua\[VAS_CAJUA_CF_SEC_20230125.xlsx]CF PS'!$BW$69</v>
      </c>
      <c r="J1251" s="4" t="s">
        <v>680</v>
      </c>
    </row>
    <row r="1252" spans="1:10" x14ac:dyDescent="0.2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Jaime\QUIFA-CAJÚA\Cajua\[VAS_CAJUA_CF_SEC_20230125.xlsx]CF PS'!</v>
      </c>
      <c r="G1252" s="7" t="s">
        <v>37</v>
      </c>
      <c r="H1252" s="4">
        <f t="shared" si="282"/>
        <v>70</v>
      </c>
      <c r="I1252" s="4" t="str">
        <f t="shared" si="283"/>
        <v>='C:\Users\jaime.benazar\Quorum Business Solutions\Ecopetrol Prometeo - Documents\Planning Space Implementation\3. Analysis &amp; Design\Design\FC22\DRR Jaime\QUIFA-CAJÚA\Cajua\[VAS_CAJUA_CF_SEC_20230125.xlsx]CF PS'!$BW$70</v>
      </c>
      <c r="J1252" s="4" t="s">
        <v>681</v>
      </c>
    </row>
    <row r="1253" spans="1:10" x14ac:dyDescent="0.2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Jaime\QUIFA-CAJÚA\Cajua\[VAS_CAJUA_CF_SEC_20230125.xlsx]CF PS'!</v>
      </c>
      <c r="G1253" s="7" t="s">
        <v>37</v>
      </c>
      <c r="H1253" s="4">
        <f t="shared" si="282"/>
        <v>71</v>
      </c>
      <c r="I1253" s="4" t="str">
        <f t="shared" si="283"/>
        <v>='C:\Users\jaime.benazar\Quorum Business Solutions\Ecopetrol Prometeo - Documents\Planning Space Implementation\3. Analysis &amp; Design\Design\FC22\DRR Jaime\QUIFA-CAJÚA\Cajua\[VAS_CAJUA_CF_SEC_20230125.xlsx]CF PS'!$BW$71</v>
      </c>
      <c r="J1253" s="4" t="s">
        <v>682</v>
      </c>
    </row>
    <row r="1254" spans="1:10" x14ac:dyDescent="0.2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Jaime\QUIFA-CAJÚA\Cajua\[VAS_CAJUA_CF_SEC_20230125.xlsx]CF PS'!</v>
      </c>
      <c r="G1254" s="7" t="s">
        <v>37</v>
      </c>
      <c r="H1254" s="4">
        <f t="shared" si="282"/>
        <v>72</v>
      </c>
      <c r="I1254" s="4" t="str">
        <f t="shared" si="283"/>
        <v>='C:\Users\jaime.benazar\Quorum Business Solutions\Ecopetrol Prometeo - Documents\Planning Space Implementation\3. Analysis &amp; Design\Design\FC22\DRR Jaime\QUIFA-CAJÚA\Cajua\[VAS_CAJUA_CF_SEC_20230125.xlsx]CF PS'!$BW$72</v>
      </c>
      <c r="J1254" s="4" t="s">
        <v>683</v>
      </c>
    </row>
    <row r="1255" spans="1:10" x14ac:dyDescent="0.25">
      <c r="A1255" s="7" t="s">
        <v>28</v>
      </c>
      <c r="B1255" s="7"/>
      <c r="C1255" s="4" t="s">
        <v>11</v>
      </c>
      <c r="D1255" s="5"/>
      <c r="E1255" s="10"/>
      <c r="F1255" s="5" t="str">
        <f t="shared" si="276"/>
        <v xml:space="preserve"> </v>
      </c>
      <c r="G1255" s="7"/>
      <c r="H1255" s="4"/>
      <c r="I1255" s="4"/>
      <c r="J1255" s="4"/>
    </row>
    <row r="1256" spans="1:10" x14ac:dyDescent="0.2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Jaime\QUIFA-CAJÚA\Cajua\[VAS_CAJUA_CF_SEC_20230125.xlsx]CF PDP'!</v>
      </c>
      <c r="G1256" s="6" t="s">
        <v>38</v>
      </c>
      <c r="H1256" s="1">
        <f>IF(A1256&lt;&gt;A1240,36,H1240+1)</f>
        <v>36</v>
      </c>
      <c r="I1256" s="1" t="str">
        <f>_xlfn.CONCAT("='",F1256:H1256)</f>
        <v>='C:\Users\jaime.benazar\Quorum Business Solutions\Ecopetrol Prometeo - Documents\Planning Space Implementation\3. Analysis &amp; Design\Design\FC22\DRR Jaime\QUIFA-CAJÚA\Cajua\[VAS_CAJUA_CF_SEC_20230125.xlsx]CF PDP'!$BX$36</v>
      </c>
      <c r="J1256" s="1" t="s">
        <v>684</v>
      </c>
    </row>
    <row r="1257" spans="1:10" x14ac:dyDescent="0.2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Jaime\QUIFA-CAJÚA\Cajua\[VAS_CAJUA_CF_SEC_20230125.xlsx]CF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Jaime\QUIFA-CAJÚA\Cajua\[VAS_CAJUA_CF_SEC_20230125.xlsx]CF PDP'!$BX$37</v>
      </c>
      <c r="J1257" s="1" t="s">
        <v>685</v>
      </c>
    </row>
    <row r="1258" spans="1:10" x14ac:dyDescent="0.2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Jaime\QUIFA-CAJÚA\Cajua\[VAS_CAJUA_CF_SEC_20230125.xlsx]CF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Jaime\QUIFA-CAJÚA\Cajua\[VAS_CAJUA_CF_SEC_20230125.xlsx]CF PDP'!$BX$38</v>
      </c>
      <c r="J1258" s="1" t="s">
        <v>686</v>
      </c>
    </row>
    <row r="1259" spans="1:10" x14ac:dyDescent="0.2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Jaime\QUIFA-CAJÚA\Cajua\[VAS_CAJUA_CF_SEC_20230125.xlsx]CF PDP'!</v>
      </c>
      <c r="G1259" s="6" t="s">
        <v>38</v>
      </c>
      <c r="H1259" s="1">
        <f t="shared" si="288"/>
        <v>39</v>
      </c>
      <c r="I1259" s="1" t="str">
        <f t="shared" si="286"/>
        <v>='C:\Users\jaime.benazar\Quorum Business Solutions\Ecopetrol Prometeo - Documents\Planning Space Implementation\3. Analysis &amp; Design\Design\FC22\DRR Jaime\QUIFA-CAJÚA\Cajua\[VAS_CAJUA_CF_SEC_20230125.xlsx]CF PDP'!$BX$39</v>
      </c>
      <c r="J1259" s="1" t="s">
        <v>687</v>
      </c>
    </row>
    <row r="1260" spans="1:10" x14ac:dyDescent="0.2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Jaime\QUIFA-CAJÚA\Cajua\[VAS_CAJUA_CF_SEC_20230125.xlsx]CF PDP'!</v>
      </c>
      <c r="G1260" s="6" t="s">
        <v>38</v>
      </c>
      <c r="H1260" s="1">
        <f t="shared" si="288"/>
        <v>40</v>
      </c>
      <c r="I1260" s="1" t="str">
        <f t="shared" si="286"/>
        <v>='C:\Users\jaime.benazar\Quorum Business Solutions\Ecopetrol Prometeo - Documents\Planning Space Implementation\3. Analysis &amp; Design\Design\FC22\DRR Jaime\QUIFA-CAJÚA\Cajua\[VAS_CAJUA_CF_SEC_20230125.xlsx]CF PDP'!$BX$40</v>
      </c>
      <c r="J1260" s="1" t="s">
        <v>688</v>
      </c>
    </row>
    <row r="1261" spans="1:10" x14ac:dyDescent="0.2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Jaime\QUIFA-CAJÚA\Cajua\[VAS_CAJUA_CF_SEC_20230125.xlsx]CF PDP'!</v>
      </c>
      <c r="G1261" s="6" t="s">
        <v>38</v>
      </c>
      <c r="H1261" s="1">
        <f t="shared" si="288"/>
        <v>41</v>
      </c>
      <c r="I1261" s="1" t="str">
        <f t="shared" si="286"/>
        <v>='C:\Users\jaime.benazar\Quorum Business Solutions\Ecopetrol Prometeo - Documents\Planning Space Implementation\3. Analysis &amp; Design\Design\FC22\DRR Jaime\QUIFA-CAJÚA\Cajua\[VAS_CAJUA_CF_SEC_20230125.xlsx]CF PDP'!$BX$41</v>
      </c>
      <c r="J1261" s="1" t="s">
        <v>689</v>
      </c>
    </row>
    <row r="1262" spans="1:10" x14ac:dyDescent="0.2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Jaime\QUIFA-CAJÚA\Cajua\[VAS_CAJUA_CF_SEC_20230125.xlsx]CF PDP'!</v>
      </c>
      <c r="G1262" s="6" t="s">
        <v>38</v>
      </c>
      <c r="H1262" s="1">
        <f t="shared" si="288"/>
        <v>42</v>
      </c>
      <c r="I1262" s="1" t="str">
        <f t="shared" si="286"/>
        <v>='C:\Users\jaime.benazar\Quorum Business Solutions\Ecopetrol Prometeo - Documents\Planning Space Implementation\3. Analysis &amp; Design\Design\FC22\DRR Jaime\QUIFA-CAJÚA\Cajua\[VAS_CAJUA_CF_SEC_20230125.xlsx]CF PDP'!$BX$42</v>
      </c>
      <c r="J1262" s="1" t="s">
        <v>690</v>
      </c>
    </row>
    <row r="1263" spans="1:10" x14ac:dyDescent="0.2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Jaime\QUIFA-CAJÚA\Cajua\[VAS_CAJUA_CF_SEC_20230125.xlsx]CF PDP'!</v>
      </c>
      <c r="G1263" s="6" t="s">
        <v>38</v>
      </c>
      <c r="H1263" s="1">
        <f t="shared" si="288"/>
        <v>43</v>
      </c>
      <c r="I1263" s="1" t="str">
        <f t="shared" si="286"/>
        <v>='C:\Users\jaime.benazar\Quorum Business Solutions\Ecopetrol Prometeo - Documents\Planning Space Implementation\3. Analysis &amp; Design\Design\FC22\DRR Jaime\QUIFA-CAJÚA\Cajua\[VAS_CAJUA_CF_SEC_20230125.xlsx]CF PDP'!$BX$43</v>
      </c>
      <c r="J1263" s="1" t="s">
        <v>691</v>
      </c>
    </row>
    <row r="1264" spans="1:10" x14ac:dyDescent="0.2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Jaime\QUIFA-CAJÚA\Cajua\[VAS_CAJUA_CF_SEC_20230125.xlsx]CF PDP'!</v>
      </c>
      <c r="G1264" s="6" t="s">
        <v>38</v>
      </c>
      <c r="H1264" s="1">
        <f t="shared" si="288"/>
        <v>44</v>
      </c>
      <c r="I1264" s="1" t="str">
        <f t="shared" si="286"/>
        <v>='C:\Users\jaime.benazar\Quorum Business Solutions\Ecopetrol Prometeo - Documents\Planning Space Implementation\3. Analysis &amp; Design\Design\FC22\DRR Jaime\QUIFA-CAJÚA\Cajua\[VAS_CAJUA_CF_SEC_20230125.xlsx]CF PDP'!$BX$44</v>
      </c>
      <c r="J1264" s="1" t="s">
        <v>692</v>
      </c>
    </row>
    <row r="1265" spans="1:10" x14ac:dyDescent="0.2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Jaime\QUIFA-CAJÚA\Cajua\[VAS_CAJUA_CF_SEC_20230125.xlsx]CF PDP'!</v>
      </c>
      <c r="G1265" s="6" t="s">
        <v>38</v>
      </c>
      <c r="H1265" s="1">
        <f t="shared" si="288"/>
        <v>45</v>
      </c>
      <c r="I1265" s="1" t="str">
        <f t="shared" si="286"/>
        <v>='C:\Users\jaime.benazar\Quorum Business Solutions\Ecopetrol Prometeo - Documents\Planning Space Implementation\3. Analysis &amp; Design\Design\FC22\DRR Jaime\QUIFA-CAJÚA\Cajua\[VAS_CAJUA_CF_SEC_20230125.xlsx]CF PDP'!$BX$45</v>
      </c>
      <c r="J1265" s="1" t="s">
        <v>693</v>
      </c>
    </row>
    <row r="1266" spans="1:10" x14ac:dyDescent="0.2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Jaime\QUIFA-CAJÚA\Cajua\[VAS_CAJUA_CF_SEC_20230125.xlsx]CF PDP'!</v>
      </c>
      <c r="G1266" s="6" t="s">
        <v>38</v>
      </c>
      <c r="H1266" s="1">
        <f t="shared" si="288"/>
        <v>46</v>
      </c>
      <c r="I1266" s="1" t="str">
        <f t="shared" si="286"/>
        <v>='C:\Users\jaime.benazar\Quorum Business Solutions\Ecopetrol Prometeo - Documents\Planning Space Implementation\3. Analysis &amp; Design\Design\FC22\DRR Jaime\QUIFA-CAJÚA\Cajua\[VAS_CAJUA_CF_SEC_20230125.xlsx]CF PDP'!$BX$46</v>
      </c>
      <c r="J1266" s="1" t="s">
        <v>694</v>
      </c>
    </row>
    <row r="1267" spans="1:10" x14ac:dyDescent="0.2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Jaime\QUIFA-CAJÚA\Cajua\[VAS_CAJUA_CF_SEC_20230125.xlsx]CF PDP'!</v>
      </c>
      <c r="G1267" s="6" t="s">
        <v>38</v>
      </c>
      <c r="H1267" s="1">
        <f t="shared" si="288"/>
        <v>47</v>
      </c>
      <c r="I1267" s="1" t="str">
        <f t="shared" si="286"/>
        <v>='C:\Users\jaime.benazar\Quorum Business Solutions\Ecopetrol Prometeo - Documents\Planning Space Implementation\3. Analysis &amp; Design\Design\FC22\DRR Jaime\QUIFA-CAJÚA\Cajua\[VAS_CAJUA_CF_SEC_20230125.xlsx]CF PDP'!$BX$47</v>
      </c>
      <c r="J1267" s="1" t="s">
        <v>695</v>
      </c>
    </row>
    <row r="1268" spans="1:10" x14ac:dyDescent="0.2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Jaime\QUIFA-CAJÚA\Cajua\[VAS_CAJUA_CF_SEC_20230125.xlsx]CF PDP'!</v>
      </c>
      <c r="G1268" s="6" t="s">
        <v>38</v>
      </c>
      <c r="H1268" s="1">
        <f t="shared" si="288"/>
        <v>48</v>
      </c>
      <c r="I1268" s="1" t="str">
        <f t="shared" si="286"/>
        <v>='C:\Users\jaime.benazar\Quorum Business Solutions\Ecopetrol Prometeo - Documents\Planning Space Implementation\3. Analysis &amp; Design\Design\FC22\DRR Jaime\QUIFA-CAJÚA\Cajua\[VAS_CAJUA_CF_SEC_20230125.xlsx]CF PDP'!$BX$48</v>
      </c>
      <c r="J1268" s="1" t="s">
        <v>696</v>
      </c>
    </row>
    <row r="1269" spans="1:10" x14ac:dyDescent="0.2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Jaime\QUIFA-CAJÚA\Cajua\[VAS_CAJUA_CF_SEC_20230125.xlsx]CF PDP'!</v>
      </c>
      <c r="G1269" s="6" t="s">
        <v>38</v>
      </c>
      <c r="H1269" s="1">
        <f t="shared" si="288"/>
        <v>49</v>
      </c>
      <c r="I1269" s="1" t="str">
        <f t="shared" si="286"/>
        <v>='C:\Users\jaime.benazar\Quorum Business Solutions\Ecopetrol Prometeo - Documents\Planning Space Implementation\3. Analysis &amp; Design\Design\FC22\DRR Jaime\QUIFA-CAJÚA\Cajua\[VAS_CAJUA_CF_SEC_20230125.xlsx]CF PDP'!$BX$49</v>
      </c>
      <c r="J1269" s="1" t="s">
        <v>697</v>
      </c>
    </row>
    <row r="1270" spans="1:10" x14ac:dyDescent="0.2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Jaime\QUIFA-CAJÚA\Cajua\[VAS_CAJUA_CF_SEC_20230125.xlsx]CF PDP'!</v>
      </c>
      <c r="G1270" s="6" t="s">
        <v>38</v>
      </c>
      <c r="H1270" s="1">
        <f t="shared" si="288"/>
        <v>50</v>
      </c>
      <c r="I1270" s="1" t="str">
        <f t="shared" si="286"/>
        <v>='C:\Users\jaime.benazar\Quorum Business Solutions\Ecopetrol Prometeo - Documents\Planning Space Implementation\3. Analysis &amp; Design\Design\FC22\DRR Jaime\QUIFA-CAJÚA\Cajua\[VAS_CAJUA_CF_SEC_20230125.xlsx]CF PDP'!$BX$50</v>
      </c>
      <c r="J1270" s="1" t="s">
        <v>698</v>
      </c>
    </row>
    <row r="1271" spans="1:10" x14ac:dyDescent="0.2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Jaime\QUIFA-CAJÚA\Cajua\[VAS_CAJUA_CF_SEC_20230125.xlsx]CF PDP'!</v>
      </c>
      <c r="G1271" s="6" t="s">
        <v>38</v>
      </c>
      <c r="H1271" s="1">
        <f t="shared" si="288"/>
        <v>51</v>
      </c>
      <c r="I1271" s="1" t="str">
        <f t="shared" si="286"/>
        <v>='C:\Users\jaime.benazar\Quorum Business Solutions\Ecopetrol Prometeo - Documents\Planning Space Implementation\3. Analysis &amp; Design\Design\FC22\DRR Jaime\QUIFA-CAJÚA\Cajua\[VAS_CAJUA_CF_SEC_20230125.xlsx]CF PDP'!$BX$51</v>
      </c>
      <c r="J1271" s="1" t="s">
        <v>699</v>
      </c>
    </row>
    <row r="1272" spans="1:10" x14ac:dyDescent="0.2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Jaime\QUIFA-CAJÚA\Cajua\[VAS_CAJUA_CF_SEC_20230125.xlsx]CF PDP'!</v>
      </c>
      <c r="G1272" s="6" t="s">
        <v>38</v>
      </c>
      <c r="H1272" s="1">
        <f t="shared" si="288"/>
        <v>52</v>
      </c>
      <c r="I1272" s="1" t="str">
        <f t="shared" si="286"/>
        <v>='C:\Users\jaime.benazar\Quorum Business Solutions\Ecopetrol Prometeo - Documents\Planning Space Implementation\3. Analysis &amp; Design\Design\FC22\DRR Jaime\QUIFA-CAJÚA\Cajua\[VAS_CAJUA_CF_SEC_20230125.xlsx]CF PDP'!$BX$52</v>
      </c>
      <c r="J1272" s="1" t="s">
        <v>700</v>
      </c>
    </row>
    <row r="1273" spans="1:10" x14ac:dyDescent="0.2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Jaime\QUIFA-CAJÚA\Cajua\[VAS_CAJUA_CF_SEC_20230125.xlsx]CF PDP'!</v>
      </c>
      <c r="G1273" s="6" t="s">
        <v>38</v>
      </c>
      <c r="H1273" s="1">
        <f t="shared" si="288"/>
        <v>53</v>
      </c>
      <c r="I1273" s="1" t="str">
        <f t="shared" si="286"/>
        <v>='C:\Users\jaime.benazar\Quorum Business Solutions\Ecopetrol Prometeo - Documents\Planning Space Implementation\3. Analysis &amp; Design\Design\FC22\DRR Jaime\QUIFA-CAJÚA\Cajua\[VAS_CAJUA_CF_SEC_20230125.xlsx]CF PDP'!$BX$53</v>
      </c>
      <c r="J1273" s="1" t="s">
        <v>701</v>
      </c>
    </row>
    <row r="1274" spans="1:10" x14ac:dyDescent="0.2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Jaime\QUIFA-CAJÚA\Cajua\[VAS_CAJUA_CF_SEC_20230125.xlsx]CF PDP'!</v>
      </c>
      <c r="G1274" s="6" t="s">
        <v>38</v>
      </c>
      <c r="H1274" s="1">
        <f t="shared" si="288"/>
        <v>54</v>
      </c>
      <c r="I1274" s="1" t="str">
        <f t="shared" si="286"/>
        <v>='C:\Users\jaime.benazar\Quorum Business Solutions\Ecopetrol Prometeo - Documents\Planning Space Implementation\3. Analysis &amp; Design\Design\FC22\DRR Jaime\QUIFA-CAJÚA\Cajua\[VAS_CAJUA_CF_SEC_20230125.xlsx]CF PDP'!$BX$54</v>
      </c>
      <c r="J1274" s="1" t="s">
        <v>702</v>
      </c>
    </row>
    <row r="1275" spans="1:10" x14ac:dyDescent="0.2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Jaime\QUIFA-CAJÚA\Cajua\[VAS_CAJUA_CF_SEC_20230125.xlsx]CF PDP'!</v>
      </c>
      <c r="G1275" s="6" t="s">
        <v>38</v>
      </c>
      <c r="H1275" s="1">
        <f t="shared" si="288"/>
        <v>55</v>
      </c>
      <c r="I1275" s="1" t="str">
        <f t="shared" si="286"/>
        <v>='C:\Users\jaime.benazar\Quorum Business Solutions\Ecopetrol Prometeo - Documents\Planning Space Implementation\3. Analysis &amp; Design\Design\FC22\DRR Jaime\QUIFA-CAJÚA\Cajua\[VAS_CAJUA_CF_SEC_20230125.xlsx]CF PDP'!$BX$55</v>
      </c>
      <c r="J1275" s="1" t="s">
        <v>703</v>
      </c>
    </row>
    <row r="1276" spans="1:10" x14ac:dyDescent="0.2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Jaime\QUIFA-CAJÚA\Cajua\[VAS_CAJUA_CF_SEC_20230125.xlsx]CF PDP'!</v>
      </c>
      <c r="G1276" s="6" t="s">
        <v>38</v>
      </c>
      <c r="H1276" s="1">
        <f t="shared" si="288"/>
        <v>56</v>
      </c>
      <c r="I1276" s="1" t="str">
        <f t="shared" si="286"/>
        <v>='C:\Users\jaime.benazar\Quorum Business Solutions\Ecopetrol Prometeo - Documents\Planning Space Implementation\3. Analysis &amp; Design\Design\FC22\DRR Jaime\QUIFA-CAJÚA\Cajua\[VAS_CAJUA_CF_SEC_20230125.xlsx]CF PDP'!$BX$56</v>
      </c>
      <c r="J1276" s="1" t="s">
        <v>704</v>
      </c>
    </row>
    <row r="1277" spans="1:10" x14ac:dyDescent="0.2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Jaime\QUIFA-CAJÚA\Cajua\[VAS_CAJUA_CF_SEC_20230125.xlsx]CF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Jaime\QUIFA-CAJÚA\Cajua\[VAS_CAJUA_CF_SEC_20230125.xlsx]CF PDP'!$BX$57</v>
      </c>
      <c r="J1277" s="1" t="s">
        <v>705</v>
      </c>
    </row>
    <row r="1278" spans="1:10" x14ac:dyDescent="0.2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Jaime\QUIFA-CAJÚA\Cajua\[VAS_CAJUA_CF_SEC_20230125.xlsx]CF PDP'!</v>
      </c>
      <c r="G1278" s="6" t="s">
        <v>38</v>
      </c>
      <c r="H1278" s="1">
        <f t="shared" si="293"/>
        <v>58</v>
      </c>
      <c r="I1278" s="1" t="str">
        <f t="shared" si="294"/>
        <v>='C:\Users\jaime.benazar\Quorum Business Solutions\Ecopetrol Prometeo - Documents\Planning Space Implementation\3. Analysis &amp; Design\Design\FC22\DRR Jaime\QUIFA-CAJÚA\Cajua\[VAS_CAJUA_CF_SEC_20230125.xlsx]CF PDP'!$BX$58</v>
      </c>
      <c r="J1278" s="1" t="s">
        <v>706</v>
      </c>
    </row>
    <row r="1279" spans="1:10" x14ac:dyDescent="0.2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Jaime\QUIFA-CAJÚA\Cajua\[VAS_CAJUA_CF_SEC_20230125.xlsx]CF PDP'!</v>
      </c>
      <c r="G1279" s="6" t="s">
        <v>38</v>
      </c>
      <c r="H1279" s="1">
        <f t="shared" si="293"/>
        <v>59</v>
      </c>
      <c r="I1279" s="1" t="str">
        <f t="shared" si="294"/>
        <v>='C:\Users\jaime.benazar\Quorum Business Solutions\Ecopetrol Prometeo - Documents\Planning Space Implementation\3. Analysis &amp; Design\Design\FC22\DRR Jaime\QUIFA-CAJÚA\Cajua\[VAS_CAJUA_CF_SEC_20230125.xlsx]CF PDP'!$BX$59</v>
      </c>
      <c r="J1279" s="1" t="s">
        <v>707</v>
      </c>
    </row>
    <row r="1280" spans="1:10" x14ac:dyDescent="0.2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Jaime\QUIFA-CAJÚA\Cajua\[VAS_CAJUA_CF_SEC_20230125.xlsx]CF PDP'!</v>
      </c>
      <c r="G1280" s="6" t="s">
        <v>38</v>
      </c>
      <c r="H1280" s="1">
        <f t="shared" si="293"/>
        <v>60</v>
      </c>
      <c r="I1280" s="1" t="str">
        <f t="shared" si="294"/>
        <v>='C:\Users\jaime.benazar\Quorum Business Solutions\Ecopetrol Prometeo - Documents\Planning Space Implementation\3. Analysis &amp; Design\Design\FC22\DRR Jaime\QUIFA-CAJÚA\Cajua\[VAS_CAJUA_CF_SEC_20230125.xlsx]CF PDP'!$BX$60</v>
      </c>
      <c r="J1280" s="1" t="s">
        <v>708</v>
      </c>
    </row>
    <row r="1281" spans="1:10" x14ac:dyDescent="0.2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Jaime\QUIFA-CAJÚA\Cajua\[VAS_CAJUA_CF_SEC_20230125.xlsx]CF PDP'!</v>
      </c>
      <c r="G1281" s="6" t="s">
        <v>38</v>
      </c>
      <c r="H1281" s="1">
        <f t="shared" si="293"/>
        <v>61</v>
      </c>
      <c r="I1281" s="1" t="str">
        <f t="shared" si="294"/>
        <v>='C:\Users\jaime.benazar\Quorum Business Solutions\Ecopetrol Prometeo - Documents\Planning Space Implementation\3. Analysis &amp; Design\Design\FC22\DRR Jaime\QUIFA-CAJÚA\Cajua\[VAS_CAJUA_CF_SEC_20230125.xlsx]CF PDP'!$BX$61</v>
      </c>
      <c r="J1281" s="1" t="s">
        <v>709</v>
      </c>
    </row>
    <row r="1282" spans="1:10" x14ac:dyDescent="0.2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Jaime\QUIFA-CAJÚA\Cajua\[VAS_CAJUA_CF_SEC_20230125.xlsx]CF PDP'!</v>
      </c>
      <c r="G1282" s="6" t="s">
        <v>38</v>
      </c>
      <c r="H1282" s="1">
        <f t="shared" si="293"/>
        <v>62</v>
      </c>
      <c r="I1282" s="1" t="str">
        <f t="shared" si="294"/>
        <v>='C:\Users\jaime.benazar\Quorum Business Solutions\Ecopetrol Prometeo - Documents\Planning Space Implementation\3. Analysis &amp; Design\Design\FC22\DRR Jaime\QUIFA-CAJÚA\Cajua\[VAS_CAJUA_CF_SEC_20230125.xlsx]CF PDP'!$BX$62</v>
      </c>
      <c r="J1282" s="1" t="s">
        <v>710</v>
      </c>
    </row>
    <row r="1283" spans="1:10" x14ac:dyDescent="0.2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Jaime\QUIFA-CAJÚA\Cajua\[VAS_CAJUA_CF_SEC_20230125.xlsx]CF PDP'!</v>
      </c>
      <c r="G1283" s="6" t="s">
        <v>38</v>
      </c>
      <c r="H1283" s="1">
        <f t="shared" si="293"/>
        <v>63</v>
      </c>
      <c r="I1283" s="1" t="str">
        <f t="shared" si="294"/>
        <v>='C:\Users\jaime.benazar\Quorum Business Solutions\Ecopetrol Prometeo - Documents\Planning Space Implementation\3. Analysis &amp; Design\Design\FC22\DRR Jaime\QUIFA-CAJÚA\Cajua\[VAS_CAJUA_CF_SEC_20230125.xlsx]CF PDP'!$BX$63</v>
      </c>
      <c r="J1283" s="1" t="s">
        <v>711</v>
      </c>
    </row>
    <row r="1284" spans="1:10" x14ac:dyDescent="0.2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Jaime\QUIFA-CAJÚA\Cajua\[VAS_CAJUA_CF_SEC_20230125.xlsx]CF PDP'!</v>
      </c>
      <c r="G1284" s="6" t="s">
        <v>38</v>
      </c>
      <c r="H1284" s="1">
        <f t="shared" si="293"/>
        <v>64</v>
      </c>
      <c r="I1284" s="1" t="str">
        <f t="shared" si="294"/>
        <v>='C:\Users\jaime.benazar\Quorum Business Solutions\Ecopetrol Prometeo - Documents\Planning Space Implementation\3. Analysis &amp; Design\Design\FC22\DRR Jaime\QUIFA-CAJÚA\Cajua\[VAS_CAJUA_CF_SEC_20230125.xlsx]CF PDP'!$BX$64</v>
      </c>
      <c r="J1284" s="1" t="s">
        <v>712</v>
      </c>
    </row>
    <row r="1285" spans="1:10" x14ac:dyDescent="0.2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Jaime\QUIFA-CAJÚA\Cajua\[VAS_CAJUA_CF_SEC_20230125.xlsx]CF PDP'!</v>
      </c>
      <c r="G1285" s="6" t="s">
        <v>38</v>
      </c>
      <c r="H1285" s="1">
        <f t="shared" si="293"/>
        <v>65</v>
      </c>
      <c r="I1285" s="1" t="str">
        <f t="shared" si="294"/>
        <v>='C:\Users\jaime.benazar\Quorum Business Solutions\Ecopetrol Prometeo - Documents\Planning Space Implementation\3. Analysis &amp; Design\Design\FC22\DRR Jaime\QUIFA-CAJÚA\Cajua\[VAS_CAJUA_CF_SEC_20230125.xlsx]CF PDP'!$BX$65</v>
      </c>
      <c r="J1285" s="1" t="s">
        <v>713</v>
      </c>
    </row>
    <row r="1286" spans="1:10" x14ac:dyDescent="0.2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Jaime\QUIFA-CAJÚA\Cajua\[VAS_CAJUA_CF_SEC_20230125.xlsx]CF PDP'!</v>
      </c>
      <c r="G1286" s="6" t="s">
        <v>38</v>
      </c>
      <c r="H1286" s="1">
        <f t="shared" si="293"/>
        <v>66</v>
      </c>
      <c r="I1286" s="1" t="str">
        <f t="shared" si="294"/>
        <v>='C:\Users\jaime.benazar\Quorum Business Solutions\Ecopetrol Prometeo - Documents\Planning Space Implementation\3. Analysis &amp; Design\Design\FC22\DRR Jaime\QUIFA-CAJÚA\Cajua\[VAS_CAJUA_CF_SEC_20230125.xlsx]CF PDP'!$BX$66</v>
      </c>
      <c r="J1286" s="1" t="s">
        <v>714</v>
      </c>
    </row>
    <row r="1287" spans="1:10" x14ac:dyDescent="0.2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Jaime\QUIFA-CAJÚA\Cajua\[VAS_CAJUA_CF_SEC_20230125.xlsx]CF PDP'!</v>
      </c>
      <c r="G1287" s="6" t="s">
        <v>38</v>
      </c>
      <c r="H1287" s="1">
        <f t="shared" si="293"/>
        <v>67</v>
      </c>
      <c r="I1287" s="1" t="str">
        <f t="shared" si="294"/>
        <v>='C:\Users\jaime.benazar\Quorum Business Solutions\Ecopetrol Prometeo - Documents\Planning Space Implementation\3. Analysis &amp; Design\Design\FC22\DRR Jaime\QUIFA-CAJÚA\Cajua\[VAS_CAJUA_CF_SEC_20230125.xlsx]CF PDP'!$BX$67</v>
      </c>
      <c r="J1287" s="1" t="s">
        <v>715</v>
      </c>
    </row>
    <row r="1288" spans="1:10" x14ac:dyDescent="0.2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Jaime\QUIFA-CAJÚA\Cajua\[VAS_CAJUA_CF_SEC_20230125.xlsx]CF PDP'!</v>
      </c>
      <c r="G1288" s="6" t="s">
        <v>38</v>
      </c>
      <c r="H1288" s="1">
        <f t="shared" si="293"/>
        <v>68</v>
      </c>
      <c r="I1288" s="1" t="str">
        <f t="shared" si="294"/>
        <v>='C:\Users\jaime.benazar\Quorum Business Solutions\Ecopetrol Prometeo - Documents\Planning Space Implementation\3. Analysis &amp; Design\Design\FC22\DRR Jaime\QUIFA-CAJÚA\Cajua\[VAS_CAJUA_CF_SEC_20230125.xlsx]CF PDP'!$BX$68</v>
      </c>
      <c r="J1288" s="1" t="s">
        <v>716</v>
      </c>
    </row>
    <row r="1289" spans="1:10" x14ac:dyDescent="0.2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Jaime\QUIFA-CAJÚA\Cajua\[VAS_CAJUA_CF_SEC_20230125.xlsx]CF PDP'!</v>
      </c>
      <c r="G1289" s="6" t="s">
        <v>38</v>
      </c>
      <c r="H1289" s="1">
        <f t="shared" si="293"/>
        <v>69</v>
      </c>
      <c r="I1289" s="1" t="str">
        <f t="shared" si="294"/>
        <v>='C:\Users\jaime.benazar\Quorum Business Solutions\Ecopetrol Prometeo - Documents\Planning Space Implementation\3. Analysis &amp; Design\Design\FC22\DRR Jaime\QUIFA-CAJÚA\Cajua\[VAS_CAJUA_CF_SEC_20230125.xlsx]CF PDP'!$BX$69</v>
      </c>
      <c r="J1289" s="1" t="s">
        <v>717</v>
      </c>
    </row>
    <row r="1290" spans="1:10" x14ac:dyDescent="0.2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Jaime\QUIFA-CAJÚA\Cajua\[VAS_CAJUA_CF_SEC_20230125.xlsx]CF PDP'!</v>
      </c>
      <c r="G1290" s="6" t="s">
        <v>38</v>
      </c>
      <c r="H1290" s="1">
        <f t="shared" si="293"/>
        <v>70</v>
      </c>
      <c r="I1290" s="1" t="str">
        <f t="shared" si="294"/>
        <v>='C:\Users\jaime.benazar\Quorum Business Solutions\Ecopetrol Prometeo - Documents\Planning Space Implementation\3. Analysis &amp; Design\Design\FC22\DRR Jaime\QUIFA-CAJÚA\Cajua\[VAS_CAJUA_CF_SEC_20230125.xlsx]CF PDP'!$BX$70</v>
      </c>
      <c r="J1290" s="1" t="s">
        <v>718</v>
      </c>
    </row>
    <row r="1291" spans="1:10" x14ac:dyDescent="0.2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Jaime\QUIFA-CAJÚA\Cajua\[VAS_CAJUA_CF_SEC_20230125.xlsx]CF PDP'!</v>
      </c>
      <c r="G1291" s="6" t="s">
        <v>38</v>
      </c>
      <c r="H1291" s="1">
        <f t="shared" si="293"/>
        <v>71</v>
      </c>
      <c r="I1291" s="1" t="str">
        <f t="shared" si="294"/>
        <v>='C:\Users\jaime.benazar\Quorum Business Solutions\Ecopetrol Prometeo - Documents\Planning Space Implementation\3. Analysis &amp; Design\Design\FC22\DRR Jaime\QUIFA-CAJÚA\Cajua\[VAS_CAJUA_CF_SEC_20230125.xlsx]CF PDP'!$BX$71</v>
      </c>
      <c r="J1291" s="1" t="s">
        <v>719</v>
      </c>
    </row>
    <row r="1292" spans="1:10" x14ac:dyDescent="0.2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Jaime\QUIFA-CAJÚA\Cajua\[VAS_CAJUA_CF_SEC_20230125.xlsx]CF PDP'!</v>
      </c>
      <c r="G1292" s="6" t="s">
        <v>38</v>
      </c>
      <c r="H1292" s="1">
        <f t="shared" si="293"/>
        <v>72</v>
      </c>
      <c r="I1292" s="1" t="str">
        <f t="shared" si="294"/>
        <v>='C:\Users\jaime.benazar\Quorum Business Solutions\Ecopetrol Prometeo - Documents\Planning Space Implementation\3. Analysis &amp; Design\Design\FC22\DRR Jaime\QUIFA-CAJÚA\Cajua\[VAS_CAJUA_CF_SEC_20230125.xlsx]CF PDP'!$BX$72</v>
      </c>
      <c r="J1292" s="1" t="s">
        <v>720</v>
      </c>
    </row>
    <row r="1293" spans="1:10" x14ac:dyDescent="0.25">
      <c r="A1293" s="6" t="s">
        <v>28</v>
      </c>
      <c r="B1293" s="6"/>
      <c r="C1293" s="1" t="s">
        <v>14</v>
      </c>
      <c r="D1293" s="2"/>
      <c r="E1293" s="9"/>
      <c r="F1293" s="5" t="str">
        <f t="shared" si="276"/>
        <v xml:space="preserve"> </v>
      </c>
      <c r="G1293" s="6"/>
      <c r="H1293" s="1"/>
      <c r="I1293" s="1"/>
      <c r="J1293" s="4"/>
    </row>
    <row r="1294" spans="1:10" x14ac:dyDescent="0.2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Jaime\QUIFA-CAJÚA\Cajua\[VAS_CAJUA_CF_SEC_20230125.xlsx]CF PNP'!</v>
      </c>
      <c r="G1294" s="6" t="s">
        <v>38</v>
      </c>
      <c r="H1294" s="1">
        <f>IF(A1294&lt;&gt;A1278,36,H1278+1)</f>
        <v>36</v>
      </c>
      <c r="I1294" s="1" t="str">
        <f t="shared" si="286"/>
        <v>='C:\Users\jaime.benazar\Quorum Business Solutions\Ecopetrol Prometeo - Documents\Planning Space Implementation\3. Analysis &amp; Design\Design\FC22\DRR Jaime\QUIFA-CAJÚA\Cajua\[VAS_CAJUA_CF_SEC_20230125.xlsx]CF PNP'!$BX$36</v>
      </c>
      <c r="J1294" s="1" t="s">
        <v>721</v>
      </c>
    </row>
    <row r="1295" spans="1:10" x14ac:dyDescent="0.2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Jaime\QUIFA-CAJÚA\Cajua\[VAS_CAJUA_CF_SEC_20230125.xlsx]CF PNP'!</v>
      </c>
      <c r="G1295" s="6" t="s">
        <v>38</v>
      </c>
      <c r="H1295" s="1">
        <f t="shared" si="288"/>
        <v>37</v>
      </c>
      <c r="I1295" s="1" t="str">
        <f t="shared" si="286"/>
        <v>='C:\Users\jaime.benazar\Quorum Business Solutions\Ecopetrol Prometeo - Documents\Planning Space Implementation\3. Analysis &amp; Design\Design\FC22\DRR Jaime\QUIFA-CAJÚA\Cajua\[VAS_CAJUA_CF_SEC_20230125.xlsx]CF PNP'!$BX$37</v>
      </c>
      <c r="J1295" s="1" t="s">
        <v>722</v>
      </c>
    </row>
    <row r="1296" spans="1:10" x14ac:dyDescent="0.2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Jaime\QUIFA-CAJÚA\Cajua\[VAS_CAJUA_CF_SEC_20230125.xlsx]CF PNP'!</v>
      </c>
      <c r="G1296" s="6" t="s">
        <v>38</v>
      </c>
      <c r="H1296" s="1">
        <f t="shared" si="288"/>
        <v>38</v>
      </c>
      <c r="I1296" s="1" t="str">
        <f t="shared" si="286"/>
        <v>='C:\Users\jaime.benazar\Quorum Business Solutions\Ecopetrol Prometeo - Documents\Planning Space Implementation\3. Analysis &amp; Design\Design\FC22\DRR Jaime\QUIFA-CAJÚA\Cajua\[VAS_CAJUA_CF_SEC_20230125.xlsx]CF PNP'!$BX$38</v>
      </c>
      <c r="J1296" s="1" t="s">
        <v>723</v>
      </c>
    </row>
    <row r="1297" spans="1:10" x14ac:dyDescent="0.2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Jaime\QUIFA-CAJÚA\Cajua\[VAS_CAJUA_CF_SEC_20230125.xlsx]CF PNP'!</v>
      </c>
      <c r="G1297" s="6" t="s">
        <v>38</v>
      </c>
      <c r="H1297" s="1">
        <f t="shared" si="288"/>
        <v>39</v>
      </c>
      <c r="I1297" s="1" t="str">
        <f t="shared" si="286"/>
        <v>='C:\Users\jaime.benazar\Quorum Business Solutions\Ecopetrol Prometeo - Documents\Planning Space Implementation\3. Analysis &amp; Design\Design\FC22\DRR Jaime\QUIFA-CAJÚA\Cajua\[VAS_CAJUA_CF_SEC_20230125.xlsx]CF PNP'!$BX$39</v>
      </c>
      <c r="J1297" s="1" t="s">
        <v>724</v>
      </c>
    </row>
    <row r="1298" spans="1:10" x14ac:dyDescent="0.2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Jaime\QUIFA-CAJÚA\Cajua\[VAS_CAJUA_CF_SEC_20230125.xlsx]CF PNP'!</v>
      </c>
      <c r="G1298" s="6" t="s">
        <v>38</v>
      </c>
      <c r="H1298" s="1">
        <f t="shared" si="288"/>
        <v>40</v>
      </c>
      <c r="I1298" s="1" t="str">
        <f t="shared" si="286"/>
        <v>='C:\Users\jaime.benazar\Quorum Business Solutions\Ecopetrol Prometeo - Documents\Planning Space Implementation\3. Analysis &amp; Design\Design\FC22\DRR Jaime\QUIFA-CAJÚA\Cajua\[VAS_CAJUA_CF_SEC_20230125.xlsx]CF PNP'!$BX$40</v>
      </c>
      <c r="J1298" s="1" t="s">
        <v>725</v>
      </c>
    </row>
    <row r="1299" spans="1:10" x14ac:dyDescent="0.2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Jaime\QUIFA-CAJÚA\Cajua\[VAS_CAJUA_CF_SEC_20230125.xlsx]CF PNP'!</v>
      </c>
      <c r="G1299" s="6" t="s">
        <v>38</v>
      </c>
      <c r="H1299" s="1">
        <f t="shared" si="288"/>
        <v>41</v>
      </c>
      <c r="I1299" s="1" t="str">
        <f t="shared" si="286"/>
        <v>='C:\Users\jaime.benazar\Quorum Business Solutions\Ecopetrol Prometeo - Documents\Planning Space Implementation\3. Analysis &amp; Design\Design\FC22\DRR Jaime\QUIFA-CAJÚA\Cajua\[VAS_CAJUA_CF_SEC_20230125.xlsx]CF PNP'!$BX$41</v>
      </c>
      <c r="J1299" s="1" t="s">
        <v>726</v>
      </c>
    </row>
    <row r="1300" spans="1:10" x14ac:dyDescent="0.2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Jaime\QUIFA-CAJÚA\Cajua\[VAS_CAJUA_CF_SEC_20230125.xlsx]CF PNP'!</v>
      </c>
      <c r="G1300" s="6" t="s">
        <v>38</v>
      </c>
      <c r="H1300" s="1">
        <f t="shared" si="288"/>
        <v>42</v>
      </c>
      <c r="I1300" s="1" t="str">
        <f t="shared" si="286"/>
        <v>='C:\Users\jaime.benazar\Quorum Business Solutions\Ecopetrol Prometeo - Documents\Planning Space Implementation\3. Analysis &amp; Design\Design\FC22\DRR Jaime\QUIFA-CAJÚA\Cajua\[VAS_CAJUA_CF_SEC_20230125.xlsx]CF PNP'!$BX$42</v>
      </c>
      <c r="J1300" s="1" t="s">
        <v>727</v>
      </c>
    </row>
    <row r="1301" spans="1:10" x14ac:dyDescent="0.2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Jaime\QUIFA-CAJÚA\Cajua\[VAS_CAJUA_CF_SEC_20230125.xlsx]CF PNP'!</v>
      </c>
      <c r="G1301" s="6" t="s">
        <v>38</v>
      </c>
      <c r="H1301" s="1">
        <f t="shared" si="288"/>
        <v>43</v>
      </c>
      <c r="I1301" s="1" t="str">
        <f t="shared" si="286"/>
        <v>='C:\Users\jaime.benazar\Quorum Business Solutions\Ecopetrol Prometeo - Documents\Planning Space Implementation\3. Analysis &amp; Design\Design\FC22\DRR Jaime\QUIFA-CAJÚA\Cajua\[VAS_CAJUA_CF_SEC_20230125.xlsx]CF PNP'!$BX$43</v>
      </c>
      <c r="J1301" s="1" t="s">
        <v>728</v>
      </c>
    </row>
    <row r="1302" spans="1:10" x14ac:dyDescent="0.2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Jaime\QUIFA-CAJÚA\Cajua\[VAS_CAJUA_CF_SEC_20230125.xlsx]CF PNP'!</v>
      </c>
      <c r="G1302" s="6" t="s">
        <v>38</v>
      </c>
      <c r="H1302" s="1">
        <f t="shared" si="288"/>
        <v>44</v>
      </c>
      <c r="I1302" s="1" t="str">
        <f t="shared" si="286"/>
        <v>='C:\Users\jaime.benazar\Quorum Business Solutions\Ecopetrol Prometeo - Documents\Planning Space Implementation\3. Analysis &amp; Design\Design\FC22\DRR Jaime\QUIFA-CAJÚA\Cajua\[VAS_CAJUA_CF_SEC_20230125.xlsx]CF PNP'!$BX$44</v>
      </c>
      <c r="J1302" s="1" t="s">
        <v>729</v>
      </c>
    </row>
    <row r="1303" spans="1:10" x14ac:dyDescent="0.2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Jaime\QUIFA-CAJÚA\Cajua\[VAS_CAJUA_CF_SEC_20230125.xlsx]CF PNP'!</v>
      </c>
      <c r="G1303" s="6" t="s">
        <v>38</v>
      </c>
      <c r="H1303" s="1">
        <f t="shared" si="288"/>
        <v>45</v>
      </c>
      <c r="I1303" s="1" t="str">
        <f t="shared" si="286"/>
        <v>='C:\Users\jaime.benazar\Quorum Business Solutions\Ecopetrol Prometeo - Documents\Planning Space Implementation\3. Analysis &amp; Design\Design\FC22\DRR Jaime\QUIFA-CAJÚA\Cajua\[VAS_CAJUA_CF_SEC_20230125.xlsx]CF PNP'!$BX$45</v>
      </c>
      <c r="J1303" s="1" t="s">
        <v>730</v>
      </c>
    </row>
    <row r="1304" spans="1:10" x14ac:dyDescent="0.2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Jaime\QUIFA-CAJÚA\Cajua\[VAS_CAJUA_CF_SEC_20230125.xlsx]CF PNP'!</v>
      </c>
      <c r="G1304" s="6" t="s">
        <v>38</v>
      </c>
      <c r="H1304" s="1">
        <f t="shared" si="288"/>
        <v>46</v>
      </c>
      <c r="I1304" s="1" t="str">
        <f t="shared" si="286"/>
        <v>='C:\Users\jaime.benazar\Quorum Business Solutions\Ecopetrol Prometeo - Documents\Planning Space Implementation\3. Analysis &amp; Design\Design\FC22\DRR Jaime\QUIFA-CAJÚA\Cajua\[VAS_CAJUA_CF_SEC_20230125.xlsx]CF PNP'!$BX$46</v>
      </c>
      <c r="J1304" s="1" t="s">
        <v>731</v>
      </c>
    </row>
    <row r="1305" spans="1:10" x14ac:dyDescent="0.2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Jaime\QUIFA-CAJÚA\Cajua\[VAS_CAJUA_CF_SEC_20230125.xlsx]CF PNP'!</v>
      </c>
      <c r="G1305" s="6" t="s">
        <v>38</v>
      </c>
      <c r="H1305" s="1">
        <f t="shared" si="288"/>
        <v>47</v>
      </c>
      <c r="I1305" s="1" t="str">
        <f t="shared" si="286"/>
        <v>='C:\Users\jaime.benazar\Quorum Business Solutions\Ecopetrol Prometeo - Documents\Planning Space Implementation\3. Analysis &amp; Design\Design\FC22\DRR Jaime\QUIFA-CAJÚA\Cajua\[VAS_CAJUA_CF_SEC_20230125.xlsx]CF PNP'!$BX$47</v>
      </c>
      <c r="J1305" s="1" t="s">
        <v>732</v>
      </c>
    </row>
    <row r="1306" spans="1:10" x14ac:dyDescent="0.2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Jaime\QUIFA-CAJÚA\Cajua\[VAS_CAJUA_CF_SEC_20230125.xlsx]CF PNP'!</v>
      </c>
      <c r="G1306" s="6" t="s">
        <v>38</v>
      </c>
      <c r="H1306" s="1">
        <f t="shared" si="288"/>
        <v>48</v>
      </c>
      <c r="I1306" s="1" t="str">
        <f t="shared" si="286"/>
        <v>='C:\Users\jaime.benazar\Quorum Business Solutions\Ecopetrol Prometeo - Documents\Planning Space Implementation\3. Analysis &amp; Design\Design\FC22\DRR Jaime\QUIFA-CAJÚA\Cajua\[VAS_CAJUA_CF_SEC_20230125.xlsx]CF PNP'!$BX$48</v>
      </c>
      <c r="J1306" s="1" t="s">
        <v>733</v>
      </c>
    </row>
    <row r="1307" spans="1:10" x14ac:dyDescent="0.2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Jaime\QUIFA-CAJÚA\Cajua\[VAS_CAJUA_CF_SEC_20230125.xlsx]CF PNP'!</v>
      </c>
      <c r="G1307" s="6" t="s">
        <v>38</v>
      </c>
      <c r="H1307" s="1">
        <f t="shared" si="288"/>
        <v>49</v>
      </c>
      <c r="I1307" s="1" t="str">
        <f t="shared" si="286"/>
        <v>='C:\Users\jaime.benazar\Quorum Business Solutions\Ecopetrol Prometeo - Documents\Planning Space Implementation\3. Analysis &amp; Design\Design\FC22\DRR Jaime\QUIFA-CAJÚA\Cajua\[VAS_CAJUA_CF_SEC_20230125.xlsx]CF PNP'!$BX$49</v>
      </c>
      <c r="J1307" s="1" t="s">
        <v>734</v>
      </c>
    </row>
    <row r="1308" spans="1:10" x14ac:dyDescent="0.2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Jaime\QUIFA-CAJÚA\Cajua\[VAS_CAJUA_CF_SEC_20230125.xlsx]CF PNP'!</v>
      </c>
      <c r="G1308" s="6" t="s">
        <v>38</v>
      </c>
      <c r="H1308" s="1">
        <f t="shared" si="288"/>
        <v>50</v>
      </c>
      <c r="I1308" s="1" t="str">
        <f t="shared" si="286"/>
        <v>='C:\Users\jaime.benazar\Quorum Business Solutions\Ecopetrol Prometeo - Documents\Planning Space Implementation\3. Analysis &amp; Design\Design\FC22\DRR Jaime\QUIFA-CAJÚA\Cajua\[VAS_CAJUA_CF_SEC_20230125.xlsx]CF PNP'!$BX$50</v>
      </c>
      <c r="J1308" s="1" t="s">
        <v>735</v>
      </c>
    </row>
    <row r="1309" spans="1:10" x14ac:dyDescent="0.2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Jaime\QUIFA-CAJÚA\Cajua\[VAS_CAJUA_CF_SEC_20230125.xlsx]CF PNP'!</v>
      </c>
      <c r="G1309" s="6" t="s">
        <v>38</v>
      </c>
      <c r="H1309" s="1">
        <f t="shared" si="288"/>
        <v>51</v>
      </c>
      <c r="I1309" s="1" t="str">
        <f t="shared" si="286"/>
        <v>='C:\Users\jaime.benazar\Quorum Business Solutions\Ecopetrol Prometeo - Documents\Planning Space Implementation\3. Analysis &amp; Design\Design\FC22\DRR Jaime\QUIFA-CAJÚA\Cajua\[VAS_CAJUA_CF_SEC_20230125.xlsx]CF PNP'!$BX$51</v>
      </c>
      <c r="J1309" s="1" t="s">
        <v>736</v>
      </c>
    </row>
    <row r="1310" spans="1:10" x14ac:dyDescent="0.2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Jaime\QUIFA-CAJÚA\Cajua\[VAS_CAJUA_CF_SEC_20230125.xlsx]CF PNP'!</v>
      </c>
      <c r="G1310" s="6" t="s">
        <v>38</v>
      </c>
      <c r="H1310" s="1">
        <f t="shared" si="288"/>
        <v>52</v>
      </c>
      <c r="I1310" s="1" t="str">
        <f t="shared" si="286"/>
        <v>='C:\Users\jaime.benazar\Quorum Business Solutions\Ecopetrol Prometeo - Documents\Planning Space Implementation\3. Analysis &amp; Design\Design\FC22\DRR Jaime\QUIFA-CAJÚA\Cajua\[VAS_CAJUA_CF_SEC_20230125.xlsx]CF PNP'!$BX$52</v>
      </c>
      <c r="J1310" s="1" t="s">
        <v>737</v>
      </c>
    </row>
    <row r="1311" spans="1:10" x14ac:dyDescent="0.2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Jaime\QUIFA-CAJÚA\Cajua\[VAS_CAJUA_CF_SEC_20230125.xlsx]CF PNP'!</v>
      </c>
      <c r="G1311" s="6" t="s">
        <v>38</v>
      </c>
      <c r="H1311" s="1">
        <f t="shared" si="288"/>
        <v>53</v>
      </c>
      <c r="I1311" s="1" t="str">
        <f t="shared" si="286"/>
        <v>='C:\Users\jaime.benazar\Quorum Business Solutions\Ecopetrol Prometeo - Documents\Planning Space Implementation\3. Analysis &amp; Design\Design\FC22\DRR Jaime\QUIFA-CAJÚA\Cajua\[VAS_CAJUA_CF_SEC_20230125.xlsx]CF PNP'!$BX$53</v>
      </c>
      <c r="J1311" s="1" t="s">
        <v>738</v>
      </c>
    </row>
    <row r="1312" spans="1:10" x14ac:dyDescent="0.2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Jaime\QUIFA-CAJÚA\Cajua\[VAS_CAJUA_CF_SEC_20230125.xlsx]CF PNP'!</v>
      </c>
      <c r="G1312" s="6" t="s">
        <v>38</v>
      </c>
      <c r="H1312" s="1">
        <f t="shared" si="288"/>
        <v>54</v>
      </c>
      <c r="I1312" s="1" t="str">
        <f t="shared" si="286"/>
        <v>='C:\Users\jaime.benazar\Quorum Business Solutions\Ecopetrol Prometeo - Documents\Planning Space Implementation\3. Analysis &amp; Design\Design\FC22\DRR Jaime\QUIFA-CAJÚA\Cajua\[VAS_CAJUA_CF_SEC_20230125.xlsx]CF PNP'!$BX$54</v>
      </c>
      <c r="J1312" s="1" t="s">
        <v>739</v>
      </c>
    </row>
    <row r="1313" spans="1:10" x14ac:dyDescent="0.2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Jaime\QUIFA-CAJÚA\Cajua\[VAS_CAJUA_CF_SEC_20230125.xlsx]CF PNP'!</v>
      </c>
      <c r="G1313" s="6" t="s">
        <v>38</v>
      </c>
      <c r="H1313" s="1">
        <f t="shared" si="288"/>
        <v>55</v>
      </c>
      <c r="I1313" s="1" t="str">
        <f t="shared" si="286"/>
        <v>='C:\Users\jaime.benazar\Quorum Business Solutions\Ecopetrol Prometeo - Documents\Planning Space Implementation\3. Analysis &amp; Design\Design\FC22\DRR Jaime\QUIFA-CAJÚA\Cajua\[VAS_CAJUA_CF_SEC_20230125.xlsx]CF PNP'!$BX$55</v>
      </c>
      <c r="J1313" s="1" t="s">
        <v>740</v>
      </c>
    </row>
    <row r="1314" spans="1:10" x14ac:dyDescent="0.2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Jaime\QUIFA-CAJÚA\Cajua\[VAS_CAJUA_CF_SEC_20230125.xlsx]CF PNP'!</v>
      </c>
      <c r="G1314" s="6" t="s">
        <v>38</v>
      </c>
      <c r="H1314" s="1">
        <f t="shared" si="288"/>
        <v>56</v>
      </c>
      <c r="I1314" s="1" t="str">
        <f t="shared" si="286"/>
        <v>='C:\Users\jaime.benazar\Quorum Business Solutions\Ecopetrol Prometeo - Documents\Planning Space Implementation\3. Analysis &amp; Design\Design\FC22\DRR Jaime\QUIFA-CAJÚA\Cajua\[VAS_CAJUA_CF_SEC_20230125.xlsx]CF PNP'!$BX$56</v>
      </c>
      <c r="J1314" s="1" t="s">
        <v>741</v>
      </c>
    </row>
    <row r="1315" spans="1:10" x14ac:dyDescent="0.2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Jaime\QUIFA-CAJÚA\Cajua\[VAS_CAJUA_CF_SEC_20230125.xlsx]CF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Jaime\QUIFA-CAJÚA\Cajua\[VAS_CAJUA_CF_SEC_20230125.xlsx]CF PNP'!$BX$57</v>
      </c>
      <c r="J1315" s="1" t="s">
        <v>742</v>
      </c>
    </row>
    <row r="1316" spans="1:10" x14ac:dyDescent="0.2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Jaime\QUIFA-CAJÚA\Cajua\[VAS_CAJUA_CF_SEC_20230125.xlsx]CF PNP'!</v>
      </c>
      <c r="G1316" s="6" t="s">
        <v>38</v>
      </c>
      <c r="H1316" s="1">
        <f t="shared" si="302"/>
        <v>58</v>
      </c>
      <c r="I1316" s="1" t="str">
        <f t="shared" si="303"/>
        <v>='C:\Users\jaime.benazar\Quorum Business Solutions\Ecopetrol Prometeo - Documents\Planning Space Implementation\3. Analysis &amp; Design\Design\FC22\DRR Jaime\QUIFA-CAJÚA\Cajua\[VAS_CAJUA_CF_SEC_20230125.xlsx]CF PNP'!$BX$58</v>
      </c>
      <c r="J1316" s="1" t="s">
        <v>743</v>
      </c>
    </row>
    <row r="1317" spans="1:10" x14ac:dyDescent="0.2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Jaime\QUIFA-CAJÚA\Cajua\[VAS_CAJUA_CF_SEC_20230125.xlsx]CF PNP'!</v>
      </c>
      <c r="G1317" s="6" t="s">
        <v>38</v>
      </c>
      <c r="H1317" s="1">
        <f t="shared" si="302"/>
        <v>59</v>
      </c>
      <c r="I1317" s="1" t="str">
        <f t="shared" si="303"/>
        <v>='C:\Users\jaime.benazar\Quorum Business Solutions\Ecopetrol Prometeo - Documents\Planning Space Implementation\3. Analysis &amp; Design\Design\FC22\DRR Jaime\QUIFA-CAJÚA\Cajua\[VAS_CAJUA_CF_SEC_20230125.xlsx]CF PNP'!$BX$59</v>
      </c>
      <c r="J1317" s="1" t="s">
        <v>744</v>
      </c>
    </row>
    <row r="1318" spans="1:10" x14ac:dyDescent="0.2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Jaime\QUIFA-CAJÚA\Cajua\[VAS_CAJUA_CF_SEC_20230125.xlsx]CF PNP'!</v>
      </c>
      <c r="G1318" s="6" t="s">
        <v>38</v>
      </c>
      <c r="H1318" s="1">
        <f t="shared" si="302"/>
        <v>60</v>
      </c>
      <c r="I1318" s="1" t="str">
        <f t="shared" si="303"/>
        <v>='C:\Users\jaime.benazar\Quorum Business Solutions\Ecopetrol Prometeo - Documents\Planning Space Implementation\3. Analysis &amp; Design\Design\FC22\DRR Jaime\QUIFA-CAJÚA\Cajua\[VAS_CAJUA_CF_SEC_20230125.xlsx]CF PNP'!$BX$60</v>
      </c>
      <c r="J1318" s="1" t="s">
        <v>745</v>
      </c>
    </row>
    <row r="1319" spans="1:10" x14ac:dyDescent="0.2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Jaime\QUIFA-CAJÚA\Cajua\[VAS_CAJUA_CF_SEC_20230125.xlsx]CF PNP'!</v>
      </c>
      <c r="G1319" s="6" t="s">
        <v>38</v>
      </c>
      <c r="H1319" s="1">
        <f t="shared" si="302"/>
        <v>61</v>
      </c>
      <c r="I1319" s="1" t="str">
        <f t="shared" si="303"/>
        <v>='C:\Users\jaime.benazar\Quorum Business Solutions\Ecopetrol Prometeo - Documents\Planning Space Implementation\3. Analysis &amp; Design\Design\FC22\DRR Jaime\QUIFA-CAJÚA\Cajua\[VAS_CAJUA_CF_SEC_20230125.xlsx]CF PNP'!$BX$61</v>
      </c>
      <c r="J1319" s="1" t="s">
        <v>746</v>
      </c>
    </row>
    <row r="1320" spans="1:10" x14ac:dyDescent="0.2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Jaime\QUIFA-CAJÚA\Cajua\[VAS_CAJUA_CF_SEC_20230125.xlsx]CF PNP'!</v>
      </c>
      <c r="G1320" s="6" t="s">
        <v>38</v>
      </c>
      <c r="H1320" s="1">
        <f t="shared" si="302"/>
        <v>62</v>
      </c>
      <c r="I1320" s="1" t="str">
        <f t="shared" si="303"/>
        <v>='C:\Users\jaime.benazar\Quorum Business Solutions\Ecopetrol Prometeo - Documents\Planning Space Implementation\3. Analysis &amp; Design\Design\FC22\DRR Jaime\QUIFA-CAJÚA\Cajua\[VAS_CAJUA_CF_SEC_20230125.xlsx]CF PNP'!$BX$62</v>
      </c>
      <c r="J1320" s="1" t="s">
        <v>747</v>
      </c>
    </row>
    <row r="1321" spans="1:10" x14ac:dyDescent="0.2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Jaime\QUIFA-CAJÚA\Cajua\[VAS_CAJUA_CF_SEC_20230125.xlsx]CF PNP'!</v>
      </c>
      <c r="G1321" s="6" t="s">
        <v>38</v>
      </c>
      <c r="H1321" s="1">
        <f t="shared" si="302"/>
        <v>63</v>
      </c>
      <c r="I1321" s="1" t="str">
        <f t="shared" si="303"/>
        <v>='C:\Users\jaime.benazar\Quorum Business Solutions\Ecopetrol Prometeo - Documents\Planning Space Implementation\3. Analysis &amp; Design\Design\FC22\DRR Jaime\QUIFA-CAJÚA\Cajua\[VAS_CAJUA_CF_SEC_20230125.xlsx]CF PNP'!$BX$63</v>
      </c>
      <c r="J1321" s="1" t="s">
        <v>748</v>
      </c>
    </row>
    <row r="1322" spans="1:10" x14ac:dyDescent="0.2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Jaime\QUIFA-CAJÚA\Cajua\[VAS_CAJUA_CF_SEC_20230125.xlsx]CF PNP'!</v>
      </c>
      <c r="G1322" s="6" t="s">
        <v>38</v>
      </c>
      <c r="H1322" s="1">
        <f t="shared" si="302"/>
        <v>64</v>
      </c>
      <c r="I1322" s="1" t="str">
        <f t="shared" si="303"/>
        <v>='C:\Users\jaime.benazar\Quorum Business Solutions\Ecopetrol Prometeo - Documents\Planning Space Implementation\3. Analysis &amp; Design\Design\FC22\DRR Jaime\QUIFA-CAJÚA\Cajua\[VAS_CAJUA_CF_SEC_20230125.xlsx]CF PNP'!$BX$64</v>
      </c>
      <c r="J1322" s="1" t="s">
        <v>749</v>
      </c>
    </row>
    <row r="1323" spans="1:10" x14ac:dyDescent="0.2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Jaime\QUIFA-CAJÚA\Cajua\[VAS_CAJUA_CF_SEC_20230125.xlsx]CF PNP'!</v>
      </c>
      <c r="G1323" s="6" t="s">
        <v>38</v>
      </c>
      <c r="H1323" s="1">
        <f t="shared" si="302"/>
        <v>65</v>
      </c>
      <c r="I1323" s="1" t="str">
        <f t="shared" si="303"/>
        <v>='C:\Users\jaime.benazar\Quorum Business Solutions\Ecopetrol Prometeo - Documents\Planning Space Implementation\3. Analysis &amp; Design\Design\FC22\DRR Jaime\QUIFA-CAJÚA\Cajua\[VAS_CAJUA_CF_SEC_20230125.xlsx]CF PNP'!$BX$65</v>
      </c>
      <c r="J1323" s="1" t="s">
        <v>750</v>
      </c>
    </row>
    <row r="1324" spans="1:10" x14ac:dyDescent="0.2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Jaime\QUIFA-CAJÚA\Cajua\[VAS_CAJUA_CF_SEC_20230125.xlsx]CF PNP'!</v>
      </c>
      <c r="G1324" s="6" t="s">
        <v>38</v>
      </c>
      <c r="H1324" s="1">
        <f t="shared" si="302"/>
        <v>66</v>
      </c>
      <c r="I1324" s="1" t="str">
        <f t="shared" si="303"/>
        <v>='C:\Users\jaime.benazar\Quorum Business Solutions\Ecopetrol Prometeo - Documents\Planning Space Implementation\3. Analysis &amp; Design\Design\FC22\DRR Jaime\QUIFA-CAJÚA\Cajua\[VAS_CAJUA_CF_SEC_20230125.xlsx]CF PNP'!$BX$66</v>
      </c>
      <c r="J1324" s="1" t="s">
        <v>751</v>
      </c>
    </row>
    <row r="1325" spans="1:10" x14ac:dyDescent="0.2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Jaime\QUIFA-CAJÚA\Cajua\[VAS_CAJUA_CF_SEC_20230125.xlsx]CF PNP'!</v>
      </c>
      <c r="G1325" s="6" t="s">
        <v>38</v>
      </c>
      <c r="H1325" s="1">
        <f t="shared" si="302"/>
        <v>67</v>
      </c>
      <c r="I1325" s="1" t="str">
        <f t="shared" si="303"/>
        <v>='C:\Users\jaime.benazar\Quorum Business Solutions\Ecopetrol Prometeo - Documents\Planning Space Implementation\3. Analysis &amp; Design\Design\FC22\DRR Jaime\QUIFA-CAJÚA\Cajua\[VAS_CAJUA_CF_SEC_20230125.xlsx]CF PNP'!$BX$67</v>
      </c>
      <c r="J1325" s="1" t="s">
        <v>752</v>
      </c>
    </row>
    <row r="1326" spans="1:10" x14ac:dyDescent="0.2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Jaime\QUIFA-CAJÚA\Cajua\[VAS_CAJUA_CF_SEC_20230125.xlsx]CF PNP'!</v>
      </c>
      <c r="G1326" s="6" t="s">
        <v>38</v>
      </c>
      <c r="H1326" s="1">
        <f t="shared" si="302"/>
        <v>68</v>
      </c>
      <c r="I1326" s="1" t="str">
        <f t="shared" si="303"/>
        <v>='C:\Users\jaime.benazar\Quorum Business Solutions\Ecopetrol Prometeo - Documents\Planning Space Implementation\3. Analysis &amp; Design\Design\FC22\DRR Jaime\QUIFA-CAJÚA\Cajua\[VAS_CAJUA_CF_SEC_20230125.xlsx]CF PNP'!$BX$68</v>
      </c>
      <c r="J1326" s="1" t="s">
        <v>753</v>
      </c>
    </row>
    <row r="1327" spans="1:10" x14ac:dyDescent="0.2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Jaime\QUIFA-CAJÚA\Cajua\[VAS_CAJUA_CF_SEC_20230125.xlsx]CF PNP'!</v>
      </c>
      <c r="G1327" s="6" t="s">
        <v>38</v>
      </c>
      <c r="H1327" s="1">
        <f t="shared" si="302"/>
        <v>69</v>
      </c>
      <c r="I1327" s="1" t="str">
        <f t="shared" si="303"/>
        <v>='C:\Users\jaime.benazar\Quorum Business Solutions\Ecopetrol Prometeo - Documents\Planning Space Implementation\3. Analysis &amp; Design\Design\FC22\DRR Jaime\QUIFA-CAJÚA\Cajua\[VAS_CAJUA_CF_SEC_20230125.xlsx]CF PNP'!$BX$69</v>
      </c>
      <c r="J1327" s="1" t="s">
        <v>754</v>
      </c>
    </row>
    <row r="1328" spans="1:10" x14ac:dyDescent="0.2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Jaime\QUIFA-CAJÚA\Cajua\[VAS_CAJUA_CF_SEC_20230125.xlsx]CF PNP'!</v>
      </c>
      <c r="G1328" s="6" t="s">
        <v>38</v>
      </c>
      <c r="H1328" s="1">
        <f t="shared" si="302"/>
        <v>70</v>
      </c>
      <c r="I1328" s="1" t="str">
        <f t="shared" si="303"/>
        <v>='C:\Users\jaime.benazar\Quorum Business Solutions\Ecopetrol Prometeo - Documents\Planning Space Implementation\3. Analysis &amp; Design\Design\FC22\DRR Jaime\QUIFA-CAJÚA\Cajua\[VAS_CAJUA_CF_SEC_20230125.xlsx]CF PNP'!$BX$70</v>
      </c>
      <c r="J1328" s="1" t="s">
        <v>755</v>
      </c>
    </row>
    <row r="1329" spans="1:10" x14ac:dyDescent="0.2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Jaime\QUIFA-CAJÚA\Cajua\[VAS_CAJUA_CF_SEC_20230125.xlsx]CF PNP'!</v>
      </c>
      <c r="G1329" s="6" t="s">
        <v>38</v>
      </c>
      <c r="H1329" s="1">
        <f t="shared" si="302"/>
        <v>71</v>
      </c>
      <c r="I1329" s="1" t="str">
        <f t="shared" si="303"/>
        <v>='C:\Users\jaime.benazar\Quorum Business Solutions\Ecopetrol Prometeo - Documents\Planning Space Implementation\3. Analysis &amp; Design\Design\FC22\DRR Jaime\QUIFA-CAJÚA\Cajua\[VAS_CAJUA_CF_SEC_20230125.xlsx]CF PNP'!$BX$71</v>
      </c>
      <c r="J1329" s="1" t="s">
        <v>756</v>
      </c>
    </row>
    <row r="1330" spans="1:10" x14ac:dyDescent="0.2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Jaime\QUIFA-CAJÚA\Cajua\[VAS_CAJUA_CF_SEC_20230125.xlsx]CF PNP'!</v>
      </c>
      <c r="G1330" s="6" t="s">
        <v>38</v>
      </c>
      <c r="H1330" s="1">
        <f t="shared" si="302"/>
        <v>72</v>
      </c>
      <c r="I1330" s="1" t="str">
        <f t="shared" si="303"/>
        <v>='C:\Users\jaime.benazar\Quorum Business Solutions\Ecopetrol Prometeo - Documents\Planning Space Implementation\3. Analysis &amp; Design\Design\FC22\DRR Jaime\QUIFA-CAJÚA\Cajua\[VAS_CAJUA_CF_SEC_20230125.xlsx]CF PNP'!$BX$72</v>
      </c>
      <c r="J1330" s="1" t="s">
        <v>757</v>
      </c>
    </row>
    <row r="1331" spans="1:10" x14ac:dyDescent="0.25">
      <c r="A1331" s="6" t="s">
        <v>28</v>
      </c>
      <c r="B1331" s="6"/>
      <c r="C1331" s="1" t="s">
        <v>14</v>
      </c>
      <c r="D1331" s="2"/>
      <c r="E1331" s="9"/>
      <c r="F1331" s="5" t="str">
        <f t="shared" si="298"/>
        <v xml:space="preserve"> </v>
      </c>
      <c r="G1331" s="6"/>
      <c r="H1331" s="1"/>
      <c r="I1331" s="1"/>
      <c r="J1331" s="4"/>
    </row>
    <row r="1332" spans="1:10" x14ac:dyDescent="0.2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Jaime\QUIFA-CAJÚA\Cajua\[VAS_CAJUA_CF_SEC_20230125.xlsx]CF PND'!</v>
      </c>
      <c r="G1332" s="6" t="s">
        <v>38</v>
      </c>
      <c r="H1332" s="1">
        <f>IF(A1332&lt;&gt;A1316,36,H1316+1)</f>
        <v>36</v>
      </c>
      <c r="I1332" s="1" t="str">
        <f t="shared" si="286"/>
        <v>='C:\Users\jaime.benazar\Quorum Business Solutions\Ecopetrol Prometeo - Documents\Planning Space Implementation\3. Analysis &amp; Design\Design\FC22\DRR Jaime\QUIFA-CAJÚA\Cajua\[VAS_CAJUA_CF_SEC_20230125.xlsx]CF PND'!$BX$36</v>
      </c>
      <c r="J1332" s="1" t="s">
        <v>758</v>
      </c>
    </row>
    <row r="1333" spans="1:10" x14ac:dyDescent="0.2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Jaime\QUIFA-CAJÚA\Cajua\[VAS_CAJUA_CF_SEC_20230125.xlsx]CF PND'!</v>
      </c>
      <c r="G1333" s="6" t="s">
        <v>38</v>
      </c>
      <c r="H1333" s="1">
        <f t="shared" si="288"/>
        <v>37</v>
      </c>
      <c r="I1333" s="1" t="str">
        <f t="shared" si="286"/>
        <v>='C:\Users\jaime.benazar\Quorum Business Solutions\Ecopetrol Prometeo - Documents\Planning Space Implementation\3. Analysis &amp; Design\Design\FC22\DRR Jaime\QUIFA-CAJÚA\Cajua\[VAS_CAJUA_CF_SEC_20230125.xlsx]CF PND'!$BX$37</v>
      </c>
      <c r="J1333" s="1" t="s">
        <v>759</v>
      </c>
    </row>
    <row r="1334" spans="1:10" x14ac:dyDescent="0.2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Jaime\QUIFA-CAJÚA\Cajua\[VAS_CAJUA_CF_SEC_20230125.xlsx]CF PND'!</v>
      </c>
      <c r="G1334" s="6" t="s">
        <v>38</v>
      </c>
      <c r="H1334" s="1">
        <f t="shared" si="288"/>
        <v>38</v>
      </c>
      <c r="I1334" s="1" t="str">
        <f t="shared" si="286"/>
        <v>='C:\Users\jaime.benazar\Quorum Business Solutions\Ecopetrol Prometeo - Documents\Planning Space Implementation\3. Analysis &amp; Design\Design\FC22\DRR Jaime\QUIFA-CAJÚA\Cajua\[VAS_CAJUA_CF_SEC_20230125.xlsx]CF PND'!$BX$38</v>
      </c>
      <c r="J1334" s="1" t="s">
        <v>760</v>
      </c>
    </row>
    <row r="1335" spans="1:10" x14ac:dyDescent="0.2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Jaime\QUIFA-CAJÚA\Cajua\[VAS_CAJUA_CF_SEC_20230125.xlsx]CF PND'!</v>
      </c>
      <c r="G1335" s="6" t="s">
        <v>38</v>
      </c>
      <c r="H1335" s="1">
        <f t="shared" si="288"/>
        <v>39</v>
      </c>
      <c r="I1335" s="1" t="str">
        <f t="shared" si="286"/>
        <v>='C:\Users\jaime.benazar\Quorum Business Solutions\Ecopetrol Prometeo - Documents\Planning Space Implementation\3. Analysis &amp; Design\Design\FC22\DRR Jaime\QUIFA-CAJÚA\Cajua\[VAS_CAJUA_CF_SEC_20230125.xlsx]CF PND'!$BX$39</v>
      </c>
      <c r="J1335" s="1" t="s">
        <v>761</v>
      </c>
    </row>
    <row r="1336" spans="1:10" x14ac:dyDescent="0.2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Jaime\QUIFA-CAJÚA\Cajua\[VAS_CAJUA_CF_SEC_20230125.xlsx]CF PND'!</v>
      </c>
      <c r="G1336" s="6" t="s">
        <v>38</v>
      </c>
      <c r="H1336" s="1">
        <f t="shared" si="288"/>
        <v>40</v>
      </c>
      <c r="I1336" s="1" t="str">
        <f t="shared" si="286"/>
        <v>='C:\Users\jaime.benazar\Quorum Business Solutions\Ecopetrol Prometeo - Documents\Planning Space Implementation\3. Analysis &amp; Design\Design\FC22\DRR Jaime\QUIFA-CAJÚA\Cajua\[VAS_CAJUA_CF_SEC_20230125.xlsx]CF PND'!$BX$40</v>
      </c>
      <c r="J1336" s="1" t="s">
        <v>762</v>
      </c>
    </row>
    <row r="1337" spans="1:10" x14ac:dyDescent="0.2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Jaime\QUIFA-CAJÚA\Cajua\[VAS_CAJUA_CF_SEC_20230125.xlsx]CF PND'!</v>
      </c>
      <c r="G1337" s="6" t="s">
        <v>38</v>
      </c>
      <c r="H1337" s="1">
        <f t="shared" si="288"/>
        <v>41</v>
      </c>
      <c r="I1337" s="1" t="str">
        <f t="shared" si="286"/>
        <v>='C:\Users\jaime.benazar\Quorum Business Solutions\Ecopetrol Prometeo - Documents\Planning Space Implementation\3. Analysis &amp; Design\Design\FC22\DRR Jaime\QUIFA-CAJÚA\Cajua\[VAS_CAJUA_CF_SEC_20230125.xlsx]CF PND'!$BX$41</v>
      </c>
      <c r="J1337" s="1" t="s">
        <v>763</v>
      </c>
    </row>
    <row r="1338" spans="1:10" x14ac:dyDescent="0.2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Jaime\QUIFA-CAJÚA\Cajua\[VAS_CAJUA_CF_SEC_20230125.xlsx]CF PND'!</v>
      </c>
      <c r="G1338" s="6" t="s">
        <v>38</v>
      </c>
      <c r="H1338" s="1">
        <f t="shared" si="288"/>
        <v>42</v>
      </c>
      <c r="I1338" s="1" t="str">
        <f t="shared" si="286"/>
        <v>='C:\Users\jaime.benazar\Quorum Business Solutions\Ecopetrol Prometeo - Documents\Planning Space Implementation\3. Analysis &amp; Design\Design\FC22\DRR Jaime\QUIFA-CAJÚA\Cajua\[VAS_CAJUA_CF_SEC_20230125.xlsx]CF PND'!$BX$42</v>
      </c>
      <c r="J1338" s="1" t="s">
        <v>764</v>
      </c>
    </row>
    <row r="1339" spans="1:10" x14ac:dyDescent="0.2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Jaime\QUIFA-CAJÚA\Cajua\[VAS_CAJUA_CF_SEC_20230125.xlsx]CF PND'!</v>
      </c>
      <c r="G1339" s="6" t="s">
        <v>38</v>
      </c>
      <c r="H1339" s="1">
        <f t="shared" si="288"/>
        <v>43</v>
      </c>
      <c r="I1339" s="1" t="str">
        <f t="shared" si="286"/>
        <v>='C:\Users\jaime.benazar\Quorum Business Solutions\Ecopetrol Prometeo - Documents\Planning Space Implementation\3. Analysis &amp; Design\Design\FC22\DRR Jaime\QUIFA-CAJÚA\Cajua\[VAS_CAJUA_CF_SEC_20230125.xlsx]CF PND'!$BX$43</v>
      </c>
      <c r="J1339" s="1" t="s">
        <v>765</v>
      </c>
    </row>
    <row r="1340" spans="1:10" x14ac:dyDescent="0.2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Jaime\QUIFA-CAJÚA\Cajua\[VAS_CAJUA_CF_SEC_20230125.xlsx]CF PND'!</v>
      </c>
      <c r="G1340" s="6" t="s">
        <v>38</v>
      </c>
      <c r="H1340" s="1">
        <f t="shared" si="288"/>
        <v>44</v>
      </c>
      <c r="I1340" s="1" t="str">
        <f t="shared" si="286"/>
        <v>='C:\Users\jaime.benazar\Quorum Business Solutions\Ecopetrol Prometeo - Documents\Planning Space Implementation\3. Analysis &amp; Design\Design\FC22\DRR Jaime\QUIFA-CAJÚA\Cajua\[VAS_CAJUA_CF_SEC_20230125.xlsx]CF PND'!$BX$44</v>
      </c>
      <c r="J1340" s="1" t="s">
        <v>766</v>
      </c>
    </row>
    <row r="1341" spans="1:10" x14ac:dyDescent="0.2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Jaime\QUIFA-CAJÚA\Cajua\[VAS_CAJUA_CF_SEC_20230125.xlsx]CF PND'!</v>
      </c>
      <c r="G1341" s="6" t="s">
        <v>38</v>
      </c>
      <c r="H1341" s="1">
        <f t="shared" si="288"/>
        <v>45</v>
      </c>
      <c r="I1341" s="1" t="str">
        <f t="shared" si="286"/>
        <v>='C:\Users\jaime.benazar\Quorum Business Solutions\Ecopetrol Prometeo - Documents\Planning Space Implementation\3. Analysis &amp; Design\Design\FC22\DRR Jaime\QUIFA-CAJÚA\Cajua\[VAS_CAJUA_CF_SEC_20230125.xlsx]CF PND'!$BX$45</v>
      </c>
      <c r="J1341" s="1" t="s">
        <v>767</v>
      </c>
    </row>
    <row r="1342" spans="1:10" x14ac:dyDescent="0.2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Jaime\QUIFA-CAJÚA\Cajua\[VAS_CAJUA_CF_SEC_20230125.xlsx]CF PND'!</v>
      </c>
      <c r="G1342" s="6" t="s">
        <v>38</v>
      </c>
      <c r="H1342" s="1">
        <f t="shared" si="288"/>
        <v>46</v>
      </c>
      <c r="I1342" s="1" t="str">
        <f t="shared" si="286"/>
        <v>='C:\Users\jaime.benazar\Quorum Business Solutions\Ecopetrol Prometeo - Documents\Planning Space Implementation\3. Analysis &amp; Design\Design\FC22\DRR Jaime\QUIFA-CAJÚA\Cajua\[VAS_CAJUA_CF_SEC_20230125.xlsx]CF PND'!$BX$46</v>
      </c>
      <c r="J1342" s="1" t="s">
        <v>768</v>
      </c>
    </row>
    <row r="1343" spans="1:10" x14ac:dyDescent="0.2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Jaime\QUIFA-CAJÚA\Cajua\[VAS_CAJUA_CF_SEC_20230125.xlsx]CF PND'!</v>
      </c>
      <c r="G1343" s="6" t="s">
        <v>38</v>
      </c>
      <c r="H1343" s="1">
        <f t="shared" si="288"/>
        <v>47</v>
      </c>
      <c r="I1343" s="1" t="str">
        <f t="shared" si="286"/>
        <v>='C:\Users\jaime.benazar\Quorum Business Solutions\Ecopetrol Prometeo - Documents\Planning Space Implementation\3. Analysis &amp; Design\Design\FC22\DRR Jaime\QUIFA-CAJÚA\Cajua\[VAS_CAJUA_CF_SEC_20230125.xlsx]CF PND'!$BX$47</v>
      </c>
      <c r="J1343" s="1" t="s">
        <v>769</v>
      </c>
    </row>
    <row r="1344" spans="1:10" x14ac:dyDescent="0.2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Jaime\QUIFA-CAJÚA\Cajua\[VAS_CAJUA_CF_SEC_20230125.xlsx]CF PND'!</v>
      </c>
      <c r="G1344" s="6" t="s">
        <v>38</v>
      </c>
      <c r="H1344" s="1">
        <f t="shared" si="288"/>
        <v>48</v>
      </c>
      <c r="I1344" s="1" t="str">
        <f t="shared" si="286"/>
        <v>='C:\Users\jaime.benazar\Quorum Business Solutions\Ecopetrol Prometeo - Documents\Planning Space Implementation\3. Analysis &amp; Design\Design\FC22\DRR Jaime\QUIFA-CAJÚA\Cajua\[VAS_CAJUA_CF_SEC_20230125.xlsx]CF PND'!$BX$48</v>
      </c>
      <c r="J1344" s="1" t="s">
        <v>770</v>
      </c>
    </row>
    <row r="1345" spans="1:10" x14ac:dyDescent="0.2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Jaime\QUIFA-CAJÚA\Cajua\[VAS_CAJUA_CF_SEC_20230125.xlsx]CF PND'!</v>
      </c>
      <c r="G1345" s="6" t="s">
        <v>38</v>
      </c>
      <c r="H1345" s="1">
        <f t="shared" si="288"/>
        <v>49</v>
      </c>
      <c r="I1345" s="1" t="str">
        <f t="shared" si="286"/>
        <v>='C:\Users\jaime.benazar\Quorum Business Solutions\Ecopetrol Prometeo - Documents\Planning Space Implementation\3. Analysis &amp; Design\Design\FC22\DRR Jaime\QUIFA-CAJÚA\Cajua\[VAS_CAJUA_CF_SEC_20230125.xlsx]CF PND'!$BX$49</v>
      </c>
      <c r="J1345" s="1" t="s">
        <v>771</v>
      </c>
    </row>
    <row r="1346" spans="1:10" x14ac:dyDescent="0.2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Jaime\QUIFA-CAJÚA\Cajua\[VAS_CAJUA_CF_SEC_20230125.xlsx]CF PND'!</v>
      </c>
      <c r="G1346" s="6" t="s">
        <v>38</v>
      </c>
      <c r="H1346" s="1">
        <f t="shared" si="288"/>
        <v>50</v>
      </c>
      <c r="I1346" s="1" t="str">
        <f t="shared" si="286"/>
        <v>='C:\Users\jaime.benazar\Quorum Business Solutions\Ecopetrol Prometeo - Documents\Planning Space Implementation\3. Analysis &amp; Design\Design\FC22\DRR Jaime\QUIFA-CAJÚA\Cajua\[VAS_CAJUA_CF_SEC_20230125.xlsx]CF PND'!$BX$50</v>
      </c>
      <c r="J1346" s="1" t="s">
        <v>772</v>
      </c>
    </row>
    <row r="1347" spans="1:10" x14ac:dyDescent="0.2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Jaime\QUIFA-CAJÚA\Cajua\[VAS_CAJUA_CF_SEC_20230125.xlsx]CF PND'!</v>
      </c>
      <c r="G1347" s="6" t="s">
        <v>38</v>
      </c>
      <c r="H1347" s="1">
        <f t="shared" si="288"/>
        <v>51</v>
      </c>
      <c r="I1347" s="1" t="str">
        <f t="shared" si="286"/>
        <v>='C:\Users\jaime.benazar\Quorum Business Solutions\Ecopetrol Prometeo - Documents\Planning Space Implementation\3. Analysis &amp; Design\Design\FC22\DRR Jaime\QUIFA-CAJÚA\Cajua\[VAS_CAJUA_CF_SEC_20230125.xlsx]CF PND'!$BX$51</v>
      </c>
      <c r="J1347" s="1" t="s">
        <v>773</v>
      </c>
    </row>
    <row r="1348" spans="1:10" x14ac:dyDescent="0.2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Jaime\QUIFA-CAJÚA\Cajua\[VAS_CAJUA_CF_SEC_20230125.xlsx]CF PND'!</v>
      </c>
      <c r="G1348" s="6" t="s">
        <v>38</v>
      </c>
      <c r="H1348" s="1">
        <f t="shared" si="288"/>
        <v>52</v>
      </c>
      <c r="I1348" s="1" t="str">
        <f t="shared" si="286"/>
        <v>='C:\Users\jaime.benazar\Quorum Business Solutions\Ecopetrol Prometeo - Documents\Planning Space Implementation\3. Analysis &amp; Design\Design\FC22\DRR Jaime\QUIFA-CAJÚA\Cajua\[VAS_CAJUA_CF_SEC_20230125.xlsx]CF PND'!$BX$52</v>
      </c>
      <c r="J1348" s="1" t="s">
        <v>774</v>
      </c>
    </row>
    <row r="1349" spans="1:10" x14ac:dyDescent="0.2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Jaime\QUIFA-CAJÚA\Cajua\[VAS_CAJUA_CF_SEC_20230125.xlsx]CF PND'!</v>
      </c>
      <c r="G1349" s="6" t="s">
        <v>38</v>
      </c>
      <c r="H1349" s="1">
        <f t="shared" si="288"/>
        <v>53</v>
      </c>
      <c r="I1349" s="1" t="str">
        <f t="shared" si="286"/>
        <v>='C:\Users\jaime.benazar\Quorum Business Solutions\Ecopetrol Prometeo - Documents\Planning Space Implementation\3. Analysis &amp; Design\Design\FC22\DRR Jaime\QUIFA-CAJÚA\Cajua\[VAS_CAJUA_CF_SEC_20230125.xlsx]CF PND'!$BX$53</v>
      </c>
      <c r="J1349" s="1" t="s">
        <v>775</v>
      </c>
    </row>
    <row r="1350" spans="1:10" x14ac:dyDescent="0.2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Jaime\QUIFA-CAJÚA\Cajua\[VAS_CAJUA_CF_SEC_20230125.xlsx]CF PND'!</v>
      </c>
      <c r="G1350" s="6" t="s">
        <v>38</v>
      </c>
      <c r="H1350" s="1">
        <f t="shared" si="288"/>
        <v>54</v>
      </c>
      <c r="I1350" s="1" t="str">
        <f t="shared" si="286"/>
        <v>='C:\Users\jaime.benazar\Quorum Business Solutions\Ecopetrol Prometeo - Documents\Planning Space Implementation\3. Analysis &amp; Design\Design\FC22\DRR Jaime\QUIFA-CAJÚA\Cajua\[VAS_CAJUA_CF_SEC_20230125.xlsx]CF PND'!$BX$54</v>
      </c>
      <c r="J1350" s="1" t="s">
        <v>776</v>
      </c>
    </row>
    <row r="1351" spans="1:10" x14ac:dyDescent="0.2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Jaime\QUIFA-CAJÚA\Cajua\[VAS_CAJUA_CF_SEC_20230125.xlsx]CF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Jaime\QUIFA-CAJÚA\Cajua\[VAS_CAJUA_CF_SEC_20230125.xlsx]CF PND'!$BX$55</v>
      </c>
      <c r="J1351" s="1" t="s">
        <v>777</v>
      </c>
    </row>
    <row r="1352" spans="1:10" x14ac:dyDescent="0.2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Jaime\QUIFA-CAJÚA\Cajua\[VAS_CAJUA_CF_SEC_20230125.xlsx]CF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Jaime\QUIFA-CAJÚA\Cajua\[VAS_CAJUA_CF_SEC_20230125.xlsx]CF PND'!$BX$56</v>
      </c>
      <c r="J1352" s="1" t="s">
        <v>778</v>
      </c>
    </row>
    <row r="1353" spans="1:10" x14ac:dyDescent="0.2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Jaime\QUIFA-CAJÚA\Cajua\[VAS_CAJUA_CF_SEC_20230125.xlsx]CF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Jaime\QUIFA-CAJÚA\Cajua\[VAS_CAJUA_CF_SEC_20230125.xlsx]CF PND'!$BX$57</v>
      </c>
      <c r="J1353" s="1" t="s">
        <v>779</v>
      </c>
    </row>
    <row r="1354" spans="1:10" x14ac:dyDescent="0.2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Jaime\QUIFA-CAJÚA\Cajua\[VAS_CAJUA_CF_SEC_20230125.xlsx]CF PND'!</v>
      </c>
      <c r="G1354" s="6" t="s">
        <v>38</v>
      </c>
      <c r="H1354" s="1">
        <f t="shared" si="313"/>
        <v>58</v>
      </c>
      <c r="I1354" s="1" t="str">
        <f t="shared" si="314"/>
        <v>='C:\Users\jaime.benazar\Quorum Business Solutions\Ecopetrol Prometeo - Documents\Planning Space Implementation\3. Analysis &amp; Design\Design\FC22\DRR Jaime\QUIFA-CAJÚA\Cajua\[VAS_CAJUA_CF_SEC_20230125.xlsx]CF PND'!$BX$58</v>
      </c>
      <c r="J1354" s="1" t="s">
        <v>780</v>
      </c>
    </row>
    <row r="1355" spans="1:10" x14ac:dyDescent="0.2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Jaime\QUIFA-CAJÚA\Cajua\[VAS_CAJUA_CF_SEC_20230125.xlsx]CF PND'!</v>
      </c>
      <c r="G1355" s="6" t="s">
        <v>38</v>
      </c>
      <c r="H1355" s="1">
        <f t="shared" si="313"/>
        <v>59</v>
      </c>
      <c r="I1355" s="1" t="str">
        <f t="shared" si="314"/>
        <v>='C:\Users\jaime.benazar\Quorum Business Solutions\Ecopetrol Prometeo - Documents\Planning Space Implementation\3. Analysis &amp; Design\Design\FC22\DRR Jaime\QUIFA-CAJÚA\Cajua\[VAS_CAJUA_CF_SEC_20230125.xlsx]CF PND'!$BX$59</v>
      </c>
      <c r="J1355" s="1" t="s">
        <v>781</v>
      </c>
    </row>
    <row r="1356" spans="1:10" x14ac:dyDescent="0.2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Jaime\QUIFA-CAJÚA\Cajua\[VAS_CAJUA_CF_SEC_20230125.xlsx]CF PND'!</v>
      </c>
      <c r="G1356" s="6" t="s">
        <v>38</v>
      </c>
      <c r="H1356" s="1">
        <f t="shared" si="313"/>
        <v>60</v>
      </c>
      <c r="I1356" s="1" t="str">
        <f t="shared" si="314"/>
        <v>='C:\Users\jaime.benazar\Quorum Business Solutions\Ecopetrol Prometeo - Documents\Planning Space Implementation\3. Analysis &amp; Design\Design\FC22\DRR Jaime\QUIFA-CAJÚA\Cajua\[VAS_CAJUA_CF_SEC_20230125.xlsx]CF PND'!$BX$60</v>
      </c>
      <c r="J1356" s="1" t="s">
        <v>782</v>
      </c>
    </row>
    <row r="1357" spans="1:10" x14ac:dyDescent="0.2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Jaime\QUIFA-CAJÚA\Cajua\[VAS_CAJUA_CF_SEC_20230125.xlsx]CF PND'!</v>
      </c>
      <c r="G1357" s="6" t="s">
        <v>38</v>
      </c>
      <c r="H1357" s="1">
        <f t="shared" si="313"/>
        <v>61</v>
      </c>
      <c r="I1357" s="1" t="str">
        <f t="shared" si="314"/>
        <v>='C:\Users\jaime.benazar\Quorum Business Solutions\Ecopetrol Prometeo - Documents\Planning Space Implementation\3. Analysis &amp; Design\Design\FC22\DRR Jaime\QUIFA-CAJÚA\Cajua\[VAS_CAJUA_CF_SEC_20230125.xlsx]CF PND'!$BX$61</v>
      </c>
      <c r="J1357" s="1" t="s">
        <v>783</v>
      </c>
    </row>
    <row r="1358" spans="1:10" x14ac:dyDescent="0.2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Jaime\QUIFA-CAJÚA\Cajua\[VAS_CAJUA_CF_SEC_20230125.xlsx]CF PND'!</v>
      </c>
      <c r="G1358" s="6" t="s">
        <v>38</v>
      </c>
      <c r="H1358" s="1">
        <f t="shared" si="313"/>
        <v>62</v>
      </c>
      <c r="I1358" s="1" t="str">
        <f t="shared" si="314"/>
        <v>='C:\Users\jaime.benazar\Quorum Business Solutions\Ecopetrol Prometeo - Documents\Planning Space Implementation\3. Analysis &amp; Design\Design\FC22\DRR Jaime\QUIFA-CAJÚA\Cajua\[VAS_CAJUA_CF_SEC_20230125.xlsx]CF PND'!$BX$62</v>
      </c>
      <c r="J1358" s="1" t="s">
        <v>784</v>
      </c>
    </row>
    <row r="1359" spans="1:10" x14ac:dyDescent="0.2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Jaime\QUIFA-CAJÚA\Cajua\[VAS_CAJUA_CF_SEC_20230125.xlsx]CF PND'!</v>
      </c>
      <c r="G1359" s="6" t="s">
        <v>38</v>
      </c>
      <c r="H1359" s="1">
        <f t="shared" si="313"/>
        <v>63</v>
      </c>
      <c r="I1359" s="1" t="str">
        <f t="shared" si="314"/>
        <v>='C:\Users\jaime.benazar\Quorum Business Solutions\Ecopetrol Prometeo - Documents\Planning Space Implementation\3. Analysis &amp; Design\Design\FC22\DRR Jaime\QUIFA-CAJÚA\Cajua\[VAS_CAJUA_CF_SEC_20230125.xlsx]CF PND'!$BX$63</v>
      </c>
      <c r="J1359" s="1" t="s">
        <v>785</v>
      </c>
    </row>
    <row r="1360" spans="1:10" x14ac:dyDescent="0.2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Jaime\QUIFA-CAJÚA\Cajua\[VAS_CAJUA_CF_SEC_20230125.xlsx]CF PND'!</v>
      </c>
      <c r="G1360" s="6" t="s">
        <v>38</v>
      </c>
      <c r="H1360" s="1">
        <f t="shared" si="313"/>
        <v>64</v>
      </c>
      <c r="I1360" s="1" t="str">
        <f t="shared" si="314"/>
        <v>='C:\Users\jaime.benazar\Quorum Business Solutions\Ecopetrol Prometeo - Documents\Planning Space Implementation\3. Analysis &amp; Design\Design\FC22\DRR Jaime\QUIFA-CAJÚA\Cajua\[VAS_CAJUA_CF_SEC_20230125.xlsx]CF PND'!$BX$64</v>
      </c>
      <c r="J1360" s="1" t="s">
        <v>786</v>
      </c>
    </row>
    <row r="1361" spans="1:10" x14ac:dyDescent="0.2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Jaime\QUIFA-CAJÚA\Cajua\[VAS_CAJUA_CF_SEC_20230125.xlsx]CF PND'!</v>
      </c>
      <c r="G1361" s="6" t="s">
        <v>38</v>
      </c>
      <c r="H1361" s="1">
        <f t="shared" si="313"/>
        <v>65</v>
      </c>
      <c r="I1361" s="1" t="str">
        <f t="shared" si="314"/>
        <v>='C:\Users\jaime.benazar\Quorum Business Solutions\Ecopetrol Prometeo - Documents\Planning Space Implementation\3. Analysis &amp; Design\Design\FC22\DRR Jaime\QUIFA-CAJÚA\Cajua\[VAS_CAJUA_CF_SEC_20230125.xlsx]CF PND'!$BX$65</v>
      </c>
      <c r="J1361" s="1" t="s">
        <v>787</v>
      </c>
    </row>
    <row r="1362" spans="1:10" x14ac:dyDescent="0.2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Jaime\QUIFA-CAJÚA\Cajua\[VAS_CAJUA_CF_SEC_20230125.xlsx]CF PND'!</v>
      </c>
      <c r="G1362" s="6" t="s">
        <v>38</v>
      </c>
      <c r="H1362" s="1">
        <f t="shared" si="313"/>
        <v>66</v>
      </c>
      <c r="I1362" s="1" t="str">
        <f t="shared" si="314"/>
        <v>='C:\Users\jaime.benazar\Quorum Business Solutions\Ecopetrol Prometeo - Documents\Planning Space Implementation\3. Analysis &amp; Design\Design\FC22\DRR Jaime\QUIFA-CAJÚA\Cajua\[VAS_CAJUA_CF_SEC_20230125.xlsx]CF PND'!$BX$66</v>
      </c>
      <c r="J1362" s="1" t="s">
        <v>788</v>
      </c>
    </row>
    <row r="1363" spans="1:10" x14ac:dyDescent="0.2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Jaime\QUIFA-CAJÚA\Cajua\[VAS_CAJUA_CF_SEC_20230125.xlsx]CF PND'!</v>
      </c>
      <c r="G1363" s="6" t="s">
        <v>38</v>
      </c>
      <c r="H1363" s="1">
        <f t="shared" si="313"/>
        <v>67</v>
      </c>
      <c r="I1363" s="1" t="str">
        <f t="shared" si="314"/>
        <v>='C:\Users\jaime.benazar\Quorum Business Solutions\Ecopetrol Prometeo - Documents\Planning Space Implementation\3. Analysis &amp; Design\Design\FC22\DRR Jaime\QUIFA-CAJÚA\Cajua\[VAS_CAJUA_CF_SEC_20230125.xlsx]CF PND'!$BX$67</v>
      </c>
      <c r="J1363" s="1" t="s">
        <v>789</v>
      </c>
    </row>
    <row r="1364" spans="1:10" x14ac:dyDescent="0.2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Jaime\QUIFA-CAJÚA\Cajua\[VAS_CAJUA_CF_SEC_20230125.xlsx]CF PND'!</v>
      </c>
      <c r="G1364" s="6" t="s">
        <v>38</v>
      </c>
      <c r="H1364" s="1">
        <f t="shared" si="313"/>
        <v>68</v>
      </c>
      <c r="I1364" s="1" t="str">
        <f t="shared" si="314"/>
        <v>='C:\Users\jaime.benazar\Quorum Business Solutions\Ecopetrol Prometeo - Documents\Planning Space Implementation\3. Analysis &amp; Design\Design\FC22\DRR Jaime\QUIFA-CAJÚA\Cajua\[VAS_CAJUA_CF_SEC_20230125.xlsx]CF PND'!$BX$68</v>
      </c>
      <c r="J1364" s="1" t="s">
        <v>790</v>
      </c>
    </row>
    <row r="1365" spans="1:10" x14ac:dyDescent="0.2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Jaime\QUIFA-CAJÚA\Cajua\[VAS_CAJUA_CF_SEC_20230125.xlsx]CF PND'!</v>
      </c>
      <c r="G1365" s="6" t="s">
        <v>38</v>
      </c>
      <c r="H1365" s="1">
        <f t="shared" si="313"/>
        <v>69</v>
      </c>
      <c r="I1365" s="1" t="str">
        <f t="shared" si="314"/>
        <v>='C:\Users\jaime.benazar\Quorum Business Solutions\Ecopetrol Prometeo - Documents\Planning Space Implementation\3. Analysis &amp; Design\Design\FC22\DRR Jaime\QUIFA-CAJÚA\Cajua\[VAS_CAJUA_CF_SEC_20230125.xlsx]CF PND'!$BX$69</v>
      </c>
      <c r="J1365" s="1" t="s">
        <v>791</v>
      </c>
    </row>
    <row r="1366" spans="1:10" x14ac:dyDescent="0.2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Jaime\QUIFA-CAJÚA\Cajua\[VAS_CAJUA_CF_SEC_20230125.xlsx]CF PND'!</v>
      </c>
      <c r="G1366" s="6" t="s">
        <v>38</v>
      </c>
      <c r="H1366" s="1">
        <f t="shared" si="313"/>
        <v>70</v>
      </c>
      <c r="I1366" s="1" t="str">
        <f t="shared" si="314"/>
        <v>='C:\Users\jaime.benazar\Quorum Business Solutions\Ecopetrol Prometeo - Documents\Planning Space Implementation\3. Analysis &amp; Design\Design\FC22\DRR Jaime\QUIFA-CAJÚA\Cajua\[VAS_CAJUA_CF_SEC_20230125.xlsx]CF PND'!$BX$70</v>
      </c>
      <c r="J1366" s="1" t="s">
        <v>792</v>
      </c>
    </row>
    <row r="1367" spans="1:10" x14ac:dyDescent="0.2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Jaime\QUIFA-CAJÚA\Cajua\[VAS_CAJUA_CF_SEC_20230125.xlsx]CF PND'!</v>
      </c>
      <c r="G1367" s="6" t="s">
        <v>38</v>
      </c>
      <c r="H1367" s="1">
        <f t="shared" si="313"/>
        <v>71</v>
      </c>
      <c r="I1367" s="1" t="str">
        <f t="shared" si="314"/>
        <v>='C:\Users\jaime.benazar\Quorum Business Solutions\Ecopetrol Prometeo - Documents\Planning Space Implementation\3. Analysis &amp; Design\Design\FC22\DRR Jaime\QUIFA-CAJÚA\Cajua\[VAS_CAJUA_CF_SEC_20230125.xlsx]CF PND'!$BX$71</v>
      </c>
      <c r="J1367" s="1" t="s">
        <v>793</v>
      </c>
    </row>
    <row r="1368" spans="1:10" x14ac:dyDescent="0.2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Jaime\QUIFA-CAJÚA\Cajua\[VAS_CAJUA_CF_SEC_20230125.xlsx]CF PND'!</v>
      </c>
      <c r="G1368" s="6" t="s">
        <v>38</v>
      </c>
      <c r="H1368" s="1">
        <f t="shared" si="313"/>
        <v>72</v>
      </c>
      <c r="I1368" s="1" t="str">
        <f t="shared" si="314"/>
        <v>='C:\Users\jaime.benazar\Quorum Business Solutions\Ecopetrol Prometeo - Documents\Planning Space Implementation\3. Analysis &amp; Design\Design\FC22\DRR Jaime\QUIFA-CAJÚA\Cajua\[VAS_CAJUA_CF_SEC_20230125.xlsx]CF PND'!$BX$72</v>
      </c>
      <c r="J1368" s="1" t="s">
        <v>794</v>
      </c>
    </row>
    <row r="1369" spans="1:10" x14ac:dyDescent="0.25">
      <c r="A1369" s="6" t="s">
        <v>28</v>
      </c>
      <c r="B1369" s="6"/>
      <c r="C1369" s="1" t="s">
        <v>14</v>
      </c>
      <c r="D1369" s="2"/>
      <c r="E1369" s="9"/>
      <c r="F1369" s="5" t="str">
        <f t="shared" si="298"/>
        <v xml:space="preserve"> </v>
      </c>
      <c r="G1369" s="6"/>
      <c r="H1369" s="1"/>
      <c r="I1369" s="1"/>
      <c r="J1369" s="4"/>
    </row>
    <row r="1370" spans="1:10" x14ac:dyDescent="0.2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Jaime\QUIFA-CAJÚA\Cajua\[VAS_CAJUA_CF_SEC_20230125.xlsx]CF PRBDP'!</v>
      </c>
      <c r="G1370" s="6" t="s">
        <v>38</v>
      </c>
      <c r="H1370" s="1"/>
      <c r="I1370" s="1"/>
      <c r="J1370" s="1"/>
    </row>
    <row r="1371" spans="1:10" x14ac:dyDescent="0.2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Jaime\QUIFA-CAJÚA\Cajua\[VAS_CAJUA_CF_SEC_20230125.xlsx]CF PRBDP'!</v>
      </c>
      <c r="G1371" s="6" t="s">
        <v>38</v>
      </c>
      <c r="H1371" s="1"/>
      <c r="I1371" s="1"/>
      <c r="J1371" s="1"/>
    </row>
    <row r="1372" spans="1:10" x14ac:dyDescent="0.2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Jaime\QUIFA-CAJÚA\Cajua\[VAS_CAJUA_CF_SEC_20230125.xlsx]CF PRBDP'!</v>
      </c>
      <c r="G1372" s="6" t="s">
        <v>38</v>
      </c>
      <c r="H1372" s="1"/>
      <c r="I1372" s="1"/>
      <c r="J1372" s="1"/>
    </row>
    <row r="1373" spans="1:10" x14ac:dyDescent="0.2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Jaime\QUIFA-CAJÚA\Cajua\[VAS_CAJUA_CF_SEC_20230125.xlsx]CF PRBDP'!</v>
      </c>
      <c r="G1373" s="6" t="s">
        <v>38</v>
      </c>
      <c r="H1373" s="1"/>
      <c r="I1373" s="1"/>
      <c r="J1373" s="1"/>
    </row>
    <row r="1374" spans="1:10" x14ac:dyDescent="0.2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Jaime\QUIFA-CAJÚA\Cajua\[VAS_CAJUA_CF_SEC_20230125.xlsx]CF PRBDP'!</v>
      </c>
      <c r="G1374" s="6" t="s">
        <v>38</v>
      </c>
      <c r="H1374" s="1"/>
      <c r="I1374" s="1"/>
      <c r="J1374" s="1"/>
    </row>
    <row r="1375" spans="1:10" x14ac:dyDescent="0.2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Jaime\QUIFA-CAJÚA\Cajua\[VAS_CAJUA_CF_SEC_20230125.xlsx]CF PRBDP'!</v>
      </c>
      <c r="G1375" s="6" t="s">
        <v>38</v>
      </c>
      <c r="H1375" s="1"/>
      <c r="I1375" s="1"/>
      <c r="J1375" s="1"/>
    </row>
    <row r="1376" spans="1:10" x14ac:dyDescent="0.2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Jaime\QUIFA-CAJÚA\Cajua\[VAS_CAJUA_CF_SEC_20230125.xlsx]CF PRBDP'!</v>
      </c>
      <c r="G1376" s="6" t="s">
        <v>38</v>
      </c>
      <c r="H1376" s="1"/>
      <c r="I1376" s="1"/>
      <c r="J1376" s="1"/>
    </row>
    <row r="1377" spans="1:10" x14ac:dyDescent="0.2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Jaime\QUIFA-CAJÚA\Cajua\[VAS_CAJUA_CF_SEC_20230125.xlsx]CF PRBDP'!</v>
      </c>
      <c r="G1377" s="6" t="s">
        <v>38</v>
      </c>
      <c r="H1377" s="1"/>
      <c r="I1377" s="1"/>
      <c r="J1377" s="1"/>
    </row>
    <row r="1378" spans="1:10" x14ac:dyDescent="0.2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Jaime\QUIFA-CAJÚA\Cajua\[VAS_CAJUA_CF_SEC_20230125.xlsx]CF PRBDP'!</v>
      </c>
      <c r="G1378" s="6" t="s">
        <v>38</v>
      </c>
      <c r="H1378" s="1"/>
      <c r="I1378" s="1"/>
      <c r="J1378" s="1"/>
    </row>
    <row r="1379" spans="1:10" x14ac:dyDescent="0.2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Jaime\QUIFA-CAJÚA\Cajua\[VAS_CAJUA_CF_SEC_20230125.xlsx]CF PRBDP'!</v>
      </c>
      <c r="G1379" s="6" t="s">
        <v>38</v>
      </c>
      <c r="H1379" s="1"/>
      <c r="I1379" s="1"/>
      <c r="J1379" s="1"/>
    </row>
    <row r="1380" spans="1:10" x14ac:dyDescent="0.2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Jaime\QUIFA-CAJÚA\Cajua\[VAS_CAJUA_CF_SEC_20230125.xlsx]CF PRBDP'!</v>
      </c>
      <c r="G1380" s="6" t="s">
        <v>38</v>
      </c>
      <c r="H1380" s="1"/>
      <c r="I1380" s="1"/>
      <c r="J1380" s="1"/>
    </row>
    <row r="1381" spans="1:10" x14ac:dyDescent="0.2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Jaime\QUIFA-CAJÚA\Cajua\[VAS_CAJUA_CF_SEC_20230125.xlsx]CF PRBDP'!</v>
      </c>
      <c r="G1381" s="6" t="s">
        <v>38</v>
      </c>
      <c r="H1381" s="1"/>
      <c r="I1381" s="1"/>
      <c r="J1381" s="1"/>
    </row>
    <row r="1382" spans="1:10" x14ac:dyDescent="0.2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Jaime\QUIFA-CAJÚA\Cajua\[VAS_CAJUA_CF_SEC_20230125.xlsx]CF PRBDP'!</v>
      </c>
      <c r="G1382" s="6" t="s">
        <v>38</v>
      </c>
      <c r="H1382" s="1"/>
      <c r="I1382" s="1"/>
      <c r="J1382" s="1"/>
    </row>
    <row r="1383" spans="1:10" x14ac:dyDescent="0.2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Jaime\QUIFA-CAJÚA\Cajua\[VAS_CAJUA_CF_SEC_20230125.xlsx]CF PRBDP'!</v>
      </c>
      <c r="G1383" s="6" t="s">
        <v>38</v>
      </c>
      <c r="H1383" s="1"/>
      <c r="I1383" s="1"/>
      <c r="J1383" s="1"/>
    </row>
    <row r="1384" spans="1:10" x14ac:dyDescent="0.2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Jaime\QUIFA-CAJÚA\Cajua\[VAS_CAJUA_CF_SEC_20230125.xlsx]CF PRBDP'!</v>
      </c>
      <c r="G1384" s="6" t="s">
        <v>38</v>
      </c>
      <c r="H1384" s="1"/>
      <c r="I1384" s="1"/>
      <c r="J1384" s="1"/>
    </row>
    <row r="1385" spans="1:10" x14ac:dyDescent="0.2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Jaime\QUIFA-CAJÚA\Cajua\[VAS_CAJUA_CF_SEC_20230125.xlsx]CF PRBDP'!</v>
      </c>
      <c r="G1385" s="6" t="s">
        <v>38</v>
      </c>
      <c r="H1385" s="1"/>
      <c r="I1385" s="1"/>
      <c r="J1385" s="1"/>
    </row>
    <row r="1386" spans="1:10" x14ac:dyDescent="0.2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Jaime\QUIFA-CAJÚA\Cajua\[VAS_CAJUA_CF_SEC_20230125.xlsx]CF PRBDP'!</v>
      </c>
      <c r="G1386" s="6" t="s">
        <v>38</v>
      </c>
      <c r="H1386" s="1"/>
      <c r="I1386" s="1"/>
      <c r="J1386" s="1"/>
    </row>
    <row r="1387" spans="1:10" x14ac:dyDescent="0.2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Jaime\QUIFA-CAJÚA\Cajua\[VAS_CAJUA_CF_SEC_20230125.xlsx]CF PRBDP'!</v>
      </c>
      <c r="G1387" s="6" t="s">
        <v>38</v>
      </c>
      <c r="H1387" s="1"/>
      <c r="I1387" s="1"/>
      <c r="J1387" s="1"/>
    </row>
    <row r="1388" spans="1:10" x14ac:dyDescent="0.2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Jaime\QUIFA-CAJÚA\Cajua\[VAS_CAJUA_CF_SEC_20230125.xlsx]CF PRBDP'!</v>
      </c>
      <c r="G1388" s="6" t="s">
        <v>38</v>
      </c>
      <c r="H1388" s="1"/>
      <c r="I1388" s="1"/>
      <c r="J1388" s="1"/>
    </row>
    <row r="1389" spans="1:10" x14ac:dyDescent="0.2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Jaime\QUIFA-CAJÚA\Cajua\[VAS_CAJUA_CF_SEC_20230125.xlsx]CF PRBDP'!</v>
      </c>
      <c r="G1389" s="6" t="s">
        <v>38</v>
      </c>
      <c r="H1389" s="1"/>
      <c r="I1389" s="1"/>
      <c r="J1389" s="1"/>
    </row>
    <row r="1390" spans="1:10" x14ac:dyDescent="0.2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Jaime\QUIFA-CAJÚA\Cajua\[VAS_CAJUA_CF_SEC_20230125.xlsx]CF PRBDP'!</v>
      </c>
      <c r="G1390" s="6" t="s">
        <v>38</v>
      </c>
      <c r="H1390" s="1"/>
      <c r="I1390" s="1"/>
      <c r="J1390" s="1"/>
    </row>
    <row r="1391" spans="1:10" x14ac:dyDescent="0.2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Jaime\QUIFA-CAJÚA\Cajua\[VAS_CAJUA_CF_SEC_20230125.xlsx]CF PRBDP'!</v>
      </c>
      <c r="G1391" s="6" t="s">
        <v>38</v>
      </c>
      <c r="H1391" s="1"/>
      <c r="I1391" s="1"/>
      <c r="J1391" s="1"/>
    </row>
    <row r="1392" spans="1:10" x14ac:dyDescent="0.2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Jaime\QUIFA-CAJÚA\Cajua\[VAS_CAJUA_CF_SEC_20230125.xlsx]CF PRBDP'!</v>
      </c>
      <c r="G1392" s="6" t="s">
        <v>38</v>
      </c>
      <c r="H1392" s="1"/>
      <c r="I1392" s="1"/>
      <c r="J1392" s="1"/>
    </row>
    <row r="1393" spans="1:10" x14ac:dyDescent="0.2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Jaime\QUIFA-CAJÚA\Cajua\[VAS_CAJUA_CF_SEC_20230125.xlsx]CF PRBDP'!</v>
      </c>
      <c r="G1393" s="6" t="s">
        <v>38</v>
      </c>
      <c r="H1393" s="1"/>
      <c r="I1393" s="1"/>
      <c r="J1393" s="1"/>
    </row>
    <row r="1394" spans="1:10" x14ac:dyDescent="0.2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Jaime\QUIFA-CAJÚA\Cajua\[VAS_CAJUA_CF_SEC_20230125.xlsx]CF PRBDP'!</v>
      </c>
      <c r="G1394" s="6" t="s">
        <v>38</v>
      </c>
      <c r="H1394" s="1"/>
      <c r="I1394" s="1"/>
      <c r="J1394" s="1"/>
    </row>
    <row r="1395" spans="1:10" x14ac:dyDescent="0.2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Jaime\QUIFA-CAJÚA\Cajua\[VAS_CAJUA_CF_SEC_20230125.xlsx]CF PRBDP'!</v>
      </c>
      <c r="G1395" s="6" t="s">
        <v>38</v>
      </c>
      <c r="H1395" s="1"/>
      <c r="I1395" s="1"/>
      <c r="J1395" s="1"/>
    </row>
    <row r="1396" spans="1:10" x14ac:dyDescent="0.2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Jaime\QUIFA-CAJÚA\Cajua\[VAS_CAJUA_CF_SEC_20230125.xlsx]CF PRBDP'!</v>
      </c>
      <c r="G1396" s="6" t="s">
        <v>38</v>
      </c>
      <c r="H1396" s="1"/>
      <c r="I1396" s="1"/>
      <c r="J1396" s="1"/>
    </row>
    <row r="1397" spans="1:10" x14ac:dyDescent="0.2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Jaime\QUIFA-CAJÚA\Cajua\[VAS_CAJUA_CF_SEC_20230125.xlsx]CF PRBDP'!</v>
      </c>
      <c r="G1397" s="6" t="s">
        <v>38</v>
      </c>
      <c r="H1397" s="1"/>
      <c r="I1397" s="1"/>
      <c r="J1397" s="1"/>
    </row>
    <row r="1398" spans="1:10" x14ac:dyDescent="0.2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Jaime\QUIFA-CAJÚA\Cajua\[VAS_CAJUA_CF_SEC_20230125.xlsx]CF PRBDP'!</v>
      </c>
      <c r="G1398" s="6" t="s">
        <v>38</v>
      </c>
      <c r="H1398" s="1"/>
      <c r="I1398" s="1"/>
      <c r="J1398" s="1"/>
    </row>
    <row r="1399" spans="1:10" x14ac:dyDescent="0.2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Jaime\QUIFA-CAJÚA\Cajua\[VAS_CAJUA_CF_SEC_20230125.xlsx]CF PRBDP'!</v>
      </c>
      <c r="G1399" s="6" t="s">
        <v>38</v>
      </c>
      <c r="H1399" s="1"/>
      <c r="I1399" s="1"/>
      <c r="J1399" s="1"/>
    </row>
    <row r="1400" spans="1:10" x14ac:dyDescent="0.2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Jaime\QUIFA-CAJÚA\Cajua\[VAS_CAJUA_CF_SEC_20230125.xlsx]CF PRBDP'!</v>
      </c>
      <c r="G1400" s="6" t="s">
        <v>38</v>
      </c>
      <c r="H1400" s="1"/>
      <c r="I1400" s="1"/>
      <c r="J1400" s="1"/>
    </row>
    <row r="1401" spans="1:10" x14ac:dyDescent="0.2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Jaime\QUIFA-CAJÚA\Cajua\[VAS_CAJUA_CF_SEC_20230125.xlsx]CF PRBDP'!</v>
      </c>
      <c r="G1401" s="6" t="s">
        <v>38</v>
      </c>
      <c r="H1401" s="1"/>
      <c r="I1401" s="1"/>
      <c r="J1401" s="1"/>
    </row>
    <row r="1402" spans="1:10" x14ac:dyDescent="0.2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Jaime\QUIFA-CAJÚA\Cajua\[VAS_CAJUA_CF_SEC_20230125.xlsx]CF PRBDP'!</v>
      </c>
      <c r="G1402" s="6" t="s">
        <v>38</v>
      </c>
      <c r="H1402" s="1"/>
      <c r="I1402" s="1"/>
      <c r="J1402" s="1"/>
    </row>
    <row r="1403" spans="1:10" x14ac:dyDescent="0.2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Jaime\QUIFA-CAJÚA\Cajua\[VAS_CAJUA_CF_SEC_20230125.xlsx]CF PRBDP'!</v>
      </c>
      <c r="G1403" s="6" t="s">
        <v>38</v>
      </c>
      <c r="H1403" s="1"/>
      <c r="I1403" s="1"/>
      <c r="J1403" s="1"/>
    </row>
    <row r="1404" spans="1:10" x14ac:dyDescent="0.2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Jaime\QUIFA-CAJÚA\Cajua\[VAS_CAJUA_CF_SEC_20230125.xlsx]CF PRBDP'!</v>
      </c>
      <c r="G1404" s="6" t="s">
        <v>38</v>
      </c>
      <c r="H1404" s="1"/>
      <c r="I1404" s="1"/>
      <c r="J1404" s="1"/>
    </row>
    <row r="1405" spans="1:10" x14ac:dyDescent="0.2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Jaime\QUIFA-CAJÚA\Cajua\[VAS_CAJUA_CF_SEC_20230125.xlsx]CF PRBDP'!</v>
      </c>
      <c r="G1405" s="6" t="s">
        <v>38</v>
      </c>
      <c r="H1405" s="1"/>
      <c r="I1405" s="1"/>
      <c r="J1405" s="1"/>
    </row>
    <row r="1406" spans="1:10" x14ac:dyDescent="0.2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Jaime\QUIFA-CAJÚA\Cajua\[VAS_CAJUA_CF_SEC_20230125.xlsx]CF PRBDP'!</v>
      </c>
      <c r="G1406" s="6" t="s">
        <v>38</v>
      </c>
      <c r="H1406" s="1"/>
      <c r="I1406" s="1"/>
      <c r="J1406" s="1"/>
    </row>
    <row r="1407" spans="1:10" x14ac:dyDescent="0.25">
      <c r="A1407" s="6" t="s">
        <v>28</v>
      </c>
      <c r="B1407" s="6"/>
      <c r="C1407" s="1" t="s">
        <v>14</v>
      </c>
      <c r="D1407" s="2"/>
      <c r="E1407" s="9"/>
      <c r="F1407" s="5" t="str">
        <f t="shared" si="298"/>
        <v xml:space="preserve"> </v>
      </c>
      <c r="G1407" s="6"/>
      <c r="H1407" s="1"/>
      <c r="I1407" s="1"/>
      <c r="J1407" s="1"/>
    </row>
    <row r="1408" spans="1:10" x14ac:dyDescent="0.2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Jaime\QUIFA-CAJÚA\Cajua\[VAS_CAJUA_CF_SEC_20230125.xlsx]CF PRBNP'!</v>
      </c>
      <c r="G1408" s="6" t="s">
        <v>38</v>
      </c>
      <c r="H1408" s="1"/>
      <c r="I1408" s="1"/>
      <c r="J1408" s="1"/>
    </row>
    <row r="1409" spans="1:10" x14ac:dyDescent="0.2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Jaime\QUIFA-CAJÚA\Cajua\[VAS_CAJUA_CF_SEC_20230125.xlsx]CF PRBNP'!</v>
      </c>
      <c r="G1409" s="6" t="s">
        <v>38</v>
      </c>
      <c r="H1409" s="1"/>
      <c r="I1409" s="1"/>
      <c r="J1409" s="1"/>
    </row>
    <row r="1410" spans="1:10" x14ac:dyDescent="0.2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Jaime\QUIFA-CAJÚA\Cajua\[VAS_CAJUA_CF_SEC_20230125.xlsx]CF PRBNP'!</v>
      </c>
      <c r="G1410" s="6" t="s">
        <v>38</v>
      </c>
      <c r="H1410" s="1"/>
      <c r="I1410" s="1"/>
      <c r="J1410" s="1"/>
    </row>
    <row r="1411" spans="1:10" x14ac:dyDescent="0.2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Jaime\QUIFA-CAJÚA\Cajua\[VAS_CAJUA_CF_SEC_20230125.xlsx]CF PRBNP'!</v>
      </c>
      <c r="G1411" s="6" t="s">
        <v>38</v>
      </c>
      <c r="H1411" s="1"/>
      <c r="I1411" s="1"/>
      <c r="J1411" s="1"/>
    </row>
    <row r="1412" spans="1:10" x14ac:dyDescent="0.2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Jaime\QUIFA-CAJÚA\Cajua\[VAS_CAJUA_CF_SEC_20230125.xlsx]CF PRBNP'!</v>
      </c>
      <c r="G1412" s="6" t="s">
        <v>38</v>
      </c>
      <c r="H1412" s="1"/>
      <c r="I1412" s="1"/>
      <c r="J1412" s="1"/>
    </row>
    <row r="1413" spans="1:10" x14ac:dyDescent="0.2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Jaime\QUIFA-CAJÚA\Cajua\[VAS_CAJUA_CF_SEC_20230125.xlsx]CF PRBNP'!</v>
      </c>
      <c r="G1413" s="6" t="s">
        <v>38</v>
      </c>
      <c r="H1413" s="1"/>
      <c r="I1413" s="1"/>
      <c r="J1413" s="1"/>
    </row>
    <row r="1414" spans="1:10" x14ac:dyDescent="0.2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Jaime\QUIFA-CAJÚA\Cajua\[VAS_CAJUA_CF_SEC_20230125.xlsx]CF PRBNP'!</v>
      </c>
      <c r="G1414" s="6" t="s">
        <v>38</v>
      </c>
      <c r="H1414" s="1"/>
      <c r="I1414" s="1"/>
      <c r="J1414" s="1"/>
    </row>
    <row r="1415" spans="1:10" x14ac:dyDescent="0.2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Jaime\QUIFA-CAJÚA\Cajua\[VAS_CAJUA_CF_SEC_20230125.xlsx]CF PRBNP'!</v>
      </c>
      <c r="G1415" s="6" t="s">
        <v>38</v>
      </c>
      <c r="H1415" s="1"/>
      <c r="I1415" s="1"/>
      <c r="J1415" s="1"/>
    </row>
    <row r="1416" spans="1:10" x14ac:dyDescent="0.2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Jaime\QUIFA-CAJÚA\Cajua\[VAS_CAJUA_CF_SEC_20230125.xlsx]CF PRBNP'!</v>
      </c>
      <c r="G1416" s="6" t="s">
        <v>38</v>
      </c>
      <c r="H1416" s="1"/>
      <c r="I1416" s="1"/>
      <c r="J1416" s="1"/>
    </row>
    <row r="1417" spans="1:10" x14ac:dyDescent="0.2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Jaime\QUIFA-CAJÚA\Cajua\[VAS_CAJUA_CF_SEC_20230125.xlsx]CF PRBNP'!</v>
      </c>
      <c r="G1417" s="6" t="s">
        <v>38</v>
      </c>
      <c r="H1417" s="1"/>
      <c r="I1417" s="1"/>
      <c r="J1417" s="1"/>
    </row>
    <row r="1418" spans="1:10" x14ac:dyDescent="0.2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Jaime\QUIFA-CAJÚA\Cajua\[VAS_CAJUA_CF_SEC_20230125.xlsx]CF PRBNP'!</v>
      </c>
      <c r="G1418" s="6" t="s">
        <v>38</v>
      </c>
      <c r="H1418" s="1"/>
      <c r="I1418" s="1"/>
      <c r="J1418" s="1"/>
    </row>
    <row r="1419" spans="1:10" x14ac:dyDescent="0.2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Jaime\QUIFA-CAJÚA\Cajua\[VAS_CAJUA_CF_SEC_20230125.xlsx]CF PRBNP'!</v>
      </c>
      <c r="G1419" s="6" t="s">
        <v>38</v>
      </c>
      <c r="H1419" s="1"/>
      <c r="I1419" s="1"/>
      <c r="J1419" s="1"/>
    </row>
    <row r="1420" spans="1:10" x14ac:dyDescent="0.2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Jaime\QUIFA-CAJÚA\Cajua\[VAS_CAJUA_CF_SEC_20230125.xlsx]CF PRBNP'!</v>
      </c>
      <c r="G1420" s="6" t="s">
        <v>38</v>
      </c>
      <c r="H1420" s="1"/>
      <c r="I1420" s="1"/>
      <c r="J1420" s="1"/>
    </row>
    <row r="1421" spans="1:10" x14ac:dyDescent="0.2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Jaime\QUIFA-CAJÚA\Cajua\[VAS_CAJUA_CF_SEC_20230125.xlsx]CF PRBNP'!</v>
      </c>
      <c r="G1421" s="6" t="s">
        <v>38</v>
      </c>
      <c r="H1421" s="1"/>
      <c r="I1421" s="1"/>
      <c r="J1421" s="1"/>
    </row>
    <row r="1422" spans="1:10" x14ac:dyDescent="0.2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Jaime\QUIFA-CAJÚA\Cajua\[VAS_CAJUA_CF_SEC_20230125.xlsx]CF PRBNP'!</v>
      </c>
      <c r="G1422" s="6" t="s">
        <v>38</v>
      </c>
      <c r="H1422" s="1"/>
      <c r="I1422" s="1"/>
      <c r="J1422" s="1"/>
    </row>
    <row r="1423" spans="1:10" x14ac:dyDescent="0.2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Jaime\QUIFA-CAJÚA\Cajua\[VAS_CAJUA_CF_SEC_20230125.xlsx]CF PRBNP'!</v>
      </c>
      <c r="G1423" s="6" t="s">
        <v>38</v>
      </c>
      <c r="H1423" s="1"/>
      <c r="I1423" s="1"/>
      <c r="J1423" s="1"/>
    </row>
    <row r="1424" spans="1:10" x14ac:dyDescent="0.2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Jaime\QUIFA-CAJÚA\Cajua\[VAS_CAJUA_CF_SEC_20230125.xlsx]CF PRBNP'!</v>
      </c>
      <c r="G1424" s="6" t="s">
        <v>38</v>
      </c>
      <c r="H1424" s="1"/>
      <c r="I1424" s="1"/>
      <c r="J1424" s="1"/>
    </row>
    <row r="1425" spans="1:10" x14ac:dyDescent="0.2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Jaime\QUIFA-CAJÚA\Cajua\[VAS_CAJUA_CF_SEC_20230125.xlsx]CF PRBNP'!</v>
      </c>
      <c r="G1425" s="6" t="s">
        <v>38</v>
      </c>
      <c r="H1425" s="1"/>
      <c r="I1425" s="1"/>
      <c r="J1425" s="1"/>
    </row>
    <row r="1426" spans="1:10" x14ac:dyDescent="0.2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Jaime\QUIFA-CAJÚA\Cajua\[VAS_CAJUA_CF_SEC_20230125.xlsx]CF PRBNP'!</v>
      </c>
      <c r="G1426" s="6" t="s">
        <v>38</v>
      </c>
      <c r="H1426" s="1"/>
      <c r="I1426" s="1"/>
      <c r="J1426" s="1"/>
    </row>
    <row r="1427" spans="1:10" x14ac:dyDescent="0.2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Jaime\QUIFA-CAJÚA\Cajua\[VAS_CAJUA_CF_SEC_20230125.xlsx]CF PRBNP'!</v>
      </c>
      <c r="G1427" s="6" t="s">
        <v>38</v>
      </c>
      <c r="H1427" s="1"/>
      <c r="I1427" s="1"/>
      <c r="J1427" s="1"/>
    </row>
    <row r="1428" spans="1:10" x14ac:dyDescent="0.2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Jaime\QUIFA-CAJÚA\Cajua\[VAS_CAJUA_CF_SEC_20230125.xlsx]CF PRBNP'!</v>
      </c>
      <c r="G1428" s="6" t="s">
        <v>38</v>
      </c>
      <c r="H1428" s="1"/>
      <c r="I1428" s="1"/>
      <c r="J1428" s="1"/>
    </row>
    <row r="1429" spans="1:10" x14ac:dyDescent="0.2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Jaime\QUIFA-CAJÚA\Cajua\[VAS_CAJUA_CF_SEC_20230125.xlsx]CF PRBNP'!</v>
      </c>
      <c r="G1429" s="6" t="s">
        <v>38</v>
      </c>
      <c r="H1429" s="1"/>
      <c r="I1429" s="1"/>
      <c r="J1429" s="1"/>
    </row>
    <row r="1430" spans="1:10" x14ac:dyDescent="0.2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Jaime\QUIFA-CAJÚA\Cajua\[VAS_CAJUA_CF_SEC_20230125.xlsx]CF PRBNP'!</v>
      </c>
      <c r="G1430" s="6" t="s">
        <v>38</v>
      </c>
      <c r="H1430" s="1"/>
      <c r="I1430" s="1"/>
      <c r="J1430" s="1"/>
    </row>
    <row r="1431" spans="1:10" x14ac:dyDescent="0.2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Jaime\QUIFA-CAJÚA\Cajua\[VAS_CAJUA_CF_SEC_20230125.xlsx]CF PRBNP'!</v>
      </c>
      <c r="G1431" s="6" t="s">
        <v>38</v>
      </c>
      <c r="H1431" s="1"/>
      <c r="I1431" s="1"/>
      <c r="J1431" s="1"/>
    </row>
    <row r="1432" spans="1:10" x14ac:dyDescent="0.2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Jaime\QUIFA-CAJÚA\Cajua\[VAS_CAJUA_CF_SEC_20230125.xlsx]CF PRBNP'!</v>
      </c>
      <c r="G1432" s="6" t="s">
        <v>38</v>
      </c>
      <c r="H1432" s="1"/>
      <c r="I1432" s="1"/>
      <c r="J1432" s="1"/>
    </row>
    <row r="1433" spans="1:10" x14ac:dyDescent="0.2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Jaime\QUIFA-CAJÚA\Cajua\[VAS_CAJUA_CF_SEC_20230125.xlsx]CF PRBNP'!</v>
      </c>
      <c r="G1433" s="6" t="s">
        <v>38</v>
      </c>
      <c r="H1433" s="1"/>
      <c r="I1433" s="1"/>
      <c r="J1433" s="1"/>
    </row>
    <row r="1434" spans="1:10" x14ac:dyDescent="0.2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Jaime\QUIFA-CAJÚA\Cajua\[VAS_CAJUA_CF_SEC_20230125.xlsx]CF PRBNP'!</v>
      </c>
      <c r="G1434" s="6" t="s">
        <v>38</v>
      </c>
      <c r="H1434" s="1"/>
      <c r="I1434" s="1"/>
      <c r="J1434" s="1"/>
    </row>
    <row r="1435" spans="1:10" x14ac:dyDescent="0.2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Jaime\QUIFA-CAJÚA\Cajua\[VAS_CAJUA_CF_SEC_20230125.xlsx]CF PRBNP'!</v>
      </c>
      <c r="G1435" s="6" t="s">
        <v>38</v>
      </c>
      <c r="H1435" s="1"/>
      <c r="I1435" s="1"/>
      <c r="J1435" s="1"/>
    </row>
    <row r="1436" spans="1:10" x14ac:dyDescent="0.2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Jaime\QUIFA-CAJÚA\Cajua\[VAS_CAJUA_CF_SEC_20230125.xlsx]CF PRBNP'!</v>
      </c>
      <c r="G1436" s="6" t="s">
        <v>38</v>
      </c>
      <c r="H1436" s="1"/>
      <c r="I1436" s="1"/>
      <c r="J1436" s="1"/>
    </row>
    <row r="1437" spans="1:10" x14ac:dyDescent="0.2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Jaime\QUIFA-CAJÚA\Cajua\[VAS_CAJUA_CF_SEC_20230125.xlsx]CF PRBNP'!</v>
      </c>
      <c r="G1437" s="6" t="s">
        <v>38</v>
      </c>
      <c r="H1437" s="1"/>
      <c r="I1437" s="1"/>
      <c r="J1437" s="1"/>
    </row>
    <row r="1438" spans="1:10" x14ac:dyDescent="0.2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Jaime\QUIFA-CAJÚA\Cajua\[VAS_CAJUA_CF_SEC_20230125.xlsx]CF PRBNP'!</v>
      </c>
      <c r="G1438" s="6" t="s">
        <v>38</v>
      </c>
      <c r="H1438" s="1"/>
      <c r="I1438" s="1"/>
      <c r="J1438" s="1"/>
    </row>
    <row r="1439" spans="1:10" x14ac:dyDescent="0.2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Jaime\QUIFA-CAJÚA\Cajua\[VAS_CAJUA_CF_SEC_20230125.xlsx]CF PRBNP'!</v>
      </c>
      <c r="G1439" s="6" t="s">
        <v>38</v>
      </c>
      <c r="H1439" s="1"/>
      <c r="I1439" s="1"/>
      <c r="J1439" s="1"/>
    </row>
    <row r="1440" spans="1:10" x14ac:dyDescent="0.2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Jaime\QUIFA-CAJÚA\Cajua\[VAS_CAJUA_CF_SEC_20230125.xlsx]CF PRBNP'!</v>
      </c>
      <c r="G1440" s="6" t="s">
        <v>38</v>
      </c>
      <c r="H1440" s="1"/>
      <c r="I1440" s="1"/>
      <c r="J1440" s="1"/>
    </row>
    <row r="1441" spans="1:10" x14ac:dyDescent="0.2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Jaime\QUIFA-CAJÚA\Cajua\[VAS_CAJUA_CF_SEC_20230125.xlsx]CF PRBNP'!</v>
      </c>
      <c r="G1441" s="6" t="s">
        <v>38</v>
      </c>
      <c r="H1441" s="1"/>
      <c r="I1441" s="1"/>
      <c r="J1441" s="1"/>
    </row>
    <row r="1442" spans="1:10" x14ac:dyDescent="0.2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Jaime\QUIFA-CAJÚA\Cajua\[VAS_CAJUA_CF_SEC_20230125.xlsx]CF PRBNP'!</v>
      </c>
      <c r="G1442" s="6" t="s">
        <v>38</v>
      </c>
      <c r="H1442" s="1"/>
      <c r="I1442" s="1"/>
      <c r="J1442" s="1"/>
    </row>
    <row r="1443" spans="1:10" x14ac:dyDescent="0.2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Jaime\QUIFA-CAJÚA\Cajua\[VAS_CAJUA_CF_SEC_20230125.xlsx]CF PRBNP'!</v>
      </c>
      <c r="G1443" s="6" t="s">
        <v>38</v>
      </c>
      <c r="H1443" s="1"/>
      <c r="I1443" s="1"/>
      <c r="J1443" s="1"/>
    </row>
    <row r="1444" spans="1:10" x14ac:dyDescent="0.2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Jaime\QUIFA-CAJÚA\Cajua\[VAS_CAJUA_CF_SEC_20230125.xlsx]CF PRBNP'!</v>
      </c>
      <c r="G1444" s="6" t="s">
        <v>38</v>
      </c>
      <c r="H1444" s="1"/>
      <c r="I1444" s="1"/>
      <c r="J1444" s="1"/>
    </row>
    <row r="1445" spans="1:10" x14ac:dyDescent="0.25">
      <c r="A1445" s="6" t="s">
        <v>28</v>
      </c>
      <c r="B1445" s="6"/>
      <c r="C1445" s="1" t="s">
        <v>14</v>
      </c>
      <c r="D1445" s="2"/>
      <c r="E1445" s="9"/>
      <c r="F1445" s="2"/>
      <c r="G1445" s="6"/>
      <c r="H1445" s="1"/>
      <c r="I1445" s="1"/>
      <c r="J1445" s="1"/>
    </row>
    <row r="1446" spans="1:10" x14ac:dyDescent="0.2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Jaime\QUIFA-CAJÚA\Cajua\[VAS_CAJUA_CF_SEC_20230125.xlsx]CF PRBND'!</v>
      </c>
      <c r="G1446" s="6" t="s">
        <v>38</v>
      </c>
      <c r="H1446" s="1"/>
      <c r="I1446" s="1"/>
      <c r="J1446" s="1"/>
    </row>
    <row r="1447" spans="1:10" x14ac:dyDescent="0.2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Jaime\QUIFA-CAJÚA\Cajua\[VAS_CAJUA_CF_SEC_20230125.xlsx]CF PRBND'!</v>
      </c>
      <c r="G1447" s="6" t="s">
        <v>38</v>
      </c>
      <c r="H1447" s="1"/>
      <c r="I1447" s="1"/>
      <c r="J1447" s="1"/>
    </row>
    <row r="1448" spans="1:10" x14ac:dyDescent="0.2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Jaime\QUIFA-CAJÚA\Cajua\[VAS_CAJUA_CF_SEC_20230125.xlsx]CF PRBND'!</v>
      </c>
      <c r="G1448" s="6" t="s">
        <v>38</v>
      </c>
      <c r="H1448" s="1"/>
      <c r="I1448" s="1"/>
      <c r="J1448" s="1"/>
    </row>
    <row r="1449" spans="1:10" x14ac:dyDescent="0.2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Jaime\QUIFA-CAJÚA\Cajua\[VAS_CAJUA_CF_SEC_20230125.xlsx]CF PRBND'!</v>
      </c>
      <c r="G1449" s="6" t="s">
        <v>38</v>
      </c>
      <c r="H1449" s="1"/>
      <c r="I1449" s="1"/>
      <c r="J1449" s="1"/>
    </row>
    <row r="1450" spans="1:10" x14ac:dyDescent="0.2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Jaime\QUIFA-CAJÚA\Cajua\[VAS_CAJUA_CF_SEC_20230125.xlsx]CF PRBND'!</v>
      </c>
      <c r="G1450" s="6" t="s">
        <v>38</v>
      </c>
      <c r="H1450" s="1"/>
      <c r="I1450" s="1"/>
      <c r="J1450" s="1"/>
    </row>
    <row r="1451" spans="1:10" x14ac:dyDescent="0.2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Jaime\QUIFA-CAJÚA\Cajua\[VAS_CAJUA_CF_SEC_20230125.xlsx]CF PRBND'!</v>
      </c>
      <c r="G1451" s="6" t="s">
        <v>38</v>
      </c>
      <c r="H1451" s="1"/>
      <c r="I1451" s="1"/>
      <c r="J1451" s="1"/>
    </row>
    <row r="1452" spans="1:10" x14ac:dyDescent="0.2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Jaime\QUIFA-CAJÚA\Cajua\[VAS_CAJUA_CF_SEC_20230125.xlsx]CF PRBND'!</v>
      </c>
      <c r="G1452" s="6" t="s">
        <v>38</v>
      </c>
      <c r="H1452" s="1"/>
      <c r="I1452" s="1"/>
      <c r="J1452" s="1"/>
    </row>
    <row r="1453" spans="1:10" x14ac:dyDescent="0.2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Jaime\QUIFA-CAJÚA\Cajua\[VAS_CAJUA_CF_SEC_20230125.xlsx]CF PRBND'!</v>
      </c>
      <c r="G1453" s="6" t="s">
        <v>38</v>
      </c>
      <c r="H1453" s="1"/>
      <c r="I1453" s="1"/>
      <c r="J1453" s="1"/>
    </row>
    <row r="1454" spans="1:10" x14ac:dyDescent="0.2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Jaime\QUIFA-CAJÚA\Cajua\[VAS_CAJUA_CF_SEC_20230125.xlsx]CF PRBND'!</v>
      </c>
      <c r="G1454" s="6" t="s">
        <v>38</v>
      </c>
      <c r="H1454" s="1"/>
      <c r="I1454" s="1"/>
      <c r="J1454" s="1"/>
    </row>
    <row r="1455" spans="1:10" x14ac:dyDescent="0.2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Jaime\QUIFA-CAJÚA\Cajua\[VAS_CAJUA_CF_SEC_20230125.xlsx]CF PRBND'!</v>
      </c>
      <c r="G1455" s="6" t="s">
        <v>38</v>
      </c>
      <c r="H1455" s="1"/>
      <c r="I1455" s="1"/>
      <c r="J1455" s="1"/>
    </row>
    <row r="1456" spans="1:10" x14ac:dyDescent="0.2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Jaime\QUIFA-CAJÚA\Cajua\[VAS_CAJUA_CF_SEC_20230125.xlsx]CF PRBND'!</v>
      </c>
      <c r="G1456" s="6" t="s">
        <v>38</v>
      </c>
      <c r="H1456" s="1"/>
      <c r="I1456" s="1"/>
      <c r="J1456" s="1"/>
    </row>
    <row r="1457" spans="1:10" x14ac:dyDescent="0.2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Jaime\QUIFA-CAJÚA\Cajua\[VAS_CAJUA_CF_SEC_20230125.xlsx]CF PRBND'!</v>
      </c>
      <c r="G1457" s="6" t="s">
        <v>38</v>
      </c>
      <c r="H1457" s="1"/>
      <c r="I1457" s="1"/>
      <c r="J1457" s="1"/>
    </row>
    <row r="1458" spans="1:10" x14ac:dyDescent="0.2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Jaime\QUIFA-CAJÚA\Cajua\[VAS_CAJUA_CF_SEC_20230125.xlsx]CF PRBND'!</v>
      </c>
      <c r="G1458" s="6" t="s">
        <v>38</v>
      </c>
      <c r="H1458" s="1"/>
      <c r="I1458" s="1"/>
      <c r="J1458" s="1"/>
    </row>
    <row r="1459" spans="1:10" x14ac:dyDescent="0.2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Jaime\QUIFA-CAJÚA\Cajua\[VAS_CAJUA_CF_SEC_20230125.xlsx]CF PRBND'!</v>
      </c>
      <c r="G1459" s="6" t="s">
        <v>38</v>
      </c>
      <c r="H1459" s="1"/>
      <c r="I1459" s="1"/>
      <c r="J1459" s="1"/>
    </row>
    <row r="1460" spans="1:10" x14ac:dyDescent="0.2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Jaime\QUIFA-CAJÚA\Cajua\[VAS_CAJUA_CF_SEC_20230125.xlsx]CF PRBND'!</v>
      </c>
      <c r="G1460" s="6" t="s">
        <v>38</v>
      </c>
      <c r="H1460" s="1"/>
      <c r="I1460" s="1"/>
      <c r="J1460" s="1"/>
    </row>
    <row r="1461" spans="1:10" x14ac:dyDescent="0.2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Jaime\QUIFA-CAJÚA\Cajua\[VAS_CAJUA_CF_SEC_20230125.xlsx]CF PRBND'!</v>
      </c>
      <c r="G1461" s="6" t="s">
        <v>38</v>
      </c>
      <c r="H1461" s="1"/>
      <c r="I1461" s="1"/>
      <c r="J1461" s="1"/>
    </row>
    <row r="1462" spans="1:10" x14ac:dyDescent="0.2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Jaime\QUIFA-CAJÚA\Cajua\[VAS_CAJUA_CF_SEC_20230125.xlsx]CF PRBND'!</v>
      </c>
      <c r="G1462" s="6" t="s">
        <v>38</v>
      </c>
      <c r="H1462" s="1"/>
      <c r="I1462" s="1"/>
      <c r="J1462" s="1"/>
    </row>
    <row r="1463" spans="1:10" x14ac:dyDescent="0.2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Jaime\QUIFA-CAJÚA\Cajua\[VAS_CAJUA_CF_SEC_20230125.xlsx]CF PRBND'!</v>
      </c>
      <c r="G1463" s="6" t="s">
        <v>38</v>
      </c>
      <c r="H1463" s="1"/>
      <c r="I1463" s="1"/>
      <c r="J1463" s="1"/>
    </row>
    <row r="1464" spans="1:10" x14ac:dyDescent="0.2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Jaime\QUIFA-CAJÚA\Cajua\[VAS_CAJUA_CF_SEC_20230125.xlsx]CF PRBND'!</v>
      </c>
      <c r="G1464" s="6" t="s">
        <v>38</v>
      </c>
      <c r="H1464" s="1"/>
      <c r="I1464" s="1"/>
      <c r="J1464" s="1"/>
    </row>
    <row r="1465" spans="1:10" x14ac:dyDescent="0.2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Jaime\QUIFA-CAJÚA\Cajua\[VAS_CAJUA_CF_SEC_20230125.xlsx]CF PRBND'!</v>
      </c>
      <c r="G1465" s="6" t="s">
        <v>38</v>
      </c>
      <c r="H1465" s="1"/>
      <c r="I1465" s="1"/>
      <c r="J1465" s="1"/>
    </row>
    <row r="1466" spans="1:10" x14ac:dyDescent="0.2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Jaime\QUIFA-CAJÚA\Cajua\[VAS_CAJUA_CF_SEC_20230125.xlsx]CF PRBND'!</v>
      </c>
      <c r="G1466" s="6" t="s">
        <v>38</v>
      </c>
      <c r="H1466" s="1"/>
      <c r="I1466" s="1"/>
      <c r="J1466" s="1"/>
    </row>
    <row r="1467" spans="1:10" x14ac:dyDescent="0.2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Jaime\QUIFA-CAJÚA\Cajua\[VAS_CAJUA_CF_SEC_20230125.xlsx]CF PRBND'!</v>
      </c>
      <c r="G1467" s="6" t="s">
        <v>38</v>
      </c>
      <c r="H1467" s="1"/>
      <c r="I1467" s="1"/>
      <c r="J1467" s="1"/>
    </row>
    <row r="1468" spans="1:10" x14ac:dyDescent="0.2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Jaime\QUIFA-CAJÚA\Cajua\[VAS_CAJUA_CF_SEC_20230125.xlsx]CF PRBND'!</v>
      </c>
      <c r="G1468" s="6" t="s">
        <v>38</v>
      </c>
      <c r="H1468" s="1"/>
      <c r="I1468" s="1"/>
      <c r="J1468" s="1"/>
    </row>
    <row r="1469" spans="1:10" x14ac:dyDescent="0.2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Jaime\QUIFA-CAJÚA\Cajua\[VAS_CAJUA_CF_SEC_20230125.xlsx]CF PRBND'!</v>
      </c>
      <c r="G1469" s="6" t="s">
        <v>38</v>
      </c>
      <c r="H1469" s="1"/>
      <c r="I1469" s="1"/>
      <c r="J1469" s="1"/>
    </row>
    <row r="1470" spans="1:10" x14ac:dyDescent="0.2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Jaime\QUIFA-CAJÚA\Cajua\[VAS_CAJUA_CF_SEC_20230125.xlsx]CF PRBND'!</v>
      </c>
      <c r="G1470" s="6" t="s">
        <v>38</v>
      </c>
      <c r="H1470" s="1"/>
      <c r="I1470" s="1"/>
      <c r="J1470" s="1"/>
    </row>
    <row r="1471" spans="1:10" x14ac:dyDescent="0.2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Jaime\QUIFA-CAJÚA\Cajua\[VAS_CAJUA_CF_SEC_20230125.xlsx]CF PRBND'!</v>
      </c>
      <c r="G1471" s="6" t="s">
        <v>38</v>
      </c>
      <c r="H1471" s="1"/>
      <c r="I1471" s="1"/>
      <c r="J1471" s="1"/>
    </row>
    <row r="1472" spans="1:10" x14ac:dyDescent="0.2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Jaime\QUIFA-CAJÚA\Cajua\[VAS_CAJUA_CF_SEC_20230125.xlsx]CF PRBND'!</v>
      </c>
      <c r="G1472" s="6" t="s">
        <v>38</v>
      </c>
      <c r="H1472" s="1"/>
      <c r="I1472" s="1"/>
      <c r="J1472" s="1"/>
    </row>
    <row r="1473" spans="1:10" x14ac:dyDescent="0.2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Jaime\QUIFA-CAJÚA\Cajua\[VAS_CAJUA_CF_SEC_20230125.xlsx]CF PRBND'!</v>
      </c>
      <c r="G1473" s="6" t="s">
        <v>38</v>
      </c>
      <c r="H1473" s="1"/>
      <c r="I1473" s="1"/>
      <c r="J1473" s="1"/>
    </row>
    <row r="1474" spans="1:10" x14ac:dyDescent="0.2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Jaime\QUIFA-CAJÚA\Cajua\[VAS_CAJUA_CF_SEC_20230125.xlsx]CF PRBND'!</v>
      </c>
      <c r="G1474" s="6" t="s">
        <v>38</v>
      </c>
      <c r="H1474" s="1"/>
      <c r="I1474" s="1"/>
      <c r="J1474" s="1"/>
    </row>
    <row r="1475" spans="1:10" x14ac:dyDescent="0.2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Jaime\QUIFA-CAJÚA\Cajua\[VAS_CAJUA_CF_SEC_20230125.xlsx]CF PRBND'!</v>
      </c>
      <c r="G1475" s="6" t="s">
        <v>38</v>
      </c>
      <c r="H1475" s="1"/>
      <c r="I1475" s="1"/>
      <c r="J1475" s="1"/>
    </row>
    <row r="1476" spans="1:10" x14ac:dyDescent="0.2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Jaime\QUIFA-CAJÚA\Cajua\[VAS_CAJUA_CF_SEC_20230125.xlsx]CF PRBND'!</v>
      </c>
      <c r="G1476" s="6" t="s">
        <v>38</v>
      </c>
      <c r="H1476" s="1"/>
      <c r="I1476" s="1"/>
      <c r="J1476" s="1"/>
    </row>
    <row r="1477" spans="1:10" x14ac:dyDescent="0.2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Jaime\QUIFA-CAJÚA\Cajua\[VAS_CAJUA_CF_SEC_20230125.xlsx]CF PRBND'!</v>
      </c>
      <c r="G1477" s="6" t="s">
        <v>38</v>
      </c>
      <c r="H1477" s="1"/>
      <c r="I1477" s="1"/>
      <c r="J1477" s="1"/>
    </row>
    <row r="1478" spans="1:10" x14ac:dyDescent="0.2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Jaime\QUIFA-CAJÚA\Cajua\[VAS_CAJUA_CF_SEC_20230125.xlsx]CF PRBND'!</v>
      </c>
      <c r="G1478" s="6" t="s">
        <v>38</v>
      </c>
      <c r="H1478" s="1"/>
      <c r="I1478" s="1"/>
      <c r="J1478" s="1"/>
    </row>
    <row r="1479" spans="1:10" x14ac:dyDescent="0.2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Jaime\QUIFA-CAJÚA\Cajua\[VAS_CAJUA_CF_SEC_20230125.xlsx]CF PRBND'!</v>
      </c>
      <c r="G1479" s="6" t="s">
        <v>38</v>
      </c>
      <c r="H1479" s="1"/>
      <c r="I1479" s="1"/>
      <c r="J1479" s="1"/>
    </row>
    <row r="1480" spans="1:10" x14ac:dyDescent="0.2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Jaime\QUIFA-CAJÚA\Cajua\[VAS_CAJUA_CF_SEC_20230125.xlsx]CF PRBND'!</v>
      </c>
      <c r="G1480" s="6" t="s">
        <v>38</v>
      </c>
      <c r="H1480" s="1"/>
      <c r="I1480" s="1"/>
      <c r="J1480" s="1"/>
    </row>
    <row r="1481" spans="1:10" x14ac:dyDescent="0.2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Jaime\QUIFA-CAJÚA\Cajua\[VAS_CAJUA_CF_SEC_20230125.xlsx]CF PRBND'!</v>
      </c>
      <c r="G1481" s="6" t="s">
        <v>38</v>
      </c>
      <c r="H1481" s="1"/>
      <c r="I1481" s="1"/>
      <c r="J1481" s="1"/>
    </row>
    <row r="1482" spans="1:10" x14ac:dyDescent="0.2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Jaime\QUIFA-CAJÚA\Cajua\[VAS_CAJUA_CF_SEC_20230125.xlsx]CF PRBND'!</v>
      </c>
      <c r="G1482" s="6" t="s">
        <v>38</v>
      </c>
      <c r="H1482" s="1"/>
      <c r="I1482" s="1"/>
      <c r="J1482" s="1"/>
    </row>
    <row r="1483" spans="1:10" x14ac:dyDescent="0.25">
      <c r="A1483" s="6" t="s">
        <v>28</v>
      </c>
      <c r="B1483" s="6"/>
      <c r="C1483" s="1" t="s">
        <v>14</v>
      </c>
      <c r="D1483" s="2"/>
      <c r="E1483" s="9"/>
      <c r="F1483" s="2"/>
      <c r="G1483" s="6"/>
      <c r="H1483" s="1"/>
      <c r="I1483" s="1"/>
      <c r="J1483" s="1"/>
    </row>
    <row r="1484" spans="1:10" x14ac:dyDescent="0.2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Jaime\QUIFA-CAJÚA\Cajua\[VAS_CAJUA_CF_SEC_20230125.xlsx]CF PRB'!</v>
      </c>
      <c r="G1484" s="6" t="s">
        <v>38</v>
      </c>
      <c r="H1484" s="1">
        <f>IF(A1484&lt;&gt;A1354,36,H1354+1)</f>
        <v>36</v>
      </c>
      <c r="I1484" s="1" t="str">
        <f t="shared" si="309"/>
        <v>='C:\Users\jaime.benazar\Quorum Business Solutions\Ecopetrol Prometeo - Documents\Planning Space Implementation\3. Analysis &amp; Design\Design\FC22\DRR Jaime\QUIFA-CAJÚA\Cajua\[VAS_CAJUA_CF_SEC_20230125.xlsx]CF PRB'!$BX$36</v>
      </c>
      <c r="J1484" s="1" t="s">
        <v>795</v>
      </c>
    </row>
    <row r="1485" spans="1:10" x14ac:dyDescent="0.2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Jaime\QUIFA-CAJÚA\Cajua\[VAS_CAJUA_CF_SEC_20230125.xlsx]CF PRB'!</v>
      </c>
      <c r="G1485" s="6" t="s">
        <v>38</v>
      </c>
      <c r="H1485" s="1">
        <f t="shared" si="310"/>
        <v>37</v>
      </c>
      <c r="I1485" s="1" t="str">
        <f t="shared" si="309"/>
        <v>='C:\Users\jaime.benazar\Quorum Business Solutions\Ecopetrol Prometeo - Documents\Planning Space Implementation\3. Analysis &amp; Design\Design\FC22\DRR Jaime\QUIFA-CAJÚA\Cajua\[VAS_CAJUA_CF_SEC_20230125.xlsx]CF PRB'!$BX$37</v>
      </c>
      <c r="J1485" s="1" t="s">
        <v>796</v>
      </c>
    </row>
    <row r="1486" spans="1:10" x14ac:dyDescent="0.2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Jaime\QUIFA-CAJÚA\Cajua\[VAS_CAJUA_CF_SEC_20230125.xlsx]CF PRB'!</v>
      </c>
      <c r="G1486" s="6" t="s">
        <v>38</v>
      </c>
      <c r="H1486" s="1">
        <f t="shared" si="310"/>
        <v>38</v>
      </c>
      <c r="I1486" s="1" t="str">
        <f t="shared" si="309"/>
        <v>='C:\Users\jaime.benazar\Quorum Business Solutions\Ecopetrol Prometeo - Documents\Planning Space Implementation\3. Analysis &amp; Design\Design\FC22\DRR Jaime\QUIFA-CAJÚA\Cajua\[VAS_CAJUA_CF_SEC_20230125.xlsx]CF PRB'!$BX$38</v>
      </c>
      <c r="J1486" s="1" t="s">
        <v>797</v>
      </c>
    </row>
    <row r="1487" spans="1:10" x14ac:dyDescent="0.2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Jaime\QUIFA-CAJÚA\Cajua\[VAS_CAJUA_CF_SEC_20230125.xlsx]CF PRB'!</v>
      </c>
      <c r="G1487" s="6" t="s">
        <v>38</v>
      </c>
      <c r="H1487" s="1">
        <f t="shared" si="310"/>
        <v>39</v>
      </c>
      <c r="I1487" s="1" t="str">
        <f t="shared" si="309"/>
        <v>='C:\Users\jaime.benazar\Quorum Business Solutions\Ecopetrol Prometeo - Documents\Planning Space Implementation\3. Analysis &amp; Design\Design\FC22\DRR Jaime\QUIFA-CAJÚA\Cajua\[VAS_CAJUA_CF_SEC_20230125.xlsx]CF PRB'!$BX$39</v>
      </c>
      <c r="J1487" s="1" t="s">
        <v>798</v>
      </c>
    </row>
    <row r="1488" spans="1:10" x14ac:dyDescent="0.2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Jaime\QUIFA-CAJÚA\Cajua\[VAS_CAJUA_CF_SEC_20230125.xlsx]CF PRB'!</v>
      </c>
      <c r="G1488" s="6" t="s">
        <v>38</v>
      </c>
      <c r="H1488" s="1">
        <f t="shared" si="310"/>
        <v>40</v>
      </c>
      <c r="I1488" s="1" t="str">
        <f t="shared" si="309"/>
        <v>='C:\Users\jaime.benazar\Quorum Business Solutions\Ecopetrol Prometeo - Documents\Planning Space Implementation\3. Analysis &amp; Design\Design\FC22\DRR Jaime\QUIFA-CAJÚA\Cajua\[VAS_CAJUA_CF_SEC_20230125.xlsx]CF PRB'!$BX$40</v>
      </c>
      <c r="J1488" s="1" t="s">
        <v>799</v>
      </c>
    </row>
    <row r="1489" spans="1:10" x14ac:dyDescent="0.2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Jaime\QUIFA-CAJÚA\Cajua\[VAS_CAJUA_CF_SEC_20230125.xlsx]CF PRB'!</v>
      </c>
      <c r="G1489" s="6" t="s">
        <v>38</v>
      </c>
      <c r="H1489" s="1">
        <f t="shared" si="310"/>
        <v>41</v>
      </c>
      <c r="I1489" s="1" t="str">
        <f t="shared" si="309"/>
        <v>='C:\Users\jaime.benazar\Quorum Business Solutions\Ecopetrol Prometeo - Documents\Planning Space Implementation\3. Analysis &amp; Design\Design\FC22\DRR Jaime\QUIFA-CAJÚA\Cajua\[VAS_CAJUA_CF_SEC_20230125.xlsx]CF PRB'!$BX$41</v>
      </c>
      <c r="J1489" s="1" t="s">
        <v>800</v>
      </c>
    </row>
    <row r="1490" spans="1:10" x14ac:dyDescent="0.2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Jaime\QUIFA-CAJÚA\Cajua\[VAS_CAJUA_CF_SEC_20230125.xlsx]CF PRB'!</v>
      </c>
      <c r="G1490" s="6" t="s">
        <v>38</v>
      </c>
      <c r="H1490" s="1">
        <f t="shared" si="310"/>
        <v>42</v>
      </c>
      <c r="I1490" s="1" t="str">
        <f t="shared" si="309"/>
        <v>='C:\Users\jaime.benazar\Quorum Business Solutions\Ecopetrol Prometeo - Documents\Planning Space Implementation\3. Analysis &amp; Design\Design\FC22\DRR Jaime\QUIFA-CAJÚA\Cajua\[VAS_CAJUA_CF_SEC_20230125.xlsx]CF PRB'!$BX$42</v>
      </c>
      <c r="J1490" s="1" t="s">
        <v>801</v>
      </c>
    </row>
    <row r="1491" spans="1:10" x14ac:dyDescent="0.2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Jaime\QUIFA-CAJÚA\Cajua\[VAS_CAJUA_CF_SEC_20230125.xlsx]CF PRB'!</v>
      </c>
      <c r="G1491" s="6" t="s">
        <v>38</v>
      </c>
      <c r="H1491" s="1">
        <f t="shared" si="310"/>
        <v>43</v>
      </c>
      <c r="I1491" s="1" t="str">
        <f t="shared" si="309"/>
        <v>='C:\Users\jaime.benazar\Quorum Business Solutions\Ecopetrol Prometeo - Documents\Planning Space Implementation\3. Analysis &amp; Design\Design\FC22\DRR Jaime\QUIFA-CAJÚA\Cajua\[VAS_CAJUA_CF_SEC_20230125.xlsx]CF PRB'!$BX$43</v>
      </c>
      <c r="J1491" s="1" t="s">
        <v>802</v>
      </c>
    </row>
    <row r="1492" spans="1:10" x14ac:dyDescent="0.2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Jaime\QUIFA-CAJÚA\Cajua\[VAS_CAJUA_CF_SEC_20230125.xlsx]CF PRB'!</v>
      </c>
      <c r="G1492" s="6" t="s">
        <v>38</v>
      </c>
      <c r="H1492" s="1">
        <f t="shared" si="310"/>
        <v>44</v>
      </c>
      <c r="I1492" s="1" t="str">
        <f t="shared" si="309"/>
        <v>='C:\Users\jaime.benazar\Quorum Business Solutions\Ecopetrol Prometeo - Documents\Planning Space Implementation\3. Analysis &amp; Design\Design\FC22\DRR Jaime\QUIFA-CAJÚA\Cajua\[VAS_CAJUA_CF_SEC_20230125.xlsx]CF PRB'!$BX$44</v>
      </c>
      <c r="J1492" s="1" t="s">
        <v>803</v>
      </c>
    </row>
    <row r="1493" spans="1:10" x14ac:dyDescent="0.2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Jaime\QUIFA-CAJÚA\Cajua\[VAS_CAJUA_CF_SEC_20230125.xlsx]CF PRB'!</v>
      </c>
      <c r="G1493" s="6" t="s">
        <v>38</v>
      </c>
      <c r="H1493" s="1">
        <f t="shared" si="310"/>
        <v>45</v>
      </c>
      <c r="I1493" s="1" t="str">
        <f t="shared" si="309"/>
        <v>='C:\Users\jaime.benazar\Quorum Business Solutions\Ecopetrol Prometeo - Documents\Planning Space Implementation\3. Analysis &amp; Design\Design\FC22\DRR Jaime\QUIFA-CAJÚA\Cajua\[VAS_CAJUA_CF_SEC_20230125.xlsx]CF PRB'!$BX$45</v>
      </c>
      <c r="J1493" s="1" t="s">
        <v>804</v>
      </c>
    </row>
    <row r="1494" spans="1:10" x14ac:dyDescent="0.2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Jaime\QUIFA-CAJÚA\Cajua\[VAS_CAJUA_CF_SEC_20230125.xlsx]CF PRB'!</v>
      </c>
      <c r="G1494" s="6" t="s">
        <v>38</v>
      </c>
      <c r="H1494" s="1">
        <f t="shared" si="310"/>
        <v>46</v>
      </c>
      <c r="I1494" s="1" t="str">
        <f t="shared" si="309"/>
        <v>='C:\Users\jaime.benazar\Quorum Business Solutions\Ecopetrol Prometeo - Documents\Planning Space Implementation\3. Analysis &amp; Design\Design\FC22\DRR Jaime\QUIFA-CAJÚA\Cajua\[VAS_CAJUA_CF_SEC_20230125.xlsx]CF PRB'!$BX$46</v>
      </c>
      <c r="J1494" s="1" t="s">
        <v>805</v>
      </c>
    </row>
    <row r="1495" spans="1:10" x14ac:dyDescent="0.2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Jaime\QUIFA-CAJÚA\Cajua\[VAS_CAJUA_CF_SEC_20230125.xlsx]CF PRB'!</v>
      </c>
      <c r="G1495" s="6" t="s">
        <v>38</v>
      </c>
      <c r="H1495" s="1">
        <f t="shared" si="310"/>
        <v>47</v>
      </c>
      <c r="I1495" s="1" t="str">
        <f t="shared" si="309"/>
        <v>='C:\Users\jaime.benazar\Quorum Business Solutions\Ecopetrol Prometeo - Documents\Planning Space Implementation\3. Analysis &amp; Design\Design\FC22\DRR Jaime\QUIFA-CAJÚA\Cajua\[VAS_CAJUA_CF_SEC_20230125.xlsx]CF PRB'!$BX$47</v>
      </c>
      <c r="J1495" s="1" t="s">
        <v>806</v>
      </c>
    </row>
    <row r="1496" spans="1:10" x14ac:dyDescent="0.2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Jaime\QUIFA-CAJÚA\Cajua\[VAS_CAJUA_CF_SEC_20230125.xlsx]CF PRB'!</v>
      </c>
      <c r="G1496" s="6" t="s">
        <v>38</v>
      </c>
      <c r="H1496" s="1">
        <f t="shared" si="310"/>
        <v>48</v>
      </c>
      <c r="I1496" s="1" t="str">
        <f t="shared" si="309"/>
        <v>='C:\Users\jaime.benazar\Quorum Business Solutions\Ecopetrol Prometeo - Documents\Planning Space Implementation\3. Analysis &amp; Design\Design\FC22\DRR Jaime\QUIFA-CAJÚA\Cajua\[VAS_CAJUA_CF_SEC_20230125.xlsx]CF PRB'!$BX$48</v>
      </c>
      <c r="J1496" s="1" t="s">
        <v>807</v>
      </c>
    </row>
    <row r="1497" spans="1:10" x14ac:dyDescent="0.2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Jaime\QUIFA-CAJÚA\Cajua\[VAS_CAJUA_CF_SEC_20230125.xlsx]CF PRB'!</v>
      </c>
      <c r="G1497" s="6" t="s">
        <v>38</v>
      </c>
      <c r="H1497" s="1">
        <f t="shared" si="310"/>
        <v>49</v>
      </c>
      <c r="I1497" s="1" t="str">
        <f t="shared" si="309"/>
        <v>='C:\Users\jaime.benazar\Quorum Business Solutions\Ecopetrol Prometeo - Documents\Planning Space Implementation\3. Analysis &amp; Design\Design\FC22\DRR Jaime\QUIFA-CAJÚA\Cajua\[VAS_CAJUA_CF_SEC_20230125.xlsx]CF PRB'!$BX$49</v>
      </c>
      <c r="J1497" s="1" t="s">
        <v>808</v>
      </c>
    </row>
    <row r="1498" spans="1:10" x14ac:dyDescent="0.2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Jaime\QUIFA-CAJÚA\Cajua\[VAS_CAJUA_CF_SEC_20230125.xlsx]CF PRB'!</v>
      </c>
      <c r="G1498" s="6" t="s">
        <v>38</v>
      </c>
      <c r="H1498" s="1">
        <f t="shared" si="310"/>
        <v>50</v>
      </c>
      <c r="I1498" s="1" t="str">
        <f t="shared" si="309"/>
        <v>='C:\Users\jaime.benazar\Quorum Business Solutions\Ecopetrol Prometeo - Documents\Planning Space Implementation\3. Analysis &amp; Design\Design\FC22\DRR Jaime\QUIFA-CAJÚA\Cajua\[VAS_CAJUA_CF_SEC_20230125.xlsx]CF PRB'!$BX$50</v>
      </c>
      <c r="J1498" s="1" t="s">
        <v>809</v>
      </c>
    </row>
    <row r="1499" spans="1:10" x14ac:dyDescent="0.2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Jaime\QUIFA-CAJÚA\Cajua\[VAS_CAJUA_CF_SEC_20230125.xlsx]CF PRB'!</v>
      </c>
      <c r="G1499" s="6" t="s">
        <v>38</v>
      </c>
      <c r="H1499" s="1">
        <f t="shared" si="310"/>
        <v>51</v>
      </c>
      <c r="I1499" s="1" t="str">
        <f t="shared" si="309"/>
        <v>='C:\Users\jaime.benazar\Quorum Business Solutions\Ecopetrol Prometeo - Documents\Planning Space Implementation\3. Analysis &amp; Design\Design\FC22\DRR Jaime\QUIFA-CAJÚA\Cajua\[VAS_CAJUA_CF_SEC_20230125.xlsx]CF PRB'!$BX$51</v>
      </c>
      <c r="J1499" s="1" t="s">
        <v>810</v>
      </c>
    </row>
    <row r="1500" spans="1:10" x14ac:dyDescent="0.2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Jaime\QUIFA-CAJÚA\Cajua\[VAS_CAJUA_CF_SEC_20230125.xlsx]CF PRB'!</v>
      </c>
      <c r="G1500" s="6" t="s">
        <v>38</v>
      </c>
      <c r="H1500" s="1">
        <f t="shared" si="310"/>
        <v>52</v>
      </c>
      <c r="I1500" s="1" t="str">
        <f t="shared" si="309"/>
        <v>='C:\Users\jaime.benazar\Quorum Business Solutions\Ecopetrol Prometeo - Documents\Planning Space Implementation\3. Analysis &amp; Design\Design\FC22\DRR Jaime\QUIFA-CAJÚA\Cajua\[VAS_CAJUA_CF_SEC_20230125.xlsx]CF PRB'!$BX$52</v>
      </c>
      <c r="J1500" s="1" t="s">
        <v>811</v>
      </c>
    </row>
    <row r="1501" spans="1:10" x14ac:dyDescent="0.2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Jaime\QUIFA-CAJÚA\Cajua\[VAS_CAJUA_CF_SEC_20230125.xlsx]CF PRB'!</v>
      </c>
      <c r="G1501" s="6" t="s">
        <v>38</v>
      </c>
      <c r="H1501" s="1">
        <f t="shared" si="310"/>
        <v>53</v>
      </c>
      <c r="I1501" s="1" t="str">
        <f t="shared" si="309"/>
        <v>='C:\Users\jaime.benazar\Quorum Business Solutions\Ecopetrol Prometeo - Documents\Planning Space Implementation\3. Analysis &amp; Design\Design\FC22\DRR Jaime\QUIFA-CAJÚA\Cajua\[VAS_CAJUA_CF_SEC_20230125.xlsx]CF PRB'!$BX$53</v>
      </c>
      <c r="J1501" s="1" t="s">
        <v>812</v>
      </c>
    </row>
    <row r="1502" spans="1:10" x14ac:dyDescent="0.2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Jaime\QUIFA-CAJÚA\Cajua\[VAS_CAJUA_CF_SEC_20230125.xlsx]CF PRB'!</v>
      </c>
      <c r="G1502" s="6" t="s">
        <v>38</v>
      </c>
      <c r="H1502" s="1">
        <f t="shared" si="310"/>
        <v>54</v>
      </c>
      <c r="I1502" s="1" t="str">
        <f t="shared" si="309"/>
        <v>='C:\Users\jaime.benazar\Quorum Business Solutions\Ecopetrol Prometeo - Documents\Planning Space Implementation\3. Analysis &amp; Design\Design\FC22\DRR Jaime\QUIFA-CAJÚA\Cajua\[VAS_CAJUA_CF_SEC_20230125.xlsx]CF PRB'!$BX$54</v>
      </c>
      <c r="J1502" s="1" t="s">
        <v>813</v>
      </c>
    </row>
    <row r="1503" spans="1:10" x14ac:dyDescent="0.2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Jaime\QUIFA-CAJÚA\Cajua\[VAS_CAJUA_CF_SEC_20230125.xlsx]CF PRB'!</v>
      </c>
      <c r="G1503" s="6" t="s">
        <v>38</v>
      </c>
      <c r="H1503" s="1">
        <f t="shared" si="310"/>
        <v>55</v>
      </c>
      <c r="I1503" s="1" t="str">
        <f t="shared" si="309"/>
        <v>='C:\Users\jaime.benazar\Quorum Business Solutions\Ecopetrol Prometeo - Documents\Planning Space Implementation\3. Analysis &amp; Design\Design\FC22\DRR Jaime\QUIFA-CAJÚA\Cajua\[VAS_CAJUA_CF_SEC_20230125.xlsx]CF PRB'!$BX$55</v>
      </c>
      <c r="J1503" s="1" t="s">
        <v>814</v>
      </c>
    </row>
    <row r="1504" spans="1:10" x14ac:dyDescent="0.2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Jaime\QUIFA-CAJÚA\Cajua\[VAS_CAJUA_CF_SEC_20230125.xlsx]CF PRB'!</v>
      </c>
      <c r="G1504" s="6" t="s">
        <v>38</v>
      </c>
      <c r="H1504" s="1">
        <f t="shared" si="310"/>
        <v>56</v>
      </c>
      <c r="I1504" s="1" t="str">
        <f t="shared" si="309"/>
        <v>='C:\Users\jaime.benazar\Quorum Business Solutions\Ecopetrol Prometeo - Documents\Planning Space Implementation\3. Analysis &amp; Design\Design\FC22\DRR Jaime\QUIFA-CAJÚA\Cajua\[VAS_CAJUA_CF_SEC_20230125.xlsx]CF PRB'!$BX$56</v>
      </c>
      <c r="J1504" s="1" t="s">
        <v>815</v>
      </c>
    </row>
    <row r="1505" spans="1:10" x14ac:dyDescent="0.2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Jaime\QUIFA-CAJÚA\Cajua\[VAS_CAJUA_CF_SEC_20230125.xlsx]CF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Jaime\QUIFA-CAJÚA\Cajua\[VAS_CAJUA_CF_SEC_20230125.xlsx]CF PRB'!$BX$57</v>
      </c>
      <c r="J1505" s="1" t="s">
        <v>816</v>
      </c>
    </row>
    <row r="1506" spans="1:10" x14ac:dyDescent="0.2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Jaime\QUIFA-CAJÚA\Cajua\[VAS_CAJUA_CF_SEC_20230125.xlsx]CF PRB'!</v>
      </c>
      <c r="G1506" s="6" t="s">
        <v>38</v>
      </c>
      <c r="H1506" s="1">
        <f t="shared" si="344"/>
        <v>58</v>
      </c>
      <c r="I1506" s="1" t="str">
        <f t="shared" si="345"/>
        <v>='C:\Users\jaime.benazar\Quorum Business Solutions\Ecopetrol Prometeo - Documents\Planning Space Implementation\3. Analysis &amp; Design\Design\FC22\DRR Jaime\QUIFA-CAJÚA\Cajua\[VAS_CAJUA_CF_SEC_20230125.xlsx]CF PRB'!$BX$58</v>
      </c>
      <c r="J1506" s="1" t="s">
        <v>817</v>
      </c>
    </row>
    <row r="1507" spans="1:10" x14ac:dyDescent="0.2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Jaime\QUIFA-CAJÚA\Cajua\[VAS_CAJUA_CF_SEC_20230125.xlsx]CF PRB'!</v>
      </c>
      <c r="G1507" s="6" t="s">
        <v>38</v>
      </c>
      <c r="H1507" s="1">
        <f t="shared" si="344"/>
        <v>59</v>
      </c>
      <c r="I1507" s="1" t="str">
        <f t="shared" si="345"/>
        <v>='C:\Users\jaime.benazar\Quorum Business Solutions\Ecopetrol Prometeo - Documents\Planning Space Implementation\3. Analysis &amp; Design\Design\FC22\DRR Jaime\QUIFA-CAJÚA\Cajua\[VAS_CAJUA_CF_SEC_20230125.xlsx]CF PRB'!$BX$59</v>
      </c>
      <c r="J1507" s="1" t="s">
        <v>818</v>
      </c>
    </row>
    <row r="1508" spans="1:10" x14ac:dyDescent="0.2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Jaime\QUIFA-CAJÚA\Cajua\[VAS_CAJUA_CF_SEC_20230125.xlsx]CF PRB'!</v>
      </c>
      <c r="G1508" s="6" t="s">
        <v>38</v>
      </c>
      <c r="H1508" s="1">
        <f t="shared" si="344"/>
        <v>60</v>
      </c>
      <c r="I1508" s="1" t="str">
        <f t="shared" si="345"/>
        <v>='C:\Users\jaime.benazar\Quorum Business Solutions\Ecopetrol Prometeo - Documents\Planning Space Implementation\3. Analysis &amp; Design\Design\FC22\DRR Jaime\QUIFA-CAJÚA\Cajua\[VAS_CAJUA_CF_SEC_20230125.xlsx]CF PRB'!$BX$60</v>
      </c>
      <c r="J1508" s="1" t="s">
        <v>819</v>
      </c>
    </row>
    <row r="1509" spans="1:10" x14ac:dyDescent="0.2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Jaime\QUIFA-CAJÚA\Cajua\[VAS_CAJUA_CF_SEC_20230125.xlsx]CF PRB'!</v>
      </c>
      <c r="G1509" s="6" t="s">
        <v>38</v>
      </c>
      <c r="H1509" s="1">
        <f t="shared" si="344"/>
        <v>61</v>
      </c>
      <c r="I1509" s="1" t="str">
        <f t="shared" si="345"/>
        <v>='C:\Users\jaime.benazar\Quorum Business Solutions\Ecopetrol Prometeo - Documents\Planning Space Implementation\3. Analysis &amp; Design\Design\FC22\DRR Jaime\QUIFA-CAJÚA\Cajua\[VAS_CAJUA_CF_SEC_20230125.xlsx]CF PRB'!$BX$61</v>
      </c>
      <c r="J1509" s="1" t="s">
        <v>820</v>
      </c>
    </row>
    <row r="1510" spans="1:10" x14ac:dyDescent="0.2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Jaime\QUIFA-CAJÚA\Cajua\[VAS_CAJUA_CF_SEC_20230125.xlsx]CF PRB'!</v>
      </c>
      <c r="G1510" s="6" t="s">
        <v>38</v>
      </c>
      <c r="H1510" s="1">
        <f t="shared" si="344"/>
        <v>62</v>
      </c>
      <c r="I1510" s="1" t="str">
        <f t="shared" si="345"/>
        <v>='C:\Users\jaime.benazar\Quorum Business Solutions\Ecopetrol Prometeo - Documents\Planning Space Implementation\3. Analysis &amp; Design\Design\FC22\DRR Jaime\QUIFA-CAJÚA\Cajua\[VAS_CAJUA_CF_SEC_20230125.xlsx]CF PRB'!$BX$62</v>
      </c>
      <c r="J1510" s="1" t="s">
        <v>821</v>
      </c>
    </row>
    <row r="1511" spans="1:10" x14ac:dyDescent="0.2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Jaime\QUIFA-CAJÚA\Cajua\[VAS_CAJUA_CF_SEC_20230125.xlsx]CF PRB'!</v>
      </c>
      <c r="G1511" s="6" t="s">
        <v>38</v>
      </c>
      <c r="H1511" s="1">
        <f t="shared" si="344"/>
        <v>63</v>
      </c>
      <c r="I1511" s="1" t="str">
        <f t="shared" si="345"/>
        <v>='C:\Users\jaime.benazar\Quorum Business Solutions\Ecopetrol Prometeo - Documents\Planning Space Implementation\3. Analysis &amp; Design\Design\FC22\DRR Jaime\QUIFA-CAJÚA\Cajua\[VAS_CAJUA_CF_SEC_20230125.xlsx]CF PRB'!$BX$63</v>
      </c>
      <c r="J1511" s="1" t="s">
        <v>822</v>
      </c>
    </row>
    <row r="1512" spans="1:10" x14ac:dyDescent="0.2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Jaime\QUIFA-CAJÚA\Cajua\[VAS_CAJUA_CF_SEC_20230125.xlsx]CF PRB'!</v>
      </c>
      <c r="G1512" s="6" t="s">
        <v>38</v>
      </c>
      <c r="H1512" s="1">
        <f t="shared" si="344"/>
        <v>64</v>
      </c>
      <c r="I1512" s="1" t="str">
        <f t="shared" si="345"/>
        <v>='C:\Users\jaime.benazar\Quorum Business Solutions\Ecopetrol Prometeo - Documents\Planning Space Implementation\3. Analysis &amp; Design\Design\FC22\DRR Jaime\QUIFA-CAJÚA\Cajua\[VAS_CAJUA_CF_SEC_20230125.xlsx]CF PRB'!$BX$64</v>
      </c>
      <c r="J1512" s="1" t="s">
        <v>823</v>
      </c>
    </row>
    <row r="1513" spans="1:10" x14ac:dyDescent="0.2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Jaime\QUIFA-CAJÚA\Cajua\[VAS_CAJUA_CF_SEC_20230125.xlsx]CF PRB'!</v>
      </c>
      <c r="G1513" s="6" t="s">
        <v>38</v>
      </c>
      <c r="H1513" s="1">
        <f t="shared" si="344"/>
        <v>65</v>
      </c>
      <c r="I1513" s="1" t="str">
        <f t="shared" si="345"/>
        <v>='C:\Users\jaime.benazar\Quorum Business Solutions\Ecopetrol Prometeo - Documents\Planning Space Implementation\3. Analysis &amp; Design\Design\FC22\DRR Jaime\QUIFA-CAJÚA\Cajua\[VAS_CAJUA_CF_SEC_20230125.xlsx]CF PRB'!$BX$65</v>
      </c>
      <c r="J1513" s="1" t="s">
        <v>824</v>
      </c>
    </row>
    <row r="1514" spans="1:10" x14ac:dyDescent="0.2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Jaime\QUIFA-CAJÚA\Cajua\[VAS_CAJUA_CF_SEC_20230125.xlsx]CF PRB'!</v>
      </c>
      <c r="G1514" s="6" t="s">
        <v>38</v>
      </c>
      <c r="H1514" s="1">
        <f t="shared" si="344"/>
        <v>66</v>
      </c>
      <c r="I1514" s="1" t="str">
        <f t="shared" si="345"/>
        <v>='C:\Users\jaime.benazar\Quorum Business Solutions\Ecopetrol Prometeo - Documents\Planning Space Implementation\3. Analysis &amp; Design\Design\FC22\DRR Jaime\QUIFA-CAJÚA\Cajua\[VAS_CAJUA_CF_SEC_20230125.xlsx]CF PRB'!$BX$66</v>
      </c>
      <c r="J1514" s="1" t="s">
        <v>825</v>
      </c>
    </row>
    <row r="1515" spans="1:10" x14ac:dyDescent="0.2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Jaime\QUIFA-CAJÚA\Cajua\[VAS_CAJUA_CF_SEC_20230125.xlsx]CF PRB'!</v>
      </c>
      <c r="G1515" s="6" t="s">
        <v>38</v>
      </c>
      <c r="H1515" s="1">
        <f t="shared" si="344"/>
        <v>67</v>
      </c>
      <c r="I1515" s="1" t="str">
        <f t="shared" si="345"/>
        <v>='C:\Users\jaime.benazar\Quorum Business Solutions\Ecopetrol Prometeo - Documents\Planning Space Implementation\3. Analysis &amp; Design\Design\FC22\DRR Jaime\QUIFA-CAJÚA\Cajua\[VAS_CAJUA_CF_SEC_20230125.xlsx]CF PRB'!$BX$67</v>
      </c>
      <c r="J1515" s="1" t="s">
        <v>826</v>
      </c>
    </row>
    <row r="1516" spans="1:10" x14ac:dyDescent="0.2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Jaime\QUIFA-CAJÚA\Cajua\[VAS_CAJUA_CF_SEC_20230125.xlsx]CF PRB'!</v>
      </c>
      <c r="G1516" s="6" t="s">
        <v>38</v>
      </c>
      <c r="H1516" s="1">
        <f t="shared" si="344"/>
        <v>68</v>
      </c>
      <c r="I1516" s="1" t="str">
        <f t="shared" si="345"/>
        <v>='C:\Users\jaime.benazar\Quorum Business Solutions\Ecopetrol Prometeo - Documents\Planning Space Implementation\3. Analysis &amp; Design\Design\FC22\DRR Jaime\QUIFA-CAJÚA\Cajua\[VAS_CAJUA_CF_SEC_20230125.xlsx]CF PRB'!$BX$68</v>
      </c>
      <c r="J1516" s="1" t="s">
        <v>827</v>
      </c>
    </row>
    <row r="1517" spans="1:10" x14ac:dyDescent="0.2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Jaime\QUIFA-CAJÚA\Cajua\[VAS_CAJUA_CF_SEC_20230125.xlsx]CF PRB'!</v>
      </c>
      <c r="G1517" s="6" t="s">
        <v>38</v>
      </c>
      <c r="H1517" s="1">
        <f t="shared" si="344"/>
        <v>69</v>
      </c>
      <c r="I1517" s="1" t="str">
        <f t="shared" si="345"/>
        <v>='C:\Users\jaime.benazar\Quorum Business Solutions\Ecopetrol Prometeo - Documents\Planning Space Implementation\3. Analysis &amp; Design\Design\FC22\DRR Jaime\QUIFA-CAJÚA\Cajua\[VAS_CAJUA_CF_SEC_20230125.xlsx]CF PRB'!$BX$69</v>
      </c>
      <c r="J1517" s="1" t="s">
        <v>828</v>
      </c>
    </row>
    <row r="1518" spans="1:10" x14ac:dyDescent="0.2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Jaime\QUIFA-CAJÚA\Cajua\[VAS_CAJUA_CF_SEC_20230125.xlsx]CF PRB'!</v>
      </c>
      <c r="G1518" s="6" t="s">
        <v>38</v>
      </c>
      <c r="H1518" s="1">
        <f t="shared" si="344"/>
        <v>70</v>
      </c>
      <c r="I1518" s="1" t="str">
        <f t="shared" si="345"/>
        <v>='C:\Users\jaime.benazar\Quorum Business Solutions\Ecopetrol Prometeo - Documents\Planning Space Implementation\3. Analysis &amp; Design\Design\FC22\DRR Jaime\QUIFA-CAJÚA\Cajua\[VAS_CAJUA_CF_SEC_20230125.xlsx]CF PRB'!$BX$70</v>
      </c>
      <c r="J1518" s="1" t="s">
        <v>829</v>
      </c>
    </row>
    <row r="1519" spans="1:10" x14ac:dyDescent="0.2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Jaime\QUIFA-CAJÚA\Cajua\[VAS_CAJUA_CF_SEC_20230125.xlsx]CF PRB'!</v>
      </c>
      <c r="G1519" s="6" t="s">
        <v>38</v>
      </c>
      <c r="H1519" s="1">
        <f t="shared" si="344"/>
        <v>71</v>
      </c>
      <c r="I1519" s="1" t="str">
        <f t="shared" si="345"/>
        <v>='C:\Users\jaime.benazar\Quorum Business Solutions\Ecopetrol Prometeo - Documents\Planning Space Implementation\3. Analysis &amp; Design\Design\FC22\DRR Jaime\QUIFA-CAJÚA\Cajua\[VAS_CAJUA_CF_SEC_20230125.xlsx]CF PRB'!$BX$71</v>
      </c>
      <c r="J1519" s="1" t="s">
        <v>830</v>
      </c>
    </row>
    <row r="1520" spans="1:10" x14ac:dyDescent="0.2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Jaime\QUIFA-CAJÚA\Cajua\[VAS_CAJUA_CF_SEC_20230125.xlsx]CF PRB'!</v>
      </c>
      <c r="G1520" s="6" t="s">
        <v>38</v>
      </c>
      <c r="H1520" s="1">
        <f t="shared" si="344"/>
        <v>72</v>
      </c>
      <c r="I1520" s="1" t="str">
        <f t="shared" si="345"/>
        <v>='C:\Users\jaime.benazar\Quorum Business Solutions\Ecopetrol Prometeo - Documents\Planning Space Implementation\3. Analysis &amp; Design\Design\FC22\DRR Jaime\QUIFA-CAJÚA\Cajua\[VAS_CAJUA_CF_SEC_20230125.xlsx]CF PRB'!$BX$72</v>
      </c>
      <c r="J1520" s="1" t="s">
        <v>831</v>
      </c>
    </row>
    <row r="1521" spans="1:10" x14ac:dyDescent="0.25">
      <c r="A1521" s="6" t="s">
        <v>28</v>
      </c>
      <c r="B1521" s="6"/>
      <c r="C1521" s="1" t="s">
        <v>14</v>
      </c>
      <c r="D1521" s="2"/>
      <c r="E1521" s="9"/>
      <c r="F1521" s="2"/>
      <c r="G1521" s="6"/>
      <c r="H1521" s="1"/>
      <c r="I1521" s="1"/>
      <c r="J1521" s="4"/>
    </row>
    <row r="1522" spans="1:10" x14ac:dyDescent="0.2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Jaime\QUIFA-CAJÚA\Cajua\[VAS_CAJUA_CF_SEC_20230125.xlsx]CF PSDP'!</v>
      </c>
      <c r="G1522" s="6" t="s">
        <v>38</v>
      </c>
      <c r="H1522" s="1"/>
      <c r="I1522" s="1"/>
      <c r="J1522" s="1"/>
    </row>
    <row r="1523" spans="1:10" x14ac:dyDescent="0.2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Jaime\QUIFA-CAJÚA\Cajua\[VAS_CAJUA_CF_SEC_20230125.xlsx]CF PSDP'!</v>
      </c>
      <c r="G1523" s="6" t="s">
        <v>38</v>
      </c>
      <c r="H1523" s="1"/>
      <c r="I1523" s="1"/>
      <c r="J1523" s="1"/>
    </row>
    <row r="1524" spans="1:10" x14ac:dyDescent="0.2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Jaime\QUIFA-CAJÚA\Cajua\[VAS_CAJUA_CF_SEC_20230125.xlsx]CF PSDP'!</v>
      </c>
      <c r="G1524" s="6" t="s">
        <v>38</v>
      </c>
      <c r="H1524" s="1"/>
      <c r="I1524" s="1"/>
      <c r="J1524" s="1"/>
    </row>
    <row r="1525" spans="1:10" x14ac:dyDescent="0.2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Jaime\QUIFA-CAJÚA\Cajua\[VAS_CAJUA_CF_SEC_20230125.xlsx]CF PSDP'!</v>
      </c>
      <c r="G1525" s="6" t="s">
        <v>38</v>
      </c>
      <c r="H1525" s="1"/>
      <c r="I1525" s="1"/>
      <c r="J1525" s="1"/>
    </row>
    <row r="1526" spans="1:10" x14ac:dyDescent="0.2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Jaime\QUIFA-CAJÚA\Cajua\[VAS_CAJUA_CF_SEC_20230125.xlsx]CF PSDP'!</v>
      </c>
      <c r="G1526" s="6" t="s">
        <v>38</v>
      </c>
      <c r="H1526" s="1"/>
      <c r="I1526" s="1"/>
      <c r="J1526" s="1"/>
    </row>
    <row r="1527" spans="1:10" x14ac:dyDescent="0.2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Jaime\QUIFA-CAJÚA\Cajua\[VAS_CAJUA_CF_SEC_20230125.xlsx]CF PSDP'!</v>
      </c>
      <c r="G1527" s="6" t="s">
        <v>38</v>
      </c>
      <c r="H1527" s="1"/>
      <c r="I1527" s="1"/>
      <c r="J1527" s="1"/>
    </row>
    <row r="1528" spans="1:10" x14ac:dyDescent="0.2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Jaime\QUIFA-CAJÚA\Cajua\[VAS_CAJUA_CF_SEC_20230125.xlsx]CF PSDP'!</v>
      </c>
      <c r="G1528" s="6" t="s">
        <v>38</v>
      </c>
      <c r="H1528" s="1"/>
      <c r="I1528" s="1"/>
      <c r="J1528" s="1"/>
    </row>
    <row r="1529" spans="1:10" x14ac:dyDescent="0.2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Jaime\QUIFA-CAJÚA\Cajua\[VAS_CAJUA_CF_SEC_20230125.xlsx]CF PSDP'!</v>
      </c>
      <c r="G1529" s="6" t="s">
        <v>38</v>
      </c>
      <c r="H1529" s="1"/>
      <c r="I1529" s="1"/>
      <c r="J1529" s="1"/>
    </row>
    <row r="1530" spans="1:10" x14ac:dyDescent="0.2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Jaime\QUIFA-CAJÚA\Cajua\[VAS_CAJUA_CF_SEC_20230125.xlsx]CF PSDP'!</v>
      </c>
      <c r="G1530" s="6" t="s">
        <v>38</v>
      </c>
      <c r="H1530" s="1"/>
      <c r="I1530" s="1"/>
      <c r="J1530" s="1"/>
    </row>
    <row r="1531" spans="1:10" x14ac:dyDescent="0.2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Jaime\QUIFA-CAJÚA\Cajua\[VAS_CAJUA_CF_SEC_20230125.xlsx]CF PSDP'!</v>
      </c>
      <c r="G1531" s="6" t="s">
        <v>38</v>
      </c>
      <c r="H1531" s="1"/>
      <c r="I1531" s="1"/>
      <c r="J1531" s="1"/>
    </row>
    <row r="1532" spans="1:10" x14ac:dyDescent="0.2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Jaime\QUIFA-CAJÚA\Cajua\[VAS_CAJUA_CF_SEC_20230125.xlsx]CF PSDP'!</v>
      </c>
      <c r="G1532" s="6" t="s">
        <v>38</v>
      </c>
      <c r="H1532" s="1"/>
      <c r="I1532" s="1"/>
      <c r="J1532" s="1"/>
    </row>
    <row r="1533" spans="1:10" x14ac:dyDescent="0.2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Jaime\QUIFA-CAJÚA\Cajua\[VAS_CAJUA_CF_SEC_20230125.xlsx]CF PSDP'!</v>
      </c>
      <c r="G1533" s="6" t="s">
        <v>38</v>
      </c>
      <c r="H1533" s="1"/>
      <c r="I1533" s="1"/>
      <c r="J1533" s="1"/>
    </row>
    <row r="1534" spans="1:10" x14ac:dyDescent="0.2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Jaime\QUIFA-CAJÚA\Cajua\[VAS_CAJUA_CF_SEC_20230125.xlsx]CF PSDP'!</v>
      </c>
      <c r="G1534" s="6" t="s">
        <v>38</v>
      </c>
      <c r="H1534" s="1"/>
      <c r="I1534" s="1"/>
      <c r="J1534" s="1"/>
    </row>
    <row r="1535" spans="1:10" x14ac:dyDescent="0.2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Jaime\QUIFA-CAJÚA\Cajua\[VAS_CAJUA_CF_SEC_20230125.xlsx]CF PSDP'!</v>
      </c>
      <c r="G1535" s="6" t="s">
        <v>38</v>
      </c>
      <c r="H1535" s="1"/>
      <c r="I1535" s="1"/>
      <c r="J1535" s="1"/>
    </row>
    <row r="1536" spans="1:10" x14ac:dyDescent="0.2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Jaime\QUIFA-CAJÚA\Cajua\[VAS_CAJUA_CF_SEC_20230125.xlsx]CF PSDP'!</v>
      </c>
      <c r="G1536" s="6" t="s">
        <v>38</v>
      </c>
      <c r="H1536" s="1"/>
      <c r="I1536" s="1"/>
      <c r="J1536" s="1"/>
    </row>
    <row r="1537" spans="1:10" x14ac:dyDescent="0.2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Jaime\QUIFA-CAJÚA\Cajua\[VAS_CAJUA_CF_SEC_20230125.xlsx]CF PSDP'!</v>
      </c>
      <c r="G1537" s="6" t="s">
        <v>38</v>
      </c>
      <c r="H1537" s="1"/>
      <c r="I1537" s="1"/>
      <c r="J1537" s="1"/>
    </row>
    <row r="1538" spans="1:10" x14ac:dyDescent="0.2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Jaime\QUIFA-CAJÚA\Cajua\[VAS_CAJUA_CF_SEC_20230125.xlsx]CF PSDP'!</v>
      </c>
      <c r="G1538" s="6" t="s">
        <v>38</v>
      </c>
      <c r="H1538" s="1"/>
      <c r="I1538" s="1"/>
      <c r="J1538" s="1"/>
    </row>
    <row r="1539" spans="1:10" x14ac:dyDescent="0.2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Jaime\QUIFA-CAJÚA\Cajua\[VAS_CAJUA_CF_SEC_20230125.xlsx]CF PSDP'!</v>
      </c>
      <c r="G1539" s="6" t="s">
        <v>38</v>
      </c>
      <c r="H1539" s="1"/>
      <c r="I1539" s="1"/>
      <c r="J1539" s="1"/>
    </row>
    <row r="1540" spans="1:10" x14ac:dyDescent="0.2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Jaime\QUIFA-CAJÚA\Cajua\[VAS_CAJUA_CF_SEC_20230125.xlsx]CF PSDP'!</v>
      </c>
      <c r="G1540" s="6" t="s">
        <v>38</v>
      </c>
      <c r="H1540" s="1"/>
      <c r="I1540" s="1"/>
      <c r="J1540" s="1"/>
    </row>
    <row r="1541" spans="1:10" x14ac:dyDescent="0.2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Jaime\QUIFA-CAJÚA\Cajua\[VAS_CAJUA_CF_SEC_20230125.xlsx]CF PSDP'!</v>
      </c>
      <c r="G1541" s="6" t="s">
        <v>38</v>
      </c>
      <c r="H1541" s="1"/>
      <c r="I1541" s="1"/>
      <c r="J1541" s="1"/>
    </row>
    <row r="1542" spans="1:10" x14ac:dyDescent="0.2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Jaime\QUIFA-CAJÚA\Cajua\[VAS_CAJUA_CF_SEC_20230125.xlsx]CF PSDP'!</v>
      </c>
      <c r="G1542" s="6" t="s">
        <v>38</v>
      </c>
      <c r="H1542" s="1"/>
      <c r="I1542" s="1"/>
      <c r="J1542" s="1"/>
    </row>
    <row r="1543" spans="1:10" x14ac:dyDescent="0.2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Jaime\QUIFA-CAJÚA\Cajua\[VAS_CAJUA_CF_SEC_20230125.xlsx]CF PSDP'!</v>
      </c>
      <c r="G1543" s="6" t="s">
        <v>38</v>
      </c>
      <c r="H1543" s="1"/>
      <c r="I1543" s="1"/>
      <c r="J1543" s="1"/>
    </row>
    <row r="1544" spans="1:10" x14ac:dyDescent="0.2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Jaime\QUIFA-CAJÚA\Cajua\[VAS_CAJUA_CF_SEC_20230125.xlsx]CF PSDP'!</v>
      </c>
      <c r="G1544" s="6" t="s">
        <v>38</v>
      </c>
      <c r="H1544" s="1"/>
      <c r="I1544" s="1"/>
      <c r="J1544" s="1"/>
    </row>
    <row r="1545" spans="1:10" x14ac:dyDescent="0.2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Jaime\QUIFA-CAJÚA\Cajua\[VAS_CAJUA_CF_SEC_20230125.xlsx]CF PSDP'!</v>
      </c>
      <c r="G1545" s="6" t="s">
        <v>38</v>
      </c>
      <c r="H1545" s="1"/>
      <c r="I1545" s="1"/>
      <c r="J1545" s="1"/>
    </row>
    <row r="1546" spans="1:10" x14ac:dyDescent="0.2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Jaime\QUIFA-CAJÚA\Cajua\[VAS_CAJUA_CF_SEC_20230125.xlsx]CF PSDP'!</v>
      </c>
      <c r="G1546" s="6" t="s">
        <v>38</v>
      </c>
      <c r="H1546" s="1"/>
      <c r="I1546" s="1"/>
      <c r="J1546" s="1"/>
    </row>
    <row r="1547" spans="1:10" x14ac:dyDescent="0.2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Jaime\QUIFA-CAJÚA\Cajua\[VAS_CAJUA_CF_SEC_20230125.xlsx]CF PSDP'!</v>
      </c>
      <c r="G1547" s="6" t="s">
        <v>38</v>
      </c>
      <c r="H1547" s="1"/>
      <c r="I1547" s="1"/>
      <c r="J1547" s="1"/>
    </row>
    <row r="1548" spans="1:10" x14ac:dyDescent="0.2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Jaime\QUIFA-CAJÚA\Cajua\[VAS_CAJUA_CF_SEC_20230125.xlsx]CF PSDP'!</v>
      </c>
      <c r="G1548" s="6" t="s">
        <v>38</v>
      </c>
      <c r="H1548" s="1"/>
      <c r="I1548" s="1"/>
      <c r="J1548" s="1"/>
    </row>
    <row r="1549" spans="1:10" x14ac:dyDescent="0.2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Jaime\QUIFA-CAJÚA\Cajua\[VAS_CAJUA_CF_SEC_20230125.xlsx]CF PSDP'!</v>
      </c>
      <c r="G1549" s="6" t="s">
        <v>38</v>
      </c>
      <c r="H1549" s="1"/>
      <c r="I1549" s="1"/>
      <c r="J1549" s="1"/>
    </row>
    <row r="1550" spans="1:10" x14ac:dyDescent="0.2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Jaime\QUIFA-CAJÚA\Cajua\[VAS_CAJUA_CF_SEC_20230125.xlsx]CF PSDP'!</v>
      </c>
      <c r="G1550" s="6" t="s">
        <v>38</v>
      </c>
      <c r="H1550" s="1"/>
      <c r="I1550" s="1"/>
      <c r="J1550" s="1"/>
    </row>
    <row r="1551" spans="1:10" x14ac:dyDescent="0.2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Jaime\QUIFA-CAJÚA\Cajua\[VAS_CAJUA_CF_SEC_20230125.xlsx]CF PSDP'!</v>
      </c>
      <c r="G1551" s="6" t="s">
        <v>38</v>
      </c>
      <c r="H1551" s="1"/>
      <c r="I1551" s="1"/>
      <c r="J1551" s="1"/>
    </row>
    <row r="1552" spans="1:10" x14ac:dyDescent="0.2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Jaime\QUIFA-CAJÚA\Cajua\[VAS_CAJUA_CF_SEC_20230125.xlsx]CF PSDP'!</v>
      </c>
      <c r="G1552" s="6" t="s">
        <v>38</v>
      </c>
      <c r="H1552" s="1"/>
      <c r="I1552" s="1"/>
      <c r="J1552" s="1"/>
    </row>
    <row r="1553" spans="1:10" x14ac:dyDescent="0.2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Jaime\QUIFA-CAJÚA\Cajua\[VAS_CAJUA_CF_SEC_20230125.xlsx]CF PSDP'!</v>
      </c>
      <c r="G1553" s="6" t="s">
        <v>38</v>
      </c>
      <c r="H1553" s="1"/>
      <c r="I1553" s="1"/>
      <c r="J1553" s="1"/>
    </row>
    <row r="1554" spans="1:10" x14ac:dyDescent="0.2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Jaime\QUIFA-CAJÚA\Cajua\[VAS_CAJUA_CF_SEC_20230125.xlsx]CF PSDP'!</v>
      </c>
      <c r="G1554" s="6" t="s">
        <v>38</v>
      </c>
      <c r="H1554" s="1"/>
      <c r="I1554" s="1"/>
      <c r="J1554" s="1"/>
    </row>
    <row r="1555" spans="1:10" x14ac:dyDescent="0.2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Jaime\QUIFA-CAJÚA\Cajua\[VAS_CAJUA_CF_SEC_20230125.xlsx]CF PSDP'!</v>
      </c>
      <c r="G1555" s="6" t="s">
        <v>38</v>
      </c>
      <c r="H1555" s="1"/>
      <c r="I1555" s="1"/>
      <c r="J1555" s="1"/>
    </row>
    <row r="1556" spans="1:10" x14ac:dyDescent="0.2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Jaime\QUIFA-CAJÚA\Cajua\[VAS_CAJUA_CF_SEC_20230125.xlsx]CF PSDP'!</v>
      </c>
      <c r="G1556" s="6" t="s">
        <v>38</v>
      </c>
      <c r="H1556" s="1"/>
      <c r="I1556" s="1"/>
      <c r="J1556" s="1"/>
    </row>
    <row r="1557" spans="1:10" x14ac:dyDescent="0.2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Jaime\QUIFA-CAJÚA\Cajua\[VAS_CAJUA_CF_SEC_20230125.xlsx]CF PSDP'!</v>
      </c>
      <c r="G1557" s="6" t="s">
        <v>38</v>
      </c>
      <c r="H1557" s="1"/>
      <c r="I1557" s="1"/>
      <c r="J1557" s="1"/>
    </row>
    <row r="1558" spans="1:10" x14ac:dyDescent="0.2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Jaime\QUIFA-CAJÚA\Cajua\[VAS_CAJUA_CF_SEC_20230125.xlsx]CF PSDP'!</v>
      </c>
      <c r="G1558" s="6" t="s">
        <v>38</v>
      </c>
      <c r="H1558" s="1"/>
      <c r="I1558" s="1"/>
      <c r="J1558" s="1"/>
    </row>
    <row r="1559" spans="1:10" x14ac:dyDescent="0.25">
      <c r="A1559" s="6" t="s">
        <v>28</v>
      </c>
      <c r="B1559" s="6"/>
      <c r="C1559" s="1" t="s">
        <v>14</v>
      </c>
      <c r="D1559" s="2"/>
      <c r="E1559" s="9"/>
      <c r="F1559" s="2"/>
      <c r="G1559" s="6"/>
      <c r="H1559" s="1"/>
      <c r="I1559" s="1"/>
      <c r="J1559" s="1"/>
    </row>
    <row r="1560" spans="1:10" x14ac:dyDescent="0.2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Jaime\QUIFA-CAJÚA\Cajua\[VAS_CAJUA_CF_SEC_20230125.xlsx]CF PSNP'!</v>
      </c>
      <c r="G1560" s="6" t="s">
        <v>38</v>
      </c>
      <c r="H1560" s="1"/>
      <c r="I1560" s="1"/>
      <c r="J1560" s="1"/>
    </row>
    <row r="1561" spans="1:10" x14ac:dyDescent="0.2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Jaime\QUIFA-CAJÚA\Cajua\[VAS_CAJUA_CF_SEC_20230125.xlsx]CF PSNP'!</v>
      </c>
      <c r="G1561" s="6" t="s">
        <v>38</v>
      </c>
      <c r="H1561" s="1"/>
      <c r="I1561" s="1"/>
      <c r="J1561" s="1"/>
    </row>
    <row r="1562" spans="1:10" x14ac:dyDescent="0.2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Jaime\QUIFA-CAJÚA\Cajua\[VAS_CAJUA_CF_SEC_20230125.xlsx]CF PSNP'!</v>
      </c>
      <c r="G1562" s="6" t="s">
        <v>38</v>
      </c>
      <c r="H1562" s="1"/>
      <c r="I1562" s="1"/>
      <c r="J1562" s="1"/>
    </row>
    <row r="1563" spans="1:10" x14ac:dyDescent="0.2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Jaime\QUIFA-CAJÚA\Cajua\[VAS_CAJUA_CF_SEC_20230125.xlsx]CF PSNP'!</v>
      </c>
      <c r="G1563" s="6" t="s">
        <v>38</v>
      </c>
      <c r="H1563" s="1"/>
      <c r="I1563" s="1"/>
      <c r="J1563" s="1"/>
    </row>
    <row r="1564" spans="1:10" x14ac:dyDescent="0.2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Jaime\QUIFA-CAJÚA\Cajua\[VAS_CAJUA_CF_SEC_20230125.xlsx]CF PSNP'!</v>
      </c>
      <c r="G1564" s="6" t="s">
        <v>38</v>
      </c>
      <c r="H1564" s="1"/>
      <c r="I1564" s="1"/>
      <c r="J1564" s="1"/>
    </row>
    <row r="1565" spans="1:10" x14ac:dyDescent="0.2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Jaime\QUIFA-CAJÚA\Cajua\[VAS_CAJUA_CF_SEC_20230125.xlsx]CF PSNP'!</v>
      </c>
      <c r="G1565" s="6" t="s">
        <v>38</v>
      </c>
      <c r="H1565" s="1"/>
      <c r="I1565" s="1"/>
      <c r="J1565" s="1"/>
    </row>
    <row r="1566" spans="1:10" x14ac:dyDescent="0.2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Jaime\QUIFA-CAJÚA\Cajua\[VAS_CAJUA_CF_SEC_20230125.xlsx]CF PSNP'!</v>
      </c>
      <c r="G1566" s="6" t="s">
        <v>38</v>
      </c>
      <c r="H1566" s="1"/>
      <c r="I1566" s="1"/>
      <c r="J1566" s="1"/>
    </row>
    <row r="1567" spans="1:10" x14ac:dyDescent="0.2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Jaime\QUIFA-CAJÚA\Cajua\[VAS_CAJUA_CF_SEC_20230125.xlsx]CF PSNP'!</v>
      </c>
      <c r="G1567" s="6" t="s">
        <v>38</v>
      </c>
      <c r="H1567" s="1"/>
      <c r="I1567" s="1"/>
      <c r="J1567" s="1"/>
    </row>
    <row r="1568" spans="1:10" x14ac:dyDescent="0.2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Jaime\QUIFA-CAJÚA\Cajua\[VAS_CAJUA_CF_SEC_20230125.xlsx]CF PSNP'!</v>
      </c>
      <c r="G1568" s="6" t="s">
        <v>38</v>
      </c>
      <c r="H1568" s="1"/>
      <c r="I1568" s="1"/>
      <c r="J1568" s="1"/>
    </row>
    <row r="1569" spans="1:10" x14ac:dyDescent="0.2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Jaime\QUIFA-CAJÚA\Cajua\[VAS_CAJUA_CF_SEC_20230125.xlsx]CF PSNP'!</v>
      </c>
      <c r="G1569" s="6" t="s">
        <v>38</v>
      </c>
      <c r="H1569" s="1"/>
      <c r="I1569" s="1"/>
      <c r="J1569" s="1"/>
    </row>
    <row r="1570" spans="1:10" x14ac:dyDescent="0.2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Jaime\QUIFA-CAJÚA\Cajua\[VAS_CAJUA_CF_SEC_20230125.xlsx]CF PSNP'!</v>
      </c>
      <c r="G1570" s="6" t="s">
        <v>38</v>
      </c>
      <c r="H1570" s="1"/>
      <c r="I1570" s="1"/>
      <c r="J1570" s="1"/>
    </row>
    <row r="1571" spans="1:10" x14ac:dyDescent="0.2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Jaime\QUIFA-CAJÚA\Cajua\[VAS_CAJUA_CF_SEC_20230125.xlsx]CF PSNP'!</v>
      </c>
      <c r="G1571" s="6" t="s">
        <v>38</v>
      </c>
      <c r="H1571" s="1"/>
      <c r="I1571" s="1"/>
      <c r="J1571" s="1"/>
    </row>
    <row r="1572" spans="1:10" x14ac:dyDescent="0.2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Jaime\QUIFA-CAJÚA\Cajua\[VAS_CAJUA_CF_SEC_20230125.xlsx]CF PSNP'!</v>
      </c>
      <c r="G1572" s="6" t="s">
        <v>38</v>
      </c>
      <c r="H1572" s="1"/>
      <c r="I1572" s="1"/>
      <c r="J1572" s="1"/>
    </row>
    <row r="1573" spans="1:10" x14ac:dyDescent="0.2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Jaime\QUIFA-CAJÚA\Cajua\[VAS_CAJUA_CF_SEC_20230125.xlsx]CF PSNP'!</v>
      </c>
      <c r="G1573" s="6" t="s">
        <v>38</v>
      </c>
      <c r="H1573" s="1"/>
      <c r="I1573" s="1"/>
      <c r="J1573" s="1"/>
    </row>
    <row r="1574" spans="1:10" x14ac:dyDescent="0.2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Jaime\QUIFA-CAJÚA\Cajua\[VAS_CAJUA_CF_SEC_20230125.xlsx]CF PSNP'!</v>
      </c>
      <c r="G1574" s="6" t="s">
        <v>38</v>
      </c>
      <c r="H1574" s="1"/>
      <c r="I1574" s="1"/>
      <c r="J1574" s="1"/>
    </row>
    <row r="1575" spans="1:10" x14ac:dyDescent="0.2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Jaime\QUIFA-CAJÚA\Cajua\[VAS_CAJUA_CF_SEC_20230125.xlsx]CF PSNP'!</v>
      </c>
      <c r="G1575" s="6" t="s">
        <v>38</v>
      </c>
      <c r="H1575" s="1"/>
      <c r="I1575" s="1"/>
      <c r="J1575" s="1"/>
    </row>
    <row r="1576" spans="1:10" x14ac:dyDescent="0.2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Jaime\QUIFA-CAJÚA\Cajua\[VAS_CAJUA_CF_SEC_20230125.xlsx]CF PSNP'!</v>
      </c>
      <c r="G1576" s="6" t="s">
        <v>38</v>
      </c>
      <c r="H1576" s="1"/>
      <c r="I1576" s="1"/>
      <c r="J1576" s="1"/>
    </row>
    <row r="1577" spans="1:10" x14ac:dyDescent="0.2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Jaime\QUIFA-CAJÚA\Cajua\[VAS_CAJUA_CF_SEC_20230125.xlsx]CF PSNP'!</v>
      </c>
      <c r="G1577" s="6" t="s">
        <v>38</v>
      </c>
      <c r="H1577" s="1"/>
      <c r="I1577" s="1"/>
      <c r="J1577" s="1"/>
    </row>
    <row r="1578" spans="1:10" x14ac:dyDescent="0.2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Jaime\QUIFA-CAJÚA\Cajua\[VAS_CAJUA_CF_SEC_20230125.xlsx]CF PSNP'!</v>
      </c>
      <c r="G1578" s="6" t="s">
        <v>38</v>
      </c>
      <c r="H1578" s="1"/>
      <c r="I1578" s="1"/>
      <c r="J1578" s="1"/>
    </row>
    <row r="1579" spans="1:10" x14ac:dyDescent="0.2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Jaime\QUIFA-CAJÚA\Cajua\[VAS_CAJUA_CF_SEC_20230125.xlsx]CF PSNP'!</v>
      </c>
      <c r="G1579" s="6" t="s">
        <v>38</v>
      </c>
      <c r="H1579" s="1"/>
      <c r="I1579" s="1"/>
      <c r="J1579" s="1"/>
    </row>
    <row r="1580" spans="1:10" x14ac:dyDescent="0.2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Jaime\QUIFA-CAJÚA\Cajua\[VAS_CAJUA_CF_SEC_20230125.xlsx]CF PSNP'!</v>
      </c>
      <c r="G1580" s="6" t="s">
        <v>38</v>
      </c>
      <c r="H1580" s="1"/>
      <c r="I1580" s="1"/>
      <c r="J1580" s="1"/>
    </row>
    <row r="1581" spans="1:10" x14ac:dyDescent="0.2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Jaime\QUIFA-CAJÚA\Cajua\[VAS_CAJUA_CF_SEC_20230125.xlsx]CF PSNP'!</v>
      </c>
      <c r="G1581" s="6" t="s">
        <v>38</v>
      </c>
      <c r="H1581" s="1"/>
      <c r="I1581" s="1"/>
      <c r="J1581" s="1"/>
    </row>
    <row r="1582" spans="1:10" x14ac:dyDescent="0.2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Jaime\QUIFA-CAJÚA\Cajua\[VAS_CAJUA_CF_SEC_20230125.xlsx]CF PSNP'!</v>
      </c>
      <c r="G1582" s="6" t="s">
        <v>38</v>
      </c>
      <c r="H1582" s="1"/>
      <c r="I1582" s="1"/>
      <c r="J1582" s="1"/>
    </row>
    <row r="1583" spans="1:10" x14ac:dyDescent="0.2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Jaime\QUIFA-CAJÚA\Cajua\[VAS_CAJUA_CF_SEC_20230125.xlsx]CF PSNP'!</v>
      </c>
      <c r="G1583" s="6" t="s">
        <v>38</v>
      </c>
      <c r="H1583" s="1"/>
      <c r="I1583" s="1"/>
      <c r="J1583" s="1"/>
    </row>
    <row r="1584" spans="1:10" x14ac:dyDescent="0.2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Jaime\QUIFA-CAJÚA\Cajua\[VAS_CAJUA_CF_SEC_20230125.xlsx]CF PSNP'!</v>
      </c>
      <c r="G1584" s="6" t="s">
        <v>38</v>
      </c>
      <c r="H1584" s="1"/>
      <c r="I1584" s="1"/>
      <c r="J1584" s="1"/>
    </row>
    <row r="1585" spans="1:10" x14ac:dyDescent="0.2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Jaime\QUIFA-CAJÚA\Cajua\[VAS_CAJUA_CF_SEC_20230125.xlsx]CF PSNP'!</v>
      </c>
      <c r="G1585" s="6" t="s">
        <v>38</v>
      </c>
      <c r="H1585" s="1"/>
      <c r="I1585" s="1"/>
      <c r="J1585" s="1"/>
    </row>
    <row r="1586" spans="1:10" x14ac:dyDescent="0.2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Jaime\QUIFA-CAJÚA\Cajua\[VAS_CAJUA_CF_SEC_20230125.xlsx]CF PSNP'!</v>
      </c>
      <c r="G1586" s="6" t="s">
        <v>38</v>
      </c>
      <c r="H1586" s="1"/>
      <c r="I1586" s="1"/>
      <c r="J1586" s="1"/>
    </row>
    <row r="1587" spans="1:10" x14ac:dyDescent="0.2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Jaime\QUIFA-CAJÚA\Cajua\[VAS_CAJUA_CF_SEC_20230125.xlsx]CF PSNP'!</v>
      </c>
      <c r="G1587" s="6" t="s">
        <v>38</v>
      </c>
      <c r="H1587" s="1"/>
      <c r="I1587" s="1"/>
      <c r="J1587" s="1"/>
    </row>
    <row r="1588" spans="1:10" x14ac:dyDescent="0.2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Jaime\QUIFA-CAJÚA\Cajua\[VAS_CAJUA_CF_SEC_20230125.xlsx]CF PSNP'!</v>
      </c>
      <c r="G1588" s="6" t="s">
        <v>38</v>
      </c>
      <c r="H1588" s="1"/>
      <c r="I1588" s="1"/>
      <c r="J1588" s="1"/>
    </row>
    <row r="1589" spans="1:10" x14ac:dyDescent="0.2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Jaime\QUIFA-CAJÚA\Cajua\[VAS_CAJUA_CF_SEC_20230125.xlsx]CF PSNP'!</v>
      </c>
      <c r="G1589" s="6" t="s">
        <v>38</v>
      </c>
      <c r="H1589" s="1"/>
      <c r="I1589" s="1"/>
      <c r="J1589" s="1"/>
    </row>
    <row r="1590" spans="1:10" x14ac:dyDescent="0.2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Jaime\QUIFA-CAJÚA\Cajua\[VAS_CAJUA_CF_SEC_20230125.xlsx]CF PSNP'!</v>
      </c>
      <c r="G1590" s="6" t="s">
        <v>38</v>
      </c>
      <c r="H1590" s="1"/>
      <c r="I1590" s="1"/>
      <c r="J1590" s="1"/>
    </row>
    <row r="1591" spans="1:10" x14ac:dyDescent="0.2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Jaime\QUIFA-CAJÚA\Cajua\[VAS_CAJUA_CF_SEC_20230125.xlsx]CF PSNP'!</v>
      </c>
      <c r="G1591" s="6" t="s">
        <v>38</v>
      </c>
      <c r="H1591" s="1"/>
      <c r="I1591" s="1"/>
      <c r="J1591" s="1"/>
    </row>
    <row r="1592" spans="1:10" x14ac:dyDescent="0.2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Jaime\QUIFA-CAJÚA\Cajua\[VAS_CAJUA_CF_SEC_20230125.xlsx]CF PSNP'!</v>
      </c>
      <c r="G1592" s="6" t="s">
        <v>38</v>
      </c>
      <c r="H1592" s="1"/>
      <c r="I1592" s="1"/>
      <c r="J1592" s="1"/>
    </row>
    <row r="1593" spans="1:10" x14ac:dyDescent="0.2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Jaime\QUIFA-CAJÚA\Cajua\[VAS_CAJUA_CF_SEC_20230125.xlsx]CF PSNP'!</v>
      </c>
      <c r="G1593" s="6" t="s">
        <v>38</v>
      </c>
      <c r="H1593" s="1"/>
      <c r="I1593" s="1"/>
      <c r="J1593" s="1"/>
    </row>
    <row r="1594" spans="1:10" x14ac:dyDescent="0.2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Jaime\QUIFA-CAJÚA\Cajua\[VAS_CAJUA_CF_SEC_20230125.xlsx]CF PSNP'!</v>
      </c>
      <c r="G1594" s="6" t="s">
        <v>38</v>
      </c>
      <c r="H1594" s="1"/>
      <c r="I1594" s="1"/>
      <c r="J1594" s="1"/>
    </row>
    <row r="1595" spans="1:10" x14ac:dyDescent="0.2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Jaime\QUIFA-CAJÚA\Cajua\[VAS_CAJUA_CF_SEC_20230125.xlsx]CF PSNP'!</v>
      </c>
      <c r="G1595" s="6" t="s">
        <v>38</v>
      </c>
      <c r="H1595" s="1"/>
      <c r="I1595" s="1"/>
      <c r="J1595" s="1"/>
    </row>
    <row r="1596" spans="1:10" x14ac:dyDescent="0.2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Jaime\QUIFA-CAJÚA\Cajua\[VAS_CAJUA_CF_SEC_20230125.xlsx]CF PSNP'!</v>
      </c>
      <c r="G1596" s="6" t="s">
        <v>38</v>
      </c>
      <c r="H1596" s="1"/>
      <c r="I1596" s="1"/>
      <c r="J1596" s="1"/>
    </row>
    <row r="1597" spans="1:10" x14ac:dyDescent="0.25">
      <c r="A1597" s="6" t="s">
        <v>28</v>
      </c>
      <c r="B1597" s="6"/>
      <c r="C1597" s="1" t="s">
        <v>14</v>
      </c>
      <c r="D1597" s="2"/>
      <c r="E1597" s="9"/>
      <c r="F1597" s="2"/>
      <c r="G1597" s="6"/>
      <c r="H1597" s="1"/>
      <c r="I1597" s="1"/>
      <c r="J1597" s="1"/>
    </row>
    <row r="1598" spans="1:10" x14ac:dyDescent="0.2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Jaime\QUIFA-CAJÚA\Cajua\[VAS_CAJUA_CF_SEC_20230125.xlsx]CF PSND'!</v>
      </c>
      <c r="G1598" s="6" t="s">
        <v>38</v>
      </c>
      <c r="H1598" s="1"/>
      <c r="I1598" s="1"/>
      <c r="J1598" s="1"/>
    </row>
    <row r="1599" spans="1:10" x14ac:dyDescent="0.2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Jaime\QUIFA-CAJÚA\Cajua\[VAS_CAJUA_CF_SEC_20230125.xlsx]CF PSND'!</v>
      </c>
      <c r="G1599" s="6" t="s">
        <v>38</v>
      </c>
      <c r="H1599" s="1"/>
      <c r="I1599" s="1"/>
      <c r="J1599" s="1"/>
    </row>
    <row r="1600" spans="1:10" x14ac:dyDescent="0.2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Jaime\QUIFA-CAJÚA\Cajua\[VAS_CAJUA_CF_SEC_20230125.xlsx]CF PSND'!</v>
      </c>
      <c r="G1600" s="6" t="s">
        <v>38</v>
      </c>
      <c r="H1600" s="1"/>
      <c r="I1600" s="1"/>
      <c r="J1600" s="1"/>
    </row>
    <row r="1601" spans="1:10" x14ac:dyDescent="0.2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Jaime\QUIFA-CAJÚA\Cajua\[VAS_CAJUA_CF_SEC_20230125.xlsx]CF PSND'!</v>
      </c>
      <c r="G1601" s="6" t="s">
        <v>38</v>
      </c>
      <c r="H1601" s="1"/>
      <c r="I1601" s="1"/>
      <c r="J1601" s="1"/>
    </row>
    <row r="1602" spans="1:10" x14ac:dyDescent="0.2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Jaime\QUIFA-CAJÚA\Cajua\[VAS_CAJUA_CF_SEC_20230125.xlsx]CF PSND'!</v>
      </c>
      <c r="G1602" s="6" t="s">
        <v>38</v>
      </c>
      <c r="H1602" s="1"/>
      <c r="I1602" s="1"/>
      <c r="J1602" s="1"/>
    </row>
    <row r="1603" spans="1:10" x14ac:dyDescent="0.2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Jaime\QUIFA-CAJÚA\Cajua\[VAS_CAJUA_CF_SEC_20230125.xlsx]CF PSND'!</v>
      </c>
      <c r="G1603" s="6" t="s">
        <v>38</v>
      </c>
      <c r="H1603" s="1"/>
      <c r="I1603" s="1"/>
      <c r="J1603" s="1"/>
    </row>
    <row r="1604" spans="1:10" x14ac:dyDescent="0.2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Jaime\QUIFA-CAJÚA\Cajua\[VAS_CAJUA_CF_SEC_20230125.xlsx]CF PSND'!</v>
      </c>
      <c r="G1604" s="6" t="s">
        <v>38</v>
      </c>
      <c r="H1604" s="1"/>
      <c r="I1604" s="1"/>
      <c r="J1604" s="1"/>
    </row>
    <row r="1605" spans="1:10" x14ac:dyDescent="0.2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Jaime\QUIFA-CAJÚA\Cajua\[VAS_CAJUA_CF_SEC_20230125.xlsx]CF PSND'!</v>
      </c>
      <c r="G1605" s="6" t="s">
        <v>38</v>
      </c>
      <c r="H1605" s="1"/>
      <c r="I1605" s="1"/>
      <c r="J1605" s="1"/>
    </row>
    <row r="1606" spans="1:10" x14ac:dyDescent="0.2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Jaime\QUIFA-CAJÚA\Cajua\[VAS_CAJUA_CF_SEC_20230125.xlsx]CF PSND'!</v>
      </c>
      <c r="G1606" s="6" t="s">
        <v>38</v>
      </c>
      <c r="H1606" s="1"/>
      <c r="I1606" s="1"/>
      <c r="J1606" s="1"/>
    </row>
    <row r="1607" spans="1:10" x14ac:dyDescent="0.2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Jaime\QUIFA-CAJÚA\Cajua\[VAS_CAJUA_CF_SEC_20230125.xlsx]CF PSND'!</v>
      </c>
      <c r="G1607" s="6" t="s">
        <v>38</v>
      </c>
      <c r="H1607" s="1"/>
      <c r="I1607" s="1"/>
      <c r="J1607" s="1"/>
    </row>
    <row r="1608" spans="1:10" x14ac:dyDescent="0.2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Jaime\QUIFA-CAJÚA\Cajua\[VAS_CAJUA_CF_SEC_20230125.xlsx]CF PSND'!</v>
      </c>
      <c r="G1608" s="6" t="s">
        <v>38</v>
      </c>
      <c r="H1608" s="1"/>
      <c r="I1608" s="1"/>
      <c r="J1608" s="1"/>
    </row>
    <row r="1609" spans="1:10" x14ac:dyDescent="0.2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Jaime\QUIFA-CAJÚA\Cajua\[VAS_CAJUA_CF_SEC_20230125.xlsx]CF PSND'!</v>
      </c>
      <c r="G1609" s="6" t="s">
        <v>38</v>
      </c>
      <c r="H1609" s="1"/>
      <c r="I1609" s="1"/>
      <c r="J1609" s="1"/>
    </row>
    <row r="1610" spans="1:10" x14ac:dyDescent="0.2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Jaime\QUIFA-CAJÚA\Cajua\[VAS_CAJUA_CF_SEC_20230125.xlsx]CF PSND'!</v>
      </c>
      <c r="G1610" s="6" t="s">
        <v>38</v>
      </c>
      <c r="H1610" s="1"/>
      <c r="I1610" s="1"/>
      <c r="J1610" s="1"/>
    </row>
    <row r="1611" spans="1:10" x14ac:dyDescent="0.2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Jaime\QUIFA-CAJÚA\Cajua\[VAS_CAJUA_CF_SEC_20230125.xlsx]CF PSND'!</v>
      </c>
      <c r="G1611" s="6" t="s">
        <v>38</v>
      </c>
      <c r="H1611" s="1"/>
      <c r="I1611" s="1"/>
      <c r="J1611" s="1"/>
    </row>
    <row r="1612" spans="1:10" x14ac:dyDescent="0.2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Jaime\QUIFA-CAJÚA\Cajua\[VAS_CAJUA_CF_SEC_20230125.xlsx]CF PSND'!</v>
      </c>
      <c r="G1612" s="6" t="s">
        <v>38</v>
      </c>
      <c r="H1612" s="1"/>
      <c r="I1612" s="1"/>
      <c r="J1612" s="1"/>
    </row>
    <row r="1613" spans="1:10" x14ac:dyDescent="0.2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Jaime\QUIFA-CAJÚA\Cajua\[VAS_CAJUA_CF_SEC_20230125.xlsx]CF PSND'!</v>
      </c>
      <c r="G1613" s="6" t="s">
        <v>38</v>
      </c>
      <c r="H1613" s="1"/>
      <c r="I1613" s="1"/>
      <c r="J1613" s="1"/>
    </row>
    <row r="1614" spans="1:10" x14ac:dyDescent="0.2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Jaime\QUIFA-CAJÚA\Cajua\[VAS_CAJUA_CF_SEC_20230125.xlsx]CF PSND'!</v>
      </c>
      <c r="G1614" s="6" t="s">
        <v>38</v>
      </c>
      <c r="H1614" s="1"/>
      <c r="I1614" s="1"/>
      <c r="J1614" s="1"/>
    </row>
    <row r="1615" spans="1:10" x14ac:dyDescent="0.2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Jaime\QUIFA-CAJÚA\Cajua\[VAS_CAJUA_CF_SEC_20230125.xlsx]CF PSND'!</v>
      </c>
      <c r="G1615" s="6" t="s">
        <v>38</v>
      </c>
      <c r="H1615" s="1"/>
      <c r="I1615" s="1"/>
      <c r="J1615" s="1"/>
    </row>
    <row r="1616" spans="1:10" x14ac:dyDescent="0.2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Jaime\QUIFA-CAJÚA\Cajua\[VAS_CAJUA_CF_SEC_20230125.xlsx]CF PSND'!</v>
      </c>
      <c r="G1616" s="6" t="s">
        <v>38</v>
      </c>
      <c r="H1616" s="1"/>
      <c r="I1616" s="1"/>
      <c r="J1616" s="1"/>
    </row>
    <row r="1617" spans="1:10" x14ac:dyDescent="0.2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Jaime\QUIFA-CAJÚA\Cajua\[VAS_CAJUA_CF_SEC_20230125.xlsx]CF PSND'!</v>
      </c>
      <c r="G1617" s="6" t="s">
        <v>38</v>
      </c>
      <c r="H1617" s="1"/>
      <c r="I1617" s="1"/>
      <c r="J1617" s="1"/>
    </row>
    <row r="1618" spans="1:10" x14ac:dyDescent="0.2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Jaime\QUIFA-CAJÚA\Cajua\[VAS_CAJUA_CF_SEC_20230125.xlsx]CF PSND'!</v>
      </c>
      <c r="G1618" s="6" t="s">
        <v>38</v>
      </c>
      <c r="H1618" s="1"/>
      <c r="I1618" s="1"/>
      <c r="J1618" s="1"/>
    </row>
    <row r="1619" spans="1:10" x14ac:dyDescent="0.2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Jaime\QUIFA-CAJÚA\Cajua\[VAS_CAJUA_CF_SEC_20230125.xlsx]CF PSND'!</v>
      </c>
      <c r="G1619" s="6" t="s">
        <v>38</v>
      </c>
      <c r="H1619" s="1"/>
      <c r="I1619" s="1"/>
      <c r="J1619" s="1"/>
    </row>
    <row r="1620" spans="1:10" x14ac:dyDescent="0.2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Jaime\QUIFA-CAJÚA\Cajua\[VAS_CAJUA_CF_SEC_20230125.xlsx]CF PSND'!</v>
      </c>
      <c r="G1620" s="6" t="s">
        <v>38</v>
      </c>
      <c r="H1620" s="1"/>
      <c r="I1620" s="1"/>
      <c r="J1620" s="1"/>
    </row>
    <row r="1621" spans="1:10" x14ac:dyDescent="0.2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Jaime\QUIFA-CAJÚA\Cajua\[VAS_CAJUA_CF_SEC_20230125.xlsx]CF PSND'!</v>
      </c>
      <c r="G1621" s="6" t="s">
        <v>38</v>
      </c>
      <c r="H1621" s="1"/>
      <c r="I1621" s="1"/>
      <c r="J1621" s="1"/>
    </row>
    <row r="1622" spans="1:10" x14ac:dyDescent="0.2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Jaime\QUIFA-CAJÚA\Cajua\[VAS_CAJUA_CF_SEC_20230125.xlsx]CF PSND'!</v>
      </c>
      <c r="G1622" s="6" t="s">
        <v>38</v>
      </c>
      <c r="H1622" s="1"/>
      <c r="I1622" s="1"/>
      <c r="J1622" s="1"/>
    </row>
    <row r="1623" spans="1:10" x14ac:dyDescent="0.2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Jaime\QUIFA-CAJÚA\Cajua\[VAS_CAJUA_CF_SEC_20230125.xlsx]CF PSND'!</v>
      </c>
      <c r="G1623" s="6" t="s">
        <v>38</v>
      </c>
      <c r="H1623" s="1"/>
      <c r="I1623" s="1"/>
      <c r="J1623" s="1"/>
    </row>
    <row r="1624" spans="1:10" x14ac:dyDescent="0.2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Jaime\QUIFA-CAJÚA\Cajua\[VAS_CAJUA_CF_SEC_20230125.xlsx]CF PSND'!</v>
      </c>
      <c r="G1624" s="6" t="s">
        <v>38</v>
      </c>
      <c r="H1624" s="1"/>
      <c r="I1624" s="1"/>
      <c r="J1624" s="1"/>
    </row>
    <row r="1625" spans="1:10" x14ac:dyDescent="0.2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Jaime\QUIFA-CAJÚA\Cajua\[VAS_CAJUA_CF_SEC_20230125.xlsx]CF PSND'!</v>
      </c>
      <c r="G1625" s="6" t="s">
        <v>38</v>
      </c>
      <c r="H1625" s="1"/>
      <c r="I1625" s="1"/>
      <c r="J1625" s="1"/>
    </row>
    <row r="1626" spans="1:10" x14ac:dyDescent="0.2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Jaime\QUIFA-CAJÚA\Cajua\[VAS_CAJUA_CF_SEC_20230125.xlsx]CF PSND'!</v>
      </c>
      <c r="G1626" s="6" t="s">
        <v>38</v>
      </c>
      <c r="H1626" s="1"/>
      <c r="I1626" s="1"/>
      <c r="J1626" s="1"/>
    </row>
    <row r="1627" spans="1:10" x14ac:dyDescent="0.2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Jaime\QUIFA-CAJÚA\Cajua\[VAS_CAJUA_CF_SEC_20230125.xlsx]CF PSND'!</v>
      </c>
      <c r="G1627" s="6" t="s">
        <v>38</v>
      </c>
      <c r="H1627" s="1"/>
      <c r="I1627" s="1"/>
      <c r="J1627" s="1"/>
    </row>
    <row r="1628" spans="1:10" x14ac:dyDescent="0.2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Jaime\QUIFA-CAJÚA\Cajua\[VAS_CAJUA_CF_SEC_20230125.xlsx]CF PSND'!</v>
      </c>
      <c r="G1628" s="6" t="s">
        <v>38</v>
      </c>
      <c r="H1628" s="1"/>
      <c r="I1628" s="1"/>
      <c r="J1628" s="1"/>
    </row>
    <row r="1629" spans="1:10" x14ac:dyDescent="0.2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Jaime\QUIFA-CAJÚA\Cajua\[VAS_CAJUA_CF_SEC_20230125.xlsx]CF PSND'!</v>
      </c>
      <c r="G1629" s="6" t="s">
        <v>38</v>
      </c>
      <c r="H1629" s="1"/>
      <c r="I1629" s="1"/>
      <c r="J1629" s="1"/>
    </row>
    <row r="1630" spans="1:10" x14ac:dyDescent="0.2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Jaime\QUIFA-CAJÚA\Cajua\[VAS_CAJUA_CF_SEC_20230125.xlsx]CF PSND'!</v>
      </c>
      <c r="G1630" s="6" t="s">
        <v>38</v>
      </c>
      <c r="H1630" s="1"/>
      <c r="I1630" s="1"/>
      <c r="J1630" s="1"/>
    </row>
    <row r="1631" spans="1:10" x14ac:dyDescent="0.2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Jaime\QUIFA-CAJÚA\Cajua\[VAS_CAJUA_CF_SEC_20230125.xlsx]CF PSND'!</v>
      </c>
      <c r="G1631" s="6" t="s">
        <v>38</v>
      </c>
      <c r="H1631" s="1"/>
      <c r="I1631" s="1"/>
      <c r="J1631" s="1"/>
    </row>
    <row r="1632" spans="1:10" x14ac:dyDescent="0.2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Jaime\QUIFA-CAJÚA\Cajua\[VAS_CAJUA_CF_SEC_20230125.xlsx]CF PSND'!</v>
      </c>
      <c r="G1632" s="6" t="s">
        <v>38</v>
      </c>
      <c r="H1632" s="1"/>
      <c r="I1632" s="1"/>
      <c r="J1632" s="1"/>
    </row>
    <row r="1633" spans="1:10" x14ac:dyDescent="0.2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Jaime\QUIFA-CAJÚA\Cajua\[VAS_CAJUA_CF_SEC_20230125.xlsx]CF PSND'!</v>
      </c>
      <c r="G1633" s="6" t="s">
        <v>38</v>
      </c>
      <c r="H1633" s="1"/>
      <c r="I1633" s="1"/>
      <c r="J1633" s="1"/>
    </row>
    <row r="1634" spans="1:10" x14ac:dyDescent="0.2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Jaime\QUIFA-CAJÚA\Cajua\[VAS_CAJUA_CF_SEC_20230125.xlsx]CF PSND'!</v>
      </c>
      <c r="G1634" s="6" t="s">
        <v>38</v>
      </c>
      <c r="H1634" s="1"/>
      <c r="I1634" s="1"/>
      <c r="J1634" s="1"/>
    </row>
    <row r="1635" spans="1:10" x14ac:dyDescent="0.25">
      <c r="A1635" s="6" t="s">
        <v>28</v>
      </c>
      <c r="B1635" s="6"/>
      <c r="C1635" s="1" t="s">
        <v>14</v>
      </c>
      <c r="D1635" s="2"/>
      <c r="E1635" s="9"/>
      <c r="F1635" s="2"/>
      <c r="G1635" s="6"/>
      <c r="H1635" s="1"/>
      <c r="I1635" s="1"/>
      <c r="J1635" s="1"/>
    </row>
    <row r="1636" spans="1:10" x14ac:dyDescent="0.2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Jaime\QUIFA-CAJÚA\Cajua\[VAS_CAJUA_CF_SEC_20230125.xlsx]CF PS'!</v>
      </c>
      <c r="G1636" s="6" t="s">
        <v>38</v>
      </c>
      <c r="H1636" s="1">
        <f>IF(A1636&lt;&gt;A1506,36,H1506+1)</f>
        <v>36</v>
      </c>
      <c r="I1636" s="1" t="str">
        <f t="shared" si="309"/>
        <v>='C:\Users\jaime.benazar\Quorum Business Solutions\Ecopetrol Prometeo - Documents\Planning Space Implementation\3. Analysis &amp; Design\Design\FC22\DRR Jaime\QUIFA-CAJÚA\Cajua\[VAS_CAJUA_CF_SEC_20230125.xlsx]CF PS'!$BX$36</v>
      </c>
      <c r="J1636" s="1" t="s">
        <v>832</v>
      </c>
    </row>
    <row r="1637" spans="1:10" x14ac:dyDescent="0.2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Jaime\QUIFA-CAJÚA\Cajua\[VAS_CAJUA_CF_SEC_20230125.xlsx]CF PS'!</v>
      </c>
      <c r="G1637" s="6" t="s">
        <v>38</v>
      </c>
      <c r="H1637" s="1">
        <f t="shared" si="310"/>
        <v>37</v>
      </c>
      <c r="I1637" s="1" t="str">
        <f t="shared" si="309"/>
        <v>='C:\Users\jaime.benazar\Quorum Business Solutions\Ecopetrol Prometeo - Documents\Planning Space Implementation\3. Analysis &amp; Design\Design\FC22\DRR Jaime\QUIFA-CAJÚA\Cajua\[VAS_CAJUA_CF_SEC_20230125.xlsx]CF PS'!$BX$37</v>
      </c>
      <c r="J1637" s="1" t="s">
        <v>833</v>
      </c>
    </row>
    <row r="1638" spans="1:10" x14ac:dyDescent="0.2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Jaime\QUIFA-CAJÚA\Cajua\[VAS_CAJUA_CF_SEC_20230125.xlsx]CF PS'!</v>
      </c>
      <c r="G1638" s="6" t="s">
        <v>38</v>
      </c>
      <c r="H1638" s="1">
        <f t="shared" si="310"/>
        <v>38</v>
      </c>
      <c r="I1638" s="1" t="str">
        <f t="shared" si="309"/>
        <v>='C:\Users\jaime.benazar\Quorum Business Solutions\Ecopetrol Prometeo - Documents\Planning Space Implementation\3. Analysis &amp; Design\Design\FC22\DRR Jaime\QUIFA-CAJÚA\Cajua\[VAS_CAJUA_CF_SEC_20230125.xlsx]CF PS'!$BX$38</v>
      </c>
      <c r="J1638" s="1" t="s">
        <v>834</v>
      </c>
    </row>
    <row r="1639" spans="1:10" x14ac:dyDescent="0.2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Jaime\QUIFA-CAJÚA\Cajua\[VAS_CAJUA_CF_SEC_20230125.xlsx]CF PS'!</v>
      </c>
      <c r="G1639" s="6" t="s">
        <v>38</v>
      </c>
      <c r="H1639" s="1">
        <f t="shared" si="310"/>
        <v>39</v>
      </c>
      <c r="I1639" s="1" t="str">
        <f t="shared" si="309"/>
        <v>='C:\Users\jaime.benazar\Quorum Business Solutions\Ecopetrol Prometeo - Documents\Planning Space Implementation\3. Analysis &amp; Design\Design\FC22\DRR Jaime\QUIFA-CAJÚA\Cajua\[VAS_CAJUA_CF_SEC_20230125.xlsx]CF PS'!$BX$39</v>
      </c>
      <c r="J1639" s="1" t="s">
        <v>835</v>
      </c>
    </row>
    <row r="1640" spans="1:10" x14ac:dyDescent="0.2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Jaime\QUIFA-CAJÚA\Cajua\[VAS_CAJUA_CF_SEC_20230125.xlsx]CF PS'!</v>
      </c>
      <c r="G1640" s="6" t="s">
        <v>38</v>
      </c>
      <c r="H1640" s="1">
        <f t="shared" si="310"/>
        <v>40</v>
      </c>
      <c r="I1640" s="1" t="str">
        <f t="shared" si="309"/>
        <v>='C:\Users\jaime.benazar\Quorum Business Solutions\Ecopetrol Prometeo - Documents\Planning Space Implementation\3. Analysis &amp; Design\Design\FC22\DRR Jaime\QUIFA-CAJÚA\Cajua\[VAS_CAJUA_CF_SEC_20230125.xlsx]CF PS'!$BX$40</v>
      </c>
      <c r="J1640" s="1" t="s">
        <v>836</v>
      </c>
    </row>
    <row r="1641" spans="1:10" x14ac:dyDescent="0.2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Jaime\QUIFA-CAJÚA\Cajua\[VAS_CAJUA_CF_SEC_20230125.xlsx]CF PS'!</v>
      </c>
      <c r="G1641" s="6" t="s">
        <v>38</v>
      </c>
      <c r="H1641" s="1">
        <f t="shared" si="310"/>
        <v>41</v>
      </c>
      <c r="I1641" s="1" t="str">
        <f t="shared" si="309"/>
        <v>='C:\Users\jaime.benazar\Quorum Business Solutions\Ecopetrol Prometeo - Documents\Planning Space Implementation\3. Analysis &amp; Design\Design\FC22\DRR Jaime\QUIFA-CAJÚA\Cajua\[VAS_CAJUA_CF_SEC_20230125.xlsx]CF PS'!$BX$41</v>
      </c>
      <c r="J1641" s="1" t="s">
        <v>837</v>
      </c>
    </row>
    <row r="1642" spans="1:10" x14ac:dyDescent="0.2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Jaime\QUIFA-CAJÚA\Cajua\[VAS_CAJUA_CF_SEC_20230125.xlsx]CF PS'!</v>
      </c>
      <c r="G1642" s="6" t="s">
        <v>38</v>
      </c>
      <c r="H1642" s="1">
        <f t="shared" si="310"/>
        <v>42</v>
      </c>
      <c r="I1642" s="1" t="str">
        <f t="shared" si="309"/>
        <v>='C:\Users\jaime.benazar\Quorum Business Solutions\Ecopetrol Prometeo - Documents\Planning Space Implementation\3. Analysis &amp; Design\Design\FC22\DRR Jaime\QUIFA-CAJÚA\Cajua\[VAS_CAJUA_CF_SEC_20230125.xlsx]CF PS'!$BX$42</v>
      </c>
      <c r="J1642" s="1" t="s">
        <v>838</v>
      </c>
    </row>
    <row r="1643" spans="1:10" x14ac:dyDescent="0.2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Jaime\QUIFA-CAJÚA\Cajua\[VAS_CAJUA_CF_SEC_20230125.xlsx]CF PS'!</v>
      </c>
      <c r="G1643" s="6" t="s">
        <v>38</v>
      </c>
      <c r="H1643" s="1">
        <f t="shared" si="310"/>
        <v>43</v>
      </c>
      <c r="I1643" s="1" t="str">
        <f t="shared" si="309"/>
        <v>='C:\Users\jaime.benazar\Quorum Business Solutions\Ecopetrol Prometeo - Documents\Planning Space Implementation\3. Analysis &amp; Design\Design\FC22\DRR Jaime\QUIFA-CAJÚA\Cajua\[VAS_CAJUA_CF_SEC_20230125.xlsx]CF PS'!$BX$43</v>
      </c>
      <c r="J1643" s="1" t="s">
        <v>839</v>
      </c>
    </row>
    <row r="1644" spans="1:10" x14ac:dyDescent="0.2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Jaime\QUIFA-CAJÚA\Cajua\[VAS_CAJUA_CF_SEC_20230125.xlsx]CF PS'!</v>
      </c>
      <c r="G1644" s="6" t="s">
        <v>38</v>
      </c>
      <c r="H1644" s="1">
        <f t="shared" si="310"/>
        <v>44</v>
      </c>
      <c r="I1644" s="1" t="str">
        <f t="shared" si="309"/>
        <v>='C:\Users\jaime.benazar\Quorum Business Solutions\Ecopetrol Prometeo - Documents\Planning Space Implementation\3. Analysis &amp; Design\Design\FC22\DRR Jaime\QUIFA-CAJÚA\Cajua\[VAS_CAJUA_CF_SEC_20230125.xlsx]CF PS'!$BX$44</v>
      </c>
      <c r="J1644" s="1" t="s">
        <v>840</v>
      </c>
    </row>
    <row r="1645" spans="1:10" x14ac:dyDescent="0.2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Jaime\QUIFA-CAJÚA\Cajua\[VAS_CAJUA_CF_SEC_20230125.xlsx]CF PS'!</v>
      </c>
      <c r="G1645" s="6" t="s">
        <v>38</v>
      </c>
      <c r="H1645" s="1">
        <f t="shared" si="310"/>
        <v>45</v>
      </c>
      <c r="I1645" s="1" t="str">
        <f t="shared" si="309"/>
        <v>='C:\Users\jaime.benazar\Quorum Business Solutions\Ecopetrol Prometeo - Documents\Planning Space Implementation\3. Analysis &amp; Design\Design\FC22\DRR Jaime\QUIFA-CAJÚA\Cajua\[VAS_CAJUA_CF_SEC_20230125.xlsx]CF PS'!$BX$45</v>
      </c>
      <c r="J1645" s="1" t="s">
        <v>841</v>
      </c>
    </row>
    <row r="1646" spans="1:10" x14ac:dyDescent="0.2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Jaime\QUIFA-CAJÚA\Cajua\[VAS_CAJUA_CF_SEC_20230125.xlsx]CF PS'!</v>
      </c>
      <c r="G1646" s="6" t="s">
        <v>38</v>
      </c>
      <c r="H1646" s="1">
        <f t="shared" si="310"/>
        <v>46</v>
      </c>
      <c r="I1646" s="1" t="str">
        <f t="shared" si="309"/>
        <v>='C:\Users\jaime.benazar\Quorum Business Solutions\Ecopetrol Prometeo - Documents\Planning Space Implementation\3. Analysis &amp; Design\Design\FC22\DRR Jaime\QUIFA-CAJÚA\Cajua\[VAS_CAJUA_CF_SEC_20230125.xlsx]CF PS'!$BX$46</v>
      </c>
      <c r="J1646" s="1" t="s">
        <v>842</v>
      </c>
    </row>
    <row r="1647" spans="1:10" x14ac:dyDescent="0.2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Jaime\QUIFA-CAJÚA\Cajua\[VAS_CAJUA_CF_SEC_20230125.xlsx]CF PS'!</v>
      </c>
      <c r="G1647" s="6" t="s">
        <v>38</v>
      </c>
      <c r="H1647" s="1">
        <f t="shared" si="310"/>
        <v>47</v>
      </c>
      <c r="I1647" s="1" t="str">
        <f t="shared" si="309"/>
        <v>='C:\Users\jaime.benazar\Quorum Business Solutions\Ecopetrol Prometeo - Documents\Planning Space Implementation\3. Analysis &amp; Design\Design\FC22\DRR Jaime\QUIFA-CAJÚA\Cajua\[VAS_CAJUA_CF_SEC_20230125.xlsx]CF PS'!$BX$47</v>
      </c>
      <c r="J1647" s="1" t="s">
        <v>843</v>
      </c>
    </row>
    <row r="1648" spans="1:10" x14ac:dyDescent="0.2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Jaime\QUIFA-CAJÚA\Cajua\[VAS_CAJUA_CF_SEC_20230125.xlsx]CF PS'!</v>
      </c>
      <c r="G1648" s="6" t="s">
        <v>38</v>
      </c>
      <c r="H1648" s="1">
        <f t="shared" si="310"/>
        <v>48</v>
      </c>
      <c r="I1648" s="1" t="str">
        <f t="shared" si="309"/>
        <v>='C:\Users\jaime.benazar\Quorum Business Solutions\Ecopetrol Prometeo - Documents\Planning Space Implementation\3. Analysis &amp; Design\Design\FC22\DRR Jaime\QUIFA-CAJÚA\Cajua\[VAS_CAJUA_CF_SEC_20230125.xlsx]CF PS'!$BX$48</v>
      </c>
      <c r="J1648" s="1" t="s">
        <v>844</v>
      </c>
    </row>
    <row r="1649" spans="1:10" x14ac:dyDescent="0.2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Jaime\QUIFA-CAJÚA\Cajua\[VAS_CAJUA_CF_SEC_20230125.xlsx]CF PS'!</v>
      </c>
      <c r="G1649" s="6" t="s">
        <v>38</v>
      </c>
      <c r="H1649" s="1">
        <f t="shared" si="310"/>
        <v>49</v>
      </c>
      <c r="I1649" s="1" t="str">
        <f t="shared" si="309"/>
        <v>='C:\Users\jaime.benazar\Quorum Business Solutions\Ecopetrol Prometeo - Documents\Planning Space Implementation\3. Analysis &amp; Design\Design\FC22\DRR Jaime\QUIFA-CAJÚA\Cajua\[VAS_CAJUA_CF_SEC_20230125.xlsx]CF PS'!$BX$49</v>
      </c>
      <c r="J1649" s="1" t="s">
        <v>845</v>
      </c>
    </row>
    <row r="1650" spans="1:10" x14ac:dyDescent="0.2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Jaime\QUIFA-CAJÚA\Cajua\[VAS_CAJUA_CF_SEC_20230125.xlsx]CF PS'!</v>
      </c>
      <c r="G1650" s="6" t="s">
        <v>38</v>
      </c>
      <c r="H1650" s="1">
        <f t="shared" si="310"/>
        <v>50</v>
      </c>
      <c r="I1650" s="1" t="str">
        <f t="shared" si="309"/>
        <v>='C:\Users\jaime.benazar\Quorum Business Solutions\Ecopetrol Prometeo - Documents\Planning Space Implementation\3. Analysis &amp; Design\Design\FC22\DRR Jaime\QUIFA-CAJÚA\Cajua\[VAS_CAJUA_CF_SEC_20230125.xlsx]CF PS'!$BX$50</v>
      </c>
      <c r="J1650" s="1" t="s">
        <v>846</v>
      </c>
    </row>
    <row r="1651" spans="1:10" x14ac:dyDescent="0.2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Jaime\QUIFA-CAJÚA\Cajua\[VAS_CAJUA_CF_SEC_20230125.xlsx]CF PS'!</v>
      </c>
      <c r="G1651" s="6" t="s">
        <v>38</v>
      </c>
      <c r="H1651" s="1">
        <f t="shared" si="310"/>
        <v>51</v>
      </c>
      <c r="I1651" s="1" t="str">
        <f t="shared" si="309"/>
        <v>='C:\Users\jaime.benazar\Quorum Business Solutions\Ecopetrol Prometeo - Documents\Planning Space Implementation\3. Analysis &amp; Design\Design\FC22\DRR Jaime\QUIFA-CAJÚA\Cajua\[VAS_CAJUA_CF_SEC_20230125.xlsx]CF PS'!$BX$51</v>
      </c>
      <c r="J1651" s="1" t="s">
        <v>847</v>
      </c>
    </row>
    <row r="1652" spans="1:10" x14ac:dyDescent="0.2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Jaime\QUIFA-CAJÚA\Cajua\[VAS_CAJUA_CF_SEC_20230125.xlsx]CF PS'!</v>
      </c>
      <c r="G1652" s="6" t="s">
        <v>38</v>
      </c>
      <c r="H1652" s="1">
        <f t="shared" si="310"/>
        <v>52</v>
      </c>
      <c r="I1652" s="1" t="str">
        <f t="shared" si="309"/>
        <v>='C:\Users\jaime.benazar\Quorum Business Solutions\Ecopetrol Prometeo - Documents\Planning Space Implementation\3. Analysis &amp; Design\Design\FC22\DRR Jaime\QUIFA-CAJÚA\Cajua\[VAS_CAJUA_CF_SEC_20230125.xlsx]CF PS'!$BX$52</v>
      </c>
      <c r="J1652" s="1" t="s">
        <v>848</v>
      </c>
    </row>
    <row r="1653" spans="1:10" x14ac:dyDescent="0.2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Jaime\QUIFA-CAJÚA\Cajua\[VAS_CAJUA_CF_SEC_20230125.xlsx]CF PS'!</v>
      </c>
      <c r="G1653" s="6" t="s">
        <v>38</v>
      </c>
      <c r="H1653" s="1">
        <f t="shared" si="310"/>
        <v>53</v>
      </c>
      <c r="I1653" s="1" t="str">
        <f t="shared" si="309"/>
        <v>='C:\Users\jaime.benazar\Quorum Business Solutions\Ecopetrol Prometeo - Documents\Planning Space Implementation\3. Analysis &amp; Design\Design\FC22\DRR Jaime\QUIFA-CAJÚA\Cajua\[VAS_CAJUA_CF_SEC_20230125.xlsx]CF PS'!$BX$53</v>
      </c>
      <c r="J1653" s="1" t="s">
        <v>849</v>
      </c>
    </row>
    <row r="1654" spans="1:10" x14ac:dyDescent="0.2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Jaime\QUIFA-CAJÚA\Cajua\[VAS_CAJUA_CF_SEC_20230125.xlsx]CF PS'!</v>
      </c>
      <c r="G1654" s="6" t="s">
        <v>38</v>
      </c>
      <c r="H1654" s="1">
        <f t="shared" si="310"/>
        <v>54</v>
      </c>
      <c r="I1654" s="1" t="str">
        <f t="shared" si="309"/>
        <v>='C:\Users\jaime.benazar\Quorum Business Solutions\Ecopetrol Prometeo - Documents\Planning Space Implementation\3. Analysis &amp; Design\Design\FC22\DRR Jaime\QUIFA-CAJÚA\Cajua\[VAS_CAJUA_CF_SEC_20230125.xlsx]CF PS'!$BX$54</v>
      </c>
      <c r="J1654" s="1" t="s">
        <v>850</v>
      </c>
    </row>
    <row r="1655" spans="1:10" x14ac:dyDescent="0.2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Jaime\QUIFA-CAJÚA\Cajua\[VAS_CAJUA_CF_SEC_20230125.xlsx]CF PS'!</v>
      </c>
      <c r="G1655" s="6" t="s">
        <v>38</v>
      </c>
      <c r="H1655" s="1">
        <f t="shared" si="310"/>
        <v>55</v>
      </c>
      <c r="I1655" s="1" t="str">
        <f t="shared" si="309"/>
        <v>='C:\Users\jaime.benazar\Quorum Business Solutions\Ecopetrol Prometeo - Documents\Planning Space Implementation\3. Analysis &amp; Design\Design\FC22\DRR Jaime\QUIFA-CAJÚA\Cajua\[VAS_CAJUA_CF_SEC_20230125.xlsx]CF PS'!$BX$55</v>
      </c>
      <c r="J1655" s="1" t="s">
        <v>851</v>
      </c>
    </row>
    <row r="1656" spans="1:10" x14ac:dyDescent="0.2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Jaime\QUIFA-CAJÚA\Cajua\[VAS_CAJUA_CF_SEC_20230125.xlsx]CF PS'!</v>
      </c>
      <c r="G1656" s="6" t="s">
        <v>38</v>
      </c>
      <c r="H1656" s="1">
        <f t="shared" si="310"/>
        <v>56</v>
      </c>
      <c r="I1656" s="1" t="str">
        <f t="shared" si="309"/>
        <v>='C:\Users\jaime.benazar\Quorum Business Solutions\Ecopetrol Prometeo - Documents\Planning Space Implementation\3. Analysis &amp; Design\Design\FC22\DRR Jaime\QUIFA-CAJÚA\Cajua\[VAS_CAJUA_CF_SEC_20230125.xlsx]CF PS'!$BX$56</v>
      </c>
      <c r="J1656" s="1" t="s">
        <v>852</v>
      </c>
    </row>
    <row r="1657" spans="1:10" x14ac:dyDescent="0.2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Jaime\QUIFA-CAJÚA\Cajua\[VAS_CAJUA_CF_SEC_20230125.xlsx]CF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Jaime\QUIFA-CAJÚA\Cajua\[VAS_CAJUA_CF_SEC_20230125.xlsx]CF PS'!$BX$57</v>
      </c>
      <c r="J1657" s="1" t="s">
        <v>853</v>
      </c>
    </row>
    <row r="1658" spans="1:10" x14ac:dyDescent="0.2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Jaime\QUIFA-CAJÚA\Cajua\[VAS_CAJUA_CF_SEC_20230125.xlsx]CF PS'!</v>
      </c>
      <c r="G1658" s="6" t="s">
        <v>38</v>
      </c>
      <c r="H1658" s="1">
        <f t="shared" si="377"/>
        <v>58</v>
      </c>
      <c r="I1658" s="1" t="str">
        <f t="shared" si="378"/>
        <v>='C:\Users\jaime.benazar\Quorum Business Solutions\Ecopetrol Prometeo - Documents\Planning Space Implementation\3. Analysis &amp; Design\Design\FC22\DRR Jaime\QUIFA-CAJÚA\Cajua\[VAS_CAJUA_CF_SEC_20230125.xlsx]CF PS'!$BX$58</v>
      </c>
      <c r="J1658" s="1" t="s">
        <v>854</v>
      </c>
    </row>
    <row r="1659" spans="1:10" x14ac:dyDescent="0.2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Jaime\QUIFA-CAJÚA\Cajua\[VAS_CAJUA_CF_SEC_20230125.xlsx]CF PS'!</v>
      </c>
      <c r="G1659" s="6" t="s">
        <v>38</v>
      </c>
      <c r="H1659" s="1">
        <f t="shared" si="377"/>
        <v>59</v>
      </c>
      <c r="I1659" s="1" t="str">
        <f t="shared" si="378"/>
        <v>='C:\Users\jaime.benazar\Quorum Business Solutions\Ecopetrol Prometeo - Documents\Planning Space Implementation\3. Analysis &amp; Design\Design\FC22\DRR Jaime\QUIFA-CAJÚA\Cajua\[VAS_CAJUA_CF_SEC_20230125.xlsx]CF PS'!$BX$59</v>
      </c>
      <c r="J1659" s="1" t="s">
        <v>855</v>
      </c>
    </row>
    <row r="1660" spans="1:10" x14ac:dyDescent="0.2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Jaime\QUIFA-CAJÚA\Cajua\[VAS_CAJUA_CF_SEC_20230125.xlsx]CF PS'!</v>
      </c>
      <c r="G1660" s="6" t="s">
        <v>38</v>
      </c>
      <c r="H1660" s="1">
        <f t="shared" si="377"/>
        <v>60</v>
      </c>
      <c r="I1660" s="1" t="str">
        <f t="shared" si="378"/>
        <v>='C:\Users\jaime.benazar\Quorum Business Solutions\Ecopetrol Prometeo - Documents\Planning Space Implementation\3. Analysis &amp; Design\Design\FC22\DRR Jaime\QUIFA-CAJÚA\Cajua\[VAS_CAJUA_CF_SEC_20230125.xlsx]CF PS'!$BX$60</v>
      </c>
      <c r="J1660" s="1" t="s">
        <v>856</v>
      </c>
    </row>
    <row r="1661" spans="1:10" x14ac:dyDescent="0.2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Jaime\QUIFA-CAJÚA\Cajua\[VAS_CAJUA_CF_SEC_20230125.xlsx]CF PS'!</v>
      </c>
      <c r="G1661" s="6" t="s">
        <v>38</v>
      </c>
      <c r="H1661" s="1">
        <f t="shared" si="377"/>
        <v>61</v>
      </c>
      <c r="I1661" s="1" t="str">
        <f t="shared" si="378"/>
        <v>='C:\Users\jaime.benazar\Quorum Business Solutions\Ecopetrol Prometeo - Documents\Planning Space Implementation\3. Analysis &amp; Design\Design\FC22\DRR Jaime\QUIFA-CAJÚA\Cajua\[VAS_CAJUA_CF_SEC_20230125.xlsx]CF PS'!$BX$61</v>
      </c>
      <c r="J1661" s="1" t="s">
        <v>857</v>
      </c>
    </row>
    <row r="1662" spans="1:10" x14ac:dyDescent="0.2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Jaime\QUIFA-CAJÚA\Cajua\[VAS_CAJUA_CF_SEC_20230125.xlsx]CF PS'!</v>
      </c>
      <c r="G1662" s="6" t="s">
        <v>38</v>
      </c>
      <c r="H1662" s="1">
        <f t="shared" si="377"/>
        <v>62</v>
      </c>
      <c r="I1662" s="1" t="str">
        <f t="shared" si="378"/>
        <v>='C:\Users\jaime.benazar\Quorum Business Solutions\Ecopetrol Prometeo - Documents\Planning Space Implementation\3. Analysis &amp; Design\Design\FC22\DRR Jaime\QUIFA-CAJÚA\Cajua\[VAS_CAJUA_CF_SEC_20230125.xlsx]CF PS'!$BX$62</v>
      </c>
      <c r="J1662" s="1" t="s">
        <v>858</v>
      </c>
    </row>
    <row r="1663" spans="1:10" x14ac:dyDescent="0.2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Jaime\QUIFA-CAJÚA\Cajua\[VAS_CAJUA_CF_SEC_20230125.xlsx]CF PS'!</v>
      </c>
      <c r="G1663" s="6" t="s">
        <v>38</v>
      </c>
      <c r="H1663" s="1">
        <f t="shared" si="377"/>
        <v>63</v>
      </c>
      <c r="I1663" s="1" t="str">
        <f t="shared" si="378"/>
        <v>='C:\Users\jaime.benazar\Quorum Business Solutions\Ecopetrol Prometeo - Documents\Planning Space Implementation\3. Analysis &amp; Design\Design\FC22\DRR Jaime\QUIFA-CAJÚA\Cajua\[VAS_CAJUA_CF_SEC_20230125.xlsx]CF PS'!$BX$63</v>
      </c>
      <c r="J1663" s="1" t="s">
        <v>859</v>
      </c>
    </row>
    <row r="1664" spans="1:10" x14ac:dyDescent="0.2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Jaime\QUIFA-CAJÚA\Cajua\[VAS_CAJUA_CF_SEC_20230125.xlsx]CF PS'!</v>
      </c>
      <c r="G1664" s="6" t="s">
        <v>38</v>
      </c>
      <c r="H1664" s="1">
        <f t="shared" si="377"/>
        <v>64</v>
      </c>
      <c r="I1664" s="1" t="str">
        <f t="shared" si="378"/>
        <v>='C:\Users\jaime.benazar\Quorum Business Solutions\Ecopetrol Prometeo - Documents\Planning Space Implementation\3. Analysis &amp; Design\Design\FC22\DRR Jaime\QUIFA-CAJÚA\Cajua\[VAS_CAJUA_CF_SEC_20230125.xlsx]CF PS'!$BX$64</v>
      </c>
      <c r="J1664" s="1" t="s">
        <v>860</v>
      </c>
    </row>
    <row r="1665" spans="1:10" x14ac:dyDescent="0.2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Jaime\QUIFA-CAJÚA\Cajua\[VAS_CAJUA_CF_SEC_20230125.xlsx]CF PS'!</v>
      </c>
      <c r="G1665" s="6" t="s">
        <v>38</v>
      </c>
      <c r="H1665" s="1">
        <f t="shared" si="377"/>
        <v>65</v>
      </c>
      <c r="I1665" s="1" t="str">
        <f t="shared" si="378"/>
        <v>='C:\Users\jaime.benazar\Quorum Business Solutions\Ecopetrol Prometeo - Documents\Planning Space Implementation\3. Analysis &amp; Design\Design\FC22\DRR Jaime\QUIFA-CAJÚA\Cajua\[VAS_CAJUA_CF_SEC_20230125.xlsx]CF PS'!$BX$65</v>
      </c>
      <c r="J1665" s="1" t="s">
        <v>861</v>
      </c>
    </row>
    <row r="1666" spans="1:10" x14ac:dyDescent="0.2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Jaime\QUIFA-CAJÚA\Cajua\[VAS_CAJUA_CF_SEC_20230125.xlsx]CF PS'!</v>
      </c>
      <c r="G1666" s="6" t="s">
        <v>38</v>
      </c>
      <c r="H1666" s="1">
        <f t="shared" si="377"/>
        <v>66</v>
      </c>
      <c r="I1666" s="1" t="str">
        <f t="shared" si="378"/>
        <v>='C:\Users\jaime.benazar\Quorum Business Solutions\Ecopetrol Prometeo - Documents\Planning Space Implementation\3. Analysis &amp; Design\Design\FC22\DRR Jaime\QUIFA-CAJÚA\Cajua\[VAS_CAJUA_CF_SEC_20230125.xlsx]CF PS'!$BX$66</v>
      </c>
      <c r="J1666" s="1" t="s">
        <v>862</v>
      </c>
    </row>
    <row r="1667" spans="1:10" x14ac:dyDescent="0.2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Jaime\QUIFA-CAJÚA\Cajua\[VAS_CAJUA_CF_SEC_20230125.xlsx]CF PS'!</v>
      </c>
      <c r="G1667" s="6" t="s">
        <v>38</v>
      </c>
      <c r="H1667" s="1">
        <f t="shared" si="377"/>
        <v>67</v>
      </c>
      <c r="I1667" s="1" t="str">
        <f t="shared" si="378"/>
        <v>='C:\Users\jaime.benazar\Quorum Business Solutions\Ecopetrol Prometeo - Documents\Planning Space Implementation\3. Analysis &amp; Design\Design\FC22\DRR Jaime\QUIFA-CAJÚA\Cajua\[VAS_CAJUA_CF_SEC_20230125.xlsx]CF PS'!$BX$67</v>
      </c>
      <c r="J1667" s="1" t="s">
        <v>863</v>
      </c>
    </row>
    <row r="1668" spans="1:10" x14ac:dyDescent="0.2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Jaime\QUIFA-CAJÚA\Cajua\[VAS_CAJUA_CF_SEC_20230125.xlsx]CF PS'!</v>
      </c>
      <c r="G1668" s="6" t="s">
        <v>38</v>
      </c>
      <c r="H1668" s="1">
        <f t="shared" si="377"/>
        <v>68</v>
      </c>
      <c r="I1668" s="1" t="str">
        <f t="shared" si="378"/>
        <v>='C:\Users\jaime.benazar\Quorum Business Solutions\Ecopetrol Prometeo - Documents\Planning Space Implementation\3. Analysis &amp; Design\Design\FC22\DRR Jaime\QUIFA-CAJÚA\Cajua\[VAS_CAJUA_CF_SEC_20230125.xlsx]CF PS'!$BX$68</v>
      </c>
      <c r="J1668" s="1" t="s">
        <v>864</v>
      </c>
    </row>
    <row r="1669" spans="1:10" x14ac:dyDescent="0.2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Jaime\QUIFA-CAJÚA\Cajua\[VAS_CAJUA_CF_SEC_20230125.xlsx]CF PS'!</v>
      </c>
      <c r="G1669" s="6" t="s">
        <v>38</v>
      </c>
      <c r="H1669" s="1">
        <f t="shared" si="377"/>
        <v>69</v>
      </c>
      <c r="I1669" s="1" t="str">
        <f t="shared" si="378"/>
        <v>='C:\Users\jaime.benazar\Quorum Business Solutions\Ecopetrol Prometeo - Documents\Planning Space Implementation\3. Analysis &amp; Design\Design\FC22\DRR Jaime\QUIFA-CAJÚA\Cajua\[VAS_CAJUA_CF_SEC_20230125.xlsx]CF PS'!$BX$69</v>
      </c>
      <c r="J1669" s="1" t="s">
        <v>865</v>
      </c>
    </row>
    <row r="1670" spans="1:10" x14ac:dyDescent="0.2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Jaime\QUIFA-CAJÚA\Cajua\[VAS_CAJUA_CF_SEC_20230125.xlsx]CF PS'!</v>
      </c>
      <c r="G1670" s="6" t="s">
        <v>38</v>
      </c>
      <c r="H1670" s="1">
        <f t="shared" si="377"/>
        <v>70</v>
      </c>
      <c r="I1670" s="1" t="str">
        <f t="shared" si="378"/>
        <v>='C:\Users\jaime.benazar\Quorum Business Solutions\Ecopetrol Prometeo - Documents\Planning Space Implementation\3. Analysis &amp; Design\Design\FC22\DRR Jaime\QUIFA-CAJÚA\Cajua\[VAS_CAJUA_CF_SEC_20230125.xlsx]CF PS'!$BX$70</v>
      </c>
      <c r="J1670" s="1" t="s">
        <v>866</v>
      </c>
    </row>
    <row r="1671" spans="1:10" x14ac:dyDescent="0.2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Jaime\QUIFA-CAJÚA\Cajua\[VAS_CAJUA_CF_SEC_20230125.xlsx]CF PS'!</v>
      </c>
      <c r="G1671" s="6" t="s">
        <v>38</v>
      </c>
      <c r="H1671" s="1">
        <f t="shared" si="377"/>
        <v>71</v>
      </c>
      <c r="I1671" s="1" t="str">
        <f t="shared" si="378"/>
        <v>='C:\Users\jaime.benazar\Quorum Business Solutions\Ecopetrol Prometeo - Documents\Planning Space Implementation\3. Analysis &amp; Design\Design\FC22\DRR Jaime\QUIFA-CAJÚA\Cajua\[VAS_CAJUA_CF_SEC_20230125.xlsx]CF PS'!$BX$71</v>
      </c>
      <c r="J1671" s="1" t="s">
        <v>867</v>
      </c>
    </row>
    <row r="1672" spans="1:10" x14ac:dyDescent="0.2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Jaime\QUIFA-CAJÚA\Cajua\[VAS_CAJUA_CF_SEC_20230125.xlsx]CF PS'!</v>
      </c>
      <c r="G1672" s="6" t="s">
        <v>38</v>
      </c>
      <c r="H1672" s="1">
        <f t="shared" si="377"/>
        <v>72</v>
      </c>
      <c r="I1672" s="1" t="str">
        <f t="shared" si="378"/>
        <v>='C:\Users\jaime.benazar\Quorum Business Solutions\Ecopetrol Prometeo - Documents\Planning Space Implementation\3. Analysis &amp; Design\Design\FC22\DRR Jaime\QUIFA-CAJÚA\Cajua\[VAS_CAJUA_CF_SEC_20230125.xlsx]CF PS'!$BX$72</v>
      </c>
      <c r="J1672" s="1" t="s">
        <v>868</v>
      </c>
    </row>
    <row r="1673" spans="1:10" x14ac:dyDescent="0.25">
      <c r="A1673" s="6" t="s">
        <v>28</v>
      </c>
      <c r="B1673" s="6"/>
      <c r="C1673" s="1" t="s">
        <v>14</v>
      </c>
      <c r="D1673" s="2"/>
      <c r="E1673" s="9"/>
      <c r="F1673" s="2"/>
      <c r="G1673" s="6"/>
      <c r="H1673" s="1"/>
      <c r="I1673" s="1"/>
      <c r="J1673" s="4"/>
    </row>
    <row r="1674" spans="1:10" x14ac:dyDescent="0.2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Jaime\QUIFA-CAJÚA\Cajua\[VAS_CAJUA_CF_SEC_20230125.xlsx]CF PDP'!</v>
      </c>
      <c r="G1674" s="7" t="s">
        <v>39</v>
      </c>
      <c r="H1674" s="4">
        <f>IF(A1674&lt;&gt;A1658,36,H1658+1)</f>
        <v>36</v>
      </c>
      <c r="I1674" s="4" t="str">
        <f>_xlfn.CONCAT("='",F1674:H1674)</f>
        <v>='C:\Users\jaime.benazar\Quorum Business Solutions\Ecopetrol Prometeo - Documents\Planning Space Implementation\3. Analysis &amp; Design\Design\FC22\DRR Jaime\QUIFA-CAJÚA\Cajua\[VAS_CAJUA_CF_SEC_20230125.xlsx]CF PDP'!$BU$36</v>
      </c>
      <c r="J1674" s="4" t="s">
        <v>869</v>
      </c>
    </row>
    <row r="1675" spans="1:10" x14ac:dyDescent="0.2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Jaime\QUIFA-CAJÚA\Cajua\[VAS_CAJUA_CF_SEC_20230125.xlsx]CF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Jaime\QUIFA-CAJÚA\Cajua\[VAS_CAJUA_CF_SEC_20230125.xlsx]CF PDP'!$BU$37</v>
      </c>
      <c r="J1675" s="4" t="s">
        <v>870</v>
      </c>
    </row>
    <row r="1676" spans="1:10" x14ac:dyDescent="0.2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Jaime\QUIFA-CAJÚA\Cajua\[VAS_CAJUA_CF_SEC_20230125.xlsx]CF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Jaime\QUIFA-CAJÚA\Cajua\[VAS_CAJUA_CF_SEC_20230125.xlsx]CF PDP'!$BU$38</v>
      </c>
      <c r="J1676" s="4" t="s">
        <v>871</v>
      </c>
    </row>
    <row r="1677" spans="1:10" x14ac:dyDescent="0.2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Jaime\QUIFA-CAJÚA\Cajua\[VAS_CAJUA_CF_SEC_20230125.xlsx]CF PDP'!</v>
      </c>
      <c r="G1677" s="7" t="s">
        <v>39</v>
      </c>
      <c r="H1677" s="4">
        <f t="shared" si="384"/>
        <v>39</v>
      </c>
      <c r="I1677" s="4" t="str">
        <f t="shared" si="382"/>
        <v>='C:\Users\jaime.benazar\Quorum Business Solutions\Ecopetrol Prometeo - Documents\Planning Space Implementation\3. Analysis &amp; Design\Design\FC22\DRR Jaime\QUIFA-CAJÚA\Cajua\[VAS_CAJUA_CF_SEC_20230125.xlsx]CF PDP'!$BU$39</v>
      </c>
      <c r="J1677" s="4" t="s">
        <v>872</v>
      </c>
    </row>
    <row r="1678" spans="1:10" x14ac:dyDescent="0.2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Jaime\QUIFA-CAJÚA\Cajua\[VAS_CAJUA_CF_SEC_20230125.xlsx]CF PDP'!</v>
      </c>
      <c r="G1678" s="7" t="s">
        <v>39</v>
      </c>
      <c r="H1678" s="4">
        <f t="shared" si="384"/>
        <v>40</v>
      </c>
      <c r="I1678" s="4" t="str">
        <f t="shared" si="382"/>
        <v>='C:\Users\jaime.benazar\Quorum Business Solutions\Ecopetrol Prometeo - Documents\Planning Space Implementation\3. Analysis &amp; Design\Design\FC22\DRR Jaime\QUIFA-CAJÚA\Cajua\[VAS_CAJUA_CF_SEC_20230125.xlsx]CF PDP'!$BU$40</v>
      </c>
      <c r="J1678" s="4" t="s">
        <v>873</v>
      </c>
    </row>
    <row r="1679" spans="1:10" x14ac:dyDescent="0.2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Jaime\QUIFA-CAJÚA\Cajua\[VAS_CAJUA_CF_SEC_20230125.xlsx]CF PDP'!</v>
      </c>
      <c r="G1679" s="7" t="s">
        <v>39</v>
      </c>
      <c r="H1679" s="4">
        <f t="shared" si="384"/>
        <v>41</v>
      </c>
      <c r="I1679" s="4" t="str">
        <f t="shared" si="382"/>
        <v>='C:\Users\jaime.benazar\Quorum Business Solutions\Ecopetrol Prometeo - Documents\Planning Space Implementation\3. Analysis &amp; Design\Design\FC22\DRR Jaime\QUIFA-CAJÚA\Cajua\[VAS_CAJUA_CF_SEC_20230125.xlsx]CF PDP'!$BU$41</v>
      </c>
      <c r="J1679" s="4" t="s">
        <v>874</v>
      </c>
    </row>
    <row r="1680" spans="1:10" x14ac:dyDescent="0.2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Jaime\QUIFA-CAJÚA\Cajua\[VAS_CAJUA_CF_SEC_20230125.xlsx]CF PDP'!</v>
      </c>
      <c r="G1680" s="7" t="s">
        <v>39</v>
      </c>
      <c r="H1680" s="4">
        <f t="shared" si="384"/>
        <v>42</v>
      </c>
      <c r="I1680" s="4" t="str">
        <f t="shared" si="382"/>
        <v>='C:\Users\jaime.benazar\Quorum Business Solutions\Ecopetrol Prometeo - Documents\Planning Space Implementation\3. Analysis &amp; Design\Design\FC22\DRR Jaime\QUIFA-CAJÚA\Cajua\[VAS_CAJUA_CF_SEC_20230125.xlsx]CF PDP'!$BU$42</v>
      </c>
      <c r="J1680" s="4" t="s">
        <v>875</v>
      </c>
    </row>
    <row r="1681" spans="1:10" x14ac:dyDescent="0.2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Jaime\QUIFA-CAJÚA\Cajua\[VAS_CAJUA_CF_SEC_20230125.xlsx]CF PDP'!</v>
      </c>
      <c r="G1681" s="7" t="s">
        <v>39</v>
      </c>
      <c r="H1681" s="4">
        <f t="shared" si="384"/>
        <v>43</v>
      </c>
      <c r="I1681" s="4" t="str">
        <f t="shared" si="382"/>
        <v>='C:\Users\jaime.benazar\Quorum Business Solutions\Ecopetrol Prometeo - Documents\Planning Space Implementation\3. Analysis &amp; Design\Design\FC22\DRR Jaime\QUIFA-CAJÚA\Cajua\[VAS_CAJUA_CF_SEC_20230125.xlsx]CF PDP'!$BU$43</v>
      </c>
      <c r="J1681" s="4" t="s">
        <v>876</v>
      </c>
    </row>
    <row r="1682" spans="1:10" x14ac:dyDescent="0.2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Jaime\QUIFA-CAJÚA\Cajua\[VAS_CAJUA_CF_SEC_20230125.xlsx]CF PDP'!</v>
      </c>
      <c r="G1682" s="7" t="s">
        <v>39</v>
      </c>
      <c r="H1682" s="4">
        <f t="shared" si="384"/>
        <v>44</v>
      </c>
      <c r="I1682" s="4" t="str">
        <f t="shared" si="382"/>
        <v>='C:\Users\jaime.benazar\Quorum Business Solutions\Ecopetrol Prometeo - Documents\Planning Space Implementation\3. Analysis &amp; Design\Design\FC22\DRR Jaime\QUIFA-CAJÚA\Cajua\[VAS_CAJUA_CF_SEC_20230125.xlsx]CF PDP'!$BU$44</v>
      </c>
      <c r="J1682" s="4" t="s">
        <v>877</v>
      </c>
    </row>
    <row r="1683" spans="1:10" x14ac:dyDescent="0.2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Jaime\QUIFA-CAJÚA\Cajua\[VAS_CAJUA_CF_SEC_20230125.xlsx]CF PDP'!</v>
      </c>
      <c r="G1683" s="7" t="s">
        <v>39</v>
      </c>
      <c r="H1683" s="4">
        <f t="shared" si="384"/>
        <v>45</v>
      </c>
      <c r="I1683" s="4" t="str">
        <f t="shared" si="382"/>
        <v>='C:\Users\jaime.benazar\Quorum Business Solutions\Ecopetrol Prometeo - Documents\Planning Space Implementation\3. Analysis &amp; Design\Design\FC22\DRR Jaime\QUIFA-CAJÚA\Cajua\[VAS_CAJUA_CF_SEC_20230125.xlsx]CF PDP'!$BU$45</v>
      </c>
      <c r="J1683" s="4" t="s">
        <v>878</v>
      </c>
    </row>
    <row r="1684" spans="1:10" x14ac:dyDescent="0.2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Jaime\QUIFA-CAJÚA\Cajua\[VAS_CAJUA_CF_SEC_20230125.xlsx]CF PDP'!</v>
      </c>
      <c r="G1684" s="7" t="s">
        <v>39</v>
      </c>
      <c r="H1684" s="4">
        <f t="shared" si="384"/>
        <v>46</v>
      </c>
      <c r="I1684" s="4" t="str">
        <f t="shared" si="382"/>
        <v>='C:\Users\jaime.benazar\Quorum Business Solutions\Ecopetrol Prometeo - Documents\Planning Space Implementation\3. Analysis &amp; Design\Design\FC22\DRR Jaime\QUIFA-CAJÚA\Cajua\[VAS_CAJUA_CF_SEC_20230125.xlsx]CF PDP'!$BU$46</v>
      </c>
      <c r="J1684" s="4" t="s">
        <v>879</v>
      </c>
    </row>
    <row r="1685" spans="1:10" x14ac:dyDescent="0.2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Jaime\QUIFA-CAJÚA\Cajua\[VAS_CAJUA_CF_SEC_20230125.xlsx]CF PDP'!</v>
      </c>
      <c r="G1685" s="7" t="s">
        <v>39</v>
      </c>
      <c r="H1685" s="4">
        <f t="shared" si="384"/>
        <v>47</v>
      </c>
      <c r="I1685" s="4" t="str">
        <f t="shared" si="382"/>
        <v>='C:\Users\jaime.benazar\Quorum Business Solutions\Ecopetrol Prometeo - Documents\Planning Space Implementation\3. Analysis &amp; Design\Design\FC22\DRR Jaime\QUIFA-CAJÚA\Cajua\[VAS_CAJUA_CF_SEC_20230125.xlsx]CF PDP'!$BU$47</v>
      </c>
      <c r="J1685" s="4" t="s">
        <v>880</v>
      </c>
    </row>
    <row r="1686" spans="1:10" x14ac:dyDescent="0.2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Jaime\QUIFA-CAJÚA\Cajua\[VAS_CAJUA_CF_SEC_20230125.xlsx]CF PDP'!</v>
      </c>
      <c r="G1686" s="7" t="s">
        <v>39</v>
      </c>
      <c r="H1686" s="4">
        <f t="shared" si="384"/>
        <v>48</v>
      </c>
      <c r="I1686" s="4" t="str">
        <f t="shared" si="382"/>
        <v>='C:\Users\jaime.benazar\Quorum Business Solutions\Ecopetrol Prometeo - Documents\Planning Space Implementation\3. Analysis &amp; Design\Design\FC22\DRR Jaime\QUIFA-CAJÚA\Cajua\[VAS_CAJUA_CF_SEC_20230125.xlsx]CF PDP'!$BU$48</v>
      </c>
      <c r="J1686" s="4" t="s">
        <v>881</v>
      </c>
    </row>
    <row r="1687" spans="1:10" x14ac:dyDescent="0.2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Jaime\QUIFA-CAJÚA\Cajua\[VAS_CAJUA_CF_SEC_20230125.xlsx]CF PDP'!</v>
      </c>
      <c r="G1687" s="7" t="s">
        <v>39</v>
      </c>
      <c r="H1687" s="4">
        <f t="shared" si="384"/>
        <v>49</v>
      </c>
      <c r="I1687" s="4" t="str">
        <f t="shared" si="382"/>
        <v>='C:\Users\jaime.benazar\Quorum Business Solutions\Ecopetrol Prometeo - Documents\Planning Space Implementation\3. Analysis &amp; Design\Design\FC22\DRR Jaime\QUIFA-CAJÚA\Cajua\[VAS_CAJUA_CF_SEC_20230125.xlsx]CF PDP'!$BU$49</v>
      </c>
      <c r="J1687" s="4" t="s">
        <v>882</v>
      </c>
    </row>
    <row r="1688" spans="1:10" x14ac:dyDescent="0.2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Jaime\QUIFA-CAJÚA\Cajua\[VAS_CAJUA_CF_SEC_20230125.xlsx]CF PDP'!</v>
      </c>
      <c r="G1688" s="7" t="s">
        <v>39</v>
      </c>
      <c r="H1688" s="4">
        <f t="shared" si="384"/>
        <v>50</v>
      </c>
      <c r="I1688" s="4" t="str">
        <f t="shared" si="382"/>
        <v>='C:\Users\jaime.benazar\Quorum Business Solutions\Ecopetrol Prometeo - Documents\Planning Space Implementation\3. Analysis &amp; Design\Design\FC22\DRR Jaime\QUIFA-CAJÚA\Cajua\[VAS_CAJUA_CF_SEC_20230125.xlsx]CF PDP'!$BU$50</v>
      </c>
      <c r="J1688" s="4" t="s">
        <v>883</v>
      </c>
    </row>
    <row r="1689" spans="1:10" x14ac:dyDescent="0.2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Jaime\QUIFA-CAJÚA\Cajua\[VAS_CAJUA_CF_SEC_20230125.xlsx]CF PDP'!</v>
      </c>
      <c r="G1689" s="7" t="s">
        <v>39</v>
      </c>
      <c r="H1689" s="4">
        <f t="shared" si="384"/>
        <v>51</v>
      </c>
      <c r="I1689" s="4" t="str">
        <f t="shared" si="382"/>
        <v>='C:\Users\jaime.benazar\Quorum Business Solutions\Ecopetrol Prometeo - Documents\Planning Space Implementation\3. Analysis &amp; Design\Design\FC22\DRR Jaime\QUIFA-CAJÚA\Cajua\[VAS_CAJUA_CF_SEC_20230125.xlsx]CF PDP'!$BU$51</v>
      </c>
      <c r="J1689" s="4" t="s">
        <v>884</v>
      </c>
    </row>
    <row r="1690" spans="1:10" x14ac:dyDescent="0.2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Jaime\QUIFA-CAJÚA\Cajua\[VAS_CAJUA_CF_SEC_20230125.xlsx]CF PDP'!</v>
      </c>
      <c r="G1690" s="7" t="s">
        <v>39</v>
      </c>
      <c r="H1690" s="4">
        <f t="shared" si="384"/>
        <v>52</v>
      </c>
      <c r="I1690" s="4" t="str">
        <f t="shared" si="382"/>
        <v>='C:\Users\jaime.benazar\Quorum Business Solutions\Ecopetrol Prometeo - Documents\Planning Space Implementation\3. Analysis &amp; Design\Design\FC22\DRR Jaime\QUIFA-CAJÚA\Cajua\[VAS_CAJUA_CF_SEC_20230125.xlsx]CF PDP'!$BU$52</v>
      </c>
      <c r="J1690" s="4" t="s">
        <v>885</v>
      </c>
    </row>
    <row r="1691" spans="1:10" x14ac:dyDescent="0.2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Jaime\QUIFA-CAJÚA\Cajua\[VAS_CAJUA_CF_SEC_20230125.xlsx]CF PDP'!</v>
      </c>
      <c r="G1691" s="7" t="s">
        <v>39</v>
      </c>
      <c r="H1691" s="4">
        <f t="shared" si="384"/>
        <v>53</v>
      </c>
      <c r="I1691" s="4" t="str">
        <f t="shared" si="382"/>
        <v>='C:\Users\jaime.benazar\Quorum Business Solutions\Ecopetrol Prometeo - Documents\Planning Space Implementation\3. Analysis &amp; Design\Design\FC22\DRR Jaime\QUIFA-CAJÚA\Cajua\[VAS_CAJUA_CF_SEC_20230125.xlsx]CF PDP'!$BU$53</v>
      </c>
      <c r="J1691" s="4" t="s">
        <v>886</v>
      </c>
    </row>
    <row r="1692" spans="1:10" x14ac:dyDescent="0.2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Jaime\QUIFA-CAJÚA\Cajua\[VAS_CAJUA_CF_SEC_20230125.xlsx]CF PDP'!</v>
      </c>
      <c r="G1692" s="7" t="s">
        <v>39</v>
      </c>
      <c r="H1692" s="4">
        <f t="shared" si="384"/>
        <v>54</v>
      </c>
      <c r="I1692" s="4" t="str">
        <f t="shared" si="382"/>
        <v>='C:\Users\jaime.benazar\Quorum Business Solutions\Ecopetrol Prometeo - Documents\Planning Space Implementation\3. Analysis &amp; Design\Design\FC22\DRR Jaime\QUIFA-CAJÚA\Cajua\[VAS_CAJUA_CF_SEC_20230125.xlsx]CF PDP'!$BU$54</v>
      </c>
      <c r="J1692" s="4" t="s">
        <v>887</v>
      </c>
    </row>
    <row r="1693" spans="1:10" x14ac:dyDescent="0.2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Jaime\QUIFA-CAJÚA\Cajua\[VAS_CAJUA_CF_SEC_20230125.xlsx]CF PDP'!</v>
      </c>
      <c r="G1693" s="7" t="s">
        <v>39</v>
      </c>
      <c r="H1693" s="4">
        <f t="shared" si="384"/>
        <v>55</v>
      </c>
      <c r="I1693" s="4" t="str">
        <f t="shared" si="382"/>
        <v>='C:\Users\jaime.benazar\Quorum Business Solutions\Ecopetrol Prometeo - Documents\Planning Space Implementation\3. Analysis &amp; Design\Design\FC22\DRR Jaime\QUIFA-CAJÚA\Cajua\[VAS_CAJUA_CF_SEC_20230125.xlsx]CF PDP'!$BU$55</v>
      </c>
      <c r="J1693" s="4" t="s">
        <v>888</v>
      </c>
    </row>
    <row r="1694" spans="1:10" x14ac:dyDescent="0.2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Jaime\QUIFA-CAJÚA\Cajua\[VAS_CAJUA_CF_SEC_20230125.xlsx]CF PDP'!</v>
      </c>
      <c r="G1694" s="7" t="s">
        <v>39</v>
      </c>
      <c r="H1694" s="4">
        <f t="shared" si="384"/>
        <v>56</v>
      </c>
      <c r="I1694" s="4" t="str">
        <f t="shared" si="382"/>
        <v>='C:\Users\jaime.benazar\Quorum Business Solutions\Ecopetrol Prometeo - Documents\Planning Space Implementation\3. Analysis &amp; Design\Design\FC22\DRR Jaime\QUIFA-CAJÚA\Cajua\[VAS_CAJUA_CF_SEC_20230125.xlsx]CF PDP'!$BU$56</v>
      </c>
      <c r="J1694" s="4" t="s">
        <v>889</v>
      </c>
    </row>
    <row r="1695" spans="1:10" x14ac:dyDescent="0.2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Jaime\QUIFA-CAJÚA\Cajua\[VAS_CAJUA_CF_SEC_20230125.xlsx]CF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Jaime\QUIFA-CAJÚA\Cajua\[VAS_CAJUA_CF_SEC_20230125.xlsx]CF PDP'!$BU$57</v>
      </c>
      <c r="J1695" s="4" t="s">
        <v>890</v>
      </c>
    </row>
    <row r="1696" spans="1:10" x14ac:dyDescent="0.2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Jaime\QUIFA-CAJÚA\Cajua\[VAS_CAJUA_CF_SEC_20230125.xlsx]CF PDP'!</v>
      </c>
      <c r="G1696" s="7" t="s">
        <v>39</v>
      </c>
      <c r="H1696" s="4">
        <f t="shared" si="389"/>
        <v>58</v>
      </c>
      <c r="I1696" s="4" t="str">
        <f t="shared" si="390"/>
        <v>='C:\Users\jaime.benazar\Quorum Business Solutions\Ecopetrol Prometeo - Documents\Planning Space Implementation\3. Analysis &amp; Design\Design\FC22\DRR Jaime\QUIFA-CAJÚA\Cajua\[VAS_CAJUA_CF_SEC_20230125.xlsx]CF PDP'!$BU$58</v>
      </c>
      <c r="J1696" s="4" t="s">
        <v>891</v>
      </c>
    </row>
    <row r="1697" spans="1:10" x14ac:dyDescent="0.2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Jaime\QUIFA-CAJÚA\Cajua\[VAS_CAJUA_CF_SEC_20230125.xlsx]CF PDP'!</v>
      </c>
      <c r="G1697" s="7" t="s">
        <v>39</v>
      </c>
      <c r="H1697" s="4">
        <f t="shared" si="389"/>
        <v>59</v>
      </c>
      <c r="I1697" s="4" t="str">
        <f t="shared" si="390"/>
        <v>='C:\Users\jaime.benazar\Quorum Business Solutions\Ecopetrol Prometeo - Documents\Planning Space Implementation\3. Analysis &amp; Design\Design\FC22\DRR Jaime\QUIFA-CAJÚA\Cajua\[VAS_CAJUA_CF_SEC_20230125.xlsx]CF PDP'!$BU$59</v>
      </c>
      <c r="J1697" s="4" t="s">
        <v>892</v>
      </c>
    </row>
    <row r="1698" spans="1:10" x14ac:dyDescent="0.2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Jaime\QUIFA-CAJÚA\Cajua\[VAS_CAJUA_CF_SEC_20230125.xlsx]CF PDP'!</v>
      </c>
      <c r="G1698" s="7" t="s">
        <v>39</v>
      </c>
      <c r="H1698" s="4">
        <f t="shared" si="389"/>
        <v>60</v>
      </c>
      <c r="I1698" s="4" t="str">
        <f t="shared" si="390"/>
        <v>='C:\Users\jaime.benazar\Quorum Business Solutions\Ecopetrol Prometeo - Documents\Planning Space Implementation\3. Analysis &amp; Design\Design\FC22\DRR Jaime\QUIFA-CAJÚA\Cajua\[VAS_CAJUA_CF_SEC_20230125.xlsx]CF PDP'!$BU$60</v>
      </c>
      <c r="J1698" s="4" t="s">
        <v>893</v>
      </c>
    </row>
    <row r="1699" spans="1:10" x14ac:dyDescent="0.2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Jaime\QUIFA-CAJÚA\Cajua\[VAS_CAJUA_CF_SEC_20230125.xlsx]CF PDP'!</v>
      </c>
      <c r="G1699" s="7" t="s">
        <v>39</v>
      </c>
      <c r="H1699" s="4">
        <f t="shared" si="389"/>
        <v>61</v>
      </c>
      <c r="I1699" s="4" t="str">
        <f t="shared" si="390"/>
        <v>='C:\Users\jaime.benazar\Quorum Business Solutions\Ecopetrol Prometeo - Documents\Planning Space Implementation\3. Analysis &amp; Design\Design\FC22\DRR Jaime\QUIFA-CAJÚA\Cajua\[VAS_CAJUA_CF_SEC_20230125.xlsx]CF PDP'!$BU$61</v>
      </c>
      <c r="J1699" s="4" t="s">
        <v>894</v>
      </c>
    </row>
    <row r="1700" spans="1:10" x14ac:dyDescent="0.2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Jaime\QUIFA-CAJÚA\Cajua\[VAS_CAJUA_CF_SEC_20230125.xlsx]CF PDP'!</v>
      </c>
      <c r="G1700" s="7" t="s">
        <v>39</v>
      </c>
      <c r="H1700" s="4">
        <f t="shared" si="389"/>
        <v>62</v>
      </c>
      <c r="I1700" s="4" t="str">
        <f t="shared" si="390"/>
        <v>='C:\Users\jaime.benazar\Quorum Business Solutions\Ecopetrol Prometeo - Documents\Planning Space Implementation\3. Analysis &amp; Design\Design\FC22\DRR Jaime\QUIFA-CAJÚA\Cajua\[VAS_CAJUA_CF_SEC_20230125.xlsx]CF PDP'!$BU$62</v>
      </c>
      <c r="J1700" s="4" t="s">
        <v>895</v>
      </c>
    </row>
    <row r="1701" spans="1:10" x14ac:dyDescent="0.2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Jaime\QUIFA-CAJÚA\Cajua\[VAS_CAJUA_CF_SEC_20230125.xlsx]CF PDP'!</v>
      </c>
      <c r="G1701" s="7" t="s">
        <v>39</v>
      </c>
      <c r="H1701" s="4">
        <f t="shared" si="389"/>
        <v>63</v>
      </c>
      <c r="I1701" s="4" t="str">
        <f t="shared" si="390"/>
        <v>='C:\Users\jaime.benazar\Quorum Business Solutions\Ecopetrol Prometeo - Documents\Planning Space Implementation\3. Analysis &amp; Design\Design\FC22\DRR Jaime\QUIFA-CAJÚA\Cajua\[VAS_CAJUA_CF_SEC_20230125.xlsx]CF PDP'!$BU$63</v>
      </c>
      <c r="J1701" s="4" t="s">
        <v>896</v>
      </c>
    </row>
    <row r="1702" spans="1:10" x14ac:dyDescent="0.2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Jaime\QUIFA-CAJÚA\Cajua\[VAS_CAJUA_CF_SEC_20230125.xlsx]CF PDP'!</v>
      </c>
      <c r="G1702" s="7" t="s">
        <v>39</v>
      </c>
      <c r="H1702" s="4">
        <f t="shared" si="389"/>
        <v>64</v>
      </c>
      <c r="I1702" s="4" t="str">
        <f t="shared" si="390"/>
        <v>='C:\Users\jaime.benazar\Quorum Business Solutions\Ecopetrol Prometeo - Documents\Planning Space Implementation\3. Analysis &amp; Design\Design\FC22\DRR Jaime\QUIFA-CAJÚA\Cajua\[VAS_CAJUA_CF_SEC_20230125.xlsx]CF PDP'!$BU$64</v>
      </c>
      <c r="J1702" s="4" t="s">
        <v>897</v>
      </c>
    </row>
    <row r="1703" spans="1:10" x14ac:dyDescent="0.2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Jaime\QUIFA-CAJÚA\Cajua\[VAS_CAJUA_CF_SEC_20230125.xlsx]CF PDP'!</v>
      </c>
      <c r="G1703" s="7" t="s">
        <v>39</v>
      </c>
      <c r="H1703" s="4">
        <f t="shared" si="389"/>
        <v>65</v>
      </c>
      <c r="I1703" s="4" t="str">
        <f t="shared" si="390"/>
        <v>='C:\Users\jaime.benazar\Quorum Business Solutions\Ecopetrol Prometeo - Documents\Planning Space Implementation\3. Analysis &amp; Design\Design\FC22\DRR Jaime\QUIFA-CAJÚA\Cajua\[VAS_CAJUA_CF_SEC_20230125.xlsx]CF PDP'!$BU$65</v>
      </c>
      <c r="J1703" s="4" t="s">
        <v>898</v>
      </c>
    </row>
    <row r="1704" spans="1:10" x14ac:dyDescent="0.2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Jaime\QUIFA-CAJÚA\Cajua\[VAS_CAJUA_CF_SEC_20230125.xlsx]CF PDP'!</v>
      </c>
      <c r="G1704" s="7" t="s">
        <v>39</v>
      </c>
      <c r="H1704" s="4">
        <f t="shared" si="389"/>
        <v>66</v>
      </c>
      <c r="I1704" s="4" t="str">
        <f t="shared" si="390"/>
        <v>='C:\Users\jaime.benazar\Quorum Business Solutions\Ecopetrol Prometeo - Documents\Planning Space Implementation\3. Analysis &amp; Design\Design\FC22\DRR Jaime\QUIFA-CAJÚA\Cajua\[VAS_CAJUA_CF_SEC_20230125.xlsx]CF PDP'!$BU$66</v>
      </c>
      <c r="J1704" s="4" t="s">
        <v>899</v>
      </c>
    </row>
    <row r="1705" spans="1:10" x14ac:dyDescent="0.2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Jaime\QUIFA-CAJÚA\Cajua\[VAS_CAJUA_CF_SEC_20230125.xlsx]CF PDP'!</v>
      </c>
      <c r="G1705" s="7" t="s">
        <v>39</v>
      </c>
      <c r="H1705" s="4">
        <f t="shared" si="389"/>
        <v>67</v>
      </c>
      <c r="I1705" s="4" t="str">
        <f t="shared" si="390"/>
        <v>='C:\Users\jaime.benazar\Quorum Business Solutions\Ecopetrol Prometeo - Documents\Planning Space Implementation\3. Analysis &amp; Design\Design\FC22\DRR Jaime\QUIFA-CAJÚA\Cajua\[VAS_CAJUA_CF_SEC_20230125.xlsx]CF PDP'!$BU$67</v>
      </c>
      <c r="J1705" s="4" t="s">
        <v>900</v>
      </c>
    </row>
    <row r="1706" spans="1:10" x14ac:dyDescent="0.2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Jaime\QUIFA-CAJÚA\Cajua\[VAS_CAJUA_CF_SEC_20230125.xlsx]CF PDP'!</v>
      </c>
      <c r="G1706" s="7" t="s">
        <v>39</v>
      </c>
      <c r="H1706" s="4">
        <f t="shared" si="389"/>
        <v>68</v>
      </c>
      <c r="I1706" s="4" t="str">
        <f t="shared" si="390"/>
        <v>='C:\Users\jaime.benazar\Quorum Business Solutions\Ecopetrol Prometeo - Documents\Planning Space Implementation\3. Analysis &amp; Design\Design\FC22\DRR Jaime\QUIFA-CAJÚA\Cajua\[VAS_CAJUA_CF_SEC_20230125.xlsx]CF PDP'!$BU$68</v>
      </c>
      <c r="J1706" s="4" t="s">
        <v>901</v>
      </c>
    </row>
    <row r="1707" spans="1:10" x14ac:dyDescent="0.2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Jaime\QUIFA-CAJÚA\Cajua\[VAS_CAJUA_CF_SEC_20230125.xlsx]CF PDP'!</v>
      </c>
      <c r="G1707" s="7" t="s">
        <v>39</v>
      </c>
      <c r="H1707" s="4">
        <f t="shared" si="389"/>
        <v>69</v>
      </c>
      <c r="I1707" s="4" t="str">
        <f t="shared" si="390"/>
        <v>='C:\Users\jaime.benazar\Quorum Business Solutions\Ecopetrol Prometeo - Documents\Planning Space Implementation\3. Analysis &amp; Design\Design\FC22\DRR Jaime\QUIFA-CAJÚA\Cajua\[VAS_CAJUA_CF_SEC_20230125.xlsx]CF PDP'!$BU$69</v>
      </c>
      <c r="J1707" s="4" t="s">
        <v>902</v>
      </c>
    </row>
    <row r="1708" spans="1:10" x14ac:dyDescent="0.2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Jaime\QUIFA-CAJÚA\Cajua\[VAS_CAJUA_CF_SEC_20230125.xlsx]CF PDP'!</v>
      </c>
      <c r="G1708" s="7" t="s">
        <v>39</v>
      </c>
      <c r="H1708" s="4">
        <f t="shared" si="389"/>
        <v>70</v>
      </c>
      <c r="I1708" s="4" t="str">
        <f t="shared" si="390"/>
        <v>='C:\Users\jaime.benazar\Quorum Business Solutions\Ecopetrol Prometeo - Documents\Planning Space Implementation\3. Analysis &amp; Design\Design\FC22\DRR Jaime\QUIFA-CAJÚA\Cajua\[VAS_CAJUA_CF_SEC_20230125.xlsx]CF PDP'!$BU$70</v>
      </c>
      <c r="J1708" s="4" t="s">
        <v>903</v>
      </c>
    </row>
    <row r="1709" spans="1:10" x14ac:dyDescent="0.2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Jaime\QUIFA-CAJÚA\Cajua\[VAS_CAJUA_CF_SEC_20230125.xlsx]CF PDP'!</v>
      </c>
      <c r="G1709" s="7" t="s">
        <v>39</v>
      </c>
      <c r="H1709" s="4">
        <f t="shared" si="389"/>
        <v>71</v>
      </c>
      <c r="I1709" s="4" t="str">
        <f t="shared" si="390"/>
        <v>='C:\Users\jaime.benazar\Quorum Business Solutions\Ecopetrol Prometeo - Documents\Planning Space Implementation\3. Analysis &amp; Design\Design\FC22\DRR Jaime\QUIFA-CAJÚA\Cajua\[VAS_CAJUA_CF_SEC_20230125.xlsx]CF PDP'!$BU$71</v>
      </c>
      <c r="J1709" s="4" t="s">
        <v>904</v>
      </c>
    </row>
    <row r="1710" spans="1:10" x14ac:dyDescent="0.2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Jaime\QUIFA-CAJÚA\Cajua\[VAS_CAJUA_CF_SEC_20230125.xlsx]CF PDP'!</v>
      </c>
      <c r="G1710" s="7" t="s">
        <v>39</v>
      </c>
      <c r="H1710" s="4">
        <f t="shared" si="389"/>
        <v>72</v>
      </c>
      <c r="I1710" s="4" t="str">
        <f t="shared" si="390"/>
        <v>='C:\Users\jaime.benazar\Quorum Business Solutions\Ecopetrol Prometeo - Documents\Planning Space Implementation\3. Analysis &amp; Design\Design\FC22\DRR Jaime\QUIFA-CAJÚA\Cajua\[VAS_CAJUA_CF_SEC_20230125.xlsx]CF PDP'!$BU$72</v>
      </c>
      <c r="J1710" s="4" t="s">
        <v>905</v>
      </c>
    </row>
    <row r="1711" spans="1:10" x14ac:dyDescent="0.25">
      <c r="A1711" s="7" t="s">
        <v>28</v>
      </c>
      <c r="B1711" s="7"/>
      <c r="C1711" s="4" t="s">
        <v>17</v>
      </c>
      <c r="D1711" s="5"/>
      <c r="E1711" s="10"/>
      <c r="F1711" s="2"/>
      <c r="G1711" s="7"/>
      <c r="H1711" s="4"/>
      <c r="I1711" s="4"/>
      <c r="J1711" s="4"/>
    </row>
    <row r="1712" spans="1:10" x14ac:dyDescent="0.2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Jaime\QUIFA-CAJÚA\Cajua\[VAS_CAJUA_CF_SEC_20230125.xlsx]CF PNP'!</v>
      </c>
      <c r="G1712" s="7" t="s">
        <v>39</v>
      </c>
      <c r="H1712" s="4">
        <f>IF(A1712&lt;&gt;A1696,36,H1696+1)</f>
        <v>36</v>
      </c>
      <c r="I1712" s="4" t="str">
        <f t="shared" si="382"/>
        <v>='C:\Users\jaime.benazar\Quorum Business Solutions\Ecopetrol Prometeo - Documents\Planning Space Implementation\3. Analysis &amp; Design\Design\FC22\DRR Jaime\QUIFA-CAJÚA\Cajua\[VAS_CAJUA_CF_SEC_20230125.xlsx]CF PNP'!$BU$36</v>
      </c>
      <c r="J1712" s="4" t="s">
        <v>906</v>
      </c>
    </row>
    <row r="1713" spans="1:10" x14ac:dyDescent="0.2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Jaime\QUIFA-CAJÚA\Cajua\[VAS_CAJUA_CF_SEC_20230125.xlsx]CF PNP'!</v>
      </c>
      <c r="G1713" s="7" t="s">
        <v>39</v>
      </c>
      <c r="H1713" s="4">
        <f t="shared" si="384"/>
        <v>37</v>
      </c>
      <c r="I1713" s="4" t="str">
        <f t="shared" si="382"/>
        <v>='C:\Users\jaime.benazar\Quorum Business Solutions\Ecopetrol Prometeo - Documents\Planning Space Implementation\3. Analysis &amp; Design\Design\FC22\DRR Jaime\QUIFA-CAJÚA\Cajua\[VAS_CAJUA_CF_SEC_20230125.xlsx]CF PNP'!$BU$37</v>
      </c>
      <c r="J1713" s="4" t="s">
        <v>907</v>
      </c>
    </row>
    <row r="1714" spans="1:10" x14ac:dyDescent="0.2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Jaime\QUIFA-CAJÚA\Cajua\[VAS_CAJUA_CF_SEC_20230125.xlsx]CF PNP'!</v>
      </c>
      <c r="G1714" s="7" t="s">
        <v>39</v>
      </c>
      <c r="H1714" s="4">
        <f t="shared" si="384"/>
        <v>38</v>
      </c>
      <c r="I1714" s="4" t="str">
        <f t="shared" si="382"/>
        <v>='C:\Users\jaime.benazar\Quorum Business Solutions\Ecopetrol Prometeo - Documents\Planning Space Implementation\3. Analysis &amp; Design\Design\FC22\DRR Jaime\QUIFA-CAJÚA\Cajua\[VAS_CAJUA_CF_SEC_20230125.xlsx]CF PNP'!$BU$38</v>
      </c>
      <c r="J1714" s="4" t="s">
        <v>908</v>
      </c>
    </row>
    <row r="1715" spans="1:10" x14ac:dyDescent="0.2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Jaime\QUIFA-CAJÚA\Cajua\[VAS_CAJUA_CF_SEC_20230125.xlsx]CF PNP'!</v>
      </c>
      <c r="G1715" s="7" t="s">
        <v>39</v>
      </c>
      <c r="H1715" s="4">
        <f t="shared" si="384"/>
        <v>39</v>
      </c>
      <c r="I1715" s="4" t="str">
        <f t="shared" si="382"/>
        <v>='C:\Users\jaime.benazar\Quorum Business Solutions\Ecopetrol Prometeo - Documents\Planning Space Implementation\3. Analysis &amp; Design\Design\FC22\DRR Jaime\QUIFA-CAJÚA\Cajua\[VAS_CAJUA_CF_SEC_20230125.xlsx]CF PNP'!$BU$39</v>
      </c>
      <c r="J1715" s="4" t="s">
        <v>909</v>
      </c>
    </row>
    <row r="1716" spans="1:10" x14ac:dyDescent="0.2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Jaime\QUIFA-CAJÚA\Cajua\[VAS_CAJUA_CF_SEC_20230125.xlsx]CF PNP'!</v>
      </c>
      <c r="G1716" s="7" t="s">
        <v>39</v>
      </c>
      <c r="H1716" s="4">
        <f t="shared" si="384"/>
        <v>40</v>
      </c>
      <c r="I1716" s="4" t="str">
        <f t="shared" si="382"/>
        <v>='C:\Users\jaime.benazar\Quorum Business Solutions\Ecopetrol Prometeo - Documents\Planning Space Implementation\3. Analysis &amp; Design\Design\FC22\DRR Jaime\QUIFA-CAJÚA\Cajua\[VAS_CAJUA_CF_SEC_20230125.xlsx]CF PNP'!$BU$40</v>
      </c>
      <c r="J1716" s="4" t="s">
        <v>910</v>
      </c>
    </row>
    <row r="1717" spans="1:10" x14ac:dyDescent="0.2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Jaime\QUIFA-CAJÚA\Cajua\[VAS_CAJUA_CF_SEC_20230125.xlsx]CF PNP'!</v>
      </c>
      <c r="G1717" s="7" t="s">
        <v>39</v>
      </c>
      <c r="H1717" s="4">
        <f t="shared" si="384"/>
        <v>41</v>
      </c>
      <c r="I1717" s="4" t="str">
        <f t="shared" si="382"/>
        <v>='C:\Users\jaime.benazar\Quorum Business Solutions\Ecopetrol Prometeo - Documents\Planning Space Implementation\3. Analysis &amp; Design\Design\FC22\DRR Jaime\QUIFA-CAJÚA\Cajua\[VAS_CAJUA_CF_SEC_20230125.xlsx]CF PNP'!$BU$41</v>
      </c>
      <c r="J1717" s="4" t="s">
        <v>911</v>
      </c>
    </row>
    <row r="1718" spans="1:10" x14ac:dyDescent="0.2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Jaime\QUIFA-CAJÚA\Cajua\[VAS_CAJUA_CF_SEC_20230125.xlsx]CF PNP'!</v>
      </c>
      <c r="G1718" s="7" t="s">
        <v>39</v>
      </c>
      <c r="H1718" s="4">
        <f t="shared" si="384"/>
        <v>42</v>
      </c>
      <c r="I1718" s="4" t="str">
        <f t="shared" si="382"/>
        <v>='C:\Users\jaime.benazar\Quorum Business Solutions\Ecopetrol Prometeo - Documents\Planning Space Implementation\3. Analysis &amp; Design\Design\FC22\DRR Jaime\QUIFA-CAJÚA\Cajua\[VAS_CAJUA_CF_SEC_20230125.xlsx]CF PNP'!$BU$42</v>
      </c>
      <c r="J1718" s="4" t="s">
        <v>912</v>
      </c>
    </row>
    <row r="1719" spans="1:10" x14ac:dyDescent="0.2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Jaime\QUIFA-CAJÚA\Cajua\[VAS_CAJUA_CF_SEC_20230125.xlsx]CF PNP'!</v>
      </c>
      <c r="G1719" s="7" t="s">
        <v>39</v>
      </c>
      <c r="H1719" s="4">
        <f t="shared" si="384"/>
        <v>43</v>
      </c>
      <c r="I1719" s="4" t="str">
        <f t="shared" si="382"/>
        <v>='C:\Users\jaime.benazar\Quorum Business Solutions\Ecopetrol Prometeo - Documents\Planning Space Implementation\3. Analysis &amp; Design\Design\FC22\DRR Jaime\QUIFA-CAJÚA\Cajua\[VAS_CAJUA_CF_SEC_20230125.xlsx]CF PNP'!$BU$43</v>
      </c>
      <c r="J1719" s="4" t="s">
        <v>913</v>
      </c>
    </row>
    <row r="1720" spans="1:10" x14ac:dyDescent="0.2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Jaime\QUIFA-CAJÚA\Cajua\[VAS_CAJUA_CF_SEC_20230125.xlsx]CF PNP'!</v>
      </c>
      <c r="G1720" s="7" t="s">
        <v>39</v>
      </c>
      <c r="H1720" s="4">
        <f t="shared" si="384"/>
        <v>44</v>
      </c>
      <c r="I1720" s="4" t="str">
        <f t="shared" si="382"/>
        <v>='C:\Users\jaime.benazar\Quorum Business Solutions\Ecopetrol Prometeo - Documents\Planning Space Implementation\3. Analysis &amp; Design\Design\FC22\DRR Jaime\QUIFA-CAJÚA\Cajua\[VAS_CAJUA_CF_SEC_20230125.xlsx]CF PNP'!$BU$44</v>
      </c>
      <c r="J1720" s="4" t="s">
        <v>914</v>
      </c>
    </row>
    <row r="1721" spans="1:10" x14ac:dyDescent="0.2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Jaime\QUIFA-CAJÚA\Cajua\[VAS_CAJUA_CF_SEC_20230125.xlsx]CF PNP'!</v>
      </c>
      <c r="G1721" s="7" t="s">
        <v>39</v>
      </c>
      <c r="H1721" s="4">
        <f t="shared" si="384"/>
        <v>45</v>
      </c>
      <c r="I1721" s="4" t="str">
        <f t="shared" si="382"/>
        <v>='C:\Users\jaime.benazar\Quorum Business Solutions\Ecopetrol Prometeo - Documents\Planning Space Implementation\3. Analysis &amp; Design\Design\FC22\DRR Jaime\QUIFA-CAJÚA\Cajua\[VAS_CAJUA_CF_SEC_20230125.xlsx]CF PNP'!$BU$45</v>
      </c>
      <c r="J1721" s="4" t="s">
        <v>915</v>
      </c>
    </row>
    <row r="1722" spans="1:10" x14ac:dyDescent="0.2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Jaime\QUIFA-CAJÚA\Cajua\[VAS_CAJUA_CF_SEC_20230125.xlsx]CF PNP'!</v>
      </c>
      <c r="G1722" s="7" t="s">
        <v>39</v>
      </c>
      <c r="H1722" s="4">
        <f t="shared" si="384"/>
        <v>46</v>
      </c>
      <c r="I1722" s="4" t="str">
        <f t="shared" si="382"/>
        <v>='C:\Users\jaime.benazar\Quorum Business Solutions\Ecopetrol Prometeo - Documents\Planning Space Implementation\3. Analysis &amp; Design\Design\FC22\DRR Jaime\QUIFA-CAJÚA\Cajua\[VAS_CAJUA_CF_SEC_20230125.xlsx]CF PNP'!$BU$46</v>
      </c>
      <c r="J1722" s="4" t="s">
        <v>916</v>
      </c>
    </row>
    <row r="1723" spans="1:10" x14ac:dyDescent="0.2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Jaime\QUIFA-CAJÚA\Cajua\[VAS_CAJUA_CF_SEC_20230125.xlsx]CF PNP'!</v>
      </c>
      <c r="G1723" s="7" t="s">
        <v>39</v>
      </c>
      <c r="H1723" s="4">
        <f t="shared" si="384"/>
        <v>47</v>
      </c>
      <c r="I1723" s="4" t="str">
        <f t="shared" si="382"/>
        <v>='C:\Users\jaime.benazar\Quorum Business Solutions\Ecopetrol Prometeo - Documents\Planning Space Implementation\3. Analysis &amp; Design\Design\FC22\DRR Jaime\QUIFA-CAJÚA\Cajua\[VAS_CAJUA_CF_SEC_20230125.xlsx]CF PNP'!$BU$47</v>
      </c>
      <c r="J1723" s="4" t="s">
        <v>917</v>
      </c>
    </row>
    <row r="1724" spans="1:10" x14ac:dyDescent="0.2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Jaime\QUIFA-CAJÚA\Cajua\[VAS_CAJUA_CF_SEC_20230125.xlsx]CF PNP'!</v>
      </c>
      <c r="G1724" s="7" t="s">
        <v>39</v>
      </c>
      <c r="H1724" s="4">
        <f t="shared" si="384"/>
        <v>48</v>
      </c>
      <c r="I1724" s="4" t="str">
        <f t="shared" si="382"/>
        <v>='C:\Users\jaime.benazar\Quorum Business Solutions\Ecopetrol Prometeo - Documents\Planning Space Implementation\3. Analysis &amp; Design\Design\FC22\DRR Jaime\QUIFA-CAJÚA\Cajua\[VAS_CAJUA_CF_SEC_20230125.xlsx]CF PNP'!$BU$48</v>
      </c>
      <c r="J1724" s="4" t="s">
        <v>918</v>
      </c>
    </row>
    <row r="1725" spans="1:10" x14ac:dyDescent="0.2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Jaime\QUIFA-CAJÚA\Cajua\[VAS_CAJUA_CF_SEC_20230125.xlsx]CF PNP'!</v>
      </c>
      <c r="G1725" s="7" t="s">
        <v>39</v>
      </c>
      <c r="H1725" s="4">
        <f t="shared" si="384"/>
        <v>49</v>
      </c>
      <c r="I1725" s="4" t="str">
        <f t="shared" si="382"/>
        <v>='C:\Users\jaime.benazar\Quorum Business Solutions\Ecopetrol Prometeo - Documents\Planning Space Implementation\3. Analysis &amp; Design\Design\FC22\DRR Jaime\QUIFA-CAJÚA\Cajua\[VAS_CAJUA_CF_SEC_20230125.xlsx]CF PNP'!$BU$49</v>
      </c>
      <c r="J1725" s="4" t="s">
        <v>919</v>
      </c>
    </row>
    <row r="1726" spans="1:10" x14ac:dyDescent="0.2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Jaime\QUIFA-CAJÚA\Cajua\[VAS_CAJUA_CF_SEC_20230125.xlsx]CF PNP'!</v>
      </c>
      <c r="G1726" s="7" t="s">
        <v>39</v>
      </c>
      <c r="H1726" s="4">
        <f t="shared" si="384"/>
        <v>50</v>
      </c>
      <c r="I1726" s="4" t="str">
        <f t="shared" si="382"/>
        <v>='C:\Users\jaime.benazar\Quorum Business Solutions\Ecopetrol Prometeo - Documents\Planning Space Implementation\3. Analysis &amp; Design\Design\FC22\DRR Jaime\QUIFA-CAJÚA\Cajua\[VAS_CAJUA_CF_SEC_20230125.xlsx]CF PNP'!$BU$50</v>
      </c>
      <c r="J1726" s="4" t="s">
        <v>920</v>
      </c>
    </row>
    <row r="1727" spans="1:10" x14ac:dyDescent="0.2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Jaime\QUIFA-CAJÚA\Cajua\[VAS_CAJUA_CF_SEC_20230125.xlsx]CF PNP'!</v>
      </c>
      <c r="G1727" s="7" t="s">
        <v>39</v>
      </c>
      <c r="H1727" s="4">
        <f t="shared" si="384"/>
        <v>51</v>
      </c>
      <c r="I1727" s="4" t="str">
        <f t="shared" si="382"/>
        <v>='C:\Users\jaime.benazar\Quorum Business Solutions\Ecopetrol Prometeo - Documents\Planning Space Implementation\3. Analysis &amp; Design\Design\FC22\DRR Jaime\QUIFA-CAJÚA\Cajua\[VAS_CAJUA_CF_SEC_20230125.xlsx]CF PNP'!$BU$51</v>
      </c>
      <c r="J1727" s="4" t="s">
        <v>921</v>
      </c>
    </row>
    <row r="1728" spans="1:10" x14ac:dyDescent="0.2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Jaime\QUIFA-CAJÚA\Cajua\[VAS_CAJUA_CF_SEC_20230125.xlsx]CF PNP'!</v>
      </c>
      <c r="G1728" s="7" t="s">
        <v>39</v>
      </c>
      <c r="H1728" s="4">
        <f t="shared" si="384"/>
        <v>52</v>
      </c>
      <c r="I1728" s="4" t="str">
        <f t="shared" si="382"/>
        <v>='C:\Users\jaime.benazar\Quorum Business Solutions\Ecopetrol Prometeo - Documents\Planning Space Implementation\3. Analysis &amp; Design\Design\FC22\DRR Jaime\QUIFA-CAJÚA\Cajua\[VAS_CAJUA_CF_SEC_20230125.xlsx]CF PNP'!$BU$52</v>
      </c>
      <c r="J1728" s="4" t="s">
        <v>922</v>
      </c>
    </row>
    <row r="1729" spans="1:10" x14ac:dyDescent="0.2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Jaime\QUIFA-CAJÚA\Cajua\[VAS_CAJUA_CF_SEC_20230125.xlsx]CF PNP'!</v>
      </c>
      <c r="G1729" s="7" t="s">
        <v>39</v>
      </c>
      <c r="H1729" s="4">
        <f t="shared" si="384"/>
        <v>53</v>
      </c>
      <c r="I1729" s="4" t="str">
        <f t="shared" si="382"/>
        <v>='C:\Users\jaime.benazar\Quorum Business Solutions\Ecopetrol Prometeo - Documents\Planning Space Implementation\3. Analysis &amp; Design\Design\FC22\DRR Jaime\QUIFA-CAJÚA\Cajua\[VAS_CAJUA_CF_SEC_20230125.xlsx]CF PNP'!$BU$53</v>
      </c>
      <c r="J1729" s="4" t="s">
        <v>923</v>
      </c>
    </row>
    <row r="1730" spans="1:10" x14ac:dyDescent="0.2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Jaime\QUIFA-CAJÚA\Cajua\[VAS_CAJUA_CF_SEC_20230125.xlsx]CF PNP'!</v>
      </c>
      <c r="G1730" s="7" t="s">
        <v>39</v>
      </c>
      <c r="H1730" s="4">
        <f t="shared" si="384"/>
        <v>54</v>
      </c>
      <c r="I1730" s="4" t="str">
        <f t="shared" si="382"/>
        <v>='C:\Users\jaime.benazar\Quorum Business Solutions\Ecopetrol Prometeo - Documents\Planning Space Implementation\3. Analysis &amp; Design\Design\FC22\DRR Jaime\QUIFA-CAJÚA\Cajua\[VAS_CAJUA_CF_SEC_20230125.xlsx]CF PNP'!$BU$54</v>
      </c>
      <c r="J1730" s="4" t="s">
        <v>924</v>
      </c>
    </row>
    <row r="1731" spans="1:10" x14ac:dyDescent="0.2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Jaime\QUIFA-CAJÚA\Cajua\[VAS_CAJUA_CF_SEC_20230125.xlsx]CF PNP'!</v>
      </c>
      <c r="G1731" s="7" t="s">
        <v>39</v>
      </c>
      <c r="H1731" s="4">
        <f t="shared" si="384"/>
        <v>55</v>
      </c>
      <c r="I1731" s="4" t="str">
        <f t="shared" si="382"/>
        <v>='C:\Users\jaime.benazar\Quorum Business Solutions\Ecopetrol Prometeo - Documents\Planning Space Implementation\3. Analysis &amp; Design\Design\FC22\DRR Jaime\QUIFA-CAJÚA\Cajua\[VAS_CAJUA_CF_SEC_20230125.xlsx]CF PNP'!$BU$55</v>
      </c>
      <c r="J1731" s="4" t="s">
        <v>925</v>
      </c>
    </row>
    <row r="1732" spans="1:10" x14ac:dyDescent="0.2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Jaime\QUIFA-CAJÚA\Cajua\[VAS_CAJUA_CF_SEC_20230125.xlsx]CF PNP'!</v>
      </c>
      <c r="G1732" s="7" t="s">
        <v>39</v>
      </c>
      <c r="H1732" s="4">
        <f t="shared" si="384"/>
        <v>56</v>
      </c>
      <c r="I1732" s="4" t="str">
        <f t="shared" si="382"/>
        <v>='C:\Users\jaime.benazar\Quorum Business Solutions\Ecopetrol Prometeo - Documents\Planning Space Implementation\3. Analysis &amp; Design\Design\FC22\DRR Jaime\QUIFA-CAJÚA\Cajua\[VAS_CAJUA_CF_SEC_20230125.xlsx]CF PNP'!$BU$56</v>
      </c>
      <c r="J1732" s="4" t="s">
        <v>926</v>
      </c>
    </row>
    <row r="1733" spans="1:10" x14ac:dyDescent="0.2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Jaime\QUIFA-CAJÚA\Cajua\[VAS_CAJUA_CF_SEC_20230125.xlsx]CF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Jaime\QUIFA-CAJÚA\Cajua\[VAS_CAJUA_CF_SEC_20230125.xlsx]CF PNP'!$BU$57</v>
      </c>
      <c r="J1733" s="4" t="s">
        <v>927</v>
      </c>
    </row>
    <row r="1734" spans="1:10" x14ac:dyDescent="0.2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Jaime\QUIFA-CAJÚA\Cajua\[VAS_CAJUA_CF_SEC_20230125.xlsx]CF PNP'!</v>
      </c>
      <c r="G1734" s="7" t="s">
        <v>39</v>
      </c>
      <c r="H1734" s="4">
        <f t="shared" si="398"/>
        <v>58</v>
      </c>
      <c r="I1734" s="4" t="str">
        <f t="shared" si="399"/>
        <v>='C:\Users\jaime.benazar\Quorum Business Solutions\Ecopetrol Prometeo - Documents\Planning Space Implementation\3. Analysis &amp; Design\Design\FC22\DRR Jaime\QUIFA-CAJÚA\Cajua\[VAS_CAJUA_CF_SEC_20230125.xlsx]CF PNP'!$BU$58</v>
      </c>
      <c r="J1734" s="4" t="s">
        <v>928</v>
      </c>
    </row>
    <row r="1735" spans="1:10" x14ac:dyDescent="0.2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Jaime\QUIFA-CAJÚA\Cajua\[VAS_CAJUA_CF_SEC_20230125.xlsx]CF PNP'!</v>
      </c>
      <c r="G1735" s="7" t="s">
        <v>39</v>
      </c>
      <c r="H1735" s="4">
        <f t="shared" si="398"/>
        <v>59</v>
      </c>
      <c r="I1735" s="4" t="str">
        <f t="shared" si="399"/>
        <v>='C:\Users\jaime.benazar\Quorum Business Solutions\Ecopetrol Prometeo - Documents\Planning Space Implementation\3. Analysis &amp; Design\Design\FC22\DRR Jaime\QUIFA-CAJÚA\Cajua\[VAS_CAJUA_CF_SEC_20230125.xlsx]CF PNP'!$BU$59</v>
      </c>
      <c r="J1735" s="4" t="s">
        <v>929</v>
      </c>
    </row>
    <row r="1736" spans="1:10" x14ac:dyDescent="0.2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Jaime\QUIFA-CAJÚA\Cajua\[VAS_CAJUA_CF_SEC_20230125.xlsx]CF PNP'!</v>
      </c>
      <c r="G1736" s="7" t="s">
        <v>39</v>
      </c>
      <c r="H1736" s="4">
        <f t="shared" si="398"/>
        <v>60</v>
      </c>
      <c r="I1736" s="4" t="str">
        <f t="shared" si="399"/>
        <v>='C:\Users\jaime.benazar\Quorum Business Solutions\Ecopetrol Prometeo - Documents\Planning Space Implementation\3. Analysis &amp; Design\Design\FC22\DRR Jaime\QUIFA-CAJÚA\Cajua\[VAS_CAJUA_CF_SEC_20230125.xlsx]CF PNP'!$BU$60</v>
      </c>
      <c r="J1736" s="4" t="s">
        <v>930</v>
      </c>
    </row>
    <row r="1737" spans="1:10" x14ac:dyDescent="0.2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Jaime\QUIFA-CAJÚA\Cajua\[VAS_CAJUA_CF_SEC_20230125.xlsx]CF PNP'!</v>
      </c>
      <c r="G1737" s="7" t="s">
        <v>39</v>
      </c>
      <c r="H1737" s="4">
        <f t="shared" si="398"/>
        <v>61</v>
      </c>
      <c r="I1737" s="4" t="str">
        <f t="shared" si="399"/>
        <v>='C:\Users\jaime.benazar\Quorum Business Solutions\Ecopetrol Prometeo - Documents\Planning Space Implementation\3. Analysis &amp; Design\Design\FC22\DRR Jaime\QUIFA-CAJÚA\Cajua\[VAS_CAJUA_CF_SEC_20230125.xlsx]CF PNP'!$BU$61</v>
      </c>
      <c r="J1737" s="4" t="s">
        <v>931</v>
      </c>
    </row>
    <row r="1738" spans="1:10" x14ac:dyDescent="0.2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Jaime\QUIFA-CAJÚA\Cajua\[VAS_CAJUA_CF_SEC_20230125.xlsx]CF PNP'!</v>
      </c>
      <c r="G1738" s="7" t="s">
        <v>39</v>
      </c>
      <c r="H1738" s="4">
        <f t="shared" si="398"/>
        <v>62</v>
      </c>
      <c r="I1738" s="4" t="str">
        <f t="shared" si="399"/>
        <v>='C:\Users\jaime.benazar\Quorum Business Solutions\Ecopetrol Prometeo - Documents\Planning Space Implementation\3. Analysis &amp; Design\Design\FC22\DRR Jaime\QUIFA-CAJÚA\Cajua\[VAS_CAJUA_CF_SEC_20230125.xlsx]CF PNP'!$BU$62</v>
      </c>
      <c r="J1738" s="4" t="s">
        <v>932</v>
      </c>
    </row>
    <row r="1739" spans="1:10" x14ac:dyDescent="0.2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Jaime\QUIFA-CAJÚA\Cajua\[VAS_CAJUA_CF_SEC_20230125.xlsx]CF PNP'!</v>
      </c>
      <c r="G1739" s="7" t="s">
        <v>39</v>
      </c>
      <c r="H1739" s="4">
        <f t="shared" si="398"/>
        <v>63</v>
      </c>
      <c r="I1739" s="4" t="str">
        <f t="shared" si="399"/>
        <v>='C:\Users\jaime.benazar\Quorum Business Solutions\Ecopetrol Prometeo - Documents\Planning Space Implementation\3. Analysis &amp; Design\Design\FC22\DRR Jaime\QUIFA-CAJÚA\Cajua\[VAS_CAJUA_CF_SEC_20230125.xlsx]CF PNP'!$BU$63</v>
      </c>
      <c r="J1739" s="4" t="s">
        <v>933</v>
      </c>
    </row>
    <row r="1740" spans="1:10" x14ac:dyDescent="0.2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Jaime\QUIFA-CAJÚA\Cajua\[VAS_CAJUA_CF_SEC_20230125.xlsx]CF PNP'!</v>
      </c>
      <c r="G1740" s="7" t="s">
        <v>39</v>
      </c>
      <c r="H1740" s="4">
        <f t="shared" si="398"/>
        <v>64</v>
      </c>
      <c r="I1740" s="4" t="str">
        <f t="shared" si="399"/>
        <v>='C:\Users\jaime.benazar\Quorum Business Solutions\Ecopetrol Prometeo - Documents\Planning Space Implementation\3. Analysis &amp; Design\Design\FC22\DRR Jaime\QUIFA-CAJÚA\Cajua\[VAS_CAJUA_CF_SEC_20230125.xlsx]CF PNP'!$BU$64</v>
      </c>
      <c r="J1740" s="4" t="s">
        <v>934</v>
      </c>
    </row>
    <row r="1741" spans="1:10" x14ac:dyDescent="0.2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Jaime\QUIFA-CAJÚA\Cajua\[VAS_CAJUA_CF_SEC_20230125.xlsx]CF PNP'!</v>
      </c>
      <c r="G1741" s="7" t="s">
        <v>39</v>
      </c>
      <c r="H1741" s="4">
        <f t="shared" si="398"/>
        <v>65</v>
      </c>
      <c r="I1741" s="4" t="str">
        <f t="shared" si="399"/>
        <v>='C:\Users\jaime.benazar\Quorum Business Solutions\Ecopetrol Prometeo - Documents\Planning Space Implementation\3. Analysis &amp; Design\Design\FC22\DRR Jaime\QUIFA-CAJÚA\Cajua\[VAS_CAJUA_CF_SEC_20230125.xlsx]CF PNP'!$BU$65</v>
      </c>
      <c r="J1741" s="4" t="s">
        <v>935</v>
      </c>
    </row>
    <row r="1742" spans="1:10" x14ac:dyDescent="0.2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Jaime\QUIFA-CAJÚA\Cajua\[VAS_CAJUA_CF_SEC_20230125.xlsx]CF PNP'!</v>
      </c>
      <c r="G1742" s="7" t="s">
        <v>39</v>
      </c>
      <c r="H1742" s="4">
        <f t="shared" si="398"/>
        <v>66</v>
      </c>
      <c r="I1742" s="4" t="str">
        <f t="shared" si="399"/>
        <v>='C:\Users\jaime.benazar\Quorum Business Solutions\Ecopetrol Prometeo - Documents\Planning Space Implementation\3. Analysis &amp; Design\Design\FC22\DRR Jaime\QUIFA-CAJÚA\Cajua\[VAS_CAJUA_CF_SEC_20230125.xlsx]CF PNP'!$BU$66</v>
      </c>
      <c r="J1742" s="4" t="s">
        <v>936</v>
      </c>
    </row>
    <row r="1743" spans="1:10" x14ac:dyDescent="0.2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Jaime\QUIFA-CAJÚA\Cajua\[VAS_CAJUA_CF_SEC_20230125.xlsx]CF PNP'!</v>
      </c>
      <c r="G1743" s="7" t="s">
        <v>39</v>
      </c>
      <c r="H1743" s="4">
        <f t="shared" si="398"/>
        <v>67</v>
      </c>
      <c r="I1743" s="4" t="str">
        <f t="shared" si="399"/>
        <v>='C:\Users\jaime.benazar\Quorum Business Solutions\Ecopetrol Prometeo - Documents\Planning Space Implementation\3. Analysis &amp; Design\Design\FC22\DRR Jaime\QUIFA-CAJÚA\Cajua\[VAS_CAJUA_CF_SEC_20230125.xlsx]CF PNP'!$BU$67</v>
      </c>
      <c r="J1743" s="4" t="s">
        <v>937</v>
      </c>
    </row>
    <row r="1744" spans="1:10" x14ac:dyDescent="0.2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Jaime\QUIFA-CAJÚA\Cajua\[VAS_CAJUA_CF_SEC_20230125.xlsx]CF PNP'!</v>
      </c>
      <c r="G1744" s="7" t="s">
        <v>39</v>
      </c>
      <c r="H1744" s="4">
        <f t="shared" si="398"/>
        <v>68</v>
      </c>
      <c r="I1744" s="4" t="str">
        <f t="shared" si="399"/>
        <v>='C:\Users\jaime.benazar\Quorum Business Solutions\Ecopetrol Prometeo - Documents\Planning Space Implementation\3. Analysis &amp; Design\Design\FC22\DRR Jaime\QUIFA-CAJÚA\Cajua\[VAS_CAJUA_CF_SEC_20230125.xlsx]CF PNP'!$BU$68</v>
      </c>
      <c r="J1744" s="4" t="s">
        <v>938</v>
      </c>
    </row>
    <row r="1745" spans="1:10" x14ac:dyDescent="0.2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Jaime\QUIFA-CAJÚA\Cajua\[VAS_CAJUA_CF_SEC_20230125.xlsx]CF PNP'!</v>
      </c>
      <c r="G1745" s="7" t="s">
        <v>39</v>
      </c>
      <c r="H1745" s="4">
        <f t="shared" si="398"/>
        <v>69</v>
      </c>
      <c r="I1745" s="4" t="str">
        <f t="shared" si="399"/>
        <v>='C:\Users\jaime.benazar\Quorum Business Solutions\Ecopetrol Prometeo - Documents\Planning Space Implementation\3. Analysis &amp; Design\Design\FC22\DRR Jaime\QUIFA-CAJÚA\Cajua\[VAS_CAJUA_CF_SEC_20230125.xlsx]CF PNP'!$BU$69</v>
      </c>
      <c r="J1745" s="4" t="s">
        <v>939</v>
      </c>
    </row>
    <row r="1746" spans="1:10" x14ac:dyDescent="0.2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Jaime\QUIFA-CAJÚA\Cajua\[VAS_CAJUA_CF_SEC_20230125.xlsx]CF PNP'!</v>
      </c>
      <c r="G1746" s="7" t="s">
        <v>39</v>
      </c>
      <c r="H1746" s="4">
        <f t="shared" si="398"/>
        <v>70</v>
      </c>
      <c r="I1746" s="4" t="str">
        <f t="shared" si="399"/>
        <v>='C:\Users\jaime.benazar\Quorum Business Solutions\Ecopetrol Prometeo - Documents\Planning Space Implementation\3. Analysis &amp; Design\Design\FC22\DRR Jaime\QUIFA-CAJÚA\Cajua\[VAS_CAJUA_CF_SEC_20230125.xlsx]CF PNP'!$BU$70</v>
      </c>
      <c r="J1746" s="4" t="s">
        <v>940</v>
      </c>
    </row>
    <row r="1747" spans="1:10" x14ac:dyDescent="0.2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Jaime\QUIFA-CAJÚA\Cajua\[VAS_CAJUA_CF_SEC_20230125.xlsx]CF PNP'!</v>
      </c>
      <c r="G1747" s="7" t="s">
        <v>39</v>
      </c>
      <c r="H1747" s="4">
        <f t="shared" si="398"/>
        <v>71</v>
      </c>
      <c r="I1747" s="4" t="str">
        <f t="shared" si="399"/>
        <v>='C:\Users\jaime.benazar\Quorum Business Solutions\Ecopetrol Prometeo - Documents\Planning Space Implementation\3. Analysis &amp; Design\Design\FC22\DRR Jaime\QUIFA-CAJÚA\Cajua\[VAS_CAJUA_CF_SEC_20230125.xlsx]CF PNP'!$BU$71</v>
      </c>
      <c r="J1747" s="4" t="s">
        <v>941</v>
      </c>
    </row>
    <row r="1748" spans="1:10" x14ac:dyDescent="0.2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Jaime\QUIFA-CAJÚA\Cajua\[VAS_CAJUA_CF_SEC_20230125.xlsx]CF PNP'!</v>
      </c>
      <c r="G1748" s="7" t="s">
        <v>39</v>
      </c>
      <c r="H1748" s="4">
        <f t="shared" si="398"/>
        <v>72</v>
      </c>
      <c r="I1748" s="4" t="str">
        <f t="shared" si="399"/>
        <v>='C:\Users\jaime.benazar\Quorum Business Solutions\Ecopetrol Prometeo - Documents\Planning Space Implementation\3. Analysis &amp; Design\Design\FC22\DRR Jaime\QUIFA-CAJÚA\Cajua\[VAS_CAJUA_CF_SEC_20230125.xlsx]CF PNP'!$BU$72</v>
      </c>
      <c r="J1748" s="4" t="s">
        <v>942</v>
      </c>
    </row>
    <row r="1749" spans="1:10" x14ac:dyDescent="0.25">
      <c r="A1749" s="7" t="s">
        <v>28</v>
      </c>
      <c r="B1749" s="7"/>
      <c r="C1749" s="4" t="s">
        <v>17</v>
      </c>
      <c r="D1749" s="5"/>
      <c r="E1749" s="10"/>
      <c r="F1749" s="2"/>
      <c r="G1749" s="7"/>
      <c r="H1749" s="4"/>
      <c r="I1749" s="4"/>
      <c r="J1749" s="4"/>
    </row>
    <row r="1750" spans="1:10" x14ac:dyDescent="0.2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Jaime\QUIFA-CAJÚA\Cajua\[VAS_CAJUA_CF_SEC_20230125.xlsx]CF PND'!</v>
      </c>
      <c r="G1750" s="7" t="s">
        <v>39</v>
      </c>
      <c r="H1750" s="4">
        <f>IF(A1750&lt;&gt;A1734,36,H1734+1)</f>
        <v>36</v>
      </c>
      <c r="I1750" s="4" t="str">
        <f t="shared" si="382"/>
        <v>='C:\Users\jaime.benazar\Quorum Business Solutions\Ecopetrol Prometeo - Documents\Planning Space Implementation\3. Analysis &amp; Design\Design\FC22\DRR Jaime\QUIFA-CAJÚA\Cajua\[VAS_CAJUA_CF_SEC_20230125.xlsx]CF PND'!$BU$36</v>
      </c>
      <c r="J1750" s="4" t="s">
        <v>943</v>
      </c>
    </row>
    <row r="1751" spans="1:10" x14ac:dyDescent="0.2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Jaime\QUIFA-CAJÚA\Cajua\[VAS_CAJUA_CF_SEC_20230125.xlsx]CF PND'!</v>
      </c>
      <c r="G1751" s="7" t="s">
        <v>39</v>
      </c>
      <c r="H1751" s="4">
        <f t="shared" si="384"/>
        <v>37</v>
      </c>
      <c r="I1751" s="4" t="str">
        <f t="shared" si="382"/>
        <v>='C:\Users\jaime.benazar\Quorum Business Solutions\Ecopetrol Prometeo - Documents\Planning Space Implementation\3. Analysis &amp; Design\Design\FC22\DRR Jaime\QUIFA-CAJÚA\Cajua\[VAS_CAJUA_CF_SEC_20230125.xlsx]CF PND'!$BU$37</v>
      </c>
      <c r="J1751" s="4" t="s">
        <v>944</v>
      </c>
    </row>
    <row r="1752" spans="1:10" x14ac:dyDescent="0.2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Jaime\QUIFA-CAJÚA\Cajua\[VAS_CAJUA_CF_SEC_20230125.xlsx]CF PND'!</v>
      </c>
      <c r="G1752" s="7" t="s">
        <v>39</v>
      </c>
      <c r="H1752" s="4">
        <f t="shared" si="384"/>
        <v>38</v>
      </c>
      <c r="I1752" s="4" t="str">
        <f t="shared" si="382"/>
        <v>='C:\Users\jaime.benazar\Quorum Business Solutions\Ecopetrol Prometeo - Documents\Planning Space Implementation\3. Analysis &amp; Design\Design\FC22\DRR Jaime\QUIFA-CAJÚA\Cajua\[VAS_CAJUA_CF_SEC_20230125.xlsx]CF PND'!$BU$38</v>
      </c>
      <c r="J1752" s="4" t="s">
        <v>945</v>
      </c>
    </row>
    <row r="1753" spans="1:10" x14ac:dyDescent="0.2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Jaime\QUIFA-CAJÚA\Cajua\[VAS_CAJUA_CF_SEC_20230125.xlsx]CF PND'!</v>
      </c>
      <c r="G1753" s="7" t="s">
        <v>39</v>
      </c>
      <c r="H1753" s="4">
        <f t="shared" si="384"/>
        <v>39</v>
      </c>
      <c r="I1753" s="4" t="str">
        <f t="shared" si="382"/>
        <v>='C:\Users\jaime.benazar\Quorum Business Solutions\Ecopetrol Prometeo - Documents\Planning Space Implementation\3. Analysis &amp; Design\Design\FC22\DRR Jaime\QUIFA-CAJÚA\Cajua\[VAS_CAJUA_CF_SEC_20230125.xlsx]CF PND'!$BU$39</v>
      </c>
      <c r="J1753" s="4" t="s">
        <v>946</v>
      </c>
    </row>
    <row r="1754" spans="1:10" x14ac:dyDescent="0.2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Jaime\QUIFA-CAJÚA\Cajua\[VAS_CAJUA_CF_SEC_20230125.xlsx]CF PND'!</v>
      </c>
      <c r="G1754" s="7" t="s">
        <v>39</v>
      </c>
      <c r="H1754" s="4">
        <f t="shared" si="384"/>
        <v>40</v>
      </c>
      <c r="I1754" s="4" t="str">
        <f t="shared" si="382"/>
        <v>='C:\Users\jaime.benazar\Quorum Business Solutions\Ecopetrol Prometeo - Documents\Planning Space Implementation\3. Analysis &amp; Design\Design\FC22\DRR Jaime\QUIFA-CAJÚA\Cajua\[VAS_CAJUA_CF_SEC_20230125.xlsx]CF PND'!$BU$40</v>
      </c>
      <c r="J1754" s="4" t="s">
        <v>947</v>
      </c>
    </row>
    <row r="1755" spans="1:10" x14ac:dyDescent="0.2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Jaime\QUIFA-CAJÚA\Cajua\[VAS_CAJUA_CF_SEC_20230125.xlsx]CF PND'!</v>
      </c>
      <c r="G1755" s="7" t="s">
        <v>39</v>
      </c>
      <c r="H1755" s="4">
        <f t="shared" si="384"/>
        <v>41</v>
      </c>
      <c r="I1755" s="4" t="str">
        <f t="shared" si="382"/>
        <v>='C:\Users\jaime.benazar\Quorum Business Solutions\Ecopetrol Prometeo - Documents\Planning Space Implementation\3. Analysis &amp; Design\Design\FC22\DRR Jaime\QUIFA-CAJÚA\Cajua\[VAS_CAJUA_CF_SEC_20230125.xlsx]CF PND'!$BU$41</v>
      </c>
      <c r="J1755" s="4" t="s">
        <v>948</v>
      </c>
    </row>
    <row r="1756" spans="1:10" x14ac:dyDescent="0.2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Jaime\QUIFA-CAJÚA\Cajua\[VAS_CAJUA_CF_SEC_20230125.xlsx]CF PND'!</v>
      </c>
      <c r="G1756" s="7" t="s">
        <v>39</v>
      </c>
      <c r="H1756" s="4">
        <f t="shared" si="384"/>
        <v>42</v>
      </c>
      <c r="I1756" s="4" t="str">
        <f t="shared" si="382"/>
        <v>='C:\Users\jaime.benazar\Quorum Business Solutions\Ecopetrol Prometeo - Documents\Planning Space Implementation\3. Analysis &amp; Design\Design\FC22\DRR Jaime\QUIFA-CAJÚA\Cajua\[VAS_CAJUA_CF_SEC_20230125.xlsx]CF PND'!$BU$42</v>
      </c>
      <c r="J1756" s="4" t="s">
        <v>949</v>
      </c>
    </row>
    <row r="1757" spans="1:10" x14ac:dyDescent="0.2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Jaime\QUIFA-CAJÚA\Cajua\[VAS_CAJUA_CF_SEC_20230125.xlsx]CF PND'!</v>
      </c>
      <c r="G1757" s="7" t="s">
        <v>39</v>
      </c>
      <c r="H1757" s="4">
        <f t="shared" si="384"/>
        <v>43</v>
      </c>
      <c r="I1757" s="4" t="str">
        <f t="shared" si="382"/>
        <v>='C:\Users\jaime.benazar\Quorum Business Solutions\Ecopetrol Prometeo - Documents\Planning Space Implementation\3. Analysis &amp; Design\Design\FC22\DRR Jaime\QUIFA-CAJÚA\Cajua\[VAS_CAJUA_CF_SEC_20230125.xlsx]CF PND'!$BU$43</v>
      </c>
      <c r="J1757" s="4" t="s">
        <v>950</v>
      </c>
    </row>
    <row r="1758" spans="1:10" x14ac:dyDescent="0.2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Jaime\QUIFA-CAJÚA\Cajua\[VAS_CAJUA_CF_SEC_20230125.xlsx]CF PND'!</v>
      </c>
      <c r="G1758" s="7" t="s">
        <v>39</v>
      </c>
      <c r="H1758" s="4">
        <f t="shared" si="384"/>
        <v>44</v>
      </c>
      <c r="I1758" s="4" t="str">
        <f t="shared" si="382"/>
        <v>='C:\Users\jaime.benazar\Quorum Business Solutions\Ecopetrol Prometeo - Documents\Planning Space Implementation\3. Analysis &amp; Design\Design\FC22\DRR Jaime\QUIFA-CAJÚA\Cajua\[VAS_CAJUA_CF_SEC_20230125.xlsx]CF PND'!$BU$44</v>
      </c>
      <c r="J1758" s="4" t="s">
        <v>951</v>
      </c>
    </row>
    <row r="1759" spans="1:10" x14ac:dyDescent="0.2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Jaime\QUIFA-CAJÚA\Cajua\[VAS_CAJUA_CF_SEC_20230125.xlsx]CF PND'!</v>
      </c>
      <c r="G1759" s="7" t="s">
        <v>39</v>
      </c>
      <c r="H1759" s="4">
        <f t="shared" si="384"/>
        <v>45</v>
      </c>
      <c r="I1759" s="4" t="str">
        <f t="shared" si="382"/>
        <v>='C:\Users\jaime.benazar\Quorum Business Solutions\Ecopetrol Prometeo - Documents\Planning Space Implementation\3. Analysis &amp; Design\Design\FC22\DRR Jaime\QUIFA-CAJÚA\Cajua\[VAS_CAJUA_CF_SEC_20230125.xlsx]CF PND'!$BU$45</v>
      </c>
      <c r="J1759" s="4" t="s">
        <v>952</v>
      </c>
    </row>
    <row r="1760" spans="1:10" x14ac:dyDescent="0.2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Jaime\QUIFA-CAJÚA\Cajua\[VAS_CAJUA_CF_SEC_20230125.xlsx]CF PND'!</v>
      </c>
      <c r="G1760" s="7" t="s">
        <v>39</v>
      </c>
      <c r="H1760" s="4">
        <f t="shared" si="384"/>
        <v>46</v>
      </c>
      <c r="I1760" s="4" t="str">
        <f t="shared" si="382"/>
        <v>='C:\Users\jaime.benazar\Quorum Business Solutions\Ecopetrol Prometeo - Documents\Planning Space Implementation\3. Analysis &amp; Design\Design\FC22\DRR Jaime\QUIFA-CAJÚA\Cajua\[VAS_CAJUA_CF_SEC_20230125.xlsx]CF PND'!$BU$46</v>
      </c>
      <c r="J1760" s="4" t="s">
        <v>953</v>
      </c>
    </row>
    <row r="1761" spans="1:10" x14ac:dyDescent="0.2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Jaime\QUIFA-CAJÚA\Cajua\[VAS_CAJUA_CF_SEC_20230125.xlsx]CF PND'!</v>
      </c>
      <c r="G1761" s="7" t="s">
        <v>39</v>
      </c>
      <c r="H1761" s="4">
        <f t="shared" si="384"/>
        <v>47</v>
      </c>
      <c r="I1761" s="4" t="str">
        <f t="shared" si="382"/>
        <v>='C:\Users\jaime.benazar\Quorum Business Solutions\Ecopetrol Prometeo - Documents\Planning Space Implementation\3. Analysis &amp; Design\Design\FC22\DRR Jaime\QUIFA-CAJÚA\Cajua\[VAS_CAJUA_CF_SEC_20230125.xlsx]CF PND'!$BU$47</v>
      </c>
      <c r="J1761" s="4" t="s">
        <v>954</v>
      </c>
    </row>
    <row r="1762" spans="1:10" x14ac:dyDescent="0.2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Jaime\QUIFA-CAJÚA\Cajua\[VAS_CAJUA_CF_SEC_20230125.xlsx]CF PND'!</v>
      </c>
      <c r="G1762" s="7" t="s">
        <v>39</v>
      </c>
      <c r="H1762" s="4">
        <f t="shared" si="384"/>
        <v>48</v>
      </c>
      <c r="I1762" s="4" t="str">
        <f t="shared" si="382"/>
        <v>='C:\Users\jaime.benazar\Quorum Business Solutions\Ecopetrol Prometeo - Documents\Planning Space Implementation\3. Analysis &amp; Design\Design\FC22\DRR Jaime\QUIFA-CAJÚA\Cajua\[VAS_CAJUA_CF_SEC_20230125.xlsx]CF PND'!$BU$48</v>
      </c>
      <c r="J1762" s="4" t="s">
        <v>955</v>
      </c>
    </row>
    <row r="1763" spans="1:10" x14ac:dyDescent="0.2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Jaime\QUIFA-CAJÚA\Cajua\[VAS_CAJUA_CF_SEC_20230125.xlsx]CF PND'!</v>
      </c>
      <c r="G1763" s="7" t="s">
        <v>39</v>
      </c>
      <c r="H1763" s="4">
        <f t="shared" si="384"/>
        <v>49</v>
      </c>
      <c r="I1763" s="4" t="str">
        <f t="shared" si="382"/>
        <v>='C:\Users\jaime.benazar\Quorum Business Solutions\Ecopetrol Prometeo - Documents\Planning Space Implementation\3. Analysis &amp; Design\Design\FC22\DRR Jaime\QUIFA-CAJÚA\Cajua\[VAS_CAJUA_CF_SEC_20230125.xlsx]CF PND'!$BU$49</v>
      </c>
      <c r="J1763" s="4" t="s">
        <v>956</v>
      </c>
    </row>
    <row r="1764" spans="1:10" x14ac:dyDescent="0.2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Jaime\QUIFA-CAJÚA\Cajua\[VAS_CAJUA_CF_SEC_20230125.xlsx]CF PND'!</v>
      </c>
      <c r="G1764" s="7" t="s">
        <v>39</v>
      </c>
      <c r="H1764" s="4">
        <f t="shared" si="384"/>
        <v>50</v>
      </c>
      <c r="I1764" s="4" t="str">
        <f t="shared" si="382"/>
        <v>='C:\Users\jaime.benazar\Quorum Business Solutions\Ecopetrol Prometeo - Documents\Planning Space Implementation\3. Analysis &amp; Design\Design\FC22\DRR Jaime\QUIFA-CAJÚA\Cajua\[VAS_CAJUA_CF_SEC_20230125.xlsx]CF PND'!$BU$50</v>
      </c>
      <c r="J1764" s="4" t="s">
        <v>957</v>
      </c>
    </row>
    <row r="1765" spans="1:10" x14ac:dyDescent="0.2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Jaime\QUIFA-CAJÚA\Cajua\[VAS_CAJUA_CF_SEC_20230125.xlsx]CF PND'!</v>
      </c>
      <c r="G1765" s="7" t="s">
        <v>39</v>
      </c>
      <c r="H1765" s="4">
        <f t="shared" si="384"/>
        <v>51</v>
      </c>
      <c r="I1765" s="4" t="str">
        <f t="shared" si="382"/>
        <v>='C:\Users\jaime.benazar\Quorum Business Solutions\Ecopetrol Prometeo - Documents\Planning Space Implementation\3. Analysis &amp; Design\Design\FC22\DRR Jaime\QUIFA-CAJÚA\Cajua\[VAS_CAJUA_CF_SEC_20230125.xlsx]CF PND'!$BU$51</v>
      </c>
      <c r="J1765" s="4" t="s">
        <v>958</v>
      </c>
    </row>
    <row r="1766" spans="1:10" x14ac:dyDescent="0.2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Jaime\QUIFA-CAJÚA\Cajua\[VAS_CAJUA_CF_SEC_20230125.xlsx]CF PND'!</v>
      </c>
      <c r="G1766" s="7" t="s">
        <v>39</v>
      </c>
      <c r="H1766" s="4">
        <f t="shared" si="384"/>
        <v>52</v>
      </c>
      <c r="I1766" s="4" t="str">
        <f t="shared" si="382"/>
        <v>='C:\Users\jaime.benazar\Quorum Business Solutions\Ecopetrol Prometeo - Documents\Planning Space Implementation\3. Analysis &amp; Design\Design\FC22\DRR Jaime\QUIFA-CAJÚA\Cajua\[VAS_CAJUA_CF_SEC_20230125.xlsx]CF PND'!$BU$52</v>
      </c>
      <c r="J1766" s="4" t="s">
        <v>959</v>
      </c>
    </row>
    <row r="1767" spans="1:10" x14ac:dyDescent="0.2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Jaime\QUIFA-CAJÚA\Cajua\[VAS_CAJUA_CF_SEC_20230125.xlsx]CF PND'!</v>
      </c>
      <c r="G1767" s="7" t="s">
        <v>39</v>
      </c>
      <c r="H1767" s="4">
        <f t="shared" si="384"/>
        <v>53</v>
      </c>
      <c r="I1767" s="4" t="str">
        <f t="shared" si="382"/>
        <v>='C:\Users\jaime.benazar\Quorum Business Solutions\Ecopetrol Prometeo - Documents\Planning Space Implementation\3. Analysis &amp; Design\Design\FC22\DRR Jaime\QUIFA-CAJÚA\Cajua\[VAS_CAJUA_CF_SEC_20230125.xlsx]CF PND'!$BU$53</v>
      </c>
      <c r="J1767" s="4" t="s">
        <v>960</v>
      </c>
    </row>
    <row r="1768" spans="1:10" x14ac:dyDescent="0.2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Jaime\QUIFA-CAJÚA\Cajua\[VAS_CAJUA_CF_SEC_20230125.xlsx]CF PND'!</v>
      </c>
      <c r="G1768" s="7" t="s">
        <v>39</v>
      </c>
      <c r="H1768" s="4">
        <f t="shared" si="384"/>
        <v>54</v>
      </c>
      <c r="I1768" s="4" t="str">
        <f t="shared" si="382"/>
        <v>='C:\Users\jaime.benazar\Quorum Business Solutions\Ecopetrol Prometeo - Documents\Planning Space Implementation\3. Analysis &amp; Design\Design\FC22\DRR Jaime\QUIFA-CAJÚA\Cajua\[VAS_CAJUA_CF_SEC_20230125.xlsx]CF PND'!$BU$54</v>
      </c>
      <c r="J1768" s="4" t="s">
        <v>961</v>
      </c>
    </row>
    <row r="1769" spans="1:10" x14ac:dyDescent="0.2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Jaime\QUIFA-CAJÚA\Cajua\[VAS_CAJUA_CF_SEC_20230125.xlsx]CF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Jaime\QUIFA-CAJÚA\Cajua\[VAS_CAJUA_CF_SEC_20230125.xlsx]CF PND'!$BU$55</v>
      </c>
      <c r="J1769" s="4" t="s">
        <v>962</v>
      </c>
    </row>
    <row r="1770" spans="1:10" x14ac:dyDescent="0.2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Jaime\QUIFA-CAJÚA\Cajua\[VAS_CAJUA_CF_SEC_20230125.xlsx]CF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Jaime\QUIFA-CAJÚA\Cajua\[VAS_CAJUA_CF_SEC_20230125.xlsx]CF PND'!$BU$56</v>
      </c>
      <c r="J1770" s="4" t="s">
        <v>963</v>
      </c>
    </row>
    <row r="1771" spans="1:10" x14ac:dyDescent="0.2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Jaime\QUIFA-CAJÚA\Cajua\[VAS_CAJUA_CF_SEC_20230125.xlsx]CF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Jaime\QUIFA-CAJÚA\Cajua\[VAS_CAJUA_CF_SEC_20230125.xlsx]CF PND'!$BU$57</v>
      </c>
      <c r="J1771" s="4" t="s">
        <v>964</v>
      </c>
    </row>
    <row r="1772" spans="1:10" x14ac:dyDescent="0.2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Jaime\QUIFA-CAJÚA\Cajua\[VAS_CAJUA_CF_SEC_20230125.xlsx]CF PND'!</v>
      </c>
      <c r="G1772" s="7" t="s">
        <v>39</v>
      </c>
      <c r="H1772" s="4">
        <f t="shared" si="410"/>
        <v>58</v>
      </c>
      <c r="I1772" s="4" t="str">
        <f t="shared" si="411"/>
        <v>='C:\Users\jaime.benazar\Quorum Business Solutions\Ecopetrol Prometeo - Documents\Planning Space Implementation\3. Analysis &amp; Design\Design\FC22\DRR Jaime\QUIFA-CAJÚA\Cajua\[VAS_CAJUA_CF_SEC_20230125.xlsx]CF PND'!$BU$58</v>
      </c>
      <c r="J1772" s="4" t="s">
        <v>965</v>
      </c>
    </row>
    <row r="1773" spans="1:10" x14ac:dyDescent="0.2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Jaime\QUIFA-CAJÚA\Cajua\[VAS_CAJUA_CF_SEC_20230125.xlsx]CF PND'!</v>
      </c>
      <c r="G1773" s="7" t="s">
        <v>39</v>
      </c>
      <c r="H1773" s="4">
        <f t="shared" si="410"/>
        <v>59</v>
      </c>
      <c r="I1773" s="4" t="str">
        <f t="shared" si="411"/>
        <v>='C:\Users\jaime.benazar\Quorum Business Solutions\Ecopetrol Prometeo - Documents\Planning Space Implementation\3. Analysis &amp; Design\Design\FC22\DRR Jaime\QUIFA-CAJÚA\Cajua\[VAS_CAJUA_CF_SEC_20230125.xlsx]CF PND'!$BU$59</v>
      </c>
      <c r="J1773" s="4" t="s">
        <v>966</v>
      </c>
    </row>
    <row r="1774" spans="1:10" x14ac:dyDescent="0.2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Jaime\QUIFA-CAJÚA\Cajua\[VAS_CAJUA_CF_SEC_20230125.xlsx]CF PND'!</v>
      </c>
      <c r="G1774" s="7" t="s">
        <v>39</v>
      </c>
      <c r="H1774" s="4">
        <f t="shared" si="410"/>
        <v>60</v>
      </c>
      <c r="I1774" s="4" t="str">
        <f t="shared" si="411"/>
        <v>='C:\Users\jaime.benazar\Quorum Business Solutions\Ecopetrol Prometeo - Documents\Planning Space Implementation\3. Analysis &amp; Design\Design\FC22\DRR Jaime\QUIFA-CAJÚA\Cajua\[VAS_CAJUA_CF_SEC_20230125.xlsx]CF PND'!$BU$60</v>
      </c>
      <c r="J1774" s="4" t="s">
        <v>967</v>
      </c>
    </row>
    <row r="1775" spans="1:10" x14ac:dyDescent="0.2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Jaime\QUIFA-CAJÚA\Cajua\[VAS_CAJUA_CF_SEC_20230125.xlsx]CF PND'!</v>
      </c>
      <c r="G1775" s="7" t="s">
        <v>39</v>
      </c>
      <c r="H1775" s="4">
        <f t="shared" si="410"/>
        <v>61</v>
      </c>
      <c r="I1775" s="4" t="str">
        <f t="shared" si="411"/>
        <v>='C:\Users\jaime.benazar\Quorum Business Solutions\Ecopetrol Prometeo - Documents\Planning Space Implementation\3. Analysis &amp; Design\Design\FC22\DRR Jaime\QUIFA-CAJÚA\Cajua\[VAS_CAJUA_CF_SEC_20230125.xlsx]CF PND'!$BU$61</v>
      </c>
      <c r="J1775" s="4" t="s">
        <v>968</v>
      </c>
    </row>
    <row r="1776" spans="1:10" x14ac:dyDescent="0.2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Jaime\QUIFA-CAJÚA\Cajua\[VAS_CAJUA_CF_SEC_20230125.xlsx]CF PND'!</v>
      </c>
      <c r="G1776" s="7" t="s">
        <v>39</v>
      </c>
      <c r="H1776" s="4">
        <f t="shared" si="410"/>
        <v>62</v>
      </c>
      <c r="I1776" s="4" t="str">
        <f t="shared" si="411"/>
        <v>='C:\Users\jaime.benazar\Quorum Business Solutions\Ecopetrol Prometeo - Documents\Planning Space Implementation\3. Analysis &amp; Design\Design\FC22\DRR Jaime\QUIFA-CAJÚA\Cajua\[VAS_CAJUA_CF_SEC_20230125.xlsx]CF PND'!$BU$62</v>
      </c>
      <c r="J1776" s="4" t="s">
        <v>969</v>
      </c>
    </row>
    <row r="1777" spans="1:10" x14ac:dyDescent="0.2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Jaime\QUIFA-CAJÚA\Cajua\[VAS_CAJUA_CF_SEC_20230125.xlsx]CF PND'!</v>
      </c>
      <c r="G1777" s="7" t="s">
        <v>39</v>
      </c>
      <c r="H1777" s="4">
        <f t="shared" si="410"/>
        <v>63</v>
      </c>
      <c r="I1777" s="4" t="str">
        <f t="shared" si="411"/>
        <v>='C:\Users\jaime.benazar\Quorum Business Solutions\Ecopetrol Prometeo - Documents\Planning Space Implementation\3. Analysis &amp; Design\Design\FC22\DRR Jaime\QUIFA-CAJÚA\Cajua\[VAS_CAJUA_CF_SEC_20230125.xlsx]CF PND'!$BU$63</v>
      </c>
      <c r="J1777" s="4" t="s">
        <v>970</v>
      </c>
    </row>
    <row r="1778" spans="1:10" x14ac:dyDescent="0.2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Jaime\QUIFA-CAJÚA\Cajua\[VAS_CAJUA_CF_SEC_20230125.xlsx]CF PND'!</v>
      </c>
      <c r="G1778" s="7" t="s">
        <v>39</v>
      </c>
      <c r="H1778" s="4">
        <f t="shared" si="410"/>
        <v>64</v>
      </c>
      <c r="I1778" s="4" t="str">
        <f t="shared" si="411"/>
        <v>='C:\Users\jaime.benazar\Quorum Business Solutions\Ecopetrol Prometeo - Documents\Planning Space Implementation\3. Analysis &amp; Design\Design\FC22\DRR Jaime\QUIFA-CAJÚA\Cajua\[VAS_CAJUA_CF_SEC_20230125.xlsx]CF PND'!$BU$64</v>
      </c>
      <c r="J1778" s="4" t="s">
        <v>971</v>
      </c>
    </row>
    <row r="1779" spans="1:10" x14ac:dyDescent="0.2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Jaime\QUIFA-CAJÚA\Cajua\[VAS_CAJUA_CF_SEC_20230125.xlsx]CF PND'!</v>
      </c>
      <c r="G1779" s="7" t="s">
        <v>39</v>
      </c>
      <c r="H1779" s="4">
        <f t="shared" si="410"/>
        <v>65</v>
      </c>
      <c r="I1779" s="4" t="str">
        <f t="shared" si="411"/>
        <v>='C:\Users\jaime.benazar\Quorum Business Solutions\Ecopetrol Prometeo - Documents\Planning Space Implementation\3. Analysis &amp; Design\Design\FC22\DRR Jaime\QUIFA-CAJÚA\Cajua\[VAS_CAJUA_CF_SEC_20230125.xlsx]CF PND'!$BU$65</v>
      </c>
      <c r="J1779" s="4" t="s">
        <v>972</v>
      </c>
    </row>
    <row r="1780" spans="1:10" x14ac:dyDescent="0.2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Jaime\QUIFA-CAJÚA\Cajua\[VAS_CAJUA_CF_SEC_20230125.xlsx]CF PND'!</v>
      </c>
      <c r="G1780" s="7" t="s">
        <v>39</v>
      </c>
      <c r="H1780" s="4">
        <f t="shared" si="410"/>
        <v>66</v>
      </c>
      <c r="I1780" s="4" t="str">
        <f t="shared" si="411"/>
        <v>='C:\Users\jaime.benazar\Quorum Business Solutions\Ecopetrol Prometeo - Documents\Planning Space Implementation\3. Analysis &amp; Design\Design\FC22\DRR Jaime\QUIFA-CAJÚA\Cajua\[VAS_CAJUA_CF_SEC_20230125.xlsx]CF PND'!$BU$66</v>
      </c>
      <c r="J1780" s="4" t="s">
        <v>973</v>
      </c>
    </row>
    <row r="1781" spans="1:10" x14ac:dyDescent="0.2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Jaime\QUIFA-CAJÚA\Cajua\[VAS_CAJUA_CF_SEC_20230125.xlsx]CF PND'!</v>
      </c>
      <c r="G1781" s="7" t="s">
        <v>39</v>
      </c>
      <c r="H1781" s="4">
        <f t="shared" si="410"/>
        <v>67</v>
      </c>
      <c r="I1781" s="4" t="str">
        <f t="shared" si="411"/>
        <v>='C:\Users\jaime.benazar\Quorum Business Solutions\Ecopetrol Prometeo - Documents\Planning Space Implementation\3. Analysis &amp; Design\Design\FC22\DRR Jaime\QUIFA-CAJÚA\Cajua\[VAS_CAJUA_CF_SEC_20230125.xlsx]CF PND'!$BU$67</v>
      </c>
      <c r="J1781" s="4" t="s">
        <v>974</v>
      </c>
    </row>
    <row r="1782" spans="1:10" x14ac:dyDescent="0.2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Jaime\QUIFA-CAJÚA\Cajua\[VAS_CAJUA_CF_SEC_20230125.xlsx]CF PND'!</v>
      </c>
      <c r="G1782" s="7" t="s">
        <v>39</v>
      </c>
      <c r="H1782" s="4">
        <f t="shared" si="410"/>
        <v>68</v>
      </c>
      <c r="I1782" s="4" t="str">
        <f t="shared" si="411"/>
        <v>='C:\Users\jaime.benazar\Quorum Business Solutions\Ecopetrol Prometeo - Documents\Planning Space Implementation\3. Analysis &amp; Design\Design\FC22\DRR Jaime\QUIFA-CAJÚA\Cajua\[VAS_CAJUA_CF_SEC_20230125.xlsx]CF PND'!$BU$68</v>
      </c>
      <c r="J1782" s="4" t="s">
        <v>975</v>
      </c>
    </row>
    <row r="1783" spans="1:10" x14ac:dyDescent="0.2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Jaime\QUIFA-CAJÚA\Cajua\[VAS_CAJUA_CF_SEC_20230125.xlsx]CF PND'!</v>
      </c>
      <c r="G1783" s="7" t="s">
        <v>39</v>
      </c>
      <c r="H1783" s="4">
        <f t="shared" si="410"/>
        <v>69</v>
      </c>
      <c r="I1783" s="4" t="str">
        <f t="shared" si="411"/>
        <v>='C:\Users\jaime.benazar\Quorum Business Solutions\Ecopetrol Prometeo - Documents\Planning Space Implementation\3. Analysis &amp; Design\Design\FC22\DRR Jaime\QUIFA-CAJÚA\Cajua\[VAS_CAJUA_CF_SEC_20230125.xlsx]CF PND'!$BU$69</v>
      </c>
      <c r="J1783" s="4" t="s">
        <v>976</v>
      </c>
    </row>
    <row r="1784" spans="1:10" x14ac:dyDescent="0.2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Jaime\QUIFA-CAJÚA\Cajua\[VAS_CAJUA_CF_SEC_20230125.xlsx]CF PND'!</v>
      </c>
      <c r="G1784" s="7" t="s">
        <v>39</v>
      </c>
      <c r="H1784" s="4">
        <f t="shared" si="410"/>
        <v>70</v>
      </c>
      <c r="I1784" s="4" t="str">
        <f t="shared" si="411"/>
        <v>='C:\Users\jaime.benazar\Quorum Business Solutions\Ecopetrol Prometeo - Documents\Planning Space Implementation\3. Analysis &amp; Design\Design\FC22\DRR Jaime\QUIFA-CAJÚA\Cajua\[VAS_CAJUA_CF_SEC_20230125.xlsx]CF PND'!$BU$70</v>
      </c>
      <c r="J1784" s="4" t="s">
        <v>977</v>
      </c>
    </row>
    <row r="1785" spans="1:10" x14ac:dyDescent="0.2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Jaime\QUIFA-CAJÚA\Cajua\[VAS_CAJUA_CF_SEC_20230125.xlsx]CF PND'!</v>
      </c>
      <c r="G1785" s="7" t="s">
        <v>39</v>
      </c>
      <c r="H1785" s="4">
        <f t="shared" si="410"/>
        <v>71</v>
      </c>
      <c r="I1785" s="4" t="str">
        <f t="shared" si="411"/>
        <v>='C:\Users\jaime.benazar\Quorum Business Solutions\Ecopetrol Prometeo - Documents\Planning Space Implementation\3. Analysis &amp; Design\Design\FC22\DRR Jaime\QUIFA-CAJÚA\Cajua\[VAS_CAJUA_CF_SEC_20230125.xlsx]CF PND'!$BU$71</v>
      </c>
      <c r="J1785" s="4" t="s">
        <v>978</v>
      </c>
    </row>
    <row r="1786" spans="1:10" x14ac:dyDescent="0.2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Jaime\QUIFA-CAJÚA\Cajua\[VAS_CAJUA_CF_SEC_20230125.xlsx]CF PND'!</v>
      </c>
      <c r="G1786" s="7" t="s">
        <v>39</v>
      </c>
      <c r="H1786" s="4">
        <f t="shared" si="410"/>
        <v>72</v>
      </c>
      <c r="I1786" s="4" t="str">
        <f t="shared" si="411"/>
        <v>='C:\Users\jaime.benazar\Quorum Business Solutions\Ecopetrol Prometeo - Documents\Planning Space Implementation\3. Analysis &amp; Design\Design\FC22\DRR Jaime\QUIFA-CAJÚA\Cajua\[VAS_CAJUA_CF_SEC_20230125.xlsx]CF PND'!$BU$72</v>
      </c>
      <c r="J1786" s="4" t="s">
        <v>979</v>
      </c>
    </row>
    <row r="1787" spans="1:10" x14ac:dyDescent="0.25">
      <c r="A1787" s="7" t="s">
        <v>28</v>
      </c>
      <c r="B1787" s="7"/>
      <c r="C1787" s="4" t="s">
        <v>17</v>
      </c>
      <c r="D1787" s="5"/>
      <c r="E1787" s="10"/>
      <c r="F1787" s="5"/>
      <c r="G1787" s="7"/>
      <c r="H1787" s="4"/>
      <c r="I1787" s="4"/>
      <c r="J1787" s="4"/>
    </row>
    <row r="1788" spans="1:10" x14ac:dyDescent="0.2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Jaime\QUIFA-CAJÚA\Cajua\[VAS_CAJUA_CF_SEC_20230125.xlsx]CF PRBDP'!</v>
      </c>
      <c r="G1788" s="7" t="s">
        <v>39</v>
      </c>
      <c r="H1788" s="4"/>
      <c r="I1788" s="4"/>
      <c r="J1788" s="4"/>
    </row>
    <row r="1789" spans="1:10" x14ac:dyDescent="0.2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Jaime\QUIFA-CAJÚA\Cajua\[VAS_CAJUA_CF_SEC_20230125.xlsx]CF PRBDP'!</v>
      </c>
      <c r="G1789" s="7" t="s">
        <v>39</v>
      </c>
      <c r="H1789" s="4"/>
      <c r="I1789" s="4"/>
      <c r="J1789" s="4"/>
    </row>
    <row r="1790" spans="1:10" x14ac:dyDescent="0.2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Jaime\QUIFA-CAJÚA\Cajua\[VAS_CAJUA_CF_SEC_20230125.xlsx]CF PRBDP'!</v>
      </c>
      <c r="G1790" s="7" t="s">
        <v>39</v>
      </c>
      <c r="H1790" s="4"/>
      <c r="I1790" s="4"/>
      <c r="J1790" s="4"/>
    </row>
    <row r="1791" spans="1:10" x14ac:dyDescent="0.2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Jaime\QUIFA-CAJÚA\Cajua\[VAS_CAJUA_CF_SEC_20230125.xlsx]CF PRBDP'!</v>
      </c>
      <c r="G1791" s="7" t="s">
        <v>39</v>
      </c>
      <c r="H1791" s="4"/>
      <c r="I1791" s="4"/>
      <c r="J1791" s="4"/>
    </row>
    <row r="1792" spans="1:10" x14ac:dyDescent="0.2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Jaime\QUIFA-CAJÚA\Cajua\[VAS_CAJUA_CF_SEC_20230125.xlsx]CF PRBDP'!</v>
      </c>
      <c r="G1792" s="7" t="s">
        <v>39</v>
      </c>
      <c r="H1792" s="4"/>
      <c r="I1792" s="4"/>
      <c r="J1792" s="4"/>
    </row>
    <row r="1793" spans="1:10" x14ac:dyDescent="0.2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Jaime\QUIFA-CAJÚA\Cajua\[VAS_CAJUA_CF_SEC_20230125.xlsx]CF PRBDP'!</v>
      </c>
      <c r="G1793" s="7" t="s">
        <v>39</v>
      </c>
      <c r="H1793" s="4"/>
      <c r="I1793" s="4"/>
      <c r="J1793" s="4"/>
    </row>
    <row r="1794" spans="1:10" x14ac:dyDescent="0.2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Jaime\QUIFA-CAJÚA\Cajua\[VAS_CAJUA_CF_SEC_20230125.xlsx]CF PRBDP'!</v>
      </c>
      <c r="G1794" s="7" t="s">
        <v>39</v>
      </c>
      <c r="H1794" s="4"/>
      <c r="I1794" s="4"/>
      <c r="J1794" s="4"/>
    </row>
    <row r="1795" spans="1:10" x14ac:dyDescent="0.2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Jaime\QUIFA-CAJÚA\Cajua\[VAS_CAJUA_CF_SEC_20230125.xlsx]CF PRBDP'!</v>
      </c>
      <c r="G1795" s="7" t="s">
        <v>39</v>
      </c>
      <c r="H1795" s="4"/>
      <c r="I1795" s="4"/>
      <c r="J1795" s="4"/>
    </row>
    <row r="1796" spans="1:10" x14ac:dyDescent="0.2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Jaime\QUIFA-CAJÚA\Cajua\[VAS_CAJUA_CF_SEC_20230125.xlsx]CF PRBDP'!</v>
      </c>
      <c r="G1796" s="7" t="s">
        <v>39</v>
      </c>
      <c r="H1796" s="4"/>
      <c r="I1796" s="4"/>
      <c r="J1796" s="4"/>
    </row>
    <row r="1797" spans="1:10" x14ac:dyDescent="0.2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Jaime\QUIFA-CAJÚA\Cajua\[VAS_CAJUA_CF_SEC_20230125.xlsx]CF PRBDP'!</v>
      </c>
      <c r="G1797" s="7" t="s">
        <v>39</v>
      </c>
      <c r="H1797" s="4"/>
      <c r="I1797" s="4"/>
      <c r="J1797" s="4"/>
    </row>
    <row r="1798" spans="1:10" x14ac:dyDescent="0.2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Jaime\QUIFA-CAJÚA\Cajua\[VAS_CAJUA_CF_SEC_20230125.xlsx]CF PRBDP'!</v>
      </c>
      <c r="G1798" s="7" t="s">
        <v>39</v>
      </c>
      <c r="H1798" s="4"/>
      <c r="I1798" s="4"/>
      <c r="J1798" s="4"/>
    </row>
    <row r="1799" spans="1:10" x14ac:dyDescent="0.2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Jaime\QUIFA-CAJÚA\Cajua\[VAS_CAJUA_CF_SEC_20230125.xlsx]CF PRBDP'!</v>
      </c>
      <c r="G1799" s="7" t="s">
        <v>39</v>
      </c>
      <c r="H1799" s="4"/>
      <c r="I1799" s="4"/>
      <c r="J1799" s="4"/>
    </row>
    <row r="1800" spans="1:10" x14ac:dyDescent="0.2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Jaime\QUIFA-CAJÚA\Cajua\[VAS_CAJUA_CF_SEC_20230125.xlsx]CF PRBDP'!</v>
      </c>
      <c r="G1800" s="7" t="s">
        <v>39</v>
      </c>
      <c r="H1800" s="4"/>
      <c r="I1800" s="4"/>
      <c r="J1800" s="4"/>
    </row>
    <row r="1801" spans="1:10" x14ac:dyDescent="0.2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Jaime\QUIFA-CAJÚA\Cajua\[VAS_CAJUA_CF_SEC_20230125.xlsx]CF PRBDP'!</v>
      </c>
      <c r="G1801" s="7" t="s">
        <v>39</v>
      </c>
      <c r="H1801" s="4"/>
      <c r="I1801" s="4"/>
      <c r="J1801" s="4"/>
    </row>
    <row r="1802" spans="1:10" x14ac:dyDescent="0.2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Jaime\QUIFA-CAJÚA\Cajua\[VAS_CAJUA_CF_SEC_20230125.xlsx]CF PRBDP'!</v>
      </c>
      <c r="G1802" s="7" t="s">
        <v>39</v>
      </c>
      <c r="H1802" s="4"/>
      <c r="I1802" s="4"/>
      <c r="J1802" s="4"/>
    </row>
    <row r="1803" spans="1:10" x14ac:dyDescent="0.2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Jaime\QUIFA-CAJÚA\Cajua\[VAS_CAJUA_CF_SEC_20230125.xlsx]CF PRBDP'!</v>
      </c>
      <c r="G1803" s="7" t="s">
        <v>39</v>
      </c>
      <c r="H1803" s="4"/>
      <c r="I1803" s="4"/>
      <c r="J1803" s="4"/>
    </row>
    <row r="1804" spans="1:10" x14ac:dyDescent="0.2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Jaime\QUIFA-CAJÚA\Cajua\[VAS_CAJUA_CF_SEC_20230125.xlsx]CF PRBDP'!</v>
      </c>
      <c r="G1804" s="7" t="s">
        <v>39</v>
      </c>
      <c r="H1804" s="4"/>
      <c r="I1804" s="4"/>
      <c r="J1804" s="4"/>
    </row>
    <row r="1805" spans="1:10" x14ac:dyDescent="0.2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Jaime\QUIFA-CAJÚA\Cajua\[VAS_CAJUA_CF_SEC_20230125.xlsx]CF PRBDP'!</v>
      </c>
      <c r="G1805" s="7" t="s">
        <v>39</v>
      </c>
      <c r="H1805" s="4"/>
      <c r="I1805" s="4"/>
      <c r="J1805" s="4"/>
    </row>
    <row r="1806" spans="1:10" x14ac:dyDescent="0.2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Jaime\QUIFA-CAJÚA\Cajua\[VAS_CAJUA_CF_SEC_20230125.xlsx]CF PRBDP'!</v>
      </c>
      <c r="G1806" s="7" t="s">
        <v>39</v>
      </c>
      <c r="H1806" s="4"/>
      <c r="I1806" s="4"/>
      <c r="J1806" s="4"/>
    </row>
    <row r="1807" spans="1:10" x14ac:dyDescent="0.2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Jaime\QUIFA-CAJÚA\Cajua\[VAS_CAJUA_CF_SEC_20230125.xlsx]CF PRBDP'!</v>
      </c>
      <c r="G1807" s="7" t="s">
        <v>39</v>
      </c>
      <c r="H1807" s="4"/>
      <c r="I1807" s="4"/>
      <c r="J1807" s="4"/>
    </row>
    <row r="1808" spans="1:10" x14ac:dyDescent="0.2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Jaime\QUIFA-CAJÚA\Cajua\[VAS_CAJUA_CF_SEC_20230125.xlsx]CF PRBDP'!</v>
      </c>
      <c r="G1808" s="7" t="s">
        <v>39</v>
      </c>
      <c r="H1808" s="4"/>
      <c r="I1808" s="4"/>
      <c r="J1808" s="4"/>
    </row>
    <row r="1809" spans="1:10" x14ac:dyDescent="0.2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Jaime\QUIFA-CAJÚA\Cajua\[VAS_CAJUA_CF_SEC_20230125.xlsx]CF PRBDP'!</v>
      </c>
      <c r="G1809" s="7" t="s">
        <v>39</v>
      </c>
      <c r="H1809" s="4"/>
      <c r="I1809" s="4"/>
      <c r="J1809" s="4"/>
    </row>
    <row r="1810" spans="1:10" x14ac:dyDescent="0.2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Jaime\QUIFA-CAJÚA\Cajua\[VAS_CAJUA_CF_SEC_20230125.xlsx]CF PRBDP'!</v>
      </c>
      <c r="G1810" s="7" t="s">
        <v>39</v>
      </c>
      <c r="H1810" s="4"/>
      <c r="I1810" s="4"/>
      <c r="J1810" s="4"/>
    </row>
    <row r="1811" spans="1:10" x14ac:dyDescent="0.2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Jaime\QUIFA-CAJÚA\Cajua\[VAS_CAJUA_CF_SEC_20230125.xlsx]CF PRBDP'!</v>
      </c>
      <c r="G1811" s="7" t="s">
        <v>39</v>
      </c>
      <c r="H1811" s="4"/>
      <c r="I1811" s="4"/>
      <c r="J1811" s="4"/>
    </row>
    <row r="1812" spans="1:10" x14ac:dyDescent="0.2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Jaime\QUIFA-CAJÚA\Cajua\[VAS_CAJUA_CF_SEC_20230125.xlsx]CF PRBDP'!</v>
      </c>
      <c r="G1812" s="7" t="s">
        <v>39</v>
      </c>
      <c r="H1812" s="4"/>
      <c r="I1812" s="4"/>
      <c r="J1812" s="4"/>
    </row>
    <row r="1813" spans="1:10" x14ac:dyDescent="0.2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Jaime\QUIFA-CAJÚA\Cajua\[VAS_CAJUA_CF_SEC_20230125.xlsx]CF PRBDP'!</v>
      </c>
      <c r="G1813" s="7" t="s">
        <v>39</v>
      </c>
      <c r="H1813" s="4"/>
      <c r="I1813" s="4"/>
      <c r="J1813" s="4"/>
    </row>
    <row r="1814" spans="1:10" x14ac:dyDescent="0.2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Jaime\QUIFA-CAJÚA\Cajua\[VAS_CAJUA_CF_SEC_20230125.xlsx]CF PRBDP'!</v>
      </c>
      <c r="G1814" s="7" t="s">
        <v>39</v>
      </c>
      <c r="H1814" s="4"/>
      <c r="I1814" s="4"/>
      <c r="J1814" s="4"/>
    </row>
    <row r="1815" spans="1:10" x14ac:dyDescent="0.2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Jaime\QUIFA-CAJÚA\Cajua\[VAS_CAJUA_CF_SEC_20230125.xlsx]CF PRBDP'!</v>
      </c>
      <c r="G1815" s="7" t="s">
        <v>39</v>
      </c>
      <c r="H1815" s="4"/>
      <c r="I1815" s="4"/>
      <c r="J1815" s="4"/>
    </row>
    <row r="1816" spans="1:10" x14ac:dyDescent="0.2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Jaime\QUIFA-CAJÚA\Cajua\[VAS_CAJUA_CF_SEC_20230125.xlsx]CF PRBDP'!</v>
      </c>
      <c r="G1816" s="7" t="s">
        <v>39</v>
      </c>
      <c r="H1816" s="4"/>
      <c r="I1816" s="4"/>
      <c r="J1816" s="4"/>
    </row>
    <row r="1817" spans="1:10" x14ac:dyDescent="0.2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Jaime\QUIFA-CAJÚA\Cajua\[VAS_CAJUA_CF_SEC_20230125.xlsx]CF PRBDP'!</v>
      </c>
      <c r="G1817" s="7" t="s">
        <v>39</v>
      </c>
      <c r="H1817" s="4"/>
      <c r="I1817" s="4"/>
      <c r="J1817" s="4"/>
    </row>
    <row r="1818" spans="1:10" x14ac:dyDescent="0.2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Jaime\QUIFA-CAJÚA\Cajua\[VAS_CAJUA_CF_SEC_20230125.xlsx]CF PRBDP'!</v>
      </c>
      <c r="G1818" s="7" t="s">
        <v>39</v>
      </c>
      <c r="H1818" s="4"/>
      <c r="I1818" s="4"/>
      <c r="J1818" s="4"/>
    </row>
    <row r="1819" spans="1:10" x14ac:dyDescent="0.2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Jaime\QUIFA-CAJÚA\Cajua\[VAS_CAJUA_CF_SEC_20230125.xlsx]CF PRBDP'!</v>
      </c>
      <c r="G1819" s="7" t="s">
        <v>39</v>
      </c>
      <c r="H1819" s="4"/>
      <c r="I1819" s="4"/>
      <c r="J1819" s="4"/>
    </row>
    <row r="1820" spans="1:10" x14ac:dyDescent="0.2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Jaime\QUIFA-CAJÚA\Cajua\[VAS_CAJUA_CF_SEC_20230125.xlsx]CF PRBDP'!</v>
      </c>
      <c r="G1820" s="7" t="s">
        <v>39</v>
      </c>
      <c r="H1820" s="4"/>
      <c r="I1820" s="4"/>
      <c r="J1820" s="4"/>
    </row>
    <row r="1821" spans="1:10" x14ac:dyDescent="0.2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Jaime\QUIFA-CAJÚA\Cajua\[VAS_CAJUA_CF_SEC_20230125.xlsx]CF PRBDP'!</v>
      </c>
      <c r="G1821" s="7" t="s">
        <v>39</v>
      </c>
      <c r="H1821" s="4"/>
      <c r="I1821" s="4"/>
      <c r="J1821" s="4"/>
    </row>
    <row r="1822" spans="1:10" x14ac:dyDescent="0.2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Jaime\QUIFA-CAJÚA\Cajua\[VAS_CAJUA_CF_SEC_20230125.xlsx]CF PRBDP'!</v>
      </c>
      <c r="G1822" s="7" t="s">
        <v>39</v>
      </c>
      <c r="H1822" s="4"/>
      <c r="I1822" s="4"/>
      <c r="J1822" s="4"/>
    </row>
    <row r="1823" spans="1:10" x14ac:dyDescent="0.2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Jaime\QUIFA-CAJÚA\Cajua\[VAS_CAJUA_CF_SEC_20230125.xlsx]CF PRBDP'!</v>
      </c>
      <c r="G1823" s="7" t="s">
        <v>39</v>
      </c>
      <c r="H1823" s="4"/>
      <c r="I1823" s="4"/>
      <c r="J1823" s="4"/>
    </row>
    <row r="1824" spans="1:10" x14ac:dyDescent="0.2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Jaime\QUIFA-CAJÚA\Cajua\[VAS_CAJUA_CF_SEC_20230125.xlsx]CF PRBDP'!</v>
      </c>
      <c r="G1824" s="7" t="s">
        <v>39</v>
      </c>
      <c r="H1824" s="4"/>
      <c r="I1824" s="4"/>
      <c r="J1824" s="4"/>
    </row>
    <row r="1825" spans="1:10" x14ac:dyDescent="0.25">
      <c r="A1825" s="7" t="s">
        <v>28</v>
      </c>
      <c r="B1825" s="7"/>
      <c r="C1825" s="4" t="s">
        <v>17</v>
      </c>
      <c r="D1825" s="5"/>
      <c r="E1825" s="10"/>
      <c r="F1825" s="5"/>
      <c r="G1825" s="7"/>
      <c r="H1825" s="4"/>
      <c r="I1825" s="4"/>
      <c r="J1825" s="4"/>
    </row>
    <row r="1826" spans="1:10" x14ac:dyDescent="0.2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Jaime\QUIFA-CAJÚA\Cajua\[VAS_CAJUA_CF_SEC_20230125.xlsx]CF PRBNP'!</v>
      </c>
      <c r="G1826" s="7" t="s">
        <v>39</v>
      </c>
      <c r="H1826" s="4"/>
      <c r="I1826" s="4"/>
      <c r="J1826" s="4"/>
    </row>
    <row r="1827" spans="1:10" x14ac:dyDescent="0.2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Jaime\QUIFA-CAJÚA\Cajua\[VAS_CAJUA_CF_SEC_20230125.xlsx]CF PRBNP'!</v>
      </c>
      <c r="G1827" s="7" t="s">
        <v>39</v>
      </c>
      <c r="H1827" s="4"/>
      <c r="I1827" s="4"/>
      <c r="J1827" s="4"/>
    </row>
    <row r="1828" spans="1:10" x14ac:dyDescent="0.2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Jaime\QUIFA-CAJÚA\Cajua\[VAS_CAJUA_CF_SEC_20230125.xlsx]CF PRBNP'!</v>
      </c>
      <c r="G1828" s="7" t="s">
        <v>39</v>
      </c>
      <c r="H1828" s="4"/>
      <c r="I1828" s="4"/>
      <c r="J1828" s="4"/>
    </row>
    <row r="1829" spans="1:10" x14ac:dyDescent="0.2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Jaime\QUIFA-CAJÚA\Cajua\[VAS_CAJUA_CF_SEC_20230125.xlsx]CF PRBNP'!</v>
      </c>
      <c r="G1829" s="7" t="s">
        <v>39</v>
      </c>
      <c r="H1829" s="4"/>
      <c r="I1829" s="4"/>
      <c r="J1829" s="4"/>
    </row>
    <row r="1830" spans="1:10" x14ac:dyDescent="0.2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Jaime\QUIFA-CAJÚA\Cajua\[VAS_CAJUA_CF_SEC_20230125.xlsx]CF PRBNP'!</v>
      </c>
      <c r="G1830" s="7" t="s">
        <v>39</v>
      </c>
      <c r="H1830" s="4"/>
      <c r="I1830" s="4"/>
      <c r="J1830" s="4"/>
    </row>
    <row r="1831" spans="1:10" x14ac:dyDescent="0.2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Jaime\QUIFA-CAJÚA\Cajua\[VAS_CAJUA_CF_SEC_20230125.xlsx]CF PRBNP'!</v>
      </c>
      <c r="G1831" s="7" t="s">
        <v>39</v>
      </c>
      <c r="H1831" s="4"/>
      <c r="I1831" s="4"/>
      <c r="J1831" s="4"/>
    </row>
    <row r="1832" spans="1:10" x14ac:dyDescent="0.2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Jaime\QUIFA-CAJÚA\Cajua\[VAS_CAJUA_CF_SEC_20230125.xlsx]CF PRBNP'!</v>
      </c>
      <c r="G1832" s="7" t="s">
        <v>39</v>
      </c>
      <c r="H1832" s="4"/>
      <c r="I1832" s="4"/>
      <c r="J1832" s="4"/>
    </row>
    <row r="1833" spans="1:10" x14ac:dyDescent="0.2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Jaime\QUIFA-CAJÚA\Cajua\[VAS_CAJUA_CF_SEC_20230125.xlsx]CF PRBNP'!</v>
      </c>
      <c r="G1833" s="7" t="s">
        <v>39</v>
      </c>
      <c r="H1833" s="4"/>
      <c r="I1833" s="4"/>
      <c r="J1833" s="4"/>
    </row>
    <row r="1834" spans="1:10" x14ac:dyDescent="0.2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Jaime\QUIFA-CAJÚA\Cajua\[VAS_CAJUA_CF_SEC_20230125.xlsx]CF PRBNP'!</v>
      </c>
      <c r="G1834" s="7" t="s">
        <v>39</v>
      </c>
      <c r="H1834" s="4"/>
      <c r="I1834" s="4"/>
      <c r="J1834" s="4"/>
    </row>
    <row r="1835" spans="1:10" x14ac:dyDescent="0.2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Jaime\QUIFA-CAJÚA\Cajua\[VAS_CAJUA_CF_SEC_20230125.xlsx]CF PRBNP'!</v>
      </c>
      <c r="G1835" s="7" t="s">
        <v>39</v>
      </c>
      <c r="H1835" s="4"/>
      <c r="I1835" s="4"/>
      <c r="J1835" s="4"/>
    </row>
    <row r="1836" spans="1:10" x14ac:dyDescent="0.2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Jaime\QUIFA-CAJÚA\Cajua\[VAS_CAJUA_CF_SEC_20230125.xlsx]CF PRBNP'!</v>
      </c>
      <c r="G1836" s="7" t="s">
        <v>39</v>
      </c>
      <c r="H1836" s="4"/>
      <c r="I1836" s="4"/>
      <c r="J1836" s="4"/>
    </row>
    <row r="1837" spans="1:10" x14ac:dyDescent="0.2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Jaime\QUIFA-CAJÚA\Cajua\[VAS_CAJUA_CF_SEC_20230125.xlsx]CF PRBNP'!</v>
      </c>
      <c r="G1837" s="7" t="s">
        <v>39</v>
      </c>
      <c r="H1837" s="4"/>
      <c r="I1837" s="4"/>
      <c r="J1837" s="4"/>
    </row>
    <row r="1838" spans="1:10" x14ac:dyDescent="0.2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Jaime\QUIFA-CAJÚA\Cajua\[VAS_CAJUA_CF_SEC_20230125.xlsx]CF PRBNP'!</v>
      </c>
      <c r="G1838" s="7" t="s">
        <v>39</v>
      </c>
      <c r="H1838" s="4"/>
      <c r="I1838" s="4"/>
      <c r="J1838" s="4"/>
    </row>
    <row r="1839" spans="1:10" x14ac:dyDescent="0.2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Jaime\QUIFA-CAJÚA\Cajua\[VAS_CAJUA_CF_SEC_20230125.xlsx]CF PRBNP'!</v>
      </c>
      <c r="G1839" s="7" t="s">
        <v>39</v>
      </c>
      <c r="H1839" s="4"/>
      <c r="I1839" s="4"/>
      <c r="J1839" s="4"/>
    </row>
    <row r="1840" spans="1:10" x14ac:dyDescent="0.2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Jaime\QUIFA-CAJÚA\Cajua\[VAS_CAJUA_CF_SEC_20230125.xlsx]CF PRBNP'!</v>
      </c>
      <c r="G1840" s="7" t="s">
        <v>39</v>
      </c>
      <c r="H1840" s="4"/>
      <c r="I1840" s="4"/>
      <c r="J1840" s="4"/>
    </row>
    <row r="1841" spans="1:10" x14ac:dyDescent="0.2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Jaime\QUIFA-CAJÚA\Cajua\[VAS_CAJUA_CF_SEC_20230125.xlsx]CF PRBNP'!</v>
      </c>
      <c r="G1841" s="7" t="s">
        <v>39</v>
      </c>
      <c r="H1841" s="4"/>
      <c r="I1841" s="4"/>
      <c r="J1841" s="4"/>
    </row>
    <row r="1842" spans="1:10" x14ac:dyDescent="0.2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Jaime\QUIFA-CAJÚA\Cajua\[VAS_CAJUA_CF_SEC_20230125.xlsx]CF PRBNP'!</v>
      </c>
      <c r="G1842" s="7" t="s">
        <v>39</v>
      </c>
      <c r="H1842" s="4"/>
      <c r="I1842" s="4"/>
      <c r="J1842" s="4"/>
    </row>
    <row r="1843" spans="1:10" x14ac:dyDescent="0.2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Jaime\QUIFA-CAJÚA\Cajua\[VAS_CAJUA_CF_SEC_20230125.xlsx]CF PRBNP'!</v>
      </c>
      <c r="G1843" s="7" t="s">
        <v>39</v>
      </c>
      <c r="H1843" s="4"/>
      <c r="I1843" s="4"/>
      <c r="J1843" s="4"/>
    </row>
    <row r="1844" spans="1:10" x14ac:dyDescent="0.2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Jaime\QUIFA-CAJÚA\Cajua\[VAS_CAJUA_CF_SEC_20230125.xlsx]CF PRBNP'!</v>
      </c>
      <c r="G1844" s="7" t="s">
        <v>39</v>
      </c>
      <c r="H1844" s="4"/>
      <c r="I1844" s="4"/>
      <c r="J1844" s="4"/>
    </row>
    <row r="1845" spans="1:10" x14ac:dyDescent="0.2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Jaime\QUIFA-CAJÚA\Cajua\[VAS_CAJUA_CF_SEC_20230125.xlsx]CF PRBNP'!</v>
      </c>
      <c r="G1845" s="7" t="s">
        <v>39</v>
      </c>
      <c r="H1845" s="4"/>
      <c r="I1845" s="4"/>
      <c r="J1845" s="4"/>
    </row>
    <row r="1846" spans="1:10" x14ac:dyDescent="0.2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Jaime\QUIFA-CAJÚA\Cajua\[VAS_CAJUA_CF_SEC_20230125.xlsx]CF PRBNP'!</v>
      </c>
      <c r="G1846" s="7" t="s">
        <v>39</v>
      </c>
      <c r="H1846" s="4"/>
      <c r="I1846" s="4"/>
      <c r="J1846" s="4"/>
    </row>
    <row r="1847" spans="1:10" x14ac:dyDescent="0.2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Jaime\QUIFA-CAJÚA\Cajua\[VAS_CAJUA_CF_SEC_20230125.xlsx]CF PRBNP'!</v>
      </c>
      <c r="G1847" s="7" t="s">
        <v>39</v>
      </c>
      <c r="H1847" s="4"/>
      <c r="I1847" s="4"/>
      <c r="J1847" s="4"/>
    </row>
    <row r="1848" spans="1:10" x14ac:dyDescent="0.2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Jaime\QUIFA-CAJÚA\Cajua\[VAS_CAJUA_CF_SEC_20230125.xlsx]CF PRBNP'!</v>
      </c>
      <c r="G1848" s="7" t="s">
        <v>39</v>
      </c>
      <c r="H1848" s="4"/>
      <c r="I1848" s="4"/>
      <c r="J1848" s="4"/>
    </row>
    <row r="1849" spans="1:10" x14ac:dyDescent="0.2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Jaime\QUIFA-CAJÚA\Cajua\[VAS_CAJUA_CF_SEC_20230125.xlsx]CF PRBNP'!</v>
      </c>
      <c r="G1849" s="7" t="s">
        <v>39</v>
      </c>
      <c r="H1849" s="4"/>
      <c r="I1849" s="4"/>
      <c r="J1849" s="4"/>
    </row>
    <row r="1850" spans="1:10" x14ac:dyDescent="0.2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Jaime\QUIFA-CAJÚA\Cajua\[VAS_CAJUA_CF_SEC_20230125.xlsx]CF PRBNP'!</v>
      </c>
      <c r="G1850" s="7" t="s">
        <v>39</v>
      </c>
      <c r="H1850" s="4"/>
      <c r="I1850" s="4"/>
      <c r="J1850" s="4"/>
    </row>
    <row r="1851" spans="1:10" x14ac:dyDescent="0.2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Jaime\QUIFA-CAJÚA\Cajua\[VAS_CAJUA_CF_SEC_20230125.xlsx]CF PRBNP'!</v>
      </c>
      <c r="G1851" s="7" t="s">
        <v>39</v>
      </c>
      <c r="H1851" s="4"/>
      <c r="I1851" s="4"/>
      <c r="J1851" s="4"/>
    </row>
    <row r="1852" spans="1:10" x14ac:dyDescent="0.2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Jaime\QUIFA-CAJÚA\Cajua\[VAS_CAJUA_CF_SEC_20230125.xlsx]CF PRBNP'!</v>
      </c>
      <c r="G1852" s="7" t="s">
        <v>39</v>
      </c>
      <c r="H1852" s="4"/>
      <c r="I1852" s="4"/>
      <c r="J1852" s="4"/>
    </row>
    <row r="1853" spans="1:10" x14ac:dyDescent="0.2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Jaime\QUIFA-CAJÚA\Cajua\[VAS_CAJUA_CF_SEC_20230125.xlsx]CF PRBNP'!</v>
      </c>
      <c r="G1853" s="7" t="s">
        <v>39</v>
      </c>
      <c r="H1853" s="4"/>
      <c r="I1853" s="4"/>
      <c r="J1853" s="4"/>
    </row>
    <row r="1854" spans="1:10" x14ac:dyDescent="0.2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Jaime\QUIFA-CAJÚA\Cajua\[VAS_CAJUA_CF_SEC_20230125.xlsx]CF PRBNP'!</v>
      </c>
      <c r="G1854" s="7" t="s">
        <v>39</v>
      </c>
      <c r="H1854" s="4"/>
      <c r="I1854" s="4"/>
      <c r="J1854" s="4"/>
    </row>
    <row r="1855" spans="1:10" x14ac:dyDescent="0.2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Jaime\QUIFA-CAJÚA\Cajua\[VAS_CAJUA_CF_SEC_20230125.xlsx]CF PRBNP'!</v>
      </c>
      <c r="G1855" s="7" t="s">
        <v>39</v>
      </c>
      <c r="H1855" s="4"/>
      <c r="I1855" s="4"/>
      <c r="J1855" s="4"/>
    </row>
    <row r="1856" spans="1:10" x14ac:dyDescent="0.2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Jaime\QUIFA-CAJÚA\Cajua\[VAS_CAJUA_CF_SEC_20230125.xlsx]CF PRBNP'!</v>
      </c>
      <c r="G1856" s="7" t="s">
        <v>39</v>
      </c>
      <c r="H1856" s="4"/>
      <c r="I1856" s="4"/>
      <c r="J1856" s="4"/>
    </row>
    <row r="1857" spans="1:10" x14ac:dyDescent="0.2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Jaime\QUIFA-CAJÚA\Cajua\[VAS_CAJUA_CF_SEC_20230125.xlsx]CF PRBNP'!</v>
      </c>
      <c r="G1857" s="7" t="s">
        <v>39</v>
      </c>
      <c r="H1857" s="4"/>
      <c r="I1857" s="4"/>
      <c r="J1857" s="4"/>
    </row>
    <row r="1858" spans="1:10" x14ac:dyDescent="0.2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Jaime\QUIFA-CAJÚA\Cajua\[VAS_CAJUA_CF_SEC_20230125.xlsx]CF PRBNP'!</v>
      </c>
      <c r="G1858" s="7" t="s">
        <v>39</v>
      </c>
      <c r="H1858" s="4"/>
      <c r="I1858" s="4"/>
      <c r="J1858" s="4"/>
    </row>
    <row r="1859" spans="1:10" x14ac:dyDescent="0.2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Jaime\QUIFA-CAJÚA\Cajua\[VAS_CAJUA_CF_SEC_20230125.xlsx]CF PRBNP'!</v>
      </c>
      <c r="G1859" s="7" t="s">
        <v>39</v>
      </c>
      <c r="H1859" s="4"/>
      <c r="I1859" s="4"/>
      <c r="J1859" s="4"/>
    </row>
    <row r="1860" spans="1:10" x14ac:dyDescent="0.2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Jaime\QUIFA-CAJÚA\Cajua\[VAS_CAJUA_CF_SEC_20230125.xlsx]CF PRBNP'!</v>
      </c>
      <c r="G1860" s="7" t="s">
        <v>39</v>
      </c>
      <c r="H1860" s="4"/>
      <c r="I1860" s="4"/>
      <c r="J1860" s="4"/>
    </row>
    <row r="1861" spans="1:10" x14ac:dyDescent="0.2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Jaime\QUIFA-CAJÚA\Cajua\[VAS_CAJUA_CF_SEC_20230125.xlsx]CF PRBNP'!</v>
      </c>
      <c r="G1861" s="7" t="s">
        <v>39</v>
      </c>
      <c r="H1861" s="4"/>
      <c r="I1861" s="4"/>
      <c r="J1861" s="4"/>
    </row>
    <row r="1862" spans="1:10" x14ac:dyDescent="0.2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Jaime\QUIFA-CAJÚA\Cajua\[VAS_CAJUA_CF_SEC_20230125.xlsx]CF PRBNP'!</v>
      </c>
      <c r="G1862" s="7" t="s">
        <v>39</v>
      </c>
      <c r="H1862" s="4"/>
      <c r="I1862" s="4"/>
      <c r="J1862" s="4"/>
    </row>
    <row r="1863" spans="1:10" x14ac:dyDescent="0.25">
      <c r="A1863" s="7" t="s">
        <v>28</v>
      </c>
      <c r="B1863" s="7"/>
      <c r="C1863" s="4" t="s">
        <v>17</v>
      </c>
      <c r="D1863" s="5"/>
      <c r="E1863" s="10"/>
      <c r="F1863" s="5"/>
      <c r="G1863" s="7"/>
      <c r="H1863" s="4"/>
      <c r="I1863" s="4"/>
      <c r="J1863" s="4"/>
    </row>
    <row r="1864" spans="1:10" x14ac:dyDescent="0.2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Jaime\QUIFA-CAJÚA\Cajua\[VAS_CAJUA_CF_SEC_20230125.xlsx]CF PRBND'!</v>
      </c>
      <c r="G1864" s="7" t="s">
        <v>39</v>
      </c>
      <c r="H1864" s="4"/>
      <c r="I1864" s="4"/>
      <c r="J1864" s="4"/>
    </row>
    <row r="1865" spans="1:10" x14ac:dyDescent="0.2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Jaime\QUIFA-CAJÚA\Cajua\[VAS_CAJUA_CF_SEC_20230125.xlsx]CF PRBND'!</v>
      </c>
      <c r="G1865" s="7" t="s">
        <v>39</v>
      </c>
      <c r="H1865" s="4"/>
      <c r="I1865" s="4"/>
      <c r="J1865" s="4"/>
    </row>
    <row r="1866" spans="1:10" x14ac:dyDescent="0.2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Jaime\QUIFA-CAJÚA\Cajua\[VAS_CAJUA_CF_SEC_20230125.xlsx]CF PRBND'!</v>
      </c>
      <c r="G1866" s="7" t="s">
        <v>39</v>
      </c>
      <c r="H1866" s="4"/>
      <c r="I1866" s="4"/>
      <c r="J1866" s="4"/>
    </row>
    <row r="1867" spans="1:10" x14ac:dyDescent="0.2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Jaime\QUIFA-CAJÚA\Cajua\[VAS_CAJUA_CF_SEC_20230125.xlsx]CF PRBND'!</v>
      </c>
      <c r="G1867" s="7" t="s">
        <v>39</v>
      </c>
      <c r="H1867" s="4"/>
      <c r="I1867" s="4"/>
      <c r="J1867" s="4"/>
    </row>
    <row r="1868" spans="1:10" x14ac:dyDescent="0.2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Jaime\QUIFA-CAJÚA\Cajua\[VAS_CAJUA_CF_SEC_20230125.xlsx]CF PRBND'!</v>
      </c>
      <c r="G1868" s="7" t="s">
        <v>39</v>
      </c>
      <c r="H1868" s="4"/>
      <c r="I1868" s="4"/>
      <c r="J1868" s="4"/>
    </row>
    <row r="1869" spans="1:10" x14ac:dyDescent="0.2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Jaime\QUIFA-CAJÚA\Cajua\[VAS_CAJUA_CF_SEC_20230125.xlsx]CF PRBND'!</v>
      </c>
      <c r="G1869" s="7" t="s">
        <v>39</v>
      </c>
      <c r="H1869" s="4"/>
      <c r="I1869" s="4"/>
      <c r="J1869" s="4"/>
    </row>
    <row r="1870" spans="1:10" x14ac:dyDescent="0.2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Jaime\QUIFA-CAJÚA\Cajua\[VAS_CAJUA_CF_SEC_20230125.xlsx]CF PRBND'!</v>
      </c>
      <c r="G1870" s="7" t="s">
        <v>39</v>
      </c>
      <c r="H1870" s="4"/>
      <c r="I1870" s="4"/>
      <c r="J1870" s="4"/>
    </row>
    <row r="1871" spans="1:10" x14ac:dyDescent="0.2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Jaime\QUIFA-CAJÚA\Cajua\[VAS_CAJUA_CF_SEC_20230125.xlsx]CF PRBND'!</v>
      </c>
      <c r="G1871" s="7" t="s">
        <v>39</v>
      </c>
      <c r="H1871" s="4"/>
      <c r="I1871" s="4"/>
      <c r="J1871" s="4"/>
    </row>
    <row r="1872" spans="1:10" x14ac:dyDescent="0.2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Jaime\QUIFA-CAJÚA\Cajua\[VAS_CAJUA_CF_SEC_20230125.xlsx]CF PRBND'!</v>
      </c>
      <c r="G1872" s="7" t="s">
        <v>39</v>
      </c>
      <c r="H1872" s="4"/>
      <c r="I1872" s="4"/>
      <c r="J1872" s="4"/>
    </row>
    <row r="1873" spans="1:10" x14ac:dyDescent="0.2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Jaime\QUIFA-CAJÚA\Cajua\[VAS_CAJUA_CF_SEC_20230125.xlsx]CF PRBND'!</v>
      </c>
      <c r="G1873" s="7" t="s">
        <v>39</v>
      </c>
      <c r="H1873" s="4"/>
      <c r="I1873" s="4"/>
      <c r="J1873" s="4"/>
    </row>
    <row r="1874" spans="1:10" x14ac:dyDescent="0.2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Jaime\QUIFA-CAJÚA\Cajua\[VAS_CAJUA_CF_SEC_20230125.xlsx]CF PRBND'!</v>
      </c>
      <c r="G1874" s="7" t="s">
        <v>39</v>
      </c>
      <c r="H1874" s="4"/>
      <c r="I1874" s="4"/>
      <c r="J1874" s="4"/>
    </row>
    <row r="1875" spans="1:10" x14ac:dyDescent="0.2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Jaime\QUIFA-CAJÚA\Cajua\[VAS_CAJUA_CF_SEC_20230125.xlsx]CF PRBND'!</v>
      </c>
      <c r="G1875" s="7" t="s">
        <v>39</v>
      </c>
      <c r="H1875" s="4"/>
      <c r="I1875" s="4"/>
      <c r="J1875" s="4"/>
    </row>
    <row r="1876" spans="1:10" x14ac:dyDescent="0.2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Jaime\QUIFA-CAJÚA\Cajua\[VAS_CAJUA_CF_SEC_20230125.xlsx]CF PRBND'!</v>
      </c>
      <c r="G1876" s="7" t="s">
        <v>39</v>
      </c>
      <c r="H1876" s="4"/>
      <c r="I1876" s="4"/>
      <c r="J1876" s="4"/>
    </row>
    <row r="1877" spans="1:10" x14ac:dyDescent="0.2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Jaime\QUIFA-CAJÚA\Cajua\[VAS_CAJUA_CF_SEC_20230125.xlsx]CF PRBND'!</v>
      </c>
      <c r="G1877" s="7" t="s">
        <v>39</v>
      </c>
      <c r="H1877" s="4"/>
      <c r="I1877" s="4"/>
      <c r="J1877" s="4"/>
    </row>
    <row r="1878" spans="1:10" x14ac:dyDescent="0.2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Jaime\QUIFA-CAJÚA\Cajua\[VAS_CAJUA_CF_SEC_20230125.xlsx]CF PRBND'!</v>
      </c>
      <c r="G1878" s="7" t="s">
        <v>39</v>
      </c>
      <c r="H1878" s="4"/>
      <c r="I1878" s="4"/>
      <c r="J1878" s="4"/>
    </row>
    <row r="1879" spans="1:10" x14ac:dyDescent="0.2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Jaime\QUIFA-CAJÚA\Cajua\[VAS_CAJUA_CF_SEC_20230125.xlsx]CF PRBND'!</v>
      </c>
      <c r="G1879" s="7" t="s">
        <v>39</v>
      </c>
      <c r="H1879" s="4"/>
      <c r="I1879" s="4"/>
      <c r="J1879" s="4"/>
    </row>
    <row r="1880" spans="1:10" x14ac:dyDescent="0.2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Jaime\QUIFA-CAJÚA\Cajua\[VAS_CAJUA_CF_SEC_20230125.xlsx]CF PRBND'!</v>
      </c>
      <c r="G1880" s="7" t="s">
        <v>39</v>
      </c>
      <c r="H1880" s="4"/>
      <c r="I1880" s="4"/>
      <c r="J1880" s="4"/>
    </row>
    <row r="1881" spans="1:10" x14ac:dyDescent="0.2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Jaime\QUIFA-CAJÚA\Cajua\[VAS_CAJUA_CF_SEC_20230125.xlsx]CF PRBND'!</v>
      </c>
      <c r="G1881" s="7" t="s">
        <v>39</v>
      </c>
      <c r="H1881" s="4"/>
      <c r="I1881" s="4"/>
      <c r="J1881" s="4"/>
    </row>
    <row r="1882" spans="1:10" x14ac:dyDescent="0.2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Jaime\QUIFA-CAJÚA\Cajua\[VAS_CAJUA_CF_SEC_20230125.xlsx]CF PRBND'!</v>
      </c>
      <c r="G1882" s="7" t="s">
        <v>39</v>
      </c>
      <c r="H1882" s="4"/>
      <c r="I1882" s="4"/>
      <c r="J1882" s="4"/>
    </row>
    <row r="1883" spans="1:10" x14ac:dyDescent="0.2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Jaime\QUIFA-CAJÚA\Cajua\[VAS_CAJUA_CF_SEC_20230125.xlsx]CF PRBND'!</v>
      </c>
      <c r="G1883" s="7" t="s">
        <v>39</v>
      </c>
      <c r="H1883" s="4"/>
      <c r="I1883" s="4"/>
      <c r="J1883" s="4"/>
    </row>
    <row r="1884" spans="1:10" x14ac:dyDescent="0.2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Jaime\QUIFA-CAJÚA\Cajua\[VAS_CAJUA_CF_SEC_20230125.xlsx]CF PRBND'!</v>
      </c>
      <c r="G1884" s="7" t="s">
        <v>39</v>
      </c>
      <c r="H1884" s="4"/>
      <c r="I1884" s="4"/>
      <c r="J1884" s="4"/>
    </row>
    <row r="1885" spans="1:10" x14ac:dyDescent="0.2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Jaime\QUIFA-CAJÚA\Cajua\[VAS_CAJUA_CF_SEC_20230125.xlsx]CF PRBND'!</v>
      </c>
      <c r="G1885" s="7" t="s">
        <v>39</v>
      </c>
      <c r="H1885" s="4"/>
      <c r="I1885" s="4"/>
      <c r="J1885" s="4"/>
    </row>
    <row r="1886" spans="1:10" x14ac:dyDescent="0.2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Jaime\QUIFA-CAJÚA\Cajua\[VAS_CAJUA_CF_SEC_20230125.xlsx]CF PRBND'!</v>
      </c>
      <c r="G1886" s="7" t="s">
        <v>39</v>
      </c>
      <c r="H1886" s="4"/>
      <c r="I1886" s="4"/>
      <c r="J1886" s="4"/>
    </row>
    <row r="1887" spans="1:10" x14ac:dyDescent="0.2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Jaime\QUIFA-CAJÚA\Cajua\[VAS_CAJUA_CF_SEC_20230125.xlsx]CF PRBND'!</v>
      </c>
      <c r="G1887" s="7" t="s">
        <v>39</v>
      </c>
      <c r="H1887" s="4"/>
      <c r="I1887" s="4"/>
      <c r="J1887" s="4"/>
    </row>
    <row r="1888" spans="1:10" x14ac:dyDescent="0.2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Jaime\QUIFA-CAJÚA\Cajua\[VAS_CAJUA_CF_SEC_20230125.xlsx]CF PRBND'!</v>
      </c>
      <c r="G1888" s="7" t="s">
        <v>39</v>
      </c>
      <c r="H1888" s="4"/>
      <c r="I1888" s="4"/>
      <c r="J1888" s="4"/>
    </row>
    <row r="1889" spans="1:10" x14ac:dyDescent="0.2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Jaime\QUIFA-CAJÚA\Cajua\[VAS_CAJUA_CF_SEC_20230125.xlsx]CF PRBND'!</v>
      </c>
      <c r="G1889" s="7" t="s">
        <v>39</v>
      </c>
      <c r="H1889" s="4"/>
      <c r="I1889" s="4"/>
      <c r="J1889" s="4"/>
    </row>
    <row r="1890" spans="1:10" x14ac:dyDescent="0.2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Jaime\QUIFA-CAJÚA\Cajua\[VAS_CAJUA_CF_SEC_20230125.xlsx]CF PRBND'!</v>
      </c>
      <c r="G1890" s="7" t="s">
        <v>39</v>
      </c>
      <c r="H1890" s="4"/>
      <c r="I1890" s="4"/>
      <c r="J1890" s="4"/>
    </row>
    <row r="1891" spans="1:10" x14ac:dyDescent="0.2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Jaime\QUIFA-CAJÚA\Cajua\[VAS_CAJUA_CF_SEC_20230125.xlsx]CF PRBND'!</v>
      </c>
      <c r="G1891" s="7" t="s">
        <v>39</v>
      </c>
      <c r="H1891" s="4"/>
      <c r="I1891" s="4"/>
      <c r="J1891" s="4"/>
    </row>
    <row r="1892" spans="1:10" x14ac:dyDescent="0.2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Jaime\QUIFA-CAJÚA\Cajua\[VAS_CAJUA_CF_SEC_20230125.xlsx]CF PRBND'!</v>
      </c>
      <c r="G1892" s="7" t="s">
        <v>39</v>
      </c>
      <c r="H1892" s="4"/>
      <c r="I1892" s="4"/>
      <c r="J1892" s="4"/>
    </row>
    <row r="1893" spans="1:10" x14ac:dyDescent="0.2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Jaime\QUIFA-CAJÚA\Cajua\[VAS_CAJUA_CF_SEC_20230125.xlsx]CF PRBND'!</v>
      </c>
      <c r="G1893" s="7" t="s">
        <v>39</v>
      </c>
      <c r="H1893" s="4"/>
      <c r="I1893" s="4"/>
      <c r="J1893" s="4"/>
    </row>
    <row r="1894" spans="1:10" x14ac:dyDescent="0.2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Jaime\QUIFA-CAJÚA\Cajua\[VAS_CAJUA_CF_SEC_20230125.xlsx]CF PRBND'!</v>
      </c>
      <c r="G1894" s="7" t="s">
        <v>39</v>
      </c>
      <c r="H1894" s="4"/>
      <c r="I1894" s="4"/>
      <c r="J1894" s="4"/>
    </row>
    <row r="1895" spans="1:10" x14ac:dyDescent="0.2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Jaime\QUIFA-CAJÚA\Cajua\[VAS_CAJUA_CF_SEC_20230125.xlsx]CF PRBND'!</v>
      </c>
      <c r="G1895" s="7" t="s">
        <v>39</v>
      </c>
      <c r="H1895" s="4"/>
      <c r="I1895" s="4"/>
      <c r="J1895" s="4"/>
    </row>
    <row r="1896" spans="1:10" x14ac:dyDescent="0.2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Jaime\QUIFA-CAJÚA\Cajua\[VAS_CAJUA_CF_SEC_20230125.xlsx]CF PRBND'!</v>
      </c>
      <c r="G1896" s="7" t="s">
        <v>39</v>
      </c>
      <c r="H1896" s="4"/>
      <c r="I1896" s="4"/>
      <c r="J1896" s="4"/>
    </row>
    <row r="1897" spans="1:10" x14ac:dyDescent="0.2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Jaime\QUIFA-CAJÚA\Cajua\[VAS_CAJUA_CF_SEC_20230125.xlsx]CF PRBND'!</v>
      </c>
      <c r="G1897" s="7" t="s">
        <v>39</v>
      </c>
      <c r="H1897" s="4"/>
      <c r="I1897" s="4"/>
      <c r="J1897" s="4"/>
    </row>
    <row r="1898" spans="1:10" x14ac:dyDescent="0.2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Jaime\QUIFA-CAJÚA\Cajua\[VAS_CAJUA_CF_SEC_20230125.xlsx]CF PRBND'!</v>
      </c>
      <c r="G1898" s="7" t="s">
        <v>39</v>
      </c>
      <c r="H1898" s="4"/>
      <c r="I1898" s="4"/>
      <c r="J1898" s="4"/>
    </row>
    <row r="1899" spans="1:10" x14ac:dyDescent="0.2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Jaime\QUIFA-CAJÚA\Cajua\[VAS_CAJUA_CF_SEC_20230125.xlsx]CF PRBND'!</v>
      </c>
      <c r="G1899" s="7" t="s">
        <v>39</v>
      </c>
      <c r="H1899" s="4"/>
      <c r="I1899" s="4"/>
      <c r="J1899" s="4"/>
    </row>
    <row r="1900" spans="1:10" x14ac:dyDescent="0.2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Jaime\QUIFA-CAJÚA\Cajua\[VAS_CAJUA_CF_SEC_20230125.xlsx]CF PRBND'!</v>
      </c>
      <c r="G1900" s="7" t="s">
        <v>39</v>
      </c>
      <c r="H1900" s="4"/>
      <c r="I1900" s="4"/>
      <c r="J1900" s="4"/>
    </row>
    <row r="1901" spans="1:10" x14ac:dyDescent="0.25">
      <c r="A1901" s="7" t="s">
        <v>28</v>
      </c>
      <c r="B1901" s="7"/>
      <c r="C1901" s="4" t="s">
        <v>17</v>
      </c>
      <c r="D1901" s="5"/>
      <c r="E1901" s="10"/>
      <c r="F1901" s="5"/>
      <c r="G1901" s="7"/>
      <c r="H1901" s="4"/>
      <c r="I1901" s="4"/>
      <c r="J1901" s="4"/>
    </row>
    <row r="1902" spans="1:10" x14ac:dyDescent="0.2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Jaime\QUIFA-CAJÚA\Cajua\[VAS_CAJUA_CF_SEC_20230125.xlsx]CF PRB'!</v>
      </c>
      <c r="G1902" s="7" t="s">
        <v>39</v>
      </c>
      <c r="H1902" s="4">
        <f>IF(A1902&lt;&gt;A1772,36,H1772+1)</f>
        <v>36</v>
      </c>
      <c r="I1902" s="4" t="str">
        <f t="shared" si="406"/>
        <v>='C:\Users\jaime.benazar\Quorum Business Solutions\Ecopetrol Prometeo - Documents\Planning Space Implementation\3. Analysis &amp; Design\Design\FC22\DRR Jaime\QUIFA-CAJÚA\Cajua\[VAS_CAJUA_CF_SEC_20230125.xlsx]CF PRB'!$BU$36</v>
      </c>
      <c r="J1902" s="4" t="s">
        <v>980</v>
      </c>
    </row>
    <row r="1903" spans="1:10" x14ac:dyDescent="0.2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Jaime\QUIFA-CAJÚA\Cajua\[VAS_CAJUA_CF_SEC_20230125.xlsx]CF PRB'!</v>
      </c>
      <c r="G1903" s="7" t="s">
        <v>39</v>
      </c>
      <c r="H1903" s="4">
        <f t="shared" si="407"/>
        <v>37</v>
      </c>
      <c r="I1903" s="4" t="str">
        <f t="shared" si="406"/>
        <v>='C:\Users\jaime.benazar\Quorum Business Solutions\Ecopetrol Prometeo - Documents\Planning Space Implementation\3. Analysis &amp; Design\Design\FC22\DRR Jaime\QUIFA-CAJÚA\Cajua\[VAS_CAJUA_CF_SEC_20230125.xlsx]CF PRB'!$BU$37</v>
      </c>
      <c r="J1903" s="4" t="s">
        <v>981</v>
      </c>
    </row>
    <row r="1904" spans="1:10" x14ac:dyDescent="0.2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Jaime\QUIFA-CAJÚA\Cajua\[VAS_CAJUA_CF_SEC_20230125.xlsx]CF PRB'!</v>
      </c>
      <c r="G1904" s="7" t="s">
        <v>39</v>
      </c>
      <c r="H1904" s="4">
        <f t="shared" si="407"/>
        <v>38</v>
      </c>
      <c r="I1904" s="4" t="str">
        <f t="shared" si="406"/>
        <v>='C:\Users\jaime.benazar\Quorum Business Solutions\Ecopetrol Prometeo - Documents\Planning Space Implementation\3. Analysis &amp; Design\Design\FC22\DRR Jaime\QUIFA-CAJÚA\Cajua\[VAS_CAJUA_CF_SEC_20230125.xlsx]CF PRB'!$BU$38</v>
      </c>
      <c r="J1904" s="4" t="s">
        <v>982</v>
      </c>
    </row>
    <row r="1905" spans="1:10" x14ac:dyDescent="0.2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Jaime\QUIFA-CAJÚA\Cajua\[VAS_CAJUA_CF_SEC_20230125.xlsx]CF PRB'!</v>
      </c>
      <c r="G1905" s="7" t="s">
        <v>39</v>
      </c>
      <c r="H1905" s="4">
        <f t="shared" si="407"/>
        <v>39</v>
      </c>
      <c r="I1905" s="4" t="str">
        <f t="shared" si="406"/>
        <v>='C:\Users\jaime.benazar\Quorum Business Solutions\Ecopetrol Prometeo - Documents\Planning Space Implementation\3. Analysis &amp; Design\Design\FC22\DRR Jaime\QUIFA-CAJÚA\Cajua\[VAS_CAJUA_CF_SEC_20230125.xlsx]CF PRB'!$BU$39</v>
      </c>
      <c r="J1905" s="4" t="s">
        <v>983</v>
      </c>
    </row>
    <row r="1906" spans="1:10" x14ac:dyDescent="0.2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Jaime\QUIFA-CAJÚA\Cajua\[VAS_CAJUA_CF_SEC_20230125.xlsx]CF PRB'!</v>
      </c>
      <c r="G1906" s="7" t="s">
        <v>39</v>
      </c>
      <c r="H1906" s="4">
        <f t="shared" si="407"/>
        <v>40</v>
      </c>
      <c r="I1906" s="4" t="str">
        <f t="shared" si="406"/>
        <v>='C:\Users\jaime.benazar\Quorum Business Solutions\Ecopetrol Prometeo - Documents\Planning Space Implementation\3. Analysis &amp; Design\Design\FC22\DRR Jaime\QUIFA-CAJÚA\Cajua\[VAS_CAJUA_CF_SEC_20230125.xlsx]CF PRB'!$BU$40</v>
      </c>
      <c r="J1906" s="4" t="s">
        <v>984</v>
      </c>
    </row>
    <row r="1907" spans="1:10" x14ac:dyDescent="0.2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Jaime\QUIFA-CAJÚA\Cajua\[VAS_CAJUA_CF_SEC_20230125.xlsx]CF PRB'!</v>
      </c>
      <c r="G1907" s="7" t="s">
        <v>39</v>
      </c>
      <c r="H1907" s="4">
        <f t="shared" si="407"/>
        <v>41</v>
      </c>
      <c r="I1907" s="4" t="str">
        <f t="shared" si="406"/>
        <v>='C:\Users\jaime.benazar\Quorum Business Solutions\Ecopetrol Prometeo - Documents\Planning Space Implementation\3. Analysis &amp; Design\Design\FC22\DRR Jaime\QUIFA-CAJÚA\Cajua\[VAS_CAJUA_CF_SEC_20230125.xlsx]CF PRB'!$BU$41</v>
      </c>
      <c r="J1907" s="4" t="s">
        <v>985</v>
      </c>
    </row>
    <row r="1908" spans="1:10" x14ac:dyDescent="0.2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Jaime\QUIFA-CAJÚA\Cajua\[VAS_CAJUA_CF_SEC_20230125.xlsx]CF PRB'!</v>
      </c>
      <c r="G1908" s="7" t="s">
        <v>39</v>
      </c>
      <c r="H1908" s="4">
        <f t="shared" si="407"/>
        <v>42</v>
      </c>
      <c r="I1908" s="4" t="str">
        <f t="shared" si="406"/>
        <v>='C:\Users\jaime.benazar\Quorum Business Solutions\Ecopetrol Prometeo - Documents\Planning Space Implementation\3. Analysis &amp; Design\Design\FC22\DRR Jaime\QUIFA-CAJÚA\Cajua\[VAS_CAJUA_CF_SEC_20230125.xlsx]CF PRB'!$BU$42</v>
      </c>
      <c r="J1908" s="4" t="s">
        <v>986</v>
      </c>
    </row>
    <row r="1909" spans="1:10" x14ac:dyDescent="0.2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Jaime\QUIFA-CAJÚA\Cajua\[VAS_CAJUA_CF_SEC_20230125.xlsx]CF PRB'!</v>
      </c>
      <c r="G1909" s="7" t="s">
        <v>39</v>
      </c>
      <c r="H1909" s="4">
        <f t="shared" si="407"/>
        <v>43</v>
      </c>
      <c r="I1909" s="4" t="str">
        <f t="shared" si="406"/>
        <v>='C:\Users\jaime.benazar\Quorum Business Solutions\Ecopetrol Prometeo - Documents\Planning Space Implementation\3. Analysis &amp; Design\Design\FC22\DRR Jaime\QUIFA-CAJÚA\Cajua\[VAS_CAJUA_CF_SEC_20230125.xlsx]CF PRB'!$BU$43</v>
      </c>
      <c r="J1909" s="4" t="s">
        <v>987</v>
      </c>
    </row>
    <row r="1910" spans="1:10" x14ac:dyDescent="0.2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Jaime\QUIFA-CAJÚA\Cajua\[VAS_CAJUA_CF_SEC_20230125.xlsx]CF PRB'!</v>
      </c>
      <c r="G1910" s="7" t="s">
        <v>39</v>
      </c>
      <c r="H1910" s="4">
        <f t="shared" si="407"/>
        <v>44</v>
      </c>
      <c r="I1910" s="4" t="str">
        <f t="shared" si="406"/>
        <v>='C:\Users\jaime.benazar\Quorum Business Solutions\Ecopetrol Prometeo - Documents\Planning Space Implementation\3. Analysis &amp; Design\Design\FC22\DRR Jaime\QUIFA-CAJÚA\Cajua\[VAS_CAJUA_CF_SEC_20230125.xlsx]CF PRB'!$BU$44</v>
      </c>
      <c r="J1910" s="4" t="s">
        <v>988</v>
      </c>
    </row>
    <row r="1911" spans="1:10" x14ac:dyDescent="0.2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Jaime\QUIFA-CAJÚA\Cajua\[VAS_CAJUA_CF_SEC_20230125.xlsx]CF PRB'!</v>
      </c>
      <c r="G1911" s="7" t="s">
        <v>39</v>
      </c>
      <c r="H1911" s="4">
        <f t="shared" si="407"/>
        <v>45</v>
      </c>
      <c r="I1911" s="4" t="str">
        <f t="shared" si="406"/>
        <v>='C:\Users\jaime.benazar\Quorum Business Solutions\Ecopetrol Prometeo - Documents\Planning Space Implementation\3. Analysis &amp; Design\Design\FC22\DRR Jaime\QUIFA-CAJÚA\Cajua\[VAS_CAJUA_CF_SEC_20230125.xlsx]CF PRB'!$BU$45</v>
      </c>
      <c r="J1911" s="4" t="s">
        <v>989</v>
      </c>
    </row>
    <row r="1912" spans="1:10" x14ac:dyDescent="0.2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Jaime\QUIFA-CAJÚA\Cajua\[VAS_CAJUA_CF_SEC_20230125.xlsx]CF PRB'!</v>
      </c>
      <c r="G1912" s="7" t="s">
        <v>39</v>
      </c>
      <c r="H1912" s="4">
        <f t="shared" si="407"/>
        <v>46</v>
      </c>
      <c r="I1912" s="4" t="str">
        <f t="shared" si="406"/>
        <v>='C:\Users\jaime.benazar\Quorum Business Solutions\Ecopetrol Prometeo - Documents\Planning Space Implementation\3. Analysis &amp; Design\Design\FC22\DRR Jaime\QUIFA-CAJÚA\Cajua\[VAS_CAJUA_CF_SEC_20230125.xlsx]CF PRB'!$BU$46</v>
      </c>
      <c r="J1912" s="4" t="s">
        <v>990</v>
      </c>
    </row>
    <row r="1913" spans="1:10" x14ac:dyDescent="0.2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Jaime\QUIFA-CAJÚA\Cajua\[VAS_CAJUA_CF_SEC_20230125.xlsx]CF PRB'!</v>
      </c>
      <c r="G1913" s="7" t="s">
        <v>39</v>
      </c>
      <c r="H1913" s="4">
        <f t="shared" si="407"/>
        <v>47</v>
      </c>
      <c r="I1913" s="4" t="str">
        <f t="shared" si="406"/>
        <v>='C:\Users\jaime.benazar\Quorum Business Solutions\Ecopetrol Prometeo - Documents\Planning Space Implementation\3. Analysis &amp; Design\Design\FC22\DRR Jaime\QUIFA-CAJÚA\Cajua\[VAS_CAJUA_CF_SEC_20230125.xlsx]CF PRB'!$BU$47</v>
      </c>
      <c r="J1913" s="4" t="s">
        <v>991</v>
      </c>
    </row>
    <row r="1914" spans="1:10" x14ac:dyDescent="0.2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Jaime\QUIFA-CAJÚA\Cajua\[VAS_CAJUA_CF_SEC_20230125.xlsx]CF PRB'!</v>
      </c>
      <c r="G1914" s="7" t="s">
        <v>39</v>
      </c>
      <c r="H1914" s="4">
        <f t="shared" si="407"/>
        <v>48</v>
      </c>
      <c r="I1914" s="4" t="str">
        <f t="shared" si="406"/>
        <v>='C:\Users\jaime.benazar\Quorum Business Solutions\Ecopetrol Prometeo - Documents\Planning Space Implementation\3. Analysis &amp; Design\Design\FC22\DRR Jaime\QUIFA-CAJÚA\Cajua\[VAS_CAJUA_CF_SEC_20230125.xlsx]CF PRB'!$BU$48</v>
      </c>
      <c r="J1914" s="4" t="s">
        <v>992</v>
      </c>
    </row>
    <row r="1915" spans="1:10" x14ac:dyDescent="0.2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Jaime\QUIFA-CAJÚA\Cajua\[VAS_CAJUA_CF_SEC_20230125.xlsx]CF PRB'!</v>
      </c>
      <c r="G1915" s="7" t="s">
        <v>39</v>
      </c>
      <c r="H1915" s="4">
        <f t="shared" si="407"/>
        <v>49</v>
      </c>
      <c r="I1915" s="4" t="str">
        <f t="shared" si="406"/>
        <v>='C:\Users\jaime.benazar\Quorum Business Solutions\Ecopetrol Prometeo - Documents\Planning Space Implementation\3. Analysis &amp; Design\Design\FC22\DRR Jaime\QUIFA-CAJÚA\Cajua\[VAS_CAJUA_CF_SEC_20230125.xlsx]CF PRB'!$BU$49</v>
      </c>
      <c r="J1915" s="4" t="s">
        <v>993</v>
      </c>
    </row>
    <row r="1916" spans="1:10" x14ac:dyDescent="0.2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Jaime\QUIFA-CAJÚA\Cajua\[VAS_CAJUA_CF_SEC_20230125.xlsx]CF PRB'!</v>
      </c>
      <c r="G1916" s="7" t="s">
        <v>39</v>
      </c>
      <c r="H1916" s="4">
        <f t="shared" si="407"/>
        <v>50</v>
      </c>
      <c r="I1916" s="4" t="str">
        <f t="shared" si="406"/>
        <v>='C:\Users\jaime.benazar\Quorum Business Solutions\Ecopetrol Prometeo - Documents\Planning Space Implementation\3. Analysis &amp; Design\Design\FC22\DRR Jaime\QUIFA-CAJÚA\Cajua\[VAS_CAJUA_CF_SEC_20230125.xlsx]CF PRB'!$BU$50</v>
      </c>
      <c r="J1916" s="4" t="s">
        <v>994</v>
      </c>
    </row>
    <row r="1917" spans="1:10" x14ac:dyDescent="0.2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Jaime\QUIFA-CAJÚA\Cajua\[VAS_CAJUA_CF_SEC_20230125.xlsx]CF PRB'!</v>
      </c>
      <c r="G1917" s="7" t="s">
        <v>39</v>
      </c>
      <c r="H1917" s="4">
        <f t="shared" si="407"/>
        <v>51</v>
      </c>
      <c r="I1917" s="4" t="str">
        <f t="shared" si="406"/>
        <v>='C:\Users\jaime.benazar\Quorum Business Solutions\Ecopetrol Prometeo - Documents\Planning Space Implementation\3. Analysis &amp; Design\Design\FC22\DRR Jaime\QUIFA-CAJÚA\Cajua\[VAS_CAJUA_CF_SEC_20230125.xlsx]CF PRB'!$BU$51</v>
      </c>
      <c r="J1917" s="4" t="s">
        <v>995</v>
      </c>
    </row>
    <row r="1918" spans="1:10" x14ac:dyDescent="0.2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Jaime\QUIFA-CAJÚA\Cajua\[VAS_CAJUA_CF_SEC_20230125.xlsx]CF PRB'!</v>
      </c>
      <c r="G1918" s="7" t="s">
        <v>39</v>
      </c>
      <c r="H1918" s="4">
        <f t="shared" si="407"/>
        <v>52</v>
      </c>
      <c r="I1918" s="4" t="str">
        <f t="shared" si="406"/>
        <v>='C:\Users\jaime.benazar\Quorum Business Solutions\Ecopetrol Prometeo - Documents\Planning Space Implementation\3. Analysis &amp; Design\Design\FC22\DRR Jaime\QUIFA-CAJÚA\Cajua\[VAS_CAJUA_CF_SEC_20230125.xlsx]CF PRB'!$BU$52</v>
      </c>
      <c r="J1918" s="4" t="s">
        <v>996</v>
      </c>
    </row>
    <row r="1919" spans="1:10" x14ac:dyDescent="0.2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Jaime\QUIFA-CAJÚA\Cajua\[VAS_CAJUA_CF_SEC_20230125.xlsx]CF PRB'!</v>
      </c>
      <c r="G1919" s="7" t="s">
        <v>39</v>
      </c>
      <c r="H1919" s="4">
        <f t="shared" si="407"/>
        <v>53</v>
      </c>
      <c r="I1919" s="4" t="str">
        <f t="shared" si="406"/>
        <v>='C:\Users\jaime.benazar\Quorum Business Solutions\Ecopetrol Prometeo - Documents\Planning Space Implementation\3. Analysis &amp; Design\Design\FC22\DRR Jaime\QUIFA-CAJÚA\Cajua\[VAS_CAJUA_CF_SEC_20230125.xlsx]CF PRB'!$BU$53</v>
      </c>
      <c r="J1919" s="4" t="s">
        <v>997</v>
      </c>
    </row>
    <row r="1920" spans="1:10" x14ac:dyDescent="0.2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Jaime\QUIFA-CAJÚA\Cajua\[VAS_CAJUA_CF_SEC_20230125.xlsx]CF PRB'!</v>
      </c>
      <c r="G1920" s="7" t="s">
        <v>39</v>
      </c>
      <c r="H1920" s="4">
        <f t="shared" si="407"/>
        <v>54</v>
      </c>
      <c r="I1920" s="4" t="str">
        <f t="shared" si="406"/>
        <v>='C:\Users\jaime.benazar\Quorum Business Solutions\Ecopetrol Prometeo - Documents\Planning Space Implementation\3. Analysis &amp; Design\Design\FC22\DRR Jaime\QUIFA-CAJÚA\Cajua\[VAS_CAJUA_CF_SEC_20230125.xlsx]CF PRB'!$BU$54</v>
      </c>
      <c r="J1920" s="4" t="s">
        <v>998</v>
      </c>
    </row>
    <row r="1921" spans="1:10" x14ac:dyDescent="0.2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Jaime\QUIFA-CAJÚA\Cajua\[VAS_CAJUA_CF_SEC_20230125.xlsx]CF PRB'!</v>
      </c>
      <c r="G1921" s="7" t="s">
        <v>39</v>
      </c>
      <c r="H1921" s="4">
        <f t="shared" si="407"/>
        <v>55</v>
      </c>
      <c r="I1921" s="4" t="str">
        <f t="shared" si="406"/>
        <v>='C:\Users\jaime.benazar\Quorum Business Solutions\Ecopetrol Prometeo - Documents\Planning Space Implementation\3. Analysis &amp; Design\Design\FC22\DRR Jaime\QUIFA-CAJÚA\Cajua\[VAS_CAJUA_CF_SEC_20230125.xlsx]CF PRB'!$BU$55</v>
      </c>
      <c r="J1921" s="4" t="s">
        <v>999</v>
      </c>
    </row>
    <row r="1922" spans="1:10" x14ac:dyDescent="0.2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Jaime\QUIFA-CAJÚA\Cajua\[VAS_CAJUA_CF_SEC_20230125.xlsx]CF PRB'!</v>
      </c>
      <c r="G1922" s="7" t="s">
        <v>39</v>
      </c>
      <c r="H1922" s="4">
        <f t="shared" si="407"/>
        <v>56</v>
      </c>
      <c r="I1922" s="4" t="str">
        <f t="shared" si="406"/>
        <v>='C:\Users\jaime.benazar\Quorum Business Solutions\Ecopetrol Prometeo - Documents\Planning Space Implementation\3. Analysis &amp; Design\Design\FC22\DRR Jaime\QUIFA-CAJÚA\Cajua\[VAS_CAJUA_CF_SEC_20230125.xlsx]CF PRB'!$BU$56</v>
      </c>
      <c r="J1922" s="4" t="s">
        <v>1000</v>
      </c>
    </row>
    <row r="1923" spans="1:10" x14ac:dyDescent="0.2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Jaime\QUIFA-CAJÚA\Cajua\[VAS_CAJUA_CF_SEC_20230125.xlsx]CF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Jaime\QUIFA-CAJÚA\Cajua\[VAS_CAJUA_CF_SEC_20230125.xlsx]CF PRB'!$BU$57</v>
      </c>
      <c r="J1923" s="4" t="s">
        <v>1001</v>
      </c>
    </row>
    <row r="1924" spans="1:10" x14ac:dyDescent="0.2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Jaime\QUIFA-CAJÚA\Cajua\[VAS_CAJUA_CF_SEC_20230125.xlsx]CF PRB'!</v>
      </c>
      <c r="G1924" s="7" t="s">
        <v>39</v>
      </c>
      <c r="H1924" s="4">
        <f t="shared" si="443"/>
        <v>58</v>
      </c>
      <c r="I1924" s="4" t="str">
        <f t="shared" si="444"/>
        <v>='C:\Users\jaime.benazar\Quorum Business Solutions\Ecopetrol Prometeo - Documents\Planning Space Implementation\3. Analysis &amp; Design\Design\FC22\DRR Jaime\QUIFA-CAJÚA\Cajua\[VAS_CAJUA_CF_SEC_20230125.xlsx]CF PRB'!$BU$58</v>
      </c>
      <c r="J1924" s="4" t="s">
        <v>1002</v>
      </c>
    </row>
    <row r="1925" spans="1:10" x14ac:dyDescent="0.2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Jaime\QUIFA-CAJÚA\Cajua\[VAS_CAJUA_CF_SEC_20230125.xlsx]CF PRB'!</v>
      </c>
      <c r="G1925" s="7" t="s">
        <v>39</v>
      </c>
      <c r="H1925" s="4">
        <f t="shared" si="443"/>
        <v>59</v>
      </c>
      <c r="I1925" s="4" t="str">
        <f t="shared" si="444"/>
        <v>='C:\Users\jaime.benazar\Quorum Business Solutions\Ecopetrol Prometeo - Documents\Planning Space Implementation\3. Analysis &amp; Design\Design\FC22\DRR Jaime\QUIFA-CAJÚA\Cajua\[VAS_CAJUA_CF_SEC_20230125.xlsx]CF PRB'!$BU$59</v>
      </c>
      <c r="J1925" s="4" t="s">
        <v>1003</v>
      </c>
    </row>
    <row r="1926" spans="1:10" x14ac:dyDescent="0.2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Jaime\QUIFA-CAJÚA\Cajua\[VAS_CAJUA_CF_SEC_20230125.xlsx]CF PRB'!</v>
      </c>
      <c r="G1926" s="7" t="s">
        <v>39</v>
      </c>
      <c r="H1926" s="4">
        <f t="shared" si="443"/>
        <v>60</v>
      </c>
      <c r="I1926" s="4" t="str">
        <f t="shared" si="444"/>
        <v>='C:\Users\jaime.benazar\Quorum Business Solutions\Ecopetrol Prometeo - Documents\Planning Space Implementation\3. Analysis &amp; Design\Design\FC22\DRR Jaime\QUIFA-CAJÚA\Cajua\[VAS_CAJUA_CF_SEC_20230125.xlsx]CF PRB'!$BU$60</v>
      </c>
      <c r="J1926" s="4" t="s">
        <v>1004</v>
      </c>
    </row>
    <row r="1927" spans="1:10" x14ac:dyDescent="0.2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Jaime\QUIFA-CAJÚA\Cajua\[VAS_CAJUA_CF_SEC_20230125.xlsx]CF PRB'!</v>
      </c>
      <c r="G1927" s="7" t="s">
        <v>39</v>
      </c>
      <c r="H1927" s="4">
        <f t="shared" si="443"/>
        <v>61</v>
      </c>
      <c r="I1927" s="4" t="str">
        <f t="shared" si="444"/>
        <v>='C:\Users\jaime.benazar\Quorum Business Solutions\Ecopetrol Prometeo - Documents\Planning Space Implementation\3. Analysis &amp; Design\Design\FC22\DRR Jaime\QUIFA-CAJÚA\Cajua\[VAS_CAJUA_CF_SEC_20230125.xlsx]CF PRB'!$BU$61</v>
      </c>
      <c r="J1927" s="4" t="s">
        <v>1005</v>
      </c>
    </row>
    <row r="1928" spans="1:10" x14ac:dyDescent="0.2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Jaime\QUIFA-CAJÚA\Cajua\[VAS_CAJUA_CF_SEC_20230125.xlsx]CF PRB'!</v>
      </c>
      <c r="G1928" s="7" t="s">
        <v>39</v>
      </c>
      <c r="H1928" s="4">
        <f t="shared" si="443"/>
        <v>62</v>
      </c>
      <c r="I1928" s="4" t="str">
        <f t="shared" si="444"/>
        <v>='C:\Users\jaime.benazar\Quorum Business Solutions\Ecopetrol Prometeo - Documents\Planning Space Implementation\3. Analysis &amp; Design\Design\FC22\DRR Jaime\QUIFA-CAJÚA\Cajua\[VAS_CAJUA_CF_SEC_20230125.xlsx]CF PRB'!$BU$62</v>
      </c>
      <c r="J1928" s="4" t="s">
        <v>1006</v>
      </c>
    </row>
    <row r="1929" spans="1:10" x14ac:dyDescent="0.2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Jaime\QUIFA-CAJÚA\Cajua\[VAS_CAJUA_CF_SEC_20230125.xlsx]CF PRB'!</v>
      </c>
      <c r="G1929" s="7" t="s">
        <v>39</v>
      </c>
      <c r="H1929" s="4">
        <f t="shared" si="443"/>
        <v>63</v>
      </c>
      <c r="I1929" s="4" t="str">
        <f t="shared" si="444"/>
        <v>='C:\Users\jaime.benazar\Quorum Business Solutions\Ecopetrol Prometeo - Documents\Planning Space Implementation\3. Analysis &amp; Design\Design\FC22\DRR Jaime\QUIFA-CAJÚA\Cajua\[VAS_CAJUA_CF_SEC_20230125.xlsx]CF PRB'!$BU$63</v>
      </c>
      <c r="J1929" s="4" t="s">
        <v>1007</v>
      </c>
    </row>
    <row r="1930" spans="1:10" x14ac:dyDescent="0.2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Jaime\QUIFA-CAJÚA\Cajua\[VAS_CAJUA_CF_SEC_20230125.xlsx]CF PRB'!</v>
      </c>
      <c r="G1930" s="7" t="s">
        <v>39</v>
      </c>
      <c r="H1930" s="4">
        <f t="shared" si="443"/>
        <v>64</v>
      </c>
      <c r="I1930" s="4" t="str">
        <f t="shared" si="444"/>
        <v>='C:\Users\jaime.benazar\Quorum Business Solutions\Ecopetrol Prometeo - Documents\Planning Space Implementation\3. Analysis &amp; Design\Design\FC22\DRR Jaime\QUIFA-CAJÚA\Cajua\[VAS_CAJUA_CF_SEC_20230125.xlsx]CF PRB'!$BU$64</v>
      </c>
      <c r="J1930" s="4" t="s">
        <v>1008</v>
      </c>
    </row>
    <row r="1931" spans="1:10" x14ac:dyDescent="0.2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Jaime\QUIFA-CAJÚA\Cajua\[VAS_CAJUA_CF_SEC_20230125.xlsx]CF PRB'!</v>
      </c>
      <c r="G1931" s="7" t="s">
        <v>39</v>
      </c>
      <c r="H1931" s="4">
        <f t="shared" si="443"/>
        <v>65</v>
      </c>
      <c r="I1931" s="4" t="str">
        <f t="shared" si="444"/>
        <v>='C:\Users\jaime.benazar\Quorum Business Solutions\Ecopetrol Prometeo - Documents\Planning Space Implementation\3. Analysis &amp; Design\Design\FC22\DRR Jaime\QUIFA-CAJÚA\Cajua\[VAS_CAJUA_CF_SEC_20230125.xlsx]CF PRB'!$BU$65</v>
      </c>
      <c r="J1931" s="4" t="s">
        <v>1009</v>
      </c>
    </row>
    <row r="1932" spans="1:10" x14ac:dyDescent="0.2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Jaime\QUIFA-CAJÚA\Cajua\[VAS_CAJUA_CF_SEC_20230125.xlsx]CF PRB'!</v>
      </c>
      <c r="G1932" s="7" t="s">
        <v>39</v>
      </c>
      <c r="H1932" s="4">
        <f t="shared" si="443"/>
        <v>66</v>
      </c>
      <c r="I1932" s="4" t="str">
        <f t="shared" si="444"/>
        <v>='C:\Users\jaime.benazar\Quorum Business Solutions\Ecopetrol Prometeo - Documents\Planning Space Implementation\3. Analysis &amp; Design\Design\FC22\DRR Jaime\QUIFA-CAJÚA\Cajua\[VAS_CAJUA_CF_SEC_20230125.xlsx]CF PRB'!$BU$66</v>
      </c>
      <c r="J1932" s="4" t="s">
        <v>1010</v>
      </c>
    </row>
    <row r="1933" spans="1:10" x14ac:dyDescent="0.2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Jaime\QUIFA-CAJÚA\Cajua\[VAS_CAJUA_CF_SEC_20230125.xlsx]CF PRB'!</v>
      </c>
      <c r="G1933" s="7" t="s">
        <v>39</v>
      </c>
      <c r="H1933" s="4">
        <f t="shared" si="443"/>
        <v>67</v>
      </c>
      <c r="I1933" s="4" t="str">
        <f t="shared" si="444"/>
        <v>='C:\Users\jaime.benazar\Quorum Business Solutions\Ecopetrol Prometeo - Documents\Planning Space Implementation\3. Analysis &amp; Design\Design\FC22\DRR Jaime\QUIFA-CAJÚA\Cajua\[VAS_CAJUA_CF_SEC_20230125.xlsx]CF PRB'!$BU$67</v>
      </c>
      <c r="J1933" s="4" t="s">
        <v>1011</v>
      </c>
    </row>
    <row r="1934" spans="1:10" x14ac:dyDescent="0.2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Jaime\QUIFA-CAJÚA\Cajua\[VAS_CAJUA_CF_SEC_20230125.xlsx]CF PRB'!</v>
      </c>
      <c r="G1934" s="7" t="s">
        <v>39</v>
      </c>
      <c r="H1934" s="4">
        <f t="shared" si="443"/>
        <v>68</v>
      </c>
      <c r="I1934" s="4" t="str">
        <f t="shared" si="444"/>
        <v>='C:\Users\jaime.benazar\Quorum Business Solutions\Ecopetrol Prometeo - Documents\Planning Space Implementation\3. Analysis &amp; Design\Design\FC22\DRR Jaime\QUIFA-CAJÚA\Cajua\[VAS_CAJUA_CF_SEC_20230125.xlsx]CF PRB'!$BU$68</v>
      </c>
      <c r="J1934" s="4" t="s">
        <v>1012</v>
      </c>
    </row>
    <row r="1935" spans="1:10" x14ac:dyDescent="0.2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Jaime\QUIFA-CAJÚA\Cajua\[VAS_CAJUA_CF_SEC_20230125.xlsx]CF PRB'!</v>
      </c>
      <c r="G1935" s="7" t="s">
        <v>39</v>
      </c>
      <c r="H1935" s="4">
        <f t="shared" si="443"/>
        <v>69</v>
      </c>
      <c r="I1935" s="4" t="str">
        <f t="shared" si="444"/>
        <v>='C:\Users\jaime.benazar\Quorum Business Solutions\Ecopetrol Prometeo - Documents\Planning Space Implementation\3. Analysis &amp; Design\Design\FC22\DRR Jaime\QUIFA-CAJÚA\Cajua\[VAS_CAJUA_CF_SEC_20230125.xlsx]CF PRB'!$BU$69</v>
      </c>
      <c r="J1935" s="4" t="s">
        <v>1013</v>
      </c>
    </row>
    <row r="1936" spans="1:10" x14ac:dyDescent="0.2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Jaime\QUIFA-CAJÚA\Cajua\[VAS_CAJUA_CF_SEC_20230125.xlsx]CF PRB'!</v>
      </c>
      <c r="G1936" s="7" t="s">
        <v>39</v>
      </c>
      <c r="H1936" s="4">
        <f t="shared" si="443"/>
        <v>70</v>
      </c>
      <c r="I1936" s="4" t="str">
        <f t="shared" si="444"/>
        <v>='C:\Users\jaime.benazar\Quorum Business Solutions\Ecopetrol Prometeo - Documents\Planning Space Implementation\3. Analysis &amp; Design\Design\FC22\DRR Jaime\QUIFA-CAJÚA\Cajua\[VAS_CAJUA_CF_SEC_20230125.xlsx]CF PRB'!$BU$70</v>
      </c>
      <c r="J1936" s="4" t="s">
        <v>1014</v>
      </c>
    </row>
    <row r="1937" spans="1:10" x14ac:dyDescent="0.2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Jaime\QUIFA-CAJÚA\Cajua\[VAS_CAJUA_CF_SEC_20230125.xlsx]CF PRB'!</v>
      </c>
      <c r="G1937" s="7" t="s">
        <v>39</v>
      </c>
      <c r="H1937" s="4">
        <f t="shared" si="443"/>
        <v>71</v>
      </c>
      <c r="I1937" s="4" t="str">
        <f t="shared" si="444"/>
        <v>='C:\Users\jaime.benazar\Quorum Business Solutions\Ecopetrol Prometeo - Documents\Planning Space Implementation\3. Analysis &amp; Design\Design\FC22\DRR Jaime\QUIFA-CAJÚA\Cajua\[VAS_CAJUA_CF_SEC_20230125.xlsx]CF PRB'!$BU$71</v>
      </c>
      <c r="J1937" s="4" t="s">
        <v>1015</v>
      </c>
    </row>
    <row r="1938" spans="1:10" x14ac:dyDescent="0.2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Jaime\QUIFA-CAJÚA\Cajua\[VAS_CAJUA_CF_SEC_20230125.xlsx]CF PRB'!</v>
      </c>
      <c r="G1938" s="7" t="s">
        <v>39</v>
      </c>
      <c r="H1938" s="4">
        <f t="shared" si="443"/>
        <v>72</v>
      </c>
      <c r="I1938" s="4" t="str">
        <f t="shared" si="444"/>
        <v>='C:\Users\jaime.benazar\Quorum Business Solutions\Ecopetrol Prometeo - Documents\Planning Space Implementation\3. Analysis &amp; Design\Design\FC22\DRR Jaime\QUIFA-CAJÚA\Cajua\[VAS_CAJUA_CF_SEC_20230125.xlsx]CF PRB'!$BU$72</v>
      </c>
      <c r="J1938" s="4" t="s">
        <v>1016</v>
      </c>
    </row>
    <row r="1939" spans="1:10" x14ac:dyDescent="0.25">
      <c r="A1939" s="7" t="s">
        <v>28</v>
      </c>
      <c r="B1939" s="7"/>
      <c r="C1939" s="4" t="s">
        <v>17</v>
      </c>
      <c r="D1939" s="5"/>
      <c r="E1939" s="10"/>
      <c r="F1939" s="5"/>
      <c r="G1939" s="7"/>
      <c r="H1939" s="4"/>
      <c r="I1939" s="4"/>
      <c r="J1939" s="4"/>
    </row>
    <row r="1940" spans="1:10" x14ac:dyDescent="0.2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Jaime\QUIFA-CAJÚA\Cajua\[VAS_CAJUA_CF_SEC_20230125.xlsx]CF PSDP'!</v>
      </c>
      <c r="G1940" s="7" t="s">
        <v>39</v>
      </c>
      <c r="H1940" s="4"/>
      <c r="I1940" s="4"/>
      <c r="J1940" s="4"/>
    </row>
    <row r="1941" spans="1:10" x14ac:dyDescent="0.2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Jaime\QUIFA-CAJÚA\Cajua\[VAS_CAJUA_CF_SEC_20230125.xlsx]CF PSDP'!</v>
      </c>
      <c r="G1941" s="7" t="s">
        <v>39</v>
      </c>
      <c r="H1941" s="4"/>
      <c r="I1941" s="4"/>
      <c r="J1941" s="4"/>
    </row>
    <row r="1942" spans="1:10" x14ac:dyDescent="0.2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Jaime\QUIFA-CAJÚA\Cajua\[VAS_CAJUA_CF_SEC_20230125.xlsx]CF PSDP'!</v>
      </c>
      <c r="G1942" s="7" t="s">
        <v>39</v>
      </c>
      <c r="H1942" s="4"/>
      <c r="I1942" s="4"/>
      <c r="J1942" s="4"/>
    </row>
    <row r="1943" spans="1:10" x14ac:dyDescent="0.2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Jaime\QUIFA-CAJÚA\Cajua\[VAS_CAJUA_CF_SEC_20230125.xlsx]CF PSDP'!</v>
      </c>
      <c r="G1943" s="7" t="s">
        <v>39</v>
      </c>
      <c r="H1943" s="4"/>
      <c r="I1943" s="4"/>
      <c r="J1943" s="4"/>
    </row>
    <row r="1944" spans="1:10" x14ac:dyDescent="0.2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Jaime\QUIFA-CAJÚA\Cajua\[VAS_CAJUA_CF_SEC_20230125.xlsx]CF PSDP'!</v>
      </c>
      <c r="G1944" s="7" t="s">
        <v>39</v>
      </c>
      <c r="H1944" s="4"/>
      <c r="I1944" s="4"/>
      <c r="J1944" s="4"/>
    </row>
    <row r="1945" spans="1:10" x14ac:dyDescent="0.2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Jaime\QUIFA-CAJÚA\Cajua\[VAS_CAJUA_CF_SEC_20230125.xlsx]CF PSDP'!</v>
      </c>
      <c r="G1945" s="7" t="s">
        <v>39</v>
      </c>
      <c r="H1945" s="4"/>
      <c r="I1945" s="4"/>
      <c r="J1945" s="4"/>
    </row>
    <row r="1946" spans="1:10" x14ac:dyDescent="0.2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Jaime\QUIFA-CAJÚA\Cajua\[VAS_CAJUA_CF_SEC_20230125.xlsx]CF PSDP'!</v>
      </c>
      <c r="G1946" s="7" t="s">
        <v>39</v>
      </c>
      <c r="H1946" s="4"/>
      <c r="I1946" s="4"/>
      <c r="J1946" s="4"/>
    </row>
    <row r="1947" spans="1:10" x14ac:dyDescent="0.2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Jaime\QUIFA-CAJÚA\Cajua\[VAS_CAJUA_CF_SEC_20230125.xlsx]CF PSDP'!</v>
      </c>
      <c r="G1947" s="7" t="s">
        <v>39</v>
      </c>
      <c r="H1947" s="4"/>
      <c r="I1947" s="4"/>
      <c r="J1947" s="4"/>
    </row>
    <row r="1948" spans="1:10" x14ac:dyDescent="0.2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Jaime\QUIFA-CAJÚA\Cajua\[VAS_CAJUA_CF_SEC_20230125.xlsx]CF PSDP'!</v>
      </c>
      <c r="G1948" s="7" t="s">
        <v>39</v>
      </c>
      <c r="H1948" s="4"/>
      <c r="I1948" s="4"/>
      <c r="J1948" s="4"/>
    </row>
    <row r="1949" spans="1:10" x14ac:dyDescent="0.2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Jaime\QUIFA-CAJÚA\Cajua\[VAS_CAJUA_CF_SEC_20230125.xlsx]CF PSDP'!</v>
      </c>
      <c r="G1949" s="7" t="s">
        <v>39</v>
      </c>
      <c r="H1949" s="4"/>
      <c r="I1949" s="4"/>
      <c r="J1949" s="4"/>
    </row>
    <row r="1950" spans="1:10" x14ac:dyDescent="0.2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Jaime\QUIFA-CAJÚA\Cajua\[VAS_CAJUA_CF_SEC_20230125.xlsx]CF PSDP'!</v>
      </c>
      <c r="G1950" s="7" t="s">
        <v>39</v>
      </c>
      <c r="H1950" s="4"/>
      <c r="I1950" s="4"/>
      <c r="J1950" s="4"/>
    </row>
    <row r="1951" spans="1:10" x14ac:dyDescent="0.2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Jaime\QUIFA-CAJÚA\Cajua\[VAS_CAJUA_CF_SEC_20230125.xlsx]CF PSDP'!</v>
      </c>
      <c r="G1951" s="7" t="s">
        <v>39</v>
      </c>
      <c r="H1951" s="4"/>
      <c r="I1951" s="4"/>
      <c r="J1951" s="4"/>
    </row>
    <row r="1952" spans="1:10" x14ac:dyDescent="0.2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Jaime\QUIFA-CAJÚA\Cajua\[VAS_CAJUA_CF_SEC_20230125.xlsx]CF PSDP'!</v>
      </c>
      <c r="G1952" s="7" t="s">
        <v>39</v>
      </c>
      <c r="H1952" s="4"/>
      <c r="I1952" s="4"/>
      <c r="J1952" s="4"/>
    </row>
    <row r="1953" spans="1:10" x14ac:dyDescent="0.2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Jaime\QUIFA-CAJÚA\Cajua\[VAS_CAJUA_CF_SEC_20230125.xlsx]CF PSDP'!</v>
      </c>
      <c r="G1953" s="7" t="s">
        <v>39</v>
      </c>
      <c r="H1953" s="4"/>
      <c r="I1953" s="4"/>
      <c r="J1953" s="4"/>
    </row>
    <row r="1954" spans="1:10" x14ac:dyDescent="0.2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Jaime\QUIFA-CAJÚA\Cajua\[VAS_CAJUA_CF_SEC_20230125.xlsx]CF PSDP'!</v>
      </c>
      <c r="G1954" s="7" t="s">
        <v>39</v>
      </c>
      <c r="H1954" s="4"/>
      <c r="I1954" s="4"/>
      <c r="J1954" s="4"/>
    </row>
    <row r="1955" spans="1:10" x14ac:dyDescent="0.2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Jaime\QUIFA-CAJÚA\Cajua\[VAS_CAJUA_CF_SEC_20230125.xlsx]CF PSDP'!</v>
      </c>
      <c r="G1955" s="7" t="s">
        <v>39</v>
      </c>
      <c r="H1955" s="4"/>
      <c r="I1955" s="4"/>
      <c r="J1955" s="4"/>
    </row>
    <row r="1956" spans="1:10" x14ac:dyDescent="0.2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Jaime\QUIFA-CAJÚA\Cajua\[VAS_CAJUA_CF_SEC_20230125.xlsx]CF PSDP'!</v>
      </c>
      <c r="G1956" s="7" t="s">
        <v>39</v>
      </c>
      <c r="H1956" s="4"/>
      <c r="I1956" s="4"/>
      <c r="J1956" s="4"/>
    </row>
    <row r="1957" spans="1:10" x14ac:dyDescent="0.2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Jaime\QUIFA-CAJÚA\Cajua\[VAS_CAJUA_CF_SEC_20230125.xlsx]CF PSDP'!</v>
      </c>
      <c r="G1957" s="7" t="s">
        <v>39</v>
      </c>
      <c r="H1957" s="4"/>
      <c r="I1957" s="4"/>
      <c r="J1957" s="4"/>
    </row>
    <row r="1958" spans="1:10" x14ac:dyDescent="0.2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Jaime\QUIFA-CAJÚA\Cajua\[VAS_CAJUA_CF_SEC_20230125.xlsx]CF PSDP'!</v>
      </c>
      <c r="G1958" s="7" t="s">
        <v>39</v>
      </c>
      <c r="H1958" s="4"/>
      <c r="I1958" s="4"/>
      <c r="J1958" s="4"/>
    </row>
    <row r="1959" spans="1:10" x14ac:dyDescent="0.2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Jaime\QUIFA-CAJÚA\Cajua\[VAS_CAJUA_CF_SEC_20230125.xlsx]CF PSDP'!</v>
      </c>
      <c r="G1959" s="7" t="s">
        <v>39</v>
      </c>
      <c r="H1959" s="4"/>
      <c r="I1959" s="4"/>
      <c r="J1959" s="4"/>
    </row>
    <row r="1960" spans="1:10" x14ac:dyDescent="0.2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Jaime\QUIFA-CAJÚA\Cajua\[VAS_CAJUA_CF_SEC_20230125.xlsx]CF PSDP'!</v>
      </c>
      <c r="G1960" s="7" t="s">
        <v>39</v>
      </c>
      <c r="H1960" s="4"/>
      <c r="I1960" s="4"/>
      <c r="J1960" s="4"/>
    </row>
    <row r="1961" spans="1:10" x14ac:dyDescent="0.2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Jaime\QUIFA-CAJÚA\Cajua\[VAS_CAJUA_CF_SEC_20230125.xlsx]CF PSDP'!</v>
      </c>
      <c r="G1961" s="7" t="s">
        <v>39</v>
      </c>
      <c r="H1961" s="4"/>
      <c r="I1961" s="4"/>
      <c r="J1961" s="4"/>
    </row>
    <row r="1962" spans="1:10" x14ac:dyDescent="0.2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Jaime\QUIFA-CAJÚA\Cajua\[VAS_CAJUA_CF_SEC_20230125.xlsx]CF PSDP'!</v>
      </c>
      <c r="G1962" s="7" t="s">
        <v>39</v>
      </c>
      <c r="H1962" s="4"/>
      <c r="I1962" s="4"/>
      <c r="J1962" s="4"/>
    </row>
    <row r="1963" spans="1:10" x14ac:dyDescent="0.2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Jaime\QUIFA-CAJÚA\Cajua\[VAS_CAJUA_CF_SEC_20230125.xlsx]CF PSDP'!</v>
      </c>
      <c r="G1963" s="7" t="s">
        <v>39</v>
      </c>
      <c r="H1963" s="4"/>
      <c r="I1963" s="4"/>
      <c r="J1963" s="4"/>
    </row>
    <row r="1964" spans="1:10" x14ac:dyDescent="0.2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Jaime\QUIFA-CAJÚA\Cajua\[VAS_CAJUA_CF_SEC_20230125.xlsx]CF PSDP'!</v>
      </c>
      <c r="G1964" s="7" t="s">
        <v>39</v>
      </c>
      <c r="H1964" s="4"/>
      <c r="I1964" s="4"/>
      <c r="J1964" s="4"/>
    </row>
    <row r="1965" spans="1:10" x14ac:dyDescent="0.2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Jaime\QUIFA-CAJÚA\Cajua\[VAS_CAJUA_CF_SEC_20230125.xlsx]CF PSDP'!</v>
      </c>
      <c r="G1965" s="7" t="s">
        <v>39</v>
      </c>
      <c r="H1965" s="4"/>
      <c r="I1965" s="4"/>
      <c r="J1965" s="4"/>
    </row>
    <row r="1966" spans="1:10" x14ac:dyDescent="0.2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Jaime\QUIFA-CAJÚA\Cajua\[VAS_CAJUA_CF_SEC_20230125.xlsx]CF PSDP'!</v>
      </c>
      <c r="G1966" s="7" t="s">
        <v>39</v>
      </c>
      <c r="H1966" s="4"/>
      <c r="I1966" s="4"/>
      <c r="J1966" s="4"/>
    </row>
    <row r="1967" spans="1:10" x14ac:dyDescent="0.2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Jaime\QUIFA-CAJÚA\Cajua\[VAS_CAJUA_CF_SEC_20230125.xlsx]CF PSDP'!</v>
      </c>
      <c r="G1967" s="7" t="s">
        <v>39</v>
      </c>
      <c r="H1967" s="4"/>
      <c r="I1967" s="4"/>
      <c r="J1967" s="4"/>
    </row>
    <row r="1968" spans="1:10" x14ac:dyDescent="0.2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Jaime\QUIFA-CAJÚA\Cajua\[VAS_CAJUA_CF_SEC_20230125.xlsx]CF PSDP'!</v>
      </c>
      <c r="G1968" s="7" t="s">
        <v>39</v>
      </c>
      <c r="H1968" s="4"/>
      <c r="I1968" s="4"/>
      <c r="J1968" s="4"/>
    </row>
    <row r="1969" spans="1:10" x14ac:dyDescent="0.2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Jaime\QUIFA-CAJÚA\Cajua\[VAS_CAJUA_CF_SEC_20230125.xlsx]CF PSDP'!</v>
      </c>
      <c r="G1969" s="7" t="s">
        <v>39</v>
      </c>
      <c r="H1969" s="4"/>
      <c r="I1969" s="4"/>
      <c r="J1969" s="4"/>
    </row>
    <row r="1970" spans="1:10" x14ac:dyDescent="0.2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Jaime\QUIFA-CAJÚA\Cajua\[VAS_CAJUA_CF_SEC_20230125.xlsx]CF PSDP'!</v>
      </c>
      <c r="G1970" s="7" t="s">
        <v>39</v>
      </c>
      <c r="H1970" s="4"/>
      <c r="I1970" s="4"/>
      <c r="J1970" s="4"/>
    </row>
    <row r="1971" spans="1:10" x14ac:dyDescent="0.2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Jaime\QUIFA-CAJÚA\Cajua\[VAS_CAJUA_CF_SEC_20230125.xlsx]CF PSDP'!</v>
      </c>
      <c r="G1971" s="7" t="s">
        <v>39</v>
      </c>
      <c r="H1971" s="4"/>
      <c r="I1971" s="4"/>
      <c r="J1971" s="4"/>
    </row>
    <row r="1972" spans="1:10" x14ac:dyDescent="0.2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Jaime\QUIFA-CAJÚA\Cajua\[VAS_CAJUA_CF_SEC_20230125.xlsx]CF PSDP'!</v>
      </c>
      <c r="G1972" s="7" t="s">
        <v>39</v>
      </c>
      <c r="H1972" s="4"/>
      <c r="I1972" s="4"/>
      <c r="J1972" s="4"/>
    </row>
    <row r="1973" spans="1:10" x14ac:dyDescent="0.2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Jaime\QUIFA-CAJÚA\Cajua\[VAS_CAJUA_CF_SEC_20230125.xlsx]CF PSDP'!</v>
      </c>
      <c r="G1973" s="7" t="s">
        <v>39</v>
      </c>
      <c r="H1973" s="4"/>
      <c r="I1973" s="4"/>
      <c r="J1973" s="4"/>
    </row>
    <row r="1974" spans="1:10" x14ac:dyDescent="0.2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Jaime\QUIFA-CAJÚA\Cajua\[VAS_CAJUA_CF_SEC_20230125.xlsx]CF PSDP'!</v>
      </c>
      <c r="G1974" s="7" t="s">
        <v>39</v>
      </c>
      <c r="H1974" s="4"/>
      <c r="I1974" s="4"/>
      <c r="J1974" s="4"/>
    </row>
    <row r="1975" spans="1:10" x14ac:dyDescent="0.2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Jaime\QUIFA-CAJÚA\Cajua\[VAS_CAJUA_CF_SEC_20230125.xlsx]CF PSDP'!</v>
      </c>
      <c r="G1975" s="7" t="s">
        <v>39</v>
      </c>
      <c r="H1975" s="4"/>
      <c r="I1975" s="4"/>
      <c r="J1975" s="4"/>
    </row>
    <row r="1976" spans="1:10" x14ac:dyDescent="0.2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Jaime\QUIFA-CAJÚA\Cajua\[VAS_CAJUA_CF_SEC_20230125.xlsx]CF PSDP'!</v>
      </c>
      <c r="G1976" s="7" t="s">
        <v>39</v>
      </c>
      <c r="H1976" s="4"/>
      <c r="I1976" s="4"/>
      <c r="J1976" s="4"/>
    </row>
    <row r="1977" spans="1:10" x14ac:dyDescent="0.25">
      <c r="A1977" s="7" t="s">
        <v>28</v>
      </c>
      <c r="B1977" s="7"/>
      <c r="C1977" s="4" t="s">
        <v>17</v>
      </c>
      <c r="D1977" s="5"/>
      <c r="E1977" s="10"/>
      <c r="F1977" s="5"/>
      <c r="G1977" s="7"/>
      <c r="H1977" s="4"/>
      <c r="I1977" s="4"/>
      <c r="J1977" s="4"/>
    </row>
    <row r="1978" spans="1:10" x14ac:dyDescent="0.2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Jaime\QUIFA-CAJÚA\Cajua\[VAS_CAJUA_CF_SEC_20230125.xlsx]CF PSNP'!</v>
      </c>
      <c r="G1978" s="7" t="s">
        <v>39</v>
      </c>
      <c r="H1978" s="4"/>
      <c r="I1978" s="4"/>
      <c r="J1978" s="4"/>
    </row>
    <row r="1979" spans="1:10" x14ac:dyDescent="0.2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Jaime\QUIFA-CAJÚA\Cajua\[VAS_CAJUA_CF_SEC_20230125.xlsx]CF PSNP'!</v>
      </c>
      <c r="G1979" s="7" t="s">
        <v>39</v>
      </c>
      <c r="H1979" s="4"/>
      <c r="I1979" s="4"/>
      <c r="J1979" s="4"/>
    </row>
    <row r="1980" spans="1:10" x14ac:dyDescent="0.2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Jaime\QUIFA-CAJÚA\Cajua\[VAS_CAJUA_CF_SEC_20230125.xlsx]CF PSNP'!</v>
      </c>
      <c r="G1980" s="7" t="s">
        <v>39</v>
      </c>
      <c r="H1980" s="4"/>
      <c r="I1980" s="4"/>
      <c r="J1980" s="4"/>
    </row>
    <row r="1981" spans="1:10" x14ac:dyDescent="0.2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Jaime\QUIFA-CAJÚA\Cajua\[VAS_CAJUA_CF_SEC_20230125.xlsx]CF PSNP'!</v>
      </c>
      <c r="G1981" s="7" t="s">
        <v>39</v>
      </c>
      <c r="H1981" s="4"/>
      <c r="I1981" s="4"/>
      <c r="J1981" s="4"/>
    </row>
    <row r="1982" spans="1:10" x14ac:dyDescent="0.2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Jaime\QUIFA-CAJÚA\Cajua\[VAS_CAJUA_CF_SEC_20230125.xlsx]CF PSNP'!</v>
      </c>
      <c r="G1982" s="7" t="s">
        <v>39</v>
      </c>
      <c r="H1982" s="4"/>
      <c r="I1982" s="4"/>
      <c r="J1982" s="4"/>
    </row>
    <row r="1983" spans="1:10" x14ac:dyDescent="0.2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Jaime\QUIFA-CAJÚA\Cajua\[VAS_CAJUA_CF_SEC_20230125.xlsx]CF PSNP'!</v>
      </c>
      <c r="G1983" s="7" t="s">
        <v>39</v>
      </c>
      <c r="H1983" s="4"/>
      <c r="I1983" s="4"/>
      <c r="J1983" s="4"/>
    </row>
    <row r="1984" spans="1:10" x14ac:dyDescent="0.2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Jaime\QUIFA-CAJÚA\Cajua\[VAS_CAJUA_CF_SEC_20230125.xlsx]CF PSNP'!</v>
      </c>
      <c r="G1984" s="7" t="s">
        <v>39</v>
      </c>
      <c r="H1984" s="4"/>
      <c r="I1984" s="4"/>
      <c r="J1984" s="4"/>
    </row>
    <row r="1985" spans="1:10" x14ac:dyDescent="0.2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Jaime\QUIFA-CAJÚA\Cajua\[VAS_CAJUA_CF_SEC_20230125.xlsx]CF PSNP'!</v>
      </c>
      <c r="G1985" s="7" t="s">
        <v>39</v>
      </c>
      <c r="H1985" s="4"/>
      <c r="I1985" s="4"/>
      <c r="J1985" s="4"/>
    </row>
    <row r="1986" spans="1:10" x14ac:dyDescent="0.2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Jaime\QUIFA-CAJÚA\Cajua\[VAS_CAJUA_CF_SEC_20230125.xlsx]CF PSNP'!</v>
      </c>
      <c r="G1986" s="7" t="s">
        <v>39</v>
      </c>
      <c r="H1986" s="4"/>
      <c r="I1986" s="4"/>
      <c r="J1986" s="4"/>
    </row>
    <row r="1987" spans="1:10" x14ac:dyDescent="0.2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Jaime\QUIFA-CAJÚA\Cajua\[VAS_CAJUA_CF_SEC_20230125.xlsx]CF PSNP'!</v>
      </c>
      <c r="G1987" s="7" t="s">
        <v>39</v>
      </c>
      <c r="H1987" s="4"/>
      <c r="I1987" s="4"/>
      <c r="J1987" s="4"/>
    </row>
    <row r="1988" spans="1:10" x14ac:dyDescent="0.2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Jaime\QUIFA-CAJÚA\Cajua\[VAS_CAJUA_CF_SEC_20230125.xlsx]CF PSNP'!</v>
      </c>
      <c r="G1988" s="7" t="s">
        <v>39</v>
      </c>
      <c r="H1988" s="4"/>
      <c r="I1988" s="4"/>
      <c r="J1988" s="4"/>
    </row>
    <row r="1989" spans="1:10" x14ac:dyDescent="0.2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Jaime\QUIFA-CAJÚA\Cajua\[VAS_CAJUA_CF_SEC_20230125.xlsx]CF PSNP'!</v>
      </c>
      <c r="G1989" s="7" t="s">
        <v>39</v>
      </c>
      <c r="H1989" s="4"/>
      <c r="I1989" s="4"/>
      <c r="J1989" s="4"/>
    </row>
    <row r="1990" spans="1:10" x14ac:dyDescent="0.2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Jaime\QUIFA-CAJÚA\Cajua\[VAS_CAJUA_CF_SEC_20230125.xlsx]CF PSNP'!</v>
      </c>
      <c r="G1990" s="7" t="s">
        <v>39</v>
      </c>
      <c r="H1990" s="4"/>
      <c r="I1990" s="4"/>
      <c r="J1990" s="4"/>
    </row>
    <row r="1991" spans="1:10" x14ac:dyDescent="0.2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Jaime\QUIFA-CAJÚA\Cajua\[VAS_CAJUA_CF_SEC_20230125.xlsx]CF PSNP'!</v>
      </c>
      <c r="G1991" s="7" t="s">
        <v>39</v>
      </c>
      <c r="H1991" s="4"/>
      <c r="I1991" s="4"/>
      <c r="J1991" s="4"/>
    </row>
    <row r="1992" spans="1:10" x14ac:dyDescent="0.2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Jaime\QUIFA-CAJÚA\Cajua\[VAS_CAJUA_CF_SEC_20230125.xlsx]CF PSNP'!</v>
      </c>
      <c r="G1992" s="7" t="s">
        <v>39</v>
      </c>
      <c r="H1992" s="4"/>
      <c r="I1992" s="4"/>
      <c r="J1992" s="4"/>
    </row>
    <row r="1993" spans="1:10" x14ac:dyDescent="0.2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Jaime\QUIFA-CAJÚA\Cajua\[VAS_CAJUA_CF_SEC_20230125.xlsx]CF PSNP'!</v>
      </c>
      <c r="G1993" s="7" t="s">
        <v>39</v>
      </c>
      <c r="H1993" s="4"/>
      <c r="I1993" s="4"/>
      <c r="J1993" s="4"/>
    </row>
    <row r="1994" spans="1:10" x14ac:dyDescent="0.2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Jaime\QUIFA-CAJÚA\Cajua\[VAS_CAJUA_CF_SEC_20230125.xlsx]CF PSNP'!</v>
      </c>
      <c r="G1994" s="7" t="s">
        <v>39</v>
      </c>
      <c r="H1994" s="4"/>
      <c r="I1994" s="4"/>
      <c r="J1994" s="4"/>
    </row>
    <row r="1995" spans="1:10" x14ac:dyDescent="0.2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Jaime\QUIFA-CAJÚA\Cajua\[VAS_CAJUA_CF_SEC_20230125.xlsx]CF PSNP'!</v>
      </c>
      <c r="G1995" s="7" t="s">
        <v>39</v>
      </c>
      <c r="H1995" s="4"/>
      <c r="I1995" s="4"/>
      <c r="J1995" s="4"/>
    </row>
    <row r="1996" spans="1:10" x14ac:dyDescent="0.2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Jaime\QUIFA-CAJÚA\Cajua\[VAS_CAJUA_CF_SEC_20230125.xlsx]CF PSNP'!</v>
      </c>
      <c r="G1996" s="7" t="s">
        <v>39</v>
      </c>
      <c r="H1996" s="4"/>
      <c r="I1996" s="4"/>
      <c r="J1996" s="4"/>
    </row>
    <row r="1997" spans="1:10" x14ac:dyDescent="0.2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Jaime\QUIFA-CAJÚA\Cajua\[VAS_CAJUA_CF_SEC_20230125.xlsx]CF PSNP'!</v>
      </c>
      <c r="G1997" s="7" t="s">
        <v>39</v>
      </c>
      <c r="H1997" s="4"/>
      <c r="I1997" s="4"/>
      <c r="J1997" s="4"/>
    </row>
    <row r="1998" spans="1:10" x14ac:dyDescent="0.2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Jaime\QUIFA-CAJÚA\Cajua\[VAS_CAJUA_CF_SEC_20230125.xlsx]CF PSNP'!</v>
      </c>
      <c r="G1998" s="7" t="s">
        <v>39</v>
      </c>
      <c r="H1998" s="4"/>
      <c r="I1998" s="4"/>
      <c r="J1998" s="4"/>
    </row>
    <row r="1999" spans="1:10" x14ac:dyDescent="0.2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Jaime\QUIFA-CAJÚA\Cajua\[VAS_CAJUA_CF_SEC_20230125.xlsx]CF PSNP'!</v>
      </c>
      <c r="G1999" s="7" t="s">
        <v>39</v>
      </c>
      <c r="H1999" s="4"/>
      <c r="I1999" s="4"/>
      <c r="J1999" s="4"/>
    </row>
    <row r="2000" spans="1:10" x14ac:dyDescent="0.2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Jaime\QUIFA-CAJÚA\Cajua\[VAS_CAJUA_CF_SEC_20230125.xlsx]CF PSNP'!</v>
      </c>
      <c r="G2000" s="7" t="s">
        <v>39</v>
      </c>
      <c r="H2000" s="4"/>
      <c r="I2000" s="4"/>
      <c r="J2000" s="4"/>
    </row>
    <row r="2001" spans="1:10" x14ac:dyDescent="0.2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Jaime\QUIFA-CAJÚA\Cajua\[VAS_CAJUA_CF_SEC_20230125.xlsx]CF PSNP'!</v>
      </c>
      <c r="G2001" s="7" t="s">
        <v>39</v>
      </c>
      <c r="H2001" s="4"/>
      <c r="I2001" s="4"/>
      <c r="J2001" s="4"/>
    </row>
    <row r="2002" spans="1:10" x14ac:dyDescent="0.2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Jaime\QUIFA-CAJÚA\Cajua\[VAS_CAJUA_CF_SEC_20230125.xlsx]CF PSNP'!</v>
      </c>
      <c r="G2002" s="7" t="s">
        <v>39</v>
      </c>
      <c r="H2002" s="4"/>
      <c r="I2002" s="4"/>
      <c r="J2002" s="4"/>
    </row>
    <row r="2003" spans="1:10" x14ac:dyDescent="0.2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Jaime\QUIFA-CAJÚA\Cajua\[VAS_CAJUA_CF_SEC_20230125.xlsx]CF PSNP'!</v>
      </c>
      <c r="G2003" s="7" t="s">
        <v>39</v>
      </c>
      <c r="H2003" s="4"/>
      <c r="I2003" s="4"/>
      <c r="J2003" s="4"/>
    </row>
    <row r="2004" spans="1:10" x14ac:dyDescent="0.2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Jaime\QUIFA-CAJÚA\Cajua\[VAS_CAJUA_CF_SEC_20230125.xlsx]CF PSNP'!</v>
      </c>
      <c r="G2004" s="7" t="s">
        <v>39</v>
      </c>
      <c r="H2004" s="4"/>
      <c r="I2004" s="4"/>
      <c r="J2004" s="4"/>
    </row>
    <row r="2005" spans="1:10" x14ac:dyDescent="0.2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Jaime\QUIFA-CAJÚA\Cajua\[VAS_CAJUA_CF_SEC_20230125.xlsx]CF PSNP'!</v>
      </c>
      <c r="G2005" s="7" t="s">
        <v>39</v>
      </c>
      <c r="H2005" s="4"/>
      <c r="I2005" s="4"/>
      <c r="J2005" s="4"/>
    </row>
    <row r="2006" spans="1:10" x14ac:dyDescent="0.2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Jaime\QUIFA-CAJÚA\Cajua\[VAS_CAJUA_CF_SEC_20230125.xlsx]CF PSNP'!</v>
      </c>
      <c r="G2006" s="7" t="s">
        <v>39</v>
      </c>
      <c r="H2006" s="4"/>
      <c r="I2006" s="4"/>
      <c r="J2006" s="4"/>
    </row>
    <row r="2007" spans="1:10" x14ac:dyDescent="0.2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Jaime\QUIFA-CAJÚA\Cajua\[VAS_CAJUA_CF_SEC_20230125.xlsx]CF PSNP'!</v>
      </c>
      <c r="G2007" s="7" t="s">
        <v>39</v>
      </c>
      <c r="H2007" s="4"/>
      <c r="I2007" s="4"/>
      <c r="J2007" s="4"/>
    </row>
    <row r="2008" spans="1:10" x14ac:dyDescent="0.2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Jaime\QUIFA-CAJÚA\Cajua\[VAS_CAJUA_CF_SEC_20230125.xlsx]CF PSNP'!</v>
      </c>
      <c r="G2008" s="7" t="s">
        <v>39</v>
      </c>
      <c r="H2008" s="4"/>
      <c r="I2008" s="4"/>
      <c r="J2008" s="4"/>
    </row>
    <row r="2009" spans="1:10" x14ac:dyDescent="0.2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Jaime\QUIFA-CAJÚA\Cajua\[VAS_CAJUA_CF_SEC_20230125.xlsx]CF PSNP'!</v>
      </c>
      <c r="G2009" s="7" t="s">
        <v>39</v>
      </c>
      <c r="H2009" s="4"/>
      <c r="I2009" s="4"/>
      <c r="J2009" s="4"/>
    </row>
    <row r="2010" spans="1:10" x14ac:dyDescent="0.2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Jaime\QUIFA-CAJÚA\Cajua\[VAS_CAJUA_CF_SEC_20230125.xlsx]CF PSNP'!</v>
      </c>
      <c r="G2010" s="7" t="s">
        <v>39</v>
      </c>
      <c r="H2010" s="4"/>
      <c r="I2010" s="4"/>
      <c r="J2010" s="4"/>
    </row>
    <row r="2011" spans="1:10" x14ac:dyDescent="0.2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Jaime\QUIFA-CAJÚA\Cajua\[VAS_CAJUA_CF_SEC_20230125.xlsx]CF PSNP'!</v>
      </c>
      <c r="G2011" s="7" t="s">
        <v>39</v>
      </c>
      <c r="H2011" s="4"/>
      <c r="I2011" s="4"/>
      <c r="J2011" s="4"/>
    </row>
    <row r="2012" spans="1:10" x14ac:dyDescent="0.2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Jaime\QUIFA-CAJÚA\Cajua\[VAS_CAJUA_CF_SEC_20230125.xlsx]CF PSNP'!</v>
      </c>
      <c r="G2012" s="7" t="s">
        <v>39</v>
      </c>
      <c r="H2012" s="4"/>
      <c r="I2012" s="4"/>
      <c r="J2012" s="4"/>
    </row>
    <row r="2013" spans="1:10" x14ac:dyDescent="0.2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Jaime\QUIFA-CAJÚA\Cajua\[VAS_CAJUA_CF_SEC_20230125.xlsx]CF PSNP'!</v>
      </c>
      <c r="G2013" s="7" t="s">
        <v>39</v>
      </c>
      <c r="H2013" s="4"/>
      <c r="I2013" s="4"/>
      <c r="J2013" s="4"/>
    </row>
    <row r="2014" spans="1:10" x14ac:dyDescent="0.2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Jaime\QUIFA-CAJÚA\Cajua\[VAS_CAJUA_CF_SEC_20230125.xlsx]CF PSNP'!</v>
      </c>
      <c r="G2014" s="7" t="s">
        <v>39</v>
      </c>
      <c r="H2014" s="4"/>
      <c r="I2014" s="4"/>
      <c r="J2014" s="4"/>
    </row>
    <row r="2015" spans="1:10" x14ac:dyDescent="0.25">
      <c r="A2015" s="7" t="s">
        <v>28</v>
      </c>
      <c r="B2015" s="7"/>
      <c r="C2015" s="4" t="s">
        <v>17</v>
      </c>
      <c r="D2015" s="5"/>
      <c r="E2015" s="10"/>
      <c r="F2015" s="5"/>
      <c r="G2015" s="7"/>
      <c r="H2015" s="4"/>
      <c r="I2015" s="4"/>
      <c r="J2015" s="4"/>
    </row>
    <row r="2016" spans="1:10" x14ac:dyDescent="0.2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Jaime\QUIFA-CAJÚA\Cajua\[VAS_CAJUA_CF_SEC_20230125.xlsx]CF PSND'!</v>
      </c>
      <c r="G2016" s="7" t="s">
        <v>39</v>
      </c>
      <c r="H2016" s="4"/>
      <c r="I2016" s="4"/>
      <c r="J2016" s="4"/>
    </row>
    <row r="2017" spans="1:10" x14ac:dyDescent="0.2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Jaime\QUIFA-CAJÚA\Cajua\[VAS_CAJUA_CF_SEC_20230125.xlsx]CF PSND'!</v>
      </c>
      <c r="G2017" s="7" t="s">
        <v>39</v>
      </c>
      <c r="H2017" s="4"/>
      <c r="I2017" s="4"/>
      <c r="J2017" s="4"/>
    </row>
    <row r="2018" spans="1:10" x14ac:dyDescent="0.2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Jaime\QUIFA-CAJÚA\Cajua\[VAS_CAJUA_CF_SEC_20230125.xlsx]CF PSND'!</v>
      </c>
      <c r="G2018" s="7" t="s">
        <v>39</v>
      </c>
      <c r="H2018" s="4"/>
      <c r="I2018" s="4"/>
      <c r="J2018" s="4"/>
    </row>
    <row r="2019" spans="1:10" x14ac:dyDescent="0.2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Jaime\QUIFA-CAJÚA\Cajua\[VAS_CAJUA_CF_SEC_20230125.xlsx]CF PSND'!</v>
      </c>
      <c r="G2019" s="7" t="s">
        <v>39</v>
      </c>
      <c r="H2019" s="4"/>
      <c r="I2019" s="4"/>
      <c r="J2019" s="4"/>
    </row>
    <row r="2020" spans="1:10" x14ac:dyDescent="0.2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Jaime\QUIFA-CAJÚA\Cajua\[VAS_CAJUA_CF_SEC_20230125.xlsx]CF PSND'!</v>
      </c>
      <c r="G2020" s="7" t="s">
        <v>39</v>
      </c>
      <c r="H2020" s="4"/>
      <c r="I2020" s="4"/>
      <c r="J2020" s="4"/>
    </row>
    <row r="2021" spans="1:10" x14ac:dyDescent="0.2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Jaime\QUIFA-CAJÚA\Cajua\[VAS_CAJUA_CF_SEC_20230125.xlsx]CF PSND'!</v>
      </c>
      <c r="G2021" s="7" t="s">
        <v>39</v>
      </c>
      <c r="H2021" s="4"/>
      <c r="I2021" s="4"/>
      <c r="J2021" s="4"/>
    </row>
    <row r="2022" spans="1:10" x14ac:dyDescent="0.2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Jaime\QUIFA-CAJÚA\Cajua\[VAS_CAJUA_CF_SEC_20230125.xlsx]CF PSND'!</v>
      </c>
      <c r="G2022" s="7" t="s">
        <v>39</v>
      </c>
      <c r="H2022" s="4"/>
      <c r="I2022" s="4"/>
      <c r="J2022" s="4"/>
    </row>
    <row r="2023" spans="1:10" x14ac:dyDescent="0.2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Jaime\QUIFA-CAJÚA\Cajua\[VAS_CAJUA_CF_SEC_20230125.xlsx]CF PSND'!</v>
      </c>
      <c r="G2023" s="7" t="s">
        <v>39</v>
      </c>
      <c r="H2023" s="4"/>
      <c r="I2023" s="4"/>
      <c r="J2023" s="4"/>
    </row>
    <row r="2024" spans="1:10" x14ac:dyDescent="0.2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Jaime\QUIFA-CAJÚA\Cajua\[VAS_CAJUA_CF_SEC_20230125.xlsx]CF PSND'!</v>
      </c>
      <c r="G2024" s="7" t="s">
        <v>39</v>
      </c>
      <c r="H2024" s="4"/>
      <c r="I2024" s="4"/>
      <c r="J2024" s="4"/>
    </row>
    <row r="2025" spans="1:10" x14ac:dyDescent="0.2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Jaime\QUIFA-CAJÚA\Cajua\[VAS_CAJUA_CF_SEC_20230125.xlsx]CF PSND'!</v>
      </c>
      <c r="G2025" s="7" t="s">
        <v>39</v>
      </c>
      <c r="H2025" s="4"/>
      <c r="I2025" s="4"/>
      <c r="J2025" s="4"/>
    </row>
    <row r="2026" spans="1:10" x14ac:dyDescent="0.2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Jaime\QUIFA-CAJÚA\Cajua\[VAS_CAJUA_CF_SEC_20230125.xlsx]CF PSND'!</v>
      </c>
      <c r="G2026" s="7" t="s">
        <v>39</v>
      </c>
      <c r="H2026" s="4"/>
      <c r="I2026" s="4"/>
      <c r="J2026" s="4"/>
    </row>
    <row r="2027" spans="1:10" x14ac:dyDescent="0.2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Jaime\QUIFA-CAJÚA\Cajua\[VAS_CAJUA_CF_SEC_20230125.xlsx]CF PSND'!</v>
      </c>
      <c r="G2027" s="7" t="s">
        <v>39</v>
      </c>
      <c r="H2027" s="4"/>
      <c r="I2027" s="4"/>
      <c r="J2027" s="4"/>
    </row>
    <row r="2028" spans="1:10" x14ac:dyDescent="0.2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Jaime\QUIFA-CAJÚA\Cajua\[VAS_CAJUA_CF_SEC_20230125.xlsx]CF PSND'!</v>
      </c>
      <c r="G2028" s="7" t="s">
        <v>39</v>
      </c>
      <c r="H2028" s="4"/>
      <c r="I2028" s="4"/>
      <c r="J2028" s="4"/>
    </row>
    <row r="2029" spans="1:10" x14ac:dyDescent="0.2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Jaime\QUIFA-CAJÚA\Cajua\[VAS_CAJUA_CF_SEC_20230125.xlsx]CF PSND'!</v>
      </c>
      <c r="G2029" s="7" t="s">
        <v>39</v>
      </c>
      <c r="H2029" s="4"/>
      <c r="I2029" s="4"/>
      <c r="J2029" s="4"/>
    </row>
    <row r="2030" spans="1:10" x14ac:dyDescent="0.2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Jaime\QUIFA-CAJÚA\Cajua\[VAS_CAJUA_CF_SEC_20230125.xlsx]CF PSND'!</v>
      </c>
      <c r="G2030" s="7" t="s">
        <v>39</v>
      </c>
      <c r="H2030" s="4"/>
      <c r="I2030" s="4"/>
      <c r="J2030" s="4"/>
    </row>
    <row r="2031" spans="1:10" x14ac:dyDescent="0.2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Jaime\QUIFA-CAJÚA\Cajua\[VAS_CAJUA_CF_SEC_20230125.xlsx]CF PSND'!</v>
      </c>
      <c r="G2031" s="7" t="s">
        <v>39</v>
      </c>
      <c r="H2031" s="4"/>
      <c r="I2031" s="4"/>
      <c r="J2031" s="4"/>
    </row>
    <row r="2032" spans="1:10" x14ac:dyDescent="0.2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Jaime\QUIFA-CAJÚA\Cajua\[VAS_CAJUA_CF_SEC_20230125.xlsx]CF PSND'!</v>
      </c>
      <c r="G2032" s="7" t="s">
        <v>39</v>
      </c>
      <c r="H2032" s="4"/>
      <c r="I2032" s="4"/>
      <c r="J2032" s="4"/>
    </row>
    <row r="2033" spans="1:10" x14ac:dyDescent="0.2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Jaime\QUIFA-CAJÚA\Cajua\[VAS_CAJUA_CF_SEC_20230125.xlsx]CF PSND'!</v>
      </c>
      <c r="G2033" s="7" t="s">
        <v>39</v>
      </c>
      <c r="H2033" s="4"/>
      <c r="I2033" s="4"/>
      <c r="J2033" s="4"/>
    </row>
    <row r="2034" spans="1:10" x14ac:dyDescent="0.2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Jaime\QUIFA-CAJÚA\Cajua\[VAS_CAJUA_CF_SEC_20230125.xlsx]CF PSND'!</v>
      </c>
      <c r="G2034" s="7" t="s">
        <v>39</v>
      </c>
      <c r="H2034" s="4"/>
      <c r="I2034" s="4"/>
      <c r="J2034" s="4"/>
    </row>
    <row r="2035" spans="1:10" x14ac:dyDescent="0.2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Jaime\QUIFA-CAJÚA\Cajua\[VAS_CAJUA_CF_SEC_20230125.xlsx]CF PSND'!</v>
      </c>
      <c r="G2035" s="7" t="s">
        <v>39</v>
      </c>
      <c r="H2035" s="4"/>
      <c r="I2035" s="4"/>
      <c r="J2035" s="4"/>
    </row>
    <row r="2036" spans="1:10" x14ac:dyDescent="0.2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Jaime\QUIFA-CAJÚA\Cajua\[VAS_CAJUA_CF_SEC_20230125.xlsx]CF PSND'!</v>
      </c>
      <c r="G2036" s="7" t="s">
        <v>39</v>
      </c>
      <c r="H2036" s="4"/>
      <c r="I2036" s="4"/>
      <c r="J2036" s="4"/>
    </row>
    <row r="2037" spans="1:10" x14ac:dyDescent="0.2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Jaime\QUIFA-CAJÚA\Cajua\[VAS_CAJUA_CF_SEC_20230125.xlsx]CF PSND'!</v>
      </c>
      <c r="G2037" s="7" t="s">
        <v>39</v>
      </c>
      <c r="H2037" s="4"/>
      <c r="I2037" s="4"/>
      <c r="J2037" s="4"/>
    </row>
    <row r="2038" spans="1:10" x14ac:dyDescent="0.2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Jaime\QUIFA-CAJÚA\Cajua\[VAS_CAJUA_CF_SEC_20230125.xlsx]CF PSND'!</v>
      </c>
      <c r="G2038" s="7" t="s">
        <v>39</v>
      </c>
      <c r="H2038" s="4"/>
      <c r="I2038" s="4"/>
      <c r="J2038" s="4"/>
    </row>
    <row r="2039" spans="1:10" x14ac:dyDescent="0.2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Jaime\QUIFA-CAJÚA\Cajua\[VAS_CAJUA_CF_SEC_20230125.xlsx]CF PSND'!</v>
      </c>
      <c r="G2039" s="7" t="s">
        <v>39</v>
      </c>
      <c r="H2039" s="4"/>
      <c r="I2039" s="4"/>
      <c r="J2039" s="4"/>
    </row>
    <row r="2040" spans="1:10" x14ac:dyDescent="0.2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Jaime\QUIFA-CAJÚA\Cajua\[VAS_CAJUA_CF_SEC_20230125.xlsx]CF PSND'!</v>
      </c>
      <c r="G2040" s="7" t="s">
        <v>39</v>
      </c>
      <c r="H2040" s="4"/>
      <c r="I2040" s="4"/>
      <c r="J2040" s="4"/>
    </row>
    <row r="2041" spans="1:10" x14ac:dyDescent="0.2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Jaime\QUIFA-CAJÚA\Cajua\[VAS_CAJUA_CF_SEC_20230125.xlsx]CF PSND'!</v>
      </c>
      <c r="G2041" s="7" t="s">
        <v>39</v>
      </c>
      <c r="H2041" s="4"/>
      <c r="I2041" s="4"/>
      <c r="J2041" s="4"/>
    </row>
    <row r="2042" spans="1:10" x14ac:dyDescent="0.2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Jaime\QUIFA-CAJÚA\Cajua\[VAS_CAJUA_CF_SEC_20230125.xlsx]CF PSND'!</v>
      </c>
      <c r="G2042" s="7" t="s">
        <v>39</v>
      </c>
      <c r="H2042" s="4"/>
      <c r="I2042" s="4"/>
      <c r="J2042" s="4"/>
    </row>
    <row r="2043" spans="1:10" x14ac:dyDescent="0.2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Jaime\QUIFA-CAJÚA\Cajua\[VAS_CAJUA_CF_SEC_20230125.xlsx]CF PSND'!</v>
      </c>
      <c r="G2043" s="7" t="s">
        <v>39</v>
      </c>
      <c r="H2043" s="4"/>
      <c r="I2043" s="4"/>
      <c r="J2043" s="4"/>
    </row>
    <row r="2044" spans="1:10" x14ac:dyDescent="0.2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Jaime\QUIFA-CAJÚA\Cajua\[VAS_CAJUA_CF_SEC_20230125.xlsx]CF PSND'!</v>
      </c>
      <c r="G2044" s="7" t="s">
        <v>39</v>
      </c>
      <c r="H2044" s="4"/>
      <c r="I2044" s="4"/>
      <c r="J2044" s="4"/>
    </row>
    <row r="2045" spans="1:10" x14ac:dyDescent="0.2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Jaime\QUIFA-CAJÚA\Cajua\[VAS_CAJUA_CF_SEC_20230125.xlsx]CF PSND'!</v>
      </c>
      <c r="G2045" s="7" t="s">
        <v>39</v>
      </c>
      <c r="H2045" s="4"/>
      <c r="I2045" s="4"/>
      <c r="J2045" s="4"/>
    </row>
    <row r="2046" spans="1:10" x14ac:dyDescent="0.2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Jaime\QUIFA-CAJÚA\Cajua\[VAS_CAJUA_CF_SEC_20230125.xlsx]CF PSND'!</v>
      </c>
      <c r="G2046" s="7" t="s">
        <v>39</v>
      </c>
      <c r="H2046" s="4"/>
      <c r="I2046" s="4"/>
      <c r="J2046" s="4"/>
    </row>
    <row r="2047" spans="1:10" x14ac:dyDescent="0.2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Jaime\QUIFA-CAJÚA\Cajua\[VAS_CAJUA_CF_SEC_20230125.xlsx]CF PSND'!</v>
      </c>
      <c r="G2047" s="7" t="s">
        <v>39</v>
      </c>
      <c r="H2047" s="4"/>
      <c r="I2047" s="4"/>
      <c r="J2047" s="4"/>
    </row>
    <row r="2048" spans="1:10" x14ac:dyDescent="0.2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Jaime\QUIFA-CAJÚA\Cajua\[VAS_CAJUA_CF_SEC_20230125.xlsx]CF PSND'!</v>
      </c>
      <c r="G2048" s="7" t="s">
        <v>39</v>
      </c>
      <c r="H2048" s="4"/>
      <c r="I2048" s="4"/>
      <c r="J2048" s="4"/>
    </row>
    <row r="2049" spans="1:10" x14ac:dyDescent="0.2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Jaime\QUIFA-CAJÚA\Cajua\[VAS_CAJUA_CF_SEC_20230125.xlsx]CF PSND'!</v>
      </c>
      <c r="G2049" s="7" t="s">
        <v>39</v>
      </c>
      <c r="H2049" s="4"/>
      <c r="I2049" s="4"/>
      <c r="J2049" s="4"/>
    </row>
    <row r="2050" spans="1:10" x14ac:dyDescent="0.2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Jaime\QUIFA-CAJÚA\Cajua\[VAS_CAJUA_CF_SEC_20230125.xlsx]CF PSND'!</v>
      </c>
      <c r="G2050" s="7" t="s">
        <v>39</v>
      </c>
      <c r="H2050" s="4"/>
      <c r="I2050" s="4"/>
      <c r="J2050" s="4"/>
    </row>
    <row r="2051" spans="1:10" x14ac:dyDescent="0.2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Jaime\QUIFA-CAJÚA\Cajua\[VAS_CAJUA_CF_SEC_20230125.xlsx]CF PSND'!</v>
      </c>
      <c r="G2051" s="7" t="s">
        <v>39</v>
      </c>
      <c r="H2051" s="4"/>
      <c r="I2051" s="4"/>
      <c r="J2051" s="4"/>
    </row>
    <row r="2052" spans="1:10" x14ac:dyDescent="0.2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Jaime\QUIFA-CAJÚA\Cajua\[VAS_CAJUA_CF_SEC_20230125.xlsx]CF PSND'!</v>
      </c>
      <c r="G2052" s="7" t="s">
        <v>39</v>
      </c>
      <c r="H2052" s="4"/>
      <c r="I2052" s="4"/>
      <c r="J2052" s="4"/>
    </row>
    <row r="2053" spans="1:10" x14ac:dyDescent="0.25">
      <c r="A2053" s="7" t="s">
        <v>28</v>
      </c>
      <c r="B2053" s="7"/>
      <c r="C2053" s="4" t="s">
        <v>17</v>
      </c>
      <c r="D2053" s="5"/>
      <c r="E2053" s="10"/>
      <c r="F2053" s="5"/>
      <c r="G2053" s="7"/>
      <c r="H2053" s="4"/>
      <c r="I2053" s="4"/>
      <c r="J2053" s="4"/>
    </row>
    <row r="2054" spans="1:10" x14ac:dyDescent="0.2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Jaime\QUIFA-CAJÚA\Cajua\[VAS_CAJUA_CF_SEC_20230125.xlsx]CF PS'!</v>
      </c>
      <c r="G2054" s="7" t="s">
        <v>39</v>
      </c>
      <c r="H2054" s="4">
        <f>IF(A2054&lt;&gt;A1924,36,H1924+1)</f>
        <v>36</v>
      </c>
      <c r="I2054" s="4" t="str">
        <f t="shared" si="406"/>
        <v>='C:\Users\jaime.benazar\Quorum Business Solutions\Ecopetrol Prometeo - Documents\Planning Space Implementation\3. Analysis &amp; Design\Design\FC22\DRR Jaime\QUIFA-CAJÚA\Cajua\[VAS_CAJUA_CF_SEC_20230125.xlsx]CF PS'!$BU$36</v>
      </c>
      <c r="J2054" s="4" t="s">
        <v>1017</v>
      </c>
    </row>
    <row r="2055" spans="1:10" x14ac:dyDescent="0.2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Jaime\QUIFA-CAJÚA\Cajua\[VAS_CAJUA_CF_SEC_20230125.xlsx]CF PS'!</v>
      </c>
      <c r="G2055" s="7" t="s">
        <v>39</v>
      </c>
      <c r="H2055" s="4">
        <f t="shared" si="407"/>
        <v>37</v>
      </c>
      <c r="I2055" s="4" t="str">
        <f t="shared" si="406"/>
        <v>='C:\Users\jaime.benazar\Quorum Business Solutions\Ecopetrol Prometeo - Documents\Planning Space Implementation\3. Analysis &amp; Design\Design\FC22\DRR Jaime\QUIFA-CAJÚA\Cajua\[VAS_CAJUA_CF_SEC_20230125.xlsx]CF PS'!$BU$37</v>
      </c>
      <c r="J2055" s="4" t="s">
        <v>1018</v>
      </c>
    </row>
    <row r="2056" spans="1:10" x14ac:dyDescent="0.2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Jaime\QUIFA-CAJÚA\Cajua\[VAS_CAJUA_CF_SEC_20230125.xlsx]CF PS'!</v>
      </c>
      <c r="G2056" s="7" t="s">
        <v>39</v>
      </c>
      <c r="H2056" s="4">
        <f t="shared" si="407"/>
        <v>38</v>
      </c>
      <c r="I2056" s="4" t="str">
        <f t="shared" si="406"/>
        <v>='C:\Users\jaime.benazar\Quorum Business Solutions\Ecopetrol Prometeo - Documents\Planning Space Implementation\3. Analysis &amp; Design\Design\FC22\DRR Jaime\QUIFA-CAJÚA\Cajua\[VAS_CAJUA_CF_SEC_20230125.xlsx]CF PS'!$BU$38</v>
      </c>
      <c r="J2056" s="4" t="s">
        <v>1019</v>
      </c>
    </row>
    <row r="2057" spans="1:10" x14ac:dyDescent="0.2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Jaime\QUIFA-CAJÚA\Cajua\[VAS_CAJUA_CF_SEC_20230125.xlsx]CF PS'!</v>
      </c>
      <c r="G2057" s="7" t="s">
        <v>39</v>
      </c>
      <c r="H2057" s="4">
        <f t="shared" si="407"/>
        <v>39</v>
      </c>
      <c r="I2057" s="4" t="str">
        <f t="shared" si="406"/>
        <v>='C:\Users\jaime.benazar\Quorum Business Solutions\Ecopetrol Prometeo - Documents\Planning Space Implementation\3. Analysis &amp; Design\Design\FC22\DRR Jaime\QUIFA-CAJÚA\Cajua\[VAS_CAJUA_CF_SEC_20230125.xlsx]CF PS'!$BU$39</v>
      </c>
      <c r="J2057" s="4" t="s">
        <v>1020</v>
      </c>
    </row>
    <row r="2058" spans="1:10" x14ac:dyDescent="0.2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Jaime\QUIFA-CAJÚA\Cajua\[VAS_CAJUA_CF_SEC_20230125.xlsx]CF PS'!</v>
      </c>
      <c r="G2058" s="7" t="s">
        <v>39</v>
      </c>
      <c r="H2058" s="4">
        <f t="shared" si="407"/>
        <v>40</v>
      </c>
      <c r="I2058" s="4" t="str">
        <f t="shared" si="406"/>
        <v>='C:\Users\jaime.benazar\Quorum Business Solutions\Ecopetrol Prometeo - Documents\Planning Space Implementation\3. Analysis &amp; Design\Design\FC22\DRR Jaime\QUIFA-CAJÚA\Cajua\[VAS_CAJUA_CF_SEC_20230125.xlsx]CF PS'!$BU$40</v>
      </c>
      <c r="J2058" s="4" t="s">
        <v>1021</v>
      </c>
    </row>
    <row r="2059" spans="1:10" x14ac:dyDescent="0.2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Jaime\QUIFA-CAJÚA\Cajua\[VAS_CAJUA_CF_SEC_20230125.xlsx]CF PS'!</v>
      </c>
      <c r="G2059" s="7" t="s">
        <v>39</v>
      </c>
      <c r="H2059" s="4">
        <f t="shared" si="407"/>
        <v>41</v>
      </c>
      <c r="I2059" s="4" t="str">
        <f t="shared" si="406"/>
        <v>='C:\Users\jaime.benazar\Quorum Business Solutions\Ecopetrol Prometeo - Documents\Planning Space Implementation\3. Analysis &amp; Design\Design\FC22\DRR Jaime\QUIFA-CAJÚA\Cajua\[VAS_CAJUA_CF_SEC_20230125.xlsx]CF PS'!$BU$41</v>
      </c>
      <c r="J2059" s="4" t="s">
        <v>1022</v>
      </c>
    </row>
    <row r="2060" spans="1:10" x14ac:dyDescent="0.2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Jaime\QUIFA-CAJÚA\Cajua\[VAS_CAJUA_CF_SEC_20230125.xlsx]CF PS'!</v>
      </c>
      <c r="G2060" s="7" t="s">
        <v>39</v>
      </c>
      <c r="H2060" s="4">
        <f t="shared" si="407"/>
        <v>42</v>
      </c>
      <c r="I2060" s="4" t="str">
        <f t="shared" si="406"/>
        <v>='C:\Users\jaime.benazar\Quorum Business Solutions\Ecopetrol Prometeo - Documents\Planning Space Implementation\3. Analysis &amp; Design\Design\FC22\DRR Jaime\QUIFA-CAJÚA\Cajua\[VAS_CAJUA_CF_SEC_20230125.xlsx]CF PS'!$BU$42</v>
      </c>
      <c r="J2060" s="4" t="s">
        <v>1023</v>
      </c>
    </row>
    <row r="2061" spans="1:10" x14ac:dyDescent="0.2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Jaime\QUIFA-CAJÚA\Cajua\[VAS_CAJUA_CF_SEC_20230125.xlsx]CF PS'!</v>
      </c>
      <c r="G2061" s="7" t="s">
        <v>39</v>
      </c>
      <c r="H2061" s="4">
        <f t="shared" si="407"/>
        <v>43</v>
      </c>
      <c r="I2061" s="4" t="str">
        <f t="shared" si="406"/>
        <v>='C:\Users\jaime.benazar\Quorum Business Solutions\Ecopetrol Prometeo - Documents\Planning Space Implementation\3. Analysis &amp; Design\Design\FC22\DRR Jaime\QUIFA-CAJÚA\Cajua\[VAS_CAJUA_CF_SEC_20230125.xlsx]CF PS'!$BU$43</v>
      </c>
      <c r="J2061" s="4" t="s">
        <v>1024</v>
      </c>
    </row>
    <row r="2062" spans="1:10" x14ac:dyDescent="0.2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Jaime\QUIFA-CAJÚA\Cajua\[VAS_CAJUA_CF_SEC_20230125.xlsx]CF PS'!</v>
      </c>
      <c r="G2062" s="7" t="s">
        <v>39</v>
      </c>
      <c r="H2062" s="4">
        <f t="shared" si="407"/>
        <v>44</v>
      </c>
      <c r="I2062" s="4" t="str">
        <f t="shared" si="406"/>
        <v>='C:\Users\jaime.benazar\Quorum Business Solutions\Ecopetrol Prometeo - Documents\Planning Space Implementation\3. Analysis &amp; Design\Design\FC22\DRR Jaime\QUIFA-CAJÚA\Cajua\[VAS_CAJUA_CF_SEC_20230125.xlsx]CF PS'!$BU$44</v>
      </c>
      <c r="J2062" s="4" t="s">
        <v>1025</v>
      </c>
    </row>
    <row r="2063" spans="1:10" x14ac:dyDescent="0.2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Jaime\QUIFA-CAJÚA\Cajua\[VAS_CAJUA_CF_SEC_20230125.xlsx]CF PS'!</v>
      </c>
      <c r="G2063" s="7" t="s">
        <v>39</v>
      </c>
      <c r="H2063" s="4">
        <f t="shared" si="407"/>
        <v>45</v>
      </c>
      <c r="I2063" s="4" t="str">
        <f t="shared" si="406"/>
        <v>='C:\Users\jaime.benazar\Quorum Business Solutions\Ecopetrol Prometeo - Documents\Planning Space Implementation\3. Analysis &amp; Design\Design\FC22\DRR Jaime\QUIFA-CAJÚA\Cajua\[VAS_CAJUA_CF_SEC_20230125.xlsx]CF PS'!$BU$45</v>
      </c>
      <c r="J2063" s="4" t="s">
        <v>1026</v>
      </c>
    </row>
    <row r="2064" spans="1:10" x14ac:dyDescent="0.2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Jaime\QUIFA-CAJÚA\Cajua\[VAS_CAJUA_CF_SEC_20230125.xlsx]CF PS'!</v>
      </c>
      <c r="G2064" s="7" t="s">
        <v>39</v>
      </c>
      <c r="H2064" s="4">
        <f t="shared" si="407"/>
        <v>46</v>
      </c>
      <c r="I2064" s="4" t="str">
        <f t="shared" si="406"/>
        <v>='C:\Users\jaime.benazar\Quorum Business Solutions\Ecopetrol Prometeo - Documents\Planning Space Implementation\3. Analysis &amp; Design\Design\FC22\DRR Jaime\QUIFA-CAJÚA\Cajua\[VAS_CAJUA_CF_SEC_20230125.xlsx]CF PS'!$BU$46</v>
      </c>
      <c r="J2064" s="4" t="s">
        <v>1027</v>
      </c>
    </row>
    <row r="2065" spans="1:10" x14ac:dyDescent="0.2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Jaime\QUIFA-CAJÚA\Cajua\[VAS_CAJUA_CF_SEC_20230125.xlsx]CF PS'!</v>
      </c>
      <c r="G2065" s="7" t="s">
        <v>39</v>
      </c>
      <c r="H2065" s="4">
        <f t="shared" si="407"/>
        <v>47</v>
      </c>
      <c r="I2065" s="4" t="str">
        <f t="shared" si="406"/>
        <v>='C:\Users\jaime.benazar\Quorum Business Solutions\Ecopetrol Prometeo - Documents\Planning Space Implementation\3. Analysis &amp; Design\Design\FC22\DRR Jaime\QUIFA-CAJÚA\Cajua\[VAS_CAJUA_CF_SEC_20230125.xlsx]CF PS'!$BU$47</v>
      </c>
      <c r="J2065" s="4" t="s">
        <v>1028</v>
      </c>
    </row>
    <row r="2066" spans="1:10" x14ac:dyDescent="0.2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Jaime\QUIFA-CAJÚA\Cajua\[VAS_CAJUA_CF_SEC_20230125.xlsx]CF PS'!</v>
      </c>
      <c r="G2066" s="7" t="s">
        <v>39</v>
      </c>
      <c r="H2066" s="4">
        <f t="shared" si="407"/>
        <v>48</v>
      </c>
      <c r="I2066" s="4" t="str">
        <f t="shared" si="406"/>
        <v>='C:\Users\jaime.benazar\Quorum Business Solutions\Ecopetrol Prometeo - Documents\Planning Space Implementation\3. Analysis &amp; Design\Design\FC22\DRR Jaime\QUIFA-CAJÚA\Cajua\[VAS_CAJUA_CF_SEC_20230125.xlsx]CF PS'!$BU$48</v>
      </c>
      <c r="J2066" s="4" t="s">
        <v>1029</v>
      </c>
    </row>
    <row r="2067" spans="1:10" x14ac:dyDescent="0.2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Jaime\QUIFA-CAJÚA\Cajua\[VAS_CAJUA_CF_SEC_20230125.xlsx]CF PS'!</v>
      </c>
      <c r="G2067" s="7" t="s">
        <v>39</v>
      </c>
      <c r="H2067" s="4">
        <f t="shared" si="407"/>
        <v>49</v>
      </c>
      <c r="I2067" s="4" t="str">
        <f t="shared" si="406"/>
        <v>='C:\Users\jaime.benazar\Quorum Business Solutions\Ecopetrol Prometeo - Documents\Planning Space Implementation\3. Analysis &amp; Design\Design\FC22\DRR Jaime\QUIFA-CAJÚA\Cajua\[VAS_CAJUA_CF_SEC_20230125.xlsx]CF PS'!$BU$49</v>
      </c>
      <c r="J2067" s="4" t="s">
        <v>1030</v>
      </c>
    </row>
    <row r="2068" spans="1:10" x14ac:dyDescent="0.2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Jaime\QUIFA-CAJÚA\Cajua\[VAS_CAJUA_CF_SEC_20230125.xlsx]CF PS'!</v>
      </c>
      <c r="G2068" s="7" t="s">
        <v>39</v>
      </c>
      <c r="H2068" s="4">
        <f t="shared" si="407"/>
        <v>50</v>
      </c>
      <c r="I2068" s="4" t="str">
        <f t="shared" si="406"/>
        <v>='C:\Users\jaime.benazar\Quorum Business Solutions\Ecopetrol Prometeo - Documents\Planning Space Implementation\3. Analysis &amp; Design\Design\FC22\DRR Jaime\QUIFA-CAJÚA\Cajua\[VAS_CAJUA_CF_SEC_20230125.xlsx]CF PS'!$BU$50</v>
      </c>
      <c r="J2068" s="4" t="s">
        <v>1031</v>
      </c>
    </row>
    <row r="2069" spans="1:10" x14ac:dyDescent="0.2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Jaime\QUIFA-CAJÚA\Cajua\[VAS_CAJUA_CF_SEC_20230125.xlsx]CF PS'!</v>
      </c>
      <c r="G2069" s="7" t="s">
        <v>39</v>
      </c>
      <c r="H2069" s="4">
        <f t="shared" si="407"/>
        <v>51</v>
      </c>
      <c r="I2069" s="4" t="str">
        <f t="shared" si="406"/>
        <v>='C:\Users\jaime.benazar\Quorum Business Solutions\Ecopetrol Prometeo - Documents\Planning Space Implementation\3. Analysis &amp; Design\Design\FC22\DRR Jaime\QUIFA-CAJÚA\Cajua\[VAS_CAJUA_CF_SEC_20230125.xlsx]CF PS'!$BU$51</v>
      </c>
      <c r="J2069" s="4" t="s">
        <v>1032</v>
      </c>
    </row>
    <row r="2070" spans="1:10" x14ac:dyDescent="0.2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Jaime\QUIFA-CAJÚA\Cajua\[VAS_CAJUA_CF_SEC_20230125.xlsx]CF PS'!</v>
      </c>
      <c r="G2070" s="7" t="s">
        <v>39</v>
      </c>
      <c r="H2070" s="4">
        <f t="shared" si="407"/>
        <v>52</v>
      </c>
      <c r="I2070" s="4" t="str">
        <f t="shared" si="406"/>
        <v>='C:\Users\jaime.benazar\Quorum Business Solutions\Ecopetrol Prometeo - Documents\Planning Space Implementation\3. Analysis &amp; Design\Design\FC22\DRR Jaime\QUIFA-CAJÚA\Cajua\[VAS_CAJUA_CF_SEC_20230125.xlsx]CF PS'!$BU$52</v>
      </c>
      <c r="J2070" s="4" t="s">
        <v>1033</v>
      </c>
    </row>
    <row r="2071" spans="1:10" x14ac:dyDescent="0.2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Jaime\QUIFA-CAJÚA\Cajua\[VAS_CAJUA_CF_SEC_20230125.xlsx]CF PS'!</v>
      </c>
      <c r="G2071" s="7" t="s">
        <v>39</v>
      </c>
      <c r="H2071" s="4">
        <f t="shared" si="407"/>
        <v>53</v>
      </c>
      <c r="I2071" s="4" t="str">
        <f t="shared" si="406"/>
        <v>='C:\Users\jaime.benazar\Quorum Business Solutions\Ecopetrol Prometeo - Documents\Planning Space Implementation\3. Analysis &amp; Design\Design\FC22\DRR Jaime\QUIFA-CAJÚA\Cajua\[VAS_CAJUA_CF_SEC_20230125.xlsx]CF PS'!$BU$53</v>
      </c>
      <c r="J2071" s="4" t="s">
        <v>1034</v>
      </c>
    </row>
    <row r="2072" spans="1:10" x14ac:dyDescent="0.2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Jaime\QUIFA-CAJÚA\Cajua\[VAS_CAJUA_CF_SEC_20230125.xlsx]CF PS'!</v>
      </c>
      <c r="G2072" s="7" t="s">
        <v>39</v>
      </c>
      <c r="H2072" s="4">
        <f t="shared" si="407"/>
        <v>54</v>
      </c>
      <c r="I2072" s="4" t="str">
        <f t="shared" si="406"/>
        <v>='C:\Users\jaime.benazar\Quorum Business Solutions\Ecopetrol Prometeo - Documents\Planning Space Implementation\3. Analysis &amp; Design\Design\FC22\DRR Jaime\QUIFA-CAJÚA\Cajua\[VAS_CAJUA_CF_SEC_20230125.xlsx]CF PS'!$BU$54</v>
      </c>
      <c r="J2072" s="4" t="s">
        <v>1035</v>
      </c>
    </row>
    <row r="2073" spans="1:10" x14ac:dyDescent="0.2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Jaime\QUIFA-CAJÚA\Cajua\[VAS_CAJUA_CF_SEC_20230125.xlsx]CF PS'!</v>
      </c>
      <c r="G2073" s="7" t="s">
        <v>39</v>
      </c>
      <c r="H2073" s="4">
        <f t="shared" si="407"/>
        <v>55</v>
      </c>
      <c r="I2073" s="4" t="str">
        <f t="shared" si="406"/>
        <v>='C:\Users\jaime.benazar\Quorum Business Solutions\Ecopetrol Prometeo - Documents\Planning Space Implementation\3. Analysis &amp; Design\Design\FC22\DRR Jaime\QUIFA-CAJÚA\Cajua\[VAS_CAJUA_CF_SEC_20230125.xlsx]CF PS'!$BU$55</v>
      </c>
      <c r="J2073" s="4" t="s">
        <v>1036</v>
      </c>
    </row>
    <row r="2074" spans="1:10" x14ac:dyDescent="0.2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Jaime\QUIFA-CAJÚA\Cajua\[VAS_CAJUA_CF_SEC_20230125.xlsx]CF PS'!</v>
      </c>
      <c r="G2074" s="7" t="s">
        <v>39</v>
      </c>
      <c r="H2074" s="4">
        <f t="shared" si="407"/>
        <v>56</v>
      </c>
      <c r="I2074" s="4" t="str">
        <f t="shared" si="406"/>
        <v>='C:\Users\jaime.benazar\Quorum Business Solutions\Ecopetrol Prometeo - Documents\Planning Space Implementation\3. Analysis &amp; Design\Design\FC22\DRR Jaime\QUIFA-CAJÚA\Cajua\[VAS_CAJUA_CF_SEC_20230125.xlsx]CF PS'!$BU$56</v>
      </c>
      <c r="J2074" s="4" t="s">
        <v>1037</v>
      </c>
    </row>
    <row r="2075" spans="1:10" x14ac:dyDescent="0.2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Jaime\QUIFA-CAJÚA\Cajua\[VAS_CAJUA_CF_SEC_20230125.xlsx]CF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Jaime\QUIFA-CAJÚA\Cajua\[VAS_CAJUA_CF_SEC_20230125.xlsx]CF PS'!$BU$57</v>
      </c>
      <c r="J2075" s="4" t="s">
        <v>1038</v>
      </c>
    </row>
    <row r="2076" spans="1:10" x14ac:dyDescent="0.2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Jaime\QUIFA-CAJÚA\Cajua\[VAS_CAJUA_CF_SEC_20230125.xlsx]CF PS'!</v>
      </c>
      <c r="G2076" s="7" t="s">
        <v>39</v>
      </c>
      <c r="H2076" s="4">
        <f t="shared" si="476"/>
        <v>58</v>
      </c>
      <c r="I2076" s="4" t="str">
        <f t="shared" si="477"/>
        <v>='C:\Users\jaime.benazar\Quorum Business Solutions\Ecopetrol Prometeo - Documents\Planning Space Implementation\3. Analysis &amp; Design\Design\FC22\DRR Jaime\QUIFA-CAJÚA\Cajua\[VAS_CAJUA_CF_SEC_20230125.xlsx]CF PS'!$BU$58</v>
      </c>
      <c r="J2076" s="4" t="s">
        <v>1039</v>
      </c>
    </row>
    <row r="2077" spans="1:10" x14ac:dyDescent="0.2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Jaime\QUIFA-CAJÚA\Cajua\[VAS_CAJUA_CF_SEC_20230125.xlsx]CF PS'!</v>
      </c>
      <c r="G2077" s="7" t="s">
        <v>39</v>
      </c>
      <c r="H2077" s="4">
        <f t="shared" si="476"/>
        <v>59</v>
      </c>
      <c r="I2077" s="4" t="str">
        <f t="shared" si="477"/>
        <v>='C:\Users\jaime.benazar\Quorum Business Solutions\Ecopetrol Prometeo - Documents\Planning Space Implementation\3. Analysis &amp; Design\Design\FC22\DRR Jaime\QUIFA-CAJÚA\Cajua\[VAS_CAJUA_CF_SEC_20230125.xlsx]CF PS'!$BU$59</v>
      </c>
      <c r="J2077" s="4" t="s">
        <v>1040</v>
      </c>
    </row>
    <row r="2078" spans="1:10" x14ac:dyDescent="0.2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Jaime\QUIFA-CAJÚA\Cajua\[VAS_CAJUA_CF_SEC_20230125.xlsx]CF PS'!</v>
      </c>
      <c r="G2078" s="7" t="s">
        <v>39</v>
      </c>
      <c r="H2078" s="4">
        <f t="shared" si="476"/>
        <v>60</v>
      </c>
      <c r="I2078" s="4" t="str">
        <f t="shared" si="477"/>
        <v>='C:\Users\jaime.benazar\Quorum Business Solutions\Ecopetrol Prometeo - Documents\Planning Space Implementation\3. Analysis &amp; Design\Design\FC22\DRR Jaime\QUIFA-CAJÚA\Cajua\[VAS_CAJUA_CF_SEC_20230125.xlsx]CF PS'!$BU$60</v>
      </c>
      <c r="J2078" s="4" t="s">
        <v>1041</v>
      </c>
    </row>
    <row r="2079" spans="1:10" x14ac:dyDescent="0.2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Jaime\QUIFA-CAJÚA\Cajua\[VAS_CAJUA_CF_SEC_20230125.xlsx]CF PS'!</v>
      </c>
      <c r="G2079" s="7" t="s">
        <v>39</v>
      </c>
      <c r="H2079" s="4">
        <f t="shared" si="476"/>
        <v>61</v>
      </c>
      <c r="I2079" s="4" t="str">
        <f t="shared" si="477"/>
        <v>='C:\Users\jaime.benazar\Quorum Business Solutions\Ecopetrol Prometeo - Documents\Planning Space Implementation\3. Analysis &amp; Design\Design\FC22\DRR Jaime\QUIFA-CAJÚA\Cajua\[VAS_CAJUA_CF_SEC_20230125.xlsx]CF PS'!$BU$61</v>
      </c>
      <c r="J2079" s="4" t="s">
        <v>1042</v>
      </c>
    </row>
    <row r="2080" spans="1:10" x14ac:dyDescent="0.2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Jaime\QUIFA-CAJÚA\Cajua\[VAS_CAJUA_CF_SEC_20230125.xlsx]CF PS'!</v>
      </c>
      <c r="G2080" s="7" t="s">
        <v>39</v>
      </c>
      <c r="H2080" s="4">
        <f t="shared" si="476"/>
        <v>62</v>
      </c>
      <c r="I2080" s="4" t="str">
        <f t="shared" si="477"/>
        <v>='C:\Users\jaime.benazar\Quorum Business Solutions\Ecopetrol Prometeo - Documents\Planning Space Implementation\3. Analysis &amp; Design\Design\FC22\DRR Jaime\QUIFA-CAJÚA\Cajua\[VAS_CAJUA_CF_SEC_20230125.xlsx]CF PS'!$BU$62</v>
      </c>
      <c r="J2080" s="4" t="s">
        <v>1043</v>
      </c>
    </row>
    <row r="2081" spans="1:10" x14ac:dyDescent="0.2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Jaime\QUIFA-CAJÚA\Cajua\[VAS_CAJUA_CF_SEC_20230125.xlsx]CF PS'!</v>
      </c>
      <c r="G2081" s="7" t="s">
        <v>39</v>
      </c>
      <c r="H2081" s="4">
        <f t="shared" si="476"/>
        <v>63</v>
      </c>
      <c r="I2081" s="4" t="str">
        <f t="shared" si="477"/>
        <v>='C:\Users\jaime.benazar\Quorum Business Solutions\Ecopetrol Prometeo - Documents\Planning Space Implementation\3. Analysis &amp; Design\Design\FC22\DRR Jaime\QUIFA-CAJÚA\Cajua\[VAS_CAJUA_CF_SEC_20230125.xlsx]CF PS'!$BU$63</v>
      </c>
      <c r="J2081" s="4" t="s">
        <v>1044</v>
      </c>
    </row>
    <row r="2082" spans="1:10" x14ac:dyDescent="0.2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Jaime\QUIFA-CAJÚA\Cajua\[VAS_CAJUA_CF_SEC_20230125.xlsx]CF PS'!</v>
      </c>
      <c r="G2082" s="7" t="s">
        <v>39</v>
      </c>
      <c r="H2082" s="4">
        <f t="shared" si="476"/>
        <v>64</v>
      </c>
      <c r="I2082" s="4" t="str">
        <f t="shared" si="477"/>
        <v>='C:\Users\jaime.benazar\Quorum Business Solutions\Ecopetrol Prometeo - Documents\Planning Space Implementation\3. Analysis &amp; Design\Design\FC22\DRR Jaime\QUIFA-CAJÚA\Cajua\[VAS_CAJUA_CF_SEC_20230125.xlsx]CF PS'!$BU$64</v>
      </c>
      <c r="J2082" s="4" t="s">
        <v>1045</v>
      </c>
    </row>
    <row r="2083" spans="1:10" x14ac:dyDescent="0.2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Jaime\QUIFA-CAJÚA\Cajua\[VAS_CAJUA_CF_SEC_20230125.xlsx]CF PS'!</v>
      </c>
      <c r="G2083" s="7" t="s">
        <v>39</v>
      </c>
      <c r="H2083" s="4">
        <f t="shared" si="476"/>
        <v>65</v>
      </c>
      <c r="I2083" s="4" t="str">
        <f t="shared" si="477"/>
        <v>='C:\Users\jaime.benazar\Quorum Business Solutions\Ecopetrol Prometeo - Documents\Planning Space Implementation\3. Analysis &amp; Design\Design\FC22\DRR Jaime\QUIFA-CAJÚA\Cajua\[VAS_CAJUA_CF_SEC_20230125.xlsx]CF PS'!$BU$65</v>
      </c>
      <c r="J2083" s="4" t="s">
        <v>1046</v>
      </c>
    </row>
    <row r="2084" spans="1:10" x14ac:dyDescent="0.2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Jaime\QUIFA-CAJÚA\Cajua\[VAS_CAJUA_CF_SEC_20230125.xlsx]CF PS'!</v>
      </c>
      <c r="G2084" s="7" t="s">
        <v>39</v>
      </c>
      <c r="H2084" s="4">
        <f t="shared" si="476"/>
        <v>66</v>
      </c>
      <c r="I2084" s="4" t="str">
        <f t="shared" si="477"/>
        <v>='C:\Users\jaime.benazar\Quorum Business Solutions\Ecopetrol Prometeo - Documents\Planning Space Implementation\3. Analysis &amp; Design\Design\FC22\DRR Jaime\QUIFA-CAJÚA\Cajua\[VAS_CAJUA_CF_SEC_20230125.xlsx]CF PS'!$BU$66</v>
      </c>
      <c r="J2084" s="4" t="s">
        <v>1047</v>
      </c>
    </row>
    <row r="2085" spans="1:10" x14ac:dyDescent="0.2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Jaime\QUIFA-CAJÚA\Cajua\[VAS_CAJUA_CF_SEC_20230125.xlsx]CF PS'!</v>
      </c>
      <c r="G2085" s="7" t="s">
        <v>39</v>
      </c>
      <c r="H2085" s="4">
        <f t="shared" si="476"/>
        <v>67</v>
      </c>
      <c r="I2085" s="4" t="str">
        <f t="shared" si="477"/>
        <v>='C:\Users\jaime.benazar\Quorum Business Solutions\Ecopetrol Prometeo - Documents\Planning Space Implementation\3. Analysis &amp; Design\Design\FC22\DRR Jaime\QUIFA-CAJÚA\Cajua\[VAS_CAJUA_CF_SEC_20230125.xlsx]CF PS'!$BU$67</v>
      </c>
      <c r="J2085" s="4" t="s">
        <v>1048</v>
      </c>
    </row>
    <row r="2086" spans="1:10" x14ac:dyDescent="0.2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Jaime\QUIFA-CAJÚA\Cajua\[VAS_CAJUA_CF_SEC_20230125.xlsx]CF PS'!</v>
      </c>
      <c r="G2086" s="7" t="s">
        <v>39</v>
      </c>
      <c r="H2086" s="4">
        <f t="shared" si="476"/>
        <v>68</v>
      </c>
      <c r="I2086" s="4" t="str">
        <f t="shared" si="477"/>
        <v>='C:\Users\jaime.benazar\Quorum Business Solutions\Ecopetrol Prometeo - Documents\Planning Space Implementation\3. Analysis &amp; Design\Design\FC22\DRR Jaime\QUIFA-CAJÚA\Cajua\[VAS_CAJUA_CF_SEC_20230125.xlsx]CF PS'!$BU$68</v>
      </c>
      <c r="J2086" s="4" t="s">
        <v>1049</v>
      </c>
    </row>
    <row r="2087" spans="1:10" x14ac:dyDescent="0.2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Jaime\QUIFA-CAJÚA\Cajua\[VAS_CAJUA_CF_SEC_20230125.xlsx]CF PS'!</v>
      </c>
      <c r="G2087" s="7" t="s">
        <v>39</v>
      </c>
      <c r="H2087" s="4">
        <f t="shared" si="476"/>
        <v>69</v>
      </c>
      <c r="I2087" s="4" t="str">
        <f t="shared" si="477"/>
        <v>='C:\Users\jaime.benazar\Quorum Business Solutions\Ecopetrol Prometeo - Documents\Planning Space Implementation\3. Analysis &amp; Design\Design\FC22\DRR Jaime\QUIFA-CAJÚA\Cajua\[VAS_CAJUA_CF_SEC_20230125.xlsx]CF PS'!$BU$69</v>
      </c>
      <c r="J2087" s="4" t="s">
        <v>1050</v>
      </c>
    </row>
    <row r="2088" spans="1:10" x14ac:dyDescent="0.2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Jaime\QUIFA-CAJÚA\Cajua\[VAS_CAJUA_CF_SEC_20230125.xlsx]CF PS'!</v>
      </c>
      <c r="G2088" s="7" t="s">
        <v>39</v>
      </c>
      <c r="H2088" s="4">
        <f t="shared" si="476"/>
        <v>70</v>
      </c>
      <c r="I2088" s="4" t="str">
        <f t="shared" si="477"/>
        <v>='C:\Users\jaime.benazar\Quorum Business Solutions\Ecopetrol Prometeo - Documents\Planning Space Implementation\3. Analysis &amp; Design\Design\FC22\DRR Jaime\QUIFA-CAJÚA\Cajua\[VAS_CAJUA_CF_SEC_20230125.xlsx]CF PS'!$BU$70</v>
      </c>
      <c r="J2088" s="4" t="s">
        <v>1051</v>
      </c>
    </row>
    <row r="2089" spans="1:10" x14ac:dyDescent="0.2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Jaime\QUIFA-CAJÚA\Cajua\[VAS_CAJUA_CF_SEC_20230125.xlsx]CF PS'!</v>
      </c>
      <c r="G2089" s="7" t="s">
        <v>39</v>
      </c>
      <c r="H2089" s="4">
        <f t="shared" si="476"/>
        <v>71</v>
      </c>
      <c r="I2089" s="4" t="str">
        <f t="shared" si="477"/>
        <v>='C:\Users\jaime.benazar\Quorum Business Solutions\Ecopetrol Prometeo - Documents\Planning Space Implementation\3. Analysis &amp; Design\Design\FC22\DRR Jaime\QUIFA-CAJÚA\Cajua\[VAS_CAJUA_CF_SEC_20230125.xlsx]CF PS'!$BU$71</v>
      </c>
      <c r="J2089" s="4" t="s">
        <v>1052</v>
      </c>
    </row>
    <row r="2090" spans="1:10" x14ac:dyDescent="0.2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Jaime\QUIFA-CAJÚA\Cajua\[VAS_CAJUA_CF_SEC_20230125.xlsx]CF PS'!</v>
      </c>
      <c r="G2090" s="7" t="s">
        <v>39</v>
      </c>
      <c r="H2090" s="4">
        <f t="shared" si="476"/>
        <v>72</v>
      </c>
      <c r="I2090" s="4" t="str">
        <f t="shared" si="477"/>
        <v>='C:\Users\jaime.benazar\Quorum Business Solutions\Ecopetrol Prometeo - Documents\Planning Space Implementation\3. Analysis &amp; Design\Design\FC22\DRR Jaime\QUIFA-CAJÚA\Cajua\[VAS_CAJUA_CF_SEC_20230125.xlsx]CF PS'!$BU$72</v>
      </c>
      <c r="J2090" s="4" t="s">
        <v>1053</v>
      </c>
    </row>
    <row r="2091" spans="1:10" x14ac:dyDescent="0.25">
      <c r="A2091" s="7" t="s">
        <v>28</v>
      </c>
      <c r="B2091" s="7"/>
      <c r="C2091" s="4" t="s">
        <v>17</v>
      </c>
      <c r="D2091" s="5"/>
      <c r="E2091" s="10"/>
      <c r="F2091" s="5"/>
      <c r="G2091" s="7"/>
      <c r="H2091" s="4"/>
      <c r="I2091" s="4"/>
      <c r="J2091" s="4"/>
    </row>
    <row r="2092" spans="1:10" x14ac:dyDescent="0.2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Jaime\QUIFA-CAJÚA\Cajua\[VAS_CAJUA_CF_SEC_20230125.xlsx]CF PDP'!</v>
      </c>
      <c r="G2092" s="6" t="s">
        <v>40</v>
      </c>
      <c r="H2092" s="1">
        <f>IF(A2092&lt;&gt;A2076,36,H2076+1)</f>
        <v>36</v>
      </c>
      <c r="I2092" s="1" t="str">
        <f>_xlfn.CONCAT("='",F2092:H2092)</f>
        <v>='C:\Users\jaime.benazar\Quorum Business Solutions\Ecopetrol Prometeo - Documents\Planning Space Implementation\3. Analysis &amp; Design\Design\FC22\DRR Jaime\QUIFA-CAJÚA\Cajua\[VAS_CAJUA_CF_SEC_20230125.xlsx]CF PDP'!$CT$36</v>
      </c>
      <c r="J2092" s="1" t="s">
        <v>1054</v>
      </c>
    </row>
    <row r="2093" spans="1:10" x14ac:dyDescent="0.2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Jaime\QUIFA-CAJÚA\Cajua\[VAS_CAJUA_CF_SEC_20230125.xlsx]CF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Jaime\QUIFA-CAJÚA\Cajua\[VAS_CAJUA_CF_SEC_20230125.xlsx]CF PDP'!$CT$37</v>
      </c>
      <c r="J2093" s="1" t="s">
        <v>1055</v>
      </c>
    </row>
    <row r="2094" spans="1:10" x14ac:dyDescent="0.2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Jaime\QUIFA-CAJÚA\Cajua\[VAS_CAJUA_CF_SEC_20230125.xlsx]CF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Jaime\QUIFA-CAJÚA\Cajua\[VAS_CAJUA_CF_SEC_20230125.xlsx]CF PDP'!$CT$38</v>
      </c>
      <c r="J2094" s="1" t="s">
        <v>1056</v>
      </c>
    </row>
    <row r="2095" spans="1:10" x14ac:dyDescent="0.2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Jaime\QUIFA-CAJÚA\Cajua\[VAS_CAJUA_CF_SEC_20230125.xlsx]CF PDP'!</v>
      </c>
      <c r="G2095" s="6" t="s">
        <v>40</v>
      </c>
      <c r="H2095" s="1">
        <f t="shared" si="483"/>
        <v>39</v>
      </c>
      <c r="I2095" s="1" t="str">
        <f t="shared" si="481"/>
        <v>='C:\Users\jaime.benazar\Quorum Business Solutions\Ecopetrol Prometeo - Documents\Planning Space Implementation\3. Analysis &amp; Design\Design\FC22\DRR Jaime\QUIFA-CAJÚA\Cajua\[VAS_CAJUA_CF_SEC_20230125.xlsx]CF PDP'!$CT$39</v>
      </c>
      <c r="J2095" s="1" t="s">
        <v>1057</v>
      </c>
    </row>
    <row r="2096" spans="1:10" x14ac:dyDescent="0.2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Jaime\QUIFA-CAJÚA\Cajua\[VAS_CAJUA_CF_SEC_20230125.xlsx]CF PDP'!</v>
      </c>
      <c r="G2096" s="6" t="s">
        <v>40</v>
      </c>
      <c r="H2096" s="1">
        <f t="shared" si="483"/>
        <v>40</v>
      </c>
      <c r="I2096" s="1" t="str">
        <f t="shared" si="481"/>
        <v>='C:\Users\jaime.benazar\Quorum Business Solutions\Ecopetrol Prometeo - Documents\Planning Space Implementation\3. Analysis &amp; Design\Design\FC22\DRR Jaime\QUIFA-CAJÚA\Cajua\[VAS_CAJUA_CF_SEC_20230125.xlsx]CF PDP'!$CT$40</v>
      </c>
      <c r="J2096" s="1" t="s">
        <v>1058</v>
      </c>
    </row>
    <row r="2097" spans="1:10" x14ac:dyDescent="0.2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Jaime\QUIFA-CAJÚA\Cajua\[VAS_CAJUA_CF_SEC_20230125.xlsx]CF PDP'!</v>
      </c>
      <c r="G2097" s="6" t="s">
        <v>40</v>
      </c>
      <c r="H2097" s="1">
        <f t="shared" si="483"/>
        <v>41</v>
      </c>
      <c r="I2097" s="1" t="str">
        <f t="shared" si="481"/>
        <v>='C:\Users\jaime.benazar\Quorum Business Solutions\Ecopetrol Prometeo - Documents\Planning Space Implementation\3. Analysis &amp; Design\Design\FC22\DRR Jaime\QUIFA-CAJÚA\Cajua\[VAS_CAJUA_CF_SEC_20230125.xlsx]CF PDP'!$CT$41</v>
      </c>
      <c r="J2097" s="1" t="s">
        <v>1059</v>
      </c>
    </row>
    <row r="2098" spans="1:10" x14ac:dyDescent="0.2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Jaime\QUIFA-CAJÚA\Cajua\[VAS_CAJUA_CF_SEC_20230125.xlsx]CF PDP'!</v>
      </c>
      <c r="G2098" s="6" t="s">
        <v>40</v>
      </c>
      <c r="H2098" s="1">
        <f t="shared" si="483"/>
        <v>42</v>
      </c>
      <c r="I2098" s="1" t="str">
        <f t="shared" si="481"/>
        <v>='C:\Users\jaime.benazar\Quorum Business Solutions\Ecopetrol Prometeo - Documents\Planning Space Implementation\3. Analysis &amp; Design\Design\FC22\DRR Jaime\QUIFA-CAJÚA\Cajua\[VAS_CAJUA_CF_SEC_20230125.xlsx]CF PDP'!$CT$42</v>
      </c>
      <c r="J2098" s="1" t="s">
        <v>1060</v>
      </c>
    </row>
    <row r="2099" spans="1:10" x14ac:dyDescent="0.2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Jaime\QUIFA-CAJÚA\Cajua\[VAS_CAJUA_CF_SEC_20230125.xlsx]CF PDP'!</v>
      </c>
      <c r="G2099" s="6" t="s">
        <v>40</v>
      </c>
      <c r="H2099" s="1">
        <f t="shared" si="483"/>
        <v>43</v>
      </c>
      <c r="I2099" s="1" t="str">
        <f t="shared" si="481"/>
        <v>='C:\Users\jaime.benazar\Quorum Business Solutions\Ecopetrol Prometeo - Documents\Planning Space Implementation\3. Analysis &amp; Design\Design\FC22\DRR Jaime\QUIFA-CAJÚA\Cajua\[VAS_CAJUA_CF_SEC_20230125.xlsx]CF PDP'!$CT$43</v>
      </c>
      <c r="J2099" s="1" t="s">
        <v>1061</v>
      </c>
    </row>
    <row r="2100" spans="1:10" x14ac:dyDescent="0.2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Jaime\QUIFA-CAJÚA\Cajua\[VAS_CAJUA_CF_SEC_20230125.xlsx]CF PDP'!</v>
      </c>
      <c r="G2100" s="6" t="s">
        <v>40</v>
      </c>
      <c r="H2100" s="1">
        <f t="shared" si="483"/>
        <v>44</v>
      </c>
      <c r="I2100" s="1" t="str">
        <f t="shared" si="481"/>
        <v>='C:\Users\jaime.benazar\Quorum Business Solutions\Ecopetrol Prometeo - Documents\Planning Space Implementation\3. Analysis &amp; Design\Design\FC22\DRR Jaime\QUIFA-CAJÚA\Cajua\[VAS_CAJUA_CF_SEC_20230125.xlsx]CF PDP'!$CT$44</v>
      </c>
      <c r="J2100" s="1" t="s">
        <v>1062</v>
      </c>
    </row>
    <row r="2101" spans="1:10" x14ac:dyDescent="0.2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Jaime\QUIFA-CAJÚA\Cajua\[VAS_CAJUA_CF_SEC_20230125.xlsx]CF PDP'!</v>
      </c>
      <c r="G2101" s="6" t="s">
        <v>40</v>
      </c>
      <c r="H2101" s="1">
        <f t="shared" si="483"/>
        <v>45</v>
      </c>
      <c r="I2101" s="1" t="str">
        <f t="shared" si="481"/>
        <v>='C:\Users\jaime.benazar\Quorum Business Solutions\Ecopetrol Prometeo - Documents\Planning Space Implementation\3. Analysis &amp; Design\Design\FC22\DRR Jaime\QUIFA-CAJÚA\Cajua\[VAS_CAJUA_CF_SEC_20230125.xlsx]CF PDP'!$CT$45</v>
      </c>
      <c r="J2101" s="1" t="s">
        <v>1063</v>
      </c>
    </row>
    <row r="2102" spans="1:10" x14ac:dyDescent="0.2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Jaime\QUIFA-CAJÚA\Cajua\[VAS_CAJUA_CF_SEC_20230125.xlsx]CF PDP'!</v>
      </c>
      <c r="G2102" s="6" t="s">
        <v>40</v>
      </c>
      <c r="H2102" s="1">
        <f t="shared" si="483"/>
        <v>46</v>
      </c>
      <c r="I2102" s="1" t="str">
        <f t="shared" si="481"/>
        <v>='C:\Users\jaime.benazar\Quorum Business Solutions\Ecopetrol Prometeo - Documents\Planning Space Implementation\3. Analysis &amp; Design\Design\FC22\DRR Jaime\QUIFA-CAJÚA\Cajua\[VAS_CAJUA_CF_SEC_20230125.xlsx]CF PDP'!$CT$46</v>
      </c>
      <c r="J2102" s="1" t="s">
        <v>1064</v>
      </c>
    </row>
    <row r="2103" spans="1:10" x14ac:dyDescent="0.2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Jaime\QUIFA-CAJÚA\Cajua\[VAS_CAJUA_CF_SEC_20230125.xlsx]CF PDP'!</v>
      </c>
      <c r="G2103" s="6" t="s">
        <v>40</v>
      </c>
      <c r="H2103" s="1">
        <f t="shared" si="483"/>
        <v>47</v>
      </c>
      <c r="I2103" s="1" t="str">
        <f t="shared" si="481"/>
        <v>='C:\Users\jaime.benazar\Quorum Business Solutions\Ecopetrol Prometeo - Documents\Planning Space Implementation\3. Analysis &amp; Design\Design\FC22\DRR Jaime\QUIFA-CAJÚA\Cajua\[VAS_CAJUA_CF_SEC_20230125.xlsx]CF PDP'!$CT$47</v>
      </c>
      <c r="J2103" s="1" t="s">
        <v>1065</v>
      </c>
    </row>
    <row r="2104" spans="1:10" x14ac:dyDescent="0.2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Jaime\QUIFA-CAJÚA\Cajua\[VAS_CAJUA_CF_SEC_20230125.xlsx]CF PDP'!</v>
      </c>
      <c r="G2104" s="6" t="s">
        <v>40</v>
      </c>
      <c r="H2104" s="1">
        <f t="shared" si="483"/>
        <v>48</v>
      </c>
      <c r="I2104" s="1" t="str">
        <f t="shared" si="481"/>
        <v>='C:\Users\jaime.benazar\Quorum Business Solutions\Ecopetrol Prometeo - Documents\Planning Space Implementation\3. Analysis &amp; Design\Design\FC22\DRR Jaime\QUIFA-CAJÚA\Cajua\[VAS_CAJUA_CF_SEC_20230125.xlsx]CF PDP'!$CT$48</v>
      </c>
      <c r="J2104" s="1" t="s">
        <v>1066</v>
      </c>
    </row>
    <row r="2105" spans="1:10" x14ac:dyDescent="0.2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Jaime\QUIFA-CAJÚA\Cajua\[VAS_CAJUA_CF_SEC_20230125.xlsx]CF PDP'!</v>
      </c>
      <c r="G2105" s="6" t="s">
        <v>40</v>
      </c>
      <c r="H2105" s="1">
        <f t="shared" si="483"/>
        <v>49</v>
      </c>
      <c r="I2105" s="1" t="str">
        <f t="shared" si="481"/>
        <v>='C:\Users\jaime.benazar\Quorum Business Solutions\Ecopetrol Prometeo - Documents\Planning Space Implementation\3. Analysis &amp; Design\Design\FC22\DRR Jaime\QUIFA-CAJÚA\Cajua\[VAS_CAJUA_CF_SEC_20230125.xlsx]CF PDP'!$CT$49</v>
      </c>
      <c r="J2105" s="1" t="s">
        <v>1067</v>
      </c>
    </row>
    <row r="2106" spans="1:10" x14ac:dyDescent="0.2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Jaime\QUIFA-CAJÚA\Cajua\[VAS_CAJUA_CF_SEC_20230125.xlsx]CF PDP'!</v>
      </c>
      <c r="G2106" s="6" t="s">
        <v>40</v>
      </c>
      <c r="H2106" s="1">
        <f t="shared" si="483"/>
        <v>50</v>
      </c>
      <c r="I2106" s="1" t="str">
        <f t="shared" si="481"/>
        <v>='C:\Users\jaime.benazar\Quorum Business Solutions\Ecopetrol Prometeo - Documents\Planning Space Implementation\3. Analysis &amp; Design\Design\FC22\DRR Jaime\QUIFA-CAJÚA\Cajua\[VAS_CAJUA_CF_SEC_20230125.xlsx]CF PDP'!$CT$50</v>
      </c>
      <c r="J2106" s="1" t="s">
        <v>1068</v>
      </c>
    </row>
    <row r="2107" spans="1:10" x14ac:dyDescent="0.2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Jaime\QUIFA-CAJÚA\Cajua\[VAS_CAJUA_CF_SEC_20230125.xlsx]CF PDP'!</v>
      </c>
      <c r="G2107" s="6" t="s">
        <v>40</v>
      </c>
      <c r="H2107" s="1">
        <f t="shared" si="483"/>
        <v>51</v>
      </c>
      <c r="I2107" s="1" t="str">
        <f t="shared" si="481"/>
        <v>='C:\Users\jaime.benazar\Quorum Business Solutions\Ecopetrol Prometeo - Documents\Planning Space Implementation\3. Analysis &amp; Design\Design\FC22\DRR Jaime\QUIFA-CAJÚA\Cajua\[VAS_CAJUA_CF_SEC_20230125.xlsx]CF PDP'!$CT$51</v>
      </c>
      <c r="J2107" s="1" t="s">
        <v>1069</v>
      </c>
    </row>
    <row r="2108" spans="1:10" x14ac:dyDescent="0.2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Jaime\QUIFA-CAJÚA\Cajua\[VAS_CAJUA_CF_SEC_20230125.xlsx]CF PDP'!</v>
      </c>
      <c r="G2108" s="6" t="s">
        <v>40</v>
      </c>
      <c r="H2108" s="1">
        <f t="shared" si="483"/>
        <v>52</v>
      </c>
      <c r="I2108" s="1" t="str">
        <f t="shared" si="481"/>
        <v>='C:\Users\jaime.benazar\Quorum Business Solutions\Ecopetrol Prometeo - Documents\Planning Space Implementation\3. Analysis &amp; Design\Design\FC22\DRR Jaime\QUIFA-CAJÚA\Cajua\[VAS_CAJUA_CF_SEC_20230125.xlsx]CF PDP'!$CT$52</v>
      </c>
      <c r="J2108" s="1" t="s">
        <v>1070</v>
      </c>
    </row>
    <row r="2109" spans="1:10" x14ac:dyDescent="0.2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Jaime\QUIFA-CAJÚA\Cajua\[VAS_CAJUA_CF_SEC_20230125.xlsx]CF PDP'!</v>
      </c>
      <c r="G2109" s="6" t="s">
        <v>40</v>
      </c>
      <c r="H2109" s="1">
        <f t="shared" si="483"/>
        <v>53</v>
      </c>
      <c r="I2109" s="1" t="str">
        <f t="shared" si="481"/>
        <v>='C:\Users\jaime.benazar\Quorum Business Solutions\Ecopetrol Prometeo - Documents\Planning Space Implementation\3. Analysis &amp; Design\Design\FC22\DRR Jaime\QUIFA-CAJÚA\Cajua\[VAS_CAJUA_CF_SEC_20230125.xlsx]CF PDP'!$CT$53</v>
      </c>
      <c r="J2109" s="1" t="s">
        <v>1071</v>
      </c>
    </row>
    <row r="2110" spans="1:10" x14ac:dyDescent="0.2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Jaime\QUIFA-CAJÚA\Cajua\[VAS_CAJUA_CF_SEC_20230125.xlsx]CF PDP'!</v>
      </c>
      <c r="G2110" s="6" t="s">
        <v>40</v>
      </c>
      <c r="H2110" s="1">
        <f t="shared" si="483"/>
        <v>54</v>
      </c>
      <c r="I2110" s="1" t="str">
        <f t="shared" si="481"/>
        <v>='C:\Users\jaime.benazar\Quorum Business Solutions\Ecopetrol Prometeo - Documents\Planning Space Implementation\3. Analysis &amp; Design\Design\FC22\DRR Jaime\QUIFA-CAJÚA\Cajua\[VAS_CAJUA_CF_SEC_20230125.xlsx]CF PDP'!$CT$54</v>
      </c>
      <c r="J2110" s="1" t="s">
        <v>1072</v>
      </c>
    </row>
    <row r="2111" spans="1:10" x14ac:dyDescent="0.2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Jaime\QUIFA-CAJÚA\Cajua\[VAS_CAJUA_CF_SEC_20230125.xlsx]CF PDP'!</v>
      </c>
      <c r="G2111" s="6" t="s">
        <v>40</v>
      </c>
      <c r="H2111" s="1">
        <f t="shared" si="483"/>
        <v>55</v>
      </c>
      <c r="I2111" s="1" t="str">
        <f t="shared" si="481"/>
        <v>='C:\Users\jaime.benazar\Quorum Business Solutions\Ecopetrol Prometeo - Documents\Planning Space Implementation\3. Analysis &amp; Design\Design\FC22\DRR Jaime\QUIFA-CAJÚA\Cajua\[VAS_CAJUA_CF_SEC_20230125.xlsx]CF PDP'!$CT$55</v>
      </c>
      <c r="J2111" s="1" t="s">
        <v>1073</v>
      </c>
    </row>
    <row r="2112" spans="1:10" x14ac:dyDescent="0.2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Jaime\QUIFA-CAJÚA\Cajua\[VAS_CAJUA_CF_SEC_20230125.xlsx]CF PDP'!</v>
      </c>
      <c r="G2112" s="6" t="s">
        <v>40</v>
      </c>
      <c r="H2112" s="1">
        <f t="shared" si="483"/>
        <v>56</v>
      </c>
      <c r="I2112" s="1" t="str">
        <f t="shared" si="481"/>
        <v>='C:\Users\jaime.benazar\Quorum Business Solutions\Ecopetrol Prometeo - Documents\Planning Space Implementation\3. Analysis &amp; Design\Design\FC22\DRR Jaime\QUIFA-CAJÚA\Cajua\[VAS_CAJUA_CF_SEC_20230125.xlsx]CF PDP'!$CT$56</v>
      </c>
      <c r="J2112" s="1" t="s">
        <v>1074</v>
      </c>
    </row>
    <row r="2113" spans="1:10" x14ac:dyDescent="0.2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Jaime\QUIFA-CAJÚA\Cajua\[VAS_CAJUA_CF_SEC_20230125.xlsx]CF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Jaime\QUIFA-CAJÚA\Cajua\[VAS_CAJUA_CF_SEC_20230125.xlsx]CF PDP'!$CT$57</v>
      </c>
      <c r="J2113" s="1" t="s">
        <v>1075</v>
      </c>
    </row>
    <row r="2114" spans="1:10" x14ac:dyDescent="0.2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Jaime\QUIFA-CAJÚA\Cajua\[VAS_CAJUA_CF_SEC_20230125.xlsx]CF PDP'!</v>
      </c>
      <c r="G2114" s="6" t="s">
        <v>40</v>
      </c>
      <c r="H2114" s="1">
        <f t="shared" si="488"/>
        <v>58</v>
      </c>
      <c r="I2114" s="1" t="str">
        <f t="shared" si="489"/>
        <v>='C:\Users\jaime.benazar\Quorum Business Solutions\Ecopetrol Prometeo - Documents\Planning Space Implementation\3. Analysis &amp; Design\Design\FC22\DRR Jaime\QUIFA-CAJÚA\Cajua\[VAS_CAJUA_CF_SEC_20230125.xlsx]CF PDP'!$CT$58</v>
      </c>
      <c r="J2114" s="1" t="s">
        <v>1076</v>
      </c>
    </row>
    <row r="2115" spans="1:10" x14ac:dyDescent="0.2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Jaime\QUIFA-CAJÚA\Cajua\[VAS_CAJUA_CF_SEC_20230125.xlsx]CF PDP'!</v>
      </c>
      <c r="G2115" s="6" t="s">
        <v>40</v>
      </c>
      <c r="H2115" s="1">
        <f t="shared" si="488"/>
        <v>59</v>
      </c>
      <c r="I2115" s="1" t="str">
        <f t="shared" si="489"/>
        <v>='C:\Users\jaime.benazar\Quorum Business Solutions\Ecopetrol Prometeo - Documents\Planning Space Implementation\3. Analysis &amp; Design\Design\FC22\DRR Jaime\QUIFA-CAJÚA\Cajua\[VAS_CAJUA_CF_SEC_20230125.xlsx]CF PDP'!$CT$59</v>
      </c>
      <c r="J2115" s="1" t="s">
        <v>1077</v>
      </c>
    </row>
    <row r="2116" spans="1:10" x14ac:dyDescent="0.2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Jaime\QUIFA-CAJÚA\Cajua\[VAS_CAJUA_CF_SEC_20230125.xlsx]CF PDP'!</v>
      </c>
      <c r="G2116" s="6" t="s">
        <v>40</v>
      </c>
      <c r="H2116" s="1">
        <f t="shared" si="488"/>
        <v>60</v>
      </c>
      <c r="I2116" s="1" t="str">
        <f t="shared" si="489"/>
        <v>='C:\Users\jaime.benazar\Quorum Business Solutions\Ecopetrol Prometeo - Documents\Planning Space Implementation\3. Analysis &amp; Design\Design\FC22\DRR Jaime\QUIFA-CAJÚA\Cajua\[VAS_CAJUA_CF_SEC_20230125.xlsx]CF PDP'!$CT$60</v>
      </c>
      <c r="J2116" s="1" t="s">
        <v>1078</v>
      </c>
    </row>
    <row r="2117" spans="1:10" x14ac:dyDescent="0.2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Jaime\QUIFA-CAJÚA\Cajua\[VAS_CAJUA_CF_SEC_20230125.xlsx]CF PDP'!</v>
      </c>
      <c r="G2117" s="6" t="s">
        <v>40</v>
      </c>
      <c r="H2117" s="1">
        <f t="shared" si="488"/>
        <v>61</v>
      </c>
      <c r="I2117" s="1" t="str">
        <f t="shared" si="489"/>
        <v>='C:\Users\jaime.benazar\Quorum Business Solutions\Ecopetrol Prometeo - Documents\Planning Space Implementation\3. Analysis &amp; Design\Design\FC22\DRR Jaime\QUIFA-CAJÚA\Cajua\[VAS_CAJUA_CF_SEC_20230125.xlsx]CF PDP'!$CT$61</v>
      </c>
      <c r="J2117" s="1" t="s">
        <v>1079</v>
      </c>
    </row>
    <row r="2118" spans="1:10" x14ac:dyDescent="0.2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Jaime\QUIFA-CAJÚA\Cajua\[VAS_CAJUA_CF_SEC_20230125.xlsx]CF PDP'!</v>
      </c>
      <c r="G2118" s="6" t="s">
        <v>40</v>
      </c>
      <c r="H2118" s="1">
        <f t="shared" si="488"/>
        <v>62</v>
      </c>
      <c r="I2118" s="1" t="str">
        <f t="shared" si="489"/>
        <v>='C:\Users\jaime.benazar\Quorum Business Solutions\Ecopetrol Prometeo - Documents\Planning Space Implementation\3. Analysis &amp; Design\Design\FC22\DRR Jaime\QUIFA-CAJÚA\Cajua\[VAS_CAJUA_CF_SEC_20230125.xlsx]CF PDP'!$CT$62</v>
      </c>
      <c r="J2118" s="1" t="s">
        <v>1080</v>
      </c>
    </row>
    <row r="2119" spans="1:10" x14ac:dyDescent="0.2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Jaime\QUIFA-CAJÚA\Cajua\[VAS_CAJUA_CF_SEC_20230125.xlsx]CF PDP'!</v>
      </c>
      <c r="G2119" s="6" t="s">
        <v>40</v>
      </c>
      <c r="H2119" s="1">
        <f t="shared" si="488"/>
        <v>63</v>
      </c>
      <c r="I2119" s="1" t="str">
        <f t="shared" si="489"/>
        <v>='C:\Users\jaime.benazar\Quorum Business Solutions\Ecopetrol Prometeo - Documents\Planning Space Implementation\3. Analysis &amp; Design\Design\FC22\DRR Jaime\QUIFA-CAJÚA\Cajua\[VAS_CAJUA_CF_SEC_20230125.xlsx]CF PDP'!$CT$63</v>
      </c>
      <c r="J2119" s="1" t="s">
        <v>1081</v>
      </c>
    </row>
    <row r="2120" spans="1:10" x14ac:dyDescent="0.2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Jaime\QUIFA-CAJÚA\Cajua\[VAS_CAJUA_CF_SEC_20230125.xlsx]CF PDP'!</v>
      </c>
      <c r="G2120" s="6" t="s">
        <v>40</v>
      </c>
      <c r="H2120" s="1">
        <f t="shared" si="488"/>
        <v>64</v>
      </c>
      <c r="I2120" s="1" t="str">
        <f t="shared" si="489"/>
        <v>='C:\Users\jaime.benazar\Quorum Business Solutions\Ecopetrol Prometeo - Documents\Planning Space Implementation\3. Analysis &amp; Design\Design\FC22\DRR Jaime\QUIFA-CAJÚA\Cajua\[VAS_CAJUA_CF_SEC_20230125.xlsx]CF PDP'!$CT$64</v>
      </c>
      <c r="J2120" s="1" t="s">
        <v>1082</v>
      </c>
    </row>
    <row r="2121" spans="1:10" x14ac:dyDescent="0.2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Jaime\QUIFA-CAJÚA\Cajua\[VAS_CAJUA_CF_SEC_20230125.xlsx]CF PDP'!</v>
      </c>
      <c r="G2121" s="6" t="s">
        <v>40</v>
      </c>
      <c r="H2121" s="1">
        <f t="shared" si="488"/>
        <v>65</v>
      </c>
      <c r="I2121" s="1" t="str">
        <f t="shared" si="489"/>
        <v>='C:\Users\jaime.benazar\Quorum Business Solutions\Ecopetrol Prometeo - Documents\Planning Space Implementation\3. Analysis &amp; Design\Design\FC22\DRR Jaime\QUIFA-CAJÚA\Cajua\[VAS_CAJUA_CF_SEC_20230125.xlsx]CF PDP'!$CT$65</v>
      </c>
      <c r="J2121" s="1" t="s">
        <v>1083</v>
      </c>
    </row>
    <row r="2122" spans="1:10" x14ac:dyDescent="0.2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Jaime\QUIFA-CAJÚA\Cajua\[VAS_CAJUA_CF_SEC_20230125.xlsx]CF PDP'!</v>
      </c>
      <c r="G2122" s="6" t="s">
        <v>40</v>
      </c>
      <c r="H2122" s="1">
        <f t="shared" si="488"/>
        <v>66</v>
      </c>
      <c r="I2122" s="1" t="str">
        <f t="shared" si="489"/>
        <v>='C:\Users\jaime.benazar\Quorum Business Solutions\Ecopetrol Prometeo - Documents\Planning Space Implementation\3. Analysis &amp; Design\Design\FC22\DRR Jaime\QUIFA-CAJÚA\Cajua\[VAS_CAJUA_CF_SEC_20230125.xlsx]CF PDP'!$CT$66</v>
      </c>
      <c r="J2122" s="1" t="s">
        <v>1084</v>
      </c>
    </row>
    <row r="2123" spans="1:10" x14ac:dyDescent="0.2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Jaime\QUIFA-CAJÚA\Cajua\[VAS_CAJUA_CF_SEC_20230125.xlsx]CF PDP'!</v>
      </c>
      <c r="G2123" s="6" t="s">
        <v>40</v>
      </c>
      <c r="H2123" s="1">
        <f t="shared" si="488"/>
        <v>67</v>
      </c>
      <c r="I2123" s="1" t="str">
        <f t="shared" si="489"/>
        <v>='C:\Users\jaime.benazar\Quorum Business Solutions\Ecopetrol Prometeo - Documents\Planning Space Implementation\3. Analysis &amp; Design\Design\FC22\DRR Jaime\QUIFA-CAJÚA\Cajua\[VAS_CAJUA_CF_SEC_20230125.xlsx]CF PDP'!$CT$67</v>
      </c>
      <c r="J2123" s="1" t="s">
        <v>1085</v>
      </c>
    </row>
    <row r="2124" spans="1:10" x14ac:dyDescent="0.2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Jaime\QUIFA-CAJÚA\Cajua\[VAS_CAJUA_CF_SEC_20230125.xlsx]CF PDP'!</v>
      </c>
      <c r="G2124" s="6" t="s">
        <v>40</v>
      </c>
      <c r="H2124" s="1">
        <f t="shared" si="488"/>
        <v>68</v>
      </c>
      <c r="I2124" s="1" t="str">
        <f t="shared" si="489"/>
        <v>='C:\Users\jaime.benazar\Quorum Business Solutions\Ecopetrol Prometeo - Documents\Planning Space Implementation\3. Analysis &amp; Design\Design\FC22\DRR Jaime\QUIFA-CAJÚA\Cajua\[VAS_CAJUA_CF_SEC_20230125.xlsx]CF PDP'!$CT$68</v>
      </c>
      <c r="J2124" s="1" t="s">
        <v>1086</v>
      </c>
    </row>
    <row r="2125" spans="1:10" x14ac:dyDescent="0.2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Jaime\QUIFA-CAJÚA\Cajua\[VAS_CAJUA_CF_SEC_20230125.xlsx]CF PDP'!</v>
      </c>
      <c r="G2125" s="6" t="s">
        <v>40</v>
      </c>
      <c r="H2125" s="1">
        <f t="shared" si="488"/>
        <v>69</v>
      </c>
      <c r="I2125" s="1" t="str">
        <f t="shared" si="489"/>
        <v>='C:\Users\jaime.benazar\Quorum Business Solutions\Ecopetrol Prometeo - Documents\Planning Space Implementation\3. Analysis &amp; Design\Design\FC22\DRR Jaime\QUIFA-CAJÚA\Cajua\[VAS_CAJUA_CF_SEC_20230125.xlsx]CF PDP'!$CT$69</v>
      </c>
      <c r="J2125" s="1" t="s">
        <v>1087</v>
      </c>
    </row>
    <row r="2126" spans="1:10" x14ac:dyDescent="0.2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Jaime\QUIFA-CAJÚA\Cajua\[VAS_CAJUA_CF_SEC_20230125.xlsx]CF PDP'!</v>
      </c>
      <c r="G2126" s="6" t="s">
        <v>40</v>
      </c>
      <c r="H2126" s="1">
        <f t="shared" si="488"/>
        <v>70</v>
      </c>
      <c r="I2126" s="1" t="str">
        <f t="shared" si="489"/>
        <v>='C:\Users\jaime.benazar\Quorum Business Solutions\Ecopetrol Prometeo - Documents\Planning Space Implementation\3. Analysis &amp; Design\Design\FC22\DRR Jaime\QUIFA-CAJÚA\Cajua\[VAS_CAJUA_CF_SEC_20230125.xlsx]CF PDP'!$CT$70</v>
      </c>
      <c r="J2126" s="1" t="s">
        <v>1088</v>
      </c>
    </row>
    <row r="2127" spans="1:10" x14ac:dyDescent="0.2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Jaime\QUIFA-CAJÚA\Cajua\[VAS_CAJUA_CF_SEC_20230125.xlsx]CF PDP'!</v>
      </c>
      <c r="G2127" s="6" t="s">
        <v>40</v>
      </c>
      <c r="H2127" s="1">
        <f t="shared" si="488"/>
        <v>71</v>
      </c>
      <c r="I2127" s="1" t="str">
        <f t="shared" si="489"/>
        <v>='C:\Users\jaime.benazar\Quorum Business Solutions\Ecopetrol Prometeo - Documents\Planning Space Implementation\3. Analysis &amp; Design\Design\FC22\DRR Jaime\QUIFA-CAJÚA\Cajua\[VAS_CAJUA_CF_SEC_20230125.xlsx]CF PDP'!$CT$71</v>
      </c>
      <c r="J2127" s="1" t="s">
        <v>1089</v>
      </c>
    </row>
    <row r="2128" spans="1:10" x14ac:dyDescent="0.2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Jaime\QUIFA-CAJÚA\Cajua\[VAS_CAJUA_CF_SEC_20230125.xlsx]CF PDP'!</v>
      </c>
      <c r="G2128" s="6" t="s">
        <v>40</v>
      </c>
      <c r="H2128" s="1">
        <f t="shared" si="488"/>
        <v>72</v>
      </c>
      <c r="I2128" s="1" t="str">
        <f t="shared" si="489"/>
        <v>='C:\Users\jaime.benazar\Quorum Business Solutions\Ecopetrol Prometeo - Documents\Planning Space Implementation\3. Analysis &amp; Design\Design\FC22\DRR Jaime\QUIFA-CAJÚA\Cajua\[VAS_CAJUA_CF_SEC_20230125.xlsx]CF PDP'!$CT$72</v>
      </c>
      <c r="J2128" s="1" t="s">
        <v>1090</v>
      </c>
    </row>
    <row r="2129" spans="1:10" x14ac:dyDescent="0.25">
      <c r="A2129" s="6" t="s">
        <v>28</v>
      </c>
      <c r="B2129" s="6"/>
      <c r="C2129" s="1" t="s">
        <v>20</v>
      </c>
      <c r="D2129" s="2"/>
      <c r="E2129" s="9"/>
      <c r="F2129" s="2"/>
      <c r="G2129" s="6"/>
      <c r="H2129" s="1"/>
      <c r="I2129" s="1"/>
      <c r="J2129" s="4"/>
    </row>
    <row r="2130" spans="1:10" x14ac:dyDescent="0.2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Jaime\QUIFA-CAJÚA\Cajua\[VAS_CAJUA_CF_SEC_20230125.xlsx]CF PNP'!</v>
      </c>
      <c r="G2130" s="6" t="s">
        <v>40</v>
      </c>
      <c r="H2130" s="1">
        <f>IF(A2130&lt;&gt;A2114,36,H2114+1)</f>
        <v>36</v>
      </c>
      <c r="I2130" s="1" t="str">
        <f t="shared" si="481"/>
        <v>='C:\Users\jaime.benazar\Quorum Business Solutions\Ecopetrol Prometeo - Documents\Planning Space Implementation\3. Analysis &amp; Design\Design\FC22\DRR Jaime\QUIFA-CAJÚA\Cajua\[VAS_CAJUA_CF_SEC_20230125.xlsx]CF PNP'!$CT$36</v>
      </c>
      <c r="J2130" s="1" t="s">
        <v>1091</v>
      </c>
    </row>
    <row r="2131" spans="1:10" x14ac:dyDescent="0.2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Jaime\QUIFA-CAJÚA\Cajua\[VAS_CAJUA_CF_SEC_20230125.xlsx]CF PNP'!</v>
      </c>
      <c r="G2131" s="6" t="s">
        <v>40</v>
      </c>
      <c r="H2131" s="1">
        <f t="shared" si="483"/>
        <v>37</v>
      </c>
      <c r="I2131" s="1" t="str">
        <f t="shared" si="481"/>
        <v>='C:\Users\jaime.benazar\Quorum Business Solutions\Ecopetrol Prometeo - Documents\Planning Space Implementation\3. Analysis &amp; Design\Design\FC22\DRR Jaime\QUIFA-CAJÚA\Cajua\[VAS_CAJUA_CF_SEC_20230125.xlsx]CF PNP'!$CT$37</v>
      </c>
      <c r="J2131" s="1" t="s">
        <v>1092</v>
      </c>
    </row>
    <row r="2132" spans="1:10" x14ac:dyDescent="0.2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Jaime\QUIFA-CAJÚA\Cajua\[VAS_CAJUA_CF_SEC_20230125.xlsx]CF PNP'!</v>
      </c>
      <c r="G2132" s="6" t="s">
        <v>40</v>
      </c>
      <c r="H2132" s="1">
        <f t="shared" si="483"/>
        <v>38</v>
      </c>
      <c r="I2132" s="1" t="str">
        <f t="shared" si="481"/>
        <v>='C:\Users\jaime.benazar\Quorum Business Solutions\Ecopetrol Prometeo - Documents\Planning Space Implementation\3. Analysis &amp; Design\Design\FC22\DRR Jaime\QUIFA-CAJÚA\Cajua\[VAS_CAJUA_CF_SEC_20230125.xlsx]CF PNP'!$CT$38</v>
      </c>
      <c r="J2132" s="1" t="s">
        <v>1093</v>
      </c>
    </row>
    <row r="2133" spans="1:10" x14ac:dyDescent="0.2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Jaime\QUIFA-CAJÚA\Cajua\[VAS_CAJUA_CF_SEC_20230125.xlsx]CF PNP'!</v>
      </c>
      <c r="G2133" s="6" t="s">
        <v>40</v>
      </c>
      <c r="H2133" s="1">
        <f t="shared" si="483"/>
        <v>39</v>
      </c>
      <c r="I2133" s="1" t="str">
        <f t="shared" si="481"/>
        <v>='C:\Users\jaime.benazar\Quorum Business Solutions\Ecopetrol Prometeo - Documents\Planning Space Implementation\3. Analysis &amp; Design\Design\FC22\DRR Jaime\QUIFA-CAJÚA\Cajua\[VAS_CAJUA_CF_SEC_20230125.xlsx]CF PNP'!$CT$39</v>
      </c>
      <c r="J2133" s="1" t="s">
        <v>1094</v>
      </c>
    </row>
    <row r="2134" spans="1:10" x14ac:dyDescent="0.2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Jaime\QUIFA-CAJÚA\Cajua\[VAS_CAJUA_CF_SEC_20230125.xlsx]CF PNP'!</v>
      </c>
      <c r="G2134" s="6" t="s">
        <v>40</v>
      </c>
      <c r="H2134" s="1">
        <f t="shared" si="483"/>
        <v>40</v>
      </c>
      <c r="I2134" s="1" t="str">
        <f t="shared" si="481"/>
        <v>='C:\Users\jaime.benazar\Quorum Business Solutions\Ecopetrol Prometeo - Documents\Planning Space Implementation\3. Analysis &amp; Design\Design\FC22\DRR Jaime\QUIFA-CAJÚA\Cajua\[VAS_CAJUA_CF_SEC_20230125.xlsx]CF PNP'!$CT$40</v>
      </c>
      <c r="J2134" s="1" t="s">
        <v>1095</v>
      </c>
    </row>
    <row r="2135" spans="1:10" x14ac:dyDescent="0.2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Jaime\QUIFA-CAJÚA\Cajua\[VAS_CAJUA_CF_SEC_20230125.xlsx]CF PNP'!</v>
      </c>
      <c r="G2135" s="6" t="s">
        <v>40</v>
      </c>
      <c r="H2135" s="1">
        <f t="shared" si="483"/>
        <v>41</v>
      </c>
      <c r="I2135" s="1" t="str">
        <f t="shared" si="481"/>
        <v>='C:\Users\jaime.benazar\Quorum Business Solutions\Ecopetrol Prometeo - Documents\Planning Space Implementation\3. Analysis &amp; Design\Design\FC22\DRR Jaime\QUIFA-CAJÚA\Cajua\[VAS_CAJUA_CF_SEC_20230125.xlsx]CF PNP'!$CT$41</v>
      </c>
      <c r="J2135" s="1" t="s">
        <v>1096</v>
      </c>
    </row>
    <row r="2136" spans="1:10" x14ac:dyDescent="0.2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Jaime\QUIFA-CAJÚA\Cajua\[VAS_CAJUA_CF_SEC_20230125.xlsx]CF PNP'!</v>
      </c>
      <c r="G2136" s="6" t="s">
        <v>40</v>
      </c>
      <c r="H2136" s="1">
        <f t="shared" si="483"/>
        <v>42</v>
      </c>
      <c r="I2136" s="1" t="str">
        <f t="shared" si="481"/>
        <v>='C:\Users\jaime.benazar\Quorum Business Solutions\Ecopetrol Prometeo - Documents\Planning Space Implementation\3. Analysis &amp; Design\Design\FC22\DRR Jaime\QUIFA-CAJÚA\Cajua\[VAS_CAJUA_CF_SEC_20230125.xlsx]CF PNP'!$CT$42</v>
      </c>
      <c r="J2136" s="1" t="s">
        <v>1097</v>
      </c>
    </row>
    <row r="2137" spans="1:10" x14ac:dyDescent="0.2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Jaime\QUIFA-CAJÚA\Cajua\[VAS_CAJUA_CF_SEC_20230125.xlsx]CF PNP'!</v>
      </c>
      <c r="G2137" s="6" t="s">
        <v>40</v>
      </c>
      <c r="H2137" s="1">
        <f t="shared" si="483"/>
        <v>43</v>
      </c>
      <c r="I2137" s="1" t="str">
        <f t="shared" si="481"/>
        <v>='C:\Users\jaime.benazar\Quorum Business Solutions\Ecopetrol Prometeo - Documents\Planning Space Implementation\3. Analysis &amp; Design\Design\FC22\DRR Jaime\QUIFA-CAJÚA\Cajua\[VAS_CAJUA_CF_SEC_20230125.xlsx]CF PNP'!$CT$43</v>
      </c>
      <c r="J2137" s="1" t="s">
        <v>1098</v>
      </c>
    </row>
    <row r="2138" spans="1:10" x14ac:dyDescent="0.2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Jaime\QUIFA-CAJÚA\Cajua\[VAS_CAJUA_CF_SEC_20230125.xlsx]CF PNP'!</v>
      </c>
      <c r="G2138" s="6" t="s">
        <v>40</v>
      </c>
      <c r="H2138" s="1">
        <f t="shared" si="483"/>
        <v>44</v>
      </c>
      <c r="I2138" s="1" t="str">
        <f t="shared" si="481"/>
        <v>='C:\Users\jaime.benazar\Quorum Business Solutions\Ecopetrol Prometeo - Documents\Planning Space Implementation\3. Analysis &amp; Design\Design\FC22\DRR Jaime\QUIFA-CAJÚA\Cajua\[VAS_CAJUA_CF_SEC_20230125.xlsx]CF PNP'!$CT$44</v>
      </c>
      <c r="J2138" s="1" t="s">
        <v>1099</v>
      </c>
    </row>
    <row r="2139" spans="1:10" x14ac:dyDescent="0.2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Jaime\QUIFA-CAJÚA\Cajua\[VAS_CAJUA_CF_SEC_20230125.xlsx]CF PNP'!</v>
      </c>
      <c r="G2139" s="6" t="s">
        <v>40</v>
      </c>
      <c r="H2139" s="1">
        <f t="shared" si="483"/>
        <v>45</v>
      </c>
      <c r="I2139" s="1" t="str">
        <f t="shared" si="481"/>
        <v>='C:\Users\jaime.benazar\Quorum Business Solutions\Ecopetrol Prometeo - Documents\Planning Space Implementation\3. Analysis &amp; Design\Design\FC22\DRR Jaime\QUIFA-CAJÚA\Cajua\[VAS_CAJUA_CF_SEC_20230125.xlsx]CF PNP'!$CT$45</v>
      </c>
      <c r="J2139" s="1" t="s">
        <v>1100</v>
      </c>
    </row>
    <row r="2140" spans="1:10" x14ac:dyDescent="0.2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Jaime\QUIFA-CAJÚA\Cajua\[VAS_CAJUA_CF_SEC_20230125.xlsx]CF PNP'!</v>
      </c>
      <c r="G2140" s="6" t="s">
        <v>40</v>
      </c>
      <c r="H2140" s="1">
        <f t="shared" si="483"/>
        <v>46</v>
      </c>
      <c r="I2140" s="1" t="str">
        <f t="shared" si="481"/>
        <v>='C:\Users\jaime.benazar\Quorum Business Solutions\Ecopetrol Prometeo - Documents\Planning Space Implementation\3. Analysis &amp; Design\Design\FC22\DRR Jaime\QUIFA-CAJÚA\Cajua\[VAS_CAJUA_CF_SEC_20230125.xlsx]CF PNP'!$CT$46</v>
      </c>
      <c r="J2140" s="1" t="s">
        <v>1101</v>
      </c>
    </row>
    <row r="2141" spans="1:10" x14ac:dyDescent="0.2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Jaime\QUIFA-CAJÚA\Cajua\[VAS_CAJUA_CF_SEC_20230125.xlsx]CF PNP'!</v>
      </c>
      <c r="G2141" s="6" t="s">
        <v>40</v>
      </c>
      <c r="H2141" s="1">
        <f t="shared" si="483"/>
        <v>47</v>
      </c>
      <c r="I2141" s="1" t="str">
        <f t="shared" si="481"/>
        <v>='C:\Users\jaime.benazar\Quorum Business Solutions\Ecopetrol Prometeo - Documents\Planning Space Implementation\3. Analysis &amp; Design\Design\FC22\DRR Jaime\QUIFA-CAJÚA\Cajua\[VAS_CAJUA_CF_SEC_20230125.xlsx]CF PNP'!$CT$47</v>
      </c>
      <c r="J2141" s="1" t="s">
        <v>1102</v>
      </c>
    </row>
    <row r="2142" spans="1:10" x14ac:dyDescent="0.2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Jaime\QUIFA-CAJÚA\Cajua\[VAS_CAJUA_CF_SEC_20230125.xlsx]CF PNP'!</v>
      </c>
      <c r="G2142" s="6" t="s">
        <v>40</v>
      </c>
      <c r="H2142" s="1">
        <f t="shared" si="483"/>
        <v>48</v>
      </c>
      <c r="I2142" s="1" t="str">
        <f t="shared" si="481"/>
        <v>='C:\Users\jaime.benazar\Quorum Business Solutions\Ecopetrol Prometeo - Documents\Planning Space Implementation\3. Analysis &amp; Design\Design\FC22\DRR Jaime\QUIFA-CAJÚA\Cajua\[VAS_CAJUA_CF_SEC_20230125.xlsx]CF PNP'!$CT$48</v>
      </c>
      <c r="J2142" s="1" t="s">
        <v>1103</v>
      </c>
    </row>
    <row r="2143" spans="1:10" x14ac:dyDescent="0.2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Jaime\QUIFA-CAJÚA\Cajua\[VAS_CAJUA_CF_SEC_20230125.xlsx]CF PNP'!</v>
      </c>
      <c r="G2143" s="6" t="s">
        <v>40</v>
      </c>
      <c r="H2143" s="1">
        <f t="shared" si="483"/>
        <v>49</v>
      </c>
      <c r="I2143" s="1" t="str">
        <f t="shared" si="481"/>
        <v>='C:\Users\jaime.benazar\Quorum Business Solutions\Ecopetrol Prometeo - Documents\Planning Space Implementation\3. Analysis &amp; Design\Design\FC22\DRR Jaime\QUIFA-CAJÚA\Cajua\[VAS_CAJUA_CF_SEC_20230125.xlsx]CF PNP'!$CT$49</v>
      </c>
      <c r="J2143" s="1" t="s">
        <v>1104</v>
      </c>
    </row>
    <row r="2144" spans="1:10" x14ac:dyDescent="0.2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Jaime\QUIFA-CAJÚA\Cajua\[VAS_CAJUA_CF_SEC_20230125.xlsx]CF PNP'!</v>
      </c>
      <c r="G2144" s="6" t="s">
        <v>40</v>
      </c>
      <c r="H2144" s="1">
        <f t="shared" si="483"/>
        <v>50</v>
      </c>
      <c r="I2144" s="1" t="str">
        <f t="shared" si="481"/>
        <v>='C:\Users\jaime.benazar\Quorum Business Solutions\Ecopetrol Prometeo - Documents\Planning Space Implementation\3. Analysis &amp; Design\Design\FC22\DRR Jaime\QUIFA-CAJÚA\Cajua\[VAS_CAJUA_CF_SEC_20230125.xlsx]CF PNP'!$CT$50</v>
      </c>
      <c r="J2144" s="1" t="s">
        <v>1105</v>
      </c>
    </row>
    <row r="2145" spans="1:10" x14ac:dyDescent="0.2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Jaime\QUIFA-CAJÚA\Cajua\[VAS_CAJUA_CF_SEC_20230125.xlsx]CF PNP'!</v>
      </c>
      <c r="G2145" s="6" t="s">
        <v>40</v>
      </c>
      <c r="H2145" s="1">
        <f t="shared" si="483"/>
        <v>51</v>
      </c>
      <c r="I2145" s="1" t="str">
        <f t="shared" si="481"/>
        <v>='C:\Users\jaime.benazar\Quorum Business Solutions\Ecopetrol Prometeo - Documents\Planning Space Implementation\3. Analysis &amp; Design\Design\FC22\DRR Jaime\QUIFA-CAJÚA\Cajua\[VAS_CAJUA_CF_SEC_20230125.xlsx]CF PNP'!$CT$51</v>
      </c>
      <c r="J2145" s="1" t="s">
        <v>1106</v>
      </c>
    </row>
    <row r="2146" spans="1:10" x14ac:dyDescent="0.2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Jaime\QUIFA-CAJÚA\Cajua\[VAS_CAJUA_CF_SEC_20230125.xlsx]CF PNP'!</v>
      </c>
      <c r="G2146" s="6" t="s">
        <v>40</v>
      </c>
      <c r="H2146" s="1">
        <f t="shared" si="483"/>
        <v>52</v>
      </c>
      <c r="I2146" s="1" t="str">
        <f t="shared" si="481"/>
        <v>='C:\Users\jaime.benazar\Quorum Business Solutions\Ecopetrol Prometeo - Documents\Planning Space Implementation\3. Analysis &amp; Design\Design\FC22\DRR Jaime\QUIFA-CAJÚA\Cajua\[VAS_CAJUA_CF_SEC_20230125.xlsx]CF PNP'!$CT$52</v>
      </c>
      <c r="J2146" s="1" t="s">
        <v>1107</v>
      </c>
    </row>
    <row r="2147" spans="1:10" x14ac:dyDescent="0.2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Jaime\QUIFA-CAJÚA\Cajua\[VAS_CAJUA_CF_SEC_20230125.xlsx]CF PNP'!</v>
      </c>
      <c r="G2147" s="6" t="s">
        <v>40</v>
      </c>
      <c r="H2147" s="1">
        <f t="shared" si="483"/>
        <v>53</v>
      </c>
      <c r="I2147" s="1" t="str">
        <f t="shared" si="481"/>
        <v>='C:\Users\jaime.benazar\Quorum Business Solutions\Ecopetrol Prometeo - Documents\Planning Space Implementation\3. Analysis &amp; Design\Design\FC22\DRR Jaime\QUIFA-CAJÚA\Cajua\[VAS_CAJUA_CF_SEC_20230125.xlsx]CF PNP'!$CT$53</v>
      </c>
      <c r="J2147" s="1" t="s">
        <v>1108</v>
      </c>
    </row>
    <row r="2148" spans="1:10" x14ac:dyDescent="0.2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Jaime\QUIFA-CAJÚA\Cajua\[VAS_CAJUA_CF_SEC_20230125.xlsx]CF PNP'!</v>
      </c>
      <c r="G2148" s="6" t="s">
        <v>40</v>
      </c>
      <c r="H2148" s="1">
        <f t="shared" si="483"/>
        <v>54</v>
      </c>
      <c r="I2148" s="1" t="str">
        <f t="shared" si="481"/>
        <v>='C:\Users\jaime.benazar\Quorum Business Solutions\Ecopetrol Prometeo - Documents\Planning Space Implementation\3. Analysis &amp; Design\Design\FC22\DRR Jaime\QUIFA-CAJÚA\Cajua\[VAS_CAJUA_CF_SEC_20230125.xlsx]CF PNP'!$CT$54</v>
      </c>
      <c r="J2148" s="1" t="s">
        <v>1109</v>
      </c>
    </row>
    <row r="2149" spans="1:10" x14ac:dyDescent="0.2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Jaime\QUIFA-CAJÚA\Cajua\[VAS_CAJUA_CF_SEC_20230125.xlsx]CF PNP'!</v>
      </c>
      <c r="G2149" s="6" t="s">
        <v>40</v>
      </c>
      <c r="H2149" s="1">
        <f t="shared" si="483"/>
        <v>55</v>
      </c>
      <c r="I2149" s="1" t="str">
        <f t="shared" si="481"/>
        <v>='C:\Users\jaime.benazar\Quorum Business Solutions\Ecopetrol Prometeo - Documents\Planning Space Implementation\3. Analysis &amp; Design\Design\FC22\DRR Jaime\QUIFA-CAJÚA\Cajua\[VAS_CAJUA_CF_SEC_20230125.xlsx]CF PNP'!$CT$55</v>
      </c>
      <c r="J2149" s="1" t="s">
        <v>1110</v>
      </c>
    </row>
    <row r="2150" spans="1:10" x14ac:dyDescent="0.2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Jaime\QUIFA-CAJÚA\Cajua\[VAS_CAJUA_CF_SEC_20230125.xlsx]CF PNP'!</v>
      </c>
      <c r="G2150" s="6" t="s">
        <v>40</v>
      </c>
      <c r="H2150" s="1">
        <f t="shared" si="483"/>
        <v>56</v>
      </c>
      <c r="I2150" s="1" t="str">
        <f t="shared" si="481"/>
        <v>='C:\Users\jaime.benazar\Quorum Business Solutions\Ecopetrol Prometeo - Documents\Planning Space Implementation\3. Analysis &amp; Design\Design\FC22\DRR Jaime\QUIFA-CAJÚA\Cajua\[VAS_CAJUA_CF_SEC_20230125.xlsx]CF PNP'!$CT$56</v>
      </c>
      <c r="J2150" s="1" t="s">
        <v>1111</v>
      </c>
    </row>
    <row r="2151" spans="1:10" x14ac:dyDescent="0.2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Jaime\QUIFA-CAJÚA\Cajua\[VAS_CAJUA_CF_SEC_20230125.xlsx]CF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Jaime\QUIFA-CAJÚA\Cajua\[VAS_CAJUA_CF_SEC_20230125.xlsx]CF PNP'!$CT$57</v>
      </c>
      <c r="J2151" s="1" t="s">
        <v>1112</v>
      </c>
    </row>
    <row r="2152" spans="1:10" x14ac:dyDescent="0.2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Jaime\QUIFA-CAJÚA\Cajua\[VAS_CAJUA_CF_SEC_20230125.xlsx]CF PNP'!</v>
      </c>
      <c r="G2152" s="6" t="s">
        <v>40</v>
      </c>
      <c r="H2152" s="1">
        <f t="shared" si="497"/>
        <v>58</v>
      </c>
      <c r="I2152" s="1" t="str">
        <f t="shared" si="498"/>
        <v>='C:\Users\jaime.benazar\Quorum Business Solutions\Ecopetrol Prometeo - Documents\Planning Space Implementation\3. Analysis &amp; Design\Design\FC22\DRR Jaime\QUIFA-CAJÚA\Cajua\[VAS_CAJUA_CF_SEC_20230125.xlsx]CF PNP'!$CT$58</v>
      </c>
      <c r="J2152" s="1" t="s">
        <v>1113</v>
      </c>
    </row>
    <row r="2153" spans="1:10" x14ac:dyDescent="0.2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Jaime\QUIFA-CAJÚA\Cajua\[VAS_CAJUA_CF_SEC_20230125.xlsx]CF PNP'!</v>
      </c>
      <c r="G2153" s="6" t="s">
        <v>40</v>
      </c>
      <c r="H2153" s="1">
        <f t="shared" si="497"/>
        <v>59</v>
      </c>
      <c r="I2153" s="1" t="str">
        <f t="shared" si="498"/>
        <v>='C:\Users\jaime.benazar\Quorum Business Solutions\Ecopetrol Prometeo - Documents\Planning Space Implementation\3. Analysis &amp; Design\Design\FC22\DRR Jaime\QUIFA-CAJÚA\Cajua\[VAS_CAJUA_CF_SEC_20230125.xlsx]CF PNP'!$CT$59</v>
      </c>
      <c r="J2153" s="1" t="s">
        <v>1114</v>
      </c>
    </row>
    <row r="2154" spans="1:10" x14ac:dyDescent="0.2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Jaime\QUIFA-CAJÚA\Cajua\[VAS_CAJUA_CF_SEC_20230125.xlsx]CF PNP'!</v>
      </c>
      <c r="G2154" s="6" t="s">
        <v>40</v>
      </c>
      <c r="H2154" s="1">
        <f t="shared" si="497"/>
        <v>60</v>
      </c>
      <c r="I2154" s="1" t="str">
        <f t="shared" si="498"/>
        <v>='C:\Users\jaime.benazar\Quorum Business Solutions\Ecopetrol Prometeo - Documents\Planning Space Implementation\3. Analysis &amp; Design\Design\FC22\DRR Jaime\QUIFA-CAJÚA\Cajua\[VAS_CAJUA_CF_SEC_20230125.xlsx]CF PNP'!$CT$60</v>
      </c>
      <c r="J2154" s="1" t="s">
        <v>1115</v>
      </c>
    </row>
    <row r="2155" spans="1:10" x14ac:dyDescent="0.2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Jaime\QUIFA-CAJÚA\Cajua\[VAS_CAJUA_CF_SEC_20230125.xlsx]CF PNP'!</v>
      </c>
      <c r="G2155" s="6" t="s">
        <v>40</v>
      </c>
      <c r="H2155" s="1">
        <f t="shared" si="497"/>
        <v>61</v>
      </c>
      <c r="I2155" s="1" t="str">
        <f t="shared" si="498"/>
        <v>='C:\Users\jaime.benazar\Quorum Business Solutions\Ecopetrol Prometeo - Documents\Planning Space Implementation\3. Analysis &amp; Design\Design\FC22\DRR Jaime\QUIFA-CAJÚA\Cajua\[VAS_CAJUA_CF_SEC_20230125.xlsx]CF PNP'!$CT$61</v>
      </c>
      <c r="J2155" s="1" t="s">
        <v>1116</v>
      </c>
    </row>
    <row r="2156" spans="1:10" x14ac:dyDescent="0.2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Jaime\QUIFA-CAJÚA\Cajua\[VAS_CAJUA_CF_SEC_20230125.xlsx]CF PNP'!</v>
      </c>
      <c r="G2156" s="6" t="s">
        <v>40</v>
      </c>
      <c r="H2156" s="1">
        <f t="shared" si="497"/>
        <v>62</v>
      </c>
      <c r="I2156" s="1" t="str">
        <f t="shared" si="498"/>
        <v>='C:\Users\jaime.benazar\Quorum Business Solutions\Ecopetrol Prometeo - Documents\Planning Space Implementation\3. Analysis &amp; Design\Design\FC22\DRR Jaime\QUIFA-CAJÚA\Cajua\[VAS_CAJUA_CF_SEC_20230125.xlsx]CF PNP'!$CT$62</v>
      </c>
      <c r="J2156" s="1" t="s">
        <v>1117</v>
      </c>
    </row>
    <row r="2157" spans="1:10" x14ac:dyDescent="0.2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Jaime\QUIFA-CAJÚA\Cajua\[VAS_CAJUA_CF_SEC_20230125.xlsx]CF PNP'!</v>
      </c>
      <c r="G2157" s="6" t="s">
        <v>40</v>
      </c>
      <c r="H2157" s="1">
        <f t="shared" si="497"/>
        <v>63</v>
      </c>
      <c r="I2157" s="1" t="str">
        <f t="shared" si="498"/>
        <v>='C:\Users\jaime.benazar\Quorum Business Solutions\Ecopetrol Prometeo - Documents\Planning Space Implementation\3. Analysis &amp; Design\Design\FC22\DRR Jaime\QUIFA-CAJÚA\Cajua\[VAS_CAJUA_CF_SEC_20230125.xlsx]CF PNP'!$CT$63</v>
      </c>
      <c r="J2157" s="1" t="s">
        <v>1118</v>
      </c>
    </row>
    <row r="2158" spans="1:10" x14ac:dyDescent="0.2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Jaime\QUIFA-CAJÚA\Cajua\[VAS_CAJUA_CF_SEC_20230125.xlsx]CF PNP'!</v>
      </c>
      <c r="G2158" s="6" t="s">
        <v>40</v>
      </c>
      <c r="H2158" s="1">
        <f t="shared" si="497"/>
        <v>64</v>
      </c>
      <c r="I2158" s="1" t="str">
        <f t="shared" si="498"/>
        <v>='C:\Users\jaime.benazar\Quorum Business Solutions\Ecopetrol Prometeo - Documents\Planning Space Implementation\3. Analysis &amp; Design\Design\FC22\DRR Jaime\QUIFA-CAJÚA\Cajua\[VAS_CAJUA_CF_SEC_20230125.xlsx]CF PNP'!$CT$64</v>
      </c>
      <c r="J2158" s="1" t="s">
        <v>1119</v>
      </c>
    </row>
    <row r="2159" spans="1:10" x14ac:dyDescent="0.2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Jaime\QUIFA-CAJÚA\Cajua\[VAS_CAJUA_CF_SEC_20230125.xlsx]CF PNP'!</v>
      </c>
      <c r="G2159" s="6" t="s">
        <v>40</v>
      </c>
      <c r="H2159" s="1">
        <f t="shared" si="497"/>
        <v>65</v>
      </c>
      <c r="I2159" s="1" t="str">
        <f t="shared" si="498"/>
        <v>='C:\Users\jaime.benazar\Quorum Business Solutions\Ecopetrol Prometeo - Documents\Planning Space Implementation\3. Analysis &amp; Design\Design\FC22\DRR Jaime\QUIFA-CAJÚA\Cajua\[VAS_CAJUA_CF_SEC_20230125.xlsx]CF PNP'!$CT$65</v>
      </c>
      <c r="J2159" s="1" t="s">
        <v>1120</v>
      </c>
    </row>
    <row r="2160" spans="1:10" x14ac:dyDescent="0.2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Jaime\QUIFA-CAJÚA\Cajua\[VAS_CAJUA_CF_SEC_20230125.xlsx]CF PNP'!</v>
      </c>
      <c r="G2160" s="6" t="s">
        <v>40</v>
      </c>
      <c r="H2160" s="1">
        <f t="shared" si="497"/>
        <v>66</v>
      </c>
      <c r="I2160" s="1" t="str">
        <f t="shared" si="498"/>
        <v>='C:\Users\jaime.benazar\Quorum Business Solutions\Ecopetrol Prometeo - Documents\Planning Space Implementation\3. Analysis &amp; Design\Design\FC22\DRR Jaime\QUIFA-CAJÚA\Cajua\[VAS_CAJUA_CF_SEC_20230125.xlsx]CF PNP'!$CT$66</v>
      </c>
      <c r="J2160" s="1" t="s">
        <v>1121</v>
      </c>
    </row>
    <row r="2161" spans="1:10" x14ac:dyDescent="0.2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Jaime\QUIFA-CAJÚA\Cajua\[VAS_CAJUA_CF_SEC_20230125.xlsx]CF PNP'!</v>
      </c>
      <c r="G2161" s="6" t="s">
        <v>40</v>
      </c>
      <c r="H2161" s="1">
        <f t="shared" si="497"/>
        <v>67</v>
      </c>
      <c r="I2161" s="1" t="str">
        <f t="shared" si="498"/>
        <v>='C:\Users\jaime.benazar\Quorum Business Solutions\Ecopetrol Prometeo - Documents\Planning Space Implementation\3. Analysis &amp; Design\Design\FC22\DRR Jaime\QUIFA-CAJÚA\Cajua\[VAS_CAJUA_CF_SEC_20230125.xlsx]CF PNP'!$CT$67</v>
      </c>
      <c r="J2161" s="1" t="s">
        <v>1122</v>
      </c>
    </row>
    <row r="2162" spans="1:10" x14ac:dyDescent="0.2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Jaime\QUIFA-CAJÚA\Cajua\[VAS_CAJUA_CF_SEC_20230125.xlsx]CF PNP'!</v>
      </c>
      <c r="G2162" s="6" t="s">
        <v>40</v>
      </c>
      <c r="H2162" s="1">
        <f t="shared" si="497"/>
        <v>68</v>
      </c>
      <c r="I2162" s="1" t="str">
        <f t="shared" si="498"/>
        <v>='C:\Users\jaime.benazar\Quorum Business Solutions\Ecopetrol Prometeo - Documents\Planning Space Implementation\3. Analysis &amp; Design\Design\FC22\DRR Jaime\QUIFA-CAJÚA\Cajua\[VAS_CAJUA_CF_SEC_20230125.xlsx]CF PNP'!$CT$68</v>
      </c>
      <c r="J2162" s="1" t="s">
        <v>1123</v>
      </c>
    </row>
    <row r="2163" spans="1:10" x14ac:dyDescent="0.2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Jaime\QUIFA-CAJÚA\Cajua\[VAS_CAJUA_CF_SEC_20230125.xlsx]CF PNP'!</v>
      </c>
      <c r="G2163" s="6" t="s">
        <v>40</v>
      </c>
      <c r="H2163" s="1">
        <f t="shared" si="497"/>
        <v>69</v>
      </c>
      <c r="I2163" s="1" t="str">
        <f t="shared" si="498"/>
        <v>='C:\Users\jaime.benazar\Quorum Business Solutions\Ecopetrol Prometeo - Documents\Planning Space Implementation\3. Analysis &amp; Design\Design\FC22\DRR Jaime\QUIFA-CAJÚA\Cajua\[VAS_CAJUA_CF_SEC_20230125.xlsx]CF PNP'!$CT$69</v>
      </c>
      <c r="J2163" s="1" t="s">
        <v>1124</v>
      </c>
    </row>
    <row r="2164" spans="1:10" x14ac:dyDescent="0.2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Jaime\QUIFA-CAJÚA\Cajua\[VAS_CAJUA_CF_SEC_20230125.xlsx]CF PNP'!</v>
      </c>
      <c r="G2164" s="6" t="s">
        <v>40</v>
      </c>
      <c r="H2164" s="1">
        <f t="shared" si="497"/>
        <v>70</v>
      </c>
      <c r="I2164" s="1" t="str">
        <f t="shared" si="498"/>
        <v>='C:\Users\jaime.benazar\Quorum Business Solutions\Ecopetrol Prometeo - Documents\Planning Space Implementation\3. Analysis &amp; Design\Design\FC22\DRR Jaime\QUIFA-CAJÚA\Cajua\[VAS_CAJUA_CF_SEC_20230125.xlsx]CF PNP'!$CT$70</v>
      </c>
      <c r="J2164" s="1" t="s">
        <v>1125</v>
      </c>
    </row>
    <row r="2165" spans="1:10" x14ac:dyDescent="0.2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Jaime\QUIFA-CAJÚA\Cajua\[VAS_CAJUA_CF_SEC_20230125.xlsx]CF PNP'!</v>
      </c>
      <c r="G2165" s="6" t="s">
        <v>40</v>
      </c>
      <c r="H2165" s="1">
        <f t="shared" si="497"/>
        <v>71</v>
      </c>
      <c r="I2165" s="1" t="str">
        <f t="shared" si="498"/>
        <v>='C:\Users\jaime.benazar\Quorum Business Solutions\Ecopetrol Prometeo - Documents\Planning Space Implementation\3. Analysis &amp; Design\Design\FC22\DRR Jaime\QUIFA-CAJÚA\Cajua\[VAS_CAJUA_CF_SEC_20230125.xlsx]CF PNP'!$CT$71</v>
      </c>
      <c r="J2165" s="1" t="s">
        <v>1126</v>
      </c>
    </row>
    <row r="2166" spans="1:10" x14ac:dyDescent="0.2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Jaime\QUIFA-CAJÚA\Cajua\[VAS_CAJUA_CF_SEC_20230125.xlsx]CF PNP'!</v>
      </c>
      <c r="G2166" s="6" t="s">
        <v>40</v>
      </c>
      <c r="H2166" s="1">
        <f t="shared" si="497"/>
        <v>72</v>
      </c>
      <c r="I2166" s="1" t="str">
        <f t="shared" si="498"/>
        <v>='C:\Users\jaime.benazar\Quorum Business Solutions\Ecopetrol Prometeo - Documents\Planning Space Implementation\3. Analysis &amp; Design\Design\FC22\DRR Jaime\QUIFA-CAJÚA\Cajua\[VAS_CAJUA_CF_SEC_20230125.xlsx]CF PNP'!$CT$72</v>
      </c>
      <c r="J2166" s="1" t="s">
        <v>1127</v>
      </c>
    </row>
    <row r="2167" spans="1:10" x14ac:dyDescent="0.25">
      <c r="A2167" s="6" t="s">
        <v>28</v>
      </c>
      <c r="B2167" s="6"/>
      <c r="C2167" s="1" t="s">
        <v>20</v>
      </c>
      <c r="D2167" s="2"/>
      <c r="E2167" s="9"/>
      <c r="F2167" s="5"/>
      <c r="G2167" s="6"/>
      <c r="H2167" s="1"/>
      <c r="I2167" s="1"/>
      <c r="J2167" s="4"/>
    </row>
    <row r="2168" spans="1:10" x14ac:dyDescent="0.2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Jaime\QUIFA-CAJÚA\Cajua\[VAS_CAJUA_CF_SEC_20230125.xlsx]CF PND'!</v>
      </c>
      <c r="G2168" s="6" t="s">
        <v>40</v>
      </c>
      <c r="H2168" s="1">
        <f>IF(A2168&lt;&gt;A2152,36,H2152+1)</f>
        <v>36</v>
      </c>
      <c r="I2168" s="1" t="str">
        <f t="shared" si="481"/>
        <v>='C:\Users\jaime.benazar\Quorum Business Solutions\Ecopetrol Prometeo - Documents\Planning Space Implementation\3. Analysis &amp; Design\Design\FC22\DRR Jaime\QUIFA-CAJÚA\Cajua\[VAS_CAJUA_CF_SEC_20230125.xlsx]CF PND'!$CT$36</v>
      </c>
      <c r="J2168" s="1" t="s">
        <v>1128</v>
      </c>
    </row>
    <row r="2169" spans="1:10" x14ac:dyDescent="0.2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Jaime\QUIFA-CAJÚA\Cajua\[VAS_CAJUA_CF_SEC_20230125.xlsx]CF PND'!</v>
      </c>
      <c r="G2169" s="6" t="s">
        <v>40</v>
      </c>
      <c r="H2169" s="1">
        <f t="shared" si="483"/>
        <v>37</v>
      </c>
      <c r="I2169" s="1" t="str">
        <f t="shared" si="481"/>
        <v>='C:\Users\jaime.benazar\Quorum Business Solutions\Ecopetrol Prometeo - Documents\Planning Space Implementation\3. Analysis &amp; Design\Design\FC22\DRR Jaime\QUIFA-CAJÚA\Cajua\[VAS_CAJUA_CF_SEC_20230125.xlsx]CF PND'!$CT$37</v>
      </c>
      <c r="J2169" s="1" t="s">
        <v>1129</v>
      </c>
    </row>
    <row r="2170" spans="1:10" x14ac:dyDescent="0.2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Jaime\QUIFA-CAJÚA\Cajua\[VAS_CAJUA_CF_SEC_20230125.xlsx]CF PND'!</v>
      </c>
      <c r="G2170" s="6" t="s">
        <v>40</v>
      </c>
      <c r="H2170" s="1">
        <f t="shared" si="483"/>
        <v>38</v>
      </c>
      <c r="I2170" s="1" t="str">
        <f t="shared" si="481"/>
        <v>='C:\Users\jaime.benazar\Quorum Business Solutions\Ecopetrol Prometeo - Documents\Planning Space Implementation\3. Analysis &amp; Design\Design\FC22\DRR Jaime\QUIFA-CAJÚA\Cajua\[VAS_CAJUA_CF_SEC_20230125.xlsx]CF PND'!$CT$38</v>
      </c>
      <c r="J2170" s="1" t="s">
        <v>1130</v>
      </c>
    </row>
    <row r="2171" spans="1:10" x14ac:dyDescent="0.2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Jaime\QUIFA-CAJÚA\Cajua\[VAS_CAJUA_CF_SEC_20230125.xlsx]CF PND'!</v>
      </c>
      <c r="G2171" s="6" t="s">
        <v>40</v>
      </c>
      <c r="H2171" s="1">
        <f t="shared" si="483"/>
        <v>39</v>
      </c>
      <c r="I2171" s="1" t="str">
        <f t="shared" si="481"/>
        <v>='C:\Users\jaime.benazar\Quorum Business Solutions\Ecopetrol Prometeo - Documents\Planning Space Implementation\3. Analysis &amp; Design\Design\FC22\DRR Jaime\QUIFA-CAJÚA\Cajua\[VAS_CAJUA_CF_SEC_20230125.xlsx]CF PND'!$CT$39</v>
      </c>
      <c r="J2171" s="1" t="s">
        <v>1131</v>
      </c>
    </row>
    <row r="2172" spans="1:10" x14ac:dyDescent="0.2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Jaime\QUIFA-CAJÚA\Cajua\[VAS_CAJUA_CF_SEC_20230125.xlsx]CF PND'!</v>
      </c>
      <c r="G2172" s="6" t="s">
        <v>40</v>
      </c>
      <c r="H2172" s="1">
        <f t="shared" si="483"/>
        <v>40</v>
      </c>
      <c r="I2172" s="1" t="str">
        <f t="shared" si="481"/>
        <v>='C:\Users\jaime.benazar\Quorum Business Solutions\Ecopetrol Prometeo - Documents\Planning Space Implementation\3. Analysis &amp; Design\Design\FC22\DRR Jaime\QUIFA-CAJÚA\Cajua\[VAS_CAJUA_CF_SEC_20230125.xlsx]CF PND'!$CT$40</v>
      </c>
      <c r="J2172" s="1" t="s">
        <v>1132</v>
      </c>
    </row>
    <row r="2173" spans="1:10" x14ac:dyDescent="0.2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Jaime\QUIFA-CAJÚA\Cajua\[VAS_CAJUA_CF_SEC_20230125.xlsx]CF PND'!</v>
      </c>
      <c r="G2173" s="6" t="s">
        <v>40</v>
      </c>
      <c r="H2173" s="1">
        <f t="shared" si="483"/>
        <v>41</v>
      </c>
      <c r="I2173" s="1" t="str">
        <f t="shared" si="481"/>
        <v>='C:\Users\jaime.benazar\Quorum Business Solutions\Ecopetrol Prometeo - Documents\Planning Space Implementation\3. Analysis &amp; Design\Design\FC22\DRR Jaime\QUIFA-CAJÚA\Cajua\[VAS_CAJUA_CF_SEC_20230125.xlsx]CF PND'!$CT$41</v>
      </c>
      <c r="J2173" s="1" t="s">
        <v>1133</v>
      </c>
    </row>
    <row r="2174" spans="1:10" x14ac:dyDescent="0.2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Jaime\QUIFA-CAJÚA\Cajua\[VAS_CAJUA_CF_SEC_20230125.xlsx]CF PND'!</v>
      </c>
      <c r="G2174" s="6" t="s">
        <v>40</v>
      </c>
      <c r="H2174" s="1">
        <f t="shared" si="483"/>
        <v>42</v>
      </c>
      <c r="I2174" s="1" t="str">
        <f t="shared" si="481"/>
        <v>='C:\Users\jaime.benazar\Quorum Business Solutions\Ecopetrol Prometeo - Documents\Planning Space Implementation\3. Analysis &amp; Design\Design\FC22\DRR Jaime\QUIFA-CAJÚA\Cajua\[VAS_CAJUA_CF_SEC_20230125.xlsx]CF PND'!$CT$42</v>
      </c>
      <c r="J2174" s="1" t="s">
        <v>1134</v>
      </c>
    </row>
    <row r="2175" spans="1:10" x14ac:dyDescent="0.2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Jaime\QUIFA-CAJÚA\Cajua\[VAS_CAJUA_CF_SEC_20230125.xlsx]CF PND'!</v>
      </c>
      <c r="G2175" s="6" t="s">
        <v>40</v>
      </c>
      <c r="H2175" s="1">
        <f t="shared" si="483"/>
        <v>43</v>
      </c>
      <c r="I2175" s="1" t="str">
        <f t="shared" si="481"/>
        <v>='C:\Users\jaime.benazar\Quorum Business Solutions\Ecopetrol Prometeo - Documents\Planning Space Implementation\3. Analysis &amp; Design\Design\FC22\DRR Jaime\QUIFA-CAJÚA\Cajua\[VAS_CAJUA_CF_SEC_20230125.xlsx]CF PND'!$CT$43</v>
      </c>
      <c r="J2175" s="1" t="s">
        <v>1135</v>
      </c>
    </row>
    <row r="2176" spans="1:10" x14ac:dyDescent="0.2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Jaime\QUIFA-CAJÚA\Cajua\[VAS_CAJUA_CF_SEC_20230125.xlsx]CF PND'!</v>
      </c>
      <c r="G2176" s="6" t="s">
        <v>40</v>
      </c>
      <c r="H2176" s="1">
        <f t="shared" si="483"/>
        <v>44</v>
      </c>
      <c r="I2176" s="1" t="str">
        <f t="shared" si="481"/>
        <v>='C:\Users\jaime.benazar\Quorum Business Solutions\Ecopetrol Prometeo - Documents\Planning Space Implementation\3. Analysis &amp; Design\Design\FC22\DRR Jaime\QUIFA-CAJÚA\Cajua\[VAS_CAJUA_CF_SEC_20230125.xlsx]CF PND'!$CT$44</v>
      </c>
      <c r="J2176" s="1" t="s">
        <v>1136</v>
      </c>
    </row>
    <row r="2177" spans="1:10" x14ac:dyDescent="0.2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Jaime\QUIFA-CAJÚA\Cajua\[VAS_CAJUA_CF_SEC_20230125.xlsx]CF PND'!</v>
      </c>
      <c r="G2177" s="6" t="s">
        <v>40</v>
      </c>
      <c r="H2177" s="1">
        <f t="shared" si="483"/>
        <v>45</v>
      </c>
      <c r="I2177" s="1" t="str">
        <f t="shared" si="481"/>
        <v>='C:\Users\jaime.benazar\Quorum Business Solutions\Ecopetrol Prometeo - Documents\Planning Space Implementation\3. Analysis &amp; Design\Design\FC22\DRR Jaime\QUIFA-CAJÚA\Cajua\[VAS_CAJUA_CF_SEC_20230125.xlsx]CF PND'!$CT$45</v>
      </c>
      <c r="J2177" s="1" t="s">
        <v>1137</v>
      </c>
    </row>
    <row r="2178" spans="1:10" x14ac:dyDescent="0.2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Jaime\QUIFA-CAJÚA\Cajua\[VAS_CAJUA_CF_SEC_20230125.xlsx]CF PND'!</v>
      </c>
      <c r="G2178" s="6" t="s">
        <v>40</v>
      </c>
      <c r="H2178" s="1">
        <f t="shared" si="483"/>
        <v>46</v>
      </c>
      <c r="I2178" s="1" t="str">
        <f t="shared" si="481"/>
        <v>='C:\Users\jaime.benazar\Quorum Business Solutions\Ecopetrol Prometeo - Documents\Planning Space Implementation\3. Analysis &amp; Design\Design\FC22\DRR Jaime\QUIFA-CAJÚA\Cajua\[VAS_CAJUA_CF_SEC_20230125.xlsx]CF PND'!$CT$46</v>
      </c>
      <c r="J2178" s="1" t="s">
        <v>1138</v>
      </c>
    </row>
    <row r="2179" spans="1:10" x14ac:dyDescent="0.2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Jaime\QUIFA-CAJÚA\Cajua\[VAS_CAJUA_CF_SEC_20230125.xlsx]CF PND'!</v>
      </c>
      <c r="G2179" s="6" t="s">
        <v>40</v>
      </c>
      <c r="H2179" s="1">
        <f t="shared" si="483"/>
        <v>47</v>
      </c>
      <c r="I2179" s="1" t="str">
        <f t="shared" si="481"/>
        <v>='C:\Users\jaime.benazar\Quorum Business Solutions\Ecopetrol Prometeo - Documents\Planning Space Implementation\3. Analysis &amp; Design\Design\FC22\DRR Jaime\QUIFA-CAJÚA\Cajua\[VAS_CAJUA_CF_SEC_20230125.xlsx]CF PND'!$CT$47</v>
      </c>
      <c r="J2179" s="1" t="s">
        <v>1139</v>
      </c>
    </row>
    <row r="2180" spans="1:10" x14ac:dyDescent="0.2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Jaime\QUIFA-CAJÚA\Cajua\[VAS_CAJUA_CF_SEC_20230125.xlsx]CF PND'!</v>
      </c>
      <c r="G2180" s="6" t="s">
        <v>40</v>
      </c>
      <c r="H2180" s="1">
        <f t="shared" si="483"/>
        <v>48</v>
      </c>
      <c r="I2180" s="1" t="str">
        <f t="shared" si="481"/>
        <v>='C:\Users\jaime.benazar\Quorum Business Solutions\Ecopetrol Prometeo - Documents\Planning Space Implementation\3. Analysis &amp; Design\Design\FC22\DRR Jaime\QUIFA-CAJÚA\Cajua\[VAS_CAJUA_CF_SEC_20230125.xlsx]CF PND'!$CT$48</v>
      </c>
      <c r="J2180" s="1" t="s">
        <v>1140</v>
      </c>
    </row>
    <row r="2181" spans="1:10" x14ac:dyDescent="0.2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Jaime\QUIFA-CAJÚA\Cajua\[VAS_CAJUA_CF_SEC_20230125.xlsx]CF PND'!</v>
      </c>
      <c r="G2181" s="6" t="s">
        <v>40</v>
      </c>
      <c r="H2181" s="1">
        <f t="shared" si="483"/>
        <v>49</v>
      </c>
      <c r="I2181" s="1" t="str">
        <f t="shared" si="481"/>
        <v>='C:\Users\jaime.benazar\Quorum Business Solutions\Ecopetrol Prometeo - Documents\Planning Space Implementation\3. Analysis &amp; Design\Design\FC22\DRR Jaime\QUIFA-CAJÚA\Cajua\[VAS_CAJUA_CF_SEC_20230125.xlsx]CF PND'!$CT$49</v>
      </c>
      <c r="J2181" s="1" t="s">
        <v>1141</v>
      </c>
    </row>
    <row r="2182" spans="1:10" x14ac:dyDescent="0.2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Jaime\QUIFA-CAJÚA\Cajua\[VAS_CAJUA_CF_SEC_20230125.xlsx]CF PND'!</v>
      </c>
      <c r="G2182" s="6" t="s">
        <v>40</v>
      </c>
      <c r="H2182" s="1">
        <f t="shared" si="483"/>
        <v>50</v>
      </c>
      <c r="I2182" s="1" t="str">
        <f t="shared" si="481"/>
        <v>='C:\Users\jaime.benazar\Quorum Business Solutions\Ecopetrol Prometeo - Documents\Planning Space Implementation\3. Analysis &amp; Design\Design\FC22\DRR Jaime\QUIFA-CAJÚA\Cajua\[VAS_CAJUA_CF_SEC_20230125.xlsx]CF PND'!$CT$50</v>
      </c>
      <c r="J2182" s="1" t="s">
        <v>1142</v>
      </c>
    </row>
    <row r="2183" spans="1:10" x14ac:dyDescent="0.2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Jaime\QUIFA-CAJÚA\Cajua\[VAS_CAJUA_CF_SEC_20230125.xlsx]CF PND'!</v>
      </c>
      <c r="G2183" s="6" t="s">
        <v>40</v>
      </c>
      <c r="H2183" s="1">
        <f t="shared" si="483"/>
        <v>51</v>
      </c>
      <c r="I2183" s="1" t="str">
        <f t="shared" si="481"/>
        <v>='C:\Users\jaime.benazar\Quorum Business Solutions\Ecopetrol Prometeo - Documents\Planning Space Implementation\3. Analysis &amp; Design\Design\FC22\DRR Jaime\QUIFA-CAJÚA\Cajua\[VAS_CAJUA_CF_SEC_20230125.xlsx]CF PND'!$CT$51</v>
      </c>
      <c r="J2183" s="1" t="s">
        <v>1143</v>
      </c>
    </row>
    <row r="2184" spans="1:10" x14ac:dyDescent="0.2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Jaime\QUIFA-CAJÚA\Cajua\[VAS_CAJUA_CF_SEC_20230125.xlsx]CF PND'!</v>
      </c>
      <c r="G2184" s="6" t="s">
        <v>40</v>
      </c>
      <c r="H2184" s="1">
        <f t="shared" si="483"/>
        <v>52</v>
      </c>
      <c r="I2184" s="1" t="str">
        <f t="shared" si="481"/>
        <v>='C:\Users\jaime.benazar\Quorum Business Solutions\Ecopetrol Prometeo - Documents\Planning Space Implementation\3. Analysis &amp; Design\Design\FC22\DRR Jaime\QUIFA-CAJÚA\Cajua\[VAS_CAJUA_CF_SEC_20230125.xlsx]CF PND'!$CT$52</v>
      </c>
      <c r="J2184" s="1" t="s">
        <v>1144</v>
      </c>
    </row>
    <row r="2185" spans="1:10" x14ac:dyDescent="0.2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Jaime\QUIFA-CAJÚA\Cajua\[VAS_CAJUA_CF_SEC_20230125.xlsx]CF PND'!</v>
      </c>
      <c r="G2185" s="6" t="s">
        <v>40</v>
      </c>
      <c r="H2185" s="1">
        <f t="shared" si="483"/>
        <v>53</v>
      </c>
      <c r="I2185" s="1" t="str">
        <f t="shared" si="481"/>
        <v>='C:\Users\jaime.benazar\Quorum Business Solutions\Ecopetrol Prometeo - Documents\Planning Space Implementation\3. Analysis &amp; Design\Design\FC22\DRR Jaime\QUIFA-CAJÚA\Cajua\[VAS_CAJUA_CF_SEC_20230125.xlsx]CF PND'!$CT$53</v>
      </c>
      <c r="J2185" s="1" t="s">
        <v>1145</v>
      </c>
    </row>
    <row r="2186" spans="1:10" x14ac:dyDescent="0.2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Jaime\QUIFA-CAJÚA\Cajua\[VAS_CAJUA_CF_SEC_20230125.xlsx]CF PND'!</v>
      </c>
      <c r="G2186" s="6" t="s">
        <v>40</v>
      </c>
      <c r="H2186" s="1">
        <f t="shared" si="483"/>
        <v>54</v>
      </c>
      <c r="I2186" s="1" t="str">
        <f t="shared" si="481"/>
        <v>='C:\Users\jaime.benazar\Quorum Business Solutions\Ecopetrol Prometeo - Documents\Planning Space Implementation\3. Analysis &amp; Design\Design\FC22\DRR Jaime\QUIFA-CAJÚA\Cajua\[VAS_CAJUA_CF_SEC_20230125.xlsx]CF PND'!$CT$54</v>
      </c>
      <c r="J2186" s="1" t="s">
        <v>1146</v>
      </c>
    </row>
    <row r="2187" spans="1:10" x14ac:dyDescent="0.2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Jaime\QUIFA-CAJÚA\Cajua\[VAS_CAJUA_CF_SEC_20230125.xlsx]CF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Jaime\QUIFA-CAJÚA\Cajua\[VAS_CAJUA_CF_SEC_20230125.xlsx]CF PND'!$CT$55</v>
      </c>
      <c r="J2187" s="1" t="s">
        <v>1147</v>
      </c>
    </row>
    <row r="2188" spans="1:10" x14ac:dyDescent="0.2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Jaime\QUIFA-CAJÚA\Cajua\[VAS_CAJUA_CF_SEC_20230125.xlsx]CF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Jaime\QUIFA-CAJÚA\Cajua\[VAS_CAJUA_CF_SEC_20230125.xlsx]CF PND'!$CT$56</v>
      </c>
      <c r="J2188" s="1" t="s">
        <v>1148</v>
      </c>
    </row>
    <row r="2189" spans="1:10" x14ac:dyDescent="0.2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Jaime\QUIFA-CAJÚA\Cajua\[VAS_CAJUA_CF_SEC_20230125.xlsx]CF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Jaime\QUIFA-CAJÚA\Cajua\[VAS_CAJUA_CF_SEC_20230125.xlsx]CF PND'!$CT$57</v>
      </c>
      <c r="J2189" s="1" t="s">
        <v>1149</v>
      </c>
    </row>
    <row r="2190" spans="1:10" x14ac:dyDescent="0.2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Jaime\QUIFA-CAJÚA\Cajua\[VAS_CAJUA_CF_SEC_20230125.xlsx]CF PND'!</v>
      </c>
      <c r="G2190" s="6" t="s">
        <v>40</v>
      </c>
      <c r="H2190" s="1">
        <f t="shared" si="509"/>
        <v>58</v>
      </c>
      <c r="I2190" s="1" t="str">
        <f t="shared" si="510"/>
        <v>='C:\Users\jaime.benazar\Quorum Business Solutions\Ecopetrol Prometeo - Documents\Planning Space Implementation\3. Analysis &amp; Design\Design\FC22\DRR Jaime\QUIFA-CAJÚA\Cajua\[VAS_CAJUA_CF_SEC_20230125.xlsx]CF PND'!$CT$58</v>
      </c>
      <c r="J2190" s="1" t="s">
        <v>1150</v>
      </c>
    </row>
    <row r="2191" spans="1:10" x14ac:dyDescent="0.2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Jaime\QUIFA-CAJÚA\Cajua\[VAS_CAJUA_CF_SEC_20230125.xlsx]CF PND'!</v>
      </c>
      <c r="G2191" s="6" t="s">
        <v>40</v>
      </c>
      <c r="H2191" s="1">
        <f t="shared" si="509"/>
        <v>59</v>
      </c>
      <c r="I2191" s="1" t="str">
        <f t="shared" si="510"/>
        <v>='C:\Users\jaime.benazar\Quorum Business Solutions\Ecopetrol Prometeo - Documents\Planning Space Implementation\3. Analysis &amp; Design\Design\FC22\DRR Jaime\QUIFA-CAJÚA\Cajua\[VAS_CAJUA_CF_SEC_20230125.xlsx]CF PND'!$CT$59</v>
      </c>
      <c r="J2191" s="1" t="s">
        <v>1151</v>
      </c>
    </row>
    <row r="2192" spans="1:10" x14ac:dyDescent="0.2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Jaime\QUIFA-CAJÚA\Cajua\[VAS_CAJUA_CF_SEC_20230125.xlsx]CF PND'!</v>
      </c>
      <c r="G2192" s="6" t="s">
        <v>40</v>
      </c>
      <c r="H2192" s="1">
        <f t="shared" si="509"/>
        <v>60</v>
      </c>
      <c r="I2192" s="1" t="str">
        <f t="shared" si="510"/>
        <v>='C:\Users\jaime.benazar\Quorum Business Solutions\Ecopetrol Prometeo - Documents\Planning Space Implementation\3. Analysis &amp; Design\Design\FC22\DRR Jaime\QUIFA-CAJÚA\Cajua\[VAS_CAJUA_CF_SEC_20230125.xlsx]CF PND'!$CT$60</v>
      </c>
      <c r="J2192" s="1" t="s">
        <v>1152</v>
      </c>
    </row>
    <row r="2193" spans="1:10" x14ac:dyDescent="0.2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Jaime\QUIFA-CAJÚA\Cajua\[VAS_CAJUA_CF_SEC_20230125.xlsx]CF PND'!</v>
      </c>
      <c r="G2193" s="6" t="s">
        <v>40</v>
      </c>
      <c r="H2193" s="1">
        <f t="shared" si="509"/>
        <v>61</v>
      </c>
      <c r="I2193" s="1" t="str">
        <f t="shared" si="510"/>
        <v>='C:\Users\jaime.benazar\Quorum Business Solutions\Ecopetrol Prometeo - Documents\Planning Space Implementation\3. Analysis &amp; Design\Design\FC22\DRR Jaime\QUIFA-CAJÚA\Cajua\[VAS_CAJUA_CF_SEC_20230125.xlsx]CF PND'!$CT$61</v>
      </c>
      <c r="J2193" s="1" t="s">
        <v>1153</v>
      </c>
    </row>
    <row r="2194" spans="1:10" x14ac:dyDescent="0.2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Jaime\QUIFA-CAJÚA\Cajua\[VAS_CAJUA_CF_SEC_20230125.xlsx]CF PND'!</v>
      </c>
      <c r="G2194" s="6" t="s">
        <v>40</v>
      </c>
      <c r="H2194" s="1">
        <f t="shared" si="509"/>
        <v>62</v>
      </c>
      <c r="I2194" s="1" t="str">
        <f t="shared" si="510"/>
        <v>='C:\Users\jaime.benazar\Quorum Business Solutions\Ecopetrol Prometeo - Documents\Planning Space Implementation\3. Analysis &amp; Design\Design\FC22\DRR Jaime\QUIFA-CAJÚA\Cajua\[VAS_CAJUA_CF_SEC_20230125.xlsx]CF PND'!$CT$62</v>
      </c>
      <c r="J2194" s="1" t="s">
        <v>1154</v>
      </c>
    </row>
    <row r="2195" spans="1:10" x14ac:dyDescent="0.2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Jaime\QUIFA-CAJÚA\Cajua\[VAS_CAJUA_CF_SEC_20230125.xlsx]CF PND'!</v>
      </c>
      <c r="G2195" s="6" t="s">
        <v>40</v>
      </c>
      <c r="H2195" s="1">
        <f t="shared" si="509"/>
        <v>63</v>
      </c>
      <c r="I2195" s="1" t="str">
        <f t="shared" si="510"/>
        <v>='C:\Users\jaime.benazar\Quorum Business Solutions\Ecopetrol Prometeo - Documents\Planning Space Implementation\3. Analysis &amp; Design\Design\FC22\DRR Jaime\QUIFA-CAJÚA\Cajua\[VAS_CAJUA_CF_SEC_20230125.xlsx]CF PND'!$CT$63</v>
      </c>
      <c r="J2195" s="1" t="s">
        <v>1155</v>
      </c>
    </row>
    <row r="2196" spans="1:10" x14ac:dyDescent="0.2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Jaime\QUIFA-CAJÚA\Cajua\[VAS_CAJUA_CF_SEC_20230125.xlsx]CF PND'!</v>
      </c>
      <c r="G2196" s="6" t="s">
        <v>40</v>
      </c>
      <c r="H2196" s="1">
        <f t="shared" si="509"/>
        <v>64</v>
      </c>
      <c r="I2196" s="1" t="str">
        <f t="shared" si="510"/>
        <v>='C:\Users\jaime.benazar\Quorum Business Solutions\Ecopetrol Prometeo - Documents\Planning Space Implementation\3. Analysis &amp; Design\Design\FC22\DRR Jaime\QUIFA-CAJÚA\Cajua\[VAS_CAJUA_CF_SEC_20230125.xlsx]CF PND'!$CT$64</v>
      </c>
      <c r="J2196" s="1" t="s">
        <v>1156</v>
      </c>
    </row>
    <row r="2197" spans="1:10" x14ac:dyDescent="0.2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Jaime\QUIFA-CAJÚA\Cajua\[VAS_CAJUA_CF_SEC_20230125.xlsx]CF PND'!</v>
      </c>
      <c r="G2197" s="6" t="s">
        <v>40</v>
      </c>
      <c r="H2197" s="1">
        <f t="shared" si="509"/>
        <v>65</v>
      </c>
      <c r="I2197" s="1" t="str">
        <f t="shared" si="510"/>
        <v>='C:\Users\jaime.benazar\Quorum Business Solutions\Ecopetrol Prometeo - Documents\Planning Space Implementation\3. Analysis &amp; Design\Design\FC22\DRR Jaime\QUIFA-CAJÚA\Cajua\[VAS_CAJUA_CF_SEC_20230125.xlsx]CF PND'!$CT$65</v>
      </c>
      <c r="J2197" s="1" t="s">
        <v>1157</v>
      </c>
    </row>
    <row r="2198" spans="1:10" x14ac:dyDescent="0.2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Jaime\QUIFA-CAJÚA\Cajua\[VAS_CAJUA_CF_SEC_20230125.xlsx]CF PND'!</v>
      </c>
      <c r="G2198" s="6" t="s">
        <v>40</v>
      </c>
      <c r="H2198" s="1">
        <f t="shared" si="509"/>
        <v>66</v>
      </c>
      <c r="I2198" s="1" t="str">
        <f t="shared" si="510"/>
        <v>='C:\Users\jaime.benazar\Quorum Business Solutions\Ecopetrol Prometeo - Documents\Planning Space Implementation\3. Analysis &amp; Design\Design\FC22\DRR Jaime\QUIFA-CAJÚA\Cajua\[VAS_CAJUA_CF_SEC_20230125.xlsx]CF PND'!$CT$66</v>
      </c>
      <c r="J2198" s="1" t="s">
        <v>1158</v>
      </c>
    </row>
    <row r="2199" spans="1:10" x14ac:dyDescent="0.2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Jaime\QUIFA-CAJÚA\Cajua\[VAS_CAJUA_CF_SEC_20230125.xlsx]CF PND'!</v>
      </c>
      <c r="G2199" s="6" t="s">
        <v>40</v>
      </c>
      <c r="H2199" s="1">
        <f t="shared" si="509"/>
        <v>67</v>
      </c>
      <c r="I2199" s="1" t="str">
        <f t="shared" si="510"/>
        <v>='C:\Users\jaime.benazar\Quorum Business Solutions\Ecopetrol Prometeo - Documents\Planning Space Implementation\3. Analysis &amp; Design\Design\FC22\DRR Jaime\QUIFA-CAJÚA\Cajua\[VAS_CAJUA_CF_SEC_20230125.xlsx]CF PND'!$CT$67</v>
      </c>
      <c r="J2199" s="1" t="s">
        <v>1159</v>
      </c>
    </row>
    <row r="2200" spans="1:10" x14ac:dyDescent="0.2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Jaime\QUIFA-CAJÚA\Cajua\[VAS_CAJUA_CF_SEC_20230125.xlsx]CF PND'!</v>
      </c>
      <c r="G2200" s="6" t="s">
        <v>40</v>
      </c>
      <c r="H2200" s="1">
        <f t="shared" si="509"/>
        <v>68</v>
      </c>
      <c r="I2200" s="1" t="str">
        <f t="shared" si="510"/>
        <v>='C:\Users\jaime.benazar\Quorum Business Solutions\Ecopetrol Prometeo - Documents\Planning Space Implementation\3. Analysis &amp; Design\Design\FC22\DRR Jaime\QUIFA-CAJÚA\Cajua\[VAS_CAJUA_CF_SEC_20230125.xlsx]CF PND'!$CT$68</v>
      </c>
      <c r="J2200" s="1" t="s">
        <v>1160</v>
      </c>
    </row>
    <row r="2201" spans="1:10" x14ac:dyDescent="0.2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Jaime\QUIFA-CAJÚA\Cajua\[VAS_CAJUA_CF_SEC_20230125.xlsx]CF PND'!</v>
      </c>
      <c r="G2201" s="6" t="s">
        <v>40</v>
      </c>
      <c r="H2201" s="1">
        <f t="shared" si="509"/>
        <v>69</v>
      </c>
      <c r="I2201" s="1" t="str">
        <f t="shared" si="510"/>
        <v>='C:\Users\jaime.benazar\Quorum Business Solutions\Ecopetrol Prometeo - Documents\Planning Space Implementation\3. Analysis &amp; Design\Design\FC22\DRR Jaime\QUIFA-CAJÚA\Cajua\[VAS_CAJUA_CF_SEC_20230125.xlsx]CF PND'!$CT$69</v>
      </c>
      <c r="J2201" s="1" t="s">
        <v>1161</v>
      </c>
    </row>
    <row r="2202" spans="1:10" x14ac:dyDescent="0.2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Jaime\QUIFA-CAJÚA\Cajua\[VAS_CAJUA_CF_SEC_20230125.xlsx]CF PND'!</v>
      </c>
      <c r="G2202" s="6" t="s">
        <v>40</v>
      </c>
      <c r="H2202" s="1">
        <f t="shared" si="509"/>
        <v>70</v>
      </c>
      <c r="I2202" s="1" t="str">
        <f t="shared" si="510"/>
        <v>='C:\Users\jaime.benazar\Quorum Business Solutions\Ecopetrol Prometeo - Documents\Planning Space Implementation\3. Analysis &amp; Design\Design\FC22\DRR Jaime\QUIFA-CAJÚA\Cajua\[VAS_CAJUA_CF_SEC_20230125.xlsx]CF PND'!$CT$70</v>
      </c>
      <c r="J2202" s="1" t="s">
        <v>1162</v>
      </c>
    </row>
    <row r="2203" spans="1:10" x14ac:dyDescent="0.2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Jaime\QUIFA-CAJÚA\Cajua\[VAS_CAJUA_CF_SEC_20230125.xlsx]CF PND'!</v>
      </c>
      <c r="G2203" s="6" t="s">
        <v>40</v>
      </c>
      <c r="H2203" s="1">
        <f t="shared" si="509"/>
        <v>71</v>
      </c>
      <c r="I2203" s="1" t="str">
        <f t="shared" si="510"/>
        <v>='C:\Users\jaime.benazar\Quorum Business Solutions\Ecopetrol Prometeo - Documents\Planning Space Implementation\3. Analysis &amp; Design\Design\FC22\DRR Jaime\QUIFA-CAJÚA\Cajua\[VAS_CAJUA_CF_SEC_20230125.xlsx]CF PND'!$CT$71</v>
      </c>
      <c r="J2203" s="1" t="s">
        <v>1163</v>
      </c>
    </row>
    <row r="2204" spans="1:10" x14ac:dyDescent="0.2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Jaime\QUIFA-CAJÚA\Cajua\[VAS_CAJUA_CF_SEC_20230125.xlsx]CF PND'!</v>
      </c>
      <c r="G2204" s="6" t="s">
        <v>40</v>
      </c>
      <c r="H2204" s="1">
        <f t="shared" si="509"/>
        <v>72</v>
      </c>
      <c r="I2204" s="1" t="str">
        <f t="shared" si="510"/>
        <v>='C:\Users\jaime.benazar\Quorum Business Solutions\Ecopetrol Prometeo - Documents\Planning Space Implementation\3. Analysis &amp; Design\Design\FC22\DRR Jaime\QUIFA-CAJÚA\Cajua\[VAS_CAJUA_CF_SEC_20230125.xlsx]CF PND'!$CT$72</v>
      </c>
      <c r="J2204" s="1" t="s">
        <v>1164</v>
      </c>
    </row>
    <row r="2205" spans="1:10" x14ac:dyDescent="0.25">
      <c r="A2205" s="6" t="s">
        <v>28</v>
      </c>
      <c r="B2205" s="6"/>
      <c r="C2205" s="1" t="s">
        <v>20</v>
      </c>
      <c r="D2205" s="2"/>
      <c r="E2205" s="9"/>
      <c r="F2205" s="2"/>
      <c r="G2205" s="6"/>
      <c r="H2205" s="1"/>
      <c r="I2205" s="1"/>
      <c r="J2205" s="4"/>
    </row>
    <row r="2206" spans="1:10" x14ac:dyDescent="0.2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Jaime\QUIFA-CAJÚA\Cajua\[VAS_CAJUA_CF_SEC_20230125.xlsx]CF PRBDP'!</v>
      </c>
      <c r="G2206" s="6" t="s">
        <v>40</v>
      </c>
      <c r="H2206" s="1"/>
      <c r="I2206" s="1"/>
      <c r="J2206" s="1"/>
    </row>
    <row r="2207" spans="1:10" x14ac:dyDescent="0.2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Jaime\QUIFA-CAJÚA\Cajua\[VAS_CAJUA_CF_SEC_20230125.xlsx]CF PRBDP'!</v>
      </c>
      <c r="G2207" s="6" t="s">
        <v>40</v>
      </c>
      <c r="H2207" s="1"/>
      <c r="I2207" s="1"/>
      <c r="J2207" s="1"/>
    </row>
    <row r="2208" spans="1:10" x14ac:dyDescent="0.2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Jaime\QUIFA-CAJÚA\Cajua\[VAS_CAJUA_CF_SEC_20230125.xlsx]CF PRBDP'!</v>
      </c>
      <c r="G2208" s="6" t="s">
        <v>40</v>
      </c>
      <c r="H2208" s="1"/>
      <c r="I2208" s="1"/>
      <c r="J2208" s="1"/>
    </row>
    <row r="2209" spans="1:10" x14ac:dyDescent="0.2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Jaime\QUIFA-CAJÚA\Cajua\[VAS_CAJUA_CF_SEC_20230125.xlsx]CF PRBDP'!</v>
      </c>
      <c r="G2209" s="6" t="s">
        <v>40</v>
      </c>
      <c r="H2209" s="1"/>
      <c r="I2209" s="1"/>
      <c r="J2209" s="1"/>
    </row>
    <row r="2210" spans="1:10" x14ac:dyDescent="0.2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Jaime\QUIFA-CAJÚA\Cajua\[VAS_CAJUA_CF_SEC_20230125.xlsx]CF PRBDP'!</v>
      </c>
      <c r="G2210" s="6" t="s">
        <v>40</v>
      </c>
      <c r="H2210" s="1"/>
      <c r="I2210" s="1"/>
      <c r="J2210" s="1"/>
    </row>
    <row r="2211" spans="1:10" x14ac:dyDescent="0.2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Jaime\QUIFA-CAJÚA\Cajua\[VAS_CAJUA_CF_SEC_20230125.xlsx]CF PRBDP'!</v>
      </c>
      <c r="G2211" s="6" t="s">
        <v>40</v>
      </c>
      <c r="H2211" s="1"/>
      <c r="I2211" s="1"/>
      <c r="J2211" s="1"/>
    </row>
    <row r="2212" spans="1:10" x14ac:dyDescent="0.2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Jaime\QUIFA-CAJÚA\Cajua\[VAS_CAJUA_CF_SEC_20230125.xlsx]CF PRBDP'!</v>
      </c>
      <c r="G2212" s="6" t="s">
        <v>40</v>
      </c>
      <c r="H2212" s="1"/>
      <c r="I2212" s="1"/>
      <c r="J2212" s="1"/>
    </row>
    <row r="2213" spans="1:10" x14ac:dyDescent="0.2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Jaime\QUIFA-CAJÚA\Cajua\[VAS_CAJUA_CF_SEC_20230125.xlsx]CF PRBDP'!</v>
      </c>
      <c r="G2213" s="6" t="s">
        <v>40</v>
      </c>
      <c r="H2213" s="1"/>
      <c r="I2213" s="1"/>
      <c r="J2213" s="1"/>
    </row>
    <row r="2214" spans="1:10" x14ac:dyDescent="0.2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Jaime\QUIFA-CAJÚA\Cajua\[VAS_CAJUA_CF_SEC_20230125.xlsx]CF PRBDP'!</v>
      </c>
      <c r="G2214" s="6" t="s">
        <v>40</v>
      </c>
      <c r="H2214" s="1"/>
      <c r="I2214" s="1"/>
      <c r="J2214" s="1"/>
    </row>
    <row r="2215" spans="1:10" x14ac:dyDescent="0.2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Jaime\QUIFA-CAJÚA\Cajua\[VAS_CAJUA_CF_SEC_20230125.xlsx]CF PRBDP'!</v>
      </c>
      <c r="G2215" s="6" t="s">
        <v>40</v>
      </c>
      <c r="H2215" s="1"/>
      <c r="I2215" s="1"/>
      <c r="J2215" s="1"/>
    </row>
    <row r="2216" spans="1:10" x14ac:dyDescent="0.2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Jaime\QUIFA-CAJÚA\Cajua\[VAS_CAJUA_CF_SEC_20230125.xlsx]CF PRBDP'!</v>
      </c>
      <c r="G2216" s="6" t="s">
        <v>40</v>
      </c>
      <c r="H2216" s="1"/>
      <c r="I2216" s="1"/>
      <c r="J2216" s="1"/>
    </row>
    <row r="2217" spans="1:10" x14ac:dyDescent="0.2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Jaime\QUIFA-CAJÚA\Cajua\[VAS_CAJUA_CF_SEC_20230125.xlsx]CF PRBDP'!</v>
      </c>
      <c r="G2217" s="6" t="s">
        <v>40</v>
      </c>
      <c r="H2217" s="1"/>
      <c r="I2217" s="1"/>
      <c r="J2217" s="1"/>
    </row>
    <row r="2218" spans="1:10" x14ac:dyDescent="0.2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Jaime\QUIFA-CAJÚA\Cajua\[VAS_CAJUA_CF_SEC_20230125.xlsx]CF PRBDP'!</v>
      </c>
      <c r="G2218" s="6" t="s">
        <v>40</v>
      </c>
      <c r="H2218" s="1"/>
      <c r="I2218" s="1"/>
      <c r="J2218" s="1"/>
    </row>
    <row r="2219" spans="1:10" x14ac:dyDescent="0.2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Jaime\QUIFA-CAJÚA\Cajua\[VAS_CAJUA_CF_SEC_20230125.xlsx]CF PRBDP'!</v>
      </c>
      <c r="G2219" s="6" t="s">
        <v>40</v>
      </c>
      <c r="H2219" s="1"/>
      <c r="I2219" s="1"/>
      <c r="J2219" s="1"/>
    </row>
    <row r="2220" spans="1:10" x14ac:dyDescent="0.2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Jaime\QUIFA-CAJÚA\Cajua\[VAS_CAJUA_CF_SEC_20230125.xlsx]CF PRBDP'!</v>
      </c>
      <c r="G2220" s="6" t="s">
        <v>40</v>
      </c>
      <c r="H2220" s="1"/>
      <c r="I2220" s="1"/>
      <c r="J2220" s="1"/>
    </row>
    <row r="2221" spans="1:10" x14ac:dyDescent="0.2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Jaime\QUIFA-CAJÚA\Cajua\[VAS_CAJUA_CF_SEC_20230125.xlsx]CF PRBDP'!</v>
      </c>
      <c r="G2221" s="6" t="s">
        <v>40</v>
      </c>
      <c r="H2221" s="1"/>
      <c r="I2221" s="1"/>
      <c r="J2221" s="1"/>
    </row>
    <row r="2222" spans="1:10" x14ac:dyDescent="0.2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Jaime\QUIFA-CAJÚA\Cajua\[VAS_CAJUA_CF_SEC_20230125.xlsx]CF PRBDP'!</v>
      </c>
      <c r="G2222" s="6" t="s">
        <v>40</v>
      </c>
      <c r="H2222" s="1"/>
      <c r="I2222" s="1"/>
      <c r="J2222" s="1"/>
    </row>
    <row r="2223" spans="1:10" x14ac:dyDescent="0.2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Jaime\QUIFA-CAJÚA\Cajua\[VAS_CAJUA_CF_SEC_20230125.xlsx]CF PRBDP'!</v>
      </c>
      <c r="G2223" s="6" t="s">
        <v>40</v>
      </c>
      <c r="H2223" s="1"/>
      <c r="I2223" s="1"/>
      <c r="J2223" s="1"/>
    </row>
    <row r="2224" spans="1:10" x14ac:dyDescent="0.2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Jaime\QUIFA-CAJÚA\Cajua\[VAS_CAJUA_CF_SEC_20230125.xlsx]CF PRBDP'!</v>
      </c>
      <c r="G2224" s="6" t="s">
        <v>40</v>
      </c>
      <c r="H2224" s="1"/>
      <c r="I2224" s="1"/>
      <c r="J2224" s="1"/>
    </row>
    <row r="2225" spans="1:10" x14ac:dyDescent="0.2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Jaime\QUIFA-CAJÚA\Cajua\[VAS_CAJUA_CF_SEC_20230125.xlsx]CF PRBDP'!</v>
      </c>
      <c r="G2225" s="6" t="s">
        <v>40</v>
      </c>
      <c r="H2225" s="1"/>
      <c r="I2225" s="1"/>
      <c r="J2225" s="1"/>
    </row>
    <row r="2226" spans="1:10" x14ac:dyDescent="0.2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Jaime\QUIFA-CAJÚA\Cajua\[VAS_CAJUA_CF_SEC_20230125.xlsx]CF PRBDP'!</v>
      </c>
      <c r="G2226" s="6" t="s">
        <v>40</v>
      </c>
      <c r="H2226" s="1"/>
      <c r="I2226" s="1"/>
      <c r="J2226" s="1"/>
    </row>
    <row r="2227" spans="1:10" x14ac:dyDescent="0.2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Jaime\QUIFA-CAJÚA\Cajua\[VAS_CAJUA_CF_SEC_20230125.xlsx]CF PRBDP'!</v>
      </c>
      <c r="G2227" s="6" t="s">
        <v>40</v>
      </c>
      <c r="H2227" s="1"/>
      <c r="I2227" s="1"/>
      <c r="J2227" s="1"/>
    </row>
    <row r="2228" spans="1:10" x14ac:dyDescent="0.2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Jaime\QUIFA-CAJÚA\Cajua\[VAS_CAJUA_CF_SEC_20230125.xlsx]CF PRBDP'!</v>
      </c>
      <c r="G2228" s="6" t="s">
        <v>40</v>
      </c>
      <c r="H2228" s="1"/>
      <c r="I2228" s="1"/>
      <c r="J2228" s="1"/>
    </row>
    <row r="2229" spans="1:10" x14ac:dyDescent="0.2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Jaime\QUIFA-CAJÚA\Cajua\[VAS_CAJUA_CF_SEC_20230125.xlsx]CF PRBDP'!</v>
      </c>
      <c r="G2229" s="6" t="s">
        <v>40</v>
      </c>
      <c r="H2229" s="1"/>
      <c r="I2229" s="1"/>
      <c r="J2229" s="1"/>
    </row>
    <row r="2230" spans="1:10" x14ac:dyDescent="0.2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Jaime\QUIFA-CAJÚA\Cajua\[VAS_CAJUA_CF_SEC_20230125.xlsx]CF PRBDP'!</v>
      </c>
      <c r="G2230" s="6" t="s">
        <v>40</v>
      </c>
      <c r="H2230" s="1"/>
      <c r="I2230" s="1"/>
      <c r="J2230" s="1"/>
    </row>
    <row r="2231" spans="1:10" x14ac:dyDescent="0.2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Jaime\QUIFA-CAJÚA\Cajua\[VAS_CAJUA_CF_SEC_20230125.xlsx]CF PRBDP'!</v>
      </c>
      <c r="G2231" s="6" t="s">
        <v>40</v>
      </c>
      <c r="H2231" s="1"/>
      <c r="I2231" s="1"/>
      <c r="J2231" s="1"/>
    </row>
    <row r="2232" spans="1:10" x14ac:dyDescent="0.2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Jaime\QUIFA-CAJÚA\Cajua\[VAS_CAJUA_CF_SEC_20230125.xlsx]CF PRBDP'!</v>
      </c>
      <c r="G2232" s="6" t="s">
        <v>40</v>
      </c>
      <c r="H2232" s="1"/>
      <c r="I2232" s="1"/>
      <c r="J2232" s="1"/>
    </row>
    <row r="2233" spans="1:10" x14ac:dyDescent="0.2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Jaime\QUIFA-CAJÚA\Cajua\[VAS_CAJUA_CF_SEC_20230125.xlsx]CF PRBDP'!</v>
      </c>
      <c r="G2233" s="6" t="s">
        <v>40</v>
      </c>
      <c r="H2233" s="1"/>
      <c r="I2233" s="1"/>
      <c r="J2233" s="1"/>
    </row>
    <row r="2234" spans="1:10" x14ac:dyDescent="0.2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Jaime\QUIFA-CAJÚA\Cajua\[VAS_CAJUA_CF_SEC_20230125.xlsx]CF PRBDP'!</v>
      </c>
      <c r="G2234" s="6" t="s">
        <v>40</v>
      </c>
      <c r="H2234" s="1"/>
      <c r="I2234" s="1"/>
      <c r="J2234" s="1"/>
    </row>
    <row r="2235" spans="1:10" x14ac:dyDescent="0.2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Jaime\QUIFA-CAJÚA\Cajua\[VAS_CAJUA_CF_SEC_20230125.xlsx]CF PRBDP'!</v>
      </c>
      <c r="G2235" s="6" t="s">
        <v>40</v>
      </c>
      <c r="H2235" s="1"/>
      <c r="I2235" s="1"/>
      <c r="J2235" s="1"/>
    </row>
    <row r="2236" spans="1:10" x14ac:dyDescent="0.2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Jaime\QUIFA-CAJÚA\Cajua\[VAS_CAJUA_CF_SEC_20230125.xlsx]CF PRBDP'!</v>
      </c>
      <c r="G2236" s="6" t="s">
        <v>40</v>
      </c>
      <c r="H2236" s="1"/>
      <c r="I2236" s="1"/>
      <c r="J2236" s="1"/>
    </row>
    <row r="2237" spans="1:10" x14ac:dyDescent="0.2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Jaime\QUIFA-CAJÚA\Cajua\[VAS_CAJUA_CF_SEC_20230125.xlsx]CF PRBDP'!</v>
      </c>
      <c r="G2237" s="6" t="s">
        <v>40</v>
      </c>
      <c r="H2237" s="1"/>
      <c r="I2237" s="1"/>
      <c r="J2237" s="1"/>
    </row>
    <row r="2238" spans="1:10" x14ac:dyDescent="0.2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Jaime\QUIFA-CAJÚA\Cajua\[VAS_CAJUA_CF_SEC_20230125.xlsx]CF PRBDP'!</v>
      </c>
      <c r="G2238" s="6" t="s">
        <v>40</v>
      </c>
      <c r="H2238" s="1"/>
      <c r="I2238" s="1"/>
      <c r="J2238" s="1"/>
    </row>
    <row r="2239" spans="1:10" x14ac:dyDescent="0.2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Jaime\QUIFA-CAJÚA\Cajua\[VAS_CAJUA_CF_SEC_20230125.xlsx]CF PRBDP'!</v>
      </c>
      <c r="G2239" s="6" t="s">
        <v>40</v>
      </c>
      <c r="H2239" s="1"/>
      <c r="I2239" s="1"/>
      <c r="J2239" s="1"/>
    </row>
    <row r="2240" spans="1:10" x14ac:dyDescent="0.2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Jaime\QUIFA-CAJÚA\Cajua\[VAS_CAJUA_CF_SEC_20230125.xlsx]CF PRBDP'!</v>
      </c>
      <c r="G2240" s="6" t="s">
        <v>40</v>
      </c>
      <c r="H2240" s="1"/>
      <c r="I2240" s="1"/>
      <c r="J2240" s="1"/>
    </row>
    <row r="2241" spans="1:10" x14ac:dyDescent="0.2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Jaime\QUIFA-CAJÚA\Cajua\[VAS_CAJUA_CF_SEC_20230125.xlsx]CF PRBDP'!</v>
      </c>
      <c r="G2241" s="6" t="s">
        <v>40</v>
      </c>
      <c r="H2241" s="1"/>
      <c r="I2241" s="1"/>
      <c r="J2241" s="1"/>
    </row>
    <row r="2242" spans="1:10" x14ac:dyDescent="0.2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Jaime\QUIFA-CAJÚA\Cajua\[VAS_CAJUA_CF_SEC_20230125.xlsx]CF PRBDP'!</v>
      </c>
      <c r="G2242" s="6" t="s">
        <v>40</v>
      </c>
      <c r="H2242" s="1"/>
      <c r="I2242" s="1"/>
      <c r="J2242" s="1"/>
    </row>
    <row r="2243" spans="1:10" x14ac:dyDescent="0.25">
      <c r="A2243" s="6" t="s">
        <v>28</v>
      </c>
      <c r="B2243" s="6"/>
      <c r="C2243" s="1" t="s">
        <v>20</v>
      </c>
      <c r="D2243" s="2"/>
      <c r="E2243" s="9"/>
      <c r="F2243" s="5"/>
      <c r="G2243" s="6"/>
      <c r="H2243" s="1"/>
      <c r="I2243" s="1"/>
      <c r="J2243" s="1"/>
    </row>
    <row r="2244" spans="1:10" x14ac:dyDescent="0.2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Jaime\QUIFA-CAJÚA\Cajua\[VAS_CAJUA_CF_SEC_20230125.xlsx]CF PRBNP'!</v>
      </c>
      <c r="G2244" s="6" t="s">
        <v>40</v>
      </c>
      <c r="H2244" s="1"/>
      <c r="I2244" s="1"/>
      <c r="J2244" s="1"/>
    </row>
    <row r="2245" spans="1:10" x14ac:dyDescent="0.2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Jaime\QUIFA-CAJÚA\Cajua\[VAS_CAJUA_CF_SEC_20230125.xlsx]CF PRBNP'!</v>
      </c>
      <c r="G2245" s="6" t="s">
        <v>40</v>
      </c>
      <c r="H2245" s="1"/>
      <c r="I2245" s="1"/>
      <c r="J2245" s="1"/>
    </row>
    <row r="2246" spans="1:10" x14ac:dyDescent="0.2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Jaime\QUIFA-CAJÚA\Cajua\[VAS_CAJUA_CF_SEC_20230125.xlsx]CF PRBNP'!</v>
      </c>
      <c r="G2246" s="6" t="s">
        <v>40</v>
      </c>
      <c r="H2246" s="1"/>
      <c r="I2246" s="1"/>
      <c r="J2246" s="1"/>
    </row>
    <row r="2247" spans="1:10" x14ac:dyDescent="0.2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Jaime\QUIFA-CAJÚA\Cajua\[VAS_CAJUA_CF_SEC_20230125.xlsx]CF PRBNP'!</v>
      </c>
      <c r="G2247" s="6" t="s">
        <v>40</v>
      </c>
      <c r="H2247" s="1"/>
      <c r="I2247" s="1"/>
      <c r="J2247" s="1"/>
    </row>
    <row r="2248" spans="1:10" x14ac:dyDescent="0.2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Jaime\QUIFA-CAJÚA\Cajua\[VAS_CAJUA_CF_SEC_20230125.xlsx]CF PRBNP'!</v>
      </c>
      <c r="G2248" s="6" t="s">
        <v>40</v>
      </c>
      <c r="H2248" s="1"/>
      <c r="I2248" s="1"/>
      <c r="J2248" s="1"/>
    </row>
    <row r="2249" spans="1:10" x14ac:dyDescent="0.2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Jaime\QUIFA-CAJÚA\Cajua\[VAS_CAJUA_CF_SEC_20230125.xlsx]CF PRBNP'!</v>
      </c>
      <c r="G2249" s="6" t="s">
        <v>40</v>
      </c>
      <c r="H2249" s="1"/>
      <c r="I2249" s="1"/>
      <c r="J2249" s="1"/>
    </row>
    <row r="2250" spans="1:10" x14ac:dyDescent="0.2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Jaime\QUIFA-CAJÚA\Cajua\[VAS_CAJUA_CF_SEC_20230125.xlsx]CF PRBNP'!</v>
      </c>
      <c r="G2250" s="6" t="s">
        <v>40</v>
      </c>
      <c r="H2250" s="1"/>
      <c r="I2250" s="1"/>
      <c r="J2250" s="1"/>
    </row>
    <row r="2251" spans="1:10" x14ac:dyDescent="0.2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Jaime\QUIFA-CAJÚA\Cajua\[VAS_CAJUA_CF_SEC_20230125.xlsx]CF PRBNP'!</v>
      </c>
      <c r="G2251" s="6" t="s">
        <v>40</v>
      </c>
      <c r="H2251" s="1"/>
      <c r="I2251" s="1"/>
      <c r="J2251" s="1"/>
    </row>
    <row r="2252" spans="1:10" x14ac:dyDescent="0.2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Jaime\QUIFA-CAJÚA\Cajua\[VAS_CAJUA_CF_SEC_20230125.xlsx]CF PRBNP'!</v>
      </c>
      <c r="G2252" s="6" t="s">
        <v>40</v>
      </c>
      <c r="H2252" s="1"/>
      <c r="I2252" s="1"/>
      <c r="J2252" s="1"/>
    </row>
    <row r="2253" spans="1:10" x14ac:dyDescent="0.2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Jaime\QUIFA-CAJÚA\Cajua\[VAS_CAJUA_CF_SEC_20230125.xlsx]CF PRBNP'!</v>
      </c>
      <c r="G2253" s="6" t="s">
        <v>40</v>
      </c>
      <c r="H2253" s="1"/>
      <c r="I2253" s="1"/>
      <c r="J2253" s="1"/>
    </row>
    <row r="2254" spans="1:10" x14ac:dyDescent="0.2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Jaime\QUIFA-CAJÚA\Cajua\[VAS_CAJUA_CF_SEC_20230125.xlsx]CF PRBNP'!</v>
      </c>
      <c r="G2254" s="6" t="s">
        <v>40</v>
      </c>
      <c r="H2254" s="1"/>
      <c r="I2254" s="1"/>
      <c r="J2254" s="1"/>
    </row>
    <row r="2255" spans="1:10" x14ac:dyDescent="0.2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Jaime\QUIFA-CAJÚA\Cajua\[VAS_CAJUA_CF_SEC_20230125.xlsx]CF PRBNP'!</v>
      </c>
      <c r="G2255" s="6" t="s">
        <v>40</v>
      </c>
      <c r="H2255" s="1"/>
      <c r="I2255" s="1"/>
      <c r="J2255" s="1"/>
    </row>
    <row r="2256" spans="1:10" x14ac:dyDescent="0.2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Jaime\QUIFA-CAJÚA\Cajua\[VAS_CAJUA_CF_SEC_20230125.xlsx]CF PRBNP'!</v>
      </c>
      <c r="G2256" s="6" t="s">
        <v>40</v>
      </c>
      <c r="H2256" s="1"/>
      <c r="I2256" s="1"/>
      <c r="J2256" s="1"/>
    </row>
    <row r="2257" spans="1:10" x14ac:dyDescent="0.2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Jaime\QUIFA-CAJÚA\Cajua\[VAS_CAJUA_CF_SEC_20230125.xlsx]CF PRBNP'!</v>
      </c>
      <c r="G2257" s="6" t="s">
        <v>40</v>
      </c>
      <c r="H2257" s="1"/>
      <c r="I2257" s="1"/>
      <c r="J2257" s="1"/>
    </row>
    <row r="2258" spans="1:10" x14ac:dyDescent="0.2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Jaime\QUIFA-CAJÚA\Cajua\[VAS_CAJUA_CF_SEC_20230125.xlsx]CF PRBNP'!</v>
      </c>
      <c r="G2258" s="6" t="s">
        <v>40</v>
      </c>
      <c r="H2258" s="1"/>
      <c r="I2258" s="1"/>
      <c r="J2258" s="1"/>
    </row>
    <row r="2259" spans="1:10" x14ac:dyDescent="0.2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Jaime\QUIFA-CAJÚA\Cajua\[VAS_CAJUA_CF_SEC_20230125.xlsx]CF PRBNP'!</v>
      </c>
      <c r="G2259" s="6" t="s">
        <v>40</v>
      </c>
      <c r="H2259" s="1"/>
      <c r="I2259" s="1"/>
      <c r="J2259" s="1"/>
    </row>
    <row r="2260" spans="1:10" x14ac:dyDescent="0.2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Jaime\QUIFA-CAJÚA\Cajua\[VAS_CAJUA_CF_SEC_20230125.xlsx]CF PRBNP'!</v>
      </c>
      <c r="G2260" s="6" t="s">
        <v>40</v>
      </c>
      <c r="H2260" s="1"/>
      <c r="I2260" s="1"/>
      <c r="J2260" s="1"/>
    </row>
    <row r="2261" spans="1:10" x14ac:dyDescent="0.2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Jaime\QUIFA-CAJÚA\Cajua\[VAS_CAJUA_CF_SEC_20230125.xlsx]CF PRBNP'!</v>
      </c>
      <c r="G2261" s="6" t="s">
        <v>40</v>
      </c>
      <c r="H2261" s="1"/>
      <c r="I2261" s="1"/>
      <c r="J2261" s="1"/>
    </row>
    <row r="2262" spans="1:10" x14ac:dyDescent="0.2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Jaime\QUIFA-CAJÚA\Cajua\[VAS_CAJUA_CF_SEC_20230125.xlsx]CF PRBNP'!</v>
      </c>
      <c r="G2262" s="6" t="s">
        <v>40</v>
      </c>
      <c r="H2262" s="1"/>
      <c r="I2262" s="1"/>
      <c r="J2262" s="1"/>
    </row>
    <row r="2263" spans="1:10" x14ac:dyDescent="0.2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Jaime\QUIFA-CAJÚA\Cajua\[VAS_CAJUA_CF_SEC_20230125.xlsx]CF PRBNP'!</v>
      </c>
      <c r="G2263" s="6" t="s">
        <v>40</v>
      </c>
      <c r="H2263" s="1"/>
      <c r="I2263" s="1"/>
      <c r="J2263" s="1"/>
    </row>
    <row r="2264" spans="1:10" x14ac:dyDescent="0.2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Jaime\QUIFA-CAJÚA\Cajua\[VAS_CAJUA_CF_SEC_20230125.xlsx]CF PRBNP'!</v>
      </c>
      <c r="G2264" s="6" t="s">
        <v>40</v>
      </c>
      <c r="H2264" s="1"/>
      <c r="I2264" s="1"/>
      <c r="J2264" s="1"/>
    </row>
    <row r="2265" spans="1:10" x14ac:dyDescent="0.2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Jaime\QUIFA-CAJÚA\Cajua\[VAS_CAJUA_CF_SEC_20230125.xlsx]CF PRBNP'!</v>
      </c>
      <c r="G2265" s="6" t="s">
        <v>40</v>
      </c>
      <c r="H2265" s="1"/>
      <c r="I2265" s="1"/>
      <c r="J2265" s="1"/>
    </row>
    <row r="2266" spans="1:10" x14ac:dyDescent="0.2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Jaime\QUIFA-CAJÚA\Cajua\[VAS_CAJUA_CF_SEC_20230125.xlsx]CF PRBNP'!</v>
      </c>
      <c r="G2266" s="6" t="s">
        <v>40</v>
      </c>
      <c r="H2266" s="1"/>
      <c r="I2266" s="1"/>
      <c r="J2266" s="1"/>
    </row>
    <row r="2267" spans="1:10" x14ac:dyDescent="0.2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Jaime\QUIFA-CAJÚA\Cajua\[VAS_CAJUA_CF_SEC_20230125.xlsx]CF PRBNP'!</v>
      </c>
      <c r="G2267" s="6" t="s">
        <v>40</v>
      </c>
      <c r="H2267" s="1"/>
      <c r="I2267" s="1"/>
      <c r="J2267" s="1"/>
    </row>
    <row r="2268" spans="1:10" x14ac:dyDescent="0.2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Jaime\QUIFA-CAJÚA\Cajua\[VAS_CAJUA_CF_SEC_20230125.xlsx]CF PRBNP'!</v>
      </c>
      <c r="G2268" s="6" t="s">
        <v>40</v>
      </c>
      <c r="H2268" s="1"/>
      <c r="I2268" s="1"/>
      <c r="J2268" s="1"/>
    </row>
    <row r="2269" spans="1:10" x14ac:dyDescent="0.2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Jaime\QUIFA-CAJÚA\Cajua\[VAS_CAJUA_CF_SEC_20230125.xlsx]CF PRBNP'!</v>
      </c>
      <c r="G2269" s="6" t="s">
        <v>40</v>
      </c>
      <c r="H2269" s="1"/>
      <c r="I2269" s="1"/>
      <c r="J2269" s="1"/>
    </row>
    <row r="2270" spans="1:10" x14ac:dyDescent="0.2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Jaime\QUIFA-CAJÚA\Cajua\[VAS_CAJUA_CF_SEC_20230125.xlsx]CF PRBNP'!</v>
      </c>
      <c r="G2270" s="6" t="s">
        <v>40</v>
      </c>
      <c r="H2270" s="1"/>
      <c r="I2270" s="1"/>
      <c r="J2270" s="1"/>
    </row>
    <row r="2271" spans="1:10" x14ac:dyDescent="0.2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Jaime\QUIFA-CAJÚA\Cajua\[VAS_CAJUA_CF_SEC_20230125.xlsx]CF PRBNP'!</v>
      </c>
      <c r="G2271" s="6" t="s">
        <v>40</v>
      </c>
      <c r="H2271" s="1"/>
      <c r="I2271" s="1"/>
      <c r="J2271" s="1"/>
    </row>
    <row r="2272" spans="1:10" x14ac:dyDescent="0.2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Jaime\QUIFA-CAJÚA\Cajua\[VAS_CAJUA_CF_SEC_20230125.xlsx]CF PRBNP'!</v>
      </c>
      <c r="G2272" s="6" t="s">
        <v>40</v>
      </c>
      <c r="H2272" s="1"/>
      <c r="I2272" s="1"/>
      <c r="J2272" s="1"/>
    </row>
    <row r="2273" spans="1:10" x14ac:dyDescent="0.2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Jaime\QUIFA-CAJÚA\Cajua\[VAS_CAJUA_CF_SEC_20230125.xlsx]CF PRBNP'!</v>
      </c>
      <c r="G2273" s="6" t="s">
        <v>40</v>
      </c>
      <c r="H2273" s="1"/>
      <c r="I2273" s="1"/>
      <c r="J2273" s="1"/>
    </row>
    <row r="2274" spans="1:10" x14ac:dyDescent="0.2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Jaime\QUIFA-CAJÚA\Cajua\[VAS_CAJUA_CF_SEC_20230125.xlsx]CF PRBNP'!</v>
      </c>
      <c r="G2274" s="6" t="s">
        <v>40</v>
      </c>
      <c r="H2274" s="1"/>
      <c r="I2274" s="1"/>
      <c r="J2274" s="1"/>
    </row>
    <row r="2275" spans="1:10" x14ac:dyDescent="0.2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Jaime\QUIFA-CAJÚA\Cajua\[VAS_CAJUA_CF_SEC_20230125.xlsx]CF PRBNP'!</v>
      </c>
      <c r="G2275" s="6" t="s">
        <v>40</v>
      </c>
      <c r="H2275" s="1"/>
      <c r="I2275" s="1"/>
      <c r="J2275" s="1"/>
    </row>
    <row r="2276" spans="1:10" x14ac:dyDescent="0.2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Jaime\QUIFA-CAJÚA\Cajua\[VAS_CAJUA_CF_SEC_20230125.xlsx]CF PRBNP'!</v>
      </c>
      <c r="G2276" s="6" t="s">
        <v>40</v>
      </c>
      <c r="H2276" s="1"/>
      <c r="I2276" s="1"/>
      <c r="J2276" s="1"/>
    </row>
    <row r="2277" spans="1:10" x14ac:dyDescent="0.2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Jaime\QUIFA-CAJÚA\Cajua\[VAS_CAJUA_CF_SEC_20230125.xlsx]CF PRBNP'!</v>
      </c>
      <c r="G2277" s="6" t="s">
        <v>40</v>
      </c>
      <c r="H2277" s="1"/>
      <c r="I2277" s="1"/>
      <c r="J2277" s="1"/>
    </row>
    <row r="2278" spans="1:10" x14ac:dyDescent="0.2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Jaime\QUIFA-CAJÚA\Cajua\[VAS_CAJUA_CF_SEC_20230125.xlsx]CF PRBNP'!</v>
      </c>
      <c r="G2278" s="6" t="s">
        <v>40</v>
      </c>
      <c r="H2278" s="1"/>
      <c r="I2278" s="1"/>
      <c r="J2278" s="1"/>
    </row>
    <row r="2279" spans="1:10" x14ac:dyDescent="0.2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Jaime\QUIFA-CAJÚA\Cajua\[VAS_CAJUA_CF_SEC_20230125.xlsx]CF PRBNP'!</v>
      </c>
      <c r="G2279" s="6" t="s">
        <v>40</v>
      </c>
      <c r="H2279" s="1"/>
      <c r="I2279" s="1"/>
      <c r="J2279" s="1"/>
    </row>
    <row r="2280" spans="1:10" x14ac:dyDescent="0.2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Jaime\QUIFA-CAJÚA\Cajua\[VAS_CAJUA_CF_SEC_20230125.xlsx]CF PRBNP'!</v>
      </c>
      <c r="G2280" s="6" t="s">
        <v>40</v>
      </c>
      <c r="H2280" s="1"/>
      <c r="I2280" s="1"/>
      <c r="J2280" s="1"/>
    </row>
    <row r="2281" spans="1:10" x14ac:dyDescent="0.25">
      <c r="A2281" s="6" t="s">
        <v>28</v>
      </c>
      <c r="B2281" s="6"/>
      <c r="C2281" s="1" t="s">
        <v>20</v>
      </c>
      <c r="D2281" s="2"/>
      <c r="E2281" s="9"/>
      <c r="F2281" s="2"/>
      <c r="G2281" s="6"/>
      <c r="H2281" s="1"/>
      <c r="I2281" s="1"/>
      <c r="J2281" s="1"/>
    </row>
    <row r="2282" spans="1:10" x14ac:dyDescent="0.2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Jaime\QUIFA-CAJÚA\Cajua\[VAS_CAJUA_CF_SEC_20230125.xlsx]CF PRBND'!</v>
      </c>
      <c r="G2282" s="6" t="s">
        <v>40</v>
      </c>
      <c r="H2282" s="1"/>
      <c r="I2282" s="1"/>
      <c r="J2282" s="1"/>
    </row>
    <row r="2283" spans="1:10" x14ac:dyDescent="0.2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Jaime\QUIFA-CAJÚA\Cajua\[VAS_CAJUA_CF_SEC_20230125.xlsx]CF PRBND'!</v>
      </c>
      <c r="G2283" s="6" t="s">
        <v>40</v>
      </c>
      <c r="H2283" s="1"/>
      <c r="I2283" s="1"/>
      <c r="J2283" s="1"/>
    </row>
    <row r="2284" spans="1:10" x14ac:dyDescent="0.2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Jaime\QUIFA-CAJÚA\Cajua\[VAS_CAJUA_CF_SEC_20230125.xlsx]CF PRBND'!</v>
      </c>
      <c r="G2284" s="6" t="s">
        <v>40</v>
      </c>
      <c r="H2284" s="1"/>
      <c r="I2284" s="1"/>
      <c r="J2284" s="1"/>
    </row>
    <row r="2285" spans="1:10" x14ac:dyDescent="0.2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Jaime\QUIFA-CAJÚA\Cajua\[VAS_CAJUA_CF_SEC_20230125.xlsx]CF PRBND'!</v>
      </c>
      <c r="G2285" s="6" t="s">
        <v>40</v>
      </c>
      <c r="H2285" s="1"/>
      <c r="I2285" s="1"/>
      <c r="J2285" s="1"/>
    </row>
    <row r="2286" spans="1:10" x14ac:dyDescent="0.2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Jaime\QUIFA-CAJÚA\Cajua\[VAS_CAJUA_CF_SEC_20230125.xlsx]CF PRBND'!</v>
      </c>
      <c r="G2286" s="6" t="s">
        <v>40</v>
      </c>
      <c r="H2286" s="1"/>
      <c r="I2286" s="1"/>
      <c r="J2286" s="1"/>
    </row>
    <row r="2287" spans="1:10" x14ac:dyDescent="0.2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Jaime\QUIFA-CAJÚA\Cajua\[VAS_CAJUA_CF_SEC_20230125.xlsx]CF PRBND'!</v>
      </c>
      <c r="G2287" s="6" t="s">
        <v>40</v>
      </c>
      <c r="H2287" s="1"/>
      <c r="I2287" s="1"/>
      <c r="J2287" s="1"/>
    </row>
    <row r="2288" spans="1:10" x14ac:dyDescent="0.2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Jaime\QUIFA-CAJÚA\Cajua\[VAS_CAJUA_CF_SEC_20230125.xlsx]CF PRBND'!</v>
      </c>
      <c r="G2288" s="6" t="s">
        <v>40</v>
      </c>
      <c r="H2288" s="1"/>
      <c r="I2288" s="1"/>
      <c r="J2288" s="1"/>
    </row>
    <row r="2289" spans="1:10" x14ac:dyDescent="0.2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Jaime\QUIFA-CAJÚA\Cajua\[VAS_CAJUA_CF_SEC_20230125.xlsx]CF PRBND'!</v>
      </c>
      <c r="G2289" s="6" t="s">
        <v>40</v>
      </c>
      <c r="H2289" s="1"/>
      <c r="I2289" s="1"/>
      <c r="J2289" s="1"/>
    </row>
    <row r="2290" spans="1:10" x14ac:dyDescent="0.2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Jaime\QUIFA-CAJÚA\Cajua\[VAS_CAJUA_CF_SEC_20230125.xlsx]CF PRBND'!</v>
      </c>
      <c r="G2290" s="6" t="s">
        <v>40</v>
      </c>
      <c r="H2290" s="1"/>
      <c r="I2290" s="1"/>
      <c r="J2290" s="1"/>
    </row>
    <row r="2291" spans="1:10" x14ac:dyDescent="0.2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Jaime\QUIFA-CAJÚA\Cajua\[VAS_CAJUA_CF_SEC_20230125.xlsx]CF PRBND'!</v>
      </c>
      <c r="G2291" s="6" t="s">
        <v>40</v>
      </c>
      <c r="H2291" s="1"/>
      <c r="I2291" s="1"/>
      <c r="J2291" s="1"/>
    </row>
    <row r="2292" spans="1:10" x14ac:dyDescent="0.2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Jaime\QUIFA-CAJÚA\Cajua\[VAS_CAJUA_CF_SEC_20230125.xlsx]CF PRBND'!</v>
      </c>
      <c r="G2292" s="6" t="s">
        <v>40</v>
      </c>
      <c r="H2292" s="1"/>
      <c r="I2292" s="1"/>
      <c r="J2292" s="1"/>
    </row>
    <row r="2293" spans="1:10" x14ac:dyDescent="0.2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Jaime\QUIFA-CAJÚA\Cajua\[VAS_CAJUA_CF_SEC_20230125.xlsx]CF PRBND'!</v>
      </c>
      <c r="G2293" s="6" t="s">
        <v>40</v>
      </c>
      <c r="H2293" s="1"/>
      <c r="I2293" s="1"/>
      <c r="J2293" s="1"/>
    </row>
    <row r="2294" spans="1:10" x14ac:dyDescent="0.2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Jaime\QUIFA-CAJÚA\Cajua\[VAS_CAJUA_CF_SEC_20230125.xlsx]CF PRBND'!</v>
      </c>
      <c r="G2294" s="6" t="s">
        <v>40</v>
      </c>
      <c r="H2294" s="1"/>
      <c r="I2294" s="1"/>
      <c r="J2294" s="1"/>
    </row>
    <row r="2295" spans="1:10" x14ac:dyDescent="0.2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Jaime\QUIFA-CAJÚA\Cajua\[VAS_CAJUA_CF_SEC_20230125.xlsx]CF PRBND'!</v>
      </c>
      <c r="G2295" s="6" t="s">
        <v>40</v>
      </c>
      <c r="H2295" s="1"/>
      <c r="I2295" s="1"/>
      <c r="J2295" s="1"/>
    </row>
    <row r="2296" spans="1:10" x14ac:dyDescent="0.2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Jaime\QUIFA-CAJÚA\Cajua\[VAS_CAJUA_CF_SEC_20230125.xlsx]CF PRBND'!</v>
      </c>
      <c r="G2296" s="6" t="s">
        <v>40</v>
      </c>
      <c r="H2296" s="1"/>
      <c r="I2296" s="1"/>
      <c r="J2296" s="1"/>
    </row>
    <row r="2297" spans="1:10" x14ac:dyDescent="0.2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Jaime\QUIFA-CAJÚA\Cajua\[VAS_CAJUA_CF_SEC_20230125.xlsx]CF PRBND'!</v>
      </c>
      <c r="G2297" s="6" t="s">
        <v>40</v>
      </c>
      <c r="H2297" s="1"/>
      <c r="I2297" s="1"/>
      <c r="J2297" s="1"/>
    </row>
    <row r="2298" spans="1:10" x14ac:dyDescent="0.2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Jaime\QUIFA-CAJÚA\Cajua\[VAS_CAJUA_CF_SEC_20230125.xlsx]CF PRBND'!</v>
      </c>
      <c r="G2298" s="6" t="s">
        <v>40</v>
      </c>
      <c r="H2298" s="1"/>
      <c r="I2298" s="1"/>
      <c r="J2298" s="1"/>
    </row>
    <row r="2299" spans="1:10" x14ac:dyDescent="0.2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Jaime\QUIFA-CAJÚA\Cajua\[VAS_CAJUA_CF_SEC_20230125.xlsx]CF PRBND'!</v>
      </c>
      <c r="G2299" s="6" t="s">
        <v>40</v>
      </c>
      <c r="H2299" s="1"/>
      <c r="I2299" s="1"/>
      <c r="J2299" s="1"/>
    </row>
    <row r="2300" spans="1:10" x14ac:dyDescent="0.2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Jaime\QUIFA-CAJÚA\Cajua\[VAS_CAJUA_CF_SEC_20230125.xlsx]CF PRBND'!</v>
      </c>
      <c r="G2300" s="6" t="s">
        <v>40</v>
      </c>
      <c r="H2300" s="1"/>
      <c r="I2300" s="1"/>
      <c r="J2300" s="1"/>
    </row>
    <row r="2301" spans="1:10" x14ac:dyDescent="0.2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Jaime\QUIFA-CAJÚA\Cajua\[VAS_CAJUA_CF_SEC_20230125.xlsx]CF PRBND'!</v>
      </c>
      <c r="G2301" s="6" t="s">
        <v>40</v>
      </c>
      <c r="H2301" s="1"/>
      <c r="I2301" s="1"/>
      <c r="J2301" s="1"/>
    </row>
    <row r="2302" spans="1:10" x14ac:dyDescent="0.2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Jaime\QUIFA-CAJÚA\Cajua\[VAS_CAJUA_CF_SEC_20230125.xlsx]CF PRBND'!</v>
      </c>
      <c r="G2302" s="6" t="s">
        <v>40</v>
      </c>
      <c r="H2302" s="1"/>
      <c r="I2302" s="1"/>
      <c r="J2302" s="1"/>
    </row>
    <row r="2303" spans="1:10" x14ac:dyDescent="0.2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Jaime\QUIFA-CAJÚA\Cajua\[VAS_CAJUA_CF_SEC_20230125.xlsx]CF PRBND'!</v>
      </c>
      <c r="G2303" s="6" t="s">
        <v>40</v>
      </c>
      <c r="H2303" s="1"/>
      <c r="I2303" s="1"/>
      <c r="J2303" s="1"/>
    </row>
    <row r="2304" spans="1:10" x14ac:dyDescent="0.2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Jaime\QUIFA-CAJÚA\Cajua\[VAS_CAJUA_CF_SEC_20230125.xlsx]CF PRBND'!</v>
      </c>
      <c r="G2304" s="6" t="s">
        <v>40</v>
      </c>
      <c r="H2304" s="1"/>
      <c r="I2304" s="1"/>
      <c r="J2304" s="1"/>
    </row>
    <row r="2305" spans="1:10" x14ac:dyDescent="0.2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Jaime\QUIFA-CAJÚA\Cajua\[VAS_CAJUA_CF_SEC_20230125.xlsx]CF PRBND'!</v>
      </c>
      <c r="G2305" s="6" t="s">
        <v>40</v>
      </c>
      <c r="H2305" s="1"/>
      <c r="I2305" s="1"/>
      <c r="J2305" s="1"/>
    </row>
    <row r="2306" spans="1:10" x14ac:dyDescent="0.2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Jaime\QUIFA-CAJÚA\Cajua\[VAS_CAJUA_CF_SEC_20230125.xlsx]CF PRBND'!</v>
      </c>
      <c r="G2306" s="6" t="s">
        <v>40</v>
      </c>
      <c r="H2306" s="1"/>
      <c r="I2306" s="1"/>
      <c r="J2306" s="1"/>
    </row>
    <row r="2307" spans="1:10" x14ac:dyDescent="0.2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Jaime\QUIFA-CAJÚA\Cajua\[VAS_CAJUA_CF_SEC_20230125.xlsx]CF PRBND'!</v>
      </c>
      <c r="G2307" s="6" t="s">
        <v>40</v>
      </c>
      <c r="H2307" s="1"/>
      <c r="I2307" s="1"/>
      <c r="J2307" s="1"/>
    </row>
    <row r="2308" spans="1:10" x14ac:dyDescent="0.2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Jaime\QUIFA-CAJÚA\Cajua\[VAS_CAJUA_CF_SEC_20230125.xlsx]CF PRBND'!</v>
      </c>
      <c r="G2308" s="6" t="s">
        <v>40</v>
      </c>
      <c r="H2308" s="1"/>
      <c r="I2308" s="1"/>
      <c r="J2308" s="1"/>
    </row>
    <row r="2309" spans="1:10" x14ac:dyDescent="0.2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Jaime\QUIFA-CAJÚA\Cajua\[VAS_CAJUA_CF_SEC_20230125.xlsx]CF PRBND'!</v>
      </c>
      <c r="G2309" s="6" t="s">
        <v>40</v>
      </c>
      <c r="H2309" s="1"/>
      <c r="I2309" s="1"/>
      <c r="J2309" s="1"/>
    </row>
    <row r="2310" spans="1:10" x14ac:dyDescent="0.2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Jaime\QUIFA-CAJÚA\Cajua\[VAS_CAJUA_CF_SEC_20230125.xlsx]CF PRBND'!</v>
      </c>
      <c r="G2310" s="6" t="s">
        <v>40</v>
      </c>
      <c r="H2310" s="1"/>
      <c r="I2310" s="1"/>
      <c r="J2310" s="1"/>
    </row>
    <row r="2311" spans="1:10" x14ac:dyDescent="0.2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Jaime\QUIFA-CAJÚA\Cajua\[VAS_CAJUA_CF_SEC_20230125.xlsx]CF PRBND'!</v>
      </c>
      <c r="G2311" s="6" t="s">
        <v>40</v>
      </c>
      <c r="H2311" s="1"/>
      <c r="I2311" s="1"/>
      <c r="J2311" s="1"/>
    </row>
    <row r="2312" spans="1:10" x14ac:dyDescent="0.2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Jaime\QUIFA-CAJÚA\Cajua\[VAS_CAJUA_CF_SEC_20230125.xlsx]CF PRBND'!</v>
      </c>
      <c r="G2312" s="6" t="s">
        <v>40</v>
      </c>
      <c r="H2312" s="1"/>
      <c r="I2312" s="1"/>
      <c r="J2312" s="1"/>
    </row>
    <row r="2313" spans="1:10" x14ac:dyDescent="0.2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Jaime\QUIFA-CAJÚA\Cajua\[VAS_CAJUA_CF_SEC_20230125.xlsx]CF PRBND'!</v>
      </c>
      <c r="G2313" s="6" t="s">
        <v>40</v>
      </c>
      <c r="H2313" s="1"/>
      <c r="I2313" s="1"/>
      <c r="J2313" s="1"/>
    </row>
    <row r="2314" spans="1:10" x14ac:dyDescent="0.2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Jaime\QUIFA-CAJÚA\Cajua\[VAS_CAJUA_CF_SEC_20230125.xlsx]CF PRBND'!</v>
      </c>
      <c r="G2314" s="6" t="s">
        <v>40</v>
      </c>
      <c r="H2314" s="1"/>
      <c r="I2314" s="1"/>
      <c r="J2314" s="1"/>
    </row>
    <row r="2315" spans="1:10" x14ac:dyDescent="0.2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Jaime\QUIFA-CAJÚA\Cajua\[VAS_CAJUA_CF_SEC_20230125.xlsx]CF PRBND'!</v>
      </c>
      <c r="G2315" s="6" t="s">
        <v>40</v>
      </c>
      <c r="H2315" s="1"/>
      <c r="I2315" s="1"/>
      <c r="J2315" s="1"/>
    </row>
    <row r="2316" spans="1:10" x14ac:dyDescent="0.2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Jaime\QUIFA-CAJÚA\Cajua\[VAS_CAJUA_CF_SEC_20230125.xlsx]CF PRBND'!</v>
      </c>
      <c r="G2316" s="6" t="s">
        <v>40</v>
      </c>
      <c r="H2316" s="1"/>
      <c r="I2316" s="1"/>
      <c r="J2316" s="1"/>
    </row>
    <row r="2317" spans="1:10" x14ac:dyDescent="0.2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Jaime\QUIFA-CAJÚA\Cajua\[VAS_CAJUA_CF_SEC_20230125.xlsx]CF PRBND'!</v>
      </c>
      <c r="G2317" s="6" t="s">
        <v>40</v>
      </c>
      <c r="H2317" s="1"/>
      <c r="I2317" s="1"/>
      <c r="J2317" s="1"/>
    </row>
    <row r="2318" spans="1:10" x14ac:dyDescent="0.2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Jaime\QUIFA-CAJÚA\Cajua\[VAS_CAJUA_CF_SEC_20230125.xlsx]CF PRBND'!</v>
      </c>
      <c r="G2318" s="6" t="s">
        <v>40</v>
      </c>
      <c r="H2318" s="1"/>
      <c r="I2318" s="1"/>
      <c r="J2318" s="1"/>
    </row>
    <row r="2319" spans="1:10" x14ac:dyDescent="0.25">
      <c r="A2319" s="6" t="s">
        <v>28</v>
      </c>
      <c r="B2319" s="6"/>
      <c r="C2319" s="1" t="s">
        <v>20</v>
      </c>
      <c r="D2319" s="2"/>
      <c r="E2319" s="9"/>
      <c r="F2319" s="5"/>
      <c r="G2319" s="6"/>
      <c r="H2319" s="1"/>
      <c r="I2319" s="1"/>
      <c r="J2319" s="1"/>
    </row>
    <row r="2320" spans="1:10" x14ac:dyDescent="0.2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Jaime\QUIFA-CAJÚA\Cajua\[VAS_CAJUA_CF_SEC_20230125.xlsx]CF PRB'!</v>
      </c>
      <c r="G2320" s="6" t="s">
        <v>40</v>
      </c>
      <c r="H2320" s="1">
        <f>IF(A2320&lt;&gt;A2190,36,H2190+1)</f>
        <v>36</v>
      </c>
      <c r="I2320" s="1" t="str">
        <f t="shared" si="505"/>
        <v>='C:\Users\jaime.benazar\Quorum Business Solutions\Ecopetrol Prometeo - Documents\Planning Space Implementation\3. Analysis &amp; Design\Design\FC22\DRR Jaime\QUIFA-CAJÚA\Cajua\[VAS_CAJUA_CF_SEC_20230125.xlsx]CF PRB'!$CT$36</v>
      </c>
      <c r="J2320" s="1" t="s">
        <v>1165</v>
      </c>
    </row>
    <row r="2321" spans="1:10" x14ac:dyDescent="0.2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Jaime\QUIFA-CAJÚA\Cajua\[VAS_CAJUA_CF_SEC_20230125.xlsx]CF PRB'!</v>
      </c>
      <c r="G2321" s="6" t="s">
        <v>40</v>
      </c>
      <c r="H2321" s="1">
        <f t="shared" si="506"/>
        <v>37</v>
      </c>
      <c r="I2321" s="1" t="str">
        <f t="shared" si="505"/>
        <v>='C:\Users\jaime.benazar\Quorum Business Solutions\Ecopetrol Prometeo - Documents\Planning Space Implementation\3. Analysis &amp; Design\Design\FC22\DRR Jaime\QUIFA-CAJÚA\Cajua\[VAS_CAJUA_CF_SEC_20230125.xlsx]CF PRB'!$CT$37</v>
      </c>
      <c r="J2321" s="1" t="s">
        <v>1166</v>
      </c>
    </row>
    <row r="2322" spans="1:10" x14ac:dyDescent="0.2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Jaime\QUIFA-CAJÚA\Cajua\[VAS_CAJUA_CF_SEC_20230125.xlsx]CF PRB'!</v>
      </c>
      <c r="G2322" s="6" t="s">
        <v>40</v>
      </c>
      <c r="H2322" s="1">
        <f t="shared" si="506"/>
        <v>38</v>
      </c>
      <c r="I2322" s="1" t="str">
        <f t="shared" si="505"/>
        <v>='C:\Users\jaime.benazar\Quorum Business Solutions\Ecopetrol Prometeo - Documents\Planning Space Implementation\3. Analysis &amp; Design\Design\FC22\DRR Jaime\QUIFA-CAJÚA\Cajua\[VAS_CAJUA_CF_SEC_20230125.xlsx]CF PRB'!$CT$38</v>
      </c>
      <c r="J2322" s="1" t="s">
        <v>1167</v>
      </c>
    </row>
    <row r="2323" spans="1:10" x14ac:dyDescent="0.2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Jaime\QUIFA-CAJÚA\Cajua\[VAS_CAJUA_CF_SEC_20230125.xlsx]CF PRB'!</v>
      </c>
      <c r="G2323" s="6" t="s">
        <v>40</v>
      </c>
      <c r="H2323" s="1">
        <f t="shared" si="506"/>
        <v>39</v>
      </c>
      <c r="I2323" s="1" t="str">
        <f t="shared" si="505"/>
        <v>='C:\Users\jaime.benazar\Quorum Business Solutions\Ecopetrol Prometeo - Documents\Planning Space Implementation\3. Analysis &amp; Design\Design\FC22\DRR Jaime\QUIFA-CAJÚA\Cajua\[VAS_CAJUA_CF_SEC_20230125.xlsx]CF PRB'!$CT$39</v>
      </c>
      <c r="J2323" s="1" t="s">
        <v>1168</v>
      </c>
    </row>
    <row r="2324" spans="1:10" x14ac:dyDescent="0.2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Jaime\QUIFA-CAJÚA\Cajua\[VAS_CAJUA_CF_SEC_20230125.xlsx]CF PRB'!</v>
      </c>
      <c r="G2324" s="6" t="s">
        <v>40</v>
      </c>
      <c r="H2324" s="1">
        <f t="shared" si="506"/>
        <v>40</v>
      </c>
      <c r="I2324" s="1" t="str">
        <f t="shared" si="505"/>
        <v>='C:\Users\jaime.benazar\Quorum Business Solutions\Ecopetrol Prometeo - Documents\Planning Space Implementation\3. Analysis &amp; Design\Design\FC22\DRR Jaime\QUIFA-CAJÚA\Cajua\[VAS_CAJUA_CF_SEC_20230125.xlsx]CF PRB'!$CT$40</v>
      </c>
      <c r="J2324" s="1" t="s">
        <v>1169</v>
      </c>
    </row>
    <row r="2325" spans="1:10" x14ac:dyDescent="0.2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Jaime\QUIFA-CAJÚA\Cajua\[VAS_CAJUA_CF_SEC_20230125.xlsx]CF PRB'!</v>
      </c>
      <c r="G2325" s="6" t="s">
        <v>40</v>
      </c>
      <c r="H2325" s="1">
        <f t="shared" si="506"/>
        <v>41</v>
      </c>
      <c r="I2325" s="1" t="str">
        <f t="shared" si="505"/>
        <v>='C:\Users\jaime.benazar\Quorum Business Solutions\Ecopetrol Prometeo - Documents\Planning Space Implementation\3. Analysis &amp; Design\Design\FC22\DRR Jaime\QUIFA-CAJÚA\Cajua\[VAS_CAJUA_CF_SEC_20230125.xlsx]CF PRB'!$CT$41</v>
      </c>
      <c r="J2325" s="1" t="s">
        <v>1170</v>
      </c>
    </row>
    <row r="2326" spans="1:10" x14ac:dyDescent="0.2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Jaime\QUIFA-CAJÚA\Cajua\[VAS_CAJUA_CF_SEC_20230125.xlsx]CF PRB'!</v>
      </c>
      <c r="G2326" s="6" t="s">
        <v>40</v>
      </c>
      <c r="H2326" s="1">
        <f t="shared" si="506"/>
        <v>42</v>
      </c>
      <c r="I2326" s="1" t="str">
        <f t="shared" si="505"/>
        <v>='C:\Users\jaime.benazar\Quorum Business Solutions\Ecopetrol Prometeo - Documents\Planning Space Implementation\3. Analysis &amp; Design\Design\FC22\DRR Jaime\QUIFA-CAJÚA\Cajua\[VAS_CAJUA_CF_SEC_20230125.xlsx]CF PRB'!$CT$42</v>
      </c>
      <c r="J2326" s="1" t="s">
        <v>1171</v>
      </c>
    </row>
    <row r="2327" spans="1:10" x14ac:dyDescent="0.2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Jaime\QUIFA-CAJÚA\Cajua\[VAS_CAJUA_CF_SEC_20230125.xlsx]CF PRB'!</v>
      </c>
      <c r="G2327" s="6" t="s">
        <v>40</v>
      </c>
      <c r="H2327" s="1">
        <f t="shared" si="506"/>
        <v>43</v>
      </c>
      <c r="I2327" s="1" t="str">
        <f t="shared" si="505"/>
        <v>='C:\Users\jaime.benazar\Quorum Business Solutions\Ecopetrol Prometeo - Documents\Planning Space Implementation\3. Analysis &amp; Design\Design\FC22\DRR Jaime\QUIFA-CAJÚA\Cajua\[VAS_CAJUA_CF_SEC_20230125.xlsx]CF PRB'!$CT$43</v>
      </c>
      <c r="J2327" s="1" t="s">
        <v>1172</v>
      </c>
    </row>
    <row r="2328" spans="1:10" x14ac:dyDescent="0.2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Jaime\QUIFA-CAJÚA\Cajua\[VAS_CAJUA_CF_SEC_20230125.xlsx]CF PRB'!</v>
      </c>
      <c r="G2328" s="6" t="s">
        <v>40</v>
      </c>
      <c r="H2328" s="1">
        <f t="shared" si="506"/>
        <v>44</v>
      </c>
      <c r="I2328" s="1" t="str">
        <f t="shared" si="505"/>
        <v>='C:\Users\jaime.benazar\Quorum Business Solutions\Ecopetrol Prometeo - Documents\Planning Space Implementation\3. Analysis &amp; Design\Design\FC22\DRR Jaime\QUIFA-CAJÚA\Cajua\[VAS_CAJUA_CF_SEC_20230125.xlsx]CF PRB'!$CT$44</v>
      </c>
      <c r="J2328" s="1" t="s">
        <v>1173</v>
      </c>
    </row>
    <row r="2329" spans="1:10" x14ac:dyDescent="0.2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Jaime\QUIFA-CAJÚA\Cajua\[VAS_CAJUA_CF_SEC_20230125.xlsx]CF PRB'!</v>
      </c>
      <c r="G2329" s="6" t="s">
        <v>40</v>
      </c>
      <c r="H2329" s="1">
        <f t="shared" si="506"/>
        <v>45</v>
      </c>
      <c r="I2329" s="1" t="str">
        <f t="shared" si="505"/>
        <v>='C:\Users\jaime.benazar\Quorum Business Solutions\Ecopetrol Prometeo - Documents\Planning Space Implementation\3. Analysis &amp; Design\Design\FC22\DRR Jaime\QUIFA-CAJÚA\Cajua\[VAS_CAJUA_CF_SEC_20230125.xlsx]CF PRB'!$CT$45</v>
      </c>
      <c r="J2329" s="1" t="s">
        <v>1174</v>
      </c>
    </row>
    <row r="2330" spans="1:10" x14ac:dyDescent="0.2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Jaime\QUIFA-CAJÚA\Cajua\[VAS_CAJUA_CF_SEC_20230125.xlsx]CF PRB'!</v>
      </c>
      <c r="G2330" s="6" t="s">
        <v>40</v>
      </c>
      <c r="H2330" s="1">
        <f t="shared" si="506"/>
        <v>46</v>
      </c>
      <c r="I2330" s="1" t="str">
        <f t="shared" si="505"/>
        <v>='C:\Users\jaime.benazar\Quorum Business Solutions\Ecopetrol Prometeo - Documents\Planning Space Implementation\3. Analysis &amp; Design\Design\FC22\DRR Jaime\QUIFA-CAJÚA\Cajua\[VAS_CAJUA_CF_SEC_20230125.xlsx]CF PRB'!$CT$46</v>
      </c>
      <c r="J2330" s="1" t="s">
        <v>1175</v>
      </c>
    </row>
    <row r="2331" spans="1:10" x14ac:dyDescent="0.2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Jaime\QUIFA-CAJÚA\Cajua\[VAS_CAJUA_CF_SEC_20230125.xlsx]CF PRB'!</v>
      </c>
      <c r="G2331" s="6" t="s">
        <v>40</v>
      </c>
      <c r="H2331" s="1">
        <f t="shared" si="506"/>
        <v>47</v>
      </c>
      <c r="I2331" s="1" t="str">
        <f t="shared" si="505"/>
        <v>='C:\Users\jaime.benazar\Quorum Business Solutions\Ecopetrol Prometeo - Documents\Planning Space Implementation\3. Analysis &amp; Design\Design\FC22\DRR Jaime\QUIFA-CAJÚA\Cajua\[VAS_CAJUA_CF_SEC_20230125.xlsx]CF PRB'!$CT$47</v>
      </c>
      <c r="J2331" s="1" t="s">
        <v>1176</v>
      </c>
    </row>
    <row r="2332" spans="1:10" x14ac:dyDescent="0.2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Jaime\QUIFA-CAJÚA\Cajua\[VAS_CAJUA_CF_SEC_20230125.xlsx]CF PRB'!</v>
      </c>
      <c r="G2332" s="6" t="s">
        <v>40</v>
      </c>
      <c r="H2332" s="1">
        <f t="shared" si="506"/>
        <v>48</v>
      </c>
      <c r="I2332" s="1" t="str">
        <f t="shared" si="505"/>
        <v>='C:\Users\jaime.benazar\Quorum Business Solutions\Ecopetrol Prometeo - Documents\Planning Space Implementation\3. Analysis &amp; Design\Design\FC22\DRR Jaime\QUIFA-CAJÚA\Cajua\[VAS_CAJUA_CF_SEC_20230125.xlsx]CF PRB'!$CT$48</v>
      </c>
      <c r="J2332" s="1" t="s">
        <v>1177</v>
      </c>
    </row>
    <row r="2333" spans="1:10" x14ac:dyDescent="0.2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Jaime\QUIFA-CAJÚA\Cajua\[VAS_CAJUA_CF_SEC_20230125.xlsx]CF PRB'!</v>
      </c>
      <c r="G2333" s="6" t="s">
        <v>40</v>
      </c>
      <c r="H2333" s="1">
        <f t="shared" si="506"/>
        <v>49</v>
      </c>
      <c r="I2333" s="1" t="str">
        <f t="shared" si="505"/>
        <v>='C:\Users\jaime.benazar\Quorum Business Solutions\Ecopetrol Prometeo - Documents\Planning Space Implementation\3. Analysis &amp; Design\Design\FC22\DRR Jaime\QUIFA-CAJÚA\Cajua\[VAS_CAJUA_CF_SEC_20230125.xlsx]CF PRB'!$CT$49</v>
      </c>
      <c r="J2333" s="1" t="s">
        <v>1178</v>
      </c>
    </row>
    <row r="2334" spans="1:10" x14ac:dyDescent="0.2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Jaime\QUIFA-CAJÚA\Cajua\[VAS_CAJUA_CF_SEC_20230125.xlsx]CF PRB'!</v>
      </c>
      <c r="G2334" s="6" t="s">
        <v>40</v>
      </c>
      <c r="H2334" s="1">
        <f t="shared" si="506"/>
        <v>50</v>
      </c>
      <c r="I2334" s="1" t="str">
        <f t="shared" si="505"/>
        <v>='C:\Users\jaime.benazar\Quorum Business Solutions\Ecopetrol Prometeo - Documents\Planning Space Implementation\3. Analysis &amp; Design\Design\FC22\DRR Jaime\QUIFA-CAJÚA\Cajua\[VAS_CAJUA_CF_SEC_20230125.xlsx]CF PRB'!$CT$50</v>
      </c>
      <c r="J2334" s="1" t="s">
        <v>1179</v>
      </c>
    </row>
    <row r="2335" spans="1:10" x14ac:dyDescent="0.2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Jaime\QUIFA-CAJÚA\Cajua\[VAS_CAJUA_CF_SEC_20230125.xlsx]CF PRB'!</v>
      </c>
      <c r="G2335" s="6" t="s">
        <v>40</v>
      </c>
      <c r="H2335" s="1">
        <f t="shared" si="506"/>
        <v>51</v>
      </c>
      <c r="I2335" s="1" t="str">
        <f t="shared" si="505"/>
        <v>='C:\Users\jaime.benazar\Quorum Business Solutions\Ecopetrol Prometeo - Documents\Planning Space Implementation\3. Analysis &amp; Design\Design\FC22\DRR Jaime\QUIFA-CAJÚA\Cajua\[VAS_CAJUA_CF_SEC_20230125.xlsx]CF PRB'!$CT$51</v>
      </c>
      <c r="J2335" s="1" t="s">
        <v>1180</v>
      </c>
    </row>
    <row r="2336" spans="1:10" x14ac:dyDescent="0.2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Jaime\QUIFA-CAJÚA\Cajua\[VAS_CAJUA_CF_SEC_20230125.xlsx]CF PRB'!</v>
      </c>
      <c r="G2336" s="6" t="s">
        <v>40</v>
      </c>
      <c r="H2336" s="1">
        <f t="shared" si="506"/>
        <v>52</v>
      </c>
      <c r="I2336" s="1" t="str">
        <f t="shared" si="505"/>
        <v>='C:\Users\jaime.benazar\Quorum Business Solutions\Ecopetrol Prometeo - Documents\Planning Space Implementation\3. Analysis &amp; Design\Design\FC22\DRR Jaime\QUIFA-CAJÚA\Cajua\[VAS_CAJUA_CF_SEC_20230125.xlsx]CF PRB'!$CT$52</v>
      </c>
      <c r="J2336" s="1" t="s">
        <v>1181</v>
      </c>
    </row>
    <row r="2337" spans="1:10" x14ac:dyDescent="0.2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Jaime\QUIFA-CAJÚA\Cajua\[VAS_CAJUA_CF_SEC_20230125.xlsx]CF PRB'!</v>
      </c>
      <c r="G2337" s="6" t="s">
        <v>40</v>
      </c>
      <c r="H2337" s="1">
        <f t="shared" si="506"/>
        <v>53</v>
      </c>
      <c r="I2337" s="1" t="str">
        <f t="shared" si="505"/>
        <v>='C:\Users\jaime.benazar\Quorum Business Solutions\Ecopetrol Prometeo - Documents\Planning Space Implementation\3. Analysis &amp; Design\Design\FC22\DRR Jaime\QUIFA-CAJÚA\Cajua\[VAS_CAJUA_CF_SEC_20230125.xlsx]CF PRB'!$CT$53</v>
      </c>
      <c r="J2337" s="1" t="s">
        <v>1182</v>
      </c>
    </row>
    <row r="2338" spans="1:10" x14ac:dyDescent="0.2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Jaime\QUIFA-CAJÚA\Cajua\[VAS_CAJUA_CF_SEC_20230125.xlsx]CF PRB'!</v>
      </c>
      <c r="G2338" s="6" t="s">
        <v>40</v>
      </c>
      <c r="H2338" s="1">
        <f t="shared" si="506"/>
        <v>54</v>
      </c>
      <c r="I2338" s="1" t="str">
        <f t="shared" si="505"/>
        <v>='C:\Users\jaime.benazar\Quorum Business Solutions\Ecopetrol Prometeo - Documents\Planning Space Implementation\3. Analysis &amp; Design\Design\FC22\DRR Jaime\QUIFA-CAJÚA\Cajua\[VAS_CAJUA_CF_SEC_20230125.xlsx]CF PRB'!$CT$54</v>
      </c>
      <c r="J2338" s="1" t="s">
        <v>1183</v>
      </c>
    </row>
    <row r="2339" spans="1:10" x14ac:dyDescent="0.2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Jaime\QUIFA-CAJÚA\Cajua\[VAS_CAJUA_CF_SEC_20230125.xlsx]CF PRB'!</v>
      </c>
      <c r="G2339" s="6" t="s">
        <v>40</v>
      </c>
      <c r="H2339" s="1">
        <f t="shared" si="506"/>
        <v>55</v>
      </c>
      <c r="I2339" s="1" t="str">
        <f t="shared" si="505"/>
        <v>='C:\Users\jaime.benazar\Quorum Business Solutions\Ecopetrol Prometeo - Documents\Planning Space Implementation\3. Analysis &amp; Design\Design\FC22\DRR Jaime\QUIFA-CAJÚA\Cajua\[VAS_CAJUA_CF_SEC_20230125.xlsx]CF PRB'!$CT$55</v>
      </c>
      <c r="J2339" s="1" t="s">
        <v>1184</v>
      </c>
    </row>
    <row r="2340" spans="1:10" x14ac:dyDescent="0.2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Jaime\QUIFA-CAJÚA\Cajua\[VAS_CAJUA_CF_SEC_20230125.xlsx]CF PRB'!</v>
      </c>
      <c r="G2340" s="6" t="s">
        <v>40</v>
      </c>
      <c r="H2340" s="1">
        <f t="shared" si="506"/>
        <v>56</v>
      </c>
      <c r="I2340" s="1" t="str">
        <f t="shared" si="505"/>
        <v>='C:\Users\jaime.benazar\Quorum Business Solutions\Ecopetrol Prometeo - Documents\Planning Space Implementation\3. Analysis &amp; Design\Design\FC22\DRR Jaime\QUIFA-CAJÚA\Cajua\[VAS_CAJUA_CF_SEC_20230125.xlsx]CF PRB'!$CT$56</v>
      </c>
      <c r="J2340" s="1" t="s">
        <v>1185</v>
      </c>
    </row>
    <row r="2341" spans="1:10" x14ac:dyDescent="0.2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Jaime\QUIFA-CAJÚA\Cajua\[VAS_CAJUA_CF_SEC_20230125.xlsx]CF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Jaime\QUIFA-CAJÚA\Cajua\[VAS_CAJUA_CF_SEC_20230125.xlsx]CF PRB'!$CT$57</v>
      </c>
      <c r="J2341" s="1" t="s">
        <v>1186</v>
      </c>
    </row>
    <row r="2342" spans="1:10" x14ac:dyDescent="0.2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Jaime\QUIFA-CAJÚA\Cajua\[VAS_CAJUA_CF_SEC_20230125.xlsx]CF PRB'!</v>
      </c>
      <c r="G2342" s="6" t="s">
        <v>40</v>
      </c>
      <c r="H2342" s="1">
        <f t="shared" si="542"/>
        <v>58</v>
      </c>
      <c r="I2342" s="1" t="str">
        <f t="shared" si="543"/>
        <v>='C:\Users\jaime.benazar\Quorum Business Solutions\Ecopetrol Prometeo - Documents\Planning Space Implementation\3. Analysis &amp; Design\Design\FC22\DRR Jaime\QUIFA-CAJÚA\Cajua\[VAS_CAJUA_CF_SEC_20230125.xlsx]CF PRB'!$CT$58</v>
      </c>
      <c r="J2342" s="1" t="s">
        <v>1187</v>
      </c>
    </row>
    <row r="2343" spans="1:10" x14ac:dyDescent="0.2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Jaime\QUIFA-CAJÚA\Cajua\[VAS_CAJUA_CF_SEC_20230125.xlsx]CF PRB'!</v>
      </c>
      <c r="G2343" s="6" t="s">
        <v>40</v>
      </c>
      <c r="H2343" s="1">
        <f t="shared" si="542"/>
        <v>59</v>
      </c>
      <c r="I2343" s="1" t="str">
        <f t="shared" si="543"/>
        <v>='C:\Users\jaime.benazar\Quorum Business Solutions\Ecopetrol Prometeo - Documents\Planning Space Implementation\3. Analysis &amp; Design\Design\FC22\DRR Jaime\QUIFA-CAJÚA\Cajua\[VAS_CAJUA_CF_SEC_20230125.xlsx]CF PRB'!$CT$59</v>
      </c>
      <c r="J2343" s="1" t="s">
        <v>1188</v>
      </c>
    </row>
    <row r="2344" spans="1:10" x14ac:dyDescent="0.2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Jaime\QUIFA-CAJÚA\Cajua\[VAS_CAJUA_CF_SEC_20230125.xlsx]CF PRB'!</v>
      </c>
      <c r="G2344" s="6" t="s">
        <v>40</v>
      </c>
      <c r="H2344" s="1">
        <f t="shared" si="542"/>
        <v>60</v>
      </c>
      <c r="I2344" s="1" t="str">
        <f t="shared" si="543"/>
        <v>='C:\Users\jaime.benazar\Quorum Business Solutions\Ecopetrol Prometeo - Documents\Planning Space Implementation\3. Analysis &amp; Design\Design\FC22\DRR Jaime\QUIFA-CAJÚA\Cajua\[VAS_CAJUA_CF_SEC_20230125.xlsx]CF PRB'!$CT$60</v>
      </c>
      <c r="J2344" s="1" t="s">
        <v>1189</v>
      </c>
    </row>
    <row r="2345" spans="1:10" x14ac:dyDescent="0.2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Jaime\QUIFA-CAJÚA\Cajua\[VAS_CAJUA_CF_SEC_20230125.xlsx]CF PRB'!</v>
      </c>
      <c r="G2345" s="6" t="s">
        <v>40</v>
      </c>
      <c r="H2345" s="1">
        <f t="shared" si="542"/>
        <v>61</v>
      </c>
      <c r="I2345" s="1" t="str">
        <f t="shared" si="543"/>
        <v>='C:\Users\jaime.benazar\Quorum Business Solutions\Ecopetrol Prometeo - Documents\Planning Space Implementation\3. Analysis &amp; Design\Design\FC22\DRR Jaime\QUIFA-CAJÚA\Cajua\[VAS_CAJUA_CF_SEC_20230125.xlsx]CF PRB'!$CT$61</v>
      </c>
      <c r="J2345" s="1" t="s">
        <v>1190</v>
      </c>
    </row>
    <row r="2346" spans="1:10" x14ac:dyDescent="0.2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Jaime\QUIFA-CAJÚA\Cajua\[VAS_CAJUA_CF_SEC_20230125.xlsx]CF PRB'!</v>
      </c>
      <c r="G2346" s="6" t="s">
        <v>40</v>
      </c>
      <c r="H2346" s="1">
        <f t="shared" si="542"/>
        <v>62</v>
      </c>
      <c r="I2346" s="1" t="str">
        <f t="shared" si="543"/>
        <v>='C:\Users\jaime.benazar\Quorum Business Solutions\Ecopetrol Prometeo - Documents\Planning Space Implementation\3. Analysis &amp; Design\Design\FC22\DRR Jaime\QUIFA-CAJÚA\Cajua\[VAS_CAJUA_CF_SEC_20230125.xlsx]CF PRB'!$CT$62</v>
      </c>
      <c r="J2346" s="1" t="s">
        <v>1191</v>
      </c>
    </row>
    <row r="2347" spans="1:10" x14ac:dyDescent="0.2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Jaime\QUIFA-CAJÚA\Cajua\[VAS_CAJUA_CF_SEC_20230125.xlsx]CF PRB'!</v>
      </c>
      <c r="G2347" s="6" t="s">
        <v>40</v>
      </c>
      <c r="H2347" s="1">
        <f t="shared" si="542"/>
        <v>63</v>
      </c>
      <c r="I2347" s="1" t="str">
        <f t="shared" si="543"/>
        <v>='C:\Users\jaime.benazar\Quorum Business Solutions\Ecopetrol Prometeo - Documents\Planning Space Implementation\3. Analysis &amp; Design\Design\FC22\DRR Jaime\QUIFA-CAJÚA\Cajua\[VAS_CAJUA_CF_SEC_20230125.xlsx]CF PRB'!$CT$63</v>
      </c>
      <c r="J2347" s="1" t="s">
        <v>1192</v>
      </c>
    </row>
    <row r="2348" spans="1:10" x14ac:dyDescent="0.2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Jaime\QUIFA-CAJÚA\Cajua\[VAS_CAJUA_CF_SEC_20230125.xlsx]CF PRB'!</v>
      </c>
      <c r="G2348" s="6" t="s">
        <v>40</v>
      </c>
      <c r="H2348" s="1">
        <f t="shared" si="542"/>
        <v>64</v>
      </c>
      <c r="I2348" s="1" t="str">
        <f t="shared" si="543"/>
        <v>='C:\Users\jaime.benazar\Quorum Business Solutions\Ecopetrol Prometeo - Documents\Planning Space Implementation\3. Analysis &amp; Design\Design\FC22\DRR Jaime\QUIFA-CAJÚA\Cajua\[VAS_CAJUA_CF_SEC_20230125.xlsx]CF PRB'!$CT$64</v>
      </c>
      <c r="J2348" s="1" t="s">
        <v>1193</v>
      </c>
    </row>
    <row r="2349" spans="1:10" x14ac:dyDescent="0.2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Jaime\QUIFA-CAJÚA\Cajua\[VAS_CAJUA_CF_SEC_20230125.xlsx]CF PRB'!</v>
      </c>
      <c r="G2349" s="6" t="s">
        <v>40</v>
      </c>
      <c r="H2349" s="1">
        <f t="shared" si="542"/>
        <v>65</v>
      </c>
      <c r="I2349" s="1" t="str">
        <f t="shared" si="543"/>
        <v>='C:\Users\jaime.benazar\Quorum Business Solutions\Ecopetrol Prometeo - Documents\Planning Space Implementation\3. Analysis &amp; Design\Design\FC22\DRR Jaime\QUIFA-CAJÚA\Cajua\[VAS_CAJUA_CF_SEC_20230125.xlsx]CF PRB'!$CT$65</v>
      </c>
      <c r="J2349" s="1" t="s">
        <v>1194</v>
      </c>
    </row>
    <row r="2350" spans="1:10" x14ac:dyDescent="0.2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Jaime\QUIFA-CAJÚA\Cajua\[VAS_CAJUA_CF_SEC_20230125.xlsx]CF PRB'!</v>
      </c>
      <c r="G2350" s="6" t="s">
        <v>40</v>
      </c>
      <c r="H2350" s="1">
        <f t="shared" si="542"/>
        <v>66</v>
      </c>
      <c r="I2350" s="1" t="str">
        <f t="shared" si="543"/>
        <v>='C:\Users\jaime.benazar\Quorum Business Solutions\Ecopetrol Prometeo - Documents\Planning Space Implementation\3. Analysis &amp; Design\Design\FC22\DRR Jaime\QUIFA-CAJÚA\Cajua\[VAS_CAJUA_CF_SEC_20230125.xlsx]CF PRB'!$CT$66</v>
      </c>
      <c r="J2350" s="1" t="s">
        <v>1195</v>
      </c>
    </row>
    <row r="2351" spans="1:10" x14ac:dyDescent="0.2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Jaime\QUIFA-CAJÚA\Cajua\[VAS_CAJUA_CF_SEC_20230125.xlsx]CF PRB'!</v>
      </c>
      <c r="G2351" s="6" t="s">
        <v>40</v>
      </c>
      <c r="H2351" s="1">
        <f t="shared" si="542"/>
        <v>67</v>
      </c>
      <c r="I2351" s="1" t="str">
        <f t="shared" si="543"/>
        <v>='C:\Users\jaime.benazar\Quorum Business Solutions\Ecopetrol Prometeo - Documents\Planning Space Implementation\3. Analysis &amp; Design\Design\FC22\DRR Jaime\QUIFA-CAJÚA\Cajua\[VAS_CAJUA_CF_SEC_20230125.xlsx]CF PRB'!$CT$67</v>
      </c>
      <c r="J2351" s="1" t="s">
        <v>1196</v>
      </c>
    </row>
    <row r="2352" spans="1:10" x14ac:dyDescent="0.2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Jaime\QUIFA-CAJÚA\Cajua\[VAS_CAJUA_CF_SEC_20230125.xlsx]CF PRB'!</v>
      </c>
      <c r="G2352" s="6" t="s">
        <v>40</v>
      </c>
      <c r="H2352" s="1">
        <f t="shared" si="542"/>
        <v>68</v>
      </c>
      <c r="I2352" s="1" t="str">
        <f t="shared" si="543"/>
        <v>='C:\Users\jaime.benazar\Quorum Business Solutions\Ecopetrol Prometeo - Documents\Planning Space Implementation\3. Analysis &amp; Design\Design\FC22\DRR Jaime\QUIFA-CAJÚA\Cajua\[VAS_CAJUA_CF_SEC_20230125.xlsx]CF PRB'!$CT$68</v>
      </c>
      <c r="J2352" s="1" t="s">
        <v>1197</v>
      </c>
    </row>
    <row r="2353" spans="1:10" x14ac:dyDescent="0.2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Jaime\QUIFA-CAJÚA\Cajua\[VAS_CAJUA_CF_SEC_20230125.xlsx]CF PRB'!</v>
      </c>
      <c r="G2353" s="6" t="s">
        <v>40</v>
      </c>
      <c r="H2353" s="1">
        <f t="shared" si="542"/>
        <v>69</v>
      </c>
      <c r="I2353" s="1" t="str">
        <f t="shared" si="543"/>
        <v>='C:\Users\jaime.benazar\Quorum Business Solutions\Ecopetrol Prometeo - Documents\Planning Space Implementation\3. Analysis &amp; Design\Design\FC22\DRR Jaime\QUIFA-CAJÚA\Cajua\[VAS_CAJUA_CF_SEC_20230125.xlsx]CF PRB'!$CT$69</v>
      </c>
      <c r="J2353" s="1" t="s">
        <v>1198</v>
      </c>
    </row>
    <row r="2354" spans="1:10" x14ac:dyDescent="0.2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Jaime\QUIFA-CAJÚA\Cajua\[VAS_CAJUA_CF_SEC_20230125.xlsx]CF PRB'!</v>
      </c>
      <c r="G2354" s="6" t="s">
        <v>40</v>
      </c>
      <c r="H2354" s="1">
        <f t="shared" si="542"/>
        <v>70</v>
      </c>
      <c r="I2354" s="1" t="str">
        <f t="shared" si="543"/>
        <v>='C:\Users\jaime.benazar\Quorum Business Solutions\Ecopetrol Prometeo - Documents\Planning Space Implementation\3. Analysis &amp; Design\Design\FC22\DRR Jaime\QUIFA-CAJÚA\Cajua\[VAS_CAJUA_CF_SEC_20230125.xlsx]CF PRB'!$CT$70</v>
      </c>
      <c r="J2354" s="1" t="s">
        <v>1199</v>
      </c>
    </row>
    <row r="2355" spans="1:10" x14ac:dyDescent="0.2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Jaime\QUIFA-CAJÚA\Cajua\[VAS_CAJUA_CF_SEC_20230125.xlsx]CF PRB'!</v>
      </c>
      <c r="G2355" s="6" t="s">
        <v>40</v>
      </c>
      <c r="H2355" s="1">
        <f t="shared" si="542"/>
        <v>71</v>
      </c>
      <c r="I2355" s="1" t="str">
        <f t="shared" si="543"/>
        <v>='C:\Users\jaime.benazar\Quorum Business Solutions\Ecopetrol Prometeo - Documents\Planning Space Implementation\3. Analysis &amp; Design\Design\FC22\DRR Jaime\QUIFA-CAJÚA\Cajua\[VAS_CAJUA_CF_SEC_20230125.xlsx]CF PRB'!$CT$71</v>
      </c>
      <c r="J2355" s="1" t="s">
        <v>1200</v>
      </c>
    </row>
    <row r="2356" spans="1:10" x14ac:dyDescent="0.2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Jaime\QUIFA-CAJÚA\Cajua\[VAS_CAJUA_CF_SEC_20230125.xlsx]CF PRB'!</v>
      </c>
      <c r="G2356" s="6" t="s">
        <v>40</v>
      </c>
      <c r="H2356" s="1">
        <f t="shared" si="542"/>
        <v>72</v>
      </c>
      <c r="I2356" s="1" t="str">
        <f t="shared" si="543"/>
        <v>='C:\Users\jaime.benazar\Quorum Business Solutions\Ecopetrol Prometeo - Documents\Planning Space Implementation\3. Analysis &amp; Design\Design\FC22\DRR Jaime\QUIFA-CAJÚA\Cajua\[VAS_CAJUA_CF_SEC_20230125.xlsx]CF PRB'!$CT$72</v>
      </c>
      <c r="J2356" s="1" t="s">
        <v>1201</v>
      </c>
    </row>
    <row r="2357" spans="1:10" x14ac:dyDescent="0.25">
      <c r="A2357" s="6" t="s">
        <v>28</v>
      </c>
      <c r="B2357" s="6"/>
      <c r="C2357" s="1" t="s">
        <v>20</v>
      </c>
      <c r="D2357" s="2"/>
      <c r="E2357" s="9"/>
      <c r="F2357" s="2"/>
      <c r="G2357" s="6"/>
      <c r="H2357" s="1"/>
      <c r="I2357" s="1"/>
      <c r="J2357" s="4"/>
    </row>
    <row r="2358" spans="1:10" x14ac:dyDescent="0.2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Jaime\QUIFA-CAJÚA\Cajua\[VAS_CAJUA_CF_SEC_20230125.xlsx]CF PSDP'!</v>
      </c>
      <c r="G2358" s="6" t="s">
        <v>40</v>
      </c>
      <c r="H2358" s="1"/>
      <c r="I2358" s="1"/>
      <c r="J2358" s="1"/>
    </row>
    <row r="2359" spans="1:10" x14ac:dyDescent="0.2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Jaime\QUIFA-CAJÚA\Cajua\[VAS_CAJUA_CF_SEC_20230125.xlsx]CF PSDP'!</v>
      </c>
      <c r="G2359" s="6" t="s">
        <v>40</v>
      </c>
      <c r="H2359" s="1"/>
      <c r="I2359" s="1"/>
      <c r="J2359" s="1"/>
    </row>
    <row r="2360" spans="1:10" x14ac:dyDescent="0.2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Jaime\QUIFA-CAJÚA\Cajua\[VAS_CAJUA_CF_SEC_20230125.xlsx]CF PSDP'!</v>
      </c>
      <c r="G2360" s="6" t="s">
        <v>40</v>
      </c>
      <c r="H2360" s="1"/>
      <c r="I2360" s="1"/>
      <c r="J2360" s="1"/>
    </row>
    <row r="2361" spans="1:10" x14ac:dyDescent="0.2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Jaime\QUIFA-CAJÚA\Cajua\[VAS_CAJUA_CF_SEC_20230125.xlsx]CF PSDP'!</v>
      </c>
      <c r="G2361" s="6" t="s">
        <v>40</v>
      </c>
      <c r="H2361" s="1"/>
      <c r="I2361" s="1"/>
      <c r="J2361" s="1"/>
    </row>
    <row r="2362" spans="1:10" x14ac:dyDescent="0.2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Jaime\QUIFA-CAJÚA\Cajua\[VAS_CAJUA_CF_SEC_20230125.xlsx]CF PSDP'!</v>
      </c>
      <c r="G2362" s="6" t="s">
        <v>40</v>
      </c>
      <c r="H2362" s="1"/>
      <c r="I2362" s="1"/>
      <c r="J2362" s="1"/>
    </row>
    <row r="2363" spans="1:10" x14ac:dyDescent="0.2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Jaime\QUIFA-CAJÚA\Cajua\[VAS_CAJUA_CF_SEC_20230125.xlsx]CF PSDP'!</v>
      </c>
      <c r="G2363" s="6" t="s">
        <v>40</v>
      </c>
      <c r="H2363" s="1"/>
      <c r="I2363" s="1"/>
      <c r="J2363" s="1"/>
    </row>
    <row r="2364" spans="1:10" x14ac:dyDescent="0.2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Jaime\QUIFA-CAJÚA\Cajua\[VAS_CAJUA_CF_SEC_20230125.xlsx]CF PSDP'!</v>
      </c>
      <c r="G2364" s="6" t="s">
        <v>40</v>
      </c>
      <c r="H2364" s="1"/>
      <c r="I2364" s="1"/>
      <c r="J2364" s="1"/>
    </row>
    <row r="2365" spans="1:10" x14ac:dyDescent="0.2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Jaime\QUIFA-CAJÚA\Cajua\[VAS_CAJUA_CF_SEC_20230125.xlsx]CF PSDP'!</v>
      </c>
      <c r="G2365" s="6" t="s">
        <v>40</v>
      </c>
      <c r="H2365" s="1"/>
      <c r="I2365" s="1"/>
      <c r="J2365" s="1"/>
    </row>
    <row r="2366" spans="1:10" x14ac:dyDescent="0.2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Jaime\QUIFA-CAJÚA\Cajua\[VAS_CAJUA_CF_SEC_20230125.xlsx]CF PSDP'!</v>
      </c>
      <c r="G2366" s="6" t="s">
        <v>40</v>
      </c>
      <c r="H2366" s="1"/>
      <c r="I2366" s="1"/>
      <c r="J2366" s="1"/>
    </row>
    <row r="2367" spans="1:10" x14ac:dyDescent="0.2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Jaime\QUIFA-CAJÚA\Cajua\[VAS_CAJUA_CF_SEC_20230125.xlsx]CF PSDP'!</v>
      </c>
      <c r="G2367" s="6" t="s">
        <v>40</v>
      </c>
      <c r="H2367" s="1"/>
      <c r="I2367" s="1"/>
      <c r="J2367" s="1"/>
    </row>
    <row r="2368" spans="1:10" x14ac:dyDescent="0.2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Jaime\QUIFA-CAJÚA\Cajua\[VAS_CAJUA_CF_SEC_20230125.xlsx]CF PSDP'!</v>
      </c>
      <c r="G2368" s="6" t="s">
        <v>40</v>
      </c>
      <c r="H2368" s="1"/>
      <c r="I2368" s="1"/>
      <c r="J2368" s="1"/>
    </row>
    <row r="2369" spans="1:10" x14ac:dyDescent="0.2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Jaime\QUIFA-CAJÚA\Cajua\[VAS_CAJUA_CF_SEC_20230125.xlsx]CF PSDP'!</v>
      </c>
      <c r="G2369" s="6" t="s">
        <v>40</v>
      </c>
      <c r="H2369" s="1"/>
      <c r="I2369" s="1"/>
      <c r="J2369" s="1"/>
    </row>
    <row r="2370" spans="1:10" x14ac:dyDescent="0.2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Jaime\QUIFA-CAJÚA\Cajua\[VAS_CAJUA_CF_SEC_20230125.xlsx]CF PSDP'!</v>
      </c>
      <c r="G2370" s="6" t="s">
        <v>40</v>
      </c>
      <c r="H2370" s="1"/>
      <c r="I2370" s="1"/>
      <c r="J2370" s="1"/>
    </row>
    <row r="2371" spans="1:10" x14ac:dyDescent="0.2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Jaime\QUIFA-CAJÚA\Cajua\[VAS_CAJUA_CF_SEC_20230125.xlsx]CF PSDP'!</v>
      </c>
      <c r="G2371" s="6" t="s">
        <v>40</v>
      </c>
      <c r="H2371" s="1"/>
      <c r="I2371" s="1"/>
      <c r="J2371" s="1"/>
    </row>
    <row r="2372" spans="1:10" x14ac:dyDescent="0.2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Jaime\QUIFA-CAJÚA\Cajua\[VAS_CAJUA_CF_SEC_20230125.xlsx]CF PSDP'!</v>
      </c>
      <c r="G2372" s="6" t="s">
        <v>40</v>
      </c>
      <c r="H2372" s="1"/>
      <c r="I2372" s="1"/>
      <c r="J2372" s="1"/>
    </row>
    <row r="2373" spans="1:10" x14ac:dyDescent="0.2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Jaime\QUIFA-CAJÚA\Cajua\[VAS_CAJUA_CF_SEC_20230125.xlsx]CF PSDP'!</v>
      </c>
      <c r="G2373" s="6" t="s">
        <v>40</v>
      </c>
      <c r="H2373" s="1"/>
      <c r="I2373" s="1"/>
      <c r="J2373" s="1"/>
    </row>
    <row r="2374" spans="1:10" x14ac:dyDescent="0.2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Jaime\QUIFA-CAJÚA\Cajua\[VAS_CAJUA_CF_SEC_20230125.xlsx]CF PSDP'!</v>
      </c>
      <c r="G2374" s="6" t="s">
        <v>40</v>
      </c>
      <c r="H2374" s="1"/>
      <c r="I2374" s="1"/>
      <c r="J2374" s="1"/>
    </row>
    <row r="2375" spans="1:10" x14ac:dyDescent="0.2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Jaime\QUIFA-CAJÚA\Cajua\[VAS_CAJUA_CF_SEC_20230125.xlsx]CF PSDP'!</v>
      </c>
      <c r="G2375" s="6" t="s">
        <v>40</v>
      </c>
      <c r="H2375" s="1"/>
      <c r="I2375" s="1"/>
      <c r="J2375" s="1"/>
    </row>
    <row r="2376" spans="1:10" x14ac:dyDescent="0.2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Jaime\QUIFA-CAJÚA\Cajua\[VAS_CAJUA_CF_SEC_20230125.xlsx]CF PSDP'!</v>
      </c>
      <c r="G2376" s="6" t="s">
        <v>40</v>
      </c>
      <c r="H2376" s="1"/>
      <c r="I2376" s="1"/>
      <c r="J2376" s="1"/>
    </row>
    <row r="2377" spans="1:10" x14ac:dyDescent="0.2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Jaime\QUIFA-CAJÚA\Cajua\[VAS_CAJUA_CF_SEC_20230125.xlsx]CF PSDP'!</v>
      </c>
      <c r="G2377" s="6" t="s">
        <v>40</v>
      </c>
      <c r="H2377" s="1"/>
      <c r="I2377" s="1"/>
      <c r="J2377" s="1"/>
    </row>
    <row r="2378" spans="1:10" x14ac:dyDescent="0.2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Jaime\QUIFA-CAJÚA\Cajua\[VAS_CAJUA_CF_SEC_20230125.xlsx]CF PSDP'!</v>
      </c>
      <c r="G2378" s="6" t="s">
        <v>40</v>
      </c>
      <c r="H2378" s="1"/>
      <c r="I2378" s="1"/>
      <c r="J2378" s="1"/>
    </row>
    <row r="2379" spans="1:10" x14ac:dyDescent="0.2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Jaime\QUIFA-CAJÚA\Cajua\[VAS_CAJUA_CF_SEC_20230125.xlsx]CF PSDP'!</v>
      </c>
      <c r="G2379" s="6" t="s">
        <v>40</v>
      </c>
      <c r="H2379" s="1"/>
      <c r="I2379" s="1"/>
      <c r="J2379" s="1"/>
    </row>
    <row r="2380" spans="1:10" x14ac:dyDescent="0.2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Jaime\QUIFA-CAJÚA\Cajua\[VAS_CAJUA_CF_SEC_20230125.xlsx]CF PSDP'!</v>
      </c>
      <c r="G2380" s="6" t="s">
        <v>40</v>
      </c>
      <c r="H2380" s="1"/>
      <c r="I2380" s="1"/>
      <c r="J2380" s="1"/>
    </row>
    <row r="2381" spans="1:10" x14ac:dyDescent="0.2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Jaime\QUIFA-CAJÚA\Cajua\[VAS_CAJUA_CF_SEC_20230125.xlsx]CF PSDP'!</v>
      </c>
      <c r="G2381" s="6" t="s">
        <v>40</v>
      </c>
      <c r="H2381" s="1"/>
      <c r="I2381" s="1"/>
      <c r="J2381" s="1"/>
    </row>
    <row r="2382" spans="1:10" x14ac:dyDescent="0.2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Jaime\QUIFA-CAJÚA\Cajua\[VAS_CAJUA_CF_SEC_20230125.xlsx]CF PSDP'!</v>
      </c>
      <c r="G2382" s="6" t="s">
        <v>40</v>
      </c>
      <c r="H2382" s="1"/>
      <c r="I2382" s="1"/>
      <c r="J2382" s="1"/>
    </row>
    <row r="2383" spans="1:10" x14ac:dyDescent="0.2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Jaime\QUIFA-CAJÚA\Cajua\[VAS_CAJUA_CF_SEC_20230125.xlsx]CF PSDP'!</v>
      </c>
      <c r="G2383" s="6" t="s">
        <v>40</v>
      </c>
      <c r="H2383" s="1"/>
      <c r="I2383" s="1"/>
      <c r="J2383" s="1"/>
    </row>
    <row r="2384" spans="1:10" x14ac:dyDescent="0.2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Jaime\QUIFA-CAJÚA\Cajua\[VAS_CAJUA_CF_SEC_20230125.xlsx]CF PSDP'!</v>
      </c>
      <c r="G2384" s="6" t="s">
        <v>40</v>
      </c>
      <c r="H2384" s="1"/>
      <c r="I2384" s="1"/>
      <c r="J2384" s="1"/>
    </row>
    <row r="2385" spans="1:10" x14ac:dyDescent="0.2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Jaime\QUIFA-CAJÚA\Cajua\[VAS_CAJUA_CF_SEC_20230125.xlsx]CF PSDP'!</v>
      </c>
      <c r="G2385" s="6" t="s">
        <v>40</v>
      </c>
      <c r="H2385" s="1"/>
      <c r="I2385" s="1"/>
      <c r="J2385" s="1"/>
    </row>
    <row r="2386" spans="1:10" x14ac:dyDescent="0.2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Jaime\QUIFA-CAJÚA\Cajua\[VAS_CAJUA_CF_SEC_20230125.xlsx]CF PSDP'!</v>
      </c>
      <c r="G2386" s="6" t="s">
        <v>40</v>
      </c>
      <c r="H2386" s="1"/>
      <c r="I2386" s="1"/>
      <c r="J2386" s="1"/>
    </row>
    <row r="2387" spans="1:10" x14ac:dyDescent="0.2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Jaime\QUIFA-CAJÚA\Cajua\[VAS_CAJUA_CF_SEC_20230125.xlsx]CF PSDP'!</v>
      </c>
      <c r="G2387" s="6" t="s">
        <v>40</v>
      </c>
      <c r="H2387" s="1"/>
      <c r="I2387" s="1"/>
      <c r="J2387" s="1"/>
    </row>
    <row r="2388" spans="1:10" x14ac:dyDescent="0.2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Jaime\QUIFA-CAJÚA\Cajua\[VAS_CAJUA_CF_SEC_20230125.xlsx]CF PSDP'!</v>
      </c>
      <c r="G2388" s="6" t="s">
        <v>40</v>
      </c>
      <c r="H2388" s="1"/>
      <c r="I2388" s="1"/>
      <c r="J2388" s="1"/>
    </row>
    <row r="2389" spans="1:10" x14ac:dyDescent="0.2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Jaime\QUIFA-CAJÚA\Cajua\[VAS_CAJUA_CF_SEC_20230125.xlsx]CF PSDP'!</v>
      </c>
      <c r="G2389" s="6" t="s">
        <v>40</v>
      </c>
      <c r="H2389" s="1"/>
      <c r="I2389" s="1"/>
      <c r="J2389" s="1"/>
    </row>
    <row r="2390" spans="1:10" x14ac:dyDescent="0.2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Jaime\QUIFA-CAJÚA\Cajua\[VAS_CAJUA_CF_SEC_20230125.xlsx]CF PSDP'!</v>
      </c>
      <c r="G2390" s="6" t="s">
        <v>40</v>
      </c>
      <c r="H2390" s="1"/>
      <c r="I2390" s="1"/>
      <c r="J2390" s="1"/>
    </row>
    <row r="2391" spans="1:10" x14ac:dyDescent="0.2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Jaime\QUIFA-CAJÚA\Cajua\[VAS_CAJUA_CF_SEC_20230125.xlsx]CF PSDP'!</v>
      </c>
      <c r="G2391" s="6" t="s">
        <v>40</v>
      </c>
      <c r="H2391" s="1"/>
      <c r="I2391" s="1"/>
      <c r="J2391" s="1"/>
    </row>
    <row r="2392" spans="1:10" x14ac:dyDescent="0.2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Jaime\QUIFA-CAJÚA\Cajua\[VAS_CAJUA_CF_SEC_20230125.xlsx]CF PSDP'!</v>
      </c>
      <c r="G2392" s="6" t="s">
        <v>40</v>
      </c>
      <c r="H2392" s="1"/>
      <c r="I2392" s="1"/>
      <c r="J2392" s="1"/>
    </row>
    <row r="2393" spans="1:10" x14ac:dyDescent="0.2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Jaime\QUIFA-CAJÚA\Cajua\[VAS_CAJUA_CF_SEC_20230125.xlsx]CF PSDP'!</v>
      </c>
      <c r="G2393" s="6" t="s">
        <v>40</v>
      </c>
      <c r="H2393" s="1"/>
      <c r="I2393" s="1"/>
      <c r="J2393" s="1"/>
    </row>
    <row r="2394" spans="1:10" x14ac:dyDescent="0.2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Jaime\QUIFA-CAJÚA\Cajua\[VAS_CAJUA_CF_SEC_20230125.xlsx]CF PSDP'!</v>
      </c>
      <c r="G2394" s="6" t="s">
        <v>40</v>
      </c>
      <c r="H2394" s="1"/>
      <c r="I2394" s="1"/>
      <c r="J2394" s="1"/>
    </row>
    <row r="2395" spans="1:10" x14ac:dyDescent="0.25">
      <c r="A2395" s="6" t="s">
        <v>28</v>
      </c>
      <c r="B2395" s="6"/>
      <c r="C2395" s="1" t="s">
        <v>20</v>
      </c>
      <c r="D2395" s="2"/>
      <c r="E2395" s="9"/>
      <c r="F2395" s="5"/>
      <c r="G2395" s="6"/>
      <c r="H2395" s="1"/>
      <c r="I2395" s="1"/>
      <c r="J2395" s="1"/>
    </row>
    <row r="2396" spans="1:10" x14ac:dyDescent="0.2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Jaime\QUIFA-CAJÚA\Cajua\[VAS_CAJUA_CF_SEC_20230125.xlsx]CF PSNP'!</v>
      </c>
      <c r="G2396" s="6" t="s">
        <v>40</v>
      </c>
      <c r="H2396" s="1"/>
      <c r="I2396" s="1"/>
      <c r="J2396" s="1"/>
    </row>
    <row r="2397" spans="1:10" x14ac:dyDescent="0.2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Jaime\QUIFA-CAJÚA\Cajua\[VAS_CAJUA_CF_SEC_20230125.xlsx]CF PSNP'!</v>
      </c>
      <c r="G2397" s="6" t="s">
        <v>40</v>
      </c>
      <c r="H2397" s="1"/>
      <c r="I2397" s="1"/>
      <c r="J2397" s="1"/>
    </row>
    <row r="2398" spans="1:10" x14ac:dyDescent="0.2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Jaime\QUIFA-CAJÚA\Cajua\[VAS_CAJUA_CF_SEC_20230125.xlsx]CF PSNP'!</v>
      </c>
      <c r="G2398" s="6" t="s">
        <v>40</v>
      </c>
      <c r="H2398" s="1"/>
      <c r="I2398" s="1"/>
      <c r="J2398" s="1"/>
    </row>
    <row r="2399" spans="1:10" x14ac:dyDescent="0.2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Jaime\QUIFA-CAJÚA\Cajua\[VAS_CAJUA_CF_SEC_20230125.xlsx]CF PSNP'!</v>
      </c>
      <c r="G2399" s="6" t="s">
        <v>40</v>
      </c>
      <c r="H2399" s="1"/>
      <c r="I2399" s="1"/>
      <c r="J2399" s="1"/>
    </row>
    <row r="2400" spans="1:10" x14ac:dyDescent="0.2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Jaime\QUIFA-CAJÚA\Cajua\[VAS_CAJUA_CF_SEC_20230125.xlsx]CF PSNP'!</v>
      </c>
      <c r="G2400" s="6" t="s">
        <v>40</v>
      </c>
      <c r="H2400" s="1"/>
      <c r="I2400" s="1"/>
      <c r="J2400" s="1"/>
    </row>
    <row r="2401" spans="1:10" x14ac:dyDescent="0.2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Jaime\QUIFA-CAJÚA\Cajua\[VAS_CAJUA_CF_SEC_20230125.xlsx]CF PSNP'!</v>
      </c>
      <c r="G2401" s="6" t="s">
        <v>40</v>
      </c>
      <c r="H2401" s="1"/>
      <c r="I2401" s="1"/>
      <c r="J2401" s="1"/>
    </row>
    <row r="2402" spans="1:10" x14ac:dyDescent="0.2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Jaime\QUIFA-CAJÚA\Cajua\[VAS_CAJUA_CF_SEC_20230125.xlsx]CF PSNP'!</v>
      </c>
      <c r="G2402" s="6" t="s">
        <v>40</v>
      </c>
      <c r="H2402" s="1"/>
      <c r="I2402" s="1"/>
      <c r="J2402" s="1"/>
    </row>
    <row r="2403" spans="1:10" x14ac:dyDescent="0.2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Jaime\QUIFA-CAJÚA\Cajua\[VAS_CAJUA_CF_SEC_20230125.xlsx]CF PSNP'!</v>
      </c>
      <c r="G2403" s="6" t="s">
        <v>40</v>
      </c>
      <c r="H2403" s="1"/>
      <c r="I2403" s="1"/>
      <c r="J2403" s="1"/>
    </row>
    <row r="2404" spans="1:10" x14ac:dyDescent="0.2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Jaime\QUIFA-CAJÚA\Cajua\[VAS_CAJUA_CF_SEC_20230125.xlsx]CF PSNP'!</v>
      </c>
      <c r="G2404" s="6" t="s">
        <v>40</v>
      </c>
      <c r="H2404" s="1"/>
      <c r="I2404" s="1"/>
      <c r="J2404" s="1"/>
    </row>
    <row r="2405" spans="1:10" x14ac:dyDescent="0.2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Jaime\QUIFA-CAJÚA\Cajua\[VAS_CAJUA_CF_SEC_20230125.xlsx]CF PSNP'!</v>
      </c>
      <c r="G2405" s="6" t="s">
        <v>40</v>
      </c>
      <c r="H2405" s="1"/>
      <c r="I2405" s="1"/>
      <c r="J2405" s="1"/>
    </row>
    <row r="2406" spans="1:10" x14ac:dyDescent="0.2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Jaime\QUIFA-CAJÚA\Cajua\[VAS_CAJUA_CF_SEC_20230125.xlsx]CF PSNP'!</v>
      </c>
      <c r="G2406" s="6" t="s">
        <v>40</v>
      </c>
      <c r="H2406" s="1"/>
      <c r="I2406" s="1"/>
      <c r="J2406" s="1"/>
    </row>
    <row r="2407" spans="1:10" x14ac:dyDescent="0.2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Jaime\QUIFA-CAJÚA\Cajua\[VAS_CAJUA_CF_SEC_20230125.xlsx]CF PSNP'!</v>
      </c>
      <c r="G2407" s="6" t="s">
        <v>40</v>
      </c>
      <c r="H2407" s="1"/>
      <c r="I2407" s="1"/>
      <c r="J2407" s="1"/>
    </row>
    <row r="2408" spans="1:10" x14ac:dyDescent="0.2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Jaime\QUIFA-CAJÚA\Cajua\[VAS_CAJUA_CF_SEC_20230125.xlsx]CF PSNP'!</v>
      </c>
      <c r="G2408" s="6" t="s">
        <v>40</v>
      </c>
      <c r="H2408" s="1"/>
      <c r="I2408" s="1"/>
      <c r="J2408" s="1"/>
    </row>
    <row r="2409" spans="1:10" x14ac:dyDescent="0.2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Jaime\QUIFA-CAJÚA\Cajua\[VAS_CAJUA_CF_SEC_20230125.xlsx]CF PSNP'!</v>
      </c>
      <c r="G2409" s="6" t="s">
        <v>40</v>
      </c>
      <c r="H2409" s="1"/>
      <c r="I2409" s="1"/>
      <c r="J2409" s="1"/>
    </row>
    <row r="2410" spans="1:10" x14ac:dyDescent="0.2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Jaime\QUIFA-CAJÚA\Cajua\[VAS_CAJUA_CF_SEC_20230125.xlsx]CF PSNP'!</v>
      </c>
      <c r="G2410" s="6" t="s">
        <v>40</v>
      </c>
      <c r="H2410" s="1"/>
      <c r="I2410" s="1"/>
      <c r="J2410" s="1"/>
    </row>
    <row r="2411" spans="1:10" x14ac:dyDescent="0.2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Jaime\QUIFA-CAJÚA\Cajua\[VAS_CAJUA_CF_SEC_20230125.xlsx]CF PSNP'!</v>
      </c>
      <c r="G2411" s="6" t="s">
        <v>40</v>
      </c>
      <c r="H2411" s="1"/>
      <c r="I2411" s="1"/>
      <c r="J2411" s="1"/>
    </row>
    <row r="2412" spans="1:10" x14ac:dyDescent="0.2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Jaime\QUIFA-CAJÚA\Cajua\[VAS_CAJUA_CF_SEC_20230125.xlsx]CF PSNP'!</v>
      </c>
      <c r="G2412" s="6" t="s">
        <v>40</v>
      </c>
      <c r="H2412" s="1"/>
      <c r="I2412" s="1"/>
      <c r="J2412" s="1"/>
    </row>
    <row r="2413" spans="1:10" x14ac:dyDescent="0.2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Jaime\QUIFA-CAJÚA\Cajua\[VAS_CAJUA_CF_SEC_20230125.xlsx]CF PSNP'!</v>
      </c>
      <c r="G2413" s="6" t="s">
        <v>40</v>
      </c>
      <c r="H2413" s="1"/>
      <c r="I2413" s="1"/>
      <c r="J2413" s="1"/>
    </row>
    <row r="2414" spans="1:10" x14ac:dyDescent="0.2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Jaime\QUIFA-CAJÚA\Cajua\[VAS_CAJUA_CF_SEC_20230125.xlsx]CF PSNP'!</v>
      </c>
      <c r="G2414" s="6" t="s">
        <v>40</v>
      </c>
      <c r="H2414" s="1"/>
      <c r="I2414" s="1"/>
      <c r="J2414" s="1"/>
    </row>
    <row r="2415" spans="1:10" x14ac:dyDescent="0.2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Jaime\QUIFA-CAJÚA\Cajua\[VAS_CAJUA_CF_SEC_20230125.xlsx]CF PSNP'!</v>
      </c>
      <c r="G2415" s="6" t="s">
        <v>40</v>
      </c>
      <c r="H2415" s="1"/>
      <c r="I2415" s="1"/>
      <c r="J2415" s="1"/>
    </row>
    <row r="2416" spans="1:10" x14ac:dyDescent="0.2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Jaime\QUIFA-CAJÚA\Cajua\[VAS_CAJUA_CF_SEC_20230125.xlsx]CF PSNP'!</v>
      </c>
      <c r="G2416" s="6" t="s">
        <v>40</v>
      </c>
      <c r="H2416" s="1"/>
      <c r="I2416" s="1"/>
      <c r="J2416" s="1"/>
    </row>
    <row r="2417" spans="1:10" x14ac:dyDescent="0.2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Jaime\QUIFA-CAJÚA\Cajua\[VAS_CAJUA_CF_SEC_20230125.xlsx]CF PSNP'!</v>
      </c>
      <c r="G2417" s="6" t="s">
        <v>40</v>
      </c>
      <c r="H2417" s="1"/>
      <c r="I2417" s="1"/>
      <c r="J2417" s="1"/>
    </row>
    <row r="2418" spans="1:10" x14ac:dyDescent="0.2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Jaime\QUIFA-CAJÚA\Cajua\[VAS_CAJUA_CF_SEC_20230125.xlsx]CF PSNP'!</v>
      </c>
      <c r="G2418" s="6" t="s">
        <v>40</v>
      </c>
      <c r="H2418" s="1"/>
      <c r="I2418" s="1"/>
      <c r="J2418" s="1"/>
    </row>
    <row r="2419" spans="1:10" x14ac:dyDescent="0.2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Jaime\QUIFA-CAJÚA\Cajua\[VAS_CAJUA_CF_SEC_20230125.xlsx]CF PSNP'!</v>
      </c>
      <c r="G2419" s="6" t="s">
        <v>40</v>
      </c>
      <c r="H2419" s="1"/>
      <c r="I2419" s="1"/>
      <c r="J2419" s="1"/>
    </row>
    <row r="2420" spans="1:10" x14ac:dyDescent="0.2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Jaime\QUIFA-CAJÚA\Cajua\[VAS_CAJUA_CF_SEC_20230125.xlsx]CF PSNP'!</v>
      </c>
      <c r="G2420" s="6" t="s">
        <v>40</v>
      </c>
      <c r="H2420" s="1"/>
      <c r="I2420" s="1"/>
      <c r="J2420" s="1"/>
    </row>
    <row r="2421" spans="1:10" x14ac:dyDescent="0.2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Jaime\QUIFA-CAJÚA\Cajua\[VAS_CAJUA_CF_SEC_20230125.xlsx]CF PSNP'!</v>
      </c>
      <c r="G2421" s="6" t="s">
        <v>40</v>
      </c>
      <c r="H2421" s="1"/>
      <c r="I2421" s="1"/>
      <c r="J2421" s="1"/>
    </row>
    <row r="2422" spans="1:10" x14ac:dyDescent="0.2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Jaime\QUIFA-CAJÚA\Cajua\[VAS_CAJUA_CF_SEC_20230125.xlsx]CF PSNP'!</v>
      </c>
      <c r="G2422" s="6" t="s">
        <v>40</v>
      </c>
      <c r="H2422" s="1"/>
      <c r="I2422" s="1"/>
      <c r="J2422" s="1"/>
    </row>
    <row r="2423" spans="1:10" x14ac:dyDescent="0.2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Jaime\QUIFA-CAJÚA\Cajua\[VAS_CAJUA_CF_SEC_20230125.xlsx]CF PSNP'!</v>
      </c>
      <c r="G2423" s="6" t="s">
        <v>40</v>
      </c>
      <c r="H2423" s="1"/>
      <c r="I2423" s="1"/>
      <c r="J2423" s="1"/>
    </row>
    <row r="2424" spans="1:10" x14ac:dyDescent="0.2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Jaime\QUIFA-CAJÚA\Cajua\[VAS_CAJUA_CF_SEC_20230125.xlsx]CF PSNP'!</v>
      </c>
      <c r="G2424" s="6" t="s">
        <v>40</v>
      </c>
      <c r="H2424" s="1"/>
      <c r="I2424" s="1"/>
      <c r="J2424" s="1"/>
    </row>
    <row r="2425" spans="1:10" x14ac:dyDescent="0.2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Jaime\QUIFA-CAJÚA\Cajua\[VAS_CAJUA_CF_SEC_20230125.xlsx]CF PSNP'!</v>
      </c>
      <c r="G2425" s="6" t="s">
        <v>40</v>
      </c>
      <c r="H2425" s="1"/>
      <c r="I2425" s="1"/>
      <c r="J2425" s="1"/>
    </row>
    <row r="2426" spans="1:10" x14ac:dyDescent="0.2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Jaime\QUIFA-CAJÚA\Cajua\[VAS_CAJUA_CF_SEC_20230125.xlsx]CF PSNP'!</v>
      </c>
      <c r="G2426" s="6" t="s">
        <v>40</v>
      </c>
      <c r="H2426" s="1"/>
      <c r="I2426" s="1"/>
      <c r="J2426" s="1"/>
    </row>
    <row r="2427" spans="1:10" x14ac:dyDescent="0.2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Jaime\QUIFA-CAJÚA\Cajua\[VAS_CAJUA_CF_SEC_20230125.xlsx]CF PSNP'!</v>
      </c>
      <c r="G2427" s="6" t="s">
        <v>40</v>
      </c>
      <c r="H2427" s="1"/>
      <c r="I2427" s="1"/>
      <c r="J2427" s="1"/>
    </row>
    <row r="2428" spans="1:10" x14ac:dyDescent="0.2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Jaime\QUIFA-CAJÚA\Cajua\[VAS_CAJUA_CF_SEC_20230125.xlsx]CF PSNP'!</v>
      </c>
      <c r="G2428" s="6" t="s">
        <v>40</v>
      </c>
      <c r="H2428" s="1"/>
      <c r="I2428" s="1"/>
      <c r="J2428" s="1"/>
    </row>
    <row r="2429" spans="1:10" x14ac:dyDescent="0.2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Jaime\QUIFA-CAJÚA\Cajua\[VAS_CAJUA_CF_SEC_20230125.xlsx]CF PSNP'!</v>
      </c>
      <c r="G2429" s="6" t="s">
        <v>40</v>
      </c>
      <c r="H2429" s="1"/>
      <c r="I2429" s="1"/>
      <c r="J2429" s="1"/>
    </row>
    <row r="2430" spans="1:10" x14ac:dyDescent="0.2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Jaime\QUIFA-CAJÚA\Cajua\[VAS_CAJUA_CF_SEC_20230125.xlsx]CF PSNP'!</v>
      </c>
      <c r="G2430" s="6" t="s">
        <v>40</v>
      </c>
      <c r="H2430" s="1"/>
      <c r="I2430" s="1"/>
      <c r="J2430" s="1"/>
    </row>
    <row r="2431" spans="1:10" x14ac:dyDescent="0.2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Jaime\QUIFA-CAJÚA\Cajua\[VAS_CAJUA_CF_SEC_20230125.xlsx]CF PSNP'!</v>
      </c>
      <c r="G2431" s="6" t="s">
        <v>40</v>
      </c>
      <c r="H2431" s="1"/>
      <c r="I2431" s="1"/>
      <c r="J2431" s="1"/>
    </row>
    <row r="2432" spans="1:10" x14ac:dyDescent="0.2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Jaime\QUIFA-CAJÚA\Cajua\[VAS_CAJUA_CF_SEC_20230125.xlsx]CF PSNP'!</v>
      </c>
      <c r="G2432" s="6" t="s">
        <v>40</v>
      </c>
      <c r="H2432" s="1"/>
      <c r="I2432" s="1"/>
      <c r="J2432" s="1"/>
    </row>
    <row r="2433" spans="1:10" x14ac:dyDescent="0.25">
      <c r="A2433" s="6" t="s">
        <v>28</v>
      </c>
      <c r="B2433" s="6"/>
      <c r="C2433" s="1" t="s">
        <v>20</v>
      </c>
      <c r="D2433" s="2"/>
      <c r="E2433" s="9"/>
      <c r="F2433" s="2"/>
      <c r="G2433" s="6"/>
      <c r="H2433" s="1"/>
      <c r="I2433" s="1"/>
      <c r="J2433" s="1"/>
    </row>
    <row r="2434" spans="1:10" x14ac:dyDescent="0.2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Jaime\QUIFA-CAJÚA\Cajua\[VAS_CAJUA_CF_SEC_20230125.xlsx]CF PSND'!</v>
      </c>
      <c r="G2434" s="6" t="s">
        <v>40</v>
      </c>
      <c r="H2434" s="1"/>
      <c r="I2434" s="1"/>
      <c r="J2434" s="1"/>
    </row>
    <row r="2435" spans="1:10" x14ac:dyDescent="0.2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Jaime\QUIFA-CAJÚA\Cajua\[VAS_CAJUA_CF_SEC_20230125.xlsx]CF PSND'!</v>
      </c>
      <c r="G2435" s="6" t="s">
        <v>40</v>
      </c>
      <c r="H2435" s="1"/>
      <c r="I2435" s="1"/>
      <c r="J2435" s="1"/>
    </row>
    <row r="2436" spans="1:10" x14ac:dyDescent="0.2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Jaime\QUIFA-CAJÚA\Cajua\[VAS_CAJUA_CF_SEC_20230125.xlsx]CF PSND'!</v>
      </c>
      <c r="G2436" s="6" t="s">
        <v>40</v>
      </c>
      <c r="H2436" s="1"/>
      <c r="I2436" s="1"/>
      <c r="J2436" s="1"/>
    </row>
    <row r="2437" spans="1:10" x14ac:dyDescent="0.2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Jaime\QUIFA-CAJÚA\Cajua\[VAS_CAJUA_CF_SEC_20230125.xlsx]CF PSND'!</v>
      </c>
      <c r="G2437" s="6" t="s">
        <v>40</v>
      </c>
      <c r="H2437" s="1"/>
      <c r="I2437" s="1"/>
      <c r="J2437" s="1"/>
    </row>
    <row r="2438" spans="1:10" x14ac:dyDescent="0.2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Jaime\QUIFA-CAJÚA\Cajua\[VAS_CAJUA_CF_SEC_20230125.xlsx]CF PSND'!</v>
      </c>
      <c r="G2438" s="6" t="s">
        <v>40</v>
      </c>
      <c r="H2438" s="1"/>
      <c r="I2438" s="1"/>
      <c r="J2438" s="1"/>
    </row>
    <row r="2439" spans="1:10" x14ac:dyDescent="0.2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Jaime\QUIFA-CAJÚA\Cajua\[VAS_CAJUA_CF_SEC_20230125.xlsx]CF PSND'!</v>
      </c>
      <c r="G2439" s="6" t="s">
        <v>40</v>
      </c>
      <c r="H2439" s="1"/>
      <c r="I2439" s="1"/>
      <c r="J2439" s="1"/>
    </row>
    <row r="2440" spans="1:10" x14ac:dyDescent="0.2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Jaime\QUIFA-CAJÚA\Cajua\[VAS_CAJUA_CF_SEC_20230125.xlsx]CF PSND'!</v>
      </c>
      <c r="G2440" s="6" t="s">
        <v>40</v>
      </c>
      <c r="H2440" s="1"/>
      <c r="I2440" s="1"/>
      <c r="J2440" s="1"/>
    </row>
    <row r="2441" spans="1:10" x14ac:dyDescent="0.2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Jaime\QUIFA-CAJÚA\Cajua\[VAS_CAJUA_CF_SEC_20230125.xlsx]CF PSND'!</v>
      </c>
      <c r="G2441" s="6" t="s">
        <v>40</v>
      </c>
      <c r="H2441" s="1"/>
      <c r="I2441" s="1"/>
      <c r="J2441" s="1"/>
    </row>
    <row r="2442" spans="1:10" x14ac:dyDescent="0.2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Jaime\QUIFA-CAJÚA\Cajua\[VAS_CAJUA_CF_SEC_20230125.xlsx]CF PSND'!</v>
      </c>
      <c r="G2442" s="6" t="s">
        <v>40</v>
      </c>
      <c r="H2442" s="1"/>
      <c r="I2442" s="1"/>
      <c r="J2442" s="1"/>
    </row>
    <row r="2443" spans="1:10" x14ac:dyDescent="0.2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Jaime\QUIFA-CAJÚA\Cajua\[VAS_CAJUA_CF_SEC_20230125.xlsx]CF PSND'!</v>
      </c>
      <c r="G2443" s="6" t="s">
        <v>40</v>
      </c>
      <c r="H2443" s="1"/>
      <c r="I2443" s="1"/>
      <c r="J2443" s="1"/>
    </row>
    <row r="2444" spans="1:10" x14ac:dyDescent="0.2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Jaime\QUIFA-CAJÚA\Cajua\[VAS_CAJUA_CF_SEC_20230125.xlsx]CF PSND'!</v>
      </c>
      <c r="G2444" s="6" t="s">
        <v>40</v>
      </c>
      <c r="H2444" s="1"/>
      <c r="I2444" s="1"/>
      <c r="J2444" s="1"/>
    </row>
    <row r="2445" spans="1:10" x14ac:dyDescent="0.2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Jaime\QUIFA-CAJÚA\Cajua\[VAS_CAJUA_CF_SEC_20230125.xlsx]CF PSND'!</v>
      </c>
      <c r="G2445" s="6" t="s">
        <v>40</v>
      </c>
      <c r="H2445" s="1"/>
      <c r="I2445" s="1"/>
      <c r="J2445" s="1"/>
    </row>
    <row r="2446" spans="1:10" x14ac:dyDescent="0.2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Jaime\QUIFA-CAJÚA\Cajua\[VAS_CAJUA_CF_SEC_20230125.xlsx]CF PSND'!</v>
      </c>
      <c r="G2446" s="6" t="s">
        <v>40</v>
      </c>
      <c r="H2446" s="1"/>
      <c r="I2446" s="1"/>
      <c r="J2446" s="1"/>
    </row>
    <row r="2447" spans="1:10" x14ac:dyDescent="0.2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Jaime\QUIFA-CAJÚA\Cajua\[VAS_CAJUA_CF_SEC_20230125.xlsx]CF PSND'!</v>
      </c>
      <c r="G2447" s="6" t="s">
        <v>40</v>
      </c>
      <c r="H2447" s="1"/>
      <c r="I2447" s="1"/>
      <c r="J2447" s="1"/>
    </row>
    <row r="2448" spans="1:10" x14ac:dyDescent="0.2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Jaime\QUIFA-CAJÚA\Cajua\[VAS_CAJUA_CF_SEC_20230125.xlsx]CF PSND'!</v>
      </c>
      <c r="G2448" s="6" t="s">
        <v>40</v>
      </c>
      <c r="H2448" s="1"/>
      <c r="I2448" s="1"/>
      <c r="J2448" s="1"/>
    </row>
    <row r="2449" spans="1:10" x14ac:dyDescent="0.2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Jaime\QUIFA-CAJÚA\Cajua\[VAS_CAJUA_CF_SEC_20230125.xlsx]CF PSND'!</v>
      </c>
      <c r="G2449" s="6" t="s">
        <v>40</v>
      </c>
      <c r="H2449" s="1"/>
      <c r="I2449" s="1"/>
      <c r="J2449" s="1"/>
    </row>
    <row r="2450" spans="1:10" x14ac:dyDescent="0.2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Jaime\QUIFA-CAJÚA\Cajua\[VAS_CAJUA_CF_SEC_20230125.xlsx]CF PSND'!</v>
      </c>
      <c r="G2450" s="6" t="s">
        <v>40</v>
      </c>
      <c r="H2450" s="1"/>
      <c r="I2450" s="1"/>
      <c r="J2450" s="1"/>
    </row>
    <row r="2451" spans="1:10" x14ac:dyDescent="0.2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Jaime\QUIFA-CAJÚA\Cajua\[VAS_CAJUA_CF_SEC_20230125.xlsx]CF PSND'!</v>
      </c>
      <c r="G2451" s="6" t="s">
        <v>40</v>
      </c>
      <c r="H2451" s="1"/>
      <c r="I2451" s="1"/>
      <c r="J2451" s="1"/>
    </row>
    <row r="2452" spans="1:10" x14ac:dyDescent="0.2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Jaime\QUIFA-CAJÚA\Cajua\[VAS_CAJUA_CF_SEC_20230125.xlsx]CF PSND'!</v>
      </c>
      <c r="G2452" s="6" t="s">
        <v>40</v>
      </c>
      <c r="H2452" s="1"/>
      <c r="I2452" s="1"/>
      <c r="J2452" s="1"/>
    </row>
    <row r="2453" spans="1:10" x14ac:dyDescent="0.2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Jaime\QUIFA-CAJÚA\Cajua\[VAS_CAJUA_CF_SEC_20230125.xlsx]CF PSND'!</v>
      </c>
      <c r="G2453" s="6" t="s">
        <v>40</v>
      </c>
      <c r="H2453" s="1"/>
      <c r="I2453" s="1"/>
      <c r="J2453" s="1"/>
    </row>
    <row r="2454" spans="1:10" x14ac:dyDescent="0.2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Jaime\QUIFA-CAJÚA\Cajua\[VAS_CAJUA_CF_SEC_20230125.xlsx]CF PSND'!</v>
      </c>
      <c r="G2454" s="6" t="s">
        <v>40</v>
      </c>
      <c r="H2454" s="1"/>
      <c r="I2454" s="1"/>
      <c r="J2454" s="1"/>
    </row>
    <row r="2455" spans="1:10" x14ac:dyDescent="0.2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Jaime\QUIFA-CAJÚA\Cajua\[VAS_CAJUA_CF_SEC_20230125.xlsx]CF PSND'!</v>
      </c>
      <c r="G2455" s="6" t="s">
        <v>40</v>
      </c>
      <c r="H2455" s="1"/>
      <c r="I2455" s="1"/>
      <c r="J2455" s="1"/>
    </row>
    <row r="2456" spans="1:10" x14ac:dyDescent="0.2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Jaime\QUIFA-CAJÚA\Cajua\[VAS_CAJUA_CF_SEC_20230125.xlsx]CF PSND'!</v>
      </c>
      <c r="G2456" s="6" t="s">
        <v>40</v>
      </c>
      <c r="H2456" s="1"/>
      <c r="I2456" s="1"/>
      <c r="J2456" s="1"/>
    </row>
    <row r="2457" spans="1:10" x14ac:dyDescent="0.2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Jaime\QUIFA-CAJÚA\Cajua\[VAS_CAJUA_CF_SEC_20230125.xlsx]CF PSND'!</v>
      </c>
      <c r="G2457" s="6" t="s">
        <v>40</v>
      </c>
      <c r="H2457" s="1"/>
      <c r="I2457" s="1"/>
      <c r="J2457" s="1"/>
    </row>
    <row r="2458" spans="1:10" x14ac:dyDescent="0.2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Jaime\QUIFA-CAJÚA\Cajua\[VAS_CAJUA_CF_SEC_20230125.xlsx]CF PSND'!</v>
      </c>
      <c r="G2458" s="6" t="s">
        <v>40</v>
      </c>
      <c r="H2458" s="1"/>
      <c r="I2458" s="1"/>
      <c r="J2458" s="1"/>
    </row>
    <row r="2459" spans="1:10" x14ac:dyDescent="0.2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Jaime\QUIFA-CAJÚA\Cajua\[VAS_CAJUA_CF_SEC_20230125.xlsx]CF PSND'!</v>
      </c>
      <c r="G2459" s="6" t="s">
        <v>40</v>
      </c>
      <c r="H2459" s="1"/>
      <c r="I2459" s="1"/>
      <c r="J2459" s="1"/>
    </row>
    <row r="2460" spans="1:10" x14ac:dyDescent="0.2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Jaime\QUIFA-CAJÚA\Cajua\[VAS_CAJUA_CF_SEC_20230125.xlsx]CF PSND'!</v>
      </c>
      <c r="G2460" s="6" t="s">
        <v>40</v>
      </c>
      <c r="H2460" s="1"/>
      <c r="I2460" s="1"/>
      <c r="J2460" s="1"/>
    </row>
    <row r="2461" spans="1:10" x14ac:dyDescent="0.2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Jaime\QUIFA-CAJÚA\Cajua\[VAS_CAJUA_CF_SEC_20230125.xlsx]CF PSND'!</v>
      </c>
      <c r="G2461" s="6" t="s">
        <v>40</v>
      </c>
      <c r="H2461" s="1"/>
      <c r="I2461" s="1"/>
      <c r="J2461" s="1"/>
    </row>
    <row r="2462" spans="1:10" x14ac:dyDescent="0.2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Jaime\QUIFA-CAJÚA\Cajua\[VAS_CAJUA_CF_SEC_20230125.xlsx]CF PSND'!</v>
      </c>
      <c r="G2462" s="6" t="s">
        <v>40</v>
      </c>
      <c r="H2462" s="1"/>
      <c r="I2462" s="1"/>
      <c r="J2462" s="1"/>
    </row>
    <row r="2463" spans="1:10" x14ac:dyDescent="0.2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Jaime\QUIFA-CAJÚA\Cajua\[VAS_CAJUA_CF_SEC_20230125.xlsx]CF PSND'!</v>
      </c>
      <c r="G2463" s="6" t="s">
        <v>40</v>
      </c>
      <c r="H2463" s="1"/>
      <c r="I2463" s="1"/>
      <c r="J2463" s="1"/>
    </row>
    <row r="2464" spans="1:10" x14ac:dyDescent="0.2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Jaime\QUIFA-CAJÚA\Cajua\[VAS_CAJUA_CF_SEC_20230125.xlsx]CF PSND'!</v>
      </c>
      <c r="G2464" s="6" t="s">
        <v>40</v>
      </c>
      <c r="H2464" s="1"/>
      <c r="I2464" s="1"/>
      <c r="J2464" s="1"/>
    </row>
    <row r="2465" spans="1:10" x14ac:dyDescent="0.2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Jaime\QUIFA-CAJÚA\Cajua\[VAS_CAJUA_CF_SEC_20230125.xlsx]CF PSND'!</v>
      </c>
      <c r="G2465" s="6" t="s">
        <v>40</v>
      </c>
      <c r="H2465" s="1"/>
      <c r="I2465" s="1"/>
      <c r="J2465" s="1"/>
    </row>
    <row r="2466" spans="1:10" x14ac:dyDescent="0.2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Jaime\QUIFA-CAJÚA\Cajua\[VAS_CAJUA_CF_SEC_20230125.xlsx]CF PSND'!</v>
      </c>
      <c r="G2466" s="6" t="s">
        <v>40</v>
      </c>
      <c r="H2466" s="1"/>
      <c r="I2466" s="1"/>
      <c r="J2466" s="1"/>
    </row>
    <row r="2467" spans="1:10" x14ac:dyDescent="0.2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Jaime\QUIFA-CAJÚA\Cajua\[VAS_CAJUA_CF_SEC_20230125.xlsx]CF PSND'!</v>
      </c>
      <c r="G2467" s="6" t="s">
        <v>40</v>
      </c>
      <c r="H2467" s="1"/>
      <c r="I2467" s="1"/>
      <c r="J2467" s="1"/>
    </row>
    <row r="2468" spans="1:10" x14ac:dyDescent="0.2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Jaime\QUIFA-CAJÚA\Cajua\[VAS_CAJUA_CF_SEC_20230125.xlsx]CF PSND'!</v>
      </c>
      <c r="G2468" s="6" t="s">
        <v>40</v>
      </c>
      <c r="H2468" s="1"/>
      <c r="I2468" s="1"/>
      <c r="J2468" s="1"/>
    </row>
    <row r="2469" spans="1:10" x14ac:dyDescent="0.2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Jaime\QUIFA-CAJÚA\Cajua\[VAS_CAJUA_CF_SEC_20230125.xlsx]CF PSND'!</v>
      </c>
      <c r="G2469" s="6" t="s">
        <v>40</v>
      </c>
      <c r="H2469" s="1"/>
      <c r="I2469" s="1"/>
      <c r="J2469" s="1"/>
    </row>
    <row r="2470" spans="1:10" x14ac:dyDescent="0.2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Jaime\QUIFA-CAJÚA\Cajua\[VAS_CAJUA_CF_SEC_20230125.xlsx]CF PSND'!</v>
      </c>
      <c r="G2470" s="6" t="s">
        <v>40</v>
      </c>
      <c r="H2470" s="1"/>
      <c r="I2470" s="1"/>
      <c r="J2470" s="1"/>
    </row>
    <row r="2471" spans="1:10" x14ac:dyDescent="0.25">
      <c r="A2471" s="6" t="s">
        <v>28</v>
      </c>
      <c r="B2471" s="6"/>
      <c r="C2471" s="1" t="s">
        <v>20</v>
      </c>
      <c r="D2471" s="2"/>
      <c r="E2471" s="9"/>
      <c r="F2471" s="2"/>
      <c r="G2471" s="6"/>
      <c r="H2471" s="1"/>
      <c r="I2471" s="1"/>
      <c r="J2471" s="1"/>
    </row>
    <row r="2472" spans="1:10" x14ac:dyDescent="0.2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Jaime\QUIFA-CAJÚA\Cajua\[VAS_CAJUA_CF_SEC_20230125.xlsx]CF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Jaime\QUIFA-CAJÚA\Cajua\[VAS_CAJUA_CF_SEC_20230125.xlsx]CF PS'!$CT$36</v>
      </c>
      <c r="J2472" s="1" t="s">
        <v>1202</v>
      </c>
    </row>
    <row r="2473" spans="1:10" x14ac:dyDescent="0.2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Jaime\QUIFA-CAJÚA\Cajua\[VAS_CAJUA_CF_SEC_20230125.xlsx]CF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Jaime\QUIFA-CAJÚA\Cajua\[VAS_CAJUA_CF_SEC_20230125.xlsx]CF PS'!$CT$37</v>
      </c>
      <c r="J2473" s="1" t="s">
        <v>1203</v>
      </c>
    </row>
    <row r="2474" spans="1:10" x14ac:dyDescent="0.2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Jaime\QUIFA-CAJÚA\Cajua\[VAS_CAJUA_CF_SEC_20230125.xlsx]CF PS'!</v>
      </c>
      <c r="G2474" s="6" t="s">
        <v>40</v>
      </c>
      <c r="H2474" s="1">
        <f t="shared" si="552"/>
        <v>38</v>
      </c>
      <c r="I2474" s="1" t="str">
        <f t="shared" si="551"/>
        <v>='C:\Users\jaime.benazar\Quorum Business Solutions\Ecopetrol Prometeo - Documents\Planning Space Implementation\3. Analysis &amp; Design\Design\FC22\DRR Jaime\QUIFA-CAJÚA\Cajua\[VAS_CAJUA_CF_SEC_20230125.xlsx]CF PS'!$CT$38</v>
      </c>
      <c r="J2474" s="1" t="s">
        <v>1204</v>
      </c>
    </row>
    <row r="2475" spans="1:10" x14ac:dyDescent="0.2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Jaime\QUIFA-CAJÚA\Cajua\[VAS_CAJUA_CF_SEC_20230125.xlsx]CF PS'!</v>
      </c>
      <c r="G2475" s="6" t="s">
        <v>40</v>
      </c>
      <c r="H2475" s="1">
        <f t="shared" si="552"/>
        <v>39</v>
      </c>
      <c r="I2475" s="1" t="str">
        <f t="shared" si="551"/>
        <v>='C:\Users\jaime.benazar\Quorum Business Solutions\Ecopetrol Prometeo - Documents\Planning Space Implementation\3. Analysis &amp; Design\Design\FC22\DRR Jaime\QUIFA-CAJÚA\Cajua\[VAS_CAJUA_CF_SEC_20230125.xlsx]CF PS'!$CT$39</v>
      </c>
      <c r="J2475" s="1" t="s">
        <v>1205</v>
      </c>
    </row>
    <row r="2476" spans="1:10" x14ac:dyDescent="0.2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Jaime\QUIFA-CAJÚA\Cajua\[VAS_CAJUA_CF_SEC_20230125.xlsx]CF PS'!</v>
      </c>
      <c r="G2476" s="6" t="s">
        <v>40</v>
      </c>
      <c r="H2476" s="1">
        <f t="shared" si="552"/>
        <v>40</v>
      </c>
      <c r="I2476" s="1" t="str">
        <f t="shared" si="551"/>
        <v>='C:\Users\jaime.benazar\Quorum Business Solutions\Ecopetrol Prometeo - Documents\Planning Space Implementation\3. Analysis &amp; Design\Design\FC22\DRR Jaime\QUIFA-CAJÚA\Cajua\[VAS_CAJUA_CF_SEC_20230125.xlsx]CF PS'!$CT$40</v>
      </c>
      <c r="J2476" s="1" t="s">
        <v>1206</v>
      </c>
    </row>
    <row r="2477" spans="1:10" x14ac:dyDescent="0.2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Jaime\QUIFA-CAJÚA\Cajua\[VAS_CAJUA_CF_SEC_20230125.xlsx]CF PS'!</v>
      </c>
      <c r="G2477" s="6" t="s">
        <v>40</v>
      </c>
      <c r="H2477" s="1">
        <f t="shared" si="552"/>
        <v>41</v>
      </c>
      <c r="I2477" s="1" t="str">
        <f t="shared" si="551"/>
        <v>='C:\Users\jaime.benazar\Quorum Business Solutions\Ecopetrol Prometeo - Documents\Planning Space Implementation\3. Analysis &amp; Design\Design\FC22\DRR Jaime\QUIFA-CAJÚA\Cajua\[VAS_CAJUA_CF_SEC_20230125.xlsx]CF PS'!$CT$41</v>
      </c>
      <c r="J2477" s="1" t="s">
        <v>1207</v>
      </c>
    </row>
    <row r="2478" spans="1:10" x14ac:dyDescent="0.2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Jaime\QUIFA-CAJÚA\Cajua\[VAS_CAJUA_CF_SEC_20230125.xlsx]CF PS'!</v>
      </c>
      <c r="G2478" s="6" t="s">
        <v>40</v>
      </c>
      <c r="H2478" s="1">
        <f t="shared" si="552"/>
        <v>42</v>
      </c>
      <c r="I2478" s="1" t="str">
        <f t="shared" si="551"/>
        <v>='C:\Users\jaime.benazar\Quorum Business Solutions\Ecopetrol Prometeo - Documents\Planning Space Implementation\3. Analysis &amp; Design\Design\FC22\DRR Jaime\QUIFA-CAJÚA\Cajua\[VAS_CAJUA_CF_SEC_20230125.xlsx]CF PS'!$CT$42</v>
      </c>
      <c r="J2478" s="1" t="s">
        <v>1208</v>
      </c>
    </row>
    <row r="2479" spans="1:10" x14ac:dyDescent="0.2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Jaime\QUIFA-CAJÚA\Cajua\[VAS_CAJUA_CF_SEC_20230125.xlsx]CF PS'!</v>
      </c>
      <c r="G2479" s="6" t="s">
        <v>40</v>
      </c>
      <c r="H2479" s="1">
        <f t="shared" si="552"/>
        <v>43</v>
      </c>
      <c r="I2479" s="1" t="str">
        <f t="shared" si="551"/>
        <v>='C:\Users\jaime.benazar\Quorum Business Solutions\Ecopetrol Prometeo - Documents\Planning Space Implementation\3. Analysis &amp; Design\Design\FC22\DRR Jaime\QUIFA-CAJÚA\Cajua\[VAS_CAJUA_CF_SEC_20230125.xlsx]CF PS'!$CT$43</v>
      </c>
      <c r="J2479" s="1" t="s">
        <v>1209</v>
      </c>
    </row>
    <row r="2480" spans="1:10" x14ac:dyDescent="0.2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Jaime\QUIFA-CAJÚA\Cajua\[VAS_CAJUA_CF_SEC_20230125.xlsx]CF PS'!</v>
      </c>
      <c r="G2480" s="6" t="s">
        <v>40</v>
      </c>
      <c r="H2480" s="1">
        <f t="shared" si="552"/>
        <v>44</v>
      </c>
      <c r="I2480" s="1" t="str">
        <f t="shared" si="551"/>
        <v>='C:\Users\jaime.benazar\Quorum Business Solutions\Ecopetrol Prometeo - Documents\Planning Space Implementation\3. Analysis &amp; Design\Design\FC22\DRR Jaime\QUIFA-CAJÚA\Cajua\[VAS_CAJUA_CF_SEC_20230125.xlsx]CF PS'!$CT$44</v>
      </c>
      <c r="J2480" s="1" t="s">
        <v>1210</v>
      </c>
    </row>
    <row r="2481" spans="1:10" x14ac:dyDescent="0.2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Jaime\QUIFA-CAJÚA\Cajua\[VAS_CAJUA_CF_SEC_20230125.xlsx]CF PS'!</v>
      </c>
      <c r="G2481" s="6" t="s">
        <v>40</v>
      </c>
      <c r="H2481" s="1">
        <f t="shared" si="552"/>
        <v>45</v>
      </c>
      <c r="I2481" s="1" t="str">
        <f t="shared" si="551"/>
        <v>='C:\Users\jaime.benazar\Quorum Business Solutions\Ecopetrol Prometeo - Documents\Planning Space Implementation\3. Analysis &amp; Design\Design\FC22\DRR Jaime\QUIFA-CAJÚA\Cajua\[VAS_CAJUA_CF_SEC_20230125.xlsx]CF PS'!$CT$45</v>
      </c>
      <c r="J2481" s="1" t="s">
        <v>1211</v>
      </c>
    </row>
    <row r="2482" spans="1:10" x14ac:dyDescent="0.2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Jaime\QUIFA-CAJÚA\Cajua\[VAS_CAJUA_CF_SEC_20230125.xlsx]CF PS'!</v>
      </c>
      <c r="G2482" s="6" t="s">
        <v>40</v>
      </c>
      <c r="H2482" s="1">
        <f t="shared" si="552"/>
        <v>46</v>
      </c>
      <c r="I2482" s="1" t="str">
        <f t="shared" si="551"/>
        <v>='C:\Users\jaime.benazar\Quorum Business Solutions\Ecopetrol Prometeo - Documents\Planning Space Implementation\3. Analysis &amp; Design\Design\FC22\DRR Jaime\QUIFA-CAJÚA\Cajua\[VAS_CAJUA_CF_SEC_20230125.xlsx]CF PS'!$CT$46</v>
      </c>
      <c r="J2482" s="1" t="s">
        <v>1212</v>
      </c>
    </row>
    <row r="2483" spans="1:10" x14ac:dyDescent="0.2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Jaime\QUIFA-CAJÚA\Cajua\[VAS_CAJUA_CF_SEC_20230125.xlsx]CF PS'!</v>
      </c>
      <c r="G2483" s="6" t="s">
        <v>40</v>
      </c>
      <c r="H2483" s="1">
        <f t="shared" si="552"/>
        <v>47</v>
      </c>
      <c r="I2483" s="1" t="str">
        <f t="shared" si="551"/>
        <v>='C:\Users\jaime.benazar\Quorum Business Solutions\Ecopetrol Prometeo - Documents\Planning Space Implementation\3. Analysis &amp; Design\Design\FC22\DRR Jaime\QUIFA-CAJÚA\Cajua\[VAS_CAJUA_CF_SEC_20230125.xlsx]CF PS'!$CT$47</v>
      </c>
      <c r="J2483" s="1" t="s">
        <v>1213</v>
      </c>
    </row>
    <row r="2484" spans="1:10" x14ac:dyDescent="0.2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Jaime\QUIFA-CAJÚA\Cajua\[VAS_CAJUA_CF_SEC_20230125.xlsx]CF PS'!</v>
      </c>
      <c r="G2484" s="6" t="s">
        <v>40</v>
      </c>
      <c r="H2484" s="1">
        <f t="shared" si="552"/>
        <v>48</v>
      </c>
      <c r="I2484" s="1" t="str">
        <f t="shared" si="551"/>
        <v>='C:\Users\jaime.benazar\Quorum Business Solutions\Ecopetrol Prometeo - Documents\Planning Space Implementation\3. Analysis &amp; Design\Design\FC22\DRR Jaime\QUIFA-CAJÚA\Cajua\[VAS_CAJUA_CF_SEC_20230125.xlsx]CF PS'!$CT$48</v>
      </c>
      <c r="J2484" s="1" t="s">
        <v>1214</v>
      </c>
    </row>
    <row r="2485" spans="1:10" x14ac:dyDescent="0.2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Jaime\QUIFA-CAJÚA\Cajua\[VAS_CAJUA_CF_SEC_20230125.xlsx]CF PS'!</v>
      </c>
      <c r="G2485" s="6" t="s">
        <v>40</v>
      </c>
      <c r="H2485" s="1">
        <f t="shared" si="552"/>
        <v>49</v>
      </c>
      <c r="I2485" s="1" t="str">
        <f t="shared" si="551"/>
        <v>='C:\Users\jaime.benazar\Quorum Business Solutions\Ecopetrol Prometeo - Documents\Planning Space Implementation\3. Analysis &amp; Design\Design\FC22\DRR Jaime\QUIFA-CAJÚA\Cajua\[VAS_CAJUA_CF_SEC_20230125.xlsx]CF PS'!$CT$49</v>
      </c>
      <c r="J2485" s="1" t="s">
        <v>1215</v>
      </c>
    </row>
    <row r="2486" spans="1:10" x14ac:dyDescent="0.2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Jaime\QUIFA-CAJÚA\Cajua\[VAS_CAJUA_CF_SEC_20230125.xlsx]CF PS'!</v>
      </c>
      <c r="G2486" s="6" t="s">
        <v>40</v>
      </c>
      <c r="H2486" s="1">
        <f t="shared" si="552"/>
        <v>50</v>
      </c>
      <c r="I2486" s="1" t="str">
        <f t="shared" si="551"/>
        <v>='C:\Users\jaime.benazar\Quorum Business Solutions\Ecopetrol Prometeo - Documents\Planning Space Implementation\3. Analysis &amp; Design\Design\FC22\DRR Jaime\QUIFA-CAJÚA\Cajua\[VAS_CAJUA_CF_SEC_20230125.xlsx]CF PS'!$CT$50</v>
      </c>
      <c r="J2486" s="1" t="s">
        <v>1216</v>
      </c>
    </row>
    <row r="2487" spans="1:10" x14ac:dyDescent="0.2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Jaime\QUIFA-CAJÚA\Cajua\[VAS_CAJUA_CF_SEC_20230125.xlsx]CF PS'!</v>
      </c>
      <c r="G2487" s="6" t="s">
        <v>40</v>
      </c>
      <c r="H2487" s="1">
        <f t="shared" si="552"/>
        <v>51</v>
      </c>
      <c r="I2487" s="1" t="str">
        <f t="shared" si="551"/>
        <v>='C:\Users\jaime.benazar\Quorum Business Solutions\Ecopetrol Prometeo - Documents\Planning Space Implementation\3. Analysis &amp; Design\Design\FC22\DRR Jaime\QUIFA-CAJÚA\Cajua\[VAS_CAJUA_CF_SEC_20230125.xlsx]CF PS'!$CT$51</v>
      </c>
      <c r="J2487" s="1" t="s">
        <v>1217</v>
      </c>
    </row>
    <row r="2488" spans="1:10" x14ac:dyDescent="0.2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Jaime\QUIFA-CAJÚA\Cajua\[VAS_CAJUA_CF_SEC_20230125.xlsx]CF PS'!</v>
      </c>
      <c r="G2488" s="6" t="s">
        <v>40</v>
      </c>
      <c r="H2488" s="1">
        <f t="shared" si="552"/>
        <v>52</v>
      </c>
      <c r="I2488" s="1" t="str">
        <f t="shared" si="551"/>
        <v>='C:\Users\jaime.benazar\Quorum Business Solutions\Ecopetrol Prometeo - Documents\Planning Space Implementation\3. Analysis &amp; Design\Design\FC22\DRR Jaime\QUIFA-CAJÚA\Cajua\[VAS_CAJUA_CF_SEC_20230125.xlsx]CF PS'!$CT$52</v>
      </c>
      <c r="J2488" s="1" t="s">
        <v>1218</v>
      </c>
    </row>
    <row r="2489" spans="1:10" x14ac:dyDescent="0.2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Jaime\QUIFA-CAJÚA\Cajua\[VAS_CAJUA_CF_SEC_20230125.xlsx]CF PS'!</v>
      </c>
      <c r="G2489" s="6" t="s">
        <v>40</v>
      </c>
      <c r="H2489" s="1">
        <f t="shared" si="552"/>
        <v>53</v>
      </c>
      <c r="I2489" s="1" t="str">
        <f t="shared" si="551"/>
        <v>='C:\Users\jaime.benazar\Quorum Business Solutions\Ecopetrol Prometeo - Documents\Planning Space Implementation\3. Analysis &amp; Design\Design\FC22\DRR Jaime\QUIFA-CAJÚA\Cajua\[VAS_CAJUA_CF_SEC_20230125.xlsx]CF PS'!$CT$53</v>
      </c>
      <c r="J2489" s="1" t="s">
        <v>1219</v>
      </c>
    </row>
    <row r="2490" spans="1:10" x14ac:dyDescent="0.2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Jaime\QUIFA-CAJÚA\Cajua\[VAS_CAJUA_CF_SEC_20230125.xlsx]CF PS'!</v>
      </c>
      <c r="G2490" s="6" t="s">
        <v>40</v>
      </c>
      <c r="H2490" s="1">
        <f t="shared" si="552"/>
        <v>54</v>
      </c>
      <c r="I2490" s="1" t="str">
        <f t="shared" si="551"/>
        <v>='C:\Users\jaime.benazar\Quorum Business Solutions\Ecopetrol Prometeo - Documents\Planning Space Implementation\3. Analysis &amp; Design\Design\FC22\DRR Jaime\QUIFA-CAJÚA\Cajua\[VAS_CAJUA_CF_SEC_20230125.xlsx]CF PS'!$CT$54</v>
      </c>
      <c r="J2490" s="1" t="s">
        <v>1220</v>
      </c>
    </row>
    <row r="2491" spans="1:10" x14ac:dyDescent="0.2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Jaime\QUIFA-CAJÚA\Cajua\[VAS_CAJUA_CF_SEC_20230125.xlsx]CF PS'!</v>
      </c>
      <c r="G2491" s="6" t="s">
        <v>40</v>
      </c>
      <c r="H2491" s="1">
        <f t="shared" si="552"/>
        <v>55</v>
      </c>
      <c r="I2491" s="1" t="str">
        <f t="shared" si="551"/>
        <v>='C:\Users\jaime.benazar\Quorum Business Solutions\Ecopetrol Prometeo - Documents\Planning Space Implementation\3. Analysis &amp; Design\Design\FC22\DRR Jaime\QUIFA-CAJÚA\Cajua\[VAS_CAJUA_CF_SEC_20230125.xlsx]CF PS'!$CT$55</v>
      </c>
      <c r="J2491" s="1" t="s">
        <v>1221</v>
      </c>
    </row>
    <row r="2492" spans="1:10" x14ac:dyDescent="0.2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Jaime\QUIFA-CAJÚA\Cajua\[VAS_CAJUA_CF_SEC_20230125.xlsx]CF PS'!</v>
      </c>
      <c r="G2492" s="6" t="s">
        <v>40</v>
      </c>
      <c r="H2492" s="1">
        <f t="shared" si="552"/>
        <v>56</v>
      </c>
      <c r="I2492" s="1" t="str">
        <f t="shared" si="551"/>
        <v>='C:\Users\jaime.benazar\Quorum Business Solutions\Ecopetrol Prometeo - Documents\Planning Space Implementation\3. Analysis &amp; Design\Design\FC22\DRR Jaime\QUIFA-CAJÚA\Cajua\[VAS_CAJUA_CF_SEC_20230125.xlsx]CF PS'!$CT$56</v>
      </c>
      <c r="J2492" s="1" t="s">
        <v>1222</v>
      </c>
    </row>
    <row r="2493" spans="1:10" x14ac:dyDescent="0.2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Jaime\QUIFA-CAJÚA\Cajua\[VAS_CAJUA_CF_SEC_20230125.xlsx]CF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Jaime\QUIFA-CAJÚA\Cajua\[VAS_CAJUA_CF_SEC_20230125.xlsx]CF PS'!$CT$57</v>
      </c>
      <c r="J2493" s="1" t="s">
        <v>1223</v>
      </c>
    </row>
    <row r="2494" spans="1:10" x14ac:dyDescent="0.2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Jaime\QUIFA-CAJÚA\Cajua\[VAS_CAJUA_CF_SEC_20230125.xlsx]CF PS'!</v>
      </c>
      <c r="G2494" s="6" t="s">
        <v>40</v>
      </c>
      <c r="H2494" s="1">
        <f t="shared" si="559"/>
        <v>58</v>
      </c>
      <c r="I2494" s="1" t="str">
        <f t="shared" si="560"/>
        <v>='C:\Users\jaime.benazar\Quorum Business Solutions\Ecopetrol Prometeo - Documents\Planning Space Implementation\3. Analysis &amp; Design\Design\FC22\DRR Jaime\QUIFA-CAJÚA\Cajua\[VAS_CAJUA_CF_SEC_20230125.xlsx]CF PS'!$CT$58</v>
      </c>
      <c r="J2494" s="1" t="s">
        <v>1224</v>
      </c>
    </row>
    <row r="2495" spans="1:10" x14ac:dyDescent="0.2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Jaime\QUIFA-CAJÚA\Cajua\[VAS_CAJUA_CF_SEC_20230125.xlsx]CF PS'!</v>
      </c>
      <c r="G2495" s="6" t="s">
        <v>40</v>
      </c>
      <c r="H2495" s="1">
        <f t="shared" si="559"/>
        <v>59</v>
      </c>
      <c r="I2495" s="1" t="str">
        <f t="shared" si="560"/>
        <v>='C:\Users\jaime.benazar\Quorum Business Solutions\Ecopetrol Prometeo - Documents\Planning Space Implementation\3. Analysis &amp; Design\Design\FC22\DRR Jaime\QUIFA-CAJÚA\Cajua\[VAS_CAJUA_CF_SEC_20230125.xlsx]CF PS'!$CT$59</v>
      </c>
      <c r="J2495" s="1" t="s">
        <v>1225</v>
      </c>
    </row>
    <row r="2496" spans="1:10" x14ac:dyDescent="0.2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Jaime\QUIFA-CAJÚA\Cajua\[VAS_CAJUA_CF_SEC_20230125.xlsx]CF PS'!</v>
      </c>
      <c r="G2496" s="6" t="s">
        <v>40</v>
      </c>
      <c r="H2496" s="1">
        <f t="shared" si="559"/>
        <v>60</v>
      </c>
      <c r="I2496" s="1" t="str">
        <f t="shared" si="560"/>
        <v>='C:\Users\jaime.benazar\Quorum Business Solutions\Ecopetrol Prometeo - Documents\Planning Space Implementation\3. Analysis &amp; Design\Design\FC22\DRR Jaime\QUIFA-CAJÚA\Cajua\[VAS_CAJUA_CF_SEC_20230125.xlsx]CF PS'!$CT$60</v>
      </c>
      <c r="J2496" s="1" t="s">
        <v>1226</v>
      </c>
    </row>
    <row r="2497" spans="1:10" x14ac:dyDescent="0.2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Jaime\QUIFA-CAJÚA\Cajua\[VAS_CAJUA_CF_SEC_20230125.xlsx]CF PS'!</v>
      </c>
      <c r="G2497" s="6" t="s">
        <v>40</v>
      </c>
      <c r="H2497" s="1">
        <f t="shared" si="559"/>
        <v>61</v>
      </c>
      <c r="I2497" s="1" t="str">
        <f t="shared" si="560"/>
        <v>='C:\Users\jaime.benazar\Quorum Business Solutions\Ecopetrol Prometeo - Documents\Planning Space Implementation\3. Analysis &amp; Design\Design\FC22\DRR Jaime\QUIFA-CAJÚA\Cajua\[VAS_CAJUA_CF_SEC_20230125.xlsx]CF PS'!$CT$61</v>
      </c>
      <c r="J2497" s="1" t="s">
        <v>1227</v>
      </c>
    </row>
    <row r="2498" spans="1:10" x14ac:dyDescent="0.2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Jaime\QUIFA-CAJÚA\Cajua\[VAS_CAJUA_CF_SEC_20230125.xlsx]CF PS'!</v>
      </c>
      <c r="G2498" s="6" t="s">
        <v>40</v>
      </c>
      <c r="H2498" s="1">
        <f t="shared" si="559"/>
        <v>62</v>
      </c>
      <c r="I2498" s="1" t="str">
        <f t="shared" si="560"/>
        <v>='C:\Users\jaime.benazar\Quorum Business Solutions\Ecopetrol Prometeo - Documents\Planning Space Implementation\3. Analysis &amp; Design\Design\FC22\DRR Jaime\QUIFA-CAJÚA\Cajua\[VAS_CAJUA_CF_SEC_20230125.xlsx]CF PS'!$CT$62</v>
      </c>
      <c r="J2498" s="1" t="s">
        <v>1228</v>
      </c>
    </row>
    <row r="2499" spans="1:10" x14ac:dyDescent="0.2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Jaime\QUIFA-CAJÚA\Cajua\[VAS_CAJUA_CF_SEC_20230125.xlsx]CF PS'!</v>
      </c>
      <c r="G2499" s="6" t="s">
        <v>40</v>
      </c>
      <c r="H2499" s="1">
        <f t="shared" si="559"/>
        <v>63</v>
      </c>
      <c r="I2499" s="1" t="str">
        <f t="shared" si="560"/>
        <v>='C:\Users\jaime.benazar\Quorum Business Solutions\Ecopetrol Prometeo - Documents\Planning Space Implementation\3. Analysis &amp; Design\Design\FC22\DRR Jaime\QUIFA-CAJÚA\Cajua\[VAS_CAJUA_CF_SEC_20230125.xlsx]CF PS'!$CT$63</v>
      </c>
      <c r="J2499" s="1" t="s">
        <v>1229</v>
      </c>
    </row>
    <row r="2500" spans="1:10" x14ac:dyDescent="0.2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Jaime\QUIFA-CAJÚA\Cajua\[VAS_CAJUA_CF_SEC_20230125.xlsx]CF PS'!</v>
      </c>
      <c r="G2500" s="6" t="s">
        <v>40</v>
      </c>
      <c r="H2500" s="1">
        <f t="shared" si="559"/>
        <v>64</v>
      </c>
      <c r="I2500" s="1" t="str">
        <f t="shared" si="560"/>
        <v>='C:\Users\jaime.benazar\Quorum Business Solutions\Ecopetrol Prometeo - Documents\Planning Space Implementation\3. Analysis &amp; Design\Design\FC22\DRR Jaime\QUIFA-CAJÚA\Cajua\[VAS_CAJUA_CF_SEC_20230125.xlsx]CF PS'!$CT$64</v>
      </c>
      <c r="J2500" s="1" t="s">
        <v>1230</v>
      </c>
    </row>
    <row r="2501" spans="1:10" x14ac:dyDescent="0.2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Jaime\QUIFA-CAJÚA\Cajua\[VAS_CAJUA_CF_SEC_20230125.xlsx]CF PS'!</v>
      </c>
      <c r="G2501" s="6" t="s">
        <v>40</v>
      </c>
      <c r="H2501" s="1">
        <f t="shared" si="559"/>
        <v>65</v>
      </c>
      <c r="I2501" s="1" t="str">
        <f t="shared" si="560"/>
        <v>='C:\Users\jaime.benazar\Quorum Business Solutions\Ecopetrol Prometeo - Documents\Planning Space Implementation\3. Analysis &amp; Design\Design\FC22\DRR Jaime\QUIFA-CAJÚA\Cajua\[VAS_CAJUA_CF_SEC_20230125.xlsx]CF PS'!$CT$65</v>
      </c>
      <c r="J2501" s="1" t="s">
        <v>1231</v>
      </c>
    </row>
    <row r="2502" spans="1:10" x14ac:dyDescent="0.2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Jaime\QUIFA-CAJÚA\Cajua\[VAS_CAJUA_CF_SEC_20230125.xlsx]CF PS'!</v>
      </c>
      <c r="G2502" s="6" t="s">
        <v>40</v>
      </c>
      <c r="H2502" s="1">
        <f t="shared" si="559"/>
        <v>66</v>
      </c>
      <c r="I2502" s="1" t="str">
        <f t="shared" si="560"/>
        <v>='C:\Users\jaime.benazar\Quorum Business Solutions\Ecopetrol Prometeo - Documents\Planning Space Implementation\3. Analysis &amp; Design\Design\FC22\DRR Jaime\QUIFA-CAJÚA\Cajua\[VAS_CAJUA_CF_SEC_20230125.xlsx]CF PS'!$CT$66</v>
      </c>
      <c r="J2502" s="1" t="s">
        <v>1232</v>
      </c>
    </row>
    <row r="2503" spans="1:10" x14ac:dyDescent="0.2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Jaime\QUIFA-CAJÚA\Cajua\[VAS_CAJUA_CF_SEC_20230125.xlsx]CF PS'!</v>
      </c>
      <c r="G2503" s="6" t="s">
        <v>40</v>
      </c>
      <c r="H2503" s="1">
        <f t="shared" si="559"/>
        <v>67</v>
      </c>
      <c r="I2503" s="1" t="str">
        <f t="shared" si="560"/>
        <v>='C:\Users\jaime.benazar\Quorum Business Solutions\Ecopetrol Prometeo - Documents\Planning Space Implementation\3. Analysis &amp; Design\Design\FC22\DRR Jaime\QUIFA-CAJÚA\Cajua\[VAS_CAJUA_CF_SEC_20230125.xlsx]CF PS'!$CT$67</v>
      </c>
      <c r="J2503" s="1" t="s">
        <v>1233</v>
      </c>
    </row>
    <row r="2504" spans="1:10" x14ac:dyDescent="0.2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Jaime\QUIFA-CAJÚA\Cajua\[VAS_CAJUA_CF_SEC_20230125.xlsx]CF PS'!</v>
      </c>
      <c r="G2504" s="6" t="s">
        <v>40</v>
      </c>
      <c r="H2504" s="1">
        <f t="shared" si="559"/>
        <v>68</v>
      </c>
      <c r="I2504" s="1" t="str">
        <f t="shared" si="560"/>
        <v>='C:\Users\jaime.benazar\Quorum Business Solutions\Ecopetrol Prometeo - Documents\Planning Space Implementation\3. Analysis &amp; Design\Design\FC22\DRR Jaime\QUIFA-CAJÚA\Cajua\[VAS_CAJUA_CF_SEC_20230125.xlsx]CF PS'!$CT$68</v>
      </c>
      <c r="J2504" s="1" t="s">
        <v>1234</v>
      </c>
    </row>
    <row r="2505" spans="1:10" x14ac:dyDescent="0.2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Jaime\QUIFA-CAJÚA\Cajua\[VAS_CAJUA_CF_SEC_20230125.xlsx]CF PS'!</v>
      </c>
      <c r="G2505" s="6" t="s">
        <v>40</v>
      </c>
      <c r="H2505" s="1">
        <f t="shared" si="559"/>
        <v>69</v>
      </c>
      <c r="I2505" s="1" t="str">
        <f t="shared" si="560"/>
        <v>='C:\Users\jaime.benazar\Quorum Business Solutions\Ecopetrol Prometeo - Documents\Planning Space Implementation\3. Analysis &amp; Design\Design\FC22\DRR Jaime\QUIFA-CAJÚA\Cajua\[VAS_CAJUA_CF_SEC_20230125.xlsx]CF PS'!$CT$69</v>
      </c>
      <c r="J2505" s="1" t="s">
        <v>1235</v>
      </c>
    </row>
    <row r="2506" spans="1:10" x14ac:dyDescent="0.2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Jaime\QUIFA-CAJÚA\Cajua\[VAS_CAJUA_CF_SEC_20230125.xlsx]CF PS'!</v>
      </c>
      <c r="G2506" s="6" t="s">
        <v>40</v>
      </c>
      <c r="H2506" s="1">
        <f t="shared" si="559"/>
        <v>70</v>
      </c>
      <c r="I2506" s="1" t="str">
        <f t="shared" si="560"/>
        <v>='C:\Users\jaime.benazar\Quorum Business Solutions\Ecopetrol Prometeo - Documents\Planning Space Implementation\3. Analysis &amp; Design\Design\FC22\DRR Jaime\QUIFA-CAJÚA\Cajua\[VAS_CAJUA_CF_SEC_20230125.xlsx]CF PS'!$CT$70</v>
      </c>
      <c r="J2506" s="1" t="s">
        <v>1236</v>
      </c>
    </row>
    <row r="2507" spans="1:10" x14ac:dyDescent="0.2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Jaime\QUIFA-CAJÚA\Cajua\[VAS_CAJUA_CF_SEC_20230125.xlsx]CF PS'!</v>
      </c>
      <c r="G2507" s="6" t="s">
        <v>40</v>
      </c>
      <c r="H2507" s="1">
        <f t="shared" si="559"/>
        <v>71</v>
      </c>
      <c r="I2507" s="1" t="str">
        <f t="shared" si="560"/>
        <v>='C:\Users\jaime.benazar\Quorum Business Solutions\Ecopetrol Prometeo - Documents\Planning Space Implementation\3. Analysis &amp; Design\Design\FC22\DRR Jaime\QUIFA-CAJÚA\Cajua\[VAS_CAJUA_CF_SEC_20230125.xlsx]CF PS'!$CT$71</v>
      </c>
      <c r="J2507" s="1" t="s">
        <v>1237</v>
      </c>
    </row>
    <row r="2508" spans="1:10" x14ac:dyDescent="0.2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Jaime\QUIFA-CAJÚA\Cajua\[VAS_CAJUA_CF_SEC_20230125.xlsx]CF PS'!</v>
      </c>
      <c r="G2508" s="6" t="s">
        <v>40</v>
      </c>
      <c r="H2508" s="1">
        <f t="shared" si="559"/>
        <v>72</v>
      </c>
      <c r="I2508" s="1" t="str">
        <f t="shared" si="560"/>
        <v>='C:\Users\jaime.benazar\Quorum Business Solutions\Ecopetrol Prometeo - Documents\Planning Space Implementation\3. Analysis &amp; Design\Design\FC22\DRR Jaime\QUIFA-CAJÚA\Cajua\[VAS_CAJUA_CF_SEC_20230125.xlsx]CF PS'!$CT$72</v>
      </c>
      <c r="J2508" s="1" t="s">
        <v>1238</v>
      </c>
    </row>
    <row r="2509" spans="1:10" x14ac:dyDescent="0.25">
      <c r="A2509" s="6" t="s">
        <v>28</v>
      </c>
      <c r="B2509" s="6"/>
      <c r="C2509" s="1" t="s">
        <v>20</v>
      </c>
      <c r="D2509" s="2"/>
      <c r="E2509" s="9"/>
      <c r="F2509" s="2"/>
      <c r="G2509" s="6"/>
      <c r="H2509" s="1"/>
      <c r="I2509" s="1"/>
      <c r="J2509" s="4"/>
    </row>
    <row r="2510" spans="1:10" x14ac:dyDescent="0.2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Jaime\QUIFA-CAJÚA\Cajua\[VAS_CAJUA_CF_SEC_20230125.xlsx]CF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Jaime\QUIFA-CAJÚA\Cajua\[VAS_CAJUA_CF_SEC_20230125.xlsx]CF PDP'!$DN$36</v>
      </c>
      <c r="J2510" s="4" t="s">
        <v>1239</v>
      </c>
    </row>
    <row r="2511" spans="1:10" x14ac:dyDescent="0.2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Jaime\QUIFA-CAJÚA\Cajua\[VAS_CAJUA_CF_SEC_20230125.xlsx]CF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Jaime\QUIFA-CAJÚA\Cajua\[VAS_CAJUA_CF_SEC_20230125.xlsx]CF PDP'!$DN$37</v>
      </c>
      <c r="J2511" s="4" t="s">
        <v>1240</v>
      </c>
    </row>
    <row r="2512" spans="1:10" x14ac:dyDescent="0.2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Jaime\QUIFA-CAJÚA\Cajua\[VAS_CAJUA_CF_SEC_20230125.xlsx]CF PDP'!</v>
      </c>
      <c r="G2512" s="7" t="s">
        <v>41</v>
      </c>
      <c r="H2512" s="4">
        <f t="shared" si="565"/>
        <v>38</v>
      </c>
      <c r="I2512" s="4" t="str">
        <f t="shared" si="564"/>
        <v>='C:\Users\jaime.benazar\Quorum Business Solutions\Ecopetrol Prometeo - Documents\Planning Space Implementation\3. Analysis &amp; Design\Design\FC22\DRR Jaime\QUIFA-CAJÚA\Cajua\[VAS_CAJUA_CF_SEC_20230125.xlsx]CF PDP'!$DN$38</v>
      </c>
      <c r="J2512" s="4" t="s">
        <v>1241</v>
      </c>
    </row>
    <row r="2513" spans="1:10" x14ac:dyDescent="0.2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Jaime\QUIFA-CAJÚA\Cajua\[VAS_CAJUA_CF_SEC_20230125.xlsx]CF PDP'!</v>
      </c>
      <c r="G2513" s="7" t="s">
        <v>41</v>
      </c>
      <c r="H2513" s="4">
        <f t="shared" si="565"/>
        <v>39</v>
      </c>
      <c r="I2513" s="4" t="str">
        <f t="shared" si="564"/>
        <v>='C:\Users\jaime.benazar\Quorum Business Solutions\Ecopetrol Prometeo - Documents\Planning Space Implementation\3. Analysis &amp; Design\Design\FC22\DRR Jaime\QUIFA-CAJÚA\Cajua\[VAS_CAJUA_CF_SEC_20230125.xlsx]CF PDP'!$DN$39</v>
      </c>
      <c r="J2513" s="4" t="s">
        <v>1242</v>
      </c>
    </row>
    <row r="2514" spans="1:10" x14ac:dyDescent="0.2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Jaime\QUIFA-CAJÚA\Cajua\[VAS_CAJUA_CF_SEC_20230125.xlsx]CF PDP'!</v>
      </c>
      <c r="G2514" s="7" t="s">
        <v>41</v>
      </c>
      <c r="H2514" s="4">
        <f t="shared" si="565"/>
        <v>40</v>
      </c>
      <c r="I2514" s="4" t="str">
        <f t="shared" si="564"/>
        <v>='C:\Users\jaime.benazar\Quorum Business Solutions\Ecopetrol Prometeo - Documents\Planning Space Implementation\3. Analysis &amp; Design\Design\FC22\DRR Jaime\QUIFA-CAJÚA\Cajua\[VAS_CAJUA_CF_SEC_20230125.xlsx]CF PDP'!$DN$40</v>
      </c>
      <c r="J2514" s="4" t="s">
        <v>1243</v>
      </c>
    </row>
    <row r="2515" spans="1:10" x14ac:dyDescent="0.2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Jaime\QUIFA-CAJÚA\Cajua\[VAS_CAJUA_CF_SEC_20230125.xlsx]CF PDP'!</v>
      </c>
      <c r="G2515" s="7" t="s">
        <v>41</v>
      </c>
      <c r="H2515" s="4">
        <f t="shared" si="565"/>
        <v>41</v>
      </c>
      <c r="I2515" s="4" t="str">
        <f t="shared" si="564"/>
        <v>='C:\Users\jaime.benazar\Quorum Business Solutions\Ecopetrol Prometeo - Documents\Planning Space Implementation\3. Analysis &amp; Design\Design\FC22\DRR Jaime\QUIFA-CAJÚA\Cajua\[VAS_CAJUA_CF_SEC_20230125.xlsx]CF PDP'!$DN$41</v>
      </c>
      <c r="J2515" s="4" t="s">
        <v>1244</v>
      </c>
    </row>
    <row r="2516" spans="1:10" x14ac:dyDescent="0.2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Jaime\QUIFA-CAJÚA\Cajua\[VAS_CAJUA_CF_SEC_20230125.xlsx]CF PDP'!</v>
      </c>
      <c r="G2516" s="7" t="s">
        <v>41</v>
      </c>
      <c r="H2516" s="4">
        <f t="shared" si="565"/>
        <v>42</v>
      </c>
      <c r="I2516" s="4" t="str">
        <f t="shared" si="564"/>
        <v>='C:\Users\jaime.benazar\Quorum Business Solutions\Ecopetrol Prometeo - Documents\Planning Space Implementation\3. Analysis &amp; Design\Design\FC22\DRR Jaime\QUIFA-CAJÚA\Cajua\[VAS_CAJUA_CF_SEC_20230125.xlsx]CF PDP'!$DN$42</v>
      </c>
      <c r="J2516" s="4" t="s">
        <v>1245</v>
      </c>
    </row>
    <row r="2517" spans="1:10" x14ac:dyDescent="0.2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Jaime\QUIFA-CAJÚA\Cajua\[VAS_CAJUA_CF_SEC_20230125.xlsx]CF PDP'!</v>
      </c>
      <c r="G2517" s="7" t="s">
        <v>41</v>
      </c>
      <c r="H2517" s="4">
        <f t="shared" si="565"/>
        <v>43</v>
      </c>
      <c r="I2517" s="4" t="str">
        <f t="shared" si="564"/>
        <v>='C:\Users\jaime.benazar\Quorum Business Solutions\Ecopetrol Prometeo - Documents\Planning Space Implementation\3. Analysis &amp; Design\Design\FC22\DRR Jaime\QUIFA-CAJÚA\Cajua\[VAS_CAJUA_CF_SEC_20230125.xlsx]CF PDP'!$DN$43</v>
      </c>
      <c r="J2517" s="4" t="s">
        <v>1246</v>
      </c>
    </row>
    <row r="2518" spans="1:10" x14ac:dyDescent="0.2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Jaime\QUIFA-CAJÚA\Cajua\[VAS_CAJUA_CF_SEC_20230125.xlsx]CF PDP'!</v>
      </c>
      <c r="G2518" s="7" t="s">
        <v>41</v>
      </c>
      <c r="H2518" s="4">
        <f t="shared" si="565"/>
        <v>44</v>
      </c>
      <c r="I2518" s="4" t="str">
        <f t="shared" si="564"/>
        <v>='C:\Users\jaime.benazar\Quorum Business Solutions\Ecopetrol Prometeo - Documents\Planning Space Implementation\3. Analysis &amp; Design\Design\FC22\DRR Jaime\QUIFA-CAJÚA\Cajua\[VAS_CAJUA_CF_SEC_20230125.xlsx]CF PDP'!$DN$44</v>
      </c>
      <c r="J2518" s="4" t="s">
        <v>1247</v>
      </c>
    </row>
    <row r="2519" spans="1:10" x14ac:dyDescent="0.2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Jaime\QUIFA-CAJÚA\Cajua\[VAS_CAJUA_CF_SEC_20230125.xlsx]CF PDP'!</v>
      </c>
      <c r="G2519" s="7" t="s">
        <v>41</v>
      </c>
      <c r="H2519" s="4">
        <f t="shared" si="565"/>
        <v>45</v>
      </c>
      <c r="I2519" s="4" t="str">
        <f t="shared" si="564"/>
        <v>='C:\Users\jaime.benazar\Quorum Business Solutions\Ecopetrol Prometeo - Documents\Planning Space Implementation\3. Analysis &amp; Design\Design\FC22\DRR Jaime\QUIFA-CAJÚA\Cajua\[VAS_CAJUA_CF_SEC_20230125.xlsx]CF PDP'!$DN$45</v>
      </c>
      <c r="J2519" s="4" t="s">
        <v>1248</v>
      </c>
    </row>
    <row r="2520" spans="1:10" x14ac:dyDescent="0.2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Jaime\QUIFA-CAJÚA\Cajua\[VAS_CAJUA_CF_SEC_20230125.xlsx]CF PDP'!</v>
      </c>
      <c r="G2520" s="7" t="s">
        <v>41</v>
      </c>
      <c r="H2520" s="4">
        <f t="shared" si="565"/>
        <v>46</v>
      </c>
      <c r="I2520" s="4" t="str">
        <f t="shared" si="564"/>
        <v>='C:\Users\jaime.benazar\Quorum Business Solutions\Ecopetrol Prometeo - Documents\Planning Space Implementation\3. Analysis &amp; Design\Design\FC22\DRR Jaime\QUIFA-CAJÚA\Cajua\[VAS_CAJUA_CF_SEC_20230125.xlsx]CF PDP'!$DN$46</v>
      </c>
      <c r="J2520" s="4" t="s">
        <v>1249</v>
      </c>
    </row>
    <row r="2521" spans="1:10" x14ac:dyDescent="0.2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Jaime\QUIFA-CAJÚA\Cajua\[VAS_CAJUA_CF_SEC_20230125.xlsx]CF PDP'!</v>
      </c>
      <c r="G2521" s="7" t="s">
        <v>41</v>
      </c>
      <c r="H2521" s="4">
        <f t="shared" si="565"/>
        <v>47</v>
      </c>
      <c r="I2521" s="4" t="str">
        <f t="shared" si="564"/>
        <v>='C:\Users\jaime.benazar\Quorum Business Solutions\Ecopetrol Prometeo - Documents\Planning Space Implementation\3. Analysis &amp; Design\Design\FC22\DRR Jaime\QUIFA-CAJÚA\Cajua\[VAS_CAJUA_CF_SEC_20230125.xlsx]CF PDP'!$DN$47</v>
      </c>
      <c r="J2521" s="4" t="s">
        <v>1250</v>
      </c>
    </row>
    <row r="2522" spans="1:10" x14ac:dyDescent="0.2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Jaime\QUIFA-CAJÚA\Cajua\[VAS_CAJUA_CF_SEC_20230125.xlsx]CF PDP'!</v>
      </c>
      <c r="G2522" s="7" t="s">
        <v>41</v>
      </c>
      <c r="H2522" s="4">
        <f t="shared" si="565"/>
        <v>48</v>
      </c>
      <c r="I2522" s="4" t="str">
        <f t="shared" si="564"/>
        <v>='C:\Users\jaime.benazar\Quorum Business Solutions\Ecopetrol Prometeo - Documents\Planning Space Implementation\3. Analysis &amp; Design\Design\FC22\DRR Jaime\QUIFA-CAJÚA\Cajua\[VAS_CAJUA_CF_SEC_20230125.xlsx]CF PDP'!$DN$48</v>
      </c>
      <c r="J2522" s="4" t="s">
        <v>1251</v>
      </c>
    </row>
    <row r="2523" spans="1:10" x14ac:dyDescent="0.2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Jaime\QUIFA-CAJÚA\Cajua\[VAS_CAJUA_CF_SEC_20230125.xlsx]CF PDP'!</v>
      </c>
      <c r="G2523" s="7" t="s">
        <v>41</v>
      </c>
      <c r="H2523" s="4">
        <f t="shared" si="565"/>
        <v>49</v>
      </c>
      <c r="I2523" s="4" t="str">
        <f t="shared" si="564"/>
        <v>='C:\Users\jaime.benazar\Quorum Business Solutions\Ecopetrol Prometeo - Documents\Planning Space Implementation\3. Analysis &amp; Design\Design\FC22\DRR Jaime\QUIFA-CAJÚA\Cajua\[VAS_CAJUA_CF_SEC_20230125.xlsx]CF PDP'!$DN$49</v>
      </c>
      <c r="J2523" s="4" t="s">
        <v>1252</v>
      </c>
    </row>
    <row r="2524" spans="1:10" x14ac:dyDescent="0.2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Jaime\QUIFA-CAJÚA\Cajua\[VAS_CAJUA_CF_SEC_20230125.xlsx]CF PDP'!</v>
      </c>
      <c r="G2524" s="7" t="s">
        <v>41</v>
      </c>
      <c r="H2524" s="4">
        <f t="shared" si="565"/>
        <v>50</v>
      </c>
      <c r="I2524" s="4" t="str">
        <f t="shared" si="564"/>
        <v>='C:\Users\jaime.benazar\Quorum Business Solutions\Ecopetrol Prometeo - Documents\Planning Space Implementation\3. Analysis &amp; Design\Design\FC22\DRR Jaime\QUIFA-CAJÚA\Cajua\[VAS_CAJUA_CF_SEC_20230125.xlsx]CF PDP'!$DN$50</v>
      </c>
      <c r="J2524" s="4" t="s">
        <v>1253</v>
      </c>
    </row>
    <row r="2525" spans="1:10" x14ac:dyDescent="0.2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Jaime\QUIFA-CAJÚA\Cajua\[VAS_CAJUA_CF_SEC_20230125.xlsx]CF PDP'!</v>
      </c>
      <c r="G2525" s="7" t="s">
        <v>41</v>
      </c>
      <c r="H2525" s="4">
        <f t="shared" si="565"/>
        <v>51</v>
      </c>
      <c r="I2525" s="4" t="str">
        <f t="shared" si="564"/>
        <v>='C:\Users\jaime.benazar\Quorum Business Solutions\Ecopetrol Prometeo - Documents\Planning Space Implementation\3. Analysis &amp; Design\Design\FC22\DRR Jaime\QUIFA-CAJÚA\Cajua\[VAS_CAJUA_CF_SEC_20230125.xlsx]CF PDP'!$DN$51</v>
      </c>
      <c r="J2525" s="4" t="s">
        <v>1254</v>
      </c>
    </row>
    <row r="2526" spans="1:10" x14ac:dyDescent="0.2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Jaime\QUIFA-CAJÚA\Cajua\[VAS_CAJUA_CF_SEC_20230125.xlsx]CF PDP'!</v>
      </c>
      <c r="G2526" s="7" t="s">
        <v>41</v>
      </c>
      <c r="H2526" s="4">
        <f t="shared" si="565"/>
        <v>52</v>
      </c>
      <c r="I2526" s="4" t="str">
        <f t="shared" si="564"/>
        <v>='C:\Users\jaime.benazar\Quorum Business Solutions\Ecopetrol Prometeo - Documents\Planning Space Implementation\3. Analysis &amp; Design\Design\FC22\DRR Jaime\QUIFA-CAJÚA\Cajua\[VAS_CAJUA_CF_SEC_20230125.xlsx]CF PDP'!$DN$52</v>
      </c>
      <c r="J2526" s="4" t="s">
        <v>1255</v>
      </c>
    </row>
    <row r="2527" spans="1:10" x14ac:dyDescent="0.2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Jaime\QUIFA-CAJÚA\Cajua\[VAS_CAJUA_CF_SEC_20230125.xlsx]CF PDP'!</v>
      </c>
      <c r="G2527" s="7" t="s">
        <v>41</v>
      </c>
      <c r="H2527" s="4">
        <f t="shared" si="565"/>
        <v>53</v>
      </c>
      <c r="I2527" s="4" t="str">
        <f t="shared" si="564"/>
        <v>='C:\Users\jaime.benazar\Quorum Business Solutions\Ecopetrol Prometeo - Documents\Planning Space Implementation\3. Analysis &amp; Design\Design\FC22\DRR Jaime\QUIFA-CAJÚA\Cajua\[VAS_CAJUA_CF_SEC_20230125.xlsx]CF PDP'!$DN$53</v>
      </c>
      <c r="J2527" s="4" t="s">
        <v>1256</v>
      </c>
    </row>
    <row r="2528" spans="1:10" x14ac:dyDescent="0.2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Jaime\QUIFA-CAJÚA\Cajua\[VAS_CAJUA_CF_SEC_20230125.xlsx]CF PDP'!</v>
      </c>
      <c r="G2528" s="7" t="s">
        <v>41</v>
      </c>
      <c r="H2528" s="4">
        <f t="shared" si="565"/>
        <v>54</v>
      </c>
      <c r="I2528" s="4" t="str">
        <f t="shared" si="564"/>
        <v>='C:\Users\jaime.benazar\Quorum Business Solutions\Ecopetrol Prometeo - Documents\Planning Space Implementation\3. Analysis &amp; Design\Design\FC22\DRR Jaime\QUIFA-CAJÚA\Cajua\[VAS_CAJUA_CF_SEC_20230125.xlsx]CF PDP'!$DN$54</v>
      </c>
      <c r="J2528" s="4" t="s">
        <v>1257</v>
      </c>
    </row>
    <row r="2529" spans="1:10" x14ac:dyDescent="0.2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Jaime\QUIFA-CAJÚA\Cajua\[VAS_CAJUA_CF_SEC_20230125.xlsx]CF PDP'!</v>
      </c>
      <c r="G2529" s="7" t="s">
        <v>41</v>
      </c>
      <c r="H2529" s="4">
        <f t="shared" si="565"/>
        <v>55</v>
      </c>
      <c r="I2529" s="4" t="str">
        <f t="shared" si="564"/>
        <v>='C:\Users\jaime.benazar\Quorum Business Solutions\Ecopetrol Prometeo - Documents\Planning Space Implementation\3. Analysis &amp; Design\Design\FC22\DRR Jaime\QUIFA-CAJÚA\Cajua\[VAS_CAJUA_CF_SEC_20230125.xlsx]CF PDP'!$DN$55</v>
      </c>
      <c r="J2529" s="4" t="s">
        <v>1258</v>
      </c>
    </row>
    <row r="2530" spans="1:10" x14ac:dyDescent="0.2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Jaime\QUIFA-CAJÚA\Cajua\[VAS_CAJUA_CF_SEC_20230125.xlsx]CF PDP'!</v>
      </c>
      <c r="G2530" s="7" t="s">
        <v>41</v>
      </c>
      <c r="H2530" s="4">
        <f t="shared" si="565"/>
        <v>56</v>
      </c>
      <c r="I2530" s="4" t="str">
        <f t="shared" si="564"/>
        <v>='C:\Users\jaime.benazar\Quorum Business Solutions\Ecopetrol Prometeo - Documents\Planning Space Implementation\3. Analysis &amp; Design\Design\FC22\DRR Jaime\QUIFA-CAJÚA\Cajua\[VAS_CAJUA_CF_SEC_20230125.xlsx]CF PDP'!$DN$56</v>
      </c>
      <c r="J2530" s="4" t="s">
        <v>1259</v>
      </c>
    </row>
    <row r="2531" spans="1:10" x14ac:dyDescent="0.2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Jaime\QUIFA-CAJÚA\Cajua\[VAS_CAJUA_CF_SEC_20230125.xlsx]CF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Jaime\QUIFA-CAJÚA\Cajua\[VAS_CAJUA_CF_SEC_20230125.xlsx]CF PDP'!$DN$57</v>
      </c>
      <c r="J2531" s="4" t="s">
        <v>1260</v>
      </c>
    </row>
    <row r="2532" spans="1:10" x14ac:dyDescent="0.2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Jaime\QUIFA-CAJÚA\Cajua\[VAS_CAJUA_CF_SEC_20230125.xlsx]CF PDP'!</v>
      </c>
      <c r="G2532" s="7" t="s">
        <v>41</v>
      </c>
      <c r="H2532" s="4">
        <f t="shared" si="571"/>
        <v>58</v>
      </c>
      <c r="I2532" s="4" t="str">
        <f t="shared" si="572"/>
        <v>='C:\Users\jaime.benazar\Quorum Business Solutions\Ecopetrol Prometeo - Documents\Planning Space Implementation\3. Analysis &amp; Design\Design\FC22\DRR Jaime\QUIFA-CAJÚA\Cajua\[VAS_CAJUA_CF_SEC_20230125.xlsx]CF PDP'!$DN$58</v>
      </c>
      <c r="J2532" s="4" t="s">
        <v>1261</v>
      </c>
    </row>
    <row r="2533" spans="1:10" x14ac:dyDescent="0.2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Jaime\QUIFA-CAJÚA\Cajua\[VAS_CAJUA_CF_SEC_20230125.xlsx]CF PDP'!</v>
      </c>
      <c r="G2533" s="7" t="s">
        <v>41</v>
      </c>
      <c r="H2533" s="4">
        <f t="shared" si="571"/>
        <v>59</v>
      </c>
      <c r="I2533" s="4" t="str">
        <f t="shared" si="572"/>
        <v>='C:\Users\jaime.benazar\Quorum Business Solutions\Ecopetrol Prometeo - Documents\Planning Space Implementation\3. Analysis &amp; Design\Design\FC22\DRR Jaime\QUIFA-CAJÚA\Cajua\[VAS_CAJUA_CF_SEC_20230125.xlsx]CF PDP'!$DN$59</v>
      </c>
      <c r="J2533" s="4" t="s">
        <v>1262</v>
      </c>
    </row>
    <row r="2534" spans="1:10" x14ac:dyDescent="0.2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Jaime\QUIFA-CAJÚA\Cajua\[VAS_CAJUA_CF_SEC_20230125.xlsx]CF PDP'!</v>
      </c>
      <c r="G2534" s="7" t="s">
        <v>41</v>
      </c>
      <c r="H2534" s="4">
        <f t="shared" si="571"/>
        <v>60</v>
      </c>
      <c r="I2534" s="4" t="str">
        <f t="shared" si="572"/>
        <v>='C:\Users\jaime.benazar\Quorum Business Solutions\Ecopetrol Prometeo - Documents\Planning Space Implementation\3. Analysis &amp; Design\Design\FC22\DRR Jaime\QUIFA-CAJÚA\Cajua\[VAS_CAJUA_CF_SEC_20230125.xlsx]CF PDP'!$DN$60</v>
      </c>
      <c r="J2534" s="4" t="s">
        <v>1263</v>
      </c>
    </row>
    <row r="2535" spans="1:10" x14ac:dyDescent="0.2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Jaime\QUIFA-CAJÚA\Cajua\[VAS_CAJUA_CF_SEC_20230125.xlsx]CF PDP'!</v>
      </c>
      <c r="G2535" s="7" t="s">
        <v>41</v>
      </c>
      <c r="H2535" s="4">
        <f t="shared" si="571"/>
        <v>61</v>
      </c>
      <c r="I2535" s="4" t="str">
        <f t="shared" si="572"/>
        <v>='C:\Users\jaime.benazar\Quorum Business Solutions\Ecopetrol Prometeo - Documents\Planning Space Implementation\3. Analysis &amp; Design\Design\FC22\DRR Jaime\QUIFA-CAJÚA\Cajua\[VAS_CAJUA_CF_SEC_20230125.xlsx]CF PDP'!$DN$61</v>
      </c>
      <c r="J2535" s="4" t="s">
        <v>1264</v>
      </c>
    </row>
    <row r="2536" spans="1:10" x14ac:dyDescent="0.2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Jaime\QUIFA-CAJÚA\Cajua\[VAS_CAJUA_CF_SEC_20230125.xlsx]CF PDP'!</v>
      </c>
      <c r="G2536" s="7" t="s">
        <v>41</v>
      </c>
      <c r="H2536" s="4">
        <f t="shared" si="571"/>
        <v>62</v>
      </c>
      <c r="I2536" s="4" t="str">
        <f t="shared" si="572"/>
        <v>='C:\Users\jaime.benazar\Quorum Business Solutions\Ecopetrol Prometeo - Documents\Planning Space Implementation\3. Analysis &amp; Design\Design\FC22\DRR Jaime\QUIFA-CAJÚA\Cajua\[VAS_CAJUA_CF_SEC_20230125.xlsx]CF PDP'!$DN$62</v>
      </c>
      <c r="J2536" s="4" t="s">
        <v>1265</v>
      </c>
    </row>
    <row r="2537" spans="1:10" x14ac:dyDescent="0.2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Jaime\QUIFA-CAJÚA\Cajua\[VAS_CAJUA_CF_SEC_20230125.xlsx]CF PDP'!</v>
      </c>
      <c r="G2537" s="7" t="s">
        <v>41</v>
      </c>
      <c r="H2537" s="4">
        <f t="shared" si="571"/>
        <v>63</v>
      </c>
      <c r="I2537" s="4" t="str">
        <f t="shared" si="572"/>
        <v>='C:\Users\jaime.benazar\Quorum Business Solutions\Ecopetrol Prometeo - Documents\Planning Space Implementation\3. Analysis &amp; Design\Design\FC22\DRR Jaime\QUIFA-CAJÚA\Cajua\[VAS_CAJUA_CF_SEC_20230125.xlsx]CF PDP'!$DN$63</v>
      </c>
      <c r="J2537" s="4" t="s">
        <v>1266</v>
      </c>
    </row>
    <row r="2538" spans="1:10" x14ac:dyDescent="0.2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Jaime\QUIFA-CAJÚA\Cajua\[VAS_CAJUA_CF_SEC_20230125.xlsx]CF PDP'!</v>
      </c>
      <c r="G2538" s="7" t="s">
        <v>41</v>
      </c>
      <c r="H2538" s="4">
        <f t="shared" si="571"/>
        <v>64</v>
      </c>
      <c r="I2538" s="4" t="str">
        <f t="shared" si="572"/>
        <v>='C:\Users\jaime.benazar\Quorum Business Solutions\Ecopetrol Prometeo - Documents\Planning Space Implementation\3. Analysis &amp; Design\Design\FC22\DRR Jaime\QUIFA-CAJÚA\Cajua\[VAS_CAJUA_CF_SEC_20230125.xlsx]CF PDP'!$DN$64</v>
      </c>
      <c r="J2538" s="4" t="s">
        <v>1267</v>
      </c>
    </row>
    <row r="2539" spans="1:10" x14ac:dyDescent="0.2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Jaime\QUIFA-CAJÚA\Cajua\[VAS_CAJUA_CF_SEC_20230125.xlsx]CF PDP'!</v>
      </c>
      <c r="G2539" s="7" t="s">
        <v>41</v>
      </c>
      <c r="H2539" s="4">
        <f t="shared" si="571"/>
        <v>65</v>
      </c>
      <c r="I2539" s="4" t="str">
        <f t="shared" si="572"/>
        <v>='C:\Users\jaime.benazar\Quorum Business Solutions\Ecopetrol Prometeo - Documents\Planning Space Implementation\3. Analysis &amp; Design\Design\FC22\DRR Jaime\QUIFA-CAJÚA\Cajua\[VAS_CAJUA_CF_SEC_20230125.xlsx]CF PDP'!$DN$65</v>
      </c>
      <c r="J2539" s="4" t="s">
        <v>1268</v>
      </c>
    </row>
    <row r="2540" spans="1:10" x14ac:dyDescent="0.2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Jaime\QUIFA-CAJÚA\Cajua\[VAS_CAJUA_CF_SEC_20230125.xlsx]CF PDP'!</v>
      </c>
      <c r="G2540" s="7" t="s">
        <v>41</v>
      </c>
      <c r="H2540" s="4">
        <f t="shared" si="571"/>
        <v>66</v>
      </c>
      <c r="I2540" s="4" t="str">
        <f t="shared" si="572"/>
        <v>='C:\Users\jaime.benazar\Quorum Business Solutions\Ecopetrol Prometeo - Documents\Planning Space Implementation\3. Analysis &amp; Design\Design\FC22\DRR Jaime\QUIFA-CAJÚA\Cajua\[VAS_CAJUA_CF_SEC_20230125.xlsx]CF PDP'!$DN$66</v>
      </c>
      <c r="J2540" s="4" t="s">
        <v>1269</v>
      </c>
    </row>
    <row r="2541" spans="1:10" x14ac:dyDescent="0.2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Jaime\QUIFA-CAJÚA\Cajua\[VAS_CAJUA_CF_SEC_20230125.xlsx]CF PDP'!</v>
      </c>
      <c r="G2541" s="7" t="s">
        <v>41</v>
      </c>
      <c r="H2541" s="4">
        <f t="shared" si="571"/>
        <v>67</v>
      </c>
      <c r="I2541" s="4" t="str">
        <f t="shared" si="572"/>
        <v>='C:\Users\jaime.benazar\Quorum Business Solutions\Ecopetrol Prometeo - Documents\Planning Space Implementation\3. Analysis &amp; Design\Design\FC22\DRR Jaime\QUIFA-CAJÚA\Cajua\[VAS_CAJUA_CF_SEC_20230125.xlsx]CF PDP'!$DN$67</v>
      </c>
      <c r="J2541" s="4" t="s">
        <v>1270</v>
      </c>
    </row>
    <row r="2542" spans="1:10" x14ac:dyDescent="0.2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Jaime\QUIFA-CAJÚA\Cajua\[VAS_CAJUA_CF_SEC_20230125.xlsx]CF PDP'!</v>
      </c>
      <c r="G2542" s="7" t="s">
        <v>41</v>
      </c>
      <c r="H2542" s="4">
        <f t="shared" si="571"/>
        <v>68</v>
      </c>
      <c r="I2542" s="4" t="str">
        <f t="shared" si="572"/>
        <v>='C:\Users\jaime.benazar\Quorum Business Solutions\Ecopetrol Prometeo - Documents\Planning Space Implementation\3. Analysis &amp; Design\Design\FC22\DRR Jaime\QUIFA-CAJÚA\Cajua\[VAS_CAJUA_CF_SEC_20230125.xlsx]CF PDP'!$DN$68</v>
      </c>
      <c r="J2542" s="4" t="s">
        <v>1271</v>
      </c>
    </row>
    <row r="2543" spans="1:10" x14ac:dyDescent="0.2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Jaime\QUIFA-CAJÚA\Cajua\[VAS_CAJUA_CF_SEC_20230125.xlsx]CF PDP'!</v>
      </c>
      <c r="G2543" s="7" t="s">
        <v>41</v>
      </c>
      <c r="H2543" s="4">
        <f t="shared" si="571"/>
        <v>69</v>
      </c>
      <c r="I2543" s="4" t="str">
        <f t="shared" si="572"/>
        <v>='C:\Users\jaime.benazar\Quorum Business Solutions\Ecopetrol Prometeo - Documents\Planning Space Implementation\3. Analysis &amp; Design\Design\FC22\DRR Jaime\QUIFA-CAJÚA\Cajua\[VAS_CAJUA_CF_SEC_20230125.xlsx]CF PDP'!$DN$69</v>
      </c>
      <c r="J2543" s="4" t="s">
        <v>1272</v>
      </c>
    </row>
    <row r="2544" spans="1:10" x14ac:dyDescent="0.2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Jaime\QUIFA-CAJÚA\Cajua\[VAS_CAJUA_CF_SEC_20230125.xlsx]CF PDP'!</v>
      </c>
      <c r="G2544" s="7" t="s">
        <v>41</v>
      </c>
      <c r="H2544" s="4">
        <f t="shared" si="571"/>
        <v>70</v>
      </c>
      <c r="I2544" s="4" t="str">
        <f t="shared" si="572"/>
        <v>='C:\Users\jaime.benazar\Quorum Business Solutions\Ecopetrol Prometeo - Documents\Planning Space Implementation\3. Analysis &amp; Design\Design\FC22\DRR Jaime\QUIFA-CAJÚA\Cajua\[VAS_CAJUA_CF_SEC_20230125.xlsx]CF PDP'!$DN$70</v>
      </c>
      <c r="J2544" s="4" t="s">
        <v>1273</v>
      </c>
    </row>
    <row r="2545" spans="1:10" x14ac:dyDescent="0.2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Jaime\QUIFA-CAJÚA\Cajua\[VAS_CAJUA_CF_SEC_20230125.xlsx]CF PDP'!</v>
      </c>
      <c r="G2545" s="7" t="s">
        <v>41</v>
      </c>
      <c r="H2545" s="4">
        <f t="shared" si="571"/>
        <v>71</v>
      </c>
      <c r="I2545" s="4" t="str">
        <f t="shared" si="572"/>
        <v>='C:\Users\jaime.benazar\Quorum Business Solutions\Ecopetrol Prometeo - Documents\Planning Space Implementation\3. Analysis &amp; Design\Design\FC22\DRR Jaime\QUIFA-CAJÚA\Cajua\[VAS_CAJUA_CF_SEC_20230125.xlsx]CF PDP'!$DN$71</v>
      </c>
      <c r="J2545" s="4" t="s">
        <v>1274</v>
      </c>
    </row>
    <row r="2546" spans="1:10" x14ac:dyDescent="0.2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Jaime\QUIFA-CAJÚA\Cajua\[VAS_CAJUA_CF_SEC_20230125.xlsx]CF PDP'!</v>
      </c>
      <c r="G2546" s="7" t="s">
        <v>41</v>
      </c>
      <c r="H2546" s="4">
        <f t="shared" si="571"/>
        <v>72</v>
      </c>
      <c r="I2546" s="4" t="str">
        <f t="shared" si="572"/>
        <v>='C:\Users\jaime.benazar\Quorum Business Solutions\Ecopetrol Prometeo - Documents\Planning Space Implementation\3. Analysis &amp; Design\Design\FC22\DRR Jaime\QUIFA-CAJÚA\Cajua\[VAS_CAJUA_CF_SEC_20230125.xlsx]CF PDP'!$DN$72</v>
      </c>
      <c r="J2546" s="4" t="s">
        <v>1275</v>
      </c>
    </row>
    <row r="2547" spans="1:10" x14ac:dyDescent="0.25">
      <c r="A2547" s="7" t="s">
        <v>28</v>
      </c>
      <c r="B2547" s="7"/>
      <c r="C2547" s="4" t="s">
        <v>23</v>
      </c>
      <c r="D2547" s="5"/>
      <c r="E2547" s="10"/>
      <c r="F2547" s="2"/>
      <c r="G2547" s="7"/>
      <c r="H2547" s="4"/>
      <c r="I2547" s="4"/>
      <c r="J2547" s="4"/>
    </row>
    <row r="2548" spans="1:10" x14ac:dyDescent="0.2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Jaime\QUIFA-CAJÚA\Cajua\[VAS_CAJUA_CF_SEC_20230125.xlsx]CF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Jaime\QUIFA-CAJÚA\Cajua\[VAS_CAJUA_CF_SEC_20230125.xlsx]CF PNP'!$DN$36</v>
      </c>
      <c r="J2548" s="4" t="s">
        <v>1276</v>
      </c>
    </row>
    <row r="2549" spans="1:10" x14ac:dyDescent="0.2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Jaime\QUIFA-CAJÚA\Cajua\[VAS_CAJUA_CF_SEC_20230125.xlsx]CF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Jaime\QUIFA-CAJÚA\Cajua\[VAS_CAJUA_CF_SEC_20230125.xlsx]CF PNP'!$DN$37</v>
      </c>
      <c r="J2549" s="4" t="s">
        <v>1277</v>
      </c>
    </row>
    <row r="2550" spans="1:10" x14ac:dyDescent="0.2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Jaime\QUIFA-CAJÚA\Cajua\[VAS_CAJUA_CF_SEC_20230125.xlsx]CF PNP'!</v>
      </c>
      <c r="G2550" s="7" t="s">
        <v>41</v>
      </c>
      <c r="H2550" s="4">
        <f t="shared" si="576"/>
        <v>38</v>
      </c>
      <c r="I2550" s="4" t="str">
        <f t="shared" si="575"/>
        <v>='C:\Users\jaime.benazar\Quorum Business Solutions\Ecopetrol Prometeo - Documents\Planning Space Implementation\3. Analysis &amp; Design\Design\FC22\DRR Jaime\QUIFA-CAJÚA\Cajua\[VAS_CAJUA_CF_SEC_20230125.xlsx]CF PNP'!$DN$38</v>
      </c>
      <c r="J2550" s="4" t="s">
        <v>1278</v>
      </c>
    </row>
    <row r="2551" spans="1:10" x14ac:dyDescent="0.2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Jaime\QUIFA-CAJÚA\Cajua\[VAS_CAJUA_CF_SEC_20230125.xlsx]CF PNP'!</v>
      </c>
      <c r="G2551" s="7" t="s">
        <v>41</v>
      </c>
      <c r="H2551" s="4">
        <f t="shared" si="576"/>
        <v>39</v>
      </c>
      <c r="I2551" s="4" t="str">
        <f t="shared" si="575"/>
        <v>='C:\Users\jaime.benazar\Quorum Business Solutions\Ecopetrol Prometeo - Documents\Planning Space Implementation\3. Analysis &amp; Design\Design\FC22\DRR Jaime\QUIFA-CAJÚA\Cajua\[VAS_CAJUA_CF_SEC_20230125.xlsx]CF PNP'!$DN$39</v>
      </c>
      <c r="J2551" s="4" t="s">
        <v>1279</v>
      </c>
    </row>
    <row r="2552" spans="1:10" x14ac:dyDescent="0.2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Jaime\QUIFA-CAJÚA\Cajua\[VAS_CAJUA_CF_SEC_20230125.xlsx]CF PNP'!</v>
      </c>
      <c r="G2552" s="7" t="s">
        <v>41</v>
      </c>
      <c r="H2552" s="4">
        <f t="shared" si="576"/>
        <v>40</v>
      </c>
      <c r="I2552" s="4" t="str">
        <f t="shared" si="575"/>
        <v>='C:\Users\jaime.benazar\Quorum Business Solutions\Ecopetrol Prometeo - Documents\Planning Space Implementation\3. Analysis &amp; Design\Design\FC22\DRR Jaime\QUIFA-CAJÚA\Cajua\[VAS_CAJUA_CF_SEC_20230125.xlsx]CF PNP'!$DN$40</v>
      </c>
      <c r="J2552" s="4" t="s">
        <v>1280</v>
      </c>
    </row>
    <row r="2553" spans="1:10" x14ac:dyDescent="0.2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Jaime\QUIFA-CAJÚA\Cajua\[VAS_CAJUA_CF_SEC_20230125.xlsx]CF PNP'!</v>
      </c>
      <c r="G2553" s="7" t="s">
        <v>41</v>
      </c>
      <c r="H2553" s="4">
        <f t="shared" si="576"/>
        <v>41</v>
      </c>
      <c r="I2553" s="4" t="str">
        <f t="shared" si="575"/>
        <v>='C:\Users\jaime.benazar\Quorum Business Solutions\Ecopetrol Prometeo - Documents\Planning Space Implementation\3. Analysis &amp; Design\Design\FC22\DRR Jaime\QUIFA-CAJÚA\Cajua\[VAS_CAJUA_CF_SEC_20230125.xlsx]CF PNP'!$DN$41</v>
      </c>
      <c r="J2553" s="4" t="s">
        <v>1281</v>
      </c>
    </row>
    <row r="2554" spans="1:10" x14ac:dyDescent="0.2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Jaime\QUIFA-CAJÚA\Cajua\[VAS_CAJUA_CF_SEC_20230125.xlsx]CF PNP'!</v>
      </c>
      <c r="G2554" s="7" t="s">
        <v>41</v>
      </c>
      <c r="H2554" s="4">
        <f t="shared" si="576"/>
        <v>42</v>
      </c>
      <c r="I2554" s="4" t="str">
        <f t="shared" si="575"/>
        <v>='C:\Users\jaime.benazar\Quorum Business Solutions\Ecopetrol Prometeo - Documents\Planning Space Implementation\3. Analysis &amp; Design\Design\FC22\DRR Jaime\QUIFA-CAJÚA\Cajua\[VAS_CAJUA_CF_SEC_20230125.xlsx]CF PNP'!$DN$42</v>
      </c>
      <c r="J2554" s="4" t="s">
        <v>1282</v>
      </c>
    </row>
    <row r="2555" spans="1:10" x14ac:dyDescent="0.2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Jaime\QUIFA-CAJÚA\Cajua\[VAS_CAJUA_CF_SEC_20230125.xlsx]CF PNP'!</v>
      </c>
      <c r="G2555" s="7" t="s">
        <v>41</v>
      </c>
      <c r="H2555" s="4">
        <f t="shared" si="576"/>
        <v>43</v>
      </c>
      <c r="I2555" s="4" t="str">
        <f t="shared" si="575"/>
        <v>='C:\Users\jaime.benazar\Quorum Business Solutions\Ecopetrol Prometeo - Documents\Planning Space Implementation\3. Analysis &amp; Design\Design\FC22\DRR Jaime\QUIFA-CAJÚA\Cajua\[VAS_CAJUA_CF_SEC_20230125.xlsx]CF PNP'!$DN$43</v>
      </c>
      <c r="J2555" s="4" t="s">
        <v>1283</v>
      </c>
    </row>
    <row r="2556" spans="1:10" x14ac:dyDescent="0.2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Jaime\QUIFA-CAJÚA\Cajua\[VAS_CAJUA_CF_SEC_20230125.xlsx]CF PNP'!</v>
      </c>
      <c r="G2556" s="7" t="s">
        <v>41</v>
      </c>
      <c r="H2556" s="4">
        <f t="shared" si="576"/>
        <v>44</v>
      </c>
      <c r="I2556" s="4" t="str">
        <f t="shared" si="575"/>
        <v>='C:\Users\jaime.benazar\Quorum Business Solutions\Ecopetrol Prometeo - Documents\Planning Space Implementation\3. Analysis &amp; Design\Design\FC22\DRR Jaime\QUIFA-CAJÚA\Cajua\[VAS_CAJUA_CF_SEC_20230125.xlsx]CF PNP'!$DN$44</v>
      </c>
      <c r="J2556" s="4" t="s">
        <v>1284</v>
      </c>
    </row>
    <row r="2557" spans="1:10" x14ac:dyDescent="0.2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Jaime\QUIFA-CAJÚA\Cajua\[VAS_CAJUA_CF_SEC_20230125.xlsx]CF PNP'!</v>
      </c>
      <c r="G2557" s="7" t="s">
        <v>41</v>
      </c>
      <c r="H2557" s="4">
        <f t="shared" si="576"/>
        <v>45</v>
      </c>
      <c r="I2557" s="4" t="str">
        <f t="shared" si="575"/>
        <v>='C:\Users\jaime.benazar\Quorum Business Solutions\Ecopetrol Prometeo - Documents\Planning Space Implementation\3. Analysis &amp; Design\Design\FC22\DRR Jaime\QUIFA-CAJÚA\Cajua\[VAS_CAJUA_CF_SEC_20230125.xlsx]CF PNP'!$DN$45</v>
      </c>
      <c r="J2557" s="4" t="s">
        <v>1285</v>
      </c>
    </row>
    <row r="2558" spans="1:10" x14ac:dyDescent="0.2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Jaime\QUIFA-CAJÚA\Cajua\[VAS_CAJUA_CF_SEC_20230125.xlsx]CF PNP'!</v>
      </c>
      <c r="G2558" s="7" t="s">
        <v>41</v>
      </c>
      <c r="H2558" s="4">
        <f t="shared" si="576"/>
        <v>46</v>
      </c>
      <c r="I2558" s="4" t="str">
        <f t="shared" si="575"/>
        <v>='C:\Users\jaime.benazar\Quorum Business Solutions\Ecopetrol Prometeo - Documents\Planning Space Implementation\3. Analysis &amp; Design\Design\FC22\DRR Jaime\QUIFA-CAJÚA\Cajua\[VAS_CAJUA_CF_SEC_20230125.xlsx]CF PNP'!$DN$46</v>
      </c>
      <c r="J2558" s="4" t="s">
        <v>1286</v>
      </c>
    </row>
    <row r="2559" spans="1:10" x14ac:dyDescent="0.2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Jaime\QUIFA-CAJÚA\Cajua\[VAS_CAJUA_CF_SEC_20230125.xlsx]CF PNP'!</v>
      </c>
      <c r="G2559" s="7" t="s">
        <v>41</v>
      </c>
      <c r="H2559" s="4">
        <f t="shared" si="576"/>
        <v>47</v>
      </c>
      <c r="I2559" s="4" t="str">
        <f t="shared" si="575"/>
        <v>='C:\Users\jaime.benazar\Quorum Business Solutions\Ecopetrol Prometeo - Documents\Planning Space Implementation\3. Analysis &amp; Design\Design\FC22\DRR Jaime\QUIFA-CAJÚA\Cajua\[VAS_CAJUA_CF_SEC_20230125.xlsx]CF PNP'!$DN$47</v>
      </c>
      <c r="J2559" s="4" t="s">
        <v>1287</v>
      </c>
    </row>
    <row r="2560" spans="1:10" x14ac:dyDescent="0.2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Jaime\QUIFA-CAJÚA\Cajua\[VAS_CAJUA_CF_SEC_20230125.xlsx]CF PNP'!</v>
      </c>
      <c r="G2560" s="7" t="s">
        <v>41</v>
      </c>
      <c r="H2560" s="4">
        <f t="shared" si="576"/>
        <v>48</v>
      </c>
      <c r="I2560" s="4" t="str">
        <f t="shared" si="575"/>
        <v>='C:\Users\jaime.benazar\Quorum Business Solutions\Ecopetrol Prometeo - Documents\Planning Space Implementation\3. Analysis &amp; Design\Design\FC22\DRR Jaime\QUIFA-CAJÚA\Cajua\[VAS_CAJUA_CF_SEC_20230125.xlsx]CF PNP'!$DN$48</v>
      </c>
      <c r="J2560" s="4" t="s">
        <v>1288</v>
      </c>
    </row>
    <row r="2561" spans="1:10" x14ac:dyDescent="0.2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Jaime\QUIFA-CAJÚA\Cajua\[VAS_CAJUA_CF_SEC_20230125.xlsx]CF PNP'!</v>
      </c>
      <c r="G2561" s="7" t="s">
        <v>41</v>
      </c>
      <c r="H2561" s="4">
        <f t="shared" si="576"/>
        <v>49</v>
      </c>
      <c r="I2561" s="4" t="str">
        <f t="shared" si="575"/>
        <v>='C:\Users\jaime.benazar\Quorum Business Solutions\Ecopetrol Prometeo - Documents\Planning Space Implementation\3. Analysis &amp; Design\Design\FC22\DRR Jaime\QUIFA-CAJÚA\Cajua\[VAS_CAJUA_CF_SEC_20230125.xlsx]CF PNP'!$DN$49</v>
      </c>
      <c r="J2561" s="4" t="s">
        <v>1289</v>
      </c>
    </row>
    <row r="2562" spans="1:10" x14ac:dyDescent="0.2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Jaime\QUIFA-CAJÚA\Cajua\[VAS_CAJUA_CF_SEC_20230125.xlsx]CF PNP'!</v>
      </c>
      <c r="G2562" s="7" t="s">
        <v>41</v>
      </c>
      <c r="H2562" s="4">
        <f t="shared" si="576"/>
        <v>50</v>
      </c>
      <c r="I2562" s="4" t="str">
        <f t="shared" si="575"/>
        <v>='C:\Users\jaime.benazar\Quorum Business Solutions\Ecopetrol Prometeo - Documents\Planning Space Implementation\3. Analysis &amp; Design\Design\FC22\DRR Jaime\QUIFA-CAJÚA\Cajua\[VAS_CAJUA_CF_SEC_20230125.xlsx]CF PNP'!$DN$50</v>
      </c>
      <c r="J2562" s="4" t="s">
        <v>1290</v>
      </c>
    </row>
    <row r="2563" spans="1:10" x14ac:dyDescent="0.2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Jaime\QUIFA-CAJÚA\Cajua\[VAS_CAJUA_CF_SEC_20230125.xlsx]CF PNP'!</v>
      </c>
      <c r="G2563" s="7" t="s">
        <v>41</v>
      </c>
      <c r="H2563" s="4">
        <f t="shared" si="576"/>
        <v>51</v>
      </c>
      <c r="I2563" s="4" t="str">
        <f t="shared" si="575"/>
        <v>='C:\Users\jaime.benazar\Quorum Business Solutions\Ecopetrol Prometeo - Documents\Planning Space Implementation\3. Analysis &amp; Design\Design\FC22\DRR Jaime\QUIFA-CAJÚA\Cajua\[VAS_CAJUA_CF_SEC_20230125.xlsx]CF PNP'!$DN$51</v>
      </c>
      <c r="J2563" s="4" t="s">
        <v>1291</v>
      </c>
    </row>
    <row r="2564" spans="1:10" x14ac:dyDescent="0.2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Jaime\QUIFA-CAJÚA\Cajua\[VAS_CAJUA_CF_SEC_20230125.xlsx]CF PNP'!</v>
      </c>
      <c r="G2564" s="7" t="s">
        <v>41</v>
      </c>
      <c r="H2564" s="4">
        <f t="shared" si="576"/>
        <v>52</v>
      </c>
      <c r="I2564" s="4" t="str">
        <f t="shared" si="575"/>
        <v>='C:\Users\jaime.benazar\Quorum Business Solutions\Ecopetrol Prometeo - Documents\Planning Space Implementation\3. Analysis &amp; Design\Design\FC22\DRR Jaime\QUIFA-CAJÚA\Cajua\[VAS_CAJUA_CF_SEC_20230125.xlsx]CF PNP'!$DN$52</v>
      </c>
      <c r="J2564" s="4" t="s">
        <v>1292</v>
      </c>
    </row>
    <row r="2565" spans="1:10" x14ac:dyDescent="0.2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Jaime\QUIFA-CAJÚA\Cajua\[VAS_CAJUA_CF_SEC_20230125.xlsx]CF PNP'!</v>
      </c>
      <c r="G2565" s="7" t="s">
        <v>41</v>
      </c>
      <c r="H2565" s="4">
        <f t="shared" si="576"/>
        <v>53</v>
      </c>
      <c r="I2565" s="4" t="str">
        <f t="shared" si="575"/>
        <v>='C:\Users\jaime.benazar\Quorum Business Solutions\Ecopetrol Prometeo - Documents\Planning Space Implementation\3. Analysis &amp; Design\Design\FC22\DRR Jaime\QUIFA-CAJÚA\Cajua\[VAS_CAJUA_CF_SEC_20230125.xlsx]CF PNP'!$DN$53</v>
      </c>
      <c r="J2565" s="4" t="s">
        <v>1293</v>
      </c>
    </row>
    <row r="2566" spans="1:10" x14ac:dyDescent="0.2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Jaime\QUIFA-CAJÚA\Cajua\[VAS_CAJUA_CF_SEC_20230125.xlsx]CF PNP'!</v>
      </c>
      <c r="G2566" s="7" t="s">
        <v>41</v>
      </c>
      <c r="H2566" s="4">
        <f t="shared" si="576"/>
        <v>54</v>
      </c>
      <c r="I2566" s="4" t="str">
        <f t="shared" si="575"/>
        <v>='C:\Users\jaime.benazar\Quorum Business Solutions\Ecopetrol Prometeo - Documents\Planning Space Implementation\3. Analysis &amp; Design\Design\FC22\DRR Jaime\QUIFA-CAJÚA\Cajua\[VAS_CAJUA_CF_SEC_20230125.xlsx]CF PNP'!$DN$54</v>
      </c>
      <c r="J2566" s="4" t="s">
        <v>1294</v>
      </c>
    </row>
    <row r="2567" spans="1:10" x14ac:dyDescent="0.2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Jaime\QUIFA-CAJÚA\Cajua\[VAS_CAJUA_CF_SEC_20230125.xlsx]CF PNP'!</v>
      </c>
      <c r="G2567" s="7" t="s">
        <v>41</v>
      </c>
      <c r="H2567" s="4">
        <f t="shared" si="576"/>
        <v>55</v>
      </c>
      <c r="I2567" s="4" t="str">
        <f t="shared" si="575"/>
        <v>='C:\Users\jaime.benazar\Quorum Business Solutions\Ecopetrol Prometeo - Documents\Planning Space Implementation\3. Analysis &amp; Design\Design\FC22\DRR Jaime\QUIFA-CAJÚA\Cajua\[VAS_CAJUA_CF_SEC_20230125.xlsx]CF PNP'!$DN$55</v>
      </c>
      <c r="J2567" s="4" t="s">
        <v>1295</v>
      </c>
    </row>
    <row r="2568" spans="1:10" x14ac:dyDescent="0.2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Jaime\QUIFA-CAJÚA\Cajua\[VAS_CAJUA_CF_SEC_20230125.xlsx]CF PNP'!</v>
      </c>
      <c r="G2568" s="7" t="s">
        <v>41</v>
      </c>
      <c r="H2568" s="4">
        <f t="shared" si="576"/>
        <v>56</v>
      </c>
      <c r="I2568" s="4" t="str">
        <f t="shared" si="575"/>
        <v>='C:\Users\jaime.benazar\Quorum Business Solutions\Ecopetrol Prometeo - Documents\Planning Space Implementation\3. Analysis &amp; Design\Design\FC22\DRR Jaime\QUIFA-CAJÚA\Cajua\[VAS_CAJUA_CF_SEC_20230125.xlsx]CF PNP'!$DN$56</v>
      </c>
      <c r="J2568" s="4" t="s">
        <v>1296</v>
      </c>
    </row>
    <row r="2569" spans="1:10" x14ac:dyDescent="0.2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Jaime\QUIFA-CAJÚA\Cajua\[VAS_CAJUA_CF_SEC_20230125.xlsx]CF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Jaime\QUIFA-CAJÚA\Cajua\[VAS_CAJUA_CF_SEC_20230125.xlsx]CF PNP'!$DN$57</v>
      </c>
      <c r="J2569" s="4" t="s">
        <v>1297</v>
      </c>
    </row>
    <row r="2570" spans="1:10" x14ac:dyDescent="0.2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Jaime\QUIFA-CAJÚA\Cajua\[VAS_CAJUA_CF_SEC_20230125.xlsx]CF PNP'!</v>
      </c>
      <c r="G2570" s="7" t="s">
        <v>41</v>
      </c>
      <c r="H2570" s="4">
        <f t="shared" si="582"/>
        <v>58</v>
      </c>
      <c r="I2570" s="4" t="str">
        <f t="shared" si="583"/>
        <v>='C:\Users\jaime.benazar\Quorum Business Solutions\Ecopetrol Prometeo - Documents\Planning Space Implementation\3. Analysis &amp; Design\Design\FC22\DRR Jaime\QUIFA-CAJÚA\Cajua\[VAS_CAJUA_CF_SEC_20230125.xlsx]CF PNP'!$DN$58</v>
      </c>
      <c r="J2570" s="4" t="s">
        <v>1298</v>
      </c>
    </row>
    <row r="2571" spans="1:10" x14ac:dyDescent="0.2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Jaime\QUIFA-CAJÚA\Cajua\[VAS_CAJUA_CF_SEC_20230125.xlsx]CF PNP'!</v>
      </c>
      <c r="G2571" s="7" t="s">
        <v>41</v>
      </c>
      <c r="H2571" s="4">
        <f t="shared" si="582"/>
        <v>59</v>
      </c>
      <c r="I2571" s="4" t="str">
        <f t="shared" si="583"/>
        <v>='C:\Users\jaime.benazar\Quorum Business Solutions\Ecopetrol Prometeo - Documents\Planning Space Implementation\3. Analysis &amp; Design\Design\FC22\DRR Jaime\QUIFA-CAJÚA\Cajua\[VAS_CAJUA_CF_SEC_20230125.xlsx]CF PNP'!$DN$59</v>
      </c>
      <c r="J2571" s="4" t="s">
        <v>1299</v>
      </c>
    </row>
    <row r="2572" spans="1:10" x14ac:dyDescent="0.2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Jaime\QUIFA-CAJÚA\Cajua\[VAS_CAJUA_CF_SEC_20230125.xlsx]CF PNP'!</v>
      </c>
      <c r="G2572" s="7" t="s">
        <v>41</v>
      </c>
      <c r="H2572" s="4">
        <f t="shared" si="582"/>
        <v>60</v>
      </c>
      <c r="I2572" s="4" t="str">
        <f t="shared" si="583"/>
        <v>='C:\Users\jaime.benazar\Quorum Business Solutions\Ecopetrol Prometeo - Documents\Planning Space Implementation\3. Analysis &amp; Design\Design\FC22\DRR Jaime\QUIFA-CAJÚA\Cajua\[VAS_CAJUA_CF_SEC_20230125.xlsx]CF PNP'!$DN$60</v>
      </c>
      <c r="J2572" s="4" t="s">
        <v>1300</v>
      </c>
    </row>
    <row r="2573" spans="1:10" x14ac:dyDescent="0.2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Jaime\QUIFA-CAJÚA\Cajua\[VAS_CAJUA_CF_SEC_20230125.xlsx]CF PNP'!</v>
      </c>
      <c r="G2573" s="7" t="s">
        <v>41</v>
      </c>
      <c r="H2573" s="4">
        <f t="shared" si="582"/>
        <v>61</v>
      </c>
      <c r="I2573" s="4" t="str">
        <f t="shared" si="583"/>
        <v>='C:\Users\jaime.benazar\Quorum Business Solutions\Ecopetrol Prometeo - Documents\Planning Space Implementation\3. Analysis &amp; Design\Design\FC22\DRR Jaime\QUIFA-CAJÚA\Cajua\[VAS_CAJUA_CF_SEC_20230125.xlsx]CF PNP'!$DN$61</v>
      </c>
      <c r="J2573" s="4" t="s">
        <v>1301</v>
      </c>
    </row>
    <row r="2574" spans="1:10" x14ac:dyDescent="0.2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Jaime\QUIFA-CAJÚA\Cajua\[VAS_CAJUA_CF_SEC_20230125.xlsx]CF PNP'!</v>
      </c>
      <c r="G2574" s="7" t="s">
        <v>41</v>
      </c>
      <c r="H2574" s="4">
        <f t="shared" si="582"/>
        <v>62</v>
      </c>
      <c r="I2574" s="4" t="str">
        <f t="shared" si="583"/>
        <v>='C:\Users\jaime.benazar\Quorum Business Solutions\Ecopetrol Prometeo - Documents\Planning Space Implementation\3. Analysis &amp; Design\Design\FC22\DRR Jaime\QUIFA-CAJÚA\Cajua\[VAS_CAJUA_CF_SEC_20230125.xlsx]CF PNP'!$DN$62</v>
      </c>
      <c r="J2574" s="4" t="s">
        <v>1302</v>
      </c>
    </row>
    <row r="2575" spans="1:10" x14ac:dyDescent="0.2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Jaime\QUIFA-CAJÚA\Cajua\[VAS_CAJUA_CF_SEC_20230125.xlsx]CF PNP'!</v>
      </c>
      <c r="G2575" s="7" t="s">
        <v>41</v>
      </c>
      <c r="H2575" s="4">
        <f t="shared" si="582"/>
        <v>63</v>
      </c>
      <c r="I2575" s="4" t="str">
        <f t="shared" si="583"/>
        <v>='C:\Users\jaime.benazar\Quorum Business Solutions\Ecopetrol Prometeo - Documents\Planning Space Implementation\3. Analysis &amp; Design\Design\FC22\DRR Jaime\QUIFA-CAJÚA\Cajua\[VAS_CAJUA_CF_SEC_20230125.xlsx]CF PNP'!$DN$63</v>
      </c>
      <c r="J2575" s="4" t="s">
        <v>1303</v>
      </c>
    </row>
    <row r="2576" spans="1:10" x14ac:dyDescent="0.2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Jaime\QUIFA-CAJÚA\Cajua\[VAS_CAJUA_CF_SEC_20230125.xlsx]CF PNP'!</v>
      </c>
      <c r="G2576" s="7" t="s">
        <v>41</v>
      </c>
      <c r="H2576" s="4">
        <f t="shared" si="582"/>
        <v>64</v>
      </c>
      <c r="I2576" s="4" t="str">
        <f t="shared" si="583"/>
        <v>='C:\Users\jaime.benazar\Quorum Business Solutions\Ecopetrol Prometeo - Documents\Planning Space Implementation\3. Analysis &amp; Design\Design\FC22\DRR Jaime\QUIFA-CAJÚA\Cajua\[VAS_CAJUA_CF_SEC_20230125.xlsx]CF PNP'!$DN$64</v>
      </c>
      <c r="J2576" s="4" t="s">
        <v>1304</v>
      </c>
    </row>
    <row r="2577" spans="1:10" x14ac:dyDescent="0.2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Jaime\QUIFA-CAJÚA\Cajua\[VAS_CAJUA_CF_SEC_20230125.xlsx]CF PNP'!</v>
      </c>
      <c r="G2577" s="7" t="s">
        <v>41</v>
      </c>
      <c r="H2577" s="4">
        <f t="shared" si="582"/>
        <v>65</v>
      </c>
      <c r="I2577" s="4" t="str">
        <f t="shared" si="583"/>
        <v>='C:\Users\jaime.benazar\Quorum Business Solutions\Ecopetrol Prometeo - Documents\Planning Space Implementation\3. Analysis &amp; Design\Design\FC22\DRR Jaime\QUIFA-CAJÚA\Cajua\[VAS_CAJUA_CF_SEC_20230125.xlsx]CF PNP'!$DN$65</v>
      </c>
      <c r="J2577" s="4" t="s">
        <v>1305</v>
      </c>
    </row>
    <row r="2578" spans="1:10" x14ac:dyDescent="0.2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Jaime\QUIFA-CAJÚA\Cajua\[VAS_CAJUA_CF_SEC_20230125.xlsx]CF PNP'!</v>
      </c>
      <c r="G2578" s="7" t="s">
        <v>41</v>
      </c>
      <c r="H2578" s="4">
        <f t="shared" si="582"/>
        <v>66</v>
      </c>
      <c r="I2578" s="4" t="str">
        <f t="shared" si="583"/>
        <v>='C:\Users\jaime.benazar\Quorum Business Solutions\Ecopetrol Prometeo - Documents\Planning Space Implementation\3. Analysis &amp; Design\Design\FC22\DRR Jaime\QUIFA-CAJÚA\Cajua\[VAS_CAJUA_CF_SEC_20230125.xlsx]CF PNP'!$DN$66</v>
      </c>
      <c r="J2578" s="4" t="s">
        <v>1306</v>
      </c>
    </row>
    <row r="2579" spans="1:10" x14ac:dyDescent="0.2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Jaime\QUIFA-CAJÚA\Cajua\[VAS_CAJUA_CF_SEC_20230125.xlsx]CF PNP'!</v>
      </c>
      <c r="G2579" s="7" t="s">
        <v>41</v>
      </c>
      <c r="H2579" s="4">
        <f t="shared" si="582"/>
        <v>67</v>
      </c>
      <c r="I2579" s="4" t="str">
        <f t="shared" si="583"/>
        <v>='C:\Users\jaime.benazar\Quorum Business Solutions\Ecopetrol Prometeo - Documents\Planning Space Implementation\3. Analysis &amp; Design\Design\FC22\DRR Jaime\QUIFA-CAJÚA\Cajua\[VAS_CAJUA_CF_SEC_20230125.xlsx]CF PNP'!$DN$67</v>
      </c>
      <c r="J2579" s="4" t="s">
        <v>1307</v>
      </c>
    </row>
    <row r="2580" spans="1:10" x14ac:dyDescent="0.2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Jaime\QUIFA-CAJÚA\Cajua\[VAS_CAJUA_CF_SEC_20230125.xlsx]CF PNP'!</v>
      </c>
      <c r="G2580" s="7" t="s">
        <v>41</v>
      </c>
      <c r="H2580" s="4">
        <f t="shared" si="582"/>
        <v>68</v>
      </c>
      <c r="I2580" s="4" t="str">
        <f t="shared" si="583"/>
        <v>='C:\Users\jaime.benazar\Quorum Business Solutions\Ecopetrol Prometeo - Documents\Planning Space Implementation\3. Analysis &amp; Design\Design\FC22\DRR Jaime\QUIFA-CAJÚA\Cajua\[VAS_CAJUA_CF_SEC_20230125.xlsx]CF PNP'!$DN$68</v>
      </c>
      <c r="J2580" s="4" t="s">
        <v>1308</v>
      </c>
    </row>
    <row r="2581" spans="1:10" x14ac:dyDescent="0.2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Jaime\QUIFA-CAJÚA\Cajua\[VAS_CAJUA_CF_SEC_20230125.xlsx]CF PNP'!</v>
      </c>
      <c r="G2581" s="7" t="s">
        <v>41</v>
      </c>
      <c r="H2581" s="4">
        <f t="shared" si="582"/>
        <v>69</v>
      </c>
      <c r="I2581" s="4" t="str">
        <f t="shared" si="583"/>
        <v>='C:\Users\jaime.benazar\Quorum Business Solutions\Ecopetrol Prometeo - Documents\Planning Space Implementation\3. Analysis &amp; Design\Design\FC22\DRR Jaime\QUIFA-CAJÚA\Cajua\[VAS_CAJUA_CF_SEC_20230125.xlsx]CF PNP'!$DN$69</v>
      </c>
      <c r="J2581" s="4" t="s">
        <v>1309</v>
      </c>
    </row>
    <row r="2582" spans="1:10" x14ac:dyDescent="0.2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Jaime\QUIFA-CAJÚA\Cajua\[VAS_CAJUA_CF_SEC_20230125.xlsx]CF PNP'!</v>
      </c>
      <c r="G2582" s="7" t="s">
        <v>41</v>
      </c>
      <c r="H2582" s="4">
        <f t="shared" si="582"/>
        <v>70</v>
      </c>
      <c r="I2582" s="4" t="str">
        <f t="shared" si="583"/>
        <v>='C:\Users\jaime.benazar\Quorum Business Solutions\Ecopetrol Prometeo - Documents\Planning Space Implementation\3. Analysis &amp; Design\Design\FC22\DRR Jaime\QUIFA-CAJÚA\Cajua\[VAS_CAJUA_CF_SEC_20230125.xlsx]CF PNP'!$DN$70</v>
      </c>
      <c r="J2582" s="4" t="s">
        <v>1310</v>
      </c>
    </row>
    <row r="2583" spans="1:10" x14ac:dyDescent="0.2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Jaime\QUIFA-CAJÚA\Cajua\[VAS_CAJUA_CF_SEC_20230125.xlsx]CF PNP'!</v>
      </c>
      <c r="G2583" s="7" t="s">
        <v>41</v>
      </c>
      <c r="H2583" s="4">
        <f t="shared" si="582"/>
        <v>71</v>
      </c>
      <c r="I2583" s="4" t="str">
        <f t="shared" si="583"/>
        <v>='C:\Users\jaime.benazar\Quorum Business Solutions\Ecopetrol Prometeo - Documents\Planning Space Implementation\3. Analysis &amp; Design\Design\FC22\DRR Jaime\QUIFA-CAJÚA\Cajua\[VAS_CAJUA_CF_SEC_20230125.xlsx]CF PNP'!$DN$71</v>
      </c>
      <c r="J2583" s="4" t="s">
        <v>1311</v>
      </c>
    </row>
    <row r="2584" spans="1:10" x14ac:dyDescent="0.2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Jaime\QUIFA-CAJÚA\Cajua\[VAS_CAJUA_CF_SEC_20230125.xlsx]CF PNP'!</v>
      </c>
      <c r="G2584" s="7" t="s">
        <v>41</v>
      </c>
      <c r="H2584" s="4">
        <f t="shared" si="582"/>
        <v>72</v>
      </c>
      <c r="I2584" s="4" t="str">
        <f t="shared" si="583"/>
        <v>='C:\Users\jaime.benazar\Quorum Business Solutions\Ecopetrol Prometeo - Documents\Planning Space Implementation\3. Analysis &amp; Design\Design\FC22\DRR Jaime\QUIFA-CAJÚA\Cajua\[VAS_CAJUA_CF_SEC_20230125.xlsx]CF PNP'!$DN$72</v>
      </c>
      <c r="J2584" s="4" t="s">
        <v>1312</v>
      </c>
    </row>
    <row r="2585" spans="1:10" x14ac:dyDescent="0.25">
      <c r="A2585" s="7" t="s">
        <v>28</v>
      </c>
      <c r="B2585" s="7"/>
      <c r="C2585" s="4" t="s">
        <v>23</v>
      </c>
      <c r="D2585" s="5"/>
      <c r="E2585" s="10"/>
      <c r="F2585" s="5"/>
      <c r="G2585" s="7"/>
      <c r="H2585" s="4"/>
      <c r="I2585" s="4"/>
      <c r="J2585" s="4"/>
    </row>
    <row r="2586" spans="1:10" x14ac:dyDescent="0.2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Jaime\QUIFA-CAJÚA\Cajua\[VAS_CAJUA_CF_SEC_20230125.xlsx]CF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Jaime\QUIFA-CAJÚA\Cajua\[VAS_CAJUA_CF_SEC_20230125.xlsx]CF PND'!$DN$36</v>
      </c>
      <c r="J2586" s="4" t="s">
        <v>1313</v>
      </c>
    </row>
    <row r="2587" spans="1:10" x14ac:dyDescent="0.2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Jaime\QUIFA-CAJÚA\Cajua\[VAS_CAJUA_CF_SEC_20230125.xlsx]CF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Jaime\QUIFA-CAJÚA\Cajua\[VAS_CAJUA_CF_SEC_20230125.xlsx]CF PND'!$DN$37</v>
      </c>
      <c r="J2587" s="4" t="s">
        <v>1314</v>
      </c>
    </row>
    <row r="2588" spans="1:10" x14ac:dyDescent="0.2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Jaime\QUIFA-CAJÚA\Cajua\[VAS_CAJUA_CF_SEC_20230125.xlsx]CF PND'!</v>
      </c>
      <c r="G2588" s="7" t="s">
        <v>41</v>
      </c>
      <c r="H2588" s="4">
        <f t="shared" si="588"/>
        <v>38</v>
      </c>
      <c r="I2588" s="4" t="str">
        <f t="shared" si="587"/>
        <v>='C:\Users\jaime.benazar\Quorum Business Solutions\Ecopetrol Prometeo - Documents\Planning Space Implementation\3. Analysis &amp; Design\Design\FC22\DRR Jaime\QUIFA-CAJÚA\Cajua\[VAS_CAJUA_CF_SEC_20230125.xlsx]CF PND'!$DN$38</v>
      </c>
      <c r="J2588" s="4" t="s">
        <v>1315</v>
      </c>
    </row>
    <row r="2589" spans="1:10" x14ac:dyDescent="0.2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Jaime\QUIFA-CAJÚA\Cajua\[VAS_CAJUA_CF_SEC_20230125.xlsx]CF PND'!</v>
      </c>
      <c r="G2589" s="7" t="s">
        <v>41</v>
      </c>
      <c r="H2589" s="4">
        <f t="shared" si="588"/>
        <v>39</v>
      </c>
      <c r="I2589" s="4" t="str">
        <f t="shared" si="587"/>
        <v>='C:\Users\jaime.benazar\Quorum Business Solutions\Ecopetrol Prometeo - Documents\Planning Space Implementation\3. Analysis &amp; Design\Design\FC22\DRR Jaime\QUIFA-CAJÚA\Cajua\[VAS_CAJUA_CF_SEC_20230125.xlsx]CF PND'!$DN$39</v>
      </c>
      <c r="J2589" s="4" t="s">
        <v>1316</v>
      </c>
    </row>
    <row r="2590" spans="1:10" x14ac:dyDescent="0.2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Jaime\QUIFA-CAJÚA\Cajua\[VAS_CAJUA_CF_SEC_20230125.xlsx]CF PND'!</v>
      </c>
      <c r="G2590" s="7" t="s">
        <v>41</v>
      </c>
      <c r="H2590" s="4">
        <f t="shared" si="588"/>
        <v>40</v>
      </c>
      <c r="I2590" s="4" t="str">
        <f t="shared" si="587"/>
        <v>='C:\Users\jaime.benazar\Quorum Business Solutions\Ecopetrol Prometeo - Documents\Planning Space Implementation\3. Analysis &amp; Design\Design\FC22\DRR Jaime\QUIFA-CAJÚA\Cajua\[VAS_CAJUA_CF_SEC_20230125.xlsx]CF PND'!$DN$40</v>
      </c>
      <c r="J2590" s="4" t="s">
        <v>1317</v>
      </c>
    </row>
    <row r="2591" spans="1:10" x14ac:dyDescent="0.2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Jaime\QUIFA-CAJÚA\Cajua\[VAS_CAJUA_CF_SEC_20230125.xlsx]CF PND'!</v>
      </c>
      <c r="G2591" s="7" t="s">
        <v>41</v>
      </c>
      <c r="H2591" s="4">
        <f t="shared" si="588"/>
        <v>41</v>
      </c>
      <c r="I2591" s="4" t="str">
        <f t="shared" si="587"/>
        <v>='C:\Users\jaime.benazar\Quorum Business Solutions\Ecopetrol Prometeo - Documents\Planning Space Implementation\3. Analysis &amp; Design\Design\FC22\DRR Jaime\QUIFA-CAJÚA\Cajua\[VAS_CAJUA_CF_SEC_20230125.xlsx]CF PND'!$DN$41</v>
      </c>
      <c r="J2591" s="4" t="s">
        <v>1318</v>
      </c>
    </row>
    <row r="2592" spans="1:10" x14ac:dyDescent="0.2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Jaime\QUIFA-CAJÚA\Cajua\[VAS_CAJUA_CF_SEC_20230125.xlsx]CF PND'!</v>
      </c>
      <c r="G2592" s="7" t="s">
        <v>41</v>
      </c>
      <c r="H2592" s="4">
        <f t="shared" si="588"/>
        <v>42</v>
      </c>
      <c r="I2592" s="4" t="str">
        <f t="shared" si="587"/>
        <v>='C:\Users\jaime.benazar\Quorum Business Solutions\Ecopetrol Prometeo - Documents\Planning Space Implementation\3. Analysis &amp; Design\Design\FC22\DRR Jaime\QUIFA-CAJÚA\Cajua\[VAS_CAJUA_CF_SEC_20230125.xlsx]CF PND'!$DN$42</v>
      </c>
      <c r="J2592" s="4" t="s">
        <v>1319</v>
      </c>
    </row>
    <row r="2593" spans="1:10" x14ac:dyDescent="0.2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Jaime\QUIFA-CAJÚA\Cajua\[VAS_CAJUA_CF_SEC_20230125.xlsx]CF PND'!</v>
      </c>
      <c r="G2593" s="7" t="s">
        <v>41</v>
      </c>
      <c r="H2593" s="4">
        <f t="shared" si="588"/>
        <v>43</v>
      </c>
      <c r="I2593" s="4" t="str">
        <f t="shared" si="587"/>
        <v>='C:\Users\jaime.benazar\Quorum Business Solutions\Ecopetrol Prometeo - Documents\Planning Space Implementation\3. Analysis &amp; Design\Design\FC22\DRR Jaime\QUIFA-CAJÚA\Cajua\[VAS_CAJUA_CF_SEC_20230125.xlsx]CF PND'!$DN$43</v>
      </c>
      <c r="J2593" s="4" t="s">
        <v>1320</v>
      </c>
    </row>
    <row r="2594" spans="1:10" x14ac:dyDescent="0.2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Jaime\QUIFA-CAJÚA\Cajua\[VAS_CAJUA_CF_SEC_20230125.xlsx]CF PND'!</v>
      </c>
      <c r="G2594" s="7" t="s">
        <v>41</v>
      </c>
      <c r="H2594" s="4">
        <f t="shared" si="588"/>
        <v>44</v>
      </c>
      <c r="I2594" s="4" t="str">
        <f t="shared" si="587"/>
        <v>='C:\Users\jaime.benazar\Quorum Business Solutions\Ecopetrol Prometeo - Documents\Planning Space Implementation\3. Analysis &amp; Design\Design\FC22\DRR Jaime\QUIFA-CAJÚA\Cajua\[VAS_CAJUA_CF_SEC_20230125.xlsx]CF PND'!$DN$44</v>
      </c>
      <c r="J2594" s="4" t="s">
        <v>1321</v>
      </c>
    </row>
    <row r="2595" spans="1:10" x14ac:dyDescent="0.2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Jaime\QUIFA-CAJÚA\Cajua\[VAS_CAJUA_CF_SEC_20230125.xlsx]CF PND'!</v>
      </c>
      <c r="G2595" s="7" t="s">
        <v>41</v>
      </c>
      <c r="H2595" s="4">
        <f t="shared" si="588"/>
        <v>45</v>
      </c>
      <c r="I2595" s="4" t="str">
        <f t="shared" si="587"/>
        <v>='C:\Users\jaime.benazar\Quorum Business Solutions\Ecopetrol Prometeo - Documents\Planning Space Implementation\3. Analysis &amp; Design\Design\FC22\DRR Jaime\QUIFA-CAJÚA\Cajua\[VAS_CAJUA_CF_SEC_20230125.xlsx]CF PND'!$DN$45</v>
      </c>
      <c r="J2595" s="4" t="s">
        <v>1322</v>
      </c>
    </row>
    <row r="2596" spans="1:10" x14ac:dyDescent="0.2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Jaime\QUIFA-CAJÚA\Cajua\[VAS_CAJUA_CF_SEC_20230125.xlsx]CF PND'!</v>
      </c>
      <c r="G2596" s="7" t="s">
        <v>41</v>
      </c>
      <c r="H2596" s="4">
        <f t="shared" si="588"/>
        <v>46</v>
      </c>
      <c r="I2596" s="4" t="str">
        <f t="shared" si="587"/>
        <v>='C:\Users\jaime.benazar\Quorum Business Solutions\Ecopetrol Prometeo - Documents\Planning Space Implementation\3. Analysis &amp; Design\Design\FC22\DRR Jaime\QUIFA-CAJÚA\Cajua\[VAS_CAJUA_CF_SEC_20230125.xlsx]CF PND'!$DN$46</v>
      </c>
      <c r="J2596" s="4" t="s">
        <v>1323</v>
      </c>
    </row>
    <row r="2597" spans="1:10" x14ac:dyDescent="0.2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Jaime\QUIFA-CAJÚA\Cajua\[VAS_CAJUA_CF_SEC_20230125.xlsx]CF PND'!</v>
      </c>
      <c r="G2597" s="7" t="s">
        <v>41</v>
      </c>
      <c r="H2597" s="4">
        <f t="shared" si="588"/>
        <v>47</v>
      </c>
      <c r="I2597" s="4" t="str">
        <f t="shared" si="587"/>
        <v>='C:\Users\jaime.benazar\Quorum Business Solutions\Ecopetrol Prometeo - Documents\Planning Space Implementation\3. Analysis &amp; Design\Design\FC22\DRR Jaime\QUIFA-CAJÚA\Cajua\[VAS_CAJUA_CF_SEC_20230125.xlsx]CF PND'!$DN$47</v>
      </c>
      <c r="J2597" s="4" t="s">
        <v>1324</v>
      </c>
    </row>
    <row r="2598" spans="1:10" x14ac:dyDescent="0.2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Jaime\QUIFA-CAJÚA\Cajua\[VAS_CAJUA_CF_SEC_20230125.xlsx]CF PND'!</v>
      </c>
      <c r="G2598" s="7" t="s">
        <v>41</v>
      </c>
      <c r="H2598" s="4">
        <f t="shared" si="588"/>
        <v>48</v>
      </c>
      <c r="I2598" s="4" t="str">
        <f t="shared" si="587"/>
        <v>='C:\Users\jaime.benazar\Quorum Business Solutions\Ecopetrol Prometeo - Documents\Planning Space Implementation\3. Analysis &amp; Design\Design\FC22\DRR Jaime\QUIFA-CAJÚA\Cajua\[VAS_CAJUA_CF_SEC_20230125.xlsx]CF PND'!$DN$48</v>
      </c>
      <c r="J2598" s="4" t="s">
        <v>1325</v>
      </c>
    </row>
    <row r="2599" spans="1:10" x14ac:dyDescent="0.2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Jaime\QUIFA-CAJÚA\Cajua\[VAS_CAJUA_CF_SEC_20230125.xlsx]CF PND'!</v>
      </c>
      <c r="G2599" s="7" t="s">
        <v>41</v>
      </c>
      <c r="H2599" s="4">
        <f t="shared" si="588"/>
        <v>49</v>
      </c>
      <c r="I2599" s="4" t="str">
        <f t="shared" si="587"/>
        <v>='C:\Users\jaime.benazar\Quorum Business Solutions\Ecopetrol Prometeo - Documents\Planning Space Implementation\3. Analysis &amp; Design\Design\FC22\DRR Jaime\QUIFA-CAJÚA\Cajua\[VAS_CAJUA_CF_SEC_20230125.xlsx]CF PND'!$DN$49</v>
      </c>
      <c r="J2599" s="4" t="s">
        <v>1326</v>
      </c>
    </row>
    <row r="2600" spans="1:10" x14ac:dyDescent="0.2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Jaime\QUIFA-CAJÚA\Cajua\[VAS_CAJUA_CF_SEC_20230125.xlsx]CF PND'!</v>
      </c>
      <c r="G2600" s="7" t="s">
        <v>41</v>
      </c>
      <c r="H2600" s="4">
        <f t="shared" si="588"/>
        <v>50</v>
      </c>
      <c r="I2600" s="4" t="str">
        <f t="shared" si="587"/>
        <v>='C:\Users\jaime.benazar\Quorum Business Solutions\Ecopetrol Prometeo - Documents\Planning Space Implementation\3. Analysis &amp; Design\Design\FC22\DRR Jaime\QUIFA-CAJÚA\Cajua\[VAS_CAJUA_CF_SEC_20230125.xlsx]CF PND'!$DN$50</v>
      </c>
      <c r="J2600" s="4" t="s">
        <v>1327</v>
      </c>
    </row>
    <row r="2601" spans="1:10" x14ac:dyDescent="0.2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Jaime\QUIFA-CAJÚA\Cajua\[VAS_CAJUA_CF_SEC_20230125.xlsx]CF PND'!</v>
      </c>
      <c r="G2601" s="7" t="s">
        <v>41</v>
      </c>
      <c r="H2601" s="4">
        <f t="shared" si="588"/>
        <v>51</v>
      </c>
      <c r="I2601" s="4" t="str">
        <f t="shared" si="587"/>
        <v>='C:\Users\jaime.benazar\Quorum Business Solutions\Ecopetrol Prometeo - Documents\Planning Space Implementation\3. Analysis &amp; Design\Design\FC22\DRR Jaime\QUIFA-CAJÚA\Cajua\[VAS_CAJUA_CF_SEC_20230125.xlsx]CF PND'!$DN$51</v>
      </c>
      <c r="J2601" s="4" t="s">
        <v>1328</v>
      </c>
    </row>
    <row r="2602" spans="1:10" x14ac:dyDescent="0.2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Jaime\QUIFA-CAJÚA\Cajua\[VAS_CAJUA_CF_SEC_20230125.xlsx]CF PND'!</v>
      </c>
      <c r="G2602" s="7" t="s">
        <v>41</v>
      </c>
      <c r="H2602" s="4">
        <f t="shared" si="588"/>
        <v>52</v>
      </c>
      <c r="I2602" s="4" t="str">
        <f t="shared" si="587"/>
        <v>='C:\Users\jaime.benazar\Quorum Business Solutions\Ecopetrol Prometeo - Documents\Planning Space Implementation\3. Analysis &amp; Design\Design\FC22\DRR Jaime\QUIFA-CAJÚA\Cajua\[VAS_CAJUA_CF_SEC_20230125.xlsx]CF PND'!$DN$52</v>
      </c>
      <c r="J2602" s="4" t="s">
        <v>1329</v>
      </c>
    </row>
    <row r="2603" spans="1:10" x14ac:dyDescent="0.2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Jaime\QUIFA-CAJÚA\Cajua\[VAS_CAJUA_CF_SEC_20230125.xlsx]CF PND'!</v>
      </c>
      <c r="G2603" s="7" t="s">
        <v>41</v>
      </c>
      <c r="H2603" s="4">
        <f t="shared" si="588"/>
        <v>53</v>
      </c>
      <c r="I2603" s="4" t="str">
        <f t="shared" si="587"/>
        <v>='C:\Users\jaime.benazar\Quorum Business Solutions\Ecopetrol Prometeo - Documents\Planning Space Implementation\3. Analysis &amp; Design\Design\FC22\DRR Jaime\QUIFA-CAJÚA\Cajua\[VAS_CAJUA_CF_SEC_20230125.xlsx]CF PND'!$DN$53</v>
      </c>
      <c r="J2603" s="4" t="s">
        <v>1330</v>
      </c>
    </row>
    <row r="2604" spans="1:10" x14ac:dyDescent="0.2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Jaime\QUIFA-CAJÚA\Cajua\[VAS_CAJUA_CF_SEC_20230125.xlsx]CF PND'!</v>
      </c>
      <c r="G2604" s="7" t="s">
        <v>41</v>
      </c>
      <c r="H2604" s="4">
        <f t="shared" si="588"/>
        <v>54</v>
      </c>
      <c r="I2604" s="4" t="str">
        <f t="shared" si="587"/>
        <v>='C:\Users\jaime.benazar\Quorum Business Solutions\Ecopetrol Prometeo - Documents\Planning Space Implementation\3. Analysis &amp; Design\Design\FC22\DRR Jaime\QUIFA-CAJÚA\Cajua\[VAS_CAJUA_CF_SEC_20230125.xlsx]CF PND'!$DN$54</v>
      </c>
      <c r="J2604" s="4" t="s">
        <v>1331</v>
      </c>
    </row>
    <row r="2605" spans="1:10" x14ac:dyDescent="0.2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Jaime\QUIFA-CAJÚA\Cajua\[VAS_CAJUA_CF_SEC_20230125.xlsx]CF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Jaime\QUIFA-CAJÚA\Cajua\[VAS_CAJUA_CF_SEC_20230125.xlsx]CF PND'!$DN$55</v>
      </c>
      <c r="J2605" s="4" t="s">
        <v>1332</v>
      </c>
    </row>
    <row r="2606" spans="1:10" x14ac:dyDescent="0.2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Jaime\QUIFA-CAJÚA\Cajua\[VAS_CAJUA_CF_SEC_20230125.xlsx]CF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Jaime\QUIFA-CAJÚA\Cajua\[VAS_CAJUA_CF_SEC_20230125.xlsx]CF PND'!$DN$56</v>
      </c>
      <c r="J2606" s="4" t="s">
        <v>1333</v>
      </c>
    </row>
    <row r="2607" spans="1:10" x14ac:dyDescent="0.2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Jaime\QUIFA-CAJÚA\Cajua\[VAS_CAJUA_CF_SEC_20230125.xlsx]CF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Jaime\QUIFA-CAJÚA\Cajua\[VAS_CAJUA_CF_SEC_20230125.xlsx]CF PND'!$DN$57</v>
      </c>
      <c r="J2607" s="4" t="s">
        <v>1334</v>
      </c>
    </row>
    <row r="2608" spans="1:10" x14ac:dyDescent="0.2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Jaime\QUIFA-CAJÚA\Cajua\[VAS_CAJUA_CF_SEC_20230125.xlsx]CF PND'!</v>
      </c>
      <c r="G2608" s="7" t="s">
        <v>41</v>
      </c>
      <c r="H2608" s="4">
        <f t="shared" si="597"/>
        <v>58</v>
      </c>
      <c r="I2608" s="4" t="str">
        <f t="shared" si="598"/>
        <v>='C:\Users\jaime.benazar\Quorum Business Solutions\Ecopetrol Prometeo - Documents\Planning Space Implementation\3. Analysis &amp; Design\Design\FC22\DRR Jaime\QUIFA-CAJÚA\Cajua\[VAS_CAJUA_CF_SEC_20230125.xlsx]CF PND'!$DN$58</v>
      </c>
      <c r="J2608" s="4" t="s">
        <v>1335</v>
      </c>
    </row>
    <row r="2609" spans="1:10" x14ac:dyDescent="0.2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Jaime\QUIFA-CAJÚA\Cajua\[VAS_CAJUA_CF_SEC_20230125.xlsx]CF PND'!</v>
      </c>
      <c r="G2609" s="7" t="s">
        <v>41</v>
      </c>
      <c r="H2609" s="4">
        <f t="shared" si="597"/>
        <v>59</v>
      </c>
      <c r="I2609" s="4" t="str">
        <f t="shared" si="598"/>
        <v>='C:\Users\jaime.benazar\Quorum Business Solutions\Ecopetrol Prometeo - Documents\Planning Space Implementation\3. Analysis &amp; Design\Design\FC22\DRR Jaime\QUIFA-CAJÚA\Cajua\[VAS_CAJUA_CF_SEC_20230125.xlsx]CF PND'!$DN$59</v>
      </c>
      <c r="J2609" s="4" t="s">
        <v>1336</v>
      </c>
    </row>
    <row r="2610" spans="1:10" x14ac:dyDescent="0.2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Jaime\QUIFA-CAJÚA\Cajua\[VAS_CAJUA_CF_SEC_20230125.xlsx]CF PND'!</v>
      </c>
      <c r="G2610" s="7" t="s">
        <v>41</v>
      </c>
      <c r="H2610" s="4">
        <f t="shared" si="597"/>
        <v>60</v>
      </c>
      <c r="I2610" s="4" t="str">
        <f t="shared" si="598"/>
        <v>='C:\Users\jaime.benazar\Quorum Business Solutions\Ecopetrol Prometeo - Documents\Planning Space Implementation\3. Analysis &amp; Design\Design\FC22\DRR Jaime\QUIFA-CAJÚA\Cajua\[VAS_CAJUA_CF_SEC_20230125.xlsx]CF PND'!$DN$60</v>
      </c>
      <c r="J2610" s="4" t="s">
        <v>1337</v>
      </c>
    </row>
    <row r="2611" spans="1:10" x14ac:dyDescent="0.2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Jaime\QUIFA-CAJÚA\Cajua\[VAS_CAJUA_CF_SEC_20230125.xlsx]CF PND'!</v>
      </c>
      <c r="G2611" s="7" t="s">
        <v>41</v>
      </c>
      <c r="H2611" s="4">
        <f t="shared" si="597"/>
        <v>61</v>
      </c>
      <c r="I2611" s="4" t="str">
        <f t="shared" si="598"/>
        <v>='C:\Users\jaime.benazar\Quorum Business Solutions\Ecopetrol Prometeo - Documents\Planning Space Implementation\3. Analysis &amp; Design\Design\FC22\DRR Jaime\QUIFA-CAJÚA\Cajua\[VAS_CAJUA_CF_SEC_20230125.xlsx]CF PND'!$DN$61</v>
      </c>
      <c r="J2611" s="4" t="s">
        <v>1338</v>
      </c>
    </row>
    <row r="2612" spans="1:10" x14ac:dyDescent="0.2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Jaime\QUIFA-CAJÚA\Cajua\[VAS_CAJUA_CF_SEC_20230125.xlsx]CF PND'!</v>
      </c>
      <c r="G2612" s="7" t="s">
        <v>41</v>
      </c>
      <c r="H2612" s="4">
        <f t="shared" si="597"/>
        <v>62</v>
      </c>
      <c r="I2612" s="4" t="str">
        <f t="shared" si="598"/>
        <v>='C:\Users\jaime.benazar\Quorum Business Solutions\Ecopetrol Prometeo - Documents\Planning Space Implementation\3. Analysis &amp; Design\Design\FC22\DRR Jaime\QUIFA-CAJÚA\Cajua\[VAS_CAJUA_CF_SEC_20230125.xlsx]CF PND'!$DN$62</v>
      </c>
      <c r="J2612" s="4" t="s">
        <v>1339</v>
      </c>
    </row>
    <row r="2613" spans="1:10" x14ac:dyDescent="0.2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Jaime\QUIFA-CAJÚA\Cajua\[VAS_CAJUA_CF_SEC_20230125.xlsx]CF PND'!</v>
      </c>
      <c r="G2613" s="7" t="s">
        <v>41</v>
      </c>
      <c r="H2613" s="4">
        <f t="shared" si="597"/>
        <v>63</v>
      </c>
      <c r="I2613" s="4" t="str">
        <f t="shared" si="598"/>
        <v>='C:\Users\jaime.benazar\Quorum Business Solutions\Ecopetrol Prometeo - Documents\Planning Space Implementation\3. Analysis &amp; Design\Design\FC22\DRR Jaime\QUIFA-CAJÚA\Cajua\[VAS_CAJUA_CF_SEC_20230125.xlsx]CF PND'!$DN$63</v>
      </c>
      <c r="J2613" s="4" t="s">
        <v>1340</v>
      </c>
    </row>
    <row r="2614" spans="1:10" x14ac:dyDescent="0.2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Jaime\QUIFA-CAJÚA\Cajua\[VAS_CAJUA_CF_SEC_20230125.xlsx]CF PND'!</v>
      </c>
      <c r="G2614" s="7" t="s">
        <v>41</v>
      </c>
      <c r="H2614" s="4">
        <f t="shared" si="597"/>
        <v>64</v>
      </c>
      <c r="I2614" s="4" t="str">
        <f t="shared" si="598"/>
        <v>='C:\Users\jaime.benazar\Quorum Business Solutions\Ecopetrol Prometeo - Documents\Planning Space Implementation\3. Analysis &amp; Design\Design\FC22\DRR Jaime\QUIFA-CAJÚA\Cajua\[VAS_CAJUA_CF_SEC_20230125.xlsx]CF PND'!$DN$64</v>
      </c>
      <c r="J2614" s="4" t="s">
        <v>1341</v>
      </c>
    </row>
    <row r="2615" spans="1:10" x14ac:dyDescent="0.2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Jaime\QUIFA-CAJÚA\Cajua\[VAS_CAJUA_CF_SEC_20230125.xlsx]CF PND'!</v>
      </c>
      <c r="G2615" s="7" t="s">
        <v>41</v>
      </c>
      <c r="H2615" s="4">
        <f t="shared" si="597"/>
        <v>65</v>
      </c>
      <c r="I2615" s="4" t="str">
        <f t="shared" si="598"/>
        <v>='C:\Users\jaime.benazar\Quorum Business Solutions\Ecopetrol Prometeo - Documents\Planning Space Implementation\3. Analysis &amp; Design\Design\FC22\DRR Jaime\QUIFA-CAJÚA\Cajua\[VAS_CAJUA_CF_SEC_20230125.xlsx]CF PND'!$DN$65</v>
      </c>
      <c r="J2615" s="4" t="s">
        <v>1342</v>
      </c>
    </row>
    <row r="2616" spans="1:10" x14ac:dyDescent="0.2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Jaime\QUIFA-CAJÚA\Cajua\[VAS_CAJUA_CF_SEC_20230125.xlsx]CF PND'!</v>
      </c>
      <c r="G2616" s="7" t="s">
        <v>41</v>
      </c>
      <c r="H2616" s="4">
        <f t="shared" si="597"/>
        <v>66</v>
      </c>
      <c r="I2616" s="4" t="str">
        <f t="shared" si="598"/>
        <v>='C:\Users\jaime.benazar\Quorum Business Solutions\Ecopetrol Prometeo - Documents\Planning Space Implementation\3. Analysis &amp; Design\Design\FC22\DRR Jaime\QUIFA-CAJÚA\Cajua\[VAS_CAJUA_CF_SEC_20230125.xlsx]CF PND'!$DN$66</v>
      </c>
      <c r="J2616" s="4" t="s">
        <v>1343</v>
      </c>
    </row>
    <row r="2617" spans="1:10" x14ac:dyDescent="0.2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Jaime\QUIFA-CAJÚA\Cajua\[VAS_CAJUA_CF_SEC_20230125.xlsx]CF PND'!</v>
      </c>
      <c r="G2617" s="7" t="s">
        <v>41</v>
      </c>
      <c r="H2617" s="4">
        <f t="shared" si="597"/>
        <v>67</v>
      </c>
      <c r="I2617" s="4" t="str">
        <f t="shared" si="598"/>
        <v>='C:\Users\jaime.benazar\Quorum Business Solutions\Ecopetrol Prometeo - Documents\Planning Space Implementation\3. Analysis &amp; Design\Design\FC22\DRR Jaime\QUIFA-CAJÚA\Cajua\[VAS_CAJUA_CF_SEC_20230125.xlsx]CF PND'!$DN$67</v>
      </c>
      <c r="J2617" s="4" t="s">
        <v>1344</v>
      </c>
    </row>
    <row r="2618" spans="1:10" x14ac:dyDescent="0.2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Jaime\QUIFA-CAJÚA\Cajua\[VAS_CAJUA_CF_SEC_20230125.xlsx]CF PND'!</v>
      </c>
      <c r="G2618" s="7" t="s">
        <v>41</v>
      </c>
      <c r="H2618" s="4">
        <f t="shared" si="597"/>
        <v>68</v>
      </c>
      <c r="I2618" s="4" t="str">
        <f t="shared" si="598"/>
        <v>='C:\Users\jaime.benazar\Quorum Business Solutions\Ecopetrol Prometeo - Documents\Planning Space Implementation\3. Analysis &amp; Design\Design\FC22\DRR Jaime\QUIFA-CAJÚA\Cajua\[VAS_CAJUA_CF_SEC_20230125.xlsx]CF PND'!$DN$68</v>
      </c>
      <c r="J2618" s="4" t="s">
        <v>1345</v>
      </c>
    </row>
    <row r="2619" spans="1:10" x14ac:dyDescent="0.2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Jaime\QUIFA-CAJÚA\Cajua\[VAS_CAJUA_CF_SEC_20230125.xlsx]CF PND'!</v>
      </c>
      <c r="G2619" s="7" t="s">
        <v>41</v>
      </c>
      <c r="H2619" s="4">
        <f t="shared" si="597"/>
        <v>69</v>
      </c>
      <c r="I2619" s="4" t="str">
        <f t="shared" si="598"/>
        <v>='C:\Users\jaime.benazar\Quorum Business Solutions\Ecopetrol Prometeo - Documents\Planning Space Implementation\3. Analysis &amp; Design\Design\FC22\DRR Jaime\QUIFA-CAJÚA\Cajua\[VAS_CAJUA_CF_SEC_20230125.xlsx]CF PND'!$DN$69</v>
      </c>
      <c r="J2619" s="4" t="s">
        <v>1346</v>
      </c>
    </row>
    <row r="2620" spans="1:10" x14ac:dyDescent="0.2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Jaime\QUIFA-CAJÚA\Cajua\[VAS_CAJUA_CF_SEC_20230125.xlsx]CF PND'!</v>
      </c>
      <c r="G2620" s="7" t="s">
        <v>41</v>
      </c>
      <c r="H2620" s="4">
        <f t="shared" si="597"/>
        <v>70</v>
      </c>
      <c r="I2620" s="4" t="str">
        <f t="shared" si="598"/>
        <v>='C:\Users\jaime.benazar\Quorum Business Solutions\Ecopetrol Prometeo - Documents\Planning Space Implementation\3. Analysis &amp; Design\Design\FC22\DRR Jaime\QUIFA-CAJÚA\Cajua\[VAS_CAJUA_CF_SEC_20230125.xlsx]CF PND'!$DN$70</v>
      </c>
      <c r="J2620" s="4" t="s">
        <v>1347</v>
      </c>
    </row>
    <row r="2621" spans="1:10" x14ac:dyDescent="0.2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Jaime\QUIFA-CAJÚA\Cajua\[VAS_CAJUA_CF_SEC_20230125.xlsx]CF PND'!</v>
      </c>
      <c r="G2621" s="7" t="s">
        <v>41</v>
      </c>
      <c r="H2621" s="4">
        <f t="shared" si="597"/>
        <v>71</v>
      </c>
      <c r="I2621" s="4" t="str">
        <f t="shared" si="598"/>
        <v>='C:\Users\jaime.benazar\Quorum Business Solutions\Ecopetrol Prometeo - Documents\Planning Space Implementation\3. Analysis &amp; Design\Design\FC22\DRR Jaime\QUIFA-CAJÚA\Cajua\[VAS_CAJUA_CF_SEC_20230125.xlsx]CF PND'!$DN$71</v>
      </c>
      <c r="J2621" s="4" t="s">
        <v>1348</v>
      </c>
    </row>
    <row r="2622" spans="1:10" x14ac:dyDescent="0.2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Jaime\QUIFA-CAJÚA\Cajua\[VAS_CAJUA_CF_SEC_20230125.xlsx]CF PND'!</v>
      </c>
      <c r="G2622" s="7" t="s">
        <v>41</v>
      </c>
      <c r="H2622" s="4">
        <f t="shared" si="597"/>
        <v>72</v>
      </c>
      <c r="I2622" s="4" t="str">
        <f t="shared" si="598"/>
        <v>='C:\Users\jaime.benazar\Quorum Business Solutions\Ecopetrol Prometeo - Documents\Planning Space Implementation\3. Analysis &amp; Design\Design\FC22\DRR Jaime\QUIFA-CAJÚA\Cajua\[VAS_CAJUA_CF_SEC_20230125.xlsx]CF PND'!$DN$72</v>
      </c>
      <c r="J2622" s="4" t="s">
        <v>1349</v>
      </c>
    </row>
    <row r="2623" spans="1:10" x14ac:dyDescent="0.25">
      <c r="A2623" s="7" t="s">
        <v>28</v>
      </c>
      <c r="B2623" s="7"/>
      <c r="C2623" s="4" t="s">
        <v>23</v>
      </c>
      <c r="D2623" s="5"/>
      <c r="E2623" s="10"/>
      <c r="F2623" s="2"/>
      <c r="G2623" s="7"/>
      <c r="H2623" s="4"/>
      <c r="I2623" s="4"/>
      <c r="J2623" s="4"/>
    </row>
    <row r="2624" spans="1:10" x14ac:dyDescent="0.2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Jaime\QUIFA-CAJÚA\Cajua\[VAS_CAJUA_CF_SEC_20230125.xlsx]CF PRBDP'!</v>
      </c>
      <c r="G2624" s="7" t="s">
        <v>41</v>
      </c>
      <c r="H2624" s="4"/>
      <c r="I2624" s="4"/>
      <c r="J2624" s="4"/>
    </row>
    <row r="2625" spans="1:10" x14ac:dyDescent="0.2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Jaime\QUIFA-CAJÚA\Cajua\[VAS_CAJUA_CF_SEC_20230125.xlsx]CF PRBDP'!</v>
      </c>
      <c r="G2625" s="7" t="s">
        <v>41</v>
      </c>
      <c r="H2625" s="4"/>
      <c r="I2625" s="4"/>
      <c r="J2625" s="4"/>
    </row>
    <row r="2626" spans="1:10" x14ac:dyDescent="0.2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Jaime\QUIFA-CAJÚA\Cajua\[VAS_CAJUA_CF_SEC_20230125.xlsx]CF PRBDP'!</v>
      </c>
      <c r="G2626" s="7" t="s">
        <v>41</v>
      </c>
      <c r="H2626" s="4"/>
      <c r="I2626" s="4"/>
      <c r="J2626" s="4"/>
    </row>
    <row r="2627" spans="1:10" x14ac:dyDescent="0.2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Jaime\QUIFA-CAJÚA\Cajua\[VAS_CAJUA_CF_SEC_20230125.xlsx]CF PRBDP'!</v>
      </c>
      <c r="G2627" s="7" t="s">
        <v>41</v>
      </c>
      <c r="H2627" s="4"/>
      <c r="I2627" s="4"/>
      <c r="J2627" s="4"/>
    </row>
    <row r="2628" spans="1:10" x14ac:dyDescent="0.2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Jaime\QUIFA-CAJÚA\Cajua\[VAS_CAJUA_CF_SEC_20230125.xlsx]CF PRBDP'!</v>
      </c>
      <c r="G2628" s="7" t="s">
        <v>41</v>
      </c>
      <c r="H2628" s="4"/>
      <c r="I2628" s="4"/>
      <c r="J2628" s="4"/>
    </row>
    <row r="2629" spans="1:10" x14ac:dyDescent="0.2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Jaime\QUIFA-CAJÚA\Cajua\[VAS_CAJUA_CF_SEC_20230125.xlsx]CF PRBDP'!</v>
      </c>
      <c r="G2629" s="7" t="s">
        <v>41</v>
      </c>
      <c r="H2629" s="4"/>
      <c r="I2629" s="4"/>
      <c r="J2629" s="4"/>
    </row>
    <row r="2630" spans="1:10" x14ac:dyDescent="0.2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Jaime\QUIFA-CAJÚA\Cajua\[VAS_CAJUA_CF_SEC_20230125.xlsx]CF PRBDP'!</v>
      </c>
      <c r="G2630" s="7" t="s">
        <v>41</v>
      </c>
      <c r="H2630" s="4"/>
      <c r="I2630" s="4"/>
      <c r="J2630" s="4"/>
    </row>
    <row r="2631" spans="1:10" x14ac:dyDescent="0.2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Jaime\QUIFA-CAJÚA\Cajua\[VAS_CAJUA_CF_SEC_20230125.xlsx]CF PRBDP'!</v>
      </c>
      <c r="G2631" s="7" t="s">
        <v>41</v>
      </c>
      <c r="H2631" s="4"/>
      <c r="I2631" s="4"/>
      <c r="J2631" s="4"/>
    </row>
    <row r="2632" spans="1:10" x14ac:dyDescent="0.2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Jaime\QUIFA-CAJÚA\Cajua\[VAS_CAJUA_CF_SEC_20230125.xlsx]CF PRBDP'!</v>
      </c>
      <c r="G2632" s="7" t="s">
        <v>41</v>
      </c>
      <c r="H2632" s="4"/>
      <c r="I2632" s="4"/>
      <c r="J2632" s="4"/>
    </row>
    <row r="2633" spans="1:10" x14ac:dyDescent="0.2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Jaime\QUIFA-CAJÚA\Cajua\[VAS_CAJUA_CF_SEC_20230125.xlsx]CF PRBDP'!</v>
      </c>
      <c r="G2633" s="7" t="s">
        <v>41</v>
      </c>
      <c r="H2633" s="4"/>
      <c r="I2633" s="4"/>
      <c r="J2633" s="4"/>
    </row>
    <row r="2634" spans="1:10" x14ac:dyDescent="0.2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Jaime\QUIFA-CAJÚA\Cajua\[VAS_CAJUA_CF_SEC_20230125.xlsx]CF PRBDP'!</v>
      </c>
      <c r="G2634" s="7" t="s">
        <v>41</v>
      </c>
      <c r="H2634" s="4"/>
      <c r="I2634" s="4"/>
      <c r="J2634" s="4"/>
    </row>
    <row r="2635" spans="1:10" x14ac:dyDescent="0.2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Jaime\QUIFA-CAJÚA\Cajua\[VAS_CAJUA_CF_SEC_20230125.xlsx]CF PRBDP'!</v>
      </c>
      <c r="G2635" s="7" t="s">
        <v>41</v>
      </c>
      <c r="H2635" s="4"/>
      <c r="I2635" s="4"/>
      <c r="J2635" s="4"/>
    </row>
    <row r="2636" spans="1:10" x14ac:dyDescent="0.2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Jaime\QUIFA-CAJÚA\Cajua\[VAS_CAJUA_CF_SEC_20230125.xlsx]CF PRBDP'!</v>
      </c>
      <c r="G2636" s="7" t="s">
        <v>41</v>
      </c>
      <c r="H2636" s="4"/>
      <c r="I2636" s="4"/>
      <c r="J2636" s="4"/>
    </row>
    <row r="2637" spans="1:10" x14ac:dyDescent="0.2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Jaime\QUIFA-CAJÚA\Cajua\[VAS_CAJUA_CF_SEC_20230125.xlsx]CF PRBDP'!</v>
      </c>
      <c r="G2637" s="7" t="s">
        <v>41</v>
      </c>
      <c r="H2637" s="4"/>
      <c r="I2637" s="4"/>
      <c r="J2637" s="4"/>
    </row>
    <row r="2638" spans="1:10" x14ac:dyDescent="0.2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Jaime\QUIFA-CAJÚA\Cajua\[VAS_CAJUA_CF_SEC_20230125.xlsx]CF PRBDP'!</v>
      </c>
      <c r="G2638" s="7" t="s">
        <v>41</v>
      </c>
      <c r="H2638" s="4"/>
      <c r="I2638" s="4"/>
      <c r="J2638" s="4"/>
    </row>
    <row r="2639" spans="1:10" x14ac:dyDescent="0.2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Jaime\QUIFA-CAJÚA\Cajua\[VAS_CAJUA_CF_SEC_20230125.xlsx]CF PRBDP'!</v>
      </c>
      <c r="G2639" s="7" t="s">
        <v>41</v>
      </c>
      <c r="H2639" s="4"/>
      <c r="I2639" s="4"/>
      <c r="J2639" s="4"/>
    </row>
    <row r="2640" spans="1:10" x14ac:dyDescent="0.2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Jaime\QUIFA-CAJÚA\Cajua\[VAS_CAJUA_CF_SEC_20230125.xlsx]CF PRBDP'!</v>
      </c>
      <c r="G2640" s="7" t="s">
        <v>41</v>
      </c>
      <c r="H2640" s="4"/>
      <c r="I2640" s="4"/>
      <c r="J2640" s="4"/>
    </row>
    <row r="2641" spans="1:10" x14ac:dyDescent="0.2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Jaime\QUIFA-CAJÚA\Cajua\[VAS_CAJUA_CF_SEC_20230125.xlsx]CF PRBDP'!</v>
      </c>
      <c r="G2641" s="7" t="s">
        <v>41</v>
      </c>
      <c r="H2641" s="4"/>
      <c r="I2641" s="4"/>
      <c r="J2641" s="4"/>
    </row>
    <row r="2642" spans="1:10" x14ac:dyDescent="0.2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Jaime\QUIFA-CAJÚA\Cajua\[VAS_CAJUA_CF_SEC_20230125.xlsx]CF PRBDP'!</v>
      </c>
      <c r="G2642" s="7" t="s">
        <v>41</v>
      </c>
      <c r="H2642" s="4"/>
      <c r="I2642" s="4"/>
      <c r="J2642" s="4"/>
    </row>
    <row r="2643" spans="1:10" x14ac:dyDescent="0.2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Jaime\QUIFA-CAJÚA\Cajua\[VAS_CAJUA_CF_SEC_20230125.xlsx]CF PRBDP'!</v>
      </c>
      <c r="G2643" s="7" t="s">
        <v>41</v>
      </c>
      <c r="H2643" s="4"/>
      <c r="I2643" s="4"/>
      <c r="J2643" s="4"/>
    </row>
    <row r="2644" spans="1:10" x14ac:dyDescent="0.2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Jaime\QUIFA-CAJÚA\Cajua\[VAS_CAJUA_CF_SEC_20230125.xlsx]CF PRBDP'!</v>
      </c>
      <c r="G2644" s="7" t="s">
        <v>41</v>
      </c>
      <c r="H2644" s="4"/>
      <c r="I2644" s="4"/>
      <c r="J2644" s="4"/>
    </row>
    <row r="2645" spans="1:10" x14ac:dyDescent="0.2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Jaime\QUIFA-CAJÚA\Cajua\[VAS_CAJUA_CF_SEC_20230125.xlsx]CF PRBDP'!</v>
      </c>
      <c r="G2645" s="7" t="s">
        <v>41</v>
      </c>
      <c r="H2645" s="4"/>
      <c r="I2645" s="4"/>
      <c r="J2645" s="4"/>
    </row>
    <row r="2646" spans="1:10" x14ac:dyDescent="0.2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Jaime\QUIFA-CAJÚA\Cajua\[VAS_CAJUA_CF_SEC_20230125.xlsx]CF PRBDP'!</v>
      </c>
      <c r="G2646" s="7" t="s">
        <v>41</v>
      </c>
      <c r="H2646" s="4"/>
      <c r="I2646" s="4"/>
      <c r="J2646" s="4"/>
    </row>
    <row r="2647" spans="1:10" x14ac:dyDescent="0.2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Jaime\QUIFA-CAJÚA\Cajua\[VAS_CAJUA_CF_SEC_20230125.xlsx]CF PRBDP'!</v>
      </c>
      <c r="G2647" s="7" t="s">
        <v>41</v>
      </c>
      <c r="H2647" s="4"/>
      <c r="I2647" s="4"/>
      <c r="J2647" s="4"/>
    </row>
    <row r="2648" spans="1:10" x14ac:dyDescent="0.2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Jaime\QUIFA-CAJÚA\Cajua\[VAS_CAJUA_CF_SEC_20230125.xlsx]CF PRBDP'!</v>
      </c>
      <c r="G2648" s="7" t="s">
        <v>41</v>
      </c>
      <c r="H2648" s="4"/>
      <c r="I2648" s="4"/>
      <c r="J2648" s="4"/>
    </row>
    <row r="2649" spans="1:10" x14ac:dyDescent="0.2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Jaime\QUIFA-CAJÚA\Cajua\[VAS_CAJUA_CF_SEC_20230125.xlsx]CF PRBDP'!</v>
      </c>
      <c r="G2649" s="7" t="s">
        <v>41</v>
      </c>
      <c r="H2649" s="4"/>
      <c r="I2649" s="4"/>
      <c r="J2649" s="4"/>
    </row>
    <row r="2650" spans="1:10" x14ac:dyDescent="0.2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Jaime\QUIFA-CAJÚA\Cajua\[VAS_CAJUA_CF_SEC_20230125.xlsx]CF PRBDP'!</v>
      </c>
      <c r="G2650" s="7" t="s">
        <v>41</v>
      </c>
      <c r="H2650" s="4"/>
      <c r="I2650" s="4"/>
      <c r="J2650" s="4"/>
    </row>
    <row r="2651" spans="1:10" x14ac:dyDescent="0.2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Jaime\QUIFA-CAJÚA\Cajua\[VAS_CAJUA_CF_SEC_20230125.xlsx]CF PRBDP'!</v>
      </c>
      <c r="G2651" s="7" t="s">
        <v>41</v>
      </c>
      <c r="H2651" s="4"/>
      <c r="I2651" s="4"/>
      <c r="J2651" s="4"/>
    </row>
    <row r="2652" spans="1:10" x14ac:dyDescent="0.2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Jaime\QUIFA-CAJÚA\Cajua\[VAS_CAJUA_CF_SEC_20230125.xlsx]CF PRBDP'!</v>
      </c>
      <c r="G2652" s="7" t="s">
        <v>41</v>
      </c>
      <c r="H2652" s="4"/>
      <c r="I2652" s="4"/>
      <c r="J2652" s="4"/>
    </row>
    <row r="2653" spans="1:10" x14ac:dyDescent="0.2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Jaime\QUIFA-CAJÚA\Cajua\[VAS_CAJUA_CF_SEC_20230125.xlsx]CF PRBDP'!</v>
      </c>
      <c r="G2653" s="7" t="s">
        <v>41</v>
      </c>
      <c r="H2653" s="4"/>
      <c r="I2653" s="4"/>
      <c r="J2653" s="4"/>
    </row>
    <row r="2654" spans="1:10" x14ac:dyDescent="0.2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Jaime\QUIFA-CAJÚA\Cajua\[VAS_CAJUA_CF_SEC_20230125.xlsx]CF PRBDP'!</v>
      </c>
      <c r="G2654" s="7" t="s">
        <v>41</v>
      </c>
      <c r="H2654" s="4"/>
      <c r="I2654" s="4"/>
      <c r="J2654" s="4"/>
    </row>
    <row r="2655" spans="1:10" x14ac:dyDescent="0.2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Jaime\QUIFA-CAJÚA\Cajua\[VAS_CAJUA_CF_SEC_20230125.xlsx]CF PRBDP'!</v>
      </c>
      <c r="G2655" s="7" t="s">
        <v>41</v>
      </c>
      <c r="H2655" s="4"/>
      <c r="I2655" s="4"/>
      <c r="J2655" s="4"/>
    </row>
    <row r="2656" spans="1:10" x14ac:dyDescent="0.2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Jaime\QUIFA-CAJÚA\Cajua\[VAS_CAJUA_CF_SEC_20230125.xlsx]CF PRBDP'!</v>
      </c>
      <c r="G2656" s="7" t="s">
        <v>41</v>
      </c>
      <c r="H2656" s="4"/>
      <c r="I2656" s="4"/>
      <c r="J2656" s="4"/>
    </row>
    <row r="2657" spans="1:10" x14ac:dyDescent="0.2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Jaime\QUIFA-CAJÚA\Cajua\[VAS_CAJUA_CF_SEC_20230125.xlsx]CF PRBDP'!</v>
      </c>
      <c r="G2657" s="7" t="s">
        <v>41</v>
      </c>
      <c r="H2657" s="4"/>
      <c r="I2657" s="4"/>
      <c r="J2657" s="4"/>
    </row>
    <row r="2658" spans="1:10" x14ac:dyDescent="0.2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Jaime\QUIFA-CAJÚA\Cajua\[VAS_CAJUA_CF_SEC_20230125.xlsx]CF PRBDP'!</v>
      </c>
      <c r="G2658" s="7" t="s">
        <v>41</v>
      </c>
      <c r="H2658" s="4"/>
      <c r="I2658" s="4"/>
      <c r="J2658" s="4"/>
    </row>
    <row r="2659" spans="1:10" x14ac:dyDescent="0.2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Jaime\QUIFA-CAJÚA\Cajua\[VAS_CAJUA_CF_SEC_20230125.xlsx]CF PRBDP'!</v>
      </c>
      <c r="G2659" s="7" t="s">
        <v>41</v>
      </c>
      <c r="H2659" s="4"/>
      <c r="I2659" s="4"/>
      <c r="J2659" s="4"/>
    </row>
    <row r="2660" spans="1:10" x14ac:dyDescent="0.2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Jaime\QUIFA-CAJÚA\Cajua\[VAS_CAJUA_CF_SEC_20230125.xlsx]CF PRBDP'!</v>
      </c>
      <c r="G2660" s="7" t="s">
        <v>41</v>
      </c>
      <c r="H2660" s="4"/>
      <c r="I2660" s="4"/>
      <c r="J2660" s="4"/>
    </row>
    <row r="2661" spans="1:10" x14ac:dyDescent="0.25">
      <c r="A2661" s="7" t="s">
        <v>28</v>
      </c>
      <c r="B2661" s="7"/>
      <c r="C2661" s="4" t="s">
        <v>23</v>
      </c>
      <c r="D2661" s="5"/>
      <c r="E2661" s="10"/>
      <c r="F2661" s="5"/>
      <c r="G2661" s="7"/>
      <c r="H2661" s="4"/>
      <c r="I2661" s="4"/>
      <c r="J2661" s="4"/>
    </row>
    <row r="2662" spans="1:10" x14ac:dyDescent="0.2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Jaime\QUIFA-CAJÚA\Cajua\[VAS_CAJUA_CF_SEC_20230125.xlsx]CF PRBNP'!</v>
      </c>
      <c r="G2662" s="7" t="s">
        <v>41</v>
      </c>
      <c r="H2662" s="4"/>
      <c r="I2662" s="4"/>
      <c r="J2662" s="4"/>
    </row>
    <row r="2663" spans="1:10" x14ac:dyDescent="0.2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Jaime\QUIFA-CAJÚA\Cajua\[VAS_CAJUA_CF_SEC_20230125.xlsx]CF PRBNP'!</v>
      </c>
      <c r="G2663" s="7" t="s">
        <v>41</v>
      </c>
      <c r="H2663" s="4"/>
      <c r="I2663" s="4"/>
      <c r="J2663" s="4"/>
    </row>
    <row r="2664" spans="1:10" x14ac:dyDescent="0.2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Jaime\QUIFA-CAJÚA\Cajua\[VAS_CAJUA_CF_SEC_20230125.xlsx]CF PRBNP'!</v>
      </c>
      <c r="G2664" s="7" t="s">
        <v>41</v>
      </c>
      <c r="H2664" s="4"/>
      <c r="I2664" s="4"/>
      <c r="J2664" s="4"/>
    </row>
    <row r="2665" spans="1:10" x14ac:dyDescent="0.2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Jaime\QUIFA-CAJÚA\Cajua\[VAS_CAJUA_CF_SEC_20230125.xlsx]CF PRBNP'!</v>
      </c>
      <c r="G2665" s="7" t="s">
        <v>41</v>
      </c>
      <c r="H2665" s="4"/>
      <c r="I2665" s="4"/>
      <c r="J2665" s="4"/>
    </row>
    <row r="2666" spans="1:10" x14ac:dyDescent="0.2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Jaime\QUIFA-CAJÚA\Cajua\[VAS_CAJUA_CF_SEC_20230125.xlsx]CF PRBNP'!</v>
      </c>
      <c r="G2666" s="7" t="s">
        <v>41</v>
      </c>
      <c r="H2666" s="4"/>
      <c r="I2666" s="4"/>
      <c r="J2666" s="4"/>
    </row>
    <row r="2667" spans="1:10" x14ac:dyDescent="0.2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Jaime\QUIFA-CAJÚA\Cajua\[VAS_CAJUA_CF_SEC_20230125.xlsx]CF PRBNP'!</v>
      </c>
      <c r="G2667" s="7" t="s">
        <v>41</v>
      </c>
      <c r="H2667" s="4"/>
      <c r="I2667" s="4"/>
      <c r="J2667" s="4"/>
    </row>
    <row r="2668" spans="1:10" x14ac:dyDescent="0.2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Jaime\QUIFA-CAJÚA\Cajua\[VAS_CAJUA_CF_SEC_20230125.xlsx]CF PRBNP'!</v>
      </c>
      <c r="G2668" s="7" t="s">
        <v>41</v>
      </c>
      <c r="H2668" s="4"/>
      <c r="I2668" s="4"/>
      <c r="J2668" s="4"/>
    </row>
    <row r="2669" spans="1:10" x14ac:dyDescent="0.2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Jaime\QUIFA-CAJÚA\Cajua\[VAS_CAJUA_CF_SEC_20230125.xlsx]CF PRBNP'!</v>
      </c>
      <c r="G2669" s="7" t="s">
        <v>41</v>
      </c>
      <c r="H2669" s="4"/>
      <c r="I2669" s="4"/>
      <c r="J2669" s="4"/>
    </row>
    <row r="2670" spans="1:10" x14ac:dyDescent="0.2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Jaime\QUIFA-CAJÚA\Cajua\[VAS_CAJUA_CF_SEC_20230125.xlsx]CF PRBNP'!</v>
      </c>
      <c r="G2670" s="7" t="s">
        <v>41</v>
      </c>
      <c r="H2670" s="4"/>
      <c r="I2670" s="4"/>
      <c r="J2670" s="4"/>
    </row>
    <row r="2671" spans="1:10" x14ac:dyDescent="0.2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Jaime\QUIFA-CAJÚA\Cajua\[VAS_CAJUA_CF_SEC_20230125.xlsx]CF PRBNP'!</v>
      </c>
      <c r="G2671" s="7" t="s">
        <v>41</v>
      </c>
      <c r="H2671" s="4"/>
      <c r="I2671" s="4"/>
      <c r="J2671" s="4"/>
    </row>
    <row r="2672" spans="1:10" x14ac:dyDescent="0.2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Jaime\QUIFA-CAJÚA\Cajua\[VAS_CAJUA_CF_SEC_20230125.xlsx]CF PRBNP'!</v>
      </c>
      <c r="G2672" s="7" t="s">
        <v>41</v>
      </c>
      <c r="H2672" s="4"/>
      <c r="I2672" s="4"/>
      <c r="J2672" s="4"/>
    </row>
    <row r="2673" spans="1:10" x14ac:dyDescent="0.2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Jaime\QUIFA-CAJÚA\Cajua\[VAS_CAJUA_CF_SEC_20230125.xlsx]CF PRBNP'!</v>
      </c>
      <c r="G2673" s="7" t="s">
        <v>41</v>
      </c>
      <c r="H2673" s="4"/>
      <c r="I2673" s="4"/>
      <c r="J2673" s="4"/>
    </row>
    <row r="2674" spans="1:10" x14ac:dyDescent="0.2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Jaime\QUIFA-CAJÚA\Cajua\[VAS_CAJUA_CF_SEC_20230125.xlsx]CF PRBNP'!</v>
      </c>
      <c r="G2674" s="7" t="s">
        <v>41</v>
      </c>
      <c r="H2674" s="4"/>
      <c r="I2674" s="4"/>
      <c r="J2674" s="4"/>
    </row>
    <row r="2675" spans="1:10" x14ac:dyDescent="0.2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Jaime\QUIFA-CAJÚA\Cajua\[VAS_CAJUA_CF_SEC_20230125.xlsx]CF PRBNP'!</v>
      </c>
      <c r="G2675" s="7" t="s">
        <v>41</v>
      </c>
      <c r="H2675" s="4"/>
      <c r="I2675" s="4"/>
      <c r="J2675" s="4"/>
    </row>
    <row r="2676" spans="1:10" x14ac:dyDescent="0.2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Jaime\QUIFA-CAJÚA\Cajua\[VAS_CAJUA_CF_SEC_20230125.xlsx]CF PRBNP'!</v>
      </c>
      <c r="G2676" s="7" t="s">
        <v>41</v>
      </c>
      <c r="H2676" s="4"/>
      <c r="I2676" s="4"/>
      <c r="J2676" s="4"/>
    </row>
    <row r="2677" spans="1:10" x14ac:dyDescent="0.2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Jaime\QUIFA-CAJÚA\Cajua\[VAS_CAJUA_CF_SEC_20230125.xlsx]CF PRBNP'!</v>
      </c>
      <c r="G2677" s="7" t="s">
        <v>41</v>
      </c>
      <c r="H2677" s="4"/>
      <c r="I2677" s="4"/>
      <c r="J2677" s="4"/>
    </row>
    <row r="2678" spans="1:10" x14ac:dyDescent="0.2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Jaime\QUIFA-CAJÚA\Cajua\[VAS_CAJUA_CF_SEC_20230125.xlsx]CF PRBNP'!</v>
      </c>
      <c r="G2678" s="7" t="s">
        <v>41</v>
      </c>
      <c r="H2678" s="4"/>
      <c r="I2678" s="4"/>
      <c r="J2678" s="4"/>
    </row>
    <row r="2679" spans="1:10" x14ac:dyDescent="0.2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Jaime\QUIFA-CAJÚA\Cajua\[VAS_CAJUA_CF_SEC_20230125.xlsx]CF PRBNP'!</v>
      </c>
      <c r="G2679" s="7" t="s">
        <v>41</v>
      </c>
      <c r="H2679" s="4"/>
      <c r="I2679" s="4"/>
      <c r="J2679" s="4"/>
    </row>
    <row r="2680" spans="1:10" x14ac:dyDescent="0.2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Jaime\QUIFA-CAJÚA\Cajua\[VAS_CAJUA_CF_SEC_20230125.xlsx]CF PRBNP'!</v>
      </c>
      <c r="G2680" s="7" t="s">
        <v>41</v>
      </c>
      <c r="H2680" s="4"/>
      <c r="I2680" s="4"/>
      <c r="J2680" s="4"/>
    </row>
    <row r="2681" spans="1:10" x14ac:dyDescent="0.2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Jaime\QUIFA-CAJÚA\Cajua\[VAS_CAJUA_CF_SEC_20230125.xlsx]CF PRBNP'!</v>
      </c>
      <c r="G2681" s="7" t="s">
        <v>41</v>
      </c>
      <c r="H2681" s="4"/>
      <c r="I2681" s="4"/>
      <c r="J2681" s="4"/>
    </row>
    <row r="2682" spans="1:10" x14ac:dyDescent="0.2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Jaime\QUIFA-CAJÚA\Cajua\[VAS_CAJUA_CF_SEC_20230125.xlsx]CF PRBNP'!</v>
      </c>
      <c r="G2682" s="7" t="s">
        <v>41</v>
      </c>
      <c r="H2682" s="4"/>
      <c r="I2682" s="4"/>
      <c r="J2682" s="4"/>
    </row>
    <row r="2683" spans="1:10" x14ac:dyDescent="0.2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Jaime\QUIFA-CAJÚA\Cajua\[VAS_CAJUA_CF_SEC_20230125.xlsx]CF PRBNP'!</v>
      </c>
      <c r="G2683" s="7" t="s">
        <v>41</v>
      </c>
      <c r="H2683" s="4"/>
      <c r="I2683" s="4"/>
      <c r="J2683" s="4"/>
    </row>
    <row r="2684" spans="1:10" x14ac:dyDescent="0.2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Jaime\QUIFA-CAJÚA\Cajua\[VAS_CAJUA_CF_SEC_20230125.xlsx]CF PRBNP'!</v>
      </c>
      <c r="G2684" s="7" t="s">
        <v>41</v>
      </c>
      <c r="H2684" s="4"/>
      <c r="I2684" s="4"/>
      <c r="J2684" s="4"/>
    </row>
    <row r="2685" spans="1:10" x14ac:dyDescent="0.2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Jaime\QUIFA-CAJÚA\Cajua\[VAS_CAJUA_CF_SEC_20230125.xlsx]CF PRBNP'!</v>
      </c>
      <c r="G2685" s="7" t="s">
        <v>41</v>
      </c>
      <c r="H2685" s="4"/>
      <c r="I2685" s="4"/>
      <c r="J2685" s="4"/>
    </row>
    <row r="2686" spans="1:10" x14ac:dyDescent="0.2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Jaime\QUIFA-CAJÚA\Cajua\[VAS_CAJUA_CF_SEC_20230125.xlsx]CF PRBNP'!</v>
      </c>
      <c r="G2686" s="7" t="s">
        <v>41</v>
      </c>
      <c r="H2686" s="4"/>
      <c r="I2686" s="4"/>
      <c r="J2686" s="4"/>
    </row>
    <row r="2687" spans="1:10" x14ac:dyDescent="0.2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Jaime\QUIFA-CAJÚA\Cajua\[VAS_CAJUA_CF_SEC_20230125.xlsx]CF PRBNP'!</v>
      </c>
      <c r="G2687" s="7" t="s">
        <v>41</v>
      </c>
      <c r="H2687" s="4"/>
      <c r="I2687" s="4"/>
      <c r="J2687" s="4"/>
    </row>
    <row r="2688" spans="1:10" x14ac:dyDescent="0.2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Jaime\QUIFA-CAJÚA\Cajua\[VAS_CAJUA_CF_SEC_20230125.xlsx]CF PRBNP'!</v>
      </c>
      <c r="G2688" s="7" t="s">
        <v>41</v>
      </c>
      <c r="H2688" s="4"/>
      <c r="I2688" s="4"/>
      <c r="J2688" s="4"/>
    </row>
    <row r="2689" spans="1:10" x14ac:dyDescent="0.2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Jaime\QUIFA-CAJÚA\Cajua\[VAS_CAJUA_CF_SEC_20230125.xlsx]CF PRBNP'!</v>
      </c>
      <c r="G2689" s="7" t="s">
        <v>41</v>
      </c>
      <c r="H2689" s="4"/>
      <c r="I2689" s="4"/>
      <c r="J2689" s="4"/>
    </row>
    <row r="2690" spans="1:10" x14ac:dyDescent="0.2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Jaime\QUIFA-CAJÚA\Cajua\[VAS_CAJUA_CF_SEC_20230125.xlsx]CF PRBNP'!</v>
      </c>
      <c r="G2690" s="7" t="s">
        <v>41</v>
      </c>
      <c r="H2690" s="4"/>
      <c r="I2690" s="4"/>
      <c r="J2690" s="4"/>
    </row>
    <row r="2691" spans="1:10" x14ac:dyDescent="0.2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Jaime\QUIFA-CAJÚA\Cajua\[VAS_CAJUA_CF_SEC_20230125.xlsx]CF PRBNP'!</v>
      </c>
      <c r="G2691" s="7" t="s">
        <v>41</v>
      </c>
      <c r="H2691" s="4"/>
      <c r="I2691" s="4"/>
      <c r="J2691" s="4"/>
    </row>
    <row r="2692" spans="1:10" x14ac:dyDescent="0.2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Jaime\QUIFA-CAJÚA\Cajua\[VAS_CAJUA_CF_SEC_20230125.xlsx]CF PRBNP'!</v>
      </c>
      <c r="G2692" s="7" t="s">
        <v>41</v>
      </c>
      <c r="H2692" s="4"/>
      <c r="I2692" s="4"/>
      <c r="J2692" s="4"/>
    </row>
    <row r="2693" spans="1:10" x14ac:dyDescent="0.2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Jaime\QUIFA-CAJÚA\Cajua\[VAS_CAJUA_CF_SEC_20230125.xlsx]CF PRBNP'!</v>
      </c>
      <c r="G2693" s="7" t="s">
        <v>41</v>
      </c>
      <c r="H2693" s="4"/>
      <c r="I2693" s="4"/>
      <c r="J2693" s="4"/>
    </row>
    <row r="2694" spans="1:10" x14ac:dyDescent="0.2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Jaime\QUIFA-CAJÚA\Cajua\[VAS_CAJUA_CF_SEC_20230125.xlsx]CF PRBNP'!</v>
      </c>
      <c r="G2694" s="7" t="s">
        <v>41</v>
      </c>
      <c r="H2694" s="4"/>
      <c r="I2694" s="4"/>
      <c r="J2694" s="4"/>
    </row>
    <row r="2695" spans="1:10" x14ac:dyDescent="0.2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Jaime\QUIFA-CAJÚA\Cajua\[VAS_CAJUA_CF_SEC_20230125.xlsx]CF PRBNP'!</v>
      </c>
      <c r="G2695" s="7" t="s">
        <v>41</v>
      </c>
      <c r="H2695" s="4"/>
      <c r="I2695" s="4"/>
      <c r="J2695" s="4"/>
    </row>
    <row r="2696" spans="1:10" x14ac:dyDescent="0.2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Jaime\QUIFA-CAJÚA\Cajua\[VAS_CAJUA_CF_SEC_20230125.xlsx]CF PRBNP'!</v>
      </c>
      <c r="G2696" s="7" t="s">
        <v>41</v>
      </c>
      <c r="H2696" s="4"/>
      <c r="I2696" s="4"/>
      <c r="J2696" s="4"/>
    </row>
    <row r="2697" spans="1:10" x14ac:dyDescent="0.2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Jaime\QUIFA-CAJÚA\Cajua\[VAS_CAJUA_CF_SEC_20230125.xlsx]CF PRBNP'!</v>
      </c>
      <c r="G2697" s="7" t="s">
        <v>41</v>
      </c>
      <c r="H2697" s="4"/>
      <c r="I2697" s="4"/>
      <c r="J2697" s="4"/>
    </row>
    <row r="2698" spans="1:10" x14ac:dyDescent="0.2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Jaime\QUIFA-CAJÚA\Cajua\[VAS_CAJUA_CF_SEC_20230125.xlsx]CF PRBNP'!</v>
      </c>
      <c r="G2698" s="7" t="s">
        <v>41</v>
      </c>
      <c r="H2698" s="4"/>
      <c r="I2698" s="4"/>
      <c r="J2698" s="4"/>
    </row>
    <row r="2699" spans="1:10" x14ac:dyDescent="0.25">
      <c r="A2699" s="7" t="s">
        <v>28</v>
      </c>
      <c r="B2699" s="7"/>
      <c r="C2699" s="4" t="s">
        <v>23</v>
      </c>
      <c r="D2699" s="5"/>
      <c r="E2699" s="10"/>
      <c r="F2699" s="2"/>
      <c r="G2699" s="7"/>
      <c r="H2699" s="4"/>
      <c r="I2699" s="4"/>
      <c r="J2699" s="4"/>
    </row>
    <row r="2700" spans="1:10" x14ac:dyDescent="0.2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Jaime\QUIFA-CAJÚA\Cajua\[VAS_CAJUA_CF_SEC_20230125.xlsx]CF PRBND'!</v>
      </c>
      <c r="G2700" s="7" t="s">
        <v>41</v>
      </c>
      <c r="H2700" s="4"/>
      <c r="I2700" s="4"/>
      <c r="J2700" s="4"/>
    </row>
    <row r="2701" spans="1:10" x14ac:dyDescent="0.2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Jaime\QUIFA-CAJÚA\Cajua\[VAS_CAJUA_CF_SEC_20230125.xlsx]CF PRBND'!</v>
      </c>
      <c r="G2701" s="7" t="s">
        <v>41</v>
      </c>
      <c r="H2701" s="4"/>
      <c r="I2701" s="4"/>
      <c r="J2701" s="4"/>
    </row>
    <row r="2702" spans="1:10" x14ac:dyDescent="0.2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Jaime\QUIFA-CAJÚA\Cajua\[VAS_CAJUA_CF_SEC_20230125.xlsx]CF PRBND'!</v>
      </c>
      <c r="G2702" s="7" t="s">
        <v>41</v>
      </c>
      <c r="H2702" s="4"/>
      <c r="I2702" s="4"/>
      <c r="J2702" s="4"/>
    </row>
    <row r="2703" spans="1:10" x14ac:dyDescent="0.2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Jaime\QUIFA-CAJÚA\Cajua\[VAS_CAJUA_CF_SEC_20230125.xlsx]CF PRBND'!</v>
      </c>
      <c r="G2703" s="7" t="s">
        <v>41</v>
      </c>
      <c r="H2703" s="4"/>
      <c r="I2703" s="4"/>
      <c r="J2703" s="4"/>
    </row>
    <row r="2704" spans="1:10" x14ac:dyDescent="0.2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Jaime\QUIFA-CAJÚA\Cajua\[VAS_CAJUA_CF_SEC_20230125.xlsx]CF PRBND'!</v>
      </c>
      <c r="G2704" s="7" t="s">
        <v>41</v>
      </c>
      <c r="H2704" s="4"/>
      <c r="I2704" s="4"/>
      <c r="J2704" s="4"/>
    </row>
    <row r="2705" spans="1:10" x14ac:dyDescent="0.2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Jaime\QUIFA-CAJÚA\Cajua\[VAS_CAJUA_CF_SEC_20230125.xlsx]CF PRBND'!</v>
      </c>
      <c r="G2705" s="7" t="s">
        <v>41</v>
      </c>
      <c r="H2705" s="4"/>
      <c r="I2705" s="4"/>
      <c r="J2705" s="4"/>
    </row>
    <row r="2706" spans="1:10" x14ac:dyDescent="0.2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Jaime\QUIFA-CAJÚA\Cajua\[VAS_CAJUA_CF_SEC_20230125.xlsx]CF PRBND'!</v>
      </c>
      <c r="G2706" s="7" t="s">
        <v>41</v>
      </c>
      <c r="H2706" s="4"/>
      <c r="I2706" s="4"/>
      <c r="J2706" s="4"/>
    </row>
    <row r="2707" spans="1:10" x14ac:dyDescent="0.2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Jaime\QUIFA-CAJÚA\Cajua\[VAS_CAJUA_CF_SEC_20230125.xlsx]CF PRBND'!</v>
      </c>
      <c r="G2707" s="7" t="s">
        <v>41</v>
      </c>
      <c r="H2707" s="4"/>
      <c r="I2707" s="4"/>
      <c r="J2707" s="4"/>
    </row>
    <row r="2708" spans="1:10" x14ac:dyDescent="0.2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Jaime\QUIFA-CAJÚA\Cajua\[VAS_CAJUA_CF_SEC_20230125.xlsx]CF PRBND'!</v>
      </c>
      <c r="G2708" s="7" t="s">
        <v>41</v>
      </c>
      <c r="H2708" s="4"/>
      <c r="I2708" s="4"/>
      <c r="J2708" s="4"/>
    </row>
    <row r="2709" spans="1:10" x14ac:dyDescent="0.2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Jaime\QUIFA-CAJÚA\Cajua\[VAS_CAJUA_CF_SEC_20230125.xlsx]CF PRBND'!</v>
      </c>
      <c r="G2709" s="7" t="s">
        <v>41</v>
      </c>
      <c r="H2709" s="4"/>
      <c r="I2709" s="4"/>
      <c r="J2709" s="4"/>
    </row>
    <row r="2710" spans="1:10" x14ac:dyDescent="0.2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Jaime\QUIFA-CAJÚA\Cajua\[VAS_CAJUA_CF_SEC_20230125.xlsx]CF PRBND'!</v>
      </c>
      <c r="G2710" s="7" t="s">
        <v>41</v>
      </c>
      <c r="H2710" s="4"/>
      <c r="I2710" s="4"/>
      <c r="J2710" s="4"/>
    </row>
    <row r="2711" spans="1:10" x14ac:dyDescent="0.2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Jaime\QUIFA-CAJÚA\Cajua\[VAS_CAJUA_CF_SEC_20230125.xlsx]CF PRBND'!</v>
      </c>
      <c r="G2711" s="7" t="s">
        <v>41</v>
      </c>
      <c r="H2711" s="4"/>
      <c r="I2711" s="4"/>
      <c r="J2711" s="4"/>
    </row>
    <row r="2712" spans="1:10" x14ac:dyDescent="0.2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Jaime\QUIFA-CAJÚA\Cajua\[VAS_CAJUA_CF_SEC_20230125.xlsx]CF PRBND'!</v>
      </c>
      <c r="G2712" s="7" t="s">
        <v>41</v>
      </c>
      <c r="H2712" s="4"/>
      <c r="I2712" s="4"/>
      <c r="J2712" s="4"/>
    </row>
    <row r="2713" spans="1:10" x14ac:dyDescent="0.2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Jaime\QUIFA-CAJÚA\Cajua\[VAS_CAJUA_CF_SEC_20230125.xlsx]CF PRBND'!</v>
      </c>
      <c r="G2713" s="7" t="s">
        <v>41</v>
      </c>
      <c r="H2713" s="4"/>
      <c r="I2713" s="4"/>
      <c r="J2713" s="4"/>
    </row>
    <row r="2714" spans="1:10" x14ac:dyDescent="0.2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Jaime\QUIFA-CAJÚA\Cajua\[VAS_CAJUA_CF_SEC_20230125.xlsx]CF PRBND'!</v>
      </c>
      <c r="G2714" s="7" t="s">
        <v>41</v>
      </c>
      <c r="H2714" s="4"/>
      <c r="I2714" s="4"/>
      <c r="J2714" s="4"/>
    </row>
    <row r="2715" spans="1:10" x14ac:dyDescent="0.2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Jaime\QUIFA-CAJÚA\Cajua\[VAS_CAJUA_CF_SEC_20230125.xlsx]CF PRBND'!</v>
      </c>
      <c r="G2715" s="7" t="s">
        <v>41</v>
      </c>
      <c r="H2715" s="4"/>
      <c r="I2715" s="4"/>
      <c r="J2715" s="4"/>
    </row>
    <row r="2716" spans="1:10" x14ac:dyDescent="0.2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Jaime\QUIFA-CAJÚA\Cajua\[VAS_CAJUA_CF_SEC_20230125.xlsx]CF PRBND'!</v>
      </c>
      <c r="G2716" s="7" t="s">
        <v>41</v>
      </c>
      <c r="H2716" s="4"/>
      <c r="I2716" s="4"/>
      <c r="J2716" s="4"/>
    </row>
    <row r="2717" spans="1:10" x14ac:dyDescent="0.2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Jaime\QUIFA-CAJÚA\Cajua\[VAS_CAJUA_CF_SEC_20230125.xlsx]CF PRBND'!</v>
      </c>
      <c r="G2717" s="7" t="s">
        <v>41</v>
      </c>
      <c r="H2717" s="4"/>
      <c r="I2717" s="4"/>
      <c r="J2717" s="4"/>
    </row>
    <row r="2718" spans="1:10" x14ac:dyDescent="0.2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Jaime\QUIFA-CAJÚA\Cajua\[VAS_CAJUA_CF_SEC_20230125.xlsx]CF PRBND'!</v>
      </c>
      <c r="G2718" s="7" t="s">
        <v>41</v>
      </c>
      <c r="H2718" s="4"/>
      <c r="I2718" s="4"/>
      <c r="J2718" s="4"/>
    </row>
    <row r="2719" spans="1:10" x14ac:dyDescent="0.2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Jaime\QUIFA-CAJÚA\Cajua\[VAS_CAJUA_CF_SEC_20230125.xlsx]CF PRBND'!</v>
      </c>
      <c r="G2719" s="7" t="s">
        <v>41</v>
      </c>
      <c r="H2719" s="4"/>
      <c r="I2719" s="4"/>
      <c r="J2719" s="4"/>
    </row>
    <row r="2720" spans="1:10" x14ac:dyDescent="0.2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Jaime\QUIFA-CAJÚA\Cajua\[VAS_CAJUA_CF_SEC_20230125.xlsx]CF PRBND'!</v>
      </c>
      <c r="G2720" s="7" t="s">
        <v>41</v>
      </c>
      <c r="H2720" s="4"/>
      <c r="I2720" s="4"/>
      <c r="J2720" s="4"/>
    </row>
    <row r="2721" spans="1:10" x14ac:dyDescent="0.2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Jaime\QUIFA-CAJÚA\Cajua\[VAS_CAJUA_CF_SEC_20230125.xlsx]CF PRBND'!</v>
      </c>
      <c r="G2721" s="7" t="s">
        <v>41</v>
      </c>
      <c r="H2721" s="4"/>
      <c r="I2721" s="4"/>
      <c r="J2721" s="4"/>
    </row>
    <row r="2722" spans="1:10" x14ac:dyDescent="0.2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Jaime\QUIFA-CAJÚA\Cajua\[VAS_CAJUA_CF_SEC_20230125.xlsx]CF PRBND'!</v>
      </c>
      <c r="G2722" s="7" t="s">
        <v>41</v>
      </c>
      <c r="H2722" s="4"/>
      <c r="I2722" s="4"/>
      <c r="J2722" s="4"/>
    </row>
    <row r="2723" spans="1:10" x14ac:dyDescent="0.2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Jaime\QUIFA-CAJÚA\Cajua\[VAS_CAJUA_CF_SEC_20230125.xlsx]CF PRBND'!</v>
      </c>
      <c r="G2723" s="7" t="s">
        <v>41</v>
      </c>
      <c r="H2723" s="4"/>
      <c r="I2723" s="4"/>
      <c r="J2723" s="4"/>
    </row>
    <row r="2724" spans="1:10" x14ac:dyDescent="0.2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Jaime\QUIFA-CAJÚA\Cajua\[VAS_CAJUA_CF_SEC_20230125.xlsx]CF PRBND'!</v>
      </c>
      <c r="G2724" s="7" t="s">
        <v>41</v>
      </c>
      <c r="H2724" s="4"/>
      <c r="I2724" s="4"/>
      <c r="J2724" s="4"/>
    </row>
    <row r="2725" spans="1:10" x14ac:dyDescent="0.2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Jaime\QUIFA-CAJÚA\Cajua\[VAS_CAJUA_CF_SEC_20230125.xlsx]CF PRBND'!</v>
      </c>
      <c r="G2725" s="7" t="s">
        <v>41</v>
      </c>
      <c r="H2725" s="4"/>
      <c r="I2725" s="4"/>
      <c r="J2725" s="4"/>
    </row>
    <row r="2726" spans="1:10" x14ac:dyDescent="0.2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Jaime\QUIFA-CAJÚA\Cajua\[VAS_CAJUA_CF_SEC_20230125.xlsx]CF PRBND'!</v>
      </c>
      <c r="G2726" s="7" t="s">
        <v>41</v>
      </c>
      <c r="H2726" s="4"/>
      <c r="I2726" s="4"/>
      <c r="J2726" s="4"/>
    </row>
    <row r="2727" spans="1:10" x14ac:dyDescent="0.2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Jaime\QUIFA-CAJÚA\Cajua\[VAS_CAJUA_CF_SEC_20230125.xlsx]CF PRBND'!</v>
      </c>
      <c r="G2727" s="7" t="s">
        <v>41</v>
      </c>
      <c r="H2727" s="4"/>
      <c r="I2727" s="4"/>
      <c r="J2727" s="4"/>
    </row>
    <row r="2728" spans="1:10" x14ac:dyDescent="0.2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Jaime\QUIFA-CAJÚA\Cajua\[VAS_CAJUA_CF_SEC_20230125.xlsx]CF PRBND'!</v>
      </c>
      <c r="G2728" s="7" t="s">
        <v>41</v>
      </c>
      <c r="H2728" s="4"/>
      <c r="I2728" s="4"/>
      <c r="J2728" s="4"/>
    </row>
    <row r="2729" spans="1:10" x14ac:dyDescent="0.2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Jaime\QUIFA-CAJÚA\Cajua\[VAS_CAJUA_CF_SEC_20230125.xlsx]CF PRBND'!</v>
      </c>
      <c r="G2729" s="7" t="s">
        <v>41</v>
      </c>
      <c r="H2729" s="4"/>
      <c r="I2729" s="4"/>
      <c r="J2729" s="4"/>
    </row>
    <row r="2730" spans="1:10" x14ac:dyDescent="0.2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Jaime\QUIFA-CAJÚA\Cajua\[VAS_CAJUA_CF_SEC_20230125.xlsx]CF PRBND'!</v>
      </c>
      <c r="G2730" s="7" t="s">
        <v>41</v>
      </c>
      <c r="H2730" s="4"/>
      <c r="I2730" s="4"/>
      <c r="J2730" s="4"/>
    </row>
    <row r="2731" spans="1:10" x14ac:dyDescent="0.2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Jaime\QUIFA-CAJÚA\Cajua\[VAS_CAJUA_CF_SEC_20230125.xlsx]CF PRBND'!</v>
      </c>
      <c r="G2731" s="7" t="s">
        <v>41</v>
      </c>
      <c r="H2731" s="4"/>
      <c r="I2731" s="4"/>
      <c r="J2731" s="4"/>
    </row>
    <row r="2732" spans="1:10" x14ac:dyDescent="0.2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Jaime\QUIFA-CAJÚA\Cajua\[VAS_CAJUA_CF_SEC_20230125.xlsx]CF PRBND'!</v>
      </c>
      <c r="G2732" s="7" t="s">
        <v>41</v>
      </c>
      <c r="H2732" s="4"/>
      <c r="I2732" s="4"/>
      <c r="J2732" s="4"/>
    </row>
    <row r="2733" spans="1:10" x14ac:dyDescent="0.2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Jaime\QUIFA-CAJÚA\Cajua\[VAS_CAJUA_CF_SEC_20230125.xlsx]CF PRBND'!</v>
      </c>
      <c r="G2733" s="7" t="s">
        <v>41</v>
      </c>
      <c r="H2733" s="4"/>
      <c r="I2733" s="4"/>
      <c r="J2733" s="4"/>
    </row>
    <row r="2734" spans="1:10" x14ac:dyDescent="0.2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Jaime\QUIFA-CAJÚA\Cajua\[VAS_CAJUA_CF_SEC_20230125.xlsx]CF PRBND'!</v>
      </c>
      <c r="G2734" s="7" t="s">
        <v>41</v>
      </c>
      <c r="H2734" s="4"/>
      <c r="I2734" s="4"/>
      <c r="J2734" s="4"/>
    </row>
    <row r="2735" spans="1:10" x14ac:dyDescent="0.2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Jaime\QUIFA-CAJÚA\Cajua\[VAS_CAJUA_CF_SEC_20230125.xlsx]CF PRBND'!</v>
      </c>
      <c r="G2735" s="7" t="s">
        <v>41</v>
      </c>
      <c r="H2735" s="4"/>
      <c r="I2735" s="4"/>
      <c r="J2735" s="4"/>
    </row>
    <row r="2736" spans="1:10" x14ac:dyDescent="0.2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Jaime\QUIFA-CAJÚA\Cajua\[VAS_CAJUA_CF_SEC_20230125.xlsx]CF PRBND'!</v>
      </c>
      <c r="G2736" s="7" t="s">
        <v>41</v>
      </c>
      <c r="H2736" s="4"/>
      <c r="I2736" s="4"/>
      <c r="J2736" s="4"/>
    </row>
    <row r="2737" spans="1:10" x14ac:dyDescent="0.25">
      <c r="A2737" s="7" t="s">
        <v>28</v>
      </c>
      <c r="B2737" s="7"/>
      <c r="C2737" s="4" t="s">
        <v>23</v>
      </c>
      <c r="D2737" s="5"/>
      <c r="E2737" s="10"/>
      <c r="F2737" s="2"/>
      <c r="G2737" s="7"/>
      <c r="H2737" s="4"/>
      <c r="I2737" s="4"/>
      <c r="J2737" s="4"/>
    </row>
    <row r="2738" spans="1:10" x14ac:dyDescent="0.2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Jaime\QUIFA-CAJÚA\Cajua\[VAS_CAJUA_CF_SEC_20230125.xlsx]CF PRB'!</v>
      </c>
      <c r="G2738" s="7" t="s">
        <v>41</v>
      </c>
      <c r="H2738" s="4">
        <f>IF(A2738&lt;&gt;A2608,36,H2608+1)</f>
        <v>36</v>
      </c>
      <c r="I2738" s="4" t="str">
        <f t="shared" si="593"/>
        <v>='C:\Users\jaime.benazar\Quorum Business Solutions\Ecopetrol Prometeo - Documents\Planning Space Implementation\3. Analysis &amp; Design\Design\FC22\DRR Jaime\QUIFA-CAJÚA\Cajua\[VAS_CAJUA_CF_SEC_20230125.xlsx]CF PRB'!$DN$36</v>
      </c>
      <c r="J2738" s="4" t="s">
        <v>1350</v>
      </c>
    </row>
    <row r="2739" spans="1:10" x14ac:dyDescent="0.2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Jaime\QUIFA-CAJÚA\Cajua\[VAS_CAJUA_CF_SEC_20230125.xlsx]CF PRB'!</v>
      </c>
      <c r="G2739" s="7" t="s">
        <v>41</v>
      </c>
      <c r="H2739" s="4">
        <f t="shared" si="594"/>
        <v>37</v>
      </c>
      <c r="I2739" s="4" t="str">
        <f t="shared" si="593"/>
        <v>='C:\Users\jaime.benazar\Quorum Business Solutions\Ecopetrol Prometeo - Documents\Planning Space Implementation\3. Analysis &amp; Design\Design\FC22\DRR Jaime\QUIFA-CAJÚA\Cajua\[VAS_CAJUA_CF_SEC_20230125.xlsx]CF PRB'!$DN$37</v>
      </c>
      <c r="J2739" s="4" t="s">
        <v>1351</v>
      </c>
    </row>
    <row r="2740" spans="1:10" x14ac:dyDescent="0.2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Jaime\QUIFA-CAJÚA\Cajua\[VAS_CAJUA_CF_SEC_20230125.xlsx]CF PRB'!</v>
      </c>
      <c r="G2740" s="7" t="s">
        <v>41</v>
      </c>
      <c r="H2740" s="4">
        <f t="shared" si="594"/>
        <v>38</v>
      </c>
      <c r="I2740" s="4" t="str">
        <f t="shared" si="593"/>
        <v>='C:\Users\jaime.benazar\Quorum Business Solutions\Ecopetrol Prometeo - Documents\Planning Space Implementation\3. Analysis &amp; Design\Design\FC22\DRR Jaime\QUIFA-CAJÚA\Cajua\[VAS_CAJUA_CF_SEC_20230125.xlsx]CF PRB'!$DN$38</v>
      </c>
      <c r="J2740" s="4" t="s">
        <v>1352</v>
      </c>
    </row>
    <row r="2741" spans="1:10" x14ac:dyDescent="0.2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Jaime\QUIFA-CAJÚA\Cajua\[VAS_CAJUA_CF_SEC_20230125.xlsx]CF PRB'!</v>
      </c>
      <c r="G2741" s="7" t="s">
        <v>41</v>
      </c>
      <c r="H2741" s="4">
        <f t="shared" si="594"/>
        <v>39</v>
      </c>
      <c r="I2741" s="4" t="str">
        <f t="shared" si="593"/>
        <v>='C:\Users\jaime.benazar\Quorum Business Solutions\Ecopetrol Prometeo - Documents\Planning Space Implementation\3. Analysis &amp; Design\Design\FC22\DRR Jaime\QUIFA-CAJÚA\Cajua\[VAS_CAJUA_CF_SEC_20230125.xlsx]CF PRB'!$DN$39</v>
      </c>
      <c r="J2741" s="4" t="s">
        <v>1353</v>
      </c>
    </row>
    <row r="2742" spans="1:10" x14ac:dyDescent="0.2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Jaime\QUIFA-CAJÚA\Cajua\[VAS_CAJUA_CF_SEC_20230125.xlsx]CF PRB'!</v>
      </c>
      <c r="G2742" s="7" t="s">
        <v>41</v>
      </c>
      <c r="H2742" s="4">
        <f t="shared" si="594"/>
        <v>40</v>
      </c>
      <c r="I2742" s="4" t="str">
        <f t="shared" si="593"/>
        <v>='C:\Users\jaime.benazar\Quorum Business Solutions\Ecopetrol Prometeo - Documents\Planning Space Implementation\3. Analysis &amp; Design\Design\FC22\DRR Jaime\QUIFA-CAJÚA\Cajua\[VAS_CAJUA_CF_SEC_20230125.xlsx]CF PRB'!$DN$40</v>
      </c>
      <c r="J2742" s="4" t="s">
        <v>1354</v>
      </c>
    </row>
    <row r="2743" spans="1:10" x14ac:dyDescent="0.2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Jaime\QUIFA-CAJÚA\Cajua\[VAS_CAJUA_CF_SEC_20230125.xlsx]CF PRB'!</v>
      </c>
      <c r="G2743" s="7" t="s">
        <v>41</v>
      </c>
      <c r="H2743" s="4">
        <f t="shared" si="594"/>
        <v>41</v>
      </c>
      <c r="I2743" s="4" t="str">
        <f t="shared" si="593"/>
        <v>='C:\Users\jaime.benazar\Quorum Business Solutions\Ecopetrol Prometeo - Documents\Planning Space Implementation\3. Analysis &amp; Design\Design\FC22\DRR Jaime\QUIFA-CAJÚA\Cajua\[VAS_CAJUA_CF_SEC_20230125.xlsx]CF PRB'!$DN$41</v>
      </c>
      <c r="J2743" s="4" t="s">
        <v>1355</v>
      </c>
    </row>
    <row r="2744" spans="1:10" x14ac:dyDescent="0.2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Jaime\QUIFA-CAJÚA\Cajua\[VAS_CAJUA_CF_SEC_20230125.xlsx]CF PRB'!</v>
      </c>
      <c r="G2744" s="7" t="s">
        <v>41</v>
      </c>
      <c r="H2744" s="4">
        <f t="shared" si="594"/>
        <v>42</v>
      </c>
      <c r="I2744" s="4" t="str">
        <f t="shared" si="593"/>
        <v>='C:\Users\jaime.benazar\Quorum Business Solutions\Ecopetrol Prometeo - Documents\Planning Space Implementation\3. Analysis &amp; Design\Design\FC22\DRR Jaime\QUIFA-CAJÚA\Cajua\[VAS_CAJUA_CF_SEC_20230125.xlsx]CF PRB'!$DN$42</v>
      </c>
      <c r="J2744" s="4" t="s">
        <v>1356</v>
      </c>
    </row>
    <row r="2745" spans="1:10" x14ac:dyDescent="0.2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Jaime\QUIFA-CAJÚA\Cajua\[VAS_CAJUA_CF_SEC_20230125.xlsx]CF PRB'!</v>
      </c>
      <c r="G2745" s="7" t="s">
        <v>41</v>
      </c>
      <c r="H2745" s="4">
        <f t="shared" si="594"/>
        <v>43</v>
      </c>
      <c r="I2745" s="4" t="str">
        <f t="shared" si="593"/>
        <v>='C:\Users\jaime.benazar\Quorum Business Solutions\Ecopetrol Prometeo - Documents\Planning Space Implementation\3. Analysis &amp; Design\Design\FC22\DRR Jaime\QUIFA-CAJÚA\Cajua\[VAS_CAJUA_CF_SEC_20230125.xlsx]CF PRB'!$DN$43</v>
      </c>
      <c r="J2745" s="4" t="s">
        <v>1357</v>
      </c>
    </row>
    <row r="2746" spans="1:10" x14ac:dyDescent="0.2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Jaime\QUIFA-CAJÚA\Cajua\[VAS_CAJUA_CF_SEC_20230125.xlsx]CF PRB'!</v>
      </c>
      <c r="G2746" s="7" t="s">
        <v>41</v>
      </c>
      <c r="H2746" s="4">
        <f t="shared" si="594"/>
        <v>44</v>
      </c>
      <c r="I2746" s="4" t="str">
        <f t="shared" si="593"/>
        <v>='C:\Users\jaime.benazar\Quorum Business Solutions\Ecopetrol Prometeo - Documents\Planning Space Implementation\3. Analysis &amp; Design\Design\FC22\DRR Jaime\QUIFA-CAJÚA\Cajua\[VAS_CAJUA_CF_SEC_20230125.xlsx]CF PRB'!$DN$44</v>
      </c>
      <c r="J2746" s="4" t="s">
        <v>1358</v>
      </c>
    </row>
    <row r="2747" spans="1:10" x14ac:dyDescent="0.2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Jaime\QUIFA-CAJÚA\Cajua\[VAS_CAJUA_CF_SEC_20230125.xlsx]CF PRB'!</v>
      </c>
      <c r="G2747" s="7" t="s">
        <v>41</v>
      </c>
      <c r="H2747" s="4">
        <f t="shared" si="594"/>
        <v>45</v>
      </c>
      <c r="I2747" s="4" t="str">
        <f t="shared" si="593"/>
        <v>='C:\Users\jaime.benazar\Quorum Business Solutions\Ecopetrol Prometeo - Documents\Planning Space Implementation\3. Analysis &amp; Design\Design\FC22\DRR Jaime\QUIFA-CAJÚA\Cajua\[VAS_CAJUA_CF_SEC_20230125.xlsx]CF PRB'!$DN$45</v>
      </c>
      <c r="J2747" s="4" t="s">
        <v>1359</v>
      </c>
    </row>
    <row r="2748" spans="1:10" x14ac:dyDescent="0.2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Jaime\QUIFA-CAJÚA\Cajua\[VAS_CAJUA_CF_SEC_20230125.xlsx]CF PRB'!</v>
      </c>
      <c r="G2748" s="7" t="s">
        <v>41</v>
      </c>
      <c r="H2748" s="4">
        <f t="shared" si="594"/>
        <v>46</v>
      </c>
      <c r="I2748" s="4" t="str">
        <f t="shared" si="593"/>
        <v>='C:\Users\jaime.benazar\Quorum Business Solutions\Ecopetrol Prometeo - Documents\Planning Space Implementation\3. Analysis &amp; Design\Design\FC22\DRR Jaime\QUIFA-CAJÚA\Cajua\[VAS_CAJUA_CF_SEC_20230125.xlsx]CF PRB'!$DN$46</v>
      </c>
      <c r="J2748" s="4" t="s">
        <v>1360</v>
      </c>
    </row>
    <row r="2749" spans="1:10" x14ac:dyDescent="0.2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Jaime\QUIFA-CAJÚA\Cajua\[VAS_CAJUA_CF_SEC_20230125.xlsx]CF PRB'!</v>
      </c>
      <c r="G2749" s="7" t="s">
        <v>41</v>
      </c>
      <c r="H2749" s="4">
        <f t="shared" si="594"/>
        <v>47</v>
      </c>
      <c r="I2749" s="4" t="str">
        <f t="shared" si="593"/>
        <v>='C:\Users\jaime.benazar\Quorum Business Solutions\Ecopetrol Prometeo - Documents\Planning Space Implementation\3. Analysis &amp; Design\Design\FC22\DRR Jaime\QUIFA-CAJÚA\Cajua\[VAS_CAJUA_CF_SEC_20230125.xlsx]CF PRB'!$DN$47</v>
      </c>
      <c r="J2749" s="4" t="s">
        <v>1361</v>
      </c>
    </row>
    <row r="2750" spans="1:10" x14ac:dyDescent="0.2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Jaime\QUIFA-CAJÚA\Cajua\[VAS_CAJUA_CF_SEC_20230125.xlsx]CF PRB'!</v>
      </c>
      <c r="G2750" s="7" t="s">
        <v>41</v>
      </c>
      <c r="H2750" s="4">
        <f t="shared" si="594"/>
        <v>48</v>
      </c>
      <c r="I2750" s="4" t="str">
        <f t="shared" si="593"/>
        <v>='C:\Users\jaime.benazar\Quorum Business Solutions\Ecopetrol Prometeo - Documents\Planning Space Implementation\3. Analysis &amp; Design\Design\FC22\DRR Jaime\QUIFA-CAJÚA\Cajua\[VAS_CAJUA_CF_SEC_20230125.xlsx]CF PRB'!$DN$48</v>
      </c>
      <c r="J2750" s="4" t="s">
        <v>1362</v>
      </c>
    </row>
    <row r="2751" spans="1:10" x14ac:dyDescent="0.2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Jaime\QUIFA-CAJÚA\Cajua\[VAS_CAJUA_CF_SEC_20230125.xlsx]CF PRB'!</v>
      </c>
      <c r="G2751" s="7" t="s">
        <v>41</v>
      </c>
      <c r="H2751" s="4">
        <f t="shared" si="594"/>
        <v>49</v>
      </c>
      <c r="I2751" s="4" t="str">
        <f t="shared" si="593"/>
        <v>='C:\Users\jaime.benazar\Quorum Business Solutions\Ecopetrol Prometeo - Documents\Planning Space Implementation\3. Analysis &amp; Design\Design\FC22\DRR Jaime\QUIFA-CAJÚA\Cajua\[VAS_CAJUA_CF_SEC_20230125.xlsx]CF PRB'!$DN$49</v>
      </c>
      <c r="J2751" s="4" t="s">
        <v>1363</v>
      </c>
    </row>
    <row r="2752" spans="1:10" x14ac:dyDescent="0.2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Jaime\QUIFA-CAJÚA\Cajua\[VAS_CAJUA_CF_SEC_20230125.xlsx]CF PRB'!</v>
      </c>
      <c r="G2752" s="7" t="s">
        <v>41</v>
      </c>
      <c r="H2752" s="4">
        <f t="shared" si="594"/>
        <v>50</v>
      </c>
      <c r="I2752" s="4" t="str">
        <f t="shared" si="593"/>
        <v>='C:\Users\jaime.benazar\Quorum Business Solutions\Ecopetrol Prometeo - Documents\Planning Space Implementation\3. Analysis &amp; Design\Design\FC22\DRR Jaime\QUIFA-CAJÚA\Cajua\[VAS_CAJUA_CF_SEC_20230125.xlsx]CF PRB'!$DN$50</v>
      </c>
      <c r="J2752" s="4" t="s">
        <v>1364</v>
      </c>
    </row>
    <row r="2753" spans="1:10" x14ac:dyDescent="0.2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Jaime\QUIFA-CAJÚA\Cajua\[VAS_CAJUA_CF_SEC_20230125.xlsx]CF PRB'!</v>
      </c>
      <c r="G2753" s="7" t="s">
        <v>41</v>
      </c>
      <c r="H2753" s="4">
        <f t="shared" si="594"/>
        <v>51</v>
      </c>
      <c r="I2753" s="4" t="str">
        <f t="shared" si="593"/>
        <v>='C:\Users\jaime.benazar\Quorum Business Solutions\Ecopetrol Prometeo - Documents\Planning Space Implementation\3. Analysis &amp; Design\Design\FC22\DRR Jaime\QUIFA-CAJÚA\Cajua\[VAS_CAJUA_CF_SEC_20230125.xlsx]CF PRB'!$DN$51</v>
      </c>
      <c r="J2753" s="4" t="s">
        <v>1365</v>
      </c>
    </row>
    <row r="2754" spans="1:10" x14ac:dyDescent="0.2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Jaime\QUIFA-CAJÚA\Cajua\[VAS_CAJUA_CF_SEC_20230125.xlsx]CF PRB'!</v>
      </c>
      <c r="G2754" s="7" t="s">
        <v>41</v>
      </c>
      <c r="H2754" s="4">
        <f t="shared" si="594"/>
        <v>52</v>
      </c>
      <c r="I2754" s="4" t="str">
        <f t="shared" si="593"/>
        <v>='C:\Users\jaime.benazar\Quorum Business Solutions\Ecopetrol Prometeo - Documents\Planning Space Implementation\3. Analysis &amp; Design\Design\FC22\DRR Jaime\QUIFA-CAJÚA\Cajua\[VAS_CAJUA_CF_SEC_20230125.xlsx]CF PRB'!$DN$52</v>
      </c>
      <c r="J2754" s="4" t="s">
        <v>1366</v>
      </c>
    </row>
    <row r="2755" spans="1:10" x14ac:dyDescent="0.2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Jaime\QUIFA-CAJÚA\Cajua\[VAS_CAJUA_CF_SEC_20230125.xlsx]CF PRB'!</v>
      </c>
      <c r="G2755" s="7" t="s">
        <v>41</v>
      </c>
      <c r="H2755" s="4">
        <f t="shared" si="594"/>
        <v>53</v>
      </c>
      <c r="I2755" s="4" t="str">
        <f t="shared" si="593"/>
        <v>='C:\Users\jaime.benazar\Quorum Business Solutions\Ecopetrol Prometeo - Documents\Planning Space Implementation\3. Analysis &amp; Design\Design\FC22\DRR Jaime\QUIFA-CAJÚA\Cajua\[VAS_CAJUA_CF_SEC_20230125.xlsx]CF PRB'!$DN$53</v>
      </c>
      <c r="J2755" s="4" t="s">
        <v>1367</v>
      </c>
    </row>
    <row r="2756" spans="1:10" x14ac:dyDescent="0.2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Jaime\QUIFA-CAJÚA\Cajua\[VAS_CAJUA_CF_SEC_20230125.xlsx]CF PRB'!</v>
      </c>
      <c r="G2756" s="7" t="s">
        <v>41</v>
      </c>
      <c r="H2756" s="4">
        <f t="shared" si="594"/>
        <v>54</v>
      </c>
      <c r="I2756" s="4" t="str">
        <f t="shared" si="593"/>
        <v>='C:\Users\jaime.benazar\Quorum Business Solutions\Ecopetrol Prometeo - Documents\Planning Space Implementation\3. Analysis &amp; Design\Design\FC22\DRR Jaime\QUIFA-CAJÚA\Cajua\[VAS_CAJUA_CF_SEC_20230125.xlsx]CF PRB'!$DN$54</v>
      </c>
      <c r="J2756" s="4" t="s">
        <v>1368</v>
      </c>
    </row>
    <row r="2757" spans="1:10" x14ac:dyDescent="0.2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Jaime\QUIFA-CAJÚA\Cajua\[VAS_CAJUA_CF_SEC_20230125.xlsx]CF PRB'!</v>
      </c>
      <c r="G2757" s="7" t="s">
        <v>41</v>
      </c>
      <c r="H2757" s="4">
        <f t="shared" si="594"/>
        <v>55</v>
      </c>
      <c r="I2757" s="4" t="str">
        <f t="shared" si="593"/>
        <v>='C:\Users\jaime.benazar\Quorum Business Solutions\Ecopetrol Prometeo - Documents\Planning Space Implementation\3. Analysis &amp; Design\Design\FC22\DRR Jaime\QUIFA-CAJÚA\Cajua\[VAS_CAJUA_CF_SEC_20230125.xlsx]CF PRB'!$DN$55</v>
      </c>
      <c r="J2757" s="4" t="s">
        <v>1369</v>
      </c>
    </row>
    <row r="2758" spans="1:10" x14ac:dyDescent="0.2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Jaime\QUIFA-CAJÚA\Cajua\[VAS_CAJUA_CF_SEC_20230125.xlsx]CF PRB'!</v>
      </c>
      <c r="G2758" s="7" t="s">
        <v>41</v>
      </c>
      <c r="H2758" s="4">
        <f t="shared" si="594"/>
        <v>56</v>
      </c>
      <c r="I2758" s="4" t="str">
        <f t="shared" si="593"/>
        <v>='C:\Users\jaime.benazar\Quorum Business Solutions\Ecopetrol Prometeo - Documents\Planning Space Implementation\3. Analysis &amp; Design\Design\FC22\DRR Jaime\QUIFA-CAJÚA\Cajua\[VAS_CAJUA_CF_SEC_20230125.xlsx]CF PRB'!$DN$56</v>
      </c>
      <c r="J2758" s="4" t="s">
        <v>1370</v>
      </c>
    </row>
    <row r="2759" spans="1:10" x14ac:dyDescent="0.2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Jaime\QUIFA-CAJÚA\Cajua\[VAS_CAJUA_CF_SEC_20230125.xlsx]CF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Jaime\QUIFA-CAJÚA\Cajua\[VAS_CAJUA_CF_SEC_20230125.xlsx]CF PRB'!$DN$57</v>
      </c>
      <c r="J2759" s="4" t="s">
        <v>1371</v>
      </c>
    </row>
    <row r="2760" spans="1:10" x14ac:dyDescent="0.2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Jaime\QUIFA-CAJÚA\Cajua\[VAS_CAJUA_CF_SEC_20230125.xlsx]CF PRB'!</v>
      </c>
      <c r="G2760" s="7" t="s">
        <v>41</v>
      </c>
      <c r="H2760" s="4">
        <f t="shared" si="629"/>
        <v>58</v>
      </c>
      <c r="I2760" s="4" t="str">
        <f t="shared" si="630"/>
        <v>='C:\Users\jaime.benazar\Quorum Business Solutions\Ecopetrol Prometeo - Documents\Planning Space Implementation\3. Analysis &amp; Design\Design\FC22\DRR Jaime\QUIFA-CAJÚA\Cajua\[VAS_CAJUA_CF_SEC_20230125.xlsx]CF PRB'!$DN$58</v>
      </c>
      <c r="J2760" s="4" t="s">
        <v>1372</v>
      </c>
    </row>
    <row r="2761" spans="1:10" x14ac:dyDescent="0.2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Jaime\QUIFA-CAJÚA\Cajua\[VAS_CAJUA_CF_SEC_20230125.xlsx]CF PRB'!</v>
      </c>
      <c r="G2761" s="7" t="s">
        <v>41</v>
      </c>
      <c r="H2761" s="4">
        <f t="shared" si="629"/>
        <v>59</v>
      </c>
      <c r="I2761" s="4" t="str">
        <f t="shared" si="630"/>
        <v>='C:\Users\jaime.benazar\Quorum Business Solutions\Ecopetrol Prometeo - Documents\Planning Space Implementation\3. Analysis &amp; Design\Design\FC22\DRR Jaime\QUIFA-CAJÚA\Cajua\[VAS_CAJUA_CF_SEC_20230125.xlsx]CF PRB'!$DN$59</v>
      </c>
      <c r="J2761" s="4" t="s">
        <v>1373</v>
      </c>
    </row>
    <row r="2762" spans="1:10" x14ac:dyDescent="0.2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Jaime\QUIFA-CAJÚA\Cajua\[VAS_CAJUA_CF_SEC_20230125.xlsx]CF PRB'!</v>
      </c>
      <c r="G2762" s="7" t="s">
        <v>41</v>
      </c>
      <c r="H2762" s="4">
        <f t="shared" si="629"/>
        <v>60</v>
      </c>
      <c r="I2762" s="4" t="str">
        <f t="shared" si="630"/>
        <v>='C:\Users\jaime.benazar\Quorum Business Solutions\Ecopetrol Prometeo - Documents\Planning Space Implementation\3. Analysis &amp; Design\Design\FC22\DRR Jaime\QUIFA-CAJÚA\Cajua\[VAS_CAJUA_CF_SEC_20230125.xlsx]CF PRB'!$DN$60</v>
      </c>
      <c r="J2762" s="4" t="s">
        <v>1374</v>
      </c>
    </row>
    <row r="2763" spans="1:10" x14ac:dyDescent="0.2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Jaime\QUIFA-CAJÚA\Cajua\[VAS_CAJUA_CF_SEC_20230125.xlsx]CF PRB'!</v>
      </c>
      <c r="G2763" s="7" t="s">
        <v>41</v>
      </c>
      <c r="H2763" s="4">
        <f t="shared" si="629"/>
        <v>61</v>
      </c>
      <c r="I2763" s="4" t="str">
        <f t="shared" si="630"/>
        <v>='C:\Users\jaime.benazar\Quorum Business Solutions\Ecopetrol Prometeo - Documents\Planning Space Implementation\3. Analysis &amp; Design\Design\FC22\DRR Jaime\QUIFA-CAJÚA\Cajua\[VAS_CAJUA_CF_SEC_20230125.xlsx]CF PRB'!$DN$61</v>
      </c>
      <c r="J2763" s="4" t="s">
        <v>1375</v>
      </c>
    </row>
    <row r="2764" spans="1:10" x14ac:dyDescent="0.2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Jaime\QUIFA-CAJÚA\Cajua\[VAS_CAJUA_CF_SEC_20230125.xlsx]CF PRB'!</v>
      </c>
      <c r="G2764" s="7" t="s">
        <v>41</v>
      </c>
      <c r="H2764" s="4">
        <f t="shared" si="629"/>
        <v>62</v>
      </c>
      <c r="I2764" s="4" t="str">
        <f t="shared" si="630"/>
        <v>='C:\Users\jaime.benazar\Quorum Business Solutions\Ecopetrol Prometeo - Documents\Planning Space Implementation\3. Analysis &amp; Design\Design\FC22\DRR Jaime\QUIFA-CAJÚA\Cajua\[VAS_CAJUA_CF_SEC_20230125.xlsx]CF PRB'!$DN$62</v>
      </c>
      <c r="J2764" s="4" t="s">
        <v>1376</v>
      </c>
    </row>
    <row r="2765" spans="1:10" x14ac:dyDescent="0.2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Jaime\QUIFA-CAJÚA\Cajua\[VAS_CAJUA_CF_SEC_20230125.xlsx]CF PRB'!</v>
      </c>
      <c r="G2765" s="7" t="s">
        <v>41</v>
      </c>
      <c r="H2765" s="4">
        <f t="shared" si="629"/>
        <v>63</v>
      </c>
      <c r="I2765" s="4" t="str">
        <f t="shared" si="630"/>
        <v>='C:\Users\jaime.benazar\Quorum Business Solutions\Ecopetrol Prometeo - Documents\Planning Space Implementation\3. Analysis &amp; Design\Design\FC22\DRR Jaime\QUIFA-CAJÚA\Cajua\[VAS_CAJUA_CF_SEC_20230125.xlsx]CF PRB'!$DN$63</v>
      </c>
      <c r="J2765" s="4" t="s">
        <v>1377</v>
      </c>
    </row>
    <row r="2766" spans="1:10" x14ac:dyDescent="0.2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Jaime\QUIFA-CAJÚA\Cajua\[VAS_CAJUA_CF_SEC_20230125.xlsx]CF PRB'!</v>
      </c>
      <c r="G2766" s="7" t="s">
        <v>41</v>
      </c>
      <c r="H2766" s="4">
        <f t="shared" si="629"/>
        <v>64</v>
      </c>
      <c r="I2766" s="4" t="str">
        <f t="shared" si="630"/>
        <v>='C:\Users\jaime.benazar\Quorum Business Solutions\Ecopetrol Prometeo - Documents\Planning Space Implementation\3. Analysis &amp; Design\Design\FC22\DRR Jaime\QUIFA-CAJÚA\Cajua\[VAS_CAJUA_CF_SEC_20230125.xlsx]CF PRB'!$DN$64</v>
      </c>
      <c r="J2766" s="4" t="s">
        <v>1378</v>
      </c>
    </row>
    <row r="2767" spans="1:10" x14ac:dyDescent="0.2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Jaime\QUIFA-CAJÚA\Cajua\[VAS_CAJUA_CF_SEC_20230125.xlsx]CF PRB'!</v>
      </c>
      <c r="G2767" s="7" t="s">
        <v>41</v>
      </c>
      <c r="H2767" s="4">
        <f t="shared" si="629"/>
        <v>65</v>
      </c>
      <c r="I2767" s="4" t="str">
        <f t="shared" si="630"/>
        <v>='C:\Users\jaime.benazar\Quorum Business Solutions\Ecopetrol Prometeo - Documents\Planning Space Implementation\3. Analysis &amp; Design\Design\FC22\DRR Jaime\QUIFA-CAJÚA\Cajua\[VAS_CAJUA_CF_SEC_20230125.xlsx]CF PRB'!$DN$65</v>
      </c>
      <c r="J2767" s="4" t="s">
        <v>1379</v>
      </c>
    </row>
    <row r="2768" spans="1:10" x14ac:dyDescent="0.2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Jaime\QUIFA-CAJÚA\Cajua\[VAS_CAJUA_CF_SEC_20230125.xlsx]CF PRB'!</v>
      </c>
      <c r="G2768" s="7" t="s">
        <v>41</v>
      </c>
      <c r="H2768" s="4">
        <f t="shared" si="629"/>
        <v>66</v>
      </c>
      <c r="I2768" s="4" t="str">
        <f t="shared" si="630"/>
        <v>='C:\Users\jaime.benazar\Quorum Business Solutions\Ecopetrol Prometeo - Documents\Planning Space Implementation\3. Analysis &amp; Design\Design\FC22\DRR Jaime\QUIFA-CAJÚA\Cajua\[VAS_CAJUA_CF_SEC_20230125.xlsx]CF PRB'!$DN$66</v>
      </c>
      <c r="J2768" s="4" t="s">
        <v>1380</v>
      </c>
    </row>
    <row r="2769" spans="1:10" x14ac:dyDescent="0.2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Jaime\QUIFA-CAJÚA\Cajua\[VAS_CAJUA_CF_SEC_20230125.xlsx]CF PRB'!</v>
      </c>
      <c r="G2769" s="7" t="s">
        <v>41</v>
      </c>
      <c r="H2769" s="4">
        <f t="shared" si="629"/>
        <v>67</v>
      </c>
      <c r="I2769" s="4" t="str">
        <f t="shared" si="630"/>
        <v>='C:\Users\jaime.benazar\Quorum Business Solutions\Ecopetrol Prometeo - Documents\Planning Space Implementation\3. Analysis &amp; Design\Design\FC22\DRR Jaime\QUIFA-CAJÚA\Cajua\[VAS_CAJUA_CF_SEC_20230125.xlsx]CF PRB'!$DN$67</v>
      </c>
      <c r="J2769" s="4" t="s">
        <v>1381</v>
      </c>
    </row>
    <row r="2770" spans="1:10" x14ac:dyDescent="0.2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Jaime\QUIFA-CAJÚA\Cajua\[VAS_CAJUA_CF_SEC_20230125.xlsx]CF PRB'!</v>
      </c>
      <c r="G2770" s="7" t="s">
        <v>41</v>
      </c>
      <c r="H2770" s="4">
        <f t="shared" si="629"/>
        <v>68</v>
      </c>
      <c r="I2770" s="4" t="str">
        <f t="shared" si="630"/>
        <v>='C:\Users\jaime.benazar\Quorum Business Solutions\Ecopetrol Prometeo - Documents\Planning Space Implementation\3. Analysis &amp; Design\Design\FC22\DRR Jaime\QUIFA-CAJÚA\Cajua\[VAS_CAJUA_CF_SEC_20230125.xlsx]CF PRB'!$DN$68</v>
      </c>
      <c r="J2770" s="4" t="s">
        <v>1382</v>
      </c>
    </row>
    <row r="2771" spans="1:10" x14ac:dyDescent="0.2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Jaime\QUIFA-CAJÚA\Cajua\[VAS_CAJUA_CF_SEC_20230125.xlsx]CF PRB'!</v>
      </c>
      <c r="G2771" s="7" t="s">
        <v>41</v>
      </c>
      <c r="H2771" s="4">
        <f t="shared" si="629"/>
        <v>69</v>
      </c>
      <c r="I2771" s="4" t="str">
        <f t="shared" si="630"/>
        <v>='C:\Users\jaime.benazar\Quorum Business Solutions\Ecopetrol Prometeo - Documents\Planning Space Implementation\3. Analysis &amp; Design\Design\FC22\DRR Jaime\QUIFA-CAJÚA\Cajua\[VAS_CAJUA_CF_SEC_20230125.xlsx]CF PRB'!$DN$69</v>
      </c>
      <c r="J2771" s="4" t="s">
        <v>1383</v>
      </c>
    </row>
    <row r="2772" spans="1:10" x14ac:dyDescent="0.2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Jaime\QUIFA-CAJÚA\Cajua\[VAS_CAJUA_CF_SEC_20230125.xlsx]CF PRB'!</v>
      </c>
      <c r="G2772" s="7" t="s">
        <v>41</v>
      </c>
      <c r="H2772" s="4">
        <f t="shared" si="629"/>
        <v>70</v>
      </c>
      <c r="I2772" s="4" t="str">
        <f t="shared" si="630"/>
        <v>='C:\Users\jaime.benazar\Quorum Business Solutions\Ecopetrol Prometeo - Documents\Planning Space Implementation\3. Analysis &amp; Design\Design\FC22\DRR Jaime\QUIFA-CAJÚA\Cajua\[VAS_CAJUA_CF_SEC_20230125.xlsx]CF PRB'!$DN$70</v>
      </c>
      <c r="J2772" s="4" t="s">
        <v>1384</v>
      </c>
    </row>
    <row r="2773" spans="1:10" x14ac:dyDescent="0.2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Jaime\QUIFA-CAJÚA\Cajua\[VAS_CAJUA_CF_SEC_20230125.xlsx]CF PRB'!</v>
      </c>
      <c r="G2773" s="7" t="s">
        <v>41</v>
      </c>
      <c r="H2773" s="4">
        <f t="shared" si="629"/>
        <v>71</v>
      </c>
      <c r="I2773" s="4" t="str">
        <f t="shared" si="630"/>
        <v>='C:\Users\jaime.benazar\Quorum Business Solutions\Ecopetrol Prometeo - Documents\Planning Space Implementation\3. Analysis &amp; Design\Design\FC22\DRR Jaime\QUIFA-CAJÚA\Cajua\[VAS_CAJUA_CF_SEC_20230125.xlsx]CF PRB'!$DN$71</v>
      </c>
      <c r="J2773" s="4" t="s">
        <v>1385</v>
      </c>
    </row>
    <row r="2774" spans="1:10" x14ac:dyDescent="0.2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Jaime\QUIFA-CAJÚA\Cajua\[VAS_CAJUA_CF_SEC_20230125.xlsx]CF PRB'!</v>
      </c>
      <c r="G2774" s="7" t="s">
        <v>41</v>
      </c>
      <c r="H2774" s="4">
        <f t="shared" si="629"/>
        <v>72</v>
      </c>
      <c r="I2774" s="4" t="str">
        <f t="shared" si="630"/>
        <v>='C:\Users\jaime.benazar\Quorum Business Solutions\Ecopetrol Prometeo - Documents\Planning Space Implementation\3. Analysis &amp; Design\Design\FC22\DRR Jaime\QUIFA-CAJÚA\Cajua\[VAS_CAJUA_CF_SEC_20230125.xlsx]CF PRB'!$DN$72</v>
      </c>
      <c r="J2774" s="4" t="s">
        <v>1386</v>
      </c>
    </row>
    <row r="2775" spans="1:10" x14ac:dyDescent="0.25">
      <c r="A2775" s="7" t="s">
        <v>28</v>
      </c>
      <c r="B2775" s="7"/>
      <c r="C2775" s="4" t="s">
        <v>23</v>
      </c>
      <c r="D2775" s="5"/>
      <c r="E2775" s="10"/>
      <c r="F2775" s="2"/>
      <c r="G2775" s="7"/>
      <c r="H2775" s="4"/>
      <c r="I2775" s="4"/>
      <c r="J2775" s="4"/>
    </row>
    <row r="2776" spans="1:10" x14ac:dyDescent="0.2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Jaime\QUIFA-CAJÚA\Cajua\[VAS_CAJUA_CF_SEC_20230125.xlsx]CF PSDP'!</v>
      </c>
      <c r="G2776" s="7" t="s">
        <v>41</v>
      </c>
      <c r="H2776" s="4"/>
      <c r="I2776" s="4"/>
      <c r="J2776" s="4"/>
    </row>
    <row r="2777" spans="1:10" x14ac:dyDescent="0.2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Jaime\QUIFA-CAJÚA\Cajua\[VAS_CAJUA_CF_SEC_20230125.xlsx]CF PSDP'!</v>
      </c>
      <c r="G2777" s="7" t="s">
        <v>41</v>
      </c>
      <c r="H2777" s="4"/>
      <c r="I2777" s="4"/>
      <c r="J2777" s="4"/>
    </row>
    <row r="2778" spans="1:10" x14ac:dyDescent="0.2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Jaime\QUIFA-CAJÚA\Cajua\[VAS_CAJUA_CF_SEC_20230125.xlsx]CF PSDP'!</v>
      </c>
      <c r="G2778" s="7" t="s">
        <v>41</v>
      </c>
      <c r="H2778" s="4"/>
      <c r="I2778" s="4"/>
      <c r="J2778" s="4"/>
    </row>
    <row r="2779" spans="1:10" x14ac:dyDescent="0.2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Jaime\QUIFA-CAJÚA\Cajua\[VAS_CAJUA_CF_SEC_20230125.xlsx]CF PSDP'!</v>
      </c>
      <c r="G2779" s="7" t="s">
        <v>41</v>
      </c>
      <c r="H2779" s="4"/>
      <c r="I2779" s="4"/>
      <c r="J2779" s="4"/>
    </row>
    <row r="2780" spans="1:10" x14ac:dyDescent="0.2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Jaime\QUIFA-CAJÚA\Cajua\[VAS_CAJUA_CF_SEC_20230125.xlsx]CF PSDP'!</v>
      </c>
      <c r="G2780" s="7" t="s">
        <v>41</v>
      </c>
      <c r="H2780" s="4"/>
      <c r="I2780" s="4"/>
      <c r="J2780" s="4"/>
    </row>
    <row r="2781" spans="1:10" x14ac:dyDescent="0.2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Jaime\QUIFA-CAJÚA\Cajua\[VAS_CAJUA_CF_SEC_20230125.xlsx]CF PSDP'!</v>
      </c>
      <c r="G2781" s="7" t="s">
        <v>41</v>
      </c>
      <c r="H2781" s="4"/>
      <c r="I2781" s="4"/>
      <c r="J2781" s="4"/>
    </row>
    <row r="2782" spans="1:10" x14ac:dyDescent="0.2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Jaime\QUIFA-CAJÚA\Cajua\[VAS_CAJUA_CF_SEC_20230125.xlsx]CF PSDP'!</v>
      </c>
      <c r="G2782" s="7" t="s">
        <v>41</v>
      </c>
      <c r="H2782" s="4"/>
      <c r="I2782" s="4"/>
      <c r="J2782" s="4"/>
    </row>
    <row r="2783" spans="1:10" x14ac:dyDescent="0.2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Jaime\QUIFA-CAJÚA\Cajua\[VAS_CAJUA_CF_SEC_20230125.xlsx]CF PSDP'!</v>
      </c>
      <c r="G2783" s="7" t="s">
        <v>41</v>
      </c>
      <c r="H2783" s="4"/>
      <c r="I2783" s="4"/>
      <c r="J2783" s="4"/>
    </row>
    <row r="2784" spans="1:10" x14ac:dyDescent="0.2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Jaime\QUIFA-CAJÚA\Cajua\[VAS_CAJUA_CF_SEC_20230125.xlsx]CF PSDP'!</v>
      </c>
      <c r="G2784" s="7" t="s">
        <v>41</v>
      </c>
      <c r="H2784" s="4"/>
      <c r="I2784" s="4"/>
      <c r="J2784" s="4"/>
    </row>
    <row r="2785" spans="1:10" x14ac:dyDescent="0.2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Jaime\QUIFA-CAJÚA\Cajua\[VAS_CAJUA_CF_SEC_20230125.xlsx]CF PSDP'!</v>
      </c>
      <c r="G2785" s="7" t="s">
        <v>41</v>
      </c>
      <c r="H2785" s="4"/>
      <c r="I2785" s="4"/>
      <c r="J2785" s="4"/>
    </row>
    <row r="2786" spans="1:10" x14ac:dyDescent="0.2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Jaime\QUIFA-CAJÚA\Cajua\[VAS_CAJUA_CF_SEC_20230125.xlsx]CF PSDP'!</v>
      </c>
      <c r="G2786" s="7" t="s">
        <v>41</v>
      </c>
      <c r="H2786" s="4"/>
      <c r="I2786" s="4"/>
      <c r="J2786" s="4"/>
    </row>
    <row r="2787" spans="1:10" x14ac:dyDescent="0.2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Jaime\QUIFA-CAJÚA\Cajua\[VAS_CAJUA_CF_SEC_20230125.xlsx]CF PSDP'!</v>
      </c>
      <c r="G2787" s="7" t="s">
        <v>41</v>
      </c>
      <c r="H2787" s="4"/>
      <c r="I2787" s="4"/>
      <c r="J2787" s="4"/>
    </row>
    <row r="2788" spans="1:10" x14ac:dyDescent="0.2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Jaime\QUIFA-CAJÚA\Cajua\[VAS_CAJUA_CF_SEC_20230125.xlsx]CF PSDP'!</v>
      </c>
      <c r="G2788" s="7" t="s">
        <v>41</v>
      </c>
      <c r="H2788" s="4"/>
      <c r="I2788" s="4"/>
      <c r="J2788" s="4"/>
    </row>
    <row r="2789" spans="1:10" x14ac:dyDescent="0.2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Jaime\QUIFA-CAJÚA\Cajua\[VAS_CAJUA_CF_SEC_20230125.xlsx]CF PSDP'!</v>
      </c>
      <c r="G2789" s="7" t="s">
        <v>41</v>
      </c>
      <c r="H2789" s="4"/>
      <c r="I2789" s="4"/>
      <c r="J2789" s="4"/>
    </row>
    <row r="2790" spans="1:10" x14ac:dyDescent="0.2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Jaime\QUIFA-CAJÚA\Cajua\[VAS_CAJUA_CF_SEC_20230125.xlsx]CF PSDP'!</v>
      </c>
      <c r="G2790" s="7" t="s">
        <v>41</v>
      </c>
      <c r="H2790" s="4"/>
      <c r="I2790" s="4"/>
      <c r="J2790" s="4"/>
    </row>
    <row r="2791" spans="1:10" x14ac:dyDescent="0.2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Jaime\QUIFA-CAJÚA\Cajua\[VAS_CAJUA_CF_SEC_20230125.xlsx]CF PSDP'!</v>
      </c>
      <c r="G2791" s="7" t="s">
        <v>41</v>
      </c>
      <c r="H2791" s="4"/>
      <c r="I2791" s="4"/>
      <c r="J2791" s="4"/>
    </row>
    <row r="2792" spans="1:10" x14ac:dyDescent="0.2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Jaime\QUIFA-CAJÚA\Cajua\[VAS_CAJUA_CF_SEC_20230125.xlsx]CF PSDP'!</v>
      </c>
      <c r="G2792" s="7" t="s">
        <v>41</v>
      </c>
      <c r="H2792" s="4"/>
      <c r="I2792" s="4"/>
      <c r="J2792" s="4"/>
    </row>
    <row r="2793" spans="1:10" x14ac:dyDescent="0.2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Jaime\QUIFA-CAJÚA\Cajua\[VAS_CAJUA_CF_SEC_20230125.xlsx]CF PSDP'!</v>
      </c>
      <c r="G2793" s="7" t="s">
        <v>41</v>
      </c>
      <c r="H2793" s="4"/>
      <c r="I2793" s="4"/>
      <c r="J2793" s="4"/>
    </row>
    <row r="2794" spans="1:10" x14ac:dyDescent="0.2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Jaime\QUIFA-CAJÚA\Cajua\[VAS_CAJUA_CF_SEC_20230125.xlsx]CF PSDP'!</v>
      </c>
      <c r="G2794" s="7" t="s">
        <v>41</v>
      </c>
      <c r="H2794" s="4"/>
      <c r="I2794" s="4"/>
      <c r="J2794" s="4"/>
    </row>
    <row r="2795" spans="1:10" x14ac:dyDescent="0.2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Jaime\QUIFA-CAJÚA\Cajua\[VAS_CAJUA_CF_SEC_20230125.xlsx]CF PSDP'!</v>
      </c>
      <c r="G2795" s="7" t="s">
        <v>41</v>
      </c>
      <c r="H2795" s="4"/>
      <c r="I2795" s="4"/>
      <c r="J2795" s="4"/>
    </row>
    <row r="2796" spans="1:10" x14ac:dyDescent="0.2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Jaime\QUIFA-CAJÚA\Cajua\[VAS_CAJUA_CF_SEC_20230125.xlsx]CF PSDP'!</v>
      </c>
      <c r="G2796" s="7" t="s">
        <v>41</v>
      </c>
      <c r="H2796" s="4"/>
      <c r="I2796" s="4"/>
      <c r="J2796" s="4"/>
    </row>
    <row r="2797" spans="1:10" x14ac:dyDescent="0.2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Jaime\QUIFA-CAJÚA\Cajua\[VAS_CAJUA_CF_SEC_20230125.xlsx]CF PSDP'!</v>
      </c>
      <c r="G2797" s="7" t="s">
        <v>41</v>
      </c>
      <c r="H2797" s="4"/>
      <c r="I2797" s="4"/>
      <c r="J2797" s="4"/>
    </row>
    <row r="2798" spans="1:10" x14ac:dyDescent="0.2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Jaime\QUIFA-CAJÚA\Cajua\[VAS_CAJUA_CF_SEC_20230125.xlsx]CF PSDP'!</v>
      </c>
      <c r="G2798" s="7" t="s">
        <v>41</v>
      </c>
      <c r="H2798" s="4"/>
      <c r="I2798" s="4"/>
      <c r="J2798" s="4"/>
    </row>
    <row r="2799" spans="1:10" x14ac:dyDescent="0.2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Jaime\QUIFA-CAJÚA\Cajua\[VAS_CAJUA_CF_SEC_20230125.xlsx]CF PSDP'!</v>
      </c>
      <c r="G2799" s="7" t="s">
        <v>41</v>
      </c>
      <c r="H2799" s="4"/>
      <c r="I2799" s="4"/>
      <c r="J2799" s="4"/>
    </row>
    <row r="2800" spans="1:10" x14ac:dyDescent="0.2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Jaime\QUIFA-CAJÚA\Cajua\[VAS_CAJUA_CF_SEC_20230125.xlsx]CF PSDP'!</v>
      </c>
      <c r="G2800" s="7" t="s">
        <v>41</v>
      </c>
      <c r="H2800" s="4"/>
      <c r="I2800" s="4"/>
      <c r="J2800" s="4"/>
    </row>
    <row r="2801" spans="1:10" x14ac:dyDescent="0.2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Jaime\QUIFA-CAJÚA\Cajua\[VAS_CAJUA_CF_SEC_20230125.xlsx]CF PSDP'!</v>
      </c>
      <c r="G2801" s="7" t="s">
        <v>41</v>
      </c>
      <c r="H2801" s="4"/>
      <c r="I2801" s="4"/>
      <c r="J2801" s="4"/>
    </row>
    <row r="2802" spans="1:10" x14ac:dyDescent="0.2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Jaime\QUIFA-CAJÚA\Cajua\[VAS_CAJUA_CF_SEC_20230125.xlsx]CF PSDP'!</v>
      </c>
      <c r="G2802" s="7" t="s">
        <v>41</v>
      </c>
      <c r="H2802" s="4"/>
      <c r="I2802" s="4"/>
      <c r="J2802" s="4"/>
    </row>
    <row r="2803" spans="1:10" x14ac:dyDescent="0.2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Jaime\QUIFA-CAJÚA\Cajua\[VAS_CAJUA_CF_SEC_20230125.xlsx]CF PSDP'!</v>
      </c>
      <c r="G2803" s="7" t="s">
        <v>41</v>
      </c>
      <c r="H2803" s="4"/>
      <c r="I2803" s="4"/>
      <c r="J2803" s="4"/>
    </row>
    <row r="2804" spans="1:10" x14ac:dyDescent="0.2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Jaime\QUIFA-CAJÚA\Cajua\[VAS_CAJUA_CF_SEC_20230125.xlsx]CF PSDP'!</v>
      </c>
      <c r="G2804" s="7" t="s">
        <v>41</v>
      </c>
      <c r="H2804" s="4"/>
      <c r="I2804" s="4"/>
      <c r="J2804" s="4"/>
    </row>
    <row r="2805" spans="1:10" x14ac:dyDescent="0.2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Jaime\QUIFA-CAJÚA\Cajua\[VAS_CAJUA_CF_SEC_20230125.xlsx]CF PSDP'!</v>
      </c>
      <c r="G2805" s="7" t="s">
        <v>41</v>
      </c>
      <c r="H2805" s="4"/>
      <c r="I2805" s="4"/>
      <c r="J2805" s="4"/>
    </row>
    <row r="2806" spans="1:10" x14ac:dyDescent="0.2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Jaime\QUIFA-CAJÚA\Cajua\[VAS_CAJUA_CF_SEC_20230125.xlsx]CF PSDP'!</v>
      </c>
      <c r="G2806" s="7" t="s">
        <v>41</v>
      </c>
      <c r="H2806" s="4"/>
      <c r="I2806" s="4"/>
      <c r="J2806" s="4"/>
    </row>
    <row r="2807" spans="1:10" x14ac:dyDescent="0.2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Jaime\QUIFA-CAJÚA\Cajua\[VAS_CAJUA_CF_SEC_20230125.xlsx]CF PSDP'!</v>
      </c>
      <c r="G2807" s="7" t="s">
        <v>41</v>
      </c>
      <c r="H2807" s="4"/>
      <c r="I2807" s="4"/>
      <c r="J2807" s="4"/>
    </row>
    <row r="2808" spans="1:10" x14ac:dyDescent="0.2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Jaime\QUIFA-CAJÚA\Cajua\[VAS_CAJUA_CF_SEC_20230125.xlsx]CF PSDP'!</v>
      </c>
      <c r="G2808" s="7" t="s">
        <v>41</v>
      </c>
      <c r="H2808" s="4"/>
      <c r="I2808" s="4"/>
      <c r="J2808" s="4"/>
    </row>
    <row r="2809" spans="1:10" x14ac:dyDescent="0.2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Jaime\QUIFA-CAJÚA\Cajua\[VAS_CAJUA_CF_SEC_20230125.xlsx]CF PSDP'!</v>
      </c>
      <c r="G2809" s="7" t="s">
        <v>41</v>
      </c>
      <c r="H2809" s="4"/>
      <c r="I2809" s="4"/>
      <c r="J2809" s="4"/>
    </row>
    <row r="2810" spans="1:10" x14ac:dyDescent="0.2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Jaime\QUIFA-CAJÚA\Cajua\[VAS_CAJUA_CF_SEC_20230125.xlsx]CF PSDP'!</v>
      </c>
      <c r="G2810" s="7" t="s">
        <v>41</v>
      </c>
      <c r="H2810" s="4"/>
      <c r="I2810" s="4"/>
      <c r="J2810" s="4"/>
    </row>
    <row r="2811" spans="1:10" x14ac:dyDescent="0.2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Jaime\QUIFA-CAJÚA\Cajua\[VAS_CAJUA_CF_SEC_20230125.xlsx]CF PSDP'!</v>
      </c>
      <c r="G2811" s="7" t="s">
        <v>41</v>
      </c>
      <c r="H2811" s="4"/>
      <c r="I2811" s="4"/>
      <c r="J2811" s="4"/>
    </row>
    <row r="2812" spans="1:10" x14ac:dyDescent="0.2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Jaime\QUIFA-CAJÚA\Cajua\[VAS_CAJUA_CF_SEC_20230125.xlsx]CF PSDP'!</v>
      </c>
      <c r="G2812" s="7" t="s">
        <v>41</v>
      </c>
      <c r="H2812" s="4"/>
      <c r="I2812" s="4"/>
      <c r="J2812" s="4"/>
    </row>
    <row r="2813" spans="1:10" x14ac:dyDescent="0.25">
      <c r="A2813" s="7" t="s">
        <v>28</v>
      </c>
      <c r="B2813" s="7"/>
      <c r="C2813" s="4" t="s">
        <v>23</v>
      </c>
      <c r="D2813" s="5"/>
      <c r="E2813" s="10"/>
      <c r="F2813" s="2"/>
      <c r="G2813" s="7"/>
      <c r="H2813" s="4"/>
      <c r="I2813" s="4"/>
      <c r="J2813" s="4"/>
    </row>
    <row r="2814" spans="1:10" x14ac:dyDescent="0.2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Jaime\QUIFA-CAJÚA\Cajua\[VAS_CAJUA_CF_SEC_20230125.xlsx]CF PSNP'!</v>
      </c>
      <c r="G2814" s="7" t="s">
        <v>41</v>
      </c>
      <c r="H2814" s="4"/>
      <c r="I2814" s="4"/>
      <c r="J2814" s="4"/>
    </row>
    <row r="2815" spans="1:10" x14ac:dyDescent="0.2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Jaime\QUIFA-CAJÚA\Cajua\[VAS_CAJUA_CF_SEC_20230125.xlsx]CF PSNP'!</v>
      </c>
      <c r="G2815" s="7" t="s">
        <v>41</v>
      </c>
      <c r="H2815" s="4"/>
      <c r="I2815" s="4"/>
      <c r="J2815" s="4"/>
    </row>
    <row r="2816" spans="1:10" x14ac:dyDescent="0.2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Jaime\QUIFA-CAJÚA\Cajua\[VAS_CAJUA_CF_SEC_20230125.xlsx]CF PSNP'!</v>
      </c>
      <c r="G2816" s="7" t="s">
        <v>41</v>
      </c>
      <c r="H2816" s="4"/>
      <c r="I2816" s="4"/>
      <c r="J2816" s="4"/>
    </row>
    <row r="2817" spans="1:10" x14ac:dyDescent="0.2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Jaime\QUIFA-CAJÚA\Cajua\[VAS_CAJUA_CF_SEC_20230125.xlsx]CF PSNP'!</v>
      </c>
      <c r="G2817" s="7" t="s">
        <v>41</v>
      </c>
      <c r="H2817" s="4"/>
      <c r="I2817" s="4"/>
      <c r="J2817" s="4"/>
    </row>
    <row r="2818" spans="1:10" x14ac:dyDescent="0.2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Jaime\QUIFA-CAJÚA\Cajua\[VAS_CAJUA_CF_SEC_20230125.xlsx]CF PSNP'!</v>
      </c>
      <c r="G2818" s="7" t="s">
        <v>41</v>
      </c>
      <c r="H2818" s="4"/>
      <c r="I2818" s="4"/>
      <c r="J2818" s="4"/>
    </row>
    <row r="2819" spans="1:10" x14ac:dyDescent="0.2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Jaime\QUIFA-CAJÚA\Cajua\[VAS_CAJUA_CF_SEC_20230125.xlsx]CF PSNP'!</v>
      </c>
      <c r="G2819" s="7" t="s">
        <v>41</v>
      </c>
      <c r="H2819" s="4"/>
      <c r="I2819" s="4"/>
      <c r="J2819" s="4"/>
    </row>
    <row r="2820" spans="1:10" x14ac:dyDescent="0.2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Jaime\QUIFA-CAJÚA\Cajua\[VAS_CAJUA_CF_SEC_20230125.xlsx]CF PSNP'!</v>
      </c>
      <c r="G2820" s="7" t="s">
        <v>41</v>
      </c>
      <c r="H2820" s="4"/>
      <c r="I2820" s="4"/>
      <c r="J2820" s="4"/>
    </row>
    <row r="2821" spans="1:10" x14ac:dyDescent="0.2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Jaime\QUIFA-CAJÚA\Cajua\[VAS_CAJUA_CF_SEC_20230125.xlsx]CF PSNP'!</v>
      </c>
      <c r="G2821" s="7" t="s">
        <v>41</v>
      </c>
      <c r="H2821" s="4"/>
      <c r="I2821" s="4"/>
      <c r="J2821" s="4"/>
    </row>
    <row r="2822" spans="1:10" x14ac:dyDescent="0.2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Jaime\QUIFA-CAJÚA\Cajua\[VAS_CAJUA_CF_SEC_20230125.xlsx]CF PSNP'!</v>
      </c>
      <c r="G2822" s="7" t="s">
        <v>41</v>
      </c>
      <c r="H2822" s="4"/>
      <c r="I2822" s="4"/>
      <c r="J2822" s="4"/>
    </row>
    <row r="2823" spans="1:10" x14ac:dyDescent="0.2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Jaime\QUIFA-CAJÚA\Cajua\[VAS_CAJUA_CF_SEC_20230125.xlsx]CF PSNP'!</v>
      </c>
      <c r="G2823" s="7" t="s">
        <v>41</v>
      </c>
      <c r="H2823" s="4"/>
      <c r="I2823" s="4"/>
      <c r="J2823" s="4"/>
    </row>
    <row r="2824" spans="1:10" x14ac:dyDescent="0.2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Jaime\QUIFA-CAJÚA\Cajua\[VAS_CAJUA_CF_SEC_20230125.xlsx]CF PSNP'!</v>
      </c>
      <c r="G2824" s="7" t="s">
        <v>41</v>
      </c>
      <c r="H2824" s="4"/>
      <c r="I2824" s="4"/>
      <c r="J2824" s="4"/>
    </row>
    <row r="2825" spans="1:10" x14ac:dyDescent="0.2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Jaime\QUIFA-CAJÚA\Cajua\[VAS_CAJUA_CF_SEC_20230125.xlsx]CF PSNP'!</v>
      </c>
      <c r="G2825" s="7" t="s">
        <v>41</v>
      </c>
      <c r="H2825" s="4"/>
      <c r="I2825" s="4"/>
      <c r="J2825" s="4"/>
    </row>
    <row r="2826" spans="1:10" x14ac:dyDescent="0.2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Jaime\QUIFA-CAJÚA\Cajua\[VAS_CAJUA_CF_SEC_20230125.xlsx]CF PSNP'!</v>
      </c>
      <c r="G2826" s="7" t="s">
        <v>41</v>
      </c>
      <c r="H2826" s="4"/>
      <c r="I2826" s="4"/>
      <c r="J2826" s="4"/>
    </row>
    <row r="2827" spans="1:10" x14ac:dyDescent="0.2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Jaime\QUIFA-CAJÚA\Cajua\[VAS_CAJUA_CF_SEC_20230125.xlsx]CF PSNP'!</v>
      </c>
      <c r="G2827" s="7" t="s">
        <v>41</v>
      </c>
      <c r="H2827" s="4"/>
      <c r="I2827" s="4"/>
      <c r="J2827" s="4"/>
    </row>
    <row r="2828" spans="1:10" x14ac:dyDescent="0.2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Jaime\QUIFA-CAJÚA\Cajua\[VAS_CAJUA_CF_SEC_20230125.xlsx]CF PSNP'!</v>
      </c>
      <c r="G2828" s="7" t="s">
        <v>41</v>
      </c>
      <c r="H2828" s="4"/>
      <c r="I2828" s="4"/>
      <c r="J2828" s="4"/>
    </row>
    <row r="2829" spans="1:10" x14ac:dyDescent="0.2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Jaime\QUIFA-CAJÚA\Cajua\[VAS_CAJUA_CF_SEC_20230125.xlsx]CF PSNP'!</v>
      </c>
      <c r="G2829" s="7" t="s">
        <v>41</v>
      </c>
      <c r="H2829" s="4"/>
      <c r="I2829" s="4"/>
      <c r="J2829" s="4"/>
    </row>
    <row r="2830" spans="1:10" x14ac:dyDescent="0.2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Jaime\QUIFA-CAJÚA\Cajua\[VAS_CAJUA_CF_SEC_20230125.xlsx]CF PSNP'!</v>
      </c>
      <c r="G2830" s="7" t="s">
        <v>41</v>
      </c>
      <c r="H2830" s="4"/>
      <c r="I2830" s="4"/>
      <c r="J2830" s="4"/>
    </row>
    <row r="2831" spans="1:10" x14ac:dyDescent="0.2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Jaime\QUIFA-CAJÚA\Cajua\[VAS_CAJUA_CF_SEC_20230125.xlsx]CF PSNP'!</v>
      </c>
      <c r="G2831" s="7" t="s">
        <v>41</v>
      </c>
      <c r="H2831" s="4"/>
      <c r="I2831" s="4"/>
      <c r="J2831" s="4"/>
    </row>
    <row r="2832" spans="1:10" x14ac:dyDescent="0.2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Jaime\QUIFA-CAJÚA\Cajua\[VAS_CAJUA_CF_SEC_20230125.xlsx]CF PSNP'!</v>
      </c>
      <c r="G2832" s="7" t="s">
        <v>41</v>
      </c>
      <c r="H2832" s="4"/>
      <c r="I2832" s="4"/>
      <c r="J2832" s="4"/>
    </row>
    <row r="2833" spans="1:10" x14ac:dyDescent="0.2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Jaime\QUIFA-CAJÚA\Cajua\[VAS_CAJUA_CF_SEC_20230125.xlsx]CF PSNP'!</v>
      </c>
      <c r="G2833" s="7" t="s">
        <v>41</v>
      </c>
      <c r="H2833" s="4"/>
      <c r="I2833" s="4"/>
      <c r="J2833" s="4"/>
    </row>
    <row r="2834" spans="1:10" x14ac:dyDescent="0.2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Jaime\QUIFA-CAJÚA\Cajua\[VAS_CAJUA_CF_SEC_20230125.xlsx]CF PSNP'!</v>
      </c>
      <c r="G2834" s="7" t="s">
        <v>41</v>
      </c>
      <c r="H2834" s="4"/>
      <c r="I2834" s="4"/>
      <c r="J2834" s="4"/>
    </row>
    <row r="2835" spans="1:10" x14ac:dyDescent="0.2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Jaime\QUIFA-CAJÚA\Cajua\[VAS_CAJUA_CF_SEC_20230125.xlsx]CF PSNP'!</v>
      </c>
      <c r="G2835" s="7" t="s">
        <v>41</v>
      </c>
      <c r="H2835" s="4"/>
      <c r="I2835" s="4"/>
      <c r="J2835" s="4"/>
    </row>
    <row r="2836" spans="1:10" x14ac:dyDescent="0.2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Jaime\QUIFA-CAJÚA\Cajua\[VAS_CAJUA_CF_SEC_20230125.xlsx]CF PSNP'!</v>
      </c>
      <c r="G2836" s="7" t="s">
        <v>41</v>
      </c>
      <c r="H2836" s="4"/>
      <c r="I2836" s="4"/>
      <c r="J2836" s="4"/>
    </row>
    <row r="2837" spans="1:10" x14ac:dyDescent="0.2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Jaime\QUIFA-CAJÚA\Cajua\[VAS_CAJUA_CF_SEC_20230125.xlsx]CF PSNP'!</v>
      </c>
      <c r="G2837" s="7" t="s">
        <v>41</v>
      </c>
      <c r="H2837" s="4"/>
      <c r="I2837" s="4"/>
      <c r="J2837" s="4"/>
    </row>
    <row r="2838" spans="1:10" x14ac:dyDescent="0.2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Jaime\QUIFA-CAJÚA\Cajua\[VAS_CAJUA_CF_SEC_20230125.xlsx]CF PSNP'!</v>
      </c>
      <c r="G2838" s="7" t="s">
        <v>41</v>
      </c>
      <c r="H2838" s="4"/>
      <c r="I2838" s="4"/>
      <c r="J2838" s="4"/>
    </row>
    <row r="2839" spans="1:10" x14ac:dyDescent="0.2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Jaime\QUIFA-CAJÚA\Cajua\[VAS_CAJUA_CF_SEC_20230125.xlsx]CF PSNP'!</v>
      </c>
      <c r="G2839" s="7" t="s">
        <v>41</v>
      </c>
      <c r="H2839" s="4"/>
      <c r="I2839" s="4"/>
      <c r="J2839" s="4"/>
    </row>
    <row r="2840" spans="1:10" x14ac:dyDescent="0.2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Jaime\QUIFA-CAJÚA\Cajua\[VAS_CAJUA_CF_SEC_20230125.xlsx]CF PSNP'!</v>
      </c>
      <c r="G2840" s="7" t="s">
        <v>41</v>
      </c>
      <c r="H2840" s="4"/>
      <c r="I2840" s="4"/>
      <c r="J2840" s="4"/>
    </row>
    <row r="2841" spans="1:10" x14ac:dyDescent="0.2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Jaime\QUIFA-CAJÚA\Cajua\[VAS_CAJUA_CF_SEC_20230125.xlsx]CF PSNP'!</v>
      </c>
      <c r="G2841" s="7" t="s">
        <v>41</v>
      </c>
      <c r="H2841" s="4"/>
      <c r="I2841" s="4"/>
      <c r="J2841" s="4"/>
    </row>
    <row r="2842" spans="1:10" x14ac:dyDescent="0.2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Jaime\QUIFA-CAJÚA\Cajua\[VAS_CAJUA_CF_SEC_20230125.xlsx]CF PSNP'!</v>
      </c>
      <c r="G2842" s="7" t="s">
        <v>41</v>
      </c>
      <c r="H2842" s="4"/>
      <c r="I2842" s="4"/>
      <c r="J2842" s="4"/>
    </row>
    <row r="2843" spans="1:10" x14ac:dyDescent="0.2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Jaime\QUIFA-CAJÚA\Cajua\[VAS_CAJUA_CF_SEC_20230125.xlsx]CF PSNP'!</v>
      </c>
      <c r="G2843" s="7" t="s">
        <v>41</v>
      </c>
      <c r="H2843" s="4"/>
      <c r="I2843" s="4"/>
      <c r="J2843" s="4"/>
    </row>
    <row r="2844" spans="1:10" x14ac:dyDescent="0.2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Jaime\QUIFA-CAJÚA\Cajua\[VAS_CAJUA_CF_SEC_20230125.xlsx]CF PSNP'!</v>
      </c>
      <c r="G2844" s="7" t="s">
        <v>41</v>
      </c>
      <c r="H2844" s="4"/>
      <c r="I2844" s="4"/>
      <c r="J2844" s="4"/>
    </row>
    <row r="2845" spans="1:10" x14ac:dyDescent="0.2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Jaime\QUIFA-CAJÚA\Cajua\[VAS_CAJUA_CF_SEC_20230125.xlsx]CF PSNP'!</v>
      </c>
      <c r="G2845" s="7" t="s">
        <v>41</v>
      </c>
      <c r="H2845" s="4"/>
      <c r="I2845" s="4"/>
      <c r="J2845" s="4"/>
    </row>
    <row r="2846" spans="1:10" x14ac:dyDescent="0.2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Jaime\QUIFA-CAJÚA\Cajua\[VAS_CAJUA_CF_SEC_20230125.xlsx]CF PSNP'!</v>
      </c>
      <c r="G2846" s="7" t="s">
        <v>41</v>
      </c>
      <c r="H2846" s="4"/>
      <c r="I2846" s="4"/>
      <c r="J2846" s="4"/>
    </row>
    <row r="2847" spans="1:10" x14ac:dyDescent="0.2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Jaime\QUIFA-CAJÚA\Cajua\[VAS_CAJUA_CF_SEC_20230125.xlsx]CF PSNP'!</v>
      </c>
      <c r="G2847" s="7" t="s">
        <v>41</v>
      </c>
      <c r="H2847" s="4"/>
      <c r="I2847" s="4"/>
      <c r="J2847" s="4"/>
    </row>
    <row r="2848" spans="1:10" x14ac:dyDescent="0.2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Jaime\QUIFA-CAJÚA\Cajua\[VAS_CAJUA_CF_SEC_20230125.xlsx]CF PSNP'!</v>
      </c>
      <c r="G2848" s="7" t="s">
        <v>41</v>
      </c>
      <c r="H2848" s="4"/>
      <c r="I2848" s="4"/>
      <c r="J2848" s="4"/>
    </row>
    <row r="2849" spans="1:10" x14ac:dyDescent="0.2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Jaime\QUIFA-CAJÚA\Cajua\[VAS_CAJUA_CF_SEC_20230125.xlsx]CF PSNP'!</v>
      </c>
      <c r="G2849" s="7" t="s">
        <v>41</v>
      </c>
      <c r="H2849" s="4"/>
      <c r="I2849" s="4"/>
      <c r="J2849" s="4"/>
    </row>
    <row r="2850" spans="1:10" x14ac:dyDescent="0.2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Jaime\QUIFA-CAJÚA\Cajua\[VAS_CAJUA_CF_SEC_20230125.xlsx]CF PSNP'!</v>
      </c>
      <c r="G2850" s="7" t="s">
        <v>41</v>
      </c>
      <c r="H2850" s="4"/>
      <c r="I2850" s="4"/>
      <c r="J2850" s="4"/>
    </row>
    <row r="2851" spans="1:10" x14ac:dyDescent="0.25">
      <c r="A2851" s="7" t="s">
        <v>28</v>
      </c>
      <c r="B2851" s="7"/>
      <c r="C2851" s="4" t="s">
        <v>23</v>
      </c>
      <c r="D2851" s="5"/>
      <c r="E2851" s="10"/>
      <c r="F2851" s="2"/>
      <c r="G2851" s="7"/>
      <c r="H2851" s="4"/>
      <c r="I2851" s="4"/>
      <c r="J2851" s="4"/>
    </row>
    <row r="2852" spans="1:10" x14ac:dyDescent="0.2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Jaime\QUIFA-CAJÚA\Cajua\[VAS_CAJUA_CF_SEC_20230125.xlsx]CF PSND'!</v>
      </c>
      <c r="G2852" s="7" t="s">
        <v>41</v>
      </c>
      <c r="H2852" s="4"/>
      <c r="I2852" s="4"/>
      <c r="J2852" s="4"/>
    </row>
    <row r="2853" spans="1:10" x14ac:dyDescent="0.2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Jaime\QUIFA-CAJÚA\Cajua\[VAS_CAJUA_CF_SEC_20230125.xlsx]CF PSND'!</v>
      </c>
      <c r="G2853" s="7" t="s">
        <v>41</v>
      </c>
      <c r="H2853" s="4"/>
      <c r="I2853" s="4"/>
      <c r="J2853" s="4"/>
    </row>
    <row r="2854" spans="1:10" x14ac:dyDescent="0.2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Jaime\QUIFA-CAJÚA\Cajua\[VAS_CAJUA_CF_SEC_20230125.xlsx]CF PSND'!</v>
      </c>
      <c r="G2854" s="7" t="s">
        <v>41</v>
      </c>
      <c r="H2854" s="4"/>
      <c r="I2854" s="4"/>
      <c r="J2854" s="4"/>
    </row>
    <row r="2855" spans="1:10" x14ac:dyDescent="0.2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Jaime\QUIFA-CAJÚA\Cajua\[VAS_CAJUA_CF_SEC_20230125.xlsx]CF PSND'!</v>
      </c>
      <c r="G2855" s="7" t="s">
        <v>41</v>
      </c>
      <c r="H2855" s="4"/>
      <c r="I2855" s="4"/>
      <c r="J2855" s="4"/>
    </row>
    <row r="2856" spans="1:10" x14ac:dyDescent="0.2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Jaime\QUIFA-CAJÚA\Cajua\[VAS_CAJUA_CF_SEC_20230125.xlsx]CF PSND'!</v>
      </c>
      <c r="G2856" s="7" t="s">
        <v>41</v>
      </c>
      <c r="H2856" s="4"/>
      <c r="I2856" s="4"/>
      <c r="J2856" s="4"/>
    </row>
    <row r="2857" spans="1:10" x14ac:dyDescent="0.2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Jaime\QUIFA-CAJÚA\Cajua\[VAS_CAJUA_CF_SEC_20230125.xlsx]CF PSND'!</v>
      </c>
      <c r="G2857" s="7" t="s">
        <v>41</v>
      </c>
      <c r="H2857" s="4"/>
      <c r="I2857" s="4"/>
      <c r="J2857" s="4"/>
    </row>
    <row r="2858" spans="1:10" x14ac:dyDescent="0.2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Jaime\QUIFA-CAJÚA\Cajua\[VAS_CAJUA_CF_SEC_20230125.xlsx]CF PSND'!</v>
      </c>
      <c r="G2858" s="7" t="s">
        <v>41</v>
      </c>
      <c r="H2858" s="4"/>
      <c r="I2858" s="4"/>
      <c r="J2858" s="4"/>
    </row>
    <row r="2859" spans="1:10" x14ac:dyDescent="0.2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Jaime\QUIFA-CAJÚA\Cajua\[VAS_CAJUA_CF_SEC_20230125.xlsx]CF PSND'!</v>
      </c>
      <c r="G2859" s="7" t="s">
        <v>41</v>
      </c>
      <c r="H2859" s="4"/>
      <c r="I2859" s="4"/>
      <c r="J2859" s="4"/>
    </row>
    <row r="2860" spans="1:10" x14ac:dyDescent="0.2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Jaime\QUIFA-CAJÚA\Cajua\[VAS_CAJUA_CF_SEC_20230125.xlsx]CF PSND'!</v>
      </c>
      <c r="G2860" s="7" t="s">
        <v>41</v>
      </c>
      <c r="H2860" s="4"/>
      <c r="I2860" s="4"/>
      <c r="J2860" s="4"/>
    </row>
    <row r="2861" spans="1:10" x14ac:dyDescent="0.2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Jaime\QUIFA-CAJÚA\Cajua\[VAS_CAJUA_CF_SEC_20230125.xlsx]CF PSND'!</v>
      </c>
      <c r="G2861" s="7" t="s">
        <v>41</v>
      </c>
      <c r="H2861" s="4"/>
      <c r="I2861" s="4"/>
      <c r="J2861" s="4"/>
    </row>
    <row r="2862" spans="1:10" x14ac:dyDescent="0.2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Jaime\QUIFA-CAJÚA\Cajua\[VAS_CAJUA_CF_SEC_20230125.xlsx]CF PSND'!</v>
      </c>
      <c r="G2862" s="7" t="s">
        <v>41</v>
      </c>
      <c r="H2862" s="4"/>
      <c r="I2862" s="4"/>
      <c r="J2862" s="4"/>
    </row>
    <row r="2863" spans="1:10" x14ac:dyDescent="0.2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Jaime\QUIFA-CAJÚA\Cajua\[VAS_CAJUA_CF_SEC_20230125.xlsx]CF PSND'!</v>
      </c>
      <c r="G2863" s="7" t="s">
        <v>41</v>
      </c>
      <c r="H2863" s="4"/>
      <c r="I2863" s="4"/>
      <c r="J2863" s="4"/>
    </row>
    <row r="2864" spans="1:10" x14ac:dyDescent="0.2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Jaime\QUIFA-CAJÚA\Cajua\[VAS_CAJUA_CF_SEC_20230125.xlsx]CF PSND'!</v>
      </c>
      <c r="G2864" s="7" t="s">
        <v>41</v>
      </c>
      <c r="H2864" s="4"/>
      <c r="I2864" s="4"/>
      <c r="J2864" s="4"/>
    </row>
    <row r="2865" spans="1:10" x14ac:dyDescent="0.2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Jaime\QUIFA-CAJÚA\Cajua\[VAS_CAJUA_CF_SEC_20230125.xlsx]CF PSND'!</v>
      </c>
      <c r="G2865" s="7" t="s">
        <v>41</v>
      </c>
      <c r="H2865" s="4"/>
      <c r="I2865" s="4"/>
      <c r="J2865" s="4"/>
    </row>
    <row r="2866" spans="1:10" x14ac:dyDescent="0.2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Jaime\QUIFA-CAJÚA\Cajua\[VAS_CAJUA_CF_SEC_20230125.xlsx]CF PSND'!</v>
      </c>
      <c r="G2866" s="7" t="s">
        <v>41</v>
      </c>
      <c r="H2866" s="4"/>
      <c r="I2866" s="4"/>
      <c r="J2866" s="4"/>
    </row>
    <row r="2867" spans="1:10" x14ac:dyDescent="0.2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Jaime\QUIFA-CAJÚA\Cajua\[VAS_CAJUA_CF_SEC_20230125.xlsx]CF PSND'!</v>
      </c>
      <c r="G2867" s="7" t="s">
        <v>41</v>
      </c>
      <c r="H2867" s="4"/>
      <c r="I2867" s="4"/>
      <c r="J2867" s="4"/>
    </row>
    <row r="2868" spans="1:10" x14ac:dyDescent="0.2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Jaime\QUIFA-CAJÚA\Cajua\[VAS_CAJUA_CF_SEC_20230125.xlsx]CF PSND'!</v>
      </c>
      <c r="G2868" s="7" t="s">
        <v>41</v>
      </c>
      <c r="H2868" s="4"/>
      <c r="I2868" s="4"/>
      <c r="J2868" s="4"/>
    </row>
    <row r="2869" spans="1:10" x14ac:dyDescent="0.2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Jaime\QUIFA-CAJÚA\Cajua\[VAS_CAJUA_CF_SEC_20230125.xlsx]CF PSND'!</v>
      </c>
      <c r="G2869" s="7" t="s">
        <v>41</v>
      </c>
      <c r="H2869" s="4"/>
      <c r="I2869" s="4"/>
      <c r="J2869" s="4"/>
    </row>
    <row r="2870" spans="1:10" x14ac:dyDescent="0.2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Jaime\QUIFA-CAJÚA\Cajua\[VAS_CAJUA_CF_SEC_20230125.xlsx]CF PSND'!</v>
      </c>
      <c r="G2870" s="7" t="s">
        <v>41</v>
      </c>
      <c r="H2870" s="4"/>
      <c r="I2870" s="4"/>
      <c r="J2870" s="4"/>
    </row>
    <row r="2871" spans="1:10" x14ac:dyDescent="0.2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Jaime\QUIFA-CAJÚA\Cajua\[VAS_CAJUA_CF_SEC_20230125.xlsx]CF PSND'!</v>
      </c>
      <c r="G2871" s="7" t="s">
        <v>41</v>
      </c>
      <c r="H2871" s="4"/>
      <c r="I2871" s="4"/>
      <c r="J2871" s="4"/>
    </row>
    <row r="2872" spans="1:10" x14ac:dyDescent="0.2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Jaime\QUIFA-CAJÚA\Cajua\[VAS_CAJUA_CF_SEC_20230125.xlsx]CF PSND'!</v>
      </c>
      <c r="G2872" s="7" t="s">
        <v>41</v>
      </c>
      <c r="H2872" s="4"/>
      <c r="I2872" s="4"/>
      <c r="J2872" s="4"/>
    </row>
    <row r="2873" spans="1:10" x14ac:dyDescent="0.2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Jaime\QUIFA-CAJÚA\Cajua\[VAS_CAJUA_CF_SEC_20230125.xlsx]CF PSND'!</v>
      </c>
      <c r="G2873" s="7" t="s">
        <v>41</v>
      </c>
      <c r="H2873" s="4"/>
      <c r="I2873" s="4"/>
      <c r="J2873" s="4"/>
    </row>
    <row r="2874" spans="1:10" x14ac:dyDescent="0.2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Jaime\QUIFA-CAJÚA\Cajua\[VAS_CAJUA_CF_SEC_20230125.xlsx]CF PSND'!</v>
      </c>
      <c r="G2874" s="7" t="s">
        <v>41</v>
      </c>
      <c r="H2874" s="4"/>
      <c r="I2874" s="4"/>
      <c r="J2874" s="4"/>
    </row>
    <row r="2875" spans="1:10" x14ac:dyDescent="0.2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Jaime\QUIFA-CAJÚA\Cajua\[VAS_CAJUA_CF_SEC_20230125.xlsx]CF PSND'!</v>
      </c>
      <c r="G2875" s="7" t="s">
        <v>41</v>
      </c>
      <c r="H2875" s="4"/>
      <c r="I2875" s="4"/>
      <c r="J2875" s="4"/>
    </row>
    <row r="2876" spans="1:10" x14ac:dyDescent="0.2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Jaime\QUIFA-CAJÚA\Cajua\[VAS_CAJUA_CF_SEC_20230125.xlsx]CF PSND'!</v>
      </c>
      <c r="G2876" s="7" t="s">
        <v>41</v>
      </c>
      <c r="H2876" s="4"/>
      <c r="I2876" s="4"/>
      <c r="J2876" s="4"/>
    </row>
    <row r="2877" spans="1:10" x14ac:dyDescent="0.2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Jaime\QUIFA-CAJÚA\Cajua\[VAS_CAJUA_CF_SEC_20230125.xlsx]CF PSND'!</v>
      </c>
      <c r="G2877" s="7" t="s">
        <v>41</v>
      </c>
      <c r="H2877" s="4"/>
      <c r="I2877" s="4"/>
      <c r="J2877" s="4"/>
    </row>
    <row r="2878" spans="1:10" x14ac:dyDescent="0.2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Jaime\QUIFA-CAJÚA\Cajua\[VAS_CAJUA_CF_SEC_20230125.xlsx]CF PSND'!</v>
      </c>
      <c r="G2878" s="7" t="s">
        <v>41</v>
      </c>
      <c r="H2878" s="4"/>
      <c r="I2878" s="4"/>
      <c r="J2878" s="4"/>
    </row>
    <row r="2879" spans="1:10" x14ac:dyDescent="0.2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Jaime\QUIFA-CAJÚA\Cajua\[VAS_CAJUA_CF_SEC_20230125.xlsx]CF PSND'!</v>
      </c>
      <c r="G2879" s="7" t="s">
        <v>41</v>
      </c>
      <c r="H2879" s="4"/>
      <c r="I2879" s="4"/>
      <c r="J2879" s="4"/>
    </row>
    <row r="2880" spans="1:10" x14ac:dyDescent="0.2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Jaime\QUIFA-CAJÚA\Cajua\[VAS_CAJUA_CF_SEC_20230125.xlsx]CF PSND'!</v>
      </c>
      <c r="G2880" s="7" t="s">
        <v>41</v>
      </c>
      <c r="H2880" s="4"/>
      <c r="I2880" s="4"/>
      <c r="J2880" s="4"/>
    </row>
    <row r="2881" spans="1:10" x14ac:dyDescent="0.2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Jaime\QUIFA-CAJÚA\Cajua\[VAS_CAJUA_CF_SEC_20230125.xlsx]CF PSND'!</v>
      </c>
      <c r="G2881" s="7" t="s">
        <v>41</v>
      </c>
      <c r="H2881" s="4"/>
      <c r="I2881" s="4"/>
      <c r="J2881" s="4"/>
    </row>
    <row r="2882" spans="1:10" x14ac:dyDescent="0.2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Jaime\QUIFA-CAJÚA\Cajua\[VAS_CAJUA_CF_SEC_20230125.xlsx]CF PSND'!</v>
      </c>
      <c r="G2882" s="7" t="s">
        <v>41</v>
      </c>
      <c r="H2882" s="4"/>
      <c r="I2882" s="4"/>
      <c r="J2882" s="4"/>
    </row>
    <row r="2883" spans="1:10" x14ac:dyDescent="0.2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Jaime\QUIFA-CAJÚA\Cajua\[VAS_CAJUA_CF_SEC_20230125.xlsx]CF PSND'!</v>
      </c>
      <c r="G2883" s="7" t="s">
        <v>41</v>
      </c>
      <c r="H2883" s="4"/>
      <c r="I2883" s="4"/>
      <c r="J2883" s="4"/>
    </row>
    <row r="2884" spans="1:10" x14ac:dyDescent="0.2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Jaime\QUIFA-CAJÚA\Cajua\[VAS_CAJUA_CF_SEC_20230125.xlsx]CF PSND'!</v>
      </c>
      <c r="G2884" s="7" t="s">
        <v>41</v>
      </c>
      <c r="H2884" s="4"/>
      <c r="I2884" s="4"/>
      <c r="J2884" s="4"/>
    </row>
    <row r="2885" spans="1:10" x14ac:dyDescent="0.2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Jaime\QUIFA-CAJÚA\Cajua\[VAS_CAJUA_CF_SEC_20230125.xlsx]CF PSND'!</v>
      </c>
      <c r="G2885" s="7" t="s">
        <v>41</v>
      </c>
      <c r="H2885" s="4"/>
      <c r="I2885" s="4"/>
      <c r="J2885" s="4"/>
    </row>
    <row r="2886" spans="1:10" x14ac:dyDescent="0.2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Jaime\QUIFA-CAJÚA\Cajua\[VAS_CAJUA_CF_SEC_20230125.xlsx]CF PSND'!</v>
      </c>
      <c r="G2886" s="7" t="s">
        <v>41</v>
      </c>
      <c r="H2886" s="4"/>
      <c r="I2886" s="4"/>
      <c r="J2886" s="4"/>
    </row>
    <row r="2887" spans="1:10" x14ac:dyDescent="0.2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Jaime\QUIFA-CAJÚA\Cajua\[VAS_CAJUA_CF_SEC_20230125.xlsx]CF PSND'!</v>
      </c>
      <c r="G2887" s="7" t="s">
        <v>41</v>
      </c>
      <c r="H2887" s="4"/>
      <c r="I2887" s="4"/>
      <c r="J2887" s="4"/>
    </row>
    <row r="2888" spans="1:10" x14ac:dyDescent="0.2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Jaime\QUIFA-CAJÚA\Cajua\[VAS_CAJUA_CF_SEC_20230125.xlsx]CF PSND'!</v>
      </c>
      <c r="G2888" s="7" t="s">
        <v>41</v>
      </c>
      <c r="H2888" s="4"/>
      <c r="I2888" s="4"/>
      <c r="J2888" s="4"/>
    </row>
    <row r="2889" spans="1:10" x14ac:dyDescent="0.25">
      <c r="A2889" s="7" t="s">
        <v>28</v>
      </c>
      <c r="B2889" s="7"/>
      <c r="C2889" s="4" t="s">
        <v>23</v>
      </c>
      <c r="D2889" s="5"/>
      <c r="E2889" s="10"/>
      <c r="F2889" s="5"/>
      <c r="G2889" s="7"/>
      <c r="H2889" s="4"/>
      <c r="I2889" s="4"/>
      <c r="J2889" s="4"/>
    </row>
    <row r="2890" spans="1:10" x14ac:dyDescent="0.2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Jaime\QUIFA-CAJÚA\Cajua\[VAS_CAJUA_CF_SEC_20230125.xlsx]CF PS'!</v>
      </c>
      <c r="G2890" s="7" t="s">
        <v>41</v>
      </c>
      <c r="H2890" s="4">
        <f>IF(A2890&lt;&gt;A2760,36,H2760+1)</f>
        <v>36</v>
      </c>
      <c r="I2890" s="4" t="str">
        <f t="shared" si="593"/>
        <v>='C:\Users\jaime.benazar\Quorum Business Solutions\Ecopetrol Prometeo - Documents\Planning Space Implementation\3. Analysis &amp; Design\Design\FC22\DRR Jaime\QUIFA-CAJÚA\Cajua\[VAS_CAJUA_CF_SEC_20230125.xlsx]CF PS'!$DN$36</v>
      </c>
      <c r="J2890" s="4" t="s">
        <v>1387</v>
      </c>
    </row>
    <row r="2891" spans="1:10" x14ac:dyDescent="0.2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Jaime\QUIFA-CAJÚA\Cajua\[VAS_CAJUA_CF_SEC_20230125.xlsx]CF PS'!</v>
      </c>
      <c r="G2891" s="7" t="s">
        <v>41</v>
      </c>
      <c r="H2891" s="4">
        <f t="shared" si="594"/>
        <v>37</v>
      </c>
      <c r="I2891" s="4" t="str">
        <f t="shared" si="593"/>
        <v>='C:\Users\jaime.benazar\Quorum Business Solutions\Ecopetrol Prometeo - Documents\Planning Space Implementation\3. Analysis &amp; Design\Design\FC22\DRR Jaime\QUIFA-CAJÚA\Cajua\[VAS_CAJUA_CF_SEC_20230125.xlsx]CF PS'!$DN$37</v>
      </c>
      <c r="J2891" s="4" t="s">
        <v>1388</v>
      </c>
    </row>
    <row r="2892" spans="1:10" x14ac:dyDescent="0.2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Jaime\QUIFA-CAJÚA\Cajua\[VAS_CAJUA_CF_SEC_20230125.xlsx]CF PS'!</v>
      </c>
      <c r="G2892" s="7" t="s">
        <v>41</v>
      </c>
      <c r="H2892" s="4">
        <f t="shared" si="594"/>
        <v>38</v>
      </c>
      <c r="I2892" s="4" t="str">
        <f t="shared" si="593"/>
        <v>='C:\Users\jaime.benazar\Quorum Business Solutions\Ecopetrol Prometeo - Documents\Planning Space Implementation\3. Analysis &amp; Design\Design\FC22\DRR Jaime\QUIFA-CAJÚA\Cajua\[VAS_CAJUA_CF_SEC_20230125.xlsx]CF PS'!$DN$38</v>
      </c>
      <c r="J2892" s="4" t="s">
        <v>1389</v>
      </c>
    </row>
    <row r="2893" spans="1:10" x14ac:dyDescent="0.2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Jaime\QUIFA-CAJÚA\Cajua\[VAS_CAJUA_CF_SEC_20230125.xlsx]CF PS'!</v>
      </c>
      <c r="G2893" s="7" t="s">
        <v>41</v>
      </c>
      <c r="H2893" s="4">
        <f t="shared" si="594"/>
        <v>39</v>
      </c>
      <c r="I2893" s="4" t="str">
        <f t="shared" si="593"/>
        <v>='C:\Users\jaime.benazar\Quorum Business Solutions\Ecopetrol Prometeo - Documents\Planning Space Implementation\3. Analysis &amp; Design\Design\FC22\DRR Jaime\QUIFA-CAJÚA\Cajua\[VAS_CAJUA_CF_SEC_20230125.xlsx]CF PS'!$DN$39</v>
      </c>
      <c r="J2893" s="4" t="s">
        <v>1390</v>
      </c>
    </row>
    <row r="2894" spans="1:10" x14ac:dyDescent="0.2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Jaime\QUIFA-CAJÚA\Cajua\[VAS_CAJUA_CF_SEC_20230125.xlsx]CF PS'!</v>
      </c>
      <c r="G2894" s="7" t="s">
        <v>41</v>
      </c>
      <c r="H2894" s="4">
        <f t="shared" si="594"/>
        <v>40</v>
      </c>
      <c r="I2894" s="4" t="str">
        <f t="shared" si="593"/>
        <v>='C:\Users\jaime.benazar\Quorum Business Solutions\Ecopetrol Prometeo - Documents\Planning Space Implementation\3. Analysis &amp; Design\Design\FC22\DRR Jaime\QUIFA-CAJÚA\Cajua\[VAS_CAJUA_CF_SEC_20230125.xlsx]CF PS'!$DN$40</v>
      </c>
      <c r="J2894" s="4" t="s">
        <v>1391</v>
      </c>
    </row>
    <row r="2895" spans="1:10" x14ac:dyDescent="0.2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Jaime\QUIFA-CAJÚA\Cajua\[VAS_CAJUA_CF_SEC_20230125.xlsx]CF PS'!</v>
      </c>
      <c r="G2895" s="7" t="s">
        <v>41</v>
      </c>
      <c r="H2895" s="4">
        <f t="shared" si="594"/>
        <v>41</v>
      </c>
      <c r="I2895" s="4" t="str">
        <f t="shared" si="593"/>
        <v>='C:\Users\jaime.benazar\Quorum Business Solutions\Ecopetrol Prometeo - Documents\Planning Space Implementation\3. Analysis &amp; Design\Design\FC22\DRR Jaime\QUIFA-CAJÚA\Cajua\[VAS_CAJUA_CF_SEC_20230125.xlsx]CF PS'!$DN$41</v>
      </c>
      <c r="J2895" s="4" t="s">
        <v>1392</v>
      </c>
    </row>
    <row r="2896" spans="1:10" x14ac:dyDescent="0.2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Jaime\QUIFA-CAJÚA\Cajua\[VAS_CAJUA_CF_SEC_20230125.xlsx]CF PS'!</v>
      </c>
      <c r="G2896" s="7" t="s">
        <v>41</v>
      </c>
      <c r="H2896" s="4">
        <f t="shared" si="594"/>
        <v>42</v>
      </c>
      <c r="I2896" s="4" t="str">
        <f t="shared" si="593"/>
        <v>='C:\Users\jaime.benazar\Quorum Business Solutions\Ecopetrol Prometeo - Documents\Planning Space Implementation\3. Analysis &amp; Design\Design\FC22\DRR Jaime\QUIFA-CAJÚA\Cajua\[VAS_CAJUA_CF_SEC_20230125.xlsx]CF PS'!$DN$42</v>
      </c>
      <c r="J2896" s="4" t="s">
        <v>1393</v>
      </c>
    </row>
    <row r="2897" spans="1:10" x14ac:dyDescent="0.2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Jaime\QUIFA-CAJÚA\Cajua\[VAS_CAJUA_CF_SEC_20230125.xlsx]CF PS'!</v>
      </c>
      <c r="G2897" s="7" t="s">
        <v>41</v>
      </c>
      <c r="H2897" s="4">
        <f t="shared" si="594"/>
        <v>43</v>
      </c>
      <c r="I2897" s="4" t="str">
        <f t="shared" si="593"/>
        <v>='C:\Users\jaime.benazar\Quorum Business Solutions\Ecopetrol Prometeo - Documents\Planning Space Implementation\3. Analysis &amp; Design\Design\FC22\DRR Jaime\QUIFA-CAJÚA\Cajua\[VAS_CAJUA_CF_SEC_20230125.xlsx]CF PS'!$DN$43</v>
      </c>
      <c r="J2897" s="4" t="s">
        <v>1394</v>
      </c>
    </row>
    <row r="2898" spans="1:10" x14ac:dyDescent="0.2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Jaime\QUIFA-CAJÚA\Cajua\[VAS_CAJUA_CF_SEC_20230125.xlsx]CF PS'!</v>
      </c>
      <c r="G2898" s="7" t="s">
        <v>41</v>
      </c>
      <c r="H2898" s="4">
        <f t="shared" si="594"/>
        <v>44</v>
      </c>
      <c r="I2898" s="4" t="str">
        <f t="shared" si="593"/>
        <v>='C:\Users\jaime.benazar\Quorum Business Solutions\Ecopetrol Prometeo - Documents\Planning Space Implementation\3. Analysis &amp; Design\Design\FC22\DRR Jaime\QUIFA-CAJÚA\Cajua\[VAS_CAJUA_CF_SEC_20230125.xlsx]CF PS'!$DN$44</v>
      </c>
      <c r="J2898" s="4" t="s">
        <v>1395</v>
      </c>
    </row>
    <row r="2899" spans="1:10" x14ac:dyDescent="0.2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Jaime\QUIFA-CAJÚA\Cajua\[VAS_CAJUA_CF_SEC_20230125.xlsx]CF PS'!</v>
      </c>
      <c r="G2899" s="7" t="s">
        <v>41</v>
      </c>
      <c r="H2899" s="4">
        <f t="shared" si="594"/>
        <v>45</v>
      </c>
      <c r="I2899" s="4" t="str">
        <f t="shared" si="593"/>
        <v>='C:\Users\jaime.benazar\Quorum Business Solutions\Ecopetrol Prometeo - Documents\Planning Space Implementation\3. Analysis &amp; Design\Design\FC22\DRR Jaime\QUIFA-CAJÚA\Cajua\[VAS_CAJUA_CF_SEC_20230125.xlsx]CF PS'!$DN$45</v>
      </c>
      <c r="J2899" s="4" t="s">
        <v>1396</v>
      </c>
    </row>
    <row r="2900" spans="1:10" x14ac:dyDescent="0.2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Jaime\QUIFA-CAJÚA\Cajua\[VAS_CAJUA_CF_SEC_20230125.xlsx]CF PS'!</v>
      </c>
      <c r="G2900" s="7" t="s">
        <v>41</v>
      </c>
      <c r="H2900" s="4">
        <f t="shared" si="594"/>
        <v>46</v>
      </c>
      <c r="I2900" s="4" t="str">
        <f t="shared" si="593"/>
        <v>='C:\Users\jaime.benazar\Quorum Business Solutions\Ecopetrol Prometeo - Documents\Planning Space Implementation\3. Analysis &amp; Design\Design\FC22\DRR Jaime\QUIFA-CAJÚA\Cajua\[VAS_CAJUA_CF_SEC_20230125.xlsx]CF PS'!$DN$46</v>
      </c>
      <c r="J2900" s="4" t="s">
        <v>1397</v>
      </c>
    </row>
    <row r="2901" spans="1:10" x14ac:dyDescent="0.2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Jaime\QUIFA-CAJÚA\Cajua\[VAS_CAJUA_CF_SEC_20230125.xlsx]CF PS'!</v>
      </c>
      <c r="G2901" s="7" t="s">
        <v>41</v>
      </c>
      <c r="H2901" s="4">
        <f t="shared" si="594"/>
        <v>47</v>
      </c>
      <c r="I2901" s="4" t="str">
        <f t="shared" si="593"/>
        <v>='C:\Users\jaime.benazar\Quorum Business Solutions\Ecopetrol Prometeo - Documents\Planning Space Implementation\3. Analysis &amp; Design\Design\FC22\DRR Jaime\QUIFA-CAJÚA\Cajua\[VAS_CAJUA_CF_SEC_20230125.xlsx]CF PS'!$DN$47</v>
      </c>
      <c r="J2901" s="4" t="s">
        <v>1398</v>
      </c>
    </row>
    <row r="2902" spans="1:10" x14ac:dyDescent="0.2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Jaime\QUIFA-CAJÚA\Cajua\[VAS_CAJUA_CF_SEC_20230125.xlsx]CF PS'!</v>
      </c>
      <c r="G2902" s="7" t="s">
        <v>41</v>
      </c>
      <c r="H2902" s="4">
        <f t="shared" si="594"/>
        <v>48</v>
      </c>
      <c r="I2902" s="4" t="str">
        <f t="shared" si="593"/>
        <v>='C:\Users\jaime.benazar\Quorum Business Solutions\Ecopetrol Prometeo - Documents\Planning Space Implementation\3. Analysis &amp; Design\Design\FC22\DRR Jaime\QUIFA-CAJÚA\Cajua\[VAS_CAJUA_CF_SEC_20230125.xlsx]CF PS'!$DN$48</v>
      </c>
      <c r="J2902" s="4" t="s">
        <v>1399</v>
      </c>
    </row>
    <row r="2903" spans="1:10" x14ac:dyDescent="0.2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Jaime\QUIFA-CAJÚA\Cajua\[VAS_CAJUA_CF_SEC_20230125.xlsx]CF PS'!</v>
      </c>
      <c r="G2903" s="7" t="s">
        <v>41</v>
      </c>
      <c r="H2903" s="4">
        <f t="shared" si="594"/>
        <v>49</v>
      </c>
      <c r="I2903" s="4" t="str">
        <f t="shared" si="593"/>
        <v>='C:\Users\jaime.benazar\Quorum Business Solutions\Ecopetrol Prometeo - Documents\Planning Space Implementation\3. Analysis &amp; Design\Design\FC22\DRR Jaime\QUIFA-CAJÚA\Cajua\[VAS_CAJUA_CF_SEC_20230125.xlsx]CF PS'!$DN$49</v>
      </c>
      <c r="J2903" s="4" t="s">
        <v>1400</v>
      </c>
    </row>
    <row r="2904" spans="1:10" x14ac:dyDescent="0.2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Jaime\QUIFA-CAJÚA\Cajua\[VAS_CAJUA_CF_SEC_20230125.xlsx]CF PS'!</v>
      </c>
      <c r="G2904" s="7" t="s">
        <v>41</v>
      </c>
      <c r="H2904" s="4">
        <f t="shared" si="594"/>
        <v>50</v>
      </c>
      <c r="I2904" s="4" t="str">
        <f t="shared" si="593"/>
        <v>='C:\Users\jaime.benazar\Quorum Business Solutions\Ecopetrol Prometeo - Documents\Planning Space Implementation\3. Analysis &amp; Design\Design\FC22\DRR Jaime\QUIFA-CAJÚA\Cajua\[VAS_CAJUA_CF_SEC_20230125.xlsx]CF PS'!$DN$50</v>
      </c>
      <c r="J2904" s="4" t="s">
        <v>1401</v>
      </c>
    </row>
    <row r="2905" spans="1:10" x14ac:dyDescent="0.2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Jaime\QUIFA-CAJÚA\Cajua\[VAS_CAJUA_CF_SEC_20230125.xlsx]CF PS'!</v>
      </c>
      <c r="G2905" s="7" t="s">
        <v>41</v>
      </c>
      <c r="H2905" s="4">
        <f t="shared" si="594"/>
        <v>51</v>
      </c>
      <c r="I2905" s="4" t="str">
        <f t="shared" si="593"/>
        <v>='C:\Users\jaime.benazar\Quorum Business Solutions\Ecopetrol Prometeo - Documents\Planning Space Implementation\3. Analysis &amp; Design\Design\FC22\DRR Jaime\QUIFA-CAJÚA\Cajua\[VAS_CAJUA_CF_SEC_20230125.xlsx]CF PS'!$DN$51</v>
      </c>
      <c r="J2905" s="4" t="s">
        <v>1402</v>
      </c>
    </row>
    <row r="2906" spans="1:10" x14ac:dyDescent="0.2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Jaime\QUIFA-CAJÚA\Cajua\[VAS_CAJUA_CF_SEC_20230125.xlsx]CF PS'!</v>
      </c>
      <c r="G2906" s="7" t="s">
        <v>41</v>
      </c>
      <c r="H2906" s="4">
        <f t="shared" si="594"/>
        <v>52</v>
      </c>
      <c r="I2906" s="4" t="str">
        <f t="shared" si="593"/>
        <v>='C:\Users\jaime.benazar\Quorum Business Solutions\Ecopetrol Prometeo - Documents\Planning Space Implementation\3. Analysis &amp; Design\Design\FC22\DRR Jaime\QUIFA-CAJÚA\Cajua\[VAS_CAJUA_CF_SEC_20230125.xlsx]CF PS'!$DN$52</v>
      </c>
      <c r="J2906" s="4" t="s">
        <v>1403</v>
      </c>
    </row>
    <row r="2907" spans="1:10" x14ac:dyDescent="0.2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Jaime\QUIFA-CAJÚA\Cajua\[VAS_CAJUA_CF_SEC_20230125.xlsx]CF PS'!</v>
      </c>
      <c r="G2907" s="7" t="s">
        <v>41</v>
      </c>
      <c r="H2907" s="4">
        <f t="shared" si="594"/>
        <v>53</v>
      </c>
      <c r="I2907" s="4" t="str">
        <f t="shared" si="593"/>
        <v>='C:\Users\jaime.benazar\Quorum Business Solutions\Ecopetrol Prometeo - Documents\Planning Space Implementation\3. Analysis &amp; Design\Design\FC22\DRR Jaime\QUIFA-CAJÚA\Cajua\[VAS_CAJUA_CF_SEC_20230125.xlsx]CF PS'!$DN$53</v>
      </c>
      <c r="J2907" s="4" t="s">
        <v>1404</v>
      </c>
    </row>
    <row r="2908" spans="1:10" x14ac:dyDescent="0.2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Jaime\QUIFA-CAJÚA\Cajua\[VAS_CAJUA_CF_SEC_20230125.xlsx]CF PS'!</v>
      </c>
      <c r="G2908" s="7" t="s">
        <v>41</v>
      </c>
      <c r="H2908" s="4">
        <f t="shared" si="594"/>
        <v>54</v>
      </c>
      <c r="I2908" s="4" t="str">
        <f t="shared" si="593"/>
        <v>='C:\Users\jaime.benazar\Quorum Business Solutions\Ecopetrol Prometeo - Documents\Planning Space Implementation\3. Analysis &amp; Design\Design\FC22\DRR Jaime\QUIFA-CAJÚA\Cajua\[VAS_CAJUA_CF_SEC_20230125.xlsx]CF PS'!$DN$54</v>
      </c>
      <c r="J2908" s="4" t="s">
        <v>1405</v>
      </c>
    </row>
    <row r="2909" spans="1:10" x14ac:dyDescent="0.2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Jaime\QUIFA-CAJÚA\Cajua\[VAS_CAJUA_CF_SEC_20230125.xlsx]CF PS'!</v>
      </c>
      <c r="G2909" s="7" t="s">
        <v>41</v>
      </c>
      <c r="H2909" s="4">
        <f t="shared" si="594"/>
        <v>55</v>
      </c>
      <c r="I2909" s="4" t="str">
        <f t="shared" si="593"/>
        <v>='C:\Users\jaime.benazar\Quorum Business Solutions\Ecopetrol Prometeo - Documents\Planning Space Implementation\3. Analysis &amp; Design\Design\FC22\DRR Jaime\QUIFA-CAJÚA\Cajua\[VAS_CAJUA_CF_SEC_20230125.xlsx]CF PS'!$DN$55</v>
      </c>
      <c r="J2909" s="4" t="s">
        <v>1406</v>
      </c>
    </row>
    <row r="2910" spans="1:10" x14ac:dyDescent="0.2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Jaime\QUIFA-CAJÚA\Cajua\[VAS_CAJUA_CF_SEC_20230125.xlsx]CF PS'!</v>
      </c>
      <c r="G2910" s="7" t="s">
        <v>41</v>
      </c>
      <c r="H2910" s="4">
        <f t="shared" si="594"/>
        <v>56</v>
      </c>
      <c r="I2910" s="4" t="str">
        <f t="shared" si="593"/>
        <v>='C:\Users\jaime.benazar\Quorum Business Solutions\Ecopetrol Prometeo - Documents\Planning Space Implementation\3. Analysis &amp; Design\Design\FC22\DRR Jaime\QUIFA-CAJÚA\Cajua\[VAS_CAJUA_CF_SEC_20230125.xlsx]CF PS'!$DN$56</v>
      </c>
      <c r="J2910" s="4" t="s">
        <v>1407</v>
      </c>
    </row>
    <row r="2911" spans="1:10" x14ac:dyDescent="0.2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Jaime\QUIFA-CAJÚA\Cajua\[VAS_CAJUA_CF_SEC_20230125.xlsx]CF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Jaime\QUIFA-CAJÚA\Cajua\[VAS_CAJUA_CF_SEC_20230125.xlsx]CF PS'!$DN$57</v>
      </c>
      <c r="J2911" s="4" t="s">
        <v>1408</v>
      </c>
    </row>
    <row r="2912" spans="1:10" x14ac:dyDescent="0.2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Jaime\QUIFA-CAJÚA\Cajua\[VAS_CAJUA_CF_SEC_20230125.xlsx]CF PS'!</v>
      </c>
      <c r="G2912" s="7" t="s">
        <v>41</v>
      </c>
      <c r="H2912" s="4">
        <f t="shared" si="662"/>
        <v>58</v>
      </c>
      <c r="I2912" s="4" t="str">
        <f t="shared" si="663"/>
        <v>='C:\Users\jaime.benazar\Quorum Business Solutions\Ecopetrol Prometeo - Documents\Planning Space Implementation\3. Analysis &amp; Design\Design\FC22\DRR Jaime\QUIFA-CAJÚA\Cajua\[VAS_CAJUA_CF_SEC_20230125.xlsx]CF PS'!$DN$58</v>
      </c>
      <c r="J2912" s="4" t="s">
        <v>1409</v>
      </c>
    </row>
    <row r="2913" spans="1:10" x14ac:dyDescent="0.2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Jaime\QUIFA-CAJÚA\Cajua\[VAS_CAJUA_CF_SEC_20230125.xlsx]CF PS'!</v>
      </c>
      <c r="G2913" s="7" t="s">
        <v>41</v>
      </c>
      <c r="H2913" s="4">
        <f t="shared" si="662"/>
        <v>59</v>
      </c>
      <c r="I2913" s="4" t="str">
        <f t="shared" si="663"/>
        <v>='C:\Users\jaime.benazar\Quorum Business Solutions\Ecopetrol Prometeo - Documents\Planning Space Implementation\3. Analysis &amp; Design\Design\FC22\DRR Jaime\QUIFA-CAJÚA\Cajua\[VAS_CAJUA_CF_SEC_20230125.xlsx]CF PS'!$DN$59</v>
      </c>
      <c r="J2913" s="4" t="s">
        <v>1410</v>
      </c>
    </row>
    <row r="2914" spans="1:10" x14ac:dyDescent="0.2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Jaime\QUIFA-CAJÚA\Cajua\[VAS_CAJUA_CF_SEC_20230125.xlsx]CF PS'!</v>
      </c>
      <c r="G2914" s="7" t="s">
        <v>41</v>
      </c>
      <c r="H2914" s="4">
        <f t="shared" si="662"/>
        <v>60</v>
      </c>
      <c r="I2914" s="4" t="str">
        <f t="shared" si="663"/>
        <v>='C:\Users\jaime.benazar\Quorum Business Solutions\Ecopetrol Prometeo - Documents\Planning Space Implementation\3. Analysis &amp; Design\Design\FC22\DRR Jaime\QUIFA-CAJÚA\Cajua\[VAS_CAJUA_CF_SEC_20230125.xlsx]CF PS'!$DN$60</v>
      </c>
      <c r="J2914" s="4" t="s">
        <v>1411</v>
      </c>
    </row>
    <row r="2915" spans="1:10" x14ac:dyDescent="0.2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Jaime\QUIFA-CAJÚA\Cajua\[VAS_CAJUA_CF_SEC_20230125.xlsx]CF PS'!</v>
      </c>
      <c r="G2915" s="7" t="s">
        <v>41</v>
      </c>
      <c r="H2915" s="4">
        <f t="shared" si="662"/>
        <v>61</v>
      </c>
      <c r="I2915" s="4" t="str">
        <f t="shared" si="663"/>
        <v>='C:\Users\jaime.benazar\Quorum Business Solutions\Ecopetrol Prometeo - Documents\Planning Space Implementation\3. Analysis &amp; Design\Design\FC22\DRR Jaime\QUIFA-CAJÚA\Cajua\[VAS_CAJUA_CF_SEC_20230125.xlsx]CF PS'!$DN$61</v>
      </c>
      <c r="J2915" s="4" t="s">
        <v>1412</v>
      </c>
    </row>
    <row r="2916" spans="1:10" x14ac:dyDescent="0.2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Jaime\QUIFA-CAJÚA\Cajua\[VAS_CAJUA_CF_SEC_20230125.xlsx]CF PS'!</v>
      </c>
      <c r="G2916" s="7" t="s">
        <v>41</v>
      </c>
      <c r="H2916" s="4">
        <f t="shared" si="662"/>
        <v>62</v>
      </c>
      <c r="I2916" s="4" t="str">
        <f t="shared" si="663"/>
        <v>='C:\Users\jaime.benazar\Quorum Business Solutions\Ecopetrol Prometeo - Documents\Planning Space Implementation\3. Analysis &amp; Design\Design\FC22\DRR Jaime\QUIFA-CAJÚA\Cajua\[VAS_CAJUA_CF_SEC_20230125.xlsx]CF PS'!$DN$62</v>
      </c>
      <c r="J2916" s="4" t="s">
        <v>1413</v>
      </c>
    </row>
    <row r="2917" spans="1:10" x14ac:dyDescent="0.2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Jaime\QUIFA-CAJÚA\Cajua\[VAS_CAJUA_CF_SEC_20230125.xlsx]CF PS'!</v>
      </c>
      <c r="G2917" s="7" t="s">
        <v>41</v>
      </c>
      <c r="H2917" s="4">
        <f t="shared" si="662"/>
        <v>63</v>
      </c>
      <c r="I2917" s="4" t="str">
        <f t="shared" si="663"/>
        <v>='C:\Users\jaime.benazar\Quorum Business Solutions\Ecopetrol Prometeo - Documents\Planning Space Implementation\3. Analysis &amp; Design\Design\FC22\DRR Jaime\QUIFA-CAJÚA\Cajua\[VAS_CAJUA_CF_SEC_20230125.xlsx]CF PS'!$DN$63</v>
      </c>
      <c r="J2917" s="4" t="s">
        <v>1414</v>
      </c>
    </row>
    <row r="2918" spans="1:10" x14ac:dyDescent="0.2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Jaime\QUIFA-CAJÚA\Cajua\[VAS_CAJUA_CF_SEC_20230125.xlsx]CF PS'!</v>
      </c>
      <c r="G2918" s="7" t="s">
        <v>41</v>
      </c>
      <c r="H2918" s="4">
        <f t="shared" si="662"/>
        <v>64</v>
      </c>
      <c r="I2918" s="4" t="str">
        <f t="shared" si="663"/>
        <v>='C:\Users\jaime.benazar\Quorum Business Solutions\Ecopetrol Prometeo - Documents\Planning Space Implementation\3. Analysis &amp; Design\Design\FC22\DRR Jaime\QUIFA-CAJÚA\Cajua\[VAS_CAJUA_CF_SEC_20230125.xlsx]CF PS'!$DN$64</v>
      </c>
      <c r="J2918" s="4" t="s">
        <v>1415</v>
      </c>
    </row>
    <row r="2919" spans="1:10" x14ac:dyDescent="0.2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Jaime\QUIFA-CAJÚA\Cajua\[VAS_CAJUA_CF_SEC_20230125.xlsx]CF PS'!</v>
      </c>
      <c r="G2919" s="7" t="s">
        <v>41</v>
      </c>
      <c r="H2919" s="4">
        <f t="shared" si="662"/>
        <v>65</v>
      </c>
      <c r="I2919" s="4" t="str">
        <f t="shared" si="663"/>
        <v>='C:\Users\jaime.benazar\Quorum Business Solutions\Ecopetrol Prometeo - Documents\Planning Space Implementation\3. Analysis &amp; Design\Design\FC22\DRR Jaime\QUIFA-CAJÚA\Cajua\[VAS_CAJUA_CF_SEC_20230125.xlsx]CF PS'!$DN$65</v>
      </c>
      <c r="J2919" s="4" t="s">
        <v>1416</v>
      </c>
    </row>
    <row r="2920" spans="1:10" x14ac:dyDescent="0.2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Jaime\QUIFA-CAJÚA\Cajua\[VAS_CAJUA_CF_SEC_20230125.xlsx]CF PS'!</v>
      </c>
      <c r="G2920" s="7" t="s">
        <v>41</v>
      </c>
      <c r="H2920" s="4">
        <f t="shared" si="662"/>
        <v>66</v>
      </c>
      <c r="I2920" s="4" t="str">
        <f t="shared" si="663"/>
        <v>='C:\Users\jaime.benazar\Quorum Business Solutions\Ecopetrol Prometeo - Documents\Planning Space Implementation\3. Analysis &amp; Design\Design\FC22\DRR Jaime\QUIFA-CAJÚA\Cajua\[VAS_CAJUA_CF_SEC_20230125.xlsx]CF PS'!$DN$66</v>
      </c>
      <c r="J2920" s="4" t="s">
        <v>1417</v>
      </c>
    </row>
    <row r="2921" spans="1:10" x14ac:dyDescent="0.2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Jaime\QUIFA-CAJÚA\Cajua\[VAS_CAJUA_CF_SEC_20230125.xlsx]CF PS'!</v>
      </c>
      <c r="G2921" s="7" t="s">
        <v>41</v>
      </c>
      <c r="H2921" s="4">
        <f t="shared" si="662"/>
        <v>67</v>
      </c>
      <c r="I2921" s="4" t="str">
        <f t="shared" si="663"/>
        <v>='C:\Users\jaime.benazar\Quorum Business Solutions\Ecopetrol Prometeo - Documents\Planning Space Implementation\3. Analysis &amp; Design\Design\FC22\DRR Jaime\QUIFA-CAJÚA\Cajua\[VAS_CAJUA_CF_SEC_20230125.xlsx]CF PS'!$DN$67</v>
      </c>
      <c r="J2921" s="4" t="s">
        <v>1418</v>
      </c>
    </row>
    <row r="2922" spans="1:10" x14ac:dyDescent="0.2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Jaime\QUIFA-CAJÚA\Cajua\[VAS_CAJUA_CF_SEC_20230125.xlsx]CF PS'!</v>
      </c>
      <c r="G2922" s="7" t="s">
        <v>41</v>
      </c>
      <c r="H2922" s="4">
        <f t="shared" si="662"/>
        <v>68</v>
      </c>
      <c r="I2922" s="4" t="str">
        <f t="shared" si="663"/>
        <v>='C:\Users\jaime.benazar\Quorum Business Solutions\Ecopetrol Prometeo - Documents\Planning Space Implementation\3. Analysis &amp; Design\Design\FC22\DRR Jaime\QUIFA-CAJÚA\Cajua\[VAS_CAJUA_CF_SEC_20230125.xlsx]CF PS'!$DN$68</v>
      </c>
      <c r="J2922" s="4" t="s">
        <v>1419</v>
      </c>
    </row>
    <row r="2923" spans="1:10" x14ac:dyDescent="0.2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Jaime\QUIFA-CAJÚA\Cajua\[VAS_CAJUA_CF_SEC_20230125.xlsx]CF PS'!</v>
      </c>
      <c r="G2923" s="7" t="s">
        <v>41</v>
      </c>
      <c r="H2923" s="4">
        <f t="shared" si="662"/>
        <v>69</v>
      </c>
      <c r="I2923" s="4" t="str">
        <f t="shared" si="663"/>
        <v>='C:\Users\jaime.benazar\Quorum Business Solutions\Ecopetrol Prometeo - Documents\Planning Space Implementation\3. Analysis &amp; Design\Design\FC22\DRR Jaime\QUIFA-CAJÚA\Cajua\[VAS_CAJUA_CF_SEC_20230125.xlsx]CF PS'!$DN$69</v>
      </c>
      <c r="J2923" s="4" t="s">
        <v>1420</v>
      </c>
    </row>
    <row r="2924" spans="1:10" x14ac:dyDescent="0.2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Jaime\QUIFA-CAJÚA\Cajua\[VAS_CAJUA_CF_SEC_20230125.xlsx]CF PS'!</v>
      </c>
      <c r="G2924" s="7" t="s">
        <v>41</v>
      </c>
      <c r="H2924" s="4">
        <f t="shared" si="662"/>
        <v>70</v>
      </c>
      <c r="I2924" s="4" t="str">
        <f t="shared" si="663"/>
        <v>='C:\Users\jaime.benazar\Quorum Business Solutions\Ecopetrol Prometeo - Documents\Planning Space Implementation\3. Analysis &amp; Design\Design\FC22\DRR Jaime\QUIFA-CAJÚA\Cajua\[VAS_CAJUA_CF_SEC_20230125.xlsx]CF PS'!$DN$70</v>
      </c>
      <c r="J2924" s="4" t="s">
        <v>1421</v>
      </c>
    </row>
    <row r="2925" spans="1:10" x14ac:dyDescent="0.2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Jaime\QUIFA-CAJÚA\Cajua\[VAS_CAJUA_CF_SEC_20230125.xlsx]CF PS'!</v>
      </c>
      <c r="G2925" s="7" t="s">
        <v>41</v>
      </c>
      <c r="H2925" s="4">
        <f t="shared" si="662"/>
        <v>71</v>
      </c>
      <c r="I2925" s="4" t="str">
        <f t="shared" si="663"/>
        <v>='C:\Users\jaime.benazar\Quorum Business Solutions\Ecopetrol Prometeo - Documents\Planning Space Implementation\3. Analysis &amp; Design\Design\FC22\DRR Jaime\QUIFA-CAJÚA\Cajua\[VAS_CAJUA_CF_SEC_20230125.xlsx]CF PS'!$DN$71</v>
      </c>
      <c r="J2925" s="4" t="s">
        <v>1422</v>
      </c>
    </row>
    <row r="2926" spans="1:10" x14ac:dyDescent="0.2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Jaime\QUIFA-CAJÚA\Cajua\[VAS_CAJUA_CF_SEC_20230125.xlsx]CF PS'!</v>
      </c>
      <c r="G2926" s="7" t="s">
        <v>41</v>
      </c>
      <c r="H2926" s="4">
        <f t="shared" si="662"/>
        <v>72</v>
      </c>
      <c r="I2926" s="4" t="str">
        <f t="shared" si="663"/>
        <v>='C:\Users\jaime.benazar\Quorum Business Solutions\Ecopetrol Prometeo - Documents\Planning Space Implementation\3. Analysis &amp; Design\Design\FC22\DRR Jaime\QUIFA-CAJÚA\Cajua\[VAS_CAJUA_CF_SEC_20230125.xlsx]CF PS'!$DN$72</v>
      </c>
      <c r="J2926" s="4" t="s">
        <v>1423</v>
      </c>
    </row>
    <row r="2927" spans="1:10" x14ac:dyDescent="0.25">
      <c r="A2927" s="7" t="s">
        <v>28</v>
      </c>
      <c r="B2927" s="7"/>
      <c r="C2927" s="4" t="s">
        <v>23</v>
      </c>
      <c r="D2927" s="5"/>
      <c r="E2927" s="10"/>
      <c r="F2927" s="5"/>
      <c r="G2927" s="7"/>
      <c r="H2927" s="4"/>
      <c r="I2927" s="4"/>
      <c r="J2927" s="4"/>
    </row>
    <row r="2928" spans="1:10" x14ac:dyDescent="0.2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Jaime\QUIFA-CAJÚA\Cajua\[VAS_CAJUA_CF_SEC_20230125.xlsx]CF PDP'!</v>
      </c>
      <c r="G2928" s="6" t="s">
        <v>43</v>
      </c>
      <c r="H2928" s="1">
        <f>IF(A2928&lt;&gt;A2912,36,H2912+1)</f>
        <v>36</v>
      </c>
      <c r="I2928" s="1" t="str">
        <f>_xlfn.CONCAT("='",F2928:H2928)</f>
        <v>='C:\Users\jaime.benazar\Quorum Business Solutions\Ecopetrol Prometeo - Documents\Planning Space Implementation\3. Analysis &amp; Design\Design\FC22\DRR Jaime\QUIFA-CAJÚA\Cajua\[VAS_CAJUA_CF_SEC_20230125.xlsx]CF PDP'!$DI$36</v>
      </c>
      <c r="J2928" t="s">
        <v>1424</v>
      </c>
    </row>
    <row r="2929" spans="1:10" x14ac:dyDescent="0.2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Jaime\QUIFA-CAJÚA\Cajua\[VAS_CAJUA_CF_SEC_20230125.xlsx]CF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Jaime\QUIFA-CAJÚA\Cajua\[VAS_CAJUA_CF_SEC_20230125.xlsx]CF PDP'!$DI$37</v>
      </c>
      <c r="J2929" t="s">
        <v>1425</v>
      </c>
    </row>
    <row r="2930" spans="1:10" x14ac:dyDescent="0.2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Jaime\QUIFA-CAJÚA\Cajua\[VAS_CAJUA_CF_SEC_20230125.xlsx]CF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Jaime\QUIFA-CAJÚA\Cajua\[VAS_CAJUA_CF_SEC_20230125.xlsx]CF PDP'!$DI$38</v>
      </c>
      <c r="J2930" t="s">
        <v>1426</v>
      </c>
    </row>
    <row r="2931" spans="1:10" x14ac:dyDescent="0.2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Jaime\QUIFA-CAJÚA\Cajua\[VAS_CAJUA_CF_SEC_20230125.xlsx]CF PDP'!</v>
      </c>
      <c r="G2931" s="6" t="s">
        <v>43</v>
      </c>
      <c r="H2931" s="1">
        <f t="shared" si="669"/>
        <v>39</v>
      </c>
      <c r="I2931" s="1" t="str">
        <f t="shared" si="667"/>
        <v>='C:\Users\jaime.benazar\Quorum Business Solutions\Ecopetrol Prometeo - Documents\Planning Space Implementation\3. Analysis &amp; Design\Design\FC22\DRR Jaime\QUIFA-CAJÚA\Cajua\[VAS_CAJUA_CF_SEC_20230125.xlsx]CF PDP'!$DI$39</v>
      </c>
      <c r="J2931" t="s">
        <v>1427</v>
      </c>
    </row>
    <row r="2932" spans="1:10" x14ac:dyDescent="0.2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Jaime\QUIFA-CAJÚA\Cajua\[VAS_CAJUA_CF_SEC_20230125.xlsx]CF PDP'!</v>
      </c>
      <c r="G2932" s="6" t="s">
        <v>43</v>
      </c>
      <c r="H2932" s="1">
        <f t="shared" si="669"/>
        <v>40</v>
      </c>
      <c r="I2932" s="1" t="str">
        <f t="shared" si="667"/>
        <v>='C:\Users\jaime.benazar\Quorum Business Solutions\Ecopetrol Prometeo - Documents\Planning Space Implementation\3. Analysis &amp; Design\Design\FC22\DRR Jaime\QUIFA-CAJÚA\Cajua\[VAS_CAJUA_CF_SEC_20230125.xlsx]CF PDP'!$DI$40</v>
      </c>
      <c r="J2932" t="s">
        <v>1428</v>
      </c>
    </row>
    <row r="2933" spans="1:10" x14ac:dyDescent="0.2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Jaime\QUIFA-CAJÚA\Cajua\[VAS_CAJUA_CF_SEC_20230125.xlsx]CF PDP'!</v>
      </c>
      <c r="G2933" s="6" t="s">
        <v>43</v>
      </c>
      <c r="H2933" s="1">
        <f t="shared" si="669"/>
        <v>41</v>
      </c>
      <c r="I2933" s="1" t="str">
        <f t="shared" si="667"/>
        <v>='C:\Users\jaime.benazar\Quorum Business Solutions\Ecopetrol Prometeo - Documents\Planning Space Implementation\3. Analysis &amp; Design\Design\FC22\DRR Jaime\QUIFA-CAJÚA\Cajua\[VAS_CAJUA_CF_SEC_20230125.xlsx]CF PDP'!$DI$41</v>
      </c>
      <c r="J2933" t="s">
        <v>1429</v>
      </c>
    </row>
    <row r="2934" spans="1:10" x14ac:dyDescent="0.2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Jaime\QUIFA-CAJÚA\Cajua\[VAS_CAJUA_CF_SEC_20230125.xlsx]CF PDP'!</v>
      </c>
      <c r="G2934" s="6" t="s">
        <v>43</v>
      </c>
      <c r="H2934" s="1">
        <f t="shared" si="669"/>
        <v>42</v>
      </c>
      <c r="I2934" s="1" t="str">
        <f t="shared" si="667"/>
        <v>='C:\Users\jaime.benazar\Quorum Business Solutions\Ecopetrol Prometeo - Documents\Planning Space Implementation\3. Analysis &amp; Design\Design\FC22\DRR Jaime\QUIFA-CAJÚA\Cajua\[VAS_CAJUA_CF_SEC_20230125.xlsx]CF PDP'!$DI$42</v>
      </c>
      <c r="J2934" t="s">
        <v>1430</v>
      </c>
    </row>
    <row r="2935" spans="1:10" x14ac:dyDescent="0.2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Jaime\QUIFA-CAJÚA\Cajua\[VAS_CAJUA_CF_SEC_20230125.xlsx]CF PDP'!</v>
      </c>
      <c r="G2935" s="6" t="s">
        <v>43</v>
      </c>
      <c r="H2935" s="1">
        <f t="shared" si="669"/>
        <v>43</v>
      </c>
      <c r="I2935" s="1" t="str">
        <f t="shared" si="667"/>
        <v>='C:\Users\jaime.benazar\Quorum Business Solutions\Ecopetrol Prometeo - Documents\Planning Space Implementation\3. Analysis &amp; Design\Design\FC22\DRR Jaime\QUIFA-CAJÚA\Cajua\[VAS_CAJUA_CF_SEC_20230125.xlsx]CF PDP'!$DI$43</v>
      </c>
      <c r="J2935" t="s">
        <v>1431</v>
      </c>
    </row>
    <row r="2936" spans="1:10" x14ac:dyDescent="0.2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Jaime\QUIFA-CAJÚA\Cajua\[VAS_CAJUA_CF_SEC_20230125.xlsx]CF PDP'!</v>
      </c>
      <c r="G2936" s="6" t="s">
        <v>43</v>
      </c>
      <c r="H2936" s="1">
        <f t="shared" si="669"/>
        <v>44</v>
      </c>
      <c r="I2936" s="1" t="str">
        <f t="shared" si="667"/>
        <v>='C:\Users\jaime.benazar\Quorum Business Solutions\Ecopetrol Prometeo - Documents\Planning Space Implementation\3. Analysis &amp; Design\Design\FC22\DRR Jaime\QUIFA-CAJÚA\Cajua\[VAS_CAJUA_CF_SEC_20230125.xlsx]CF PDP'!$DI$44</v>
      </c>
      <c r="J2936" t="s">
        <v>1432</v>
      </c>
    </row>
    <row r="2937" spans="1:10" x14ac:dyDescent="0.2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Jaime\QUIFA-CAJÚA\Cajua\[VAS_CAJUA_CF_SEC_20230125.xlsx]CF PDP'!</v>
      </c>
      <c r="G2937" s="6" t="s">
        <v>43</v>
      </c>
      <c r="H2937" s="1">
        <f t="shared" si="669"/>
        <v>45</v>
      </c>
      <c r="I2937" s="1" t="str">
        <f t="shared" si="667"/>
        <v>='C:\Users\jaime.benazar\Quorum Business Solutions\Ecopetrol Prometeo - Documents\Planning Space Implementation\3. Analysis &amp; Design\Design\FC22\DRR Jaime\QUIFA-CAJÚA\Cajua\[VAS_CAJUA_CF_SEC_20230125.xlsx]CF PDP'!$DI$45</v>
      </c>
      <c r="J2937" t="s">
        <v>1433</v>
      </c>
    </row>
    <row r="2938" spans="1:10" x14ac:dyDescent="0.2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Jaime\QUIFA-CAJÚA\Cajua\[VAS_CAJUA_CF_SEC_20230125.xlsx]CF PDP'!</v>
      </c>
      <c r="G2938" s="6" t="s">
        <v>43</v>
      </c>
      <c r="H2938" s="1">
        <f t="shared" si="669"/>
        <v>46</v>
      </c>
      <c r="I2938" s="1" t="str">
        <f t="shared" si="667"/>
        <v>='C:\Users\jaime.benazar\Quorum Business Solutions\Ecopetrol Prometeo - Documents\Planning Space Implementation\3. Analysis &amp; Design\Design\FC22\DRR Jaime\QUIFA-CAJÚA\Cajua\[VAS_CAJUA_CF_SEC_20230125.xlsx]CF PDP'!$DI$46</v>
      </c>
      <c r="J2938" t="s">
        <v>1434</v>
      </c>
    </row>
    <row r="2939" spans="1:10" x14ac:dyDescent="0.2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Jaime\QUIFA-CAJÚA\Cajua\[VAS_CAJUA_CF_SEC_20230125.xlsx]CF PDP'!</v>
      </c>
      <c r="G2939" s="6" t="s">
        <v>43</v>
      </c>
      <c r="H2939" s="1">
        <f t="shared" si="669"/>
        <v>47</v>
      </c>
      <c r="I2939" s="1" t="str">
        <f t="shared" si="667"/>
        <v>='C:\Users\jaime.benazar\Quorum Business Solutions\Ecopetrol Prometeo - Documents\Planning Space Implementation\3. Analysis &amp; Design\Design\FC22\DRR Jaime\QUIFA-CAJÚA\Cajua\[VAS_CAJUA_CF_SEC_20230125.xlsx]CF PDP'!$DI$47</v>
      </c>
      <c r="J2939" t="s">
        <v>1435</v>
      </c>
    </row>
    <row r="2940" spans="1:10" x14ac:dyDescent="0.2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Jaime\QUIFA-CAJÚA\Cajua\[VAS_CAJUA_CF_SEC_20230125.xlsx]CF PDP'!</v>
      </c>
      <c r="G2940" s="6" t="s">
        <v>43</v>
      </c>
      <c r="H2940" s="1">
        <f t="shared" si="669"/>
        <v>48</v>
      </c>
      <c r="I2940" s="1" t="str">
        <f t="shared" si="667"/>
        <v>='C:\Users\jaime.benazar\Quorum Business Solutions\Ecopetrol Prometeo - Documents\Planning Space Implementation\3. Analysis &amp; Design\Design\FC22\DRR Jaime\QUIFA-CAJÚA\Cajua\[VAS_CAJUA_CF_SEC_20230125.xlsx]CF PDP'!$DI$48</v>
      </c>
      <c r="J2940" t="s">
        <v>1436</v>
      </c>
    </row>
    <row r="2941" spans="1:10" x14ac:dyDescent="0.2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Jaime\QUIFA-CAJÚA\Cajua\[VAS_CAJUA_CF_SEC_20230125.xlsx]CF PDP'!</v>
      </c>
      <c r="G2941" s="6" t="s">
        <v>43</v>
      </c>
      <c r="H2941" s="1">
        <f t="shared" si="669"/>
        <v>49</v>
      </c>
      <c r="I2941" s="1" t="str">
        <f t="shared" si="667"/>
        <v>='C:\Users\jaime.benazar\Quorum Business Solutions\Ecopetrol Prometeo - Documents\Planning Space Implementation\3. Analysis &amp; Design\Design\FC22\DRR Jaime\QUIFA-CAJÚA\Cajua\[VAS_CAJUA_CF_SEC_20230125.xlsx]CF PDP'!$DI$49</v>
      </c>
      <c r="J2941" t="s">
        <v>1437</v>
      </c>
    </row>
    <row r="2942" spans="1:10" x14ac:dyDescent="0.2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Jaime\QUIFA-CAJÚA\Cajua\[VAS_CAJUA_CF_SEC_20230125.xlsx]CF PDP'!</v>
      </c>
      <c r="G2942" s="6" t="s">
        <v>43</v>
      </c>
      <c r="H2942" s="1">
        <f t="shared" si="669"/>
        <v>50</v>
      </c>
      <c r="I2942" s="1" t="str">
        <f t="shared" si="667"/>
        <v>='C:\Users\jaime.benazar\Quorum Business Solutions\Ecopetrol Prometeo - Documents\Planning Space Implementation\3. Analysis &amp; Design\Design\FC22\DRR Jaime\QUIFA-CAJÚA\Cajua\[VAS_CAJUA_CF_SEC_20230125.xlsx]CF PDP'!$DI$50</v>
      </c>
      <c r="J2942" t="s">
        <v>1438</v>
      </c>
    </row>
    <row r="2943" spans="1:10" x14ac:dyDescent="0.2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Jaime\QUIFA-CAJÚA\Cajua\[VAS_CAJUA_CF_SEC_20230125.xlsx]CF PDP'!</v>
      </c>
      <c r="G2943" s="6" t="s">
        <v>43</v>
      </c>
      <c r="H2943" s="1">
        <f t="shared" si="669"/>
        <v>51</v>
      </c>
      <c r="I2943" s="1" t="str">
        <f t="shared" si="667"/>
        <v>='C:\Users\jaime.benazar\Quorum Business Solutions\Ecopetrol Prometeo - Documents\Planning Space Implementation\3. Analysis &amp; Design\Design\FC22\DRR Jaime\QUIFA-CAJÚA\Cajua\[VAS_CAJUA_CF_SEC_20230125.xlsx]CF PDP'!$DI$51</v>
      </c>
      <c r="J2943" t="s">
        <v>1439</v>
      </c>
    </row>
    <row r="2944" spans="1:10" x14ac:dyDescent="0.2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Jaime\QUIFA-CAJÚA\Cajua\[VAS_CAJUA_CF_SEC_20230125.xlsx]CF PDP'!</v>
      </c>
      <c r="G2944" s="6" t="s">
        <v>43</v>
      </c>
      <c r="H2944" s="1">
        <f t="shared" si="669"/>
        <v>52</v>
      </c>
      <c r="I2944" s="1" t="str">
        <f t="shared" si="667"/>
        <v>='C:\Users\jaime.benazar\Quorum Business Solutions\Ecopetrol Prometeo - Documents\Planning Space Implementation\3. Analysis &amp; Design\Design\FC22\DRR Jaime\QUIFA-CAJÚA\Cajua\[VAS_CAJUA_CF_SEC_20230125.xlsx]CF PDP'!$DI$52</v>
      </c>
      <c r="J2944" t="s">
        <v>1440</v>
      </c>
    </row>
    <row r="2945" spans="1:10" x14ac:dyDescent="0.2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Jaime\QUIFA-CAJÚA\Cajua\[VAS_CAJUA_CF_SEC_20230125.xlsx]CF PDP'!</v>
      </c>
      <c r="G2945" s="6" t="s">
        <v>43</v>
      </c>
      <c r="H2945" s="1">
        <f t="shared" si="669"/>
        <v>53</v>
      </c>
      <c r="I2945" s="1" t="str">
        <f t="shared" si="667"/>
        <v>='C:\Users\jaime.benazar\Quorum Business Solutions\Ecopetrol Prometeo - Documents\Planning Space Implementation\3. Analysis &amp; Design\Design\FC22\DRR Jaime\QUIFA-CAJÚA\Cajua\[VAS_CAJUA_CF_SEC_20230125.xlsx]CF PDP'!$DI$53</v>
      </c>
      <c r="J2945" t="s">
        <v>1441</v>
      </c>
    </row>
    <row r="2946" spans="1:10" x14ac:dyDescent="0.2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Jaime\QUIFA-CAJÚA\Cajua\[VAS_CAJUA_CF_SEC_20230125.xlsx]CF PDP'!</v>
      </c>
      <c r="G2946" s="6" t="s">
        <v>43</v>
      </c>
      <c r="H2946" s="1">
        <f t="shared" si="669"/>
        <v>54</v>
      </c>
      <c r="I2946" s="1" t="str">
        <f t="shared" si="667"/>
        <v>='C:\Users\jaime.benazar\Quorum Business Solutions\Ecopetrol Prometeo - Documents\Planning Space Implementation\3. Analysis &amp; Design\Design\FC22\DRR Jaime\QUIFA-CAJÚA\Cajua\[VAS_CAJUA_CF_SEC_20230125.xlsx]CF PDP'!$DI$54</v>
      </c>
      <c r="J2946" t="s">
        <v>1442</v>
      </c>
    </row>
    <row r="2947" spans="1:10" x14ac:dyDescent="0.2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Jaime\QUIFA-CAJÚA\Cajua\[VAS_CAJUA_CF_SEC_20230125.xlsx]CF PDP'!</v>
      </c>
      <c r="G2947" s="6" t="s">
        <v>43</v>
      </c>
      <c r="H2947" s="1">
        <f t="shared" si="669"/>
        <v>55</v>
      </c>
      <c r="I2947" s="1" t="str">
        <f t="shared" si="667"/>
        <v>='C:\Users\jaime.benazar\Quorum Business Solutions\Ecopetrol Prometeo - Documents\Planning Space Implementation\3. Analysis &amp; Design\Design\FC22\DRR Jaime\QUIFA-CAJÚA\Cajua\[VAS_CAJUA_CF_SEC_20230125.xlsx]CF PDP'!$DI$55</v>
      </c>
      <c r="J2947" t="s">
        <v>1443</v>
      </c>
    </row>
    <row r="2948" spans="1:10" x14ac:dyDescent="0.2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Jaime\QUIFA-CAJÚA\Cajua\[VAS_CAJUA_CF_SEC_20230125.xlsx]CF PDP'!</v>
      </c>
      <c r="G2948" s="6" t="s">
        <v>43</v>
      </c>
      <c r="H2948" s="1">
        <f t="shared" si="669"/>
        <v>56</v>
      </c>
      <c r="I2948" s="1" t="str">
        <f t="shared" si="667"/>
        <v>='C:\Users\jaime.benazar\Quorum Business Solutions\Ecopetrol Prometeo - Documents\Planning Space Implementation\3. Analysis &amp; Design\Design\FC22\DRR Jaime\QUIFA-CAJÚA\Cajua\[VAS_CAJUA_CF_SEC_20230125.xlsx]CF PDP'!$DI$56</v>
      </c>
      <c r="J2948" t="s">
        <v>1444</v>
      </c>
    </row>
    <row r="2949" spans="1:10" x14ac:dyDescent="0.2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Jaime\QUIFA-CAJÚA\Cajua\[VAS_CAJUA_CF_SEC_20230125.xlsx]CF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Jaime\QUIFA-CAJÚA\Cajua\[VAS_CAJUA_CF_SEC_20230125.xlsx]CF PDP'!$DI$57</v>
      </c>
      <c r="J2949" t="s">
        <v>1445</v>
      </c>
    </row>
    <row r="2950" spans="1:10" x14ac:dyDescent="0.2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Jaime\QUIFA-CAJÚA\Cajua\[VAS_CAJUA_CF_SEC_20230125.xlsx]CF PDP'!</v>
      </c>
      <c r="G2950" s="6" t="s">
        <v>43</v>
      </c>
      <c r="H2950" s="1">
        <f t="shared" si="674"/>
        <v>58</v>
      </c>
      <c r="I2950" s="1" t="str">
        <f t="shared" si="675"/>
        <v>='C:\Users\jaime.benazar\Quorum Business Solutions\Ecopetrol Prometeo - Documents\Planning Space Implementation\3. Analysis &amp; Design\Design\FC22\DRR Jaime\QUIFA-CAJÚA\Cajua\[VAS_CAJUA_CF_SEC_20230125.xlsx]CF PDP'!$DI$58</v>
      </c>
      <c r="J2950" t="s">
        <v>1446</v>
      </c>
    </row>
    <row r="2951" spans="1:10" x14ac:dyDescent="0.2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Jaime\QUIFA-CAJÚA\Cajua\[VAS_CAJUA_CF_SEC_20230125.xlsx]CF PDP'!</v>
      </c>
      <c r="G2951" s="6" t="s">
        <v>43</v>
      </c>
      <c r="H2951" s="1">
        <f t="shared" si="674"/>
        <v>59</v>
      </c>
      <c r="I2951" s="1" t="str">
        <f t="shared" si="675"/>
        <v>='C:\Users\jaime.benazar\Quorum Business Solutions\Ecopetrol Prometeo - Documents\Planning Space Implementation\3. Analysis &amp; Design\Design\FC22\DRR Jaime\QUIFA-CAJÚA\Cajua\[VAS_CAJUA_CF_SEC_20230125.xlsx]CF PDP'!$DI$59</v>
      </c>
      <c r="J2951" t="s">
        <v>1447</v>
      </c>
    </row>
    <row r="2952" spans="1:10" x14ac:dyDescent="0.2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Jaime\QUIFA-CAJÚA\Cajua\[VAS_CAJUA_CF_SEC_20230125.xlsx]CF PDP'!</v>
      </c>
      <c r="G2952" s="6" t="s">
        <v>43</v>
      </c>
      <c r="H2952" s="1">
        <f t="shared" si="674"/>
        <v>60</v>
      </c>
      <c r="I2952" s="1" t="str">
        <f t="shared" si="675"/>
        <v>='C:\Users\jaime.benazar\Quorum Business Solutions\Ecopetrol Prometeo - Documents\Planning Space Implementation\3. Analysis &amp; Design\Design\FC22\DRR Jaime\QUIFA-CAJÚA\Cajua\[VAS_CAJUA_CF_SEC_20230125.xlsx]CF PDP'!$DI$60</v>
      </c>
      <c r="J2952" t="s">
        <v>1448</v>
      </c>
    </row>
    <row r="2953" spans="1:10" x14ac:dyDescent="0.2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Jaime\QUIFA-CAJÚA\Cajua\[VAS_CAJUA_CF_SEC_20230125.xlsx]CF PDP'!</v>
      </c>
      <c r="G2953" s="6" t="s">
        <v>43</v>
      </c>
      <c r="H2953" s="1">
        <f t="shared" si="674"/>
        <v>61</v>
      </c>
      <c r="I2953" s="1" t="str">
        <f t="shared" si="675"/>
        <v>='C:\Users\jaime.benazar\Quorum Business Solutions\Ecopetrol Prometeo - Documents\Planning Space Implementation\3. Analysis &amp; Design\Design\FC22\DRR Jaime\QUIFA-CAJÚA\Cajua\[VAS_CAJUA_CF_SEC_20230125.xlsx]CF PDP'!$DI$61</v>
      </c>
      <c r="J2953" t="s">
        <v>1449</v>
      </c>
    </row>
    <row r="2954" spans="1:10" x14ac:dyDescent="0.2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Jaime\QUIFA-CAJÚA\Cajua\[VAS_CAJUA_CF_SEC_20230125.xlsx]CF PDP'!</v>
      </c>
      <c r="G2954" s="6" t="s">
        <v>43</v>
      </c>
      <c r="H2954" s="1">
        <f t="shared" si="674"/>
        <v>62</v>
      </c>
      <c r="I2954" s="1" t="str">
        <f t="shared" si="675"/>
        <v>='C:\Users\jaime.benazar\Quorum Business Solutions\Ecopetrol Prometeo - Documents\Planning Space Implementation\3. Analysis &amp; Design\Design\FC22\DRR Jaime\QUIFA-CAJÚA\Cajua\[VAS_CAJUA_CF_SEC_20230125.xlsx]CF PDP'!$DI$62</v>
      </c>
      <c r="J2954" t="s">
        <v>1450</v>
      </c>
    </row>
    <row r="2955" spans="1:10" x14ac:dyDescent="0.2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Jaime\QUIFA-CAJÚA\Cajua\[VAS_CAJUA_CF_SEC_20230125.xlsx]CF PDP'!</v>
      </c>
      <c r="G2955" s="6" t="s">
        <v>43</v>
      </c>
      <c r="H2955" s="1">
        <f t="shared" si="674"/>
        <v>63</v>
      </c>
      <c r="I2955" s="1" t="str">
        <f t="shared" si="675"/>
        <v>='C:\Users\jaime.benazar\Quorum Business Solutions\Ecopetrol Prometeo - Documents\Planning Space Implementation\3. Analysis &amp; Design\Design\FC22\DRR Jaime\QUIFA-CAJÚA\Cajua\[VAS_CAJUA_CF_SEC_20230125.xlsx]CF PDP'!$DI$63</v>
      </c>
      <c r="J2955" t="s">
        <v>1451</v>
      </c>
    </row>
    <row r="2956" spans="1:10" x14ac:dyDescent="0.2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Jaime\QUIFA-CAJÚA\Cajua\[VAS_CAJUA_CF_SEC_20230125.xlsx]CF PDP'!</v>
      </c>
      <c r="G2956" s="6" t="s">
        <v>43</v>
      </c>
      <c r="H2956" s="1">
        <f t="shared" si="674"/>
        <v>64</v>
      </c>
      <c r="I2956" s="1" t="str">
        <f t="shared" si="675"/>
        <v>='C:\Users\jaime.benazar\Quorum Business Solutions\Ecopetrol Prometeo - Documents\Planning Space Implementation\3. Analysis &amp; Design\Design\FC22\DRR Jaime\QUIFA-CAJÚA\Cajua\[VAS_CAJUA_CF_SEC_20230125.xlsx]CF PDP'!$DI$64</v>
      </c>
      <c r="J2956" t="s">
        <v>1452</v>
      </c>
    </row>
    <row r="2957" spans="1:10" x14ac:dyDescent="0.2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Jaime\QUIFA-CAJÚA\Cajua\[VAS_CAJUA_CF_SEC_20230125.xlsx]CF PDP'!</v>
      </c>
      <c r="G2957" s="6" t="s">
        <v>43</v>
      </c>
      <c r="H2957" s="1">
        <f t="shared" si="674"/>
        <v>65</v>
      </c>
      <c r="I2957" s="1" t="str">
        <f t="shared" si="675"/>
        <v>='C:\Users\jaime.benazar\Quorum Business Solutions\Ecopetrol Prometeo - Documents\Planning Space Implementation\3. Analysis &amp; Design\Design\FC22\DRR Jaime\QUIFA-CAJÚA\Cajua\[VAS_CAJUA_CF_SEC_20230125.xlsx]CF PDP'!$DI$65</v>
      </c>
      <c r="J2957" t="s">
        <v>1453</v>
      </c>
    </row>
    <row r="2958" spans="1:10" x14ac:dyDescent="0.2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Jaime\QUIFA-CAJÚA\Cajua\[VAS_CAJUA_CF_SEC_20230125.xlsx]CF PDP'!</v>
      </c>
      <c r="G2958" s="6" t="s">
        <v>43</v>
      </c>
      <c r="H2958" s="1">
        <f t="shared" si="674"/>
        <v>66</v>
      </c>
      <c r="I2958" s="1" t="str">
        <f t="shared" si="675"/>
        <v>='C:\Users\jaime.benazar\Quorum Business Solutions\Ecopetrol Prometeo - Documents\Planning Space Implementation\3. Analysis &amp; Design\Design\FC22\DRR Jaime\QUIFA-CAJÚA\Cajua\[VAS_CAJUA_CF_SEC_20230125.xlsx]CF PDP'!$DI$66</v>
      </c>
      <c r="J2958" t="s">
        <v>1454</v>
      </c>
    </row>
    <row r="2959" spans="1:10" x14ac:dyDescent="0.2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Jaime\QUIFA-CAJÚA\Cajua\[VAS_CAJUA_CF_SEC_20230125.xlsx]CF PDP'!</v>
      </c>
      <c r="G2959" s="6" t="s">
        <v>43</v>
      </c>
      <c r="H2959" s="1">
        <f t="shared" si="674"/>
        <v>67</v>
      </c>
      <c r="I2959" s="1" t="str">
        <f t="shared" si="675"/>
        <v>='C:\Users\jaime.benazar\Quorum Business Solutions\Ecopetrol Prometeo - Documents\Planning Space Implementation\3. Analysis &amp; Design\Design\FC22\DRR Jaime\QUIFA-CAJÚA\Cajua\[VAS_CAJUA_CF_SEC_20230125.xlsx]CF PDP'!$DI$67</v>
      </c>
      <c r="J2959" t="s">
        <v>1455</v>
      </c>
    </row>
    <row r="2960" spans="1:10" x14ac:dyDescent="0.2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Jaime\QUIFA-CAJÚA\Cajua\[VAS_CAJUA_CF_SEC_20230125.xlsx]CF PDP'!</v>
      </c>
      <c r="G2960" s="6" t="s">
        <v>43</v>
      </c>
      <c r="H2960" s="1">
        <f t="shared" si="674"/>
        <v>68</v>
      </c>
      <c r="I2960" s="1" t="str">
        <f t="shared" si="675"/>
        <v>='C:\Users\jaime.benazar\Quorum Business Solutions\Ecopetrol Prometeo - Documents\Planning Space Implementation\3. Analysis &amp; Design\Design\FC22\DRR Jaime\QUIFA-CAJÚA\Cajua\[VAS_CAJUA_CF_SEC_20230125.xlsx]CF PDP'!$DI$68</v>
      </c>
      <c r="J2960" t="s">
        <v>1456</v>
      </c>
    </row>
    <row r="2961" spans="1:10" x14ac:dyDescent="0.2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Jaime\QUIFA-CAJÚA\Cajua\[VAS_CAJUA_CF_SEC_20230125.xlsx]CF PDP'!</v>
      </c>
      <c r="G2961" s="6" t="s">
        <v>43</v>
      </c>
      <c r="H2961" s="1">
        <f t="shared" si="674"/>
        <v>69</v>
      </c>
      <c r="I2961" s="1" t="str">
        <f t="shared" si="675"/>
        <v>='C:\Users\jaime.benazar\Quorum Business Solutions\Ecopetrol Prometeo - Documents\Planning Space Implementation\3. Analysis &amp; Design\Design\FC22\DRR Jaime\QUIFA-CAJÚA\Cajua\[VAS_CAJUA_CF_SEC_20230125.xlsx]CF PDP'!$DI$69</v>
      </c>
      <c r="J2961" t="s">
        <v>1457</v>
      </c>
    </row>
    <row r="2962" spans="1:10" x14ac:dyDescent="0.2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Jaime\QUIFA-CAJÚA\Cajua\[VAS_CAJUA_CF_SEC_20230125.xlsx]CF PDP'!</v>
      </c>
      <c r="G2962" s="6" t="s">
        <v>43</v>
      </c>
      <c r="H2962" s="1">
        <f t="shared" si="674"/>
        <v>70</v>
      </c>
      <c r="I2962" s="1" t="str">
        <f t="shared" si="675"/>
        <v>='C:\Users\jaime.benazar\Quorum Business Solutions\Ecopetrol Prometeo - Documents\Planning Space Implementation\3. Analysis &amp; Design\Design\FC22\DRR Jaime\QUIFA-CAJÚA\Cajua\[VAS_CAJUA_CF_SEC_20230125.xlsx]CF PDP'!$DI$70</v>
      </c>
      <c r="J2962" t="s">
        <v>1458</v>
      </c>
    </row>
    <row r="2963" spans="1:10" x14ac:dyDescent="0.2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Jaime\QUIFA-CAJÚA\Cajua\[VAS_CAJUA_CF_SEC_20230125.xlsx]CF PDP'!</v>
      </c>
      <c r="G2963" s="6" t="s">
        <v>43</v>
      </c>
      <c r="H2963" s="1">
        <f t="shared" si="674"/>
        <v>71</v>
      </c>
      <c r="I2963" s="1" t="str">
        <f t="shared" si="675"/>
        <v>='C:\Users\jaime.benazar\Quorum Business Solutions\Ecopetrol Prometeo - Documents\Planning Space Implementation\3. Analysis &amp; Design\Design\FC22\DRR Jaime\QUIFA-CAJÚA\Cajua\[VAS_CAJUA_CF_SEC_20230125.xlsx]CF PDP'!$DI$71</v>
      </c>
      <c r="J2963" t="s">
        <v>1459</v>
      </c>
    </row>
    <row r="2964" spans="1:10" x14ac:dyDescent="0.2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Jaime\QUIFA-CAJÚA\Cajua\[VAS_CAJUA_CF_SEC_20230125.xlsx]CF PDP'!</v>
      </c>
      <c r="G2964" s="6" t="s">
        <v>43</v>
      </c>
      <c r="H2964" s="1">
        <f t="shared" si="674"/>
        <v>72</v>
      </c>
      <c r="I2964" s="1" t="str">
        <f t="shared" si="675"/>
        <v>='C:\Users\jaime.benazar\Quorum Business Solutions\Ecopetrol Prometeo - Documents\Planning Space Implementation\3. Analysis &amp; Design\Design\FC22\DRR Jaime\QUIFA-CAJÚA\Cajua\[VAS_CAJUA_CF_SEC_20230125.xlsx]CF PDP'!$DI$72</v>
      </c>
      <c r="J2964" t="s">
        <v>1460</v>
      </c>
    </row>
    <row r="2965" spans="1:10" x14ac:dyDescent="0.25">
      <c r="A2965" s="7" t="s">
        <v>28</v>
      </c>
      <c r="B2965" s="6"/>
      <c r="C2965" s="1" t="s">
        <v>42</v>
      </c>
      <c r="D2965" s="2"/>
      <c r="E2965" s="9"/>
      <c r="F2965" s="5"/>
      <c r="G2965" s="6"/>
      <c r="H2965" s="1"/>
      <c r="I2965" s="1"/>
      <c r="J2965" s="4"/>
    </row>
    <row r="2966" spans="1:10" x14ac:dyDescent="0.2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Jaime\QUIFA-CAJÚA\Cajua\[VAS_CAJUA_CF_SEC_20230125.xlsx]CF PNP'!</v>
      </c>
      <c r="G2966" s="6" t="s">
        <v>43</v>
      </c>
      <c r="H2966" s="1">
        <f>IF(A2966&lt;&gt;A2950,36,H2950+1)</f>
        <v>36</v>
      </c>
      <c r="I2966" s="1" t="str">
        <f t="shared" si="667"/>
        <v>='C:\Users\jaime.benazar\Quorum Business Solutions\Ecopetrol Prometeo - Documents\Planning Space Implementation\3. Analysis &amp; Design\Design\FC22\DRR Jaime\QUIFA-CAJÚA\Cajua\[VAS_CAJUA_CF_SEC_20230125.xlsx]CF PNP'!$DI$36</v>
      </c>
      <c r="J2966" t="s">
        <v>1461</v>
      </c>
    </row>
    <row r="2967" spans="1:10" x14ac:dyDescent="0.2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Jaime\QUIFA-CAJÚA\Cajua\[VAS_CAJUA_CF_SEC_20230125.xlsx]CF PNP'!</v>
      </c>
      <c r="G2967" s="6" t="s">
        <v>43</v>
      </c>
      <c r="H2967" s="1">
        <f t="shared" si="669"/>
        <v>37</v>
      </c>
      <c r="I2967" s="1" t="str">
        <f t="shared" si="667"/>
        <v>='C:\Users\jaime.benazar\Quorum Business Solutions\Ecopetrol Prometeo - Documents\Planning Space Implementation\3. Analysis &amp; Design\Design\FC22\DRR Jaime\QUIFA-CAJÚA\Cajua\[VAS_CAJUA_CF_SEC_20230125.xlsx]CF PNP'!$DI$37</v>
      </c>
      <c r="J2967" t="s">
        <v>1462</v>
      </c>
    </row>
    <row r="2968" spans="1:10" x14ac:dyDescent="0.2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Jaime\QUIFA-CAJÚA\Cajua\[VAS_CAJUA_CF_SEC_20230125.xlsx]CF PNP'!</v>
      </c>
      <c r="G2968" s="6" t="s">
        <v>43</v>
      </c>
      <c r="H2968" s="1">
        <f t="shared" si="669"/>
        <v>38</v>
      </c>
      <c r="I2968" s="1" t="str">
        <f t="shared" si="667"/>
        <v>='C:\Users\jaime.benazar\Quorum Business Solutions\Ecopetrol Prometeo - Documents\Planning Space Implementation\3. Analysis &amp; Design\Design\FC22\DRR Jaime\QUIFA-CAJÚA\Cajua\[VAS_CAJUA_CF_SEC_20230125.xlsx]CF PNP'!$DI$38</v>
      </c>
      <c r="J2968" t="s">
        <v>1463</v>
      </c>
    </row>
    <row r="2969" spans="1:10" x14ac:dyDescent="0.2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Jaime\QUIFA-CAJÚA\Cajua\[VAS_CAJUA_CF_SEC_20230125.xlsx]CF PNP'!</v>
      </c>
      <c r="G2969" s="6" t="s">
        <v>43</v>
      </c>
      <c r="H2969" s="1">
        <f t="shared" si="669"/>
        <v>39</v>
      </c>
      <c r="I2969" s="1" t="str">
        <f t="shared" si="667"/>
        <v>='C:\Users\jaime.benazar\Quorum Business Solutions\Ecopetrol Prometeo - Documents\Planning Space Implementation\3. Analysis &amp; Design\Design\FC22\DRR Jaime\QUIFA-CAJÚA\Cajua\[VAS_CAJUA_CF_SEC_20230125.xlsx]CF PNP'!$DI$39</v>
      </c>
      <c r="J2969" t="s">
        <v>1464</v>
      </c>
    </row>
    <row r="2970" spans="1:10" x14ac:dyDescent="0.2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Jaime\QUIFA-CAJÚA\Cajua\[VAS_CAJUA_CF_SEC_20230125.xlsx]CF PNP'!</v>
      </c>
      <c r="G2970" s="6" t="s">
        <v>43</v>
      </c>
      <c r="H2970" s="1">
        <f t="shared" si="669"/>
        <v>40</v>
      </c>
      <c r="I2970" s="1" t="str">
        <f t="shared" si="667"/>
        <v>='C:\Users\jaime.benazar\Quorum Business Solutions\Ecopetrol Prometeo - Documents\Planning Space Implementation\3. Analysis &amp; Design\Design\FC22\DRR Jaime\QUIFA-CAJÚA\Cajua\[VAS_CAJUA_CF_SEC_20230125.xlsx]CF PNP'!$DI$40</v>
      </c>
      <c r="J2970" t="s">
        <v>1465</v>
      </c>
    </row>
    <row r="2971" spans="1:10" x14ac:dyDescent="0.2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Jaime\QUIFA-CAJÚA\Cajua\[VAS_CAJUA_CF_SEC_20230125.xlsx]CF PNP'!</v>
      </c>
      <c r="G2971" s="6" t="s">
        <v>43</v>
      </c>
      <c r="H2971" s="1">
        <f t="shared" si="669"/>
        <v>41</v>
      </c>
      <c r="I2971" s="1" t="str">
        <f t="shared" si="667"/>
        <v>='C:\Users\jaime.benazar\Quorum Business Solutions\Ecopetrol Prometeo - Documents\Planning Space Implementation\3. Analysis &amp; Design\Design\FC22\DRR Jaime\QUIFA-CAJÚA\Cajua\[VAS_CAJUA_CF_SEC_20230125.xlsx]CF PNP'!$DI$41</v>
      </c>
      <c r="J2971" t="s">
        <v>1466</v>
      </c>
    </row>
    <row r="2972" spans="1:10" x14ac:dyDescent="0.2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Jaime\QUIFA-CAJÚA\Cajua\[VAS_CAJUA_CF_SEC_20230125.xlsx]CF PNP'!</v>
      </c>
      <c r="G2972" s="6" t="s">
        <v>43</v>
      </c>
      <c r="H2972" s="1">
        <f t="shared" si="669"/>
        <v>42</v>
      </c>
      <c r="I2972" s="1" t="str">
        <f t="shared" si="667"/>
        <v>='C:\Users\jaime.benazar\Quorum Business Solutions\Ecopetrol Prometeo - Documents\Planning Space Implementation\3. Analysis &amp; Design\Design\FC22\DRR Jaime\QUIFA-CAJÚA\Cajua\[VAS_CAJUA_CF_SEC_20230125.xlsx]CF PNP'!$DI$42</v>
      </c>
      <c r="J2972" t="s">
        <v>1467</v>
      </c>
    </row>
    <row r="2973" spans="1:10" x14ac:dyDescent="0.2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Jaime\QUIFA-CAJÚA\Cajua\[VAS_CAJUA_CF_SEC_20230125.xlsx]CF PNP'!</v>
      </c>
      <c r="G2973" s="6" t="s">
        <v>43</v>
      </c>
      <c r="H2973" s="1">
        <f t="shared" si="669"/>
        <v>43</v>
      </c>
      <c r="I2973" s="1" t="str">
        <f t="shared" si="667"/>
        <v>='C:\Users\jaime.benazar\Quorum Business Solutions\Ecopetrol Prometeo - Documents\Planning Space Implementation\3. Analysis &amp; Design\Design\FC22\DRR Jaime\QUIFA-CAJÚA\Cajua\[VAS_CAJUA_CF_SEC_20230125.xlsx]CF PNP'!$DI$43</v>
      </c>
      <c r="J2973" t="s">
        <v>1468</v>
      </c>
    </row>
    <row r="2974" spans="1:10" x14ac:dyDescent="0.2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Jaime\QUIFA-CAJÚA\Cajua\[VAS_CAJUA_CF_SEC_20230125.xlsx]CF PNP'!</v>
      </c>
      <c r="G2974" s="6" t="s">
        <v>43</v>
      </c>
      <c r="H2974" s="1">
        <f t="shared" si="669"/>
        <v>44</v>
      </c>
      <c r="I2974" s="1" t="str">
        <f t="shared" si="667"/>
        <v>='C:\Users\jaime.benazar\Quorum Business Solutions\Ecopetrol Prometeo - Documents\Planning Space Implementation\3. Analysis &amp; Design\Design\FC22\DRR Jaime\QUIFA-CAJÚA\Cajua\[VAS_CAJUA_CF_SEC_20230125.xlsx]CF PNP'!$DI$44</v>
      </c>
      <c r="J2974" t="s">
        <v>1469</v>
      </c>
    </row>
    <row r="2975" spans="1:10" x14ac:dyDescent="0.2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Jaime\QUIFA-CAJÚA\Cajua\[VAS_CAJUA_CF_SEC_20230125.xlsx]CF PNP'!</v>
      </c>
      <c r="G2975" s="6" t="s">
        <v>43</v>
      </c>
      <c r="H2975" s="1">
        <f t="shared" si="669"/>
        <v>45</v>
      </c>
      <c r="I2975" s="1" t="str">
        <f t="shared" si="667"/>
        <v>='C:\Users\jaime.benazar\Quorum Business Solutions\Ecopetrol Prometeo - Documents\Planning Space Implementation\3. Analysis &amp; Design\Design\FC22\DRR Jaime\QUIFA-CAJÚA\Cajua\[VAS_CAJUA_CF_SEC_20230125.xlsx]CF PNP'!$DI$45</v>
      </c>
      <c r="J2975" t="s">
        <v>1470</v>
      </c>
    </row>
    <row r="2976" spans="1:10" x14ac:dyDescent="0.2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Jaime\QUIFA-CAJÚA\Cajua\[VAS_CAJUA_CF_SEC_20230125.xlsx]CF PNP'!</v>
      </c>
      <c r="G2976" s="6" t="s">
        <v>43</v>
      </c>
      <c r="H2976" s="1">
        <f t="shared" si="669"/>
        <v>46</v>
      </c>
      <c r="I2976" s="1" t="str">
        <f t="shared" si="667"/>
        <v>='C:\Users\jaime.benazar\Quorum Business Solutions\Ecopetrol Prometeo - Documents\Planning Space Implementation\3. Analysis &amp; Design\Design\FC22\DRR Jaime\QUIFA-CAJÚA\Cajua\[VAS_CAJUA_CF_SEC_20230125.xlsx]CF PNP'!$DI$46</v>
      </c>
      <c r="J2976" t="s">
        <v>1471</v>
      </c>
    </row>
    <row r="2977" spans="1:10" x14ac:dyDescent="0.2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Jaime\QUIFA-CAJÚA\Cajua\[VAS_CAJUA_CF_SEC_20230125.xlsx]CF PNP'!</v>
      </c>
      <c r="G2977" s="6" t="s">
        <v>43</v>
      </c>
      <c r="H2977" s="1">
        <f t="shared" si="669"/>
        <v>47</v>
      </c>
      <c r="I2977" s="1" t="str">
        <f t="shared" si="667"/>
        <v>='C:\Users\jaime.benazar\Quorum Business Solutions\Ecopetrol Prometeo - Documents\Planning Space Implementation\3. Analysis &amp; Design\Design\FC22\DRR Jaime\QUIFA-CAJÚA\Cajua\[VAS_CAJUA_CF_SEC_20230125.xlsx]CF PNP'!$DI$47</v>
      </c>
      <c r="J2977" t="s">
        <v>1472</v>
      </c>
    </row>
    <row r="2978" spans="1:10" x14ac:dyDescent="0.2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Jaime\QUIFA-CAJÚA\Cajua\[VAS_CAJUA_CF_SEC_20230125.xlsx]CF PNP'!</v>
      </c>
      <c r="G2978" s="6" t="s">
        <v>43</v>
      </c>
      <c r="H2978" s="1">
        <f t="shared" si="669"/>
        <v>48</v>
      </c>
      <c r="I2978" s="1" t="str">
        <f t="shared" si="667"/>
        <v>='C:\Users\jaime.benazar\Quorum Business Solutions\Ecopetrol Prometeo - Documents\Planning Space Implementation\3. Analysis &amp; Design\Design\FC22\DRR Jaime\QUIFA-CAJÚA\Cajua\[VAS_CAJUA_CF_SEC_20230125.xlsx]CF PNP'!$DI$48</v>
      </c>
      <c r="J2978" t="s">
        <v>1473</v>
      </c>
    </row>
    <row r="2979" spans="1:10" x14ac:dyDescent="0.2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Jaime\QUIFA-CAJÚA\Cajua\[VAS_CAJUA_CF_SEC_20230125.xlsx]CF PNP'!</v>
      </c>
      <c r="G2979" s="6" t="s">
        <v>43</v>
      </c>
      <c r="H2979" s="1">
        <f t="shared" si="669"/>
        <v>49</v>
      </c>
      <c r="I2979" s="1" t="str">
        <f t="shared" si="667"/>
        <v>='C:\Users\jaime.benazar\Quorum Business Solutions\Ecopetrol Prometeo - Documents\Planning Space Implementation\3. Analysis &amp; Design\Design\FC22\DRR Jaime\QUIFA-CAJÚA\Cajua\[VAS_CAJUA_CF_SEC_20230125.xlsx]CF PNP'!$DI$49</v>
      </c>
      <c r="J2979" t="s">
        <v>1474</v>
      </c>
    </row>
    <row r="2980" spans="1:10" x14ac:dyDescent="0.2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Jaime\QUIFA-CAJÚA\Cajua\[VAS_CAJUA_CF_SEC_20230125.xlsx]CF PNP'!</v>
      </c>
      <c r="G2980" s="6" t="s">
        <v>43</v>
      </c>
      <c r="H2980" s="1">
        <f t="shared" si="669"/>
        <v>50</v>
      </c>
      <c r="I2980" s="1" t="str">
        <f t="shared" si="667"/>
        <v>='C:\Users\jaime.benazar\Quorum Business Solutions\Ecopetrol Prometeo - Documents\Planning Space Implementation\3. Analysis &amp; Design\Design\FC22\DRR Jaime\QUIFA-CAJÚA\Cajua\[VAS_CAJUA_CF_SEC_20230125.xlsx]CF PNP'!$DI$50</v>
      </c>
      <c r="J2980" t="s">
        <v>1475</v>
      </c>
    </row>
    <row r="2981" spans="1:10" x14ac:dyDescent="0.2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Jaime\QUIFA-CAJÚA\Cajua\[VAS_CAJUA_CF_SEC_20230125.xlsx]CF PNP'!</v>
      </c>
      <c r="G2981" s="6" t="s">
        <v>43</v>
      </c>
      <c r="H2981" s="1">
        <f t="shared" si="669"/>
        <v>51</v>
      </c>
      <c r="I2981" s="1" t="str">
        <f t="shared" si="667"/>
        <v>='C:\Users\jaime.benazar\Quorum Business Solutions\Ecopetrol Prometeo - Documents\Planning Space Implementation\3. Analysis &amp; Design\Design\FC22\DRR Jaime\QUIFA-CAJÚA\Cajua\[VAS_CAJUA_CF_SEC_20230125.xlsx]CF PNP'!$DI$51</v>
      </c>
      <c r="J2981" t="s">
        <v>1476</v>
      </c>
    </row>
    <row r="2982" spans="1:10" x14ac:dyDescent="0.2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Jaime\QUIFA-CAJÚA\Cajua\[VAS_CAJUA_CF_SEC_20230125.xlsx]CF PNP'!</v>
      </c>
      <c r="G2982" s="6" t="s">
        <v>43</v>
      </c>
      <c r="H2982" s="1">
        <f t="shared" si="669"/>
        <v>52</v>
      </c>
      <c r="I2982" s="1" t="str">
        <f t="shared" si="667"/>
        <v>='C:\Users\jaime.benazar\Quorum Business Solutions\Ecopetrol Prometeo - Documents\Planning Space Implementation\3. Analysis &amp; Design\Design\FC22\DRR Jaime\QUIFA-CAJÚA\Cajua\[VAS_CAJUA_CF_SEC_20230125.xlsx]CF PNP'!$DI$52</v>
      </c>
      <c r="J2982" t="s">
        <v>1477</v>
      </c>
    </row>
    <row r="2983" spans="1:10" x14ac:dyDescent="0.2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Jaime\QUIFA-CAJÚA\Cajua\[VAS_CAJUA_CF_SEC_20230125.xlsx]CF PNP'!</v>
      </c>
      <c r="G2983" s="6" t="s">
        <v>43</v>
      </c>
      <c r="H2983" s="1">
        <f t="shared" si="669"/>
        <v>53</v>
      </c>
      <c r="I2983" s="1" t="str">
        <f t="shared" si="667"/>
        <v>='C:\Users\jaime.benazar\Quorum Business Solutions\Ecopetrol Prometeo - Documents\Planning Space Implementation\3. Analysis &amp; Design\Design\FC22\DRR Jaime\QUIFA-CAJÚA\Cajua\[VAS_CAJUA_CF_SEC_20230125.xlsx]CF PNP'!$DI$53</v>
      </c>
      <c r="J2983" t="s">
        <v>1478</v>
      </c>
    </row>
    <row r="2984" spans="1:10" x14ac:dyDescent="0.2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Jaime\QUIFA-CAJÚA\Cajua\[VAS_CAJUA_CF_SEC_20230125.xlsx]CF PNP'!</v>
      </c>
      <c r="G2984" s="6" t="s">
        <v>43</v>
      </c>
      <c r="H2984" s="1">
        <f t="shared" si="669"/>
        <v>54</v>
      </c>
      <c r="I2984" s="1" t="str">
        <f t="shared" si="667"/>
        <v>='C:\Users\jaime.benazar\Quorum Business Solutions\Ecopetrol Prometeo - Documents\Planning Space Implementation\3. Analysis &amp; Design\Design\FC22\DRR Jaime\QUIFA-CAJÚA\Cajua\[VAS_CAJUA_CF_SEC_20230125.xlsx]CF PNP'!$DI$54</v>
      </c>
      <c r="J2984" t="s">
        <v>1479</v>
      </c>
    </row>
    <row r="2985" spans="1:10" x14ac:dyDescent="0.2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Jaime\QUIFA-CAJÚA\Cajua\[VAS_CAJUA_CF_SEC_20230125.xlsx]CF PNP'!</v>
      </c>
      <c r="G2985" s="6" t="s">
        <v>43</v>
      </c>
      <c r="H2985" s="1">
        <f t="shared" si="669"/>
        <v>55</v>
      </c>
      <c r="I2985" s="1" t="str">
        <f t="shared" si="667"/>
        <v>='C:\Users\jaime.benazar\Quorum Business Solutions\Ecopetrol Prometeo - Documents\Planning Space Implementation\3. Analysis &amp; Design\Design\FC22\DRR Jaime\QUIFA-CAJÚA\Cajua\[VAS_CAJUA_CF_SEC_20230125.xlsx]CF PNP'!$DI$55</v>
      </c>
      <c r="J2985" t="s">
        <v>1480</v>
      </c>
    </row>
    <row r="2986" spans="1:10" x14ac:dyDescent="0.2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Jaime\QUIFA-CAJÚA\Cajua\[VAS_CAJUA_CF_SEC_20230125.xlsx]CF PNP'!</v>
      </c>
      <c r="G2986" s="6" t="s">
        <v>43</v>
      </c>
      <c r="H2986" s="1">
        <f t="shared" si="669"/>
        <v>56</v>
      </c>
      <c r="I2986" s="1" t="str">
        <f t="shared" si="667"/>
        <v>='C:\Users\jaime.benazar\Quorum Business Solutions\Ecopetrol Prometeo - Documents\Planning Space Implementation\3. Analysis &amp; Design\Design\FC22\DRR Jaime\QUIFA-CAJÚA\Cajua\[VAS_CAJUA_CF_SEC_20230125.xlsx]CF PNP'!$DI$56</v>
      </c>
      <c r="J2986" t="s">
        <v>1481</v>
      </c>
    </row>
    <row r="2987" spans="1:10" x14ac:dyDescent="0.2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Jaime\QUIFA-CAJÚA\Cajua\[VAS_CAJUA_CF_SEC_20230125.xlsx]CF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Jaime\QUIFA-CAJÚA\Cajua\[VAS_CAJUA_CF_SEC_20230125.xlsx]CF PNP'!$DI$57</v>
      </c>
      <c r="J2987" t="s">
        <v>1482</v>
      </c>
    </row>
    <row r="2988" spans="1:10" x14ac:dyDescent="0.2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Jaime\QUIFA-CAJÚA\Cajua\[VAS_CAJUA_CF_SEC_20230125.xlsx]CF PNP'!</v>
      </c>
      <c r="G2988" s="6" t="s">
        <v>43</v>
      </c>
      <c r="H2988" s="1">
        <f t="shared" si="683"/>
        <v>58</v>
      </c>
      <c r="I2988" s="1" t="str">
        <f t="shared" si="684"/>
        <v>='C:\Users\jaime.benazar\Quorum Business Solutions\Ecopetrol Prometeo - Documents\Planning Space Implementation\3. Analysis &amp; Design\Design\FC22\DRR Jaime\QUIFA-CAJÚA\Cajua\[VAS_CAJUA_CF_SEC_20230125.xlsx]CF PNP'!$DI$58</v>
      </c>
      <c r="J2988" t="s">
        <v>1483</v>
      </c>
    </row>
    <row r="2989" spans="1:10" x14ac:dyDescent="0.2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Jaime\QUIFA-CAJÚA\Cajua\[VAS_CAJUA_CF_SEC_20230125.xlsx]CF PNP'!</v>
      </c>
      <c r="G2989" s="6" t="s">
        <v>43</v>
      </c>
      <c r="H2989" s="1">
        <f t="shared" si="683"/>
        <v>59</v>
      </c>
      <c r="I2989" s="1" t="str">
        <f t="shared" si="684"/>
        <v>='C:\Users\jaime.benazar\Quorum Business Solutions\Ecopetrol Prometeo - Documents\Planning Space Implementation\3. Analysis &amp; Design\Design\FC22\DRR Jaime\QUIFA-CAJÚA\Cajua\[VAS_CAJUA_CF_SEC_20230125.xlsx]CF PNP'!$DI$59</v>
      </c>
      <c r="J2989" t="s">
        <v>1484</v>
      </c>
    </row>
    <row r="2990" spans="1:10" x14ac:dyDescent="0.2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Jaime\QUIFA-CAJÚA\Cajua\[VAS_CAJUA_CF_SEC_20230125.xlsx]CF PNP'!</v>
      </c>
      <c r="G2990" s="6" t="s">
        <v>43</v>
      </c>
      <c r="H2990" s="1">
        <f t="shared" si="683"/>
        <v>60</v>
      </c>
      <c r="I2990" s="1" t="str">
        <f t="shared" si="684"/>
        <v>='C:\Users\jaime.benazar\Quorum Business Solutions\Ecopetrol Prometeo - Documents\Planning Space Implementation\3. Analysis &amp; Design\Design\FC22\DRR Jaime\QUIFA-CAJÚA\Cajua\[VAS_CAJUA_CF_SEC_20230125.xlsx]CF PNP'!$DI$60</v>
      </c>
      <c r="J2990" t="s">
        <v>1485</v>
      </c>
    </row>
    <row r="2991" spans="1:10" x14ac:dyDescent="0.2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Jaime\QUIFA-CAJÚA\Cajua\[VAS_CAJUA_CF_SEC_20230125.xlsx]CF PNP'!</v>
      </c>
      <c r="G2991" s="6" t="s">
        <v>43</v>
      </c>
      <c r="H2991" s="1">
        <f t="shared" si="683"/>
        <v>61</v>
      </c>
      <c r="I2991" s="1" t="str">
        <f t="shared" si="684"/>
        <v>='C:\Users\jaime.benazar\Quorum Business Solutions\Ecopetrol Prometeo - Documents\Planning Space Implementation\3. Analysis &amp; Design\Design\FC22\DRR Jaime\QUIFA-CAJÚA\Cajua\[VAS_CAJUA_CF_SEC_20230125.xlsx]CF PNP'!$DI$61</v>
      </c>
      <c r="J2991" t="s">
        <v>1486</v>
      </c>
    </row>
    <row r="2992" spans="1:10" x14ac:dyDescent="0.2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Jaime\QUIFA-CAJÚA\Cajua\[VAS_CAJUA_CF_SEC_20230125.xlsx]CF PNP'!</v>
      </c>
      <c r="G2992" s="6" t="s">
        <v>43</v>
      </c>
      <c r="H2992" s="1">
        <f t="shared" si="683"/>
        <v>62</v>
      </c>
      <c r="I2992" s="1" t="str">
        <f t="shared" si="684"/>
        <v>='C:\Users\jaime.benazar\Quorum Business Solutions\Ecopetrol Prometeo - Documents\Planning Space Implementation\3. Analysis &amp; Design\Design\FC22\DRR Jaime\QUIFA-CAJÚA\Cajua\[VAS_CAJUA_CF_SEC_20230125.xlsx]CF PNP'!$DI$62</v>
      </c>
      <c r="J2992" t="s">
        <v>1487</v>
      </c>
    </row>
    <row r="2993" spans="1:10" x14ac:dyDescent="0.2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Jaime\QUIFA-CAJÚA\Cajua\[VAS_CAJUA_CF_SEC_20230125.xlsx]CF PNP'!</v>
      </c>
      <c r="G2993" s="6" t="s">
        <v>43</v>
      </c>
      <c r="H2993" s="1">
        <f t="shared" si="683"/>
        <v>63</v>
      </c>
      <c r="I2993" s="1" t="str">
        <f t="shared" si="684"/>
        <v>='C:\Users\jaime.benazar\Quorum Business Solutions\Ecopetrol Prometeo - Documents\Planning Space Implementation\3. Analysis &amp; Design\Design\FC22\DRR Jaime\QUIFA-CAJÚA\Cajua\[VAS_CAJUA_CF_SEC_20230125.xlsx]CF PNP'!$DI$63</v>
      </c>
      <c r="J2993" t="s">
        <v>1488</v>
      </c>
    </row>
    <row r="2994" spans="1:10" x14ac:dyDescent="0.2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Jaime\QUIFA-CAJÚA\Cajua\[VAS_CAJUA_CF_SEC_20230125.xlsx]CF PNP'!</v>
      </c>
      <c r="G2994" s="6" t="s">
        <v>43</v>
      </c>
      <c r="H2994" s="1">
        <f t="shared" si="683"/>
        <v>64</v>
      </c>
      <c r="I2994" s="1" t="str">
        <f t="shared" si="684"/>
        <v>='C:\Users\jaime.benazar\Quorum Business Solutions\Ecopetrol Prometeo - Documents\Planning Space Implementation\3. Analysis &amp; Design\Design\FC22\DRR Jaime\QUIFA-CAJÚA\Cajua\[VAS_CAJUA_CF_SEC_20230125.xlsx]CF PNP'!$DI$64</v>
      </c>
      <c r="J2994" t="s">
        <v>1489</v>
      </c>
    </row>
    <row r="2995" spans="1:10" x14ac:dyDescent="0.2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Jaime\QUIFA-CAJÚA\Cajua\[VAS_CAJUA_CF_SEC_20230125.xlsx]CF PNP'!</v>
      </c>
      <c r="G2995" s="6" t="s">
        <v>43</v>
      </c>
      <c r="H2995" s="1">
        <f t="shared" si="683"/>
        <v>65</v>
      </c>
      <c r="I2995" s="1" t="str">
        <f t="shared" si="684"/>
        <v>='C:\Users\jaime.benazar\Quorum Business Solutions\Ecopetrol Prometeo - Documents\Planning Space Implementation\3. Analysis &amp; Design\Design\FC22\DRR Jaime\QUIFA-CAJÚA\Cajua\[VAS_CAJUA_CF_SEC_20230125.xlsx]CF PNP'!$DI$65</v>
      </c>
      <c r="J2995" t="s">
        <v>1490</v>
      </c>
    </row>
    <row r="2996" spans="1:10" x14ac:dyDescent="0.2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Jaime\QUIFA-CAJÚA\Cajua\[VAS_CAJUA_CF_SEC_20230125.xlsx]CF PNP'!</v>
      </c>
      <c r="G2996" s="6" t="s">
        <v>43</v>
      </c>
      <c r="H2996" s="1">
        <f t="shared" si="683"/>
        <v>66</v>
      </c>
      <c r="I2996" s="1" t="str">
        <f t="shared" si="684"/>
        <v>='C:\Users\jaime.benazar\Quorum Business Solutions\Ecopetrol Prometeo - Documents\Planning Space Implementation\3. Analysis &amp; Design\Design\FC22\DRR Jaime\QUIFA-CAJÚA\Cajua\[VAS_CAJUA_CF_SEC_20230125.xlsx]CF PNP'!$DI$66</v>
      </c>
      <c r="J2996" t="s">
        <v>1491</v>
      </c>
    </row>
    <row r="2997" spans="1:10" x14ac:dyDescent="0.2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Jaime\QUIFA-CAJÚA\Cajua\[VAS_CAJUA_CF_SEC_20230125.xlsx]CF PNP'!</v>
      </c>
      <c r="G2997" s="6" t="s">
        <v>43</v>
      </c>
      <c r="H2997" s="1">
        <f t="shared" si="683"/>
        <v>67</v>
      </c>
      <c r="I2997" s="1" t="str">
        <f t="shared" si="684"/>
        <v>='C:\Users\jaime.benazar\Quorum Business Solutions\Ecopetrol Prometeo - Documents\Planning Space Implementation\3. Analysis &amp; Design\Design\FC22\DRR Jaime\QUIFA-CAJÚA\Cajua\[VAS_CAJUA_CF_SEC_20230125.xlsx]CF PNP'!$DI$67</v>
      </c>
      <c r="J2997" t="s">
        <v>1492</v>
      </c>
    </row>
    <row r="2998" spans="1:10" x14ac:dyDescent="0.2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Jaime\QUIFA-CAJÚA\Cajua\[VAS_CAJUA_CF_SEC_20230125.xlsx]CF PNP'!</v>
      </c>
      <c r="G2998" s="6" t="s">
        <v>43</v>
      </c>
      <c r="H2998" s="1">
        <f t="shared" si="683"/>
        <v>68</v>
      </c>
      <c r="I2998" s="1" t="str">
        <f t="shared" si="684"/>
        <v>='C:\Users\jaime.benazar\Quorum Business Solutions\Ecopetrol Prometeo - Documents\Planning Space Implementation\3. Analysis &amp; Design\Design\FC22\DRR Jaime\QUIFA-CAJÚA\Cajua\[VAS_CAJUA_CF_SEC_20230125.xlsx]CF PNP'!$DI$68</v>
      </c>
      <c r="J2998" t="s">
        <v>1493</v>
      </c>
    </row>
    <row r="2999" spans="1:10" x14ac:dyDescent="0.2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Jaime\QUIFA-CAJÚA\Cajua\[VAS_CAJUA_CF_SEC_20230125.xlsx]CF PNP'!</v>
      </c>
      <c r="G2999" s="6" t="s">
        <v>43</v>
      </c>
      <c r="H2999" s="1">
        <f t="shared" si="683"/>
        <v>69</v>
      </c>
      <c r="I2999" s="1" t="str">
        <f t="shared" si="684"/>
        <v>='C:\Users\jaime.benazar\Quorum Business Solutions\Ecopetrol Prometeo - Documents\Planning Space Implementation\3. Analysis &amp; Design\Design\FC22\DRR Jaime\QUIFA-CAJÚA\Cajua\[VAS_CAJUA_CF_SEC_20230125.xlsx]CF PNP'!$DI$69</v>
      </c>
      <c r="J2999" t="s">
        <v>1494</v>
      </c>
    </row>
    <row r="3000" spans="1:10" x14ac:dyDescent="0.2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Jaime\QUIFA-CAJÚA\Cajua\[VAS_CAJUA_CF_SEC_20230125.xlsx]CF PNP'!</v>
      </c>
      <c r="G3000" s="6" t="s">
        <v>43</v>
      </c>
      <c r="H3000" s="1">
        <f t="shared" si="683"/>
        <v>70</v>
      </c>
      <c r="I3000" s="1" t="str">
        <f t="shared" si="684"/>
        <v>='C:\Users\jaime.benazar\Quorum Business Solutions\Ecopetrol Prometeo - Documents\Planning Space Implementation\3. Analysis &amp; Design\Design\FC22\DRR Jaime\QUIFA-CAJÚA\Cajua\[VAS_CAJUA_CF_SEC_20230125.xlsx]CF PNP'!$DI$70</v>
      </c>
      <c r="J3000" t="s">
        <v>1495</v>
      </c>
    </row>
    <row r="3001" spans="1:10" x14ac:dyDescent="0.2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Jaime\QUIFA-CAJÚA\Cajua\[VAS_CAJUA_CF_SEC_20230125.xlsx]CF PNP'!</v>
      </c>
      <c r="G3001" s="6" t="s">
        <v>43</v>
      </c>
      <c r="H3001" s="1">
        <f t="shared" si="683"/>
        <v>71</v>
      </c>
      <c r="I3001" s="1" t="str">
        <f t="shared" si="684"/>
        <v>='C:\Users\jaime.benazar\Quorum Business Solutions\Ecopetrol Prometeo - Documents\Planning Space Implementation\3. Analysis &amp; Design\Design\FC22\DRR Jaime\QUIFA-CAJÚA\Cajua\[VAS_CAJUA_CF_SEC_20230125.xlsx]CF PNP'!$DI$71</v>
      </c>
      <c r="J3001" t="s">
        <v>1496</v>
      </c>
    </row>
    <row r="3002" spans="1:10" x14ac:dyDescent="0.2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Jaime\QUIFA-CAJÚA\Cajua\[VAS_CAJUA_CF_SEC_20230125.xlsx]CF PNP'!</v>
      </c>
      <c r="G3002" s="6" t="s">
        <v>43</v>
      </c>
      <c r="H3002" s="1">
        <f t="shared" si="683"/>
        <v>72</v>
      </c>
      <c r="I3002" s="1" t="str">
        <f t="shared" si="684"/>
        <v>='C:\Users\jaime.benazar\Quorum Business Solutions\Ecopetrol Prometeo - Documents\Planning Space Implementation\3. Analysis &amp; Design\Design\FC22\DRR Jaime\QUIFA-CAJÚA\Cajua\[VAS_CAJUA_CF_SEC_20230125.xlsx]CF PNP'!$DI$72</v>
      </c>
      <c r="J3002" t="s">
        <v>1497</v>
      </c>
    </row>
    <row r="3003" spans="1:10" x14ac:dyDescent="0.25">
      <c r="A3003" s="7" t="s">
        <v>28</v>
      </c>
      <c r="B3003" s="6"/>
      <c r="C3003" s="1" t="s">
        <v>42</v>
      </c>
      <c r="D3003" s="2"/>
      <c r="E3003" s="9"/>
      <c r="F3003" s="5"/>
      <c r="G3003" s="6"/>
      <c r="H3003" s="1"/>
      <c r="I3003" s="1"/>
      <c r="J3003" s="4"/>
    </row>
    <row r="3004" spans="1:10" x14ac:dyDescent="0.2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Jaime\QUIFA-CAJÚA\Cajua\[VAS_CAJUA_CF_SEC_20230125.xlsx]CF PND'!</v>
      </c>
      <c r="G3004" s="6" t="s">
        <v>43</v>
      </c>
      <c r="H3004" s="1">
        <f>IF(A3004&lt;&gt;A2988,36,H2988+1)</f>
        <v>36</v>
      </c>
      <c r="I3004" s="1" t="str">
        <f t="shared" si="667"/>
        <v>='C:\Users\jaime.benazar\Quorum Business Solutions\Ecopetrol Prometeo - Documents\Planning Space Implementation\3. Analysis &amp; Design\Design\FC22\DRR Jaime\QUIFA-CAJÚA\Cajua\[VAS_CAJUA_CF_SEC_20230125.xlsx]CF PND'!$DI$36</v>
      </c>
      <c r="J3004" t="s">
        <v>1498</v>
      </c>
    </row>
    <row r="3005" spans="1:10" x14ac:dyDescent="0.2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Jaime\QUIFA-CAJÚA\Cajua\[VAS_CAJUA_CF_SEC_20230125.xlsx]CF PND'!</v>
      </c>
      <c r="G3005" s="6" t="s">
        <v>43</v>
      </c>
      <c r="H3005" s="1">
        <f t="shared" si="669"/>
        <v>37</v>
      </c>
      <c r="I3005" s="1" t="str">
        <f t="shared" si="667"/>
        <v>='C:\Users\jaime.benazar\Quorum Business Solutions\Ecopetrol Prometeo - Documents\Planning Space Implementation\3. Analysis &amp; Design\Design\FC22\DRR Jaime\QUIFA-CAJÚA\Cajua\[VAS_CAJUA_CF_SEC_20230125.xlsx]CF PND'!$DI$37</v>
      </c>
      <c r="J3005" t="s">
        <v>1499</v>
      </c>
    </row>
    <row r="3006" spans="1:10" x14ac:dyDescent="0.2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Jaime\QUIFA-CAJÚA\Cajua\[VAS_CAJUA_CF_SEC_20230125.xlsx]CF PND'!</v>
      </c>
      <c r="G3006" s="6" t="s">
        <v>43</v>
      </c>
      <c r="H3006" s="1">
        <f t="shared" si="669"/>
        <v>38</v>
      </c>
      <c r="I3006" s="1" t="str">
        <f t="shared" si="667"/>
        <v>='C:\Users\jaime.benazar\Quorum Business Solutions\Ecopetrol Prometeo - Documents\Planning Space Implementation\3. Analysis &amp; Design\Design\FC22\DRR Jaime\QUIFA-CAJÚA\Cajua\[VAS_CAJUA_CF_SEC_20230125.xlsx]CF PND'!$DI$38</v>
      </c>
      <c r="J3006" t="s">
        <v>1500</v>
      </c>
    </row>
    <row r="3007" spans="1:10" x14ac:dyDescent="0.2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Jaime\QUIFA-CAJÚA\Cajua\[VAS_CAJUA_CF_SEC_20230125.xlsx]CF PND'!</v>
      </c>
      <c r="G3007" s="6" t="s">
        <v>43</v>
      </c>
      <c r="H3007" s="1">
        <f t="shared" si="669"/>
        <v>39</v>
      </c>
      <c r="I3007" s="1" t="str">
        <f t="shared" si="667"/>
        <v>='C:\Users\jaime.benazar\Quorum Business Solutions\Ecopetrol Prometeo - Documents\Planning Space Implementation\3. Analysis &amp; Design\Design\FC22\DRR Jaime\QUIFA-CAJÚA\Cajua\[VAS_CAJUA_CF_SEC_20230125.xlsx]CF PND'!$DI$39</v>
      </c>
      <c r="J3007" t="s">
        <v>1501</v>
      </c>
    </row>
    <row r="3008" spans="1:10" x14ac:dyDescent="0.2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Jaime\QUIFA-CAJÚA\Cajua\[VAS_CAJUA_CF_SEC_20230125.xlsx]CF PND'!</v>
      </c>
      <c r="G3008" s="6" t="s">
        <v>43</v>
      </c>
      <c r="H3008" s="1">
        <f t="shared" si="669"/>
        <v>40</v>
      </c>
      <c r="I3008" s="1" t="str">
        <f t="shared" si="667"/>
        <v>='C:\Users\jaime.benazar\Quorum Business Solutions\Ecopetrol Prometeo - Documents\Planning Space Implementation\3. Analysis &amp; Design\Design\FC22\DRR Jaime\QUIFA-CAJÚA\Cajua\[VAS_CAJUA_CF_SEC_20230125.xlsx]CF PND'!$DI$40</v>
      </c>
      <c r="J3008" t="s">
        <v>1502</v>
      </c>
    </row>
    <row r="3009" spans="1:10" x14ac:dyDescent="0.2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Jaime\QUIFA-CAJÚA\Cajua\[VAS_CAJUA_CF_SEC_20230125.xlsx]CF PND'!</v>
      </c>
      <c r="G3009" s="6" t="s">
        <v>43</v>
      </c>
      <c r="H3009" s="1">
        <f t="shared" si="669"/>
        <v>41</v>
      </c>
      <c r="I3009" s="1" t="str">
        <f t="shared" si="667"/>
        <v>='C:\Users\jaime.benazar\Quorum Business Solutions\Ecopetrol Prometeo - Documents\Planning Space Implementation\3. Analysis &amp; Design\Design\FC22\DRR Jaime\QUIFA-CAJÚA\Cajua\[VAS_CAJUA_CF_SEC_20230125.xlsx]CF PND'!$DI$41</v>
      </c>
      <c r="J3009" t="s">
        <v>1503</v>
      </c>
    </row>
    <row r="3010" spans="1:10" x14ac:dyDescent="0.2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Jaime\QUIFA-CAJÚA\Cajua\[VAS_CAJUA_CF_SEC_20230125.xlsx]CF PND'!</v>
      </c>
      <c r="G3010" s="6" t="s">
        <v>43</v>
      </c>
      <c r="H3010" s="1">
        <f t="shared" si="669"/>
        <v>42</v>
      </c>
      <c r="I3010" s="1" t="str">
        <f t="shared" si="667"/>
        <v>='C:\Users\jaime.benazar\Quorum Business Solutions\Ecopetrol Prometeo - Documents\Planning Space Implementation\3. Analysis &amp; Design\Design\FC22\DRR Jaime\QUIFA-CAJÚA\Cajua\[VAS_CAJUA_CF_SEC_20230125.xlsx]CF PND'!$DI$42</v>
      </c>
      <c r="J3010" t="s">
        <v>1504</v>
      </c>
    </row>
    <row r="3011" spans="1:10" x14ac:dyDescent="0.2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Jaime\QUIFA-CAJÚA\Cajua\[VAS_CAJUA_CF_SEC_20230125.xlsx]CF PND'!</v>
      </c>
      <c r="G3011" s="6" t="s">
        <v>43</v>
      </c>
      <c r="H3011" s="1">
        <f t="shared" si="669"/>
        <v>43</v>
      </c>
      <c r="I3011" s="1" t="str">
        <f t="shared" si="667"/>
        <v>='C:\Users\jaime.benazar\Quorum Business Solutions\Ecopetrol Prometeo - Documents\Planning Space Implementation\3. Analysis &amp; Design\Design\FC22\DRR Jaime\QUIFA-CAJÚA\Cajua\[VAS_CAJUA_CF_SEC_20230125.xlsx]CF PND'!$DI$43</v>
      </c>
      <c r="J3011" t="s">
        <v>1505</v>
      </c>
    </row>
    <row r="3012" spans="1:10" x14ac:dyDescent="0.2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Jaime\QUIFA-CAJÚA\Cajua\[VAS_CAJUA_CF_SEC_20230125.xlsx]CF PND'!</v>
      </c>
      <c r="G3012" s="6" t="s">
        <v>43</v>
      </c>
      <c r="H3012" s="1">
        <f t="shared" si="669"/>
        <v>44</v>
      </c>
      <c r="I3012" s="1" t="str">
        <f t="shared" si="667"/>
        <v>='C:\Users\jaime.benazar\Quorum Business Solutions\Ecopetrol Prometeo - Documents\Planning Space Implementation\3. Analysis &amp; Design\Design\FC22\DRR Jaime\QUIFA-CAJÚA\Cajua\[VAS_CAJUA_CF_SEC_20230125.xlsx]CF PND'!$DI$44</v>
      </c>
      <c r="J3012" t="s">
        <v>1506</v>
      </c>
    </row>
    <row r="3013" spans="1:10" x14ac:dyDescent="0.2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Jaime\QUIFA-CAJÚA\Cajua\[VAS_CAJUA_CF_SEC_20230125.xlsx]CF PND'!</v>
      </c>
      <c r="G3013" s="6" t="s">
        <v>43</v>
      </c>
      <c r="H3013" s="1">
        <f t="shared" si="669"/>
        <v>45</v>
      </c>
      <c r="I3013" s="1" t="str">
        <f t="shared" si="667"/>
        <v>='C:\Users\jaime.benazar\Quorum Business Solutions\Ecopetrol Prometeo - Documents\Planning Space Implementation\3. Analysis &amp; Design\Design\FC22\DRR Jaime\QUIFA-CAJÚA\Cajua\[VAS_CAJUA_CF_SEC_20230125.xlsx]CF PND'!$DI$45</v>
      </c>
      <c r="J3013" t="s">
        <v>1507</v>
      </c>
    </row>
    <row r="3014" spans="1:10" x14ac:dyDescent="0.2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Jaime\QUIFA-CAJÚA\Cajua\[VAS_CAJUA_CF_SEC_20230125.xlsx]CF PND'!</v>
      </c>
      <c r="G3014" s="6" t="s">
        <v>43</v>
      </c>
      <c r="H3014" s="1">
        <f t="shared" si="669"/>
        <v>46</v>
      </c>
      <c r="I3014" s="1" t="str">
        <f t="shared" si="667"/>
        <v>='C:\Users\jaime.benazar\Quorum Business Solutions\Ecopetrol Prometeo - Documents\Planning Space Implementation\3. Analysis &amp; Design\Design\FC22\DRR Jaime\QUIFA-CAJÚA\Cajua\[VAS_CAJUA_CF_SEC_20230125.xlsx]CF PND'!$DI$46</v>
      </c>
      <c r="J3014" t="s">
        <v>1508</v>
      </c>
    </row>
    <row r="3015" spans="1:10" x14ac:dyDescent="0.2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Jaime\QUIFA-CAJÚA\Cajua\[VAS_CAJUA_CF_SEC_20230125.xlsx]CF PND'!</v>
      </c>
      <c r="G3015" s="6" t="s">
        <v>43</v>
      </c>
      <c r="H3015" s="1">
        <f t="shared" si="669"/>
        <v>47</v>
      </c>
      <c r="I3015" s="1" t="str">
        <f t="shared" si="667"/>
        <v>='C:\Users\jaime.benazar\Quorum Business Solutions\Ecopetrol Prometeo - Documents\Planning Space Implementation\3. Analysis &amp; Design\Design\FC22\DRR Jaime\QUIFA-CAJÚA\Cajua\[VAS_CAJUA_CF_SEC_20230125.xlsx]CF PND'!$DI$47</v>
      </c>
      <c r="J3015" t="s">
        <v>1509</v>
      </c>
    </row>
    <row r="3016" spans="1:10" x14ac:dyDescent="0.2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Jaime\QUIFA-CAJÚA\Cajua\[VAS_CAJUA_CF_SEC_20230125.xlsx]CF PND'!</v>
      </c>
      <c r="G3016" s="6" t="s">
        <v>43</v>
      </c>
      <c r="H3016" s="1">
        <f t="shared" si="669"/>
        <v>48</v>
      </c>
      <c r="I3016" s="1" t="str">
        <f t="shared" si="667"/>
        <v>='C:\Users\jaime.benazar\Quorum Business Solutions\Ecopetrol Prometeo - Documents\Planning Space Implementation\3. Analysis &amp; Design\Design\FC22\DRR Jaime\QUIFA-CAJÚA\Cajua\[VAS_CAJUA_CF_SEC_20230125.xlsx]CF PND'!$DI$48</v>
      </c>
      <c r="J3016" t="s">
        <v>1510</v>
      </c>
    </row>
    <row r="3017" spans="1:10" x14ac:dyDescent="0.2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Jaime\QUIFA-CAJÚA\Cajua\[VAS_CAJUA_CF_SEC_20230125.xlsx]CF PND'!</v>
      </c>
      <c r="G3017" s="6" t="s">
        <v>43</v>
      </c>
      <c r="H3017" s="1">
        <f t="shared" si="669"/>
        <v>49</v>
      </c>
      <c r="I3017" s="1" t="str">
        <f t="shared" si="667"/>
        <v>='C:\Users\jaime.benazar\Quorum Business Solutions\Ecopetrol Prometeo - Documents\Planning Space Implementation\3. Analysis &amp; Design\Design\FC22\DRR Jaime\QUIFA-CAJÚA\Cajua\[VAS_CAJUA_CF_SEC_20230125.xlsx]CF PND'!$DI$49</v>
      </c>
      <c r="J3017" t="s">
        <v>1511</v>
      </c>
    </row>
    <row r="3018" spans="1:10" x14ac:dyDescent="0.2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Jaime\QUIFA-CAJÚA\Cajua\[VAS_CAJUA_CF_SEC_20230125.xlsx]CF PND'!</v>
      </c>
      <c r="G3018" s="6" t="s">
        <v>43</v>
      </c>
      <c r="H3018" s="1">
        <f t="shared" si="669"/>
        <v>50</v>
      </c>
      <c r="I3018" s="1" t="str">
        <f t="shared" si="667"/>
        <v>='C:\Users\jaime.benazar\Quorum Business Solutions\Ecopetrol Prometeo - Documents\Planning Space Implementation\3. Analysis &amp; Design\Design\FC22\DRR Jaime\QUIFA-CAJÚA\Cajua\[VAS_CAJUA_CF_SEC_20230125.xlsx]CF PND'!$DI$50</v>
      </c>
      <c r="J3018" t="s">
        <v>1512</v>
      </c>
    </row>
    <row r="3019" spans="1:10" x14ac:dyDescent="0.2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Jaime\QUIFA-CAJÚA\Cajua\[VAS_CAJUA_CF_SEC_20230125.xlsx]CF PND'!</v>
      </c>
      <c r="G3019" s="6" t="s">
        <v>43</v>
      </c>
      <c r="H3019" s="1">
        <f t="shared" si="669"/>
        <v>51</v>
      </c>
      <c r="I3019" s="1" t="str">
        <f t="shared" si="667"/>
        <v>='C:\Users\jaime.benazar\Quorum Business Solutions\Ecopetrol Prometeo - Documents\Planning Space Implementation\3. Analysis &amp; Design\Design\FC22\DRR Jaime\QUIFA-CAJÚA\Cajua\[VAS_CAJUA_CF_SEC_20230125.xlsx]CF PND'!$DI$51</v>
      </c>
      <c r="J3019" t="s">
        <v>1513</v>
      </c>
    </row>
    <row r="3020" spans="1:10" x14ac:dyDescent="0.2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Jaime\QUIFA-CAJÚA\Cajua\[VAS_CAJUA_CF_SEC_20230125.xlsx]CF PND'!</v>
      </c>
      <c r="G3020" s="6" t="s">
        <v>43</v>
      </c>
      <c r="H3020" s="1">
        <f t="shared" si="669"/>
        <v>52</v>
      </c>
      <c r="I3020" s="1" t="str">
        <f t="shared" si="667"/>
        <v>='C:\Users\jaime.benazar\Quorum Business Solutions\Ecopetrol Prometeo - Documents\Planning Space Implementation\3. Analysis &amp; Design\Design\FC22\DRR Jaime\QUIFA-CAJÚA\Cajua\[VAS_CAJUA_CF_SEC_20230125.xlsx]CF PND'!$DI$52</v>
      </c>
      <c r="J3020" t="s">
        <v>1514</v>
      </c>
    </row>
    <row r="3021" spans="1:10" x14ac:dyDescent="0.2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Jaime\QUIFA-CAJÚA\Cajua\[VAS_CAJUA_CF_SEC_20230125.xlsx]CF PND'!</v>
      </c>
      <c r="G3021" s="6" t="s">
        <v>43</v>
      </c>
      <c r="H3021" s="1">
        <f t="shared" si="669"/>
        <v>53</v>
      </c>
      <c r="I3021" s="1" t="str">
        <f t="shared" si="667"/>
        <v>='C:\Users\jaime.benazar\Quorum Business Solutions\Ecopetrol Prometeo - Documents\Planning Space Implementation\3. Analysis &amp; Design\Design\FC22\DRR Jaime\QUIFA-CAJÚA\Cajua\[VAS_CAJUA_CF_SEC_20230125.xlsx]CF PND'!$DI$53</v>
      </c>
      <c r="J3021" t="s">
        <v>1515</v>
      </c>
    </row>
    <row r="3022" spans="1:10" x14ac:dyDescent="0.2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Jaime\QUIFA-CAJÚA\Cajua\[VAS_CAJUA_CF_SEC_20230125.xlsx]CF PND'!</v>
      </c>
      <c r="G3022" s="6" t="s">
        <v>43</v>
      </c>
      <c r="H3022" s="1">
        <f t="shared" si="669"/>
        <v>54</v>
      </c>
      <c r="I3022" s="1" t="str">
        <f t="shared" si="667"/>
        <v>='C:\Users\jaime.benazar\Quorum Business Solutions\Ecopetrol Prometeo - Documents\Planning Space Implementation\3. Analysis &amp; Design\Design\FC22\DRR Jaime\QUIFA-CAJÚA\Cajua\[VAS_CAJUA_CF_SEC_20230125.xlsx]CF PND'!$DI$54</v>
      </c>
      <c r="J3022" t="s">
        <v>1516</v>
      </c>
    </row>
    <row r="3023" spans="1:10" x14ac:dyDescent="0.2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Jaime\QUIFA-CAJÚA\Cajua\[VAS_CAJUA_CF_SEC_20230125.xlsx]CF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Jaime\QUIFA-CAJÚA\Cajua\[VAS_CAJUA_CF_SEC_20230125.xlsx]CF PND'!$DI$55</v>
      </c>
      <c r="J3023" t="s">
        <v>1517</v>
      </c>
    </row>
    <row r="3024" spans="1:10" x14ac:dyDescent="0.2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Jaime\QUIFA-CAJÚA\Cajua\[VAS_CAJUA_CF_SEC_20230125.xlsx]CF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Jaime\QUIFA-CAJÚA\Cajua\[VAS_CAJUA_CF_SEC_20230125.xlsx]CF PND'!$DI$56</v>
      </c>
      <c r="J3024" t="s">
        <v>1518</v>
      </c>
    </row>
    <row r="3025" spans="1:10" x14ac:dyDescent="0.2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Jaime\QUIFA-CAJÚA\Cajua\[VAS_CAJUA_CF_SEC_20230125.xlsx]CF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Jaime\QUIFA-CAJÚA\Cajua\[VAS_CAJUA_CF_SEC_20230125.xlsx]CF PND'!$DI$57</v>
      </c>
      <c r="J3025" t="s">
        <v>1519</v>
      </c>
    </row>
    <row r="3026" spans="1:10" x14ac:dyDescent="0.2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Jaime\QUIFA-CAJÚA\Cajua\[VAS_CAJUA_CF_SEC_20230125.xlsx]CF PND'!</v>
      </c>
      <c r="G3026" s="6" t="s">
        <v>43</v>
      </c>
      <c r="H3026" s="1">
        <f t="shared" si="695"/>
        <v>58</v>
      </c>
      <c r="I3026" s="1" t="str">
        <f t="shared" si="696"/>
        <v>='C:\Users\jaime.benazar\Quorum Business Solutions\Ecopetrol Prometeo - Documents\Planning Space Implementation\3. Analysis &amp; Design\Design\FC22\DRR Jaime\QUIFA-CAJÚA\Cajua\[VAS_CAJUA_CF_SEC_20230125.xlsx]CF PND'!$DI$58</v>
      </c>
      <c r="J3026" t="s">
        <v>1520</v>
      </c>
    </row>
    <row r="3027" spans="1:10" x14ac:dyDescent="0.2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Jaime\QUIFA-CAJÚA\Cajua\[VAS_CAJUA_CF_SEC_20230125.xlsx]CF PND'!</v>
      </c>
      <c r="G3027" s="6" t="s">
        <v>43</v>
      </c>
      <c r="H3027" s="1">
        <f t="shared" si="695"/>
        <v>59</v>
      </c>
      <c r="I3027" s="1" t="str">
        <f t="shared" si="696"/>
        <v>='C:\Users\jaime.benazar\Quorum Business Solutions\Ecopetrol Prometeo - Documents\Planning Space Implementation\3. Analysis &amp; Design\Design\FC22\DRR Jaime\QUIFA-CAJÚA\Cajua\[VAS_CAJUA_CF_SEC_20230125.xlsx]CF PND'!$DI$59</v>
      </c>
      <c r="J3027" t="s">
        <v>1521</v>
      </c>
    </row>
    <row r="3028" spans="1:10" x14ac:dyDescent="0.2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Jaime\QUIFA-CAJÚA\Cajua\[VAS_CAJUA_CF_SEC_20230125.xlsx]CF PND'!</v>
      </c>
      <c r="G3028" s="6" t="s">
        <v>43</v>
      </c>
      <c r="H3028" s="1">
        <f t="shared" si="695"/>
        <v>60</v>
      </c>
      <c r="I3028" s="1" t="str">
        <f t="shared" si="696"/>
        <v>='C:\Users\jaime.benazar\Quorum Business Solutions\Ecopetrol Prometeo - Documents\Planning Space Implementation\3. Analysis &amp; Design\Design\FC22\DRR Jaime\QUIFA-CAJÚA\Cajua\[VAS_CAJUA_CF_SEC_20230125.xlsx]CF PND'!$DI$60</v>
      </c>
      <c r="J3028" t="s">
        <v>1522</v>
      </c>
    </row>
    <row r="3029" spans="1:10" x14ac:dyDescent="0.2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Jaime\QUIFA-CAJÚA\Cajua\[VAS_CAJUA_CF_SEC_20230125.xlsx]CF PND'!</v>
      </c>
      <c r="G3029" s="6" t="s">
        <v>43</v>
      </c>
      <c r="H3029" s="1">
        <f t="shared" si="695"/>
        <v>61</v>
      </c>
      <c r="I3029" s="1" t="str">
        <f t="shared" si="696"/>
        <v>='C:\Users\jaime.benazar\Quorum Business Solutions\Ecopetrol Prometeo - Documents\Planning Space Implementation\3. Analysis &amp; Design\Design\FC22\DRR Jaime\QUIFA-CAJÚA\Cajua\[VAS_CAJUA_CF_SEC_20230125.xlsx]CF PND'!$DI$61</v>
      </c>
      <c r="J3029" t="s">
        <v>1523</v>
      </c>
    </row>
    <row r="3030" spans="1:10" x14ac:dyDescent="0.2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Jaime\QUIFA-CAJÚA\Cajua\[VAS_CAJUA_CF_SEC_20230125.xlsx]CF PND'!</v>
      </c>
      <c r="G3030" s="6" t="s">
        <v>43</v>
      </c>
      <c r="H3030" s="1">
        <f t="shared" si="695"/>
        <v>62</v>
      </c>
      <c r="I3030" s="1" t="str">
        <f t="shared" si="696"/>
        <v>='C:\Users\jaime.benazar\Quorum Business Solutions\Ecopetrol Prometeo - Documents\Planning Space Implementation\3. Analysis &amp; Design\Design\FC22\DRR Jaime\QUIFA-CAJÚA\Cajua\[VAS_CAJUA_CF_SEC_20230125.xlsx]CF PND'!$DI$62</v>
      </c>
      <c r="J3030" t="s">
        <v>1524</v>
      </c>
    </row>
    <row r="3031" spans="1:10" x14ac:dyDescent="0.2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Jaime\QUIFA-CAJÚA\Cajua\[VAS_CAJUA_CF_SEC_20230125.xlsx]CF PND'!</v>
      </c>
      <c r="G3031" s="6" t="s">
        <v>43</v>
      </c>
      <c r="H3031" s="1">
        <f t="shared" si="695"/>
        <v>63</v>
      </c>
      <c r="I3031" s="1" t="str">
        <f t="shared" si="696"/>
        <v>='C:\Users\jaime.benazar\Quorum Business Solutions\Ecopetrol Prometeo - Documents\Planning Space Implementation\3. Analysis &amp; Design\Design\FC22\DRR Jaime\QUIFA-CAJÚA\Cajua\[VAS_CAJUA_CF_SEC_20230125.xlsx]CF PND'!$DI$63</v>
      </c>
      <c r="J3031" t="s">
        <v>1525</v>
      </c>
    </row>
    <row r="3032" spans="1:10" x14ac:dyDescent="0.2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Jaime\QUIFA-CAJÚA\Cajua\[VAS_CAJUA_CF_SEC_20230125.xlsx]CF PND'!</v>
      </c>
      <c r="G3032" s="6" t="s">
        <v>43</v>
      </c>
      <c r="H3032" s="1">
        <f t="shared" si="695"/>
        <v>64</v>
      </c>
      <c r="I3032" s="1" t="str">
        <f t="shared" si="696"/>
        <v>='C:\Users\jaime.benazar\Quorum Business Solutions\Ecopetrol Prometeo - Documents\Planning Space Implementation\3. Analysis &amp; Design\Design\FC22\DRR Jaime\QUIFA-CAJÚA\Cajua\[VAS_CAJUA_CF_SEC_20230125.xlsx]CF PND'!$DI$64</v>
      </c>
      <c r="J3032" t="s">
        <v>1526</v>
      </c>
    </row>
    <row r="3033" spans="1:10" x14ac:dyDescent="0.2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Jaime\QUIFA-CAJÚA\Cajua\[VAS_CAJUA_CF_SEC_20230125.xlsx]CF PND'!</v>
      </c>
      <c r="G3033" s="6" t="s">
        <v>43</v>
      </c>
      <c r="H3033" s="1">
        <f t="shared" si="695"/>
        <v>65</v>
      </c>
      <c r="I3033" s="1" t="str">
        <f t="shared" si="696"/>
        <v>='C:\Users\jaime.benazar\Quorum Business Solutions\Ecopetrol Prometeo - Documents\Planning Space Implementation\3. Analysis &amp; Design\Design\FC22\DRR Jaime\QUIFA-CAJÚA\Cajua\[VAS_CAJUA_CF_SEC_20230125.xlsx]CF PND'!$DI$65</v>
      </c>
      <c r="J3033" t="s">
        <v>1527</v>
      </c>
    </row>
    <row r="3034" spans="1:10" x14ac:dyDescent="0.2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Jaime\QUIFA-CAJÚA\Cajua\[VAS_CAJUA_CF_SEC_20230125.xlsx]CF PND'!</v>
      </c>
      <c r="G3034" s="6" t="s">
        <v>43</v>
      </c>
      <c r="H3034" s="1">
        <f t="shared" si="695"/>
        <v>66</v>
      </c>
      <c r="I3034" s="1" t="str">
        <f t="shared" si="696"/>
        <v>='C:\Users\jaime.benazar\Quorum Business Solutions\Ecopetrol Prometeo - Documents\Planning Space Implementation\3. Analysis &amp; Design\Design\FC22\DRR Jaime\QUIFA-CAJÚA\Cajua\[VAS_CAJUA_CF_SEC_20230125.xlsx]CF PND'!$DI$66</v>
      </c>
      <c r="J3034" t="s">
        <v>1528</v>
      </c>
    </row>
    <row r="3035" spans="1:10" x14ac:dyDescent="0.2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Jaime\QUIFA-CAJÚA\Cajua\[VAS_CAJUA_CF_SEC_20230125.xlsx]CF PND'!</v>
      </c>
      <c r="G3035" s="6" t="s">
        <v>43</v>
      </c>
      <c r="H3035" s="1">
        <f t="shared" si="695"/>
        <v>67</v>
      </c>
      <c r="I3035" s="1" t="str">
        <f t="shared" si="696"/>
        <v>='C:\Users\jaime.benazar\Quorum Business Solutions\Ecopetrol Prometeo - Documents\Planning Space Implementation\3. Analysis &amp; Design\Design\FC22\DRR Jaime\QUIFA-CAJÚA\Cajua\[VAS_CAJUA_CF_SEC_20230125.xlsx]CF PND'!$DI$67</v>
      </c>
      <c r="J3035" t="s">
        <v>1529</v>
      </c>
    </row>
    <row r="3036" spans="1:10" x14ac:dyDescent="0.2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Jaime\QUIFA-CAJÚA\Cajua\[VAS_CAJUA_CF_SEC_20230125.xlsx]CF PND'!</v>
      </c>
      <c r="G3036" s="6" t="s">
        <v>43</v>
      </c>
      <c r="H3036" s="1">
        <f t="shared" si="695"/>
        <v>68</v>
      </c>
      <c r="I3036" s="1" t="str">
        <f t="shared" si="696"/>
        <v>='C:\Users\jaime.benazar\Quorum Business Solutions\Ecopetrol Prometeo - Documents\Planning Space Implementation\3. Analysis &amp; Design\Design\FC22\DRR Jaime\QUIFA-CAJÚA\Cajua\[VAS_CAJUA_CF_SEC_20230125.xlsx]CF PND'!$DI$68</v>
      </c>
      <c r="J3036" t="s">
        <v>1530</v>
      </c>
    </row>
    <row r="3037" spans="1:10" x14ac:dyDescent="0.2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Jaime\QUIFA-CAJÚA\Cajua\[VAS_CAJUA_CF_SEC_20230125.xlsx]CF PND'!</v>
      </c>
      <c r="G3037" s="6" t="s">
        <v>43</v>
      </c>
      <c r="H3037" s="1">
        <f t="shared" si="695"/>
        <v>69</v>
      </c>
      <c r="I3037" s="1" t="str">
        <f t="shared" si="696"/>
        <v>='C:\Users\jaime.benazar\Quorum Business Solutions\Ecopetrol Prometeo - Documents\Planning Space Implementation\3. Analysis &amp; Design\Design\FC22\DRR Jaime\QUIFA-CAJÚA\Cajua\[VAS_CAJUA_CF_SEC_20230125.xlsx]CF PND'!$DI$69</v>
      </c>
      <c r="J3037" t="s">
        <v>1531</v>
      </c>
    </row>
    <row r="3038" spans="1:10" x14ac:dyDescent="0.2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Jaime\QUIFA-CAJÚA\Cajua\[VAS_CAJUA_CF_SEC_20230125.xlsx]CF PND'!</v>
      </c>
      <c r="G3038" s="6" t="s">
        <v>43</v>
      </c>
      <c r="H3038" s="1">
        <f t="shared" si="695"/>
        <v>70</v>
      </c>
      <c r="I3038" s="1" t="str">
        <f t="shared" si="696"/>
        <v>='C:\Users\jaime.benazar\Quorum Business Solutions\Ecopetrol Prometeo - Documents\Planning Space Implementation\3. Analysis &amp; Design\Design\FC22\DRR Jaime\QUIFA-CAJÚA\Cajua\[VAS_CAJUA_CF_SEC_20230125.xlsx]CF PND'!$DI$70</v>
      </c>
      <c r="J3038" t="s">
        <v>1532</v>
      </c>
    </row>
    <row r="3039" spans="1:10" x14ac:dyDescent="0.2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Jaime\QUIFA-CAJÚA\Cajua\[VAS_CAJUA_CF_SEC_20230125.xlsx]CF PND'!</v>
      </c>
      <c r="G3039" s="6" t="s">
        <v>43</v>
      </c>
      <c r="H3039" s="1">
        <f t="shared" si="695"/>
        <v>71</v>
      </c>
      <c r="I3039" s="1" t="str">
        <f t="shared" si="696"/>
        <v>='C:\Users\jaime.benazar\Quorum Business Solutions\Ecopetrol Prometeo - Documents\Planning Space Implementation\3. Analysis &amp; Design\Design\FC22\DRR Jaime\QUIFA-CAJÚA\Cajua\[VAS_CAJUA_CF_SEC_20230125.xlsx]CF PND'!$DI$71</v>
      </c>
      <c r="J3039" t="s">
        <v>1533</v>
      </c>
    </row>
    <row r="3040" spans="1:10" x14ac:dyDescent="0.2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Jaime\QUIFA-CAJÚA\Cajua\[VAS_CAJUA_CF_SEC_20230125.xlsx]CF PND'!</v>
      </c>
      <c r="G3040" s="6" t="s">
        <v>43</v>
      </c>
      <c r="H3040" s="1">
        <f t="shared" si="695"/>
        <v>72</v>
      </c>
      <c r="I3040" s="1" t="str">
        <f t="shared" si="696"/>
        <v>='C:\Users\jaime.benazar\Quorum Business Solutions\Ecopetrol Prometeo - Documents\Planning Space Implementation\3. Analysis &amp; Design\Design\FC22\DRR Jaime\QUIFA-CAJÚA\Cajua\[VAS_CAJUA_CF_SEC_20230125.xlsx]CF PND'!$DI$72</v>
      </c>
      <c r="J3040" t="s">
        <v>1534</v>
      </c>
    </row>
    <row r="3041" spans="1:10" x14ac:dyDescent="0.25">
      <c r="A3041" s="7" t="s">
        <v>28</v>
      </c>
      <c r="B3041" s="6"/>
      <c r="C3041" s="1" t="s">
        <v>42</v>
      </c>
      <c r="D3041" s="2"/>
      <c r="E3041" s="9"/>
      <c r="F3041" s="5"/>
      <c r="G3041" s="6"/>
      <c r="H3041" s="1"/>
      <c r="I3041" s="1"/>
      <c r="J3041" s="4"/>
    </row>
    <row r="3042" spans="1:10" x14ac:dyDescent="0.2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Jaime\QUIFA-CAJÚA\Cajua\[VAS_CAJUA_CF_SEC_20230125.xlsx]CF PRBDP'!</v>
      </c>
      <c r="G3042" s="6" t="s">
        <v>43</v>
      </c>
      <c r="H3042" s="1"/>
      <c r="I3042" s="1"/>
    </row>
    <row r="3043" spans="1:10" x14ac:dyDescent="0.2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Jaime\QUIFA-CAJÚA\Cajua\[VAS_CAJUA_CF_SEC_20230125.xlsx]CF PRBDP'!</v>
      </c>
      <c r="G3043" s="6" t="s">
        <v>43</v>
      </c>
      <c r="H3043" s="1"/>
      <c r="I3043" s="1"/>
    </row>
    <row r="3044" spans="1:10" x14ac:dyDescent="0.2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Jaime\QUIFA-CAJÚA\Cajua\[VAS_CAJUA_CF_SEC_20230125.xlsx]CF PRBDP'!</v>
      </c>
      <c r="G3044" s="6" t="s">
        <v>43</v>
      </c>
      <c r="H3044" s="1"/>
      <c r="I3044" s="1"/>
    </row>
    <row r="3045" spans="1:10" x14ac:dyDescent="0.2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Jaime\QUIFA-CAJÚA\Cajua\[VAS_CAJUA_CF_SEC_20230125.xlsx]CF PRBDP'!</v>
      </c>
      <c r="G3045" s="6" t="s">
        <v>43</v>
      </c>
      <c r="H3045" s="1"/>
      <c r="I3045" s="1"/>
    </row>
    <row r="3046" spans="1:10" x14ac:dyDescent="0.2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Jaime\QUIFA-CAJÚA\Cajua\[VAS_CAJUA_CF_SEC_20230125.xlsx]CF PRBDP'!</v>
      </c>
      <c r="G3046" s="6" t="s">
        <v>43</v>
      </c>
      <c r="H3046" s="1"/>
      <c r="I3046" s="1"/>
    </row>
    <row r="3047" spans="1:10" x14ac:dyDescent="0.2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Jaime\QUIFA-CAJÚA\Cajua\[VAS_CAJUA_CF_SEC_20230125.xlsx]CF PRBDP'!</v>
      </c>
      <c r="G3047" s="6" t="s">
        <v>43</v>
      </c>
      <c r="H3047" s="1"/>
      <c r="I3047" s="1"/>
    </row>
    <row r="3048" spans="1:10" x14ac:dyDescent="0.2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Jaime\QUIFA-CAJÚA\Cajua\[VAS_CAJUA_CF_SEC_20230125.xlsx]CF PRBDP'!</v>
      </c>
      <c r="G3048" s="6" t="s">
        <v>43</v>
      </c>
      <c r="H3048" s="1"/>
      <c r="I3048" s="1"/>
    </row>
    <row r="3049" spans="1:10" x14ac:dyDescent="0.2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Jaime\QUIFA-CAJÚA\Cajua\[VAS_CAJUA_CF_SEC_20230125.xlsx]CF PRBDP'!</v>
      </c>
      <c r="G3049" s="6" t="s">
        <v>43</v>
      </c>
      <c r="H3049" s="1"/>
      <c r="I3049" s="1"/>
    </row>
    <row r="3050" spans="1:10" x14ac:dyDescent="0.2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Jaime\QUIFA-CAJÚA\Cajua\[VAS_CAJUA_CF_SEC_20230125.xlsx]CF PRBDP'!</v>
      </c>
      <c r="G3050" s="6" t="s">
        <v>43</v>
      </c>
      <c r="H3050" s="1"/>
      <c r="I3050" s="1"/>
    </row>
    <row r="3051" spans="1:10" x14ac:dyDescent="0.2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Jaime\QUIFA-CAJÚA\Cajua\[VAS_CAJUA_CF_SEC_20230125.xlsx]CF PRBDP'!</v>
      </c>
      <c r="G3051" s="6" t="s">
        <v>43</v>
      </c>
      <c r="H3051" s="1"/>
      <c r="I3051" s="1"/>
    </row>
    <row r="3052" spans="1:10" x14ac:dyDescent="0.2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Jaime\QUIFA-CAJÚA\Cajua\[VAS_CAJUA_CF_SEC_20230125.xlsx]CF PRBDP'!</v>
      </c>
      <c r="G3052" s="6" t="s">
        <v>43</v>
      </c>
      <c r="H3052" s="1"/>
      <c r="I3052" s="1"/>
    </row>
    <row r="3053" spans="1:10" x14ac:dyDescent="0.2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Jaime\QUIFA-CAJÚA\Cajua\[VAS_CAJUA_CF_SEC_20230125.xlsx]CF PRBDP'!</v>
      </c>
      <c r="G3053" s="6" t="s">
        <v>43</v>
      </c>
      <c r="H3053" s="1"/>
      <c r="I3053" s="1"/>
    </row>
    <row r="3054" spans="1:10" x14ac:dyDescent="0.2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Jaime\QUIFA-CAJÚA\Cajua\[VAS_CAJUA_CF_SEC_20230125.xlsx]CF PRBDP'!</v>
      </c>
      <c r="G3054" s="6" t="s">
        <v>43</v>
      </c>
      <c r="H3054" s="1"/>
      <c r="I3054" s="1"/>
    </row>
    <row r="3055" spans="1:10" x14ac:dyDescent="0.2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Jaime\QUIFA-CAJÚA\Cajua\[VAS_CAJUA_CF_SEC_20230125.xlsx]CF PRBDP'!</v>
      </c>
      <c r="G3055" s="6" t="s">
        <v>43</v>
      </c>
      <c r="H3055" s="1"/>
      <c r="I3055" s="1"/>
    </row>
    <row r="3056" spans="1:10" x14ac:dyDescent="0.2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Jaime\QUIFA-CAJÚA\Cajua\[VAS_CAJUA_CF_SEC_20230125.xlsx]CF PRBDP'!</v>
      </c>
      <c r="G3056" s="6" t="s">
        <v>43</v>
      </c>
      <c r="H3056" s="1"/>
      <c r="I3056" s="1"/>
    </row>
    <row r="3057" spans="1:9" x14ac:dyDescent="0.2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Jaime\QUIFA-CAJÚA\Cajua\[VAS_CAJUA_CF_SEC_20230125.xlsx]CF PRBDP'!</v>
      </c>
      <c r="G3057" s="6" t="s">
        <v>43</v>
      </c>
      <c r="H3057" s="1"/>
      <c r="I3057" s="1"/>
    </row>
    <row r="3058" spans="1:9" x14ac:dyDescent="0.2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Jaime\QUIFA-CAJÚA\Cajua\[VAS_CAJUA_CF_SEC_20230125.xlsx]CF PRBDP'!</v>
      </c>
      <c r="G3058" s="6" t="s">
        <v>43</v>
      </c>
      <c r="H3058" s="1"/>
      <c r="I3058" s="1"/>
    </row>
    <row r="3059" spans="1:9" x14ac:dyDescent="0.2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Jaime\QUIFA-CAJÚA\Cajua\[VAS_CAJUA_CF_SEC_20230125.xlsx]CF PRBDP'!</v>
      </c>
      <c r="G3059" s="6" t="s">
        <v>43</v>
      </c>
      <c r="H3059" s="1"/>
      <c r="I3059" s="1"/>
    </row>
    <row r="3060" spans="1:9" x14ac:dyDescent="0.2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Jaime\QUIFA-CAJÚA\Cajua\[VAS_CAJUA_CF_SEC_20230125.xlsx]CF PRBDP'!</v>
      </c>
      <c r="G3060" s="6" t="s">
        <v>43</v>
      </c>
      <c r="H3060" s="1"/>
      <c r="I3060" s="1"/>
    </row>
    <row r="3061" spans="1:9" x14ac:dyDescent="0.2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Jaime\QUIFA-CAJÚA\Cajua\[VAS_CAJUA_CF_SEC_20230125.xlsx]CF PRBDP'!</v>
      </c>
      <c r="G3061" s="6" t="s">
        <v>43</v>
      </c>
      <c r="H3061" s="1"/>
      <c r="I3061" s="1"/>
    </row>
    <row r="3062" spans="1:9" x14ac:dyDescent="0.2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Jaime\QUIFA-CAJÚA\Cajua\[VAS_CAJUA_CF_SEC_20230125.xlsx]CF PRBDP'!</v>
      </c>
      <c r="G3062" s="6" t="s">
        <v>43</v>
      </c>
      <c r="H3062" s="1"/>
      <c r="I3062" s="1"/>
    </row>
    <row r="3063" spans="1:9" x14ac:dyDescent="0.2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Jaime\QUIFA-CAJÚA\Cajua\[VAS_CAJUA_CF_SEC_20230125.xlsx]CF PRBDP'!</v>
      </c>
      <c r="G3063" s="6" t="s">
        <v>43</v>
      </c>
      <c r="H3063" s="1"/>
      <c r="I3063" s="1"/>
    </row>
    <row r="3064" spans="1:9" x14ac:dyDescent="0.2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Jaime\QUIFA-CAJÚA\Cajua\[VAS_CAJUA_CF_SEC_20230125.xlsx]CF PRBDP'!</v>
      </c>
      <c r="G3064" s="6" t="s">
        <v>43</v>
      </c>
      <c r="H3064" s="1"/>
      <c r="I3064" s="1"/>
    </row>
    <row r="3065" spans="1:9" x14ac:dyDescent="0.2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Jaime\QUIFA-CAJÚA\Cajua\[VAS_CAJUA_CF_SEC_20230125.xlsx]CF PRBDP'!</v>
      </c>
      <c r="G3065" s="6" t="s">
        <v>43</v>
      </c>
      <c r="H3065" s="1"/>
      <c r="I3065" s="1"/>
    </row>
    <row r="3066" spans="1:9" x14ac:dyDescent="0.2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Jaime\QUIFA-CAJÚA\Cajua\[VAS_CAJUA_CF_SEC_20230125.xlsx]CF PRBDP'!</v>
      </c>
      <c r="G3066" s="6" t="s">
        <v>43</v>
      </c>
      <c r="H3066" s="1"/>
      <c r="I3066" s="1"/>
    </row>
    <row r="3067" spans="1:9" x14ac:dyDescent="0.2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Jaime\QUIFA-CAJÚA\Cajua\[VAS_CAJUA_CF_SEC_20230125.xlsx]CF PRBDP'!</v>
      </c>
      <c r="G3067" s="6" t="s">
        <v>43</v>
      </c>
      <c r="H3067" s="1"/>
      <c r="I3067" s="1"/>
    </row>
    <row r="3068" spans="1:9" x14ac:dyDescent="0.2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Jaime\QUIFA-CAJÚA\Cajua\[VAS_CAJUA_CF_SEC_20230125.xlsx]CF PRBDP'!</v>
      </c>
      <c r="G3068" s="6" t="s">
        <v>43</v>
      </c>
      <c r="H3068" s="1"/>
      <c r="I3068" s="1"/>
    </row>
    <row r="3069" spans="1:9" x14ac:dyDescent="0.2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Jaime\QUIFA-CAJÚA\Cajua\[VAS_CAJUA_CF_SEC_20230125.xlsx]CF PRBDP'!</v>
      </c>
      <c r="G3069" s="6" t="s">
        <v>43</v>
      </c>
      <c r="H3069" s="1"/>
      <c r="I3069" s="1"/>
    </row>
    <row r="3070" spans="1:9" x14ac:dyDescent="0.2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Jaime\QUIFA-CAJÚA\Cajua\[VAS_CAJUA_CF_SEC_20230125.xlsx]CF PRBDP'!</v>
      </c>
      <c r="G3070" s="6" t="s">
        <v>43</v>
      </c>
      <c r="H3070" s="1"/>
      <c r="I3070" s="1"/>
    </row>
    <row r="3071" spans="1:9" x14ac:dyDescent="0.2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Jaime\QUIFA-CAJÚA\Cajua\[VAS_CAJUA_CF_SEC_20230125.xlsx]CF PRBDP'!</v>
      </c>
      <c r="G3071" s="6" t="s">
        <v>43</v>
      </c>
      <c r="H3071" s="1"/>
      <c r="I3071" s="1"/>
    </row>
    <row r="3072" spans="1:9" x14ac:dyDescent="0.2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Jaime\QUIFA-CAJÚA\Cajua\[VAS_CAJUA_CF_SEC_20230125.xlsx]CF PRBDP'!</v>
      </c>
      <c r="G3072" s="6" t="s">
        <v>43</v>
      </c>
      <c r="H3072" s="1"/>
      <c r="I3072" s="1"/>
    </row>
    <row r="3073" spans="1:9" x14ac:dyDescent="0.2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Jaime\QUIFA-CAJÚA\Cajua\[VAS_CAJUA_CF_SEC_20230125.xlsx]CF PRBDP'!</v>
      </c>
      <c r="G3073" s="6" t="s">
        <v>43</v>
      </c>
      <c r="H3073" s="1"/>
      <c r="I3073" s="1"/>
    </row>
    <row r="3074" spans="1:9" x14ac:dyDescent="0.2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Jaime\QUIFA-CAJÚA\Cajua\[VAS_CAJUA_CF_SEC_20230125.xlsx]CF PRBDP'!</v>
      </c>
      <c r="G3074" s="6" t="s">
        <v>43</v>
      </c>
      <c r="H3074" s="1"/>
      <c r="I3074" s="1"/>
    </row>
    <row r="3075" spans="1:9" x14ac:dyDescent="0.2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Jaime\QUIFA-CAJÚA\Cajua\[VAS_CAJUA_CF_SEC_20230125.xlsx]CF PRBDP'!</v>
      </c>
      <c r="G3075" s="6" t="s">
        <v>43</v>
      </c>
      <c r="H3075" s="1"/>
      <c r="I3075" s="1"/>
    </row>
    <row r="3076" spans="1:9" x14ac:dyDescent="0.2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Jaime\QUIFA-CAJÚA\Cajua\[VAS_CAJUA_CF_SEC_20230125.xlsx]CF PRBDP'!</v>
      </c>
      <c r="G3076" s="6" t="s">
        <v>43</v>
      </c>
      <c r="H3076" s="1"/>
      <c r="I3076" s="1"/>
    </row>
    <row r="3077" spans="1:9" x14ac:dyDescent="0.2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Jaime\QUIFA-CAJÚA\Cajua\[VAS_CAJUA_CF_SEC_20230125.xlsx]CF PRBDP'!</v>
      </c>
      <c r="G3077" s="6" t="s">
        <v>43</v>
      </c>
      <c r="H3077" s="1"/>
      <c r="I3077" s="1"/>
    </row>
    <row r="3078" spans="1:9" x14ac:dyDescent="0.2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Jaime\QUIFA-CAJÚA\Cajua\[VAS_CAJUA_CF_SEC_20230125.xlsx]CF PRBDP'!</v>
      </c>
      <c r="G3078" s="6" t="s">
        <v>43</v>
      </c>
      <c r="H3078" s="1"/>
      <c r="I3078" s="1"/>
    </row>
    <row r="3079" spans="1:9" x14ac:dyDescent="0.25">
      <c r="A3079" s="7" t="s">
        <v>28</v>
      </c>
      <c r="B3079" s="6"/>
      <c r="C3079" s="1" t="s">
        <v>42</v>
      </c>
      <c r="D3079" s="2"/>
      <c r="E3079" s="9"/>
      <c r="F3079" s="5"/>
      <c r="G3079" s="6"/>
      <c r="H3079" s="1"/>
      <c r="I3079" s="1"/>
    </row>
    <row r="3080" spans="1:9" x14ac:dyDescent="0.2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Jaime\QUIFA-CAJÚA\Cajua\[VAS_CAJUA_CF_SEC_20230125.xlsx]CF PRBNP'!</v>
      </c>
      <c r="G3080" s="6" t="s">
        <v>43</v>
      </c>
      <c r="H3080" s="1"/>
      <c r="I3080" s="1"/>
    </row>
    <row r="3081" spans="1:9" x14ac:dyDescent="0.2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Jaime\QUIFA-CAJÚA\Cajua\[VAS_CAJUA_CF_SEC_20230125.xlsx]CF PRBNP'!</v>
      </c>
      <c r="G3081" s="6" t="s">
        <v>43</v>
      </c>
      <c r="H3081" s="1"/>
      <c r="I3081" s="1"/>
    </row>
    <row r="3082" spans="1:9" x14ac:dyDescent="0.2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Jaime\QUIFA-CAJÚA\Cajua\[VAS_CAJUA_CF_SEC_20230125.xlsx]CF PRBNP'!</v>
      </c>
      <c r="G3082" s="6" t="s">
        <v>43</v>
      </c>
      <c r="H3082" s="1"/>
      <c r="I3082" s="1"/>
    </row>
    <row r="3083" spans="1:9" x14ac:dyDescent="0.2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Jaime\QUIFA-CAJÚA\Cajua\[VAS_CAJUA_CF_SEC_20230125.xlsx]CF PRBNP'!</v>
      </c>
      <c r="G3083" s="6" t="s">
        <v>43</v>
      </c>
      <c r="H3083" s="1"/>
      <c r="I3083" s="1"/>
    </row>
    <row r="3084" spans="1:9" x14ac:dyDescent="0.2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Jaime\QUIFA-CAJÚA\Cajua\[VAS_CAJUA_CF_SEC_20230125.xlsx]CF PRBNP'!</v>
      </c>
      <c r="G3084" s="6" t="s">
        <v>43</v>
      </c>
      <c r="H3084" s="1"/>
      <c r="I3084" s="1"/>
    </row>
    <row r="3085" spans="1:9" x14ac:dyDescent="0.2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Jaime\QUIFA-CAJÚA\Cajua\[VAS_CAJUA_CF_SEC_20230125.xlsx]CF PRBNP'!</v>
      </c>
      <c r="G3085" s="6" t="s">
        <v>43</v>
      </c>
      <c r="H3085" s="1"/>
      <c r="I3085" s="1"/>
    </row>
    <row r="3086" spans="1:9" x14ac:dyDescent="0.2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Jaime\QUIFA-CAJÚA\Cajua\[VAS_CAJUA_CF_SEC_20230125.xlsx]CF PRBNP'!</v>
      </c>
      <c r="G3086" s="6" t="s">
        <v>43</v>
      </c>
      <c r="H3086" s="1"/>
      <c r="I3086" s="1"/>
    </row>
    <row r="3087" spans="1:9" x14ac:dyDescent="0.2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Jaime\QUIFA-CAJÚA\Cajua\[VAS_CAJUA_CF_SEC_20230125.xlsx]CF PRBNP'!</v>
      </c>
      <c r="G3087" s="6" t="s">
        <v>43</v>
      </c>
      <c r="H3087" s="1"/>
      <c r="I3087" s="1"/>
    </row>
    <row r="3088" spans="1:9" x14ac:dyDescent="0.2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Jaime\QUIFA-CAJÚA\Cajua\[VAS_CAJUA_CF_SEC_20230125.xlsx]CF PRBNP'!</v>
      </c>
      <c r="G3088" s="6" t="s">
        <v>43</v>
      </c>
      <c r="H3088" s="1"/>
      <c r="I3088" s="1"/>
    </row>
    <row r="3089" spans="1:9" x14ac:dyDescent="0.2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Jaime\QUIFA-CAJÚA\Cajua\[VAS_CAJUA_CF_SEC_20230125.xlsx]CF PRBNP'!</v>
      </c>
      <c r="G3089" s="6" t="s">
        <v>43</v>
      </c>
      <c r="H3089" s="1"/>
      <c r="I3089" s="1"/>
    </row>
    <row r="3090" spans="1:9" x14ac:dyDescent="0.2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Jaime\QUIFA-CAJÚA\Cajua\[VAS_CAJUA_CF_SEC_20230125.xlsx]CF PRBNP'!</v>
      </c>
      <c r="G3090" s="6" t="s">
        <v>43</v>
      </c>
      <c r="H3090" s="1"/>
      <c r="I3090" s="1"/>
    </row>
    <row r="3091" spans="1:9" x14ac:dyDescent="0.2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Jaime\QUIFA-CAJÚA\Cajua\[VAS_CAJUA_CF_SEC_20230125.xlsx]CF PRBNP'!</v>
      </c>
      <c r="G3091" s="6" t="s">
        <v>43</v>
      </c>
      <c r="H3091" s="1"/>
      <c r="I3091" s="1"/>
    </row>
    <row r="3092" spans="1:9" x14ac:dyDescent="0.2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Jaime\QUIFA-CAJÚA\Cajua\[VAS_CAJUA_CF_SEC_20230125.xlsx]CF PRBNP'!</v>
      </c>
      <c r="G3092" s="6" t="s">
        <v>43</v>
      </c>
      <c r="H3092" s="1"/>
      <c r="I3092" s="1"/>
    </row>
    <row r="3093" spans="1:9" x14ac:dyDescent="0.2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Jaime\QUIFA-CAJÚA\Cajua\[VAS_CAJUA_CF_SEC_20230125.xlsx]CF PRBNP'!</v>
      </c>
      <c r="G3093" s="6" t="s">
        <v>43</v>
      </c>
      <c r="H3093" s="1"/>
      <c r="I3093" s="1"/>
    </row>
    <row r="3094" spans="1:9" x14ac:dyDescent="0.2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Jaime\QUIFA-CAJÚA\Cajua\[VAS_CAJUA_CF_SEC_20230125.xlsx]CF PRBNP'!</v>
      </c>
      <c r="G3094" s="6" t="s">
        <v>43</v>
      </c>
      <c r="H3094" s="1"/>
      <c r="I3094" s="1"/>
    </row>
    <row r="3095" spans="1:9" x14ac:dyDescent="0.2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Jaime\QUIFA-CAJÚA\Cajua\[VAS_CAJUA_CF_SEC_20230125.xlsx]CF PRBNP'!</v>
      </c>
      <c r="G3095" s="6" t="s">
        <v>43</v>
      </c>
      <c r="H3095" s="1"/>
      <c r="I3095" s="1"/>
    </row>
    <row r="3096" spans="1:9" x14ac:dyDescent="0.2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Jaime\QUIFA-CAJÚA\Cajua\[VAS_CAJUA_CF_SEC_20230125.xlsx]CF PRBNP'!</v>
      </c>
      <c r="G3096" s="6" t="s">
        <v>43</v>
      </c>
      <c r="H3096" s="1"/>
      <c r="I3096" s="1"/>
    </row>
    <row r="3097" spans="1:9" x14ac:dyDescent="0.2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Jaime\QUIFA-CAJÚA\Cajua\[VAS_CAJUA_CF_SEC_20230125.xlsx]CF PRBNP'!</v>
      </c>
      <c r="G3097" s="6" t="s">
        <v>43</v>
      </c>
      <c r="H3097" s="1"/>
      <c r="I3097" s="1"/>
    </row>
    <row r="3098" spans="1:9" x14ac:dyDescent="0.2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Jaime\QUIFA-CAJÚA\Cajua\[VAS_CAJUA_CF_SEC_20230125.xlsx]CF PRBNP'!</v>
      </c>
      <c r="G3098" s="6" t="s">
        <v>43</v>
      </c>
      <c r="H3098" s="1"/>
      <c r="I3098" s="1"/>
    </row>
    <row r="3099" spans="1:9" x14ac:dyDescent="0.2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Jaime\QUIFA-CAJÚA\Cajua\[VAS_CAJUA_CF_SEC_20230125.xlsx]CF PRBNP'!</v>
      </c>
      <c r="G3099" s="6" t="s">
        <v>43</v>
      </c>
      <c r="H3099" s="1"/>
      <c r="I3099" s="1"/>
    </row>
    <row r="3100" spans="1:9" x14ac:dyDescent="0.2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Jaime\QUIFA-CAJÚA\Cajua\[VAS_CAJUA_CF_SEC_20230125.xlsx]CF PRBNP'!</v>
      </c>
      <c r="G3100" s="6" t="s">
        <v>43</v>
      </c>
      <c r="H3100" s="1"/>
      <c r="I3100" s="1"/>
    </row>
    <row r="3101" spans="1:9" x14ac:dyDescent="0.2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Jaime\QUIFA-CAJÚA\Cajua\[VAS_CAJUA_CF_SEC_20230125.xlsx]CF PRBNP'!</v>
      </c>
      <c r="G3101" s="6" t="s">
        <v>43</v>
      </c>
      <c r="H3101" s="1"/>
      <c r="I3101" s="1"/>
    </row>
    <row r="3102" spans="1:9" x14ac:dyDescent="0.2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Jaime\QUIFA-CAJÚA\Cajua\[VAS_CAJUA_CF_SEC_20230125.xlsx]CF PRBNP'!</v>
      </c>
      <c r="G3102" s="6" t="s">
        <v>43</v>
      </c>
      <c r="H3102" s="1"/>
      <c r="I3102" s="1"/>
    </row>
    <row r="3103" spans="1:9" x14ac:dyDescent="0.2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Jaime\QUIFA-CAJÚA\Cajua\[VAS_CAJUA_CF_SEC_20230125.xlsx]CF PRBNP'!</v>
      </c>
      <c r="G3103" s="6" t="s">
        <v>43</v>
      </c>
      <c r="H3103" s="1"/>
      <c r="I3103" s="1"/>
    </row>
    <row r="3104" spans="1:9" x14ac:dyDescent="0.2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Jaime\QUIFA-CAJÚA\Cajua\[VAS_CAJUA_CF_SEC_20230125.xlsx]CF PRBNP'!</v>
      </c>
      <c r="G3104" s="6" t="s">
        <v>43</v>
      </c>
      <c r="H3104" s="1"/>
      <c r="I3104" s="1"/>
    </row>
    <row r="3105" spans="1:9" x14ac:dyDescent="0.2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Jaime\QUIFA-CAJÚA\Cajua\[VAS_CAJUA_CF_SEC_20230125.xlsx]CF PRBNP'!</v>
      </c>
      <c r="G3105" s="6" t="s">
        <v>43</v>
      </c>
      <c r="H3105" s="1"/>
      <c r="I3105" s="1"/>
    </row>
    <row r="3106" spans="1:9" x14ac:dyDescent="0.2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Jaime\QUIFA-CAJÚA\Cajua\[VAS_CAJUA_CF_SEC_20230125.xlsx]CF PRBNP'!</v>
      </c>
      <c r="G3106" s="6" t="s">
        <v>43</v>
      </c>
      <c r="H3106" s="1"/>
      <c r="I3106" s="1"/>
    </row>
    <row r="3107" spans="1:9" x14ac:dyDescent="0.2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Jaime\QUIFA-CAJÚA\Cajua\[VAS_CAJUA_CF_SEC_20230125.xlsx]CF PRBNP'!</v>
      </c>
      <c r="G3107" s="6" t="s">
        <v>43</v>
      </c>
      <c r="H3107" s="1"/>
      <c r="I3107" s="1"/>
    </row>
    <row r="3108" spans="1:9" x14ac:dyDescent="0.2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Jaime\QUIFA-CAJÚA\Cajua\[VAS_CAJUA_CF_SEC_20230125.xlsx]CF PRBNP'!</v>
      </c>
      <c r="G3108" s="6" t="s">
        <v>43</v>
      </c>
      <c r="H3108" s="1"/>
      <c r="I3108" s="1"/>
    </row>
    <row r="3109" spans="1:9" x14ac:dyDescent="0.2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Jaime\QUIFA-CAJÚA\Cajua\[VAS_CAJUA_CF_SEC_20230125.xlsx]CF PRBNP'!</v>
      </c>
      <c r="G3109" s="6" t="s">
        <v>43</v>
      </c>
      <c r="H3109" s="1"/>
      <c r="I3109" s="1"/>
    </row>
    <row r="3110" spans="1:9" x14ac:dyDescent="0.2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Jaime\QUIFA-CAJÚA\Cajua\[VAS_CAJUA_CF_SEC_20230125.xlsx]CF PRBNP'!</v>
      </c>
      <c r="G3110" s="6" t="s">
        <v>43</v>
      </c>
      <c r="H3110" s="1"/>
      <c r="I3110" s="1"/>
    </row>
    <row r="3111" spans="1:9" x14ac:dyDescent="0.2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Jaime\QUIFA-CAJÚA\Cajua\[VAS_CAJUA_CF_SEC_20230125.xlsx]CF PRBNP'!</v>
      </c>
      <c r="G3111" s="6" t="s">
        <v>43</v>
      </c>
      <c r="H3111" s="1"/>
      <c r="I3111" s="1"/>
    </row>
    <row r="3112" spans="1:9" x14ac:dyDescent="0.2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Jaime\QUIFA-CAJÚA\Cajua\[VAS_CAJUA_CF_SEC_20230125.xlsx]CF PRBNP'!</v>
      </c>
      <c r="G3112" s="6" t="s">
        <v>43</v>
      </c>
      <c r="H3112" s="1"/>
      <c r="I3112" s="1"/>
    </row>
    <row r="3113" spans="1:9" x14ac:dyDescent="0.2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Jaime\QUIFA-CAJÚA\Cajua\[VAS_CAJUA_CF_SEC_20230125.xlsx]CF PRBNP'!</v>
      </c>
      <c r="G3113" s="6" t="s">
        <v>43</v>
      </c>
      <c r="H3113" s="1"/>
      <c r="I3113" s="1"/>
    </row>
    <row r="3114" spans="1:9" x14ac:dyDescent="0.2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Jaime\QUIFA-CAJÚA\Cajua\[VAS_CAJUA_CF_SEC_20230125.xlsx]CF PRBNP'!</v>
      </c>
      <c r="G3114" s="6" t="s">
        <v>43</v>
      </c>
      <c r="H3114" s="1"/>
      <c r="I3114" s="1"/>
    </row>
    <row r="3115" spans="1:9" x14ac:dyDescent="0.2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Jaime\QUIFA-CAJÚA\Cajua\[VAS_CAJUA_CF_SEC_20230125.xlsx]CF PRBNP'!</v>
      </c>
      <c r="G3115" s="6" t="s">
        <v>43</v>
      </c>
      <c r="H3115" s="1"/>
      <c r="I3115" s="1"/>
    </row>
    <row r="3116" spans="1:9" x14ac:dyDescent="0.2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Jaime\QUIFA-CAJÚA\Cajua\[VAS_CAJUA_CF_SEC_20230125.xlsx]CF PRBNP'!</v>
      </c>
      <c r="G3116" s="6" t="s">
        <v>43</v>
      </c>
      <c r="H3116" s="1"/>
      <c r="I3116" s="1"/>
    </row>
    <row r="3117" spans="1:9" x14ac:dyDescent="0.25">
      <c r="A3117" s="7" t="s">
        <v>28</v>
      </c>
      <c r="B3117" s="6"/>
      <c r="C3117" s="1" t="s">
        <v>42</v>
      </c>
      <c r="D3117" s="2"/>
      <c r="E3117" s="9"/>
      <c r="F3117" s="5"/>
      <c r="G3117" s="6"/>
      <c r="H3117" s="1"/>
      <c r="I3117" s="1"/>
    </row>
    <row r="3118" spans="1:9" x14ac:dyDescent="0.2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Jaime\QUIFA-CAJÚA\Cajua\[VAS_CAJUA_CF_SEC_20230125.xlsx]CF PRBND'!</v>
      </c>
      <c r="G3118" s="6" t="s">
        <v>43</v>
      </c>
      <c r="H3118" s="1"/>
      <c r="I3118" s="1"/>
    </row>
    <row r="3119" spans="1:9" x14ac:dyDescent="0.2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Jaime\QUIFA-CAJÚA\Cajua\[VAS_CAJUA_CF_SEC_20230125.xlsx]CF PRBND'!</v>
      </c>
      <c r="G3119" s="6" t="s">
        <v>43</v>
      </c>
      <c r="H3119" s="1"/>
      <c r="I3119" s="1"/>
    </row>
    <row r="3120" spans="1:9" x14ac:dyDescent="0.2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Jaime\QUIFA-CAJÚA\Cajua\[VAS_CAJUA_CF_SEC_20230125.xlsx]CF PRBND'!</v>
      </c>
      <c r="G3120" s="6" t="s">
        <v>43</v>
      </c>
      <c r="H3120" s="1"/>
      <c r="I3120" s="1"/>
    </row>
    <row r="3121" spans="1:9" x14ac:dyDescent="0.2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Jaime\QUIFA-CAJÚA\Cajua\[VAS_CAJUA_CF_SEC_20230125.xlsx]CF PRBND'!</v>
      </c>
      <c r="G3121" s="6" t="s">
        <v>43</v>
      </c>
      <c r="H3121" s="1"/>
      <c r="I3121" s="1"/>
    </row>
    <row r="3122" spans="1:9" x14ac:dyDescent="0.2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Jaime\QUIFA-CAJÚA\Cajua\[VAS_CAJUA_CF_SEC_20230125.xlsx]CF PRBND'!</v>
      </c>
      <c r="G3122" s="6" t="s">
        <v>43</v>
      </c>
      <c r="H3122" s="1"/>
      <c r="I3122" s="1"/>
    </row>
    <row r="3123" spans="1:9" x14ac:dyDescent="0.2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Jaime\QUIFA-CAJÚA\Cajua\[VAS_CAJUA_CF_SEC_20230125.xlsx]CF PRBND'!</v>
      </c>
      <c r="G3123" s="6" t="s">
        <v>43</v>
      </c>
      <c r="H3123" s="1"/>
      <c r="I3123" s="1"/>
    </row>
    <row r="3124" spans="1:9" x14ac:dyDescent="0.2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Jaime\QUIFA-CAJÚA\Cajua\[VAS_CAJUA_CF_SEC_20230125.xlsx]CF PRBND'!</v>
      </c>
      <c r="G3124" s="6" t="s">
        <v>43</v>
      </c>
      <c r="H3124" s="1"/>
      <c r="I3124" s="1"/>
    </row>
    <row r="3125" spans="1:9" x14ac:dyDescent="0.2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Jaime\QUIFA-CAJÚA\Cajua\[VAS_CAJUA_CF_SEC_20230125.xlsx]CF PRBND'!</v>
      </c>
      <c r="G3125" s="6" t="s">
        <v>43</v>
      </c>
      <c r="H3125" s="1"/>
      <c r="I3125" s="1"/>
    </row>
    <row r="3126" spans="1:9" x14ac:dyDescent="0.2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Jaime\QUIFA-CAJÚA\Cajua\[VAS_CAJUA_CF_SEC_20230125.xlsx]CF PRBND'!</v>
      </c>
      <c r="G3126" s="6" t="s">
        <v>43</v>
      </c>
      <c r="H3126" s="1"/>
      <c r="I3126" s="1"/>
    </row>
    <row r="3127" spans="1:9" x14ac:dyDescent="0.2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Jaime\QUIFA-CAJÚA\Cajua\[VAS_CAJUA_CF_SEC_20230125.xlsx]CF PRBND'!</v>
      </c>
      <c r="G3127" s="6" t="s">
        <v>43</v>
      </c>
      <c r="H3127" s="1"/>
      <c r="I3127" s="1"/>
    </row>
    <row r="3128" spans="1:9" x14ac:dyDescent="0.2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Jaime\QUIFA-CAJÚA\Cajua\[VAS_CAJUA_CF_SEC_20230125.xlsx]CF PRBND'!</v>
      </c>
      <c r="G3128" s="6" t="s">
        <v>43</v>
      </c>
      <c r="H3128" s="1"/>
      <c r="I3128" s="1"/>
    </row>
    <row r="3129" spans="1:9" x14ac:dyDescent="0.2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Jaime\QUIFA-CAJÚA\Cajua\[VAS_CAJUA_CF_SEC_20230125.xlsx]CF PRBND'!</v>
      </c>
      <c r="G3129" s="6" t="s">
        <v>43</v>
      </c>
      <c r="H3129" s="1"/>
      <c r="I3129" s="1"/>
    </row>
    <row r="3130" spans="1:9" x14ac:dyDescent="0.2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Jaime\QUIFA-CAJÚA\Cajua\[VAS_CAJUA_CF_SEC_20230125.xlsx]CF PRBND'!</v>
      </c>
      <c r="G3130" s="6" t="s">
        <v>43</v>
      </c>
      <c r="H3130" s="1"/>
      <c r="I3130" s="1"/>
    </row>
    <row r="3131" spans="1:9" x14ac:dyDescent="0.2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Jaime\QUIFA-CAJÚA\Cajua\[VAS_CAJUA_CF_SEC_20230125.xlsx]CF PRBND'!</v>
      </c>
      <c r="G3131" s="6" t="s">
        <v>43</v>
      </c>
      <c r="H3131" s="1"/>
      <c r="I3131" s="1"/>
    </row>
    <row r="3132" spans="1:9" x14ac:dyDescent="0.2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Jaime\QUIFA-CAJÚA\Cajua\[VAS_CAJUA_CF_SEC_20230125.xlsx]CF PRBND'!</v>
      </c>
      <c r="G3132" s="6" t="s">
        <v>43</v>
      </c>
      <c r="H3132" s="1"/>
      <c r="I3132" s="1"/>
    </row>
    <row r="3133" spans="1:9" x14ac:dyDescent="0.2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Jaime\QUIFA-CAJÚA\Cajua\[VAS_CAJUA_CF_SEC_20230125.xlsx]CF PRBND'!</v>
      </c>
      <c r="G3133" s="6" t="s">
        <v>43</v>
      </c>
      <c r="H3133" s="1"/>
      <c r="I3133" s="1"/>
    </row>
    <row r="3134" spans="1:9" x14ac:dyDescent="0.2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Jaime\QUIFA-CAJÚA\Cajua\[VAS_CAJUA_CF_SEC_20230125.xlsx]CF PRBND'!</v>
      </c>
      <c r="G3134" s="6" t="s">
        <v>43</v>
      </c>
      <c r="H3134" s="1"/>
      <c r="I3134" s="1"/>
    </row>
    <row r="3135" spans="1:9" x14ac:dyDescent="0.2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Jaime\QUIFA-CAJÚA\Cajua\[VAS_CAJUA_CF_SEC_20230125.xlsx]CF PRBND'!</v>
      </c>
      <c r="G3135" s="6" t="s">
        <v>43</v>
      </c>
      <c r="H3135" s="1"/>
      <c r="I3135" s="1"/>
    </row>
    <row r="3136" spans="1:9" x14ac:dyDescent="0.2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Jaime\QUIFA-CAJÚA\Cajua\[VAS_CAJUA_CF_SEC_20230125.xlsx]CF PRBND'!</v>
      </c>
      <c r="G3136" s="6" t="s">
        <v>43</v>
      </c>
      <c r="H3136" s="1"/>
      <c r="I3136" s="1"/>
    </row>
    <row r="3137" spans="1:9" x14ac:dyDescent="0.2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Jaime\QUIFA-CAJÚA\Cajua\[VAS_CAJUA_CF_SEC_20230125.xlsx]CF PRBND'!</v>
      </c>
      <c r="G3137" s="6" t="s">
        <v>43</v>
      </c>
      <c r="H3137" s="1"/>
      <c r="I3137" s="1"/>
    </row>
    <row r="3138" spans="1:9" x14ac:dyDescent="0.2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Jaime\QUIFA-CAJÚA\Cajua\[VAS_CAJUA_CF_SEC_20230125.xlsx]CF PRBND'!</v>
      </c>
      <c r="G3138" s="6" t="s">
        <v>43</v>
      </c>
      <c r="H3138" s="1"/>
      <c r="I3138" s="1"/>
    </row>
    <row r="3139" spans="1:9" x14ac:dyDescent="0.2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Jaime\QUIFA-CAJÚA\Cajua\[VAS_CAJUA_CF_SEC_20230125.xlsx]CF PRBND'!</v>
      </c>
      <c r="G3139" s="6" t="s">
        <v>43</v>
      </c>
      <c r="H3139" s="1"/>
      <c r="I3139" s="1"/>
    </row>
    <row r="3140" spans="1:9" x14ac:dyDescent="0.2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Jaime\QUIFA-CAJÚA\Cajua\[VAS_CAJUA_CF_SEC_20230125.xlsx]CF PRBND'!</v>
      </c>
      <c r="G3140" s="6" t="s">
        <v>43</v>
      </c>
      <c r="H3140" s="1"/>
      <c r="I3140" s="1"/>
    </row>
    <row r="3141" spans="1:9" x14ac:dyDescent="0.2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Jaime\QUIFA-CAJÚA\Cajua\[VAS_CAJUA_CF_SEC_20230125.xlsx]CF PRBND'!</v>
      </c>
      <c r="G3141" s="6" t="s">
        <v>43</v>
      </c>
      <c r="H3141" s="1"/>
      <c r="I3141" s="1"/>
    </row>
    <row r="3142" spans="1:9" x14ac:dyDescent="0.2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Jaime\QUIFA-CAJÚA\Cajua\[VAS_CAJUA_CF_SEC_20230125.xlsx]CF PRBND'!</v>
      </c>
      <c r="G3142" s="6" t="s">
        <v>43</v>
      </c>
      <c r="H3142" s="1"/>
      <c r="I3142" s="1"/>
    </row>
    <row r="3143" spans="1:9" x14ac:dyDescent="0.2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Jaime\QUIFA-CAJÚA\Cajua\[VAS_CAJUA_CF_SEC_20230125.xlsx]CF PRBND'!</v>
      </c>
      <c r="G3143" s="6" t="s">
        <v>43</v>
      </c>
      <c r="H3143" s="1"/>
      <c r="I3143" s="1"/>
    </row>
    <row r="3144" spans="1:9" x14ac:dyDescent="0.2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Jaime\QUIFA-CAJÚA\Cajua\[VAS_CAJUA_CF_SEC_20230125.xlsx]CF PRBND'!</v>
      </c>
      <c r="G3144" s="6" t="s">
        <v>43</v>
      </c>
      <c r="H3144" s="1"/>
      <c r="I3144" s="1"/>
    </row>
    <row r="3145" spans="1:9" x14ac:dyDescent="0.2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Jaime\QUIFA-CAJÚA\Cajua\[VAS_CAJUA_CF_SEC_20230125.xlsx]CF PRBND'!</v>
      </c>
      <c r="G3145" s="6" t="s">
        <v>43</v>
      </c>
      <c r="H3145" s="1"/>
      <c r="I3145" s="1"/>
    </row>
    <row r="3146" spans="1:9" x14ac:dyDescent="0.2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Jaime\QUIFA-CAJÚA\Cajua\[VAS_CAJUA_CF_SEC_20230125.xlsx]CF PRBND'!</v>
      </c>
      <c r="G3146" s="6" t="s">
        <v>43</v>
      </c>
      <c r="H3146" s="1"/>
      <c r="I3146" s="1"/>
    </row>
    <row r="3147" spans="1:9" x14ac:dyDescent="0.2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Jaime\QUIFA-CAJÚA\Cajua\[VAS_CAJUA_CF_SEC_20230125.xlsx]CF PRBND'!</v>
      </c>
      <c r="G3147" s="6" t="s">
        <v>43</v>
      </c>
      <c r="H3147" s="1"/>
      <c r="I3147" s="1"/>
    </row>
    <row r="3148" spans="1:9" x14ac:dyDescent="0.2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Jaime\QUIFA-CAJÚA\Cajua\[VAS_CAJUA_CF_SEC_20230125.xlsx]CF PRBND'!</v>
      </c>
      <c r="G3148" s="6" t="s">
        <v>43</v>
      </c>
      <c r="H3148" s="1"/>
      <c r="I3148" s="1"/>
    </row>
    <row r="3149" spans="1:9" x14ac:dyDescent="0.2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Jaime\QUIFA-CAJÚA\Cajua\[VAS_CAJUA_CF_SEC_20230125.xlsx]CF PRBND'!</v>
      </c>
      <c r="G3149" s="6" t="s">
        <v>43</v>
      </c>
      <c r="H3149" s="1"/>
      <c r="I3149" s="1"/>
    </row>
    <row r="3150" spans="1:9" x14ac:dyDescent="0.2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Jaime\QUIFA-CAJÚA\Cajua\[VAS_CAJUA_CF_SEC_20230125.xlsx]CF PRBND'!</v>
      </c>
      <c r="G3150" s="6" t="s">
        <v>43</v>
      </c>
      <c r="H3150" s="1"/>
      <c r="I3150" s="1"/>
    </row>
    <row r="3151" spans="1:9" x14ac:dyDescent="0.2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Jaime\QUIFA-CAJÚA\Cajua\[VAS_CAJUA_CF_SEC_20230125.xlsx]CF PRBND'!</v>
      </c>
      <c r="G3151" s="6" t="s">
        <v>43</v>
      </c>
      <c r="H3151" s="1"/>
      <c r="I3151" s="1"/>
    </row>
    <row r="3152" spans="1:9" x14ac:dyDescent="0.2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Jaime\QUIFA-CAJÚA\Cajua\[VAS_CAJUA_CF_SEC_20230125.xlsx]CF PRBND'!</v>
      </c>
      <c r="G3152" s="6" t="s">
        <v>43</v>
      </c>
      <c r="H3152" s="1"/>
      <c r="I3152" s="1"/>
    </row>
    <row r="3153" spans="1:10" x14ac:dyDescent="0.2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Jaime\QUIFA-CAJÚA\Cajua\[VAS_CAJUA_CF_SEC_20230125.xlsx]CF PRBND'!</v>
      </c>
      <c r="G3153" s="6" t="s">
        <v>43</v>
      </c>
      <c r="H3153" s="1"/>
      <c r="I3153" s="1"/>
    </row>
    <row r="3154" spans="1:10" x14ac:dyDescent="0.2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Jaime\QUIFA-CAJÚA\Cajua\[VAS_CAJUA_CF_SEC_20230125.xlsx]CF PRBND'!</v>
      </c>
      <c r="G3154" s="6" t="s">
        <v>43</v>
      </c>
      <c r="H3154" s="1"/>
      <c r="I3154" s="1"/>
    </row>
    <row r="3155" spans="1:10" x14ac:dyDescent="0.25">
      <c r="A3155" s="7" t="s">
        <v>28</v>
      </c>
      <c r="B3155" s="6"/>
      <c r="C3155" s="1" t="s">
        <v>42</v>
      </c>
      <c r="D3155" s="2"/>
      <c r="E3155" s="9"/>
      <c r="F3155" s="5"/>
      <c r="G3155" s="6"/>
      <c r="H3155" s="1"/>
      <c r="I3155" s="1"/>
    </row>
    <row r="3156" spans="1:10" x14ac:dyDescent="0.2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Jaime\QUIFA-CAJÚA\Cajua\[VAS_CAJUA_CF_SEC_20230125.xlsx]CF PRB'!</v>
      </c>
      <c r="G3156" s="6" t="s">
        <v>43</v>
      </c>
      <c r="H3156" s="1">
        <f>IF(A3156&lt;&gt;A3026,36,H3026+1)</f>
        <v>36</v>
      </c>
      <c r="I3156" s="1" t="str">
        <f t="shared" si="691"/>
        <v>='C:\Users\jaime.benazar\Quorum Business Solutions\Ecopetrol Prometeo - Documents\Planning Space Implementation\3. Analysis &amp; Design\Design\FC22\DRR Jaime\QUIFA-CAJÚA\Cajua\[VAS_CAJUA_CF_SEC_20230125.xlsx]CF PRB'!$DI$36</v>
      </c>
      <c r="J3156" t="s">
        <v>1535</v>
      </c>
    </row>
    <row r="3157" spans="1:10" x14ac:dyDescent="0.2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Jaime\QUIFA-CAJÚA\Cajua\[VAS_CAJUA_CF_SEC_20230125.xlsx]CF PRB'!</v>
      </c>
      <c r="G3157" s="6" t="s">
        <v>43</v>
      </c>
      <c r="H3157" s="1">
        <f t="shared" si="692"/>
        <v>37</v>
      </c>
      <c r="I3157" s="1" t="str">
        <f t="shared" si="691"/>
        <v>='C:\Users\jaime.benazar\Quorum Business Solutions\Ecopetrol Prometeo - Documents\Planning Space Implementation\3. Analysis &amp; Design\Design\FC22\DRR Jaime\QUIFA-CAJÚA\Cajua\[VAS_CAJUA_CF_SEC_20230125.xlsx]CF PRB'!$DI$37</v>
      </c>
      <c r="J3157" t="s">
        <v>1536</v>
      </c>
    </row>
    <row r="3158" spans="1:10" x14ac:dyDescent="0.2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Jaime\QUIFA-CAJÚA\Cajua\[VAS_CAJUA_CF_SEC_20230125.xlsx]CF PRB'!</v>
      </c>
      <c r="G3158" s="6" t="s">
        <v>43</v>
      </c>
      <c r="H3158" s="1">
        <f t="shared" si="692"/>
        <v>38</v>
      </c>
      <c r="I3158" s="1" t="str">
        <f t="shared" si="691"/>
        <v>='C:\Users\jaime.benazar\Quorum Business Solutions\Ecopetrol Prometeo - Documents\Planning Space Implementation\3. Analysis &amp; Design\Design\FC22\DRR Jaime\QUIFA-CAJÚA\Cajua\[VAS_CAJUA_CF_SEC_20230125.xlsx]CF PRB'!$DI$38</v>
      </c>
      <c r="J3158" t="s">
        <v>1537</v>
      </c>
    </row>
    <row r="3159" spans="1:10" x14ac:dyDescent="0.2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Jaime\QUIFA-CAJÚA\Cajua\[VAS_CAJUA_CF_SEC_20230125.xlsx]CF PRB'!</v>
      </c>
      <c r="G3159" s="6" t="s">
        <v>43</v>
      </c>
      <c r="H3159" s="1">
        <f t="shared" si="692"/>
        <v>39</v>
      </c>
      <c r="I3159" s="1" t="str">
        <f t="shared" si="691"/>
        <v>='C:\Users\jaime.benazar\Quorum Business Solutions\Ecopetrol Prometeo - Documents\Planning Space Implementation\3. Analysis &amp; Design\Design\FC22\DRR Jaime\QUIFA-CAJÚA\Cajua\[VAS_CAJUA_CF_SEC_20230125.xlsx]CF PRB'!$DI$39</v>
      </c>
      <c r="J3159" t="s">
        <v>1538</v>
      </c>
    </row>
    <row r="3160" spans="1:10" x14ac:dyDescent="0.2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Jaime\QUIFA-CAJÚA\Cajua\[VAS_CAJUA_CF_SEC_20230125.xlsx]CF PRB'!</v>
      </c>
      <c r="G3160" s="6" t="s">
        <v>43</v>
      </c>
      <c r="H3160" s="1">
        <f t="shared" si="692"/>
        <v>40</v>
      </c>
      <c r="I3160" s="1" t="str">
        <f t="shared" si="691"/>
        <v>='C:\Users\jaime.benazar\Quorum Business Solutions\Ecopetrol Prometeo - Documents\Planning Space Implementation\3. Analysis &amp; Design\Design\FC22\DRR Jaime\QUIFA-CAJÚA\Cajua\[VAS_CAJUA_CF_SEC_20230125.xlsx]CF PRB'!$DI$40</v>
      </c>
      <c r="J3160" t="s">
        <v>1539</v>
      </c>
    </row>
    <row r="3161" spans="1:10" x14ac:dyDescent="0.2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Jaime\QUIFA-CAJÚA\Cajua\[VAS_CAJUA_CF_SEC_20230125.xlsx]CF PRB'!</v>
      </c>
      <c r="G3161" s="6" t="s">
        <v>43</v>
      </c>
      <c r="H3161" s="1">
        <f t="shared" si="692"/>
        <v>41</v>
      </c>
      <c r="I3161" s="1" t="str">
        <f t="shared" si="691"/>
        <v>='C:\Users\jaime.benazar\Quorum Business Solutions\Ecopetrol Prometeo - Documents\Planning Space Implementation\3. Analysis &amp; Design\Design\FC22\DRR Jaime\QUIFA-CAJÚA\Cajua\[VAS_CAJUA_CF_SEC_20230125.xlsx]CF PRB'!$DI$41</v>
      </c>
      <c r="J3161" t="s">
        <v>1540</v>
      </c>
    </row>
    <row r="3162" spans="1:10" x14ac:dyDescent="0.2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Jaime\QUIFA-CAJÚA\Cajua\[VAS_CAJUA_CF_SEC_20230125.xlsx]CF PRB'!</v>
      </c>
      <c r="G3162" s="6" t="s">
        <v>43</v>
      </c>
      <c r="H3162" s="1">
        <f t="shared" si="692"/>
        <v>42</v>
      </c>
      <c r="I3162" s="1" t="str">
        <f t="shared" si="691"/>
        <v>='C:\Users\jaime.benazar\Quorum Business Solutions\Ecopetrol Prometeo - Documents\Planning Space Implementation\3. Analysis &amp; Design\Design\FC22\DRR Jaime\QUIFA-CAJÚA\Cajua\[VAS_CAJUA_CF_SEC_20230125.xlsx]CF PRB'!$DI$42</v>
      </c>
      <c r="J3162" t="s">
        <v>1541</v>
      </c>
    </row>
    <row r="3163" spans="1:10" x14ac:dyDescent="0.2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Jaime\QUIFA-CAJÚA\Cajua\[VAS_CAJUA_CF_SEC_20230125.xlsx]CF PRB'!</v>
      </c>
      <c r="G3163" s="6" t="s">
        <v>43</v>
      </c>
      <c r="H3163" s="1">
        <f t="shared" si="692"/>
        <v>43</v>
      </c>
      <c r="I3163" s="1" t="str">
        <f t="shared" si="691"/>
        <v>='C:\Users\jaime.benazar\Quorum Business Solutions\Ecopetrol Prometeo - Documents\Planning Space Implementation\3. Analysis &amp; Design\Design\FC22\DRR Jaime\QUIFA-CAJÚA\Cajua\[VAS_CAJUA_CF_SEC_20230125.xlsx]CF PRB'!$DI$43</v>
      </c>
      <c r="J3163" t="s">
        <v>1542</v>
      </c>
    </row>
    <row r="3164" spans="1:10" x14ac:dyDescent="0.2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Jaime\QUIFA-CAJÚA\Cajua\[VAS_CAJUA_CF_SEC_20230125.xlsx]CF PRB'!</v>
      </c>
      <c r="G3164" s="6" t="s">
        <v>43</v>
      </c>
      <c r="H3164" s="1">
        <f t="shared" si="692"/>
        <v>44</v>
      </c>
      <c r="I3164" s="1" t="str">
        <f t="shared" si="691"/>
        <v>='C:\Users\jaime.benazar\Quorum Business Solutions\Ecopetrol Prometeo - Documents\Planning Space Implementation\3. Analysis &amp; Design\Design\FC22\DRR Jaime\QUIFA-CAJÚA\Cajua\[VAS_CAJUA_CF_SEC_20230125.xlsx]CF PRB'!$DI$44</v>
      </c>
      <c r="J3164" t="s">
        <v>1543</v>
      </c>
    </row>
    <row r="3165" spans="1:10" x14ac:dyDescent="0.2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Jaime\QUIFA-CAJÚA\Cajua\[VAS_CAJUA_CF_SEC_20230125.xlsx]CF PRB'!</v>
      </c>
      <c r="G3165" s="6" t="s">
        <v>43</v>
      </c>
      <c r="H3165" s="1">
        <f t="shared" si="692"/>
        <v>45</v>
      </c>
      <c r="I3165" s="1" t="str">
        <f t="shared" si="691"/>
        <v>='C:\Users\jaime.benazar\Quorum Business Solutions\Ecopetrol Prometeo - Documents\Planning Space Implementation\3. Analysis &amp; Design\Design\FC22\DRR Jaime\QUIFA-CAJÚA\Cajua\[VAS_CAJUA_CF_SEC_20230125.xlsx]CF PRB'!$DI$45</v>
      </c>
      <c r="J3165" t="s">
        <v>1544</v>
      </c>
    </row>
    <row r="3166" spans="1:10" x14ac:dyDescent="0.2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Jaime\QUIFA-CAJÚA\Cajua\[VAS_CAJUA_CF_SEC_20230125.xlsx]CF PRB'!</v>
      </c>
      <c r="G3166" s="6" t="s">
        <v>43</v>
      </c>
      <c r="H3166" s="1">
        <f t="shared" si="692"/>
        <v>46</v>
      </c>
      <c r="I3166" s="1" t="str">
        <f t="shared" si="691"/>
        <v>='C:\Users\jaime.benazar\Quorum Business Solutions\Ecopetrol Prometeo - Documents\Planning Space Implementation\3. Analysis &amp; Design\Design\FC22\DRR Jaime\QUIFA-CAJÚA\Cajua\[VAS_CAJUA_CF_SEC_20230125.xlsx]CF PRB'!$DI$46</v>
      </c>
      <c r="J3166" t="s">
        <v>1545</v>
      </c>
    </row>
    <row r="3167" spans="1:10" x14ac:dyDescent="0.2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Jaime\QUIFA-CAJÚA\Cajua\[VAS_CAJUA_CF_SEC_20230125.xlsx]CF PRB'!</v>
      </c>
      <c r="G3167" s="6" t="s">
        <v>43</v>
      </c>
      <c r="H3167" s="1">
        <f t="shared" si="692"/>
        <v>47</v>
      </c>
      <c r="I3167" s="1" t="str">
        <f t="shared" si="691"/>
        <v>='C:\Users\jaime.benazar\Quorum Business Solutions\Ecopetrol Prometeo - Documents\Planning Space Implementation\3. Analysis &amp; Design\Design\FC22\DRR Jaime\QUIFA-CAJÚA\Cajua\[VAS_CAJUA_CF_SEC_20230125.xlsx]CF PRB'!$DI$47</v>
      </c>
      <c r="J3167" t="s">
        <v>1546</v>
      </c>
    </row>
    <row r="3168" spans="1:10" x14ac:dyDescent="0.2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Jaime\QUIFA-CAJÚA\Cajua\[VAS_CAJUA_CF_SEC_20230125.xlsx]CF PRB'!</v>
      </c>
      <c r="G3168" s="6" t="s">
        <v>43</v>
      </c>
      <c r="H3168" s="1">
        <f t="shared" si="692"/>
        <v>48</v>
      </c>
      <c r="I3168" s="1" t="str">
        <f t="shared" si="691"/>
        <v>='C:\Users\jaime.benazar\Quorum Business Solutions\Ecopetrol Prometeo - Documents\Planning Space Implementation\3. Analysis &amp; Design\Design\FC22\DRR Jaime\QUIFA-CAJÚA\Cajua\[VAS_CAJUA_CF_SEC_20230125.xlsx]CF PRB'!$DI$48</v>
      </c>
      <c r="J3168" t="s">
        <v>1547</v>
      </c>
    </row>
    <row r="3169" spans="1:10" x14ac:dyDescent="0.2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Jaime\QUIFA-CAJÚA\Cajua\[VAS_CAJUA_CF_SEC_20230125.xlsx]CF PRB'!</v>
      </c>
      <c r="G3169" s="6" t="s">
        <v>43</v>
      </c>
      <c r="H3169" s="1">
        <f t="shared" si="692"/>
        <v>49</v>
      </c>
      <c r="I3169" s="1" t="str">
        <f t="shared" si="691"/>
        <v>='C:\Users\jaime.benazar\Quorum Business Solutions\Ecopetrol Prometeo - Documents\Planning Space Implementation\3. Analysis &amp; Design\Design\FC22\DRR Jaime\QUIFA-CAJÚA\Cajua\[VAS_CAJUA_CF_SEC_20230125.xlsx]CF PRB'!$DI$49</v>
      </c>
      <c r="J3169" t="s">
        <v>1548</v>
      </c>
    </row>
    <row r="3170" spans="1:10" x14ac:dyDescent="0.2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Jaime\QUIFA-CAJÚA\Cajua\[VAS_CAJUA_CF_SEC_20230125.xlsx]CF PRB'!</v>
      </c>
      <c r="G3170" s="6" t="s">
        <v>43</v>
      </c>
      <c r="H3170" s="1">
        <f t="shared" si="692"/>
        <v>50</v>
      </c>
      <c r="I3170" s="1" t="str">
        <f t="shared" si="691"/>
        <v>='C:\Users\jaime.benazar\Quorum Business Solutions\Ecopetrol Prometeo - Documents\Planning Space Implementation\3. Analysis &amp; Design\Design\FC22\DRR Jaime\QUIFA-CAJÚA\Cajua\[VAS_CAJUA_CF_SEC_20230125.xlsx]CF PRB'!$DI$50</v>
      </c>
      <c r="J3170" t="s">
        <v>1549</v>
      </c>
    </row>
    <row r="3171" spans="1:10" x14ac:dyDescent="0.2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Jaime\QUIFA-CAJÚA\Cajua\[VAS_CAJUA_CF_SEC_20230125.xlsx]CF PRB'!</v>
      </c>
      <c r="G3171" s="6" t="s">
        <v>43</v>
      </c>
      <c r="H3171" s="1">
        <f t="shared" si="692"/>
        <v>51</v>
      </c>
      <c r="I3171" s="1" t="str">
        <f t="shared" si="691"/>
        <v>='C:\Users\jaime.benazar\Quorum Business Solutions\Ecopetrol Prometeo - Documents\Planning Space Implementation\3. Analysis &amp; Design\Design\FC22\DRR Jaime\QUIFA-CAJÚA\Cajua\[VAS_CAJUA_CF_SEC_20230125.xlsx]CF PRB'!$DI$51</v>
      </c>
      <c r="J3171" t="s">
        <v>1550</v>
      </c>
    </row>
    <row r="3172" spans="1:10" x14ac:dyDescent="0.2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Jaime\QUIFA-CAJÚA\Cajua\[VAS_CAJUA_CF_SEC_20230125.xlsx]CF PRB'!</v>
      </c>
      <c r="G3172" s="6" t="s">
        <v>43</v>
      </c>
      <c r="H3172" s="1">
        <f t="shared" si="692"/>
        <v>52</v>
      </c>
      <c r="I3172" s="1" t="str">
        <f t="shared" si="691"/>
        <v>='C:\Users\jaime.benazar\Quorum Business Solutions\Ecopetrol Prometeo - Documents\Planning Space Implementation\3. Analysis &amp; Design\Design\FC22\DRR Jaime\QUIFA-CAJÚA\Cajua\[VAS_CAJUA_CF_SEC_20230125.xlsx]CF PRB'!$DI$52</v>
      </c>
      <c r="J3172" t="s">
        <v>1551</v>
      </c>
    </row>
    <row r="3173" spans="1:10" x14ac:dyDescent="0.2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Jaime\QUIFA-CAJÚA\Cajua\[VAS_CAJUA_CF_SEC_20230125.xlsx]CF PRB'!</v>
      </c>
      <c r="G3173" s="6" t="s">
        <v>43</v>
      </c>
      <c r="H3173" s="1">
        <f t="shared" si="692"/>
        <v>53</v>
      </c>
      <c r="I3173" s="1" t="str">
        <f t="shared" si="691"/>
        <v>='C:\Users\jaime.benazar\Quorum Business Solutions\Ecopetrol Prometeo - Documents\Planning Space Implementation\3. Analysis &amp; Design\Design\FC22\DRR Jaime\QUIFA-CAJÚA\Cajua\[VAS_CAJUA_CF_SEC_20230125.xlsx]CF PRB'!$DI$53</v>
      </c>
      <c r="J3173" t="s">
        <v>1552</v>
      </c>
    </row>
    <row r="3174" spans="1:10" x14ac:dyDescent="0.2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Jaime\QUIFA-CAJÚA\Cajua\[VAS_CAJUA_CF_SEC_20230125.xlsx]CF PRB'!</v>
      </c>
      <c r="G3174" s="6" t="s">
        <v>43</v>
      </c>
      <c r="H3174" s="1">
        <f t="shared" si="692"/>
        <v>54</v>
      </c>
      <c r="I3174" s="1" t="str">
        <f t="shared" si="691"/>
        <v>='C:\Users\jaime.benazar\Quorum Business Solutions\Ecopetrol Prometeo - Documents\Planning Space Implementation\3. Analysis &amp; Design\Design\FC22\DRR Jaime\QUIFA-CAJÚA\Cajua\[VAS_CAJUA_CF_SEC_20230125.xlsx]CF PRB'!$DI$54</v>
      </c>
      <c r="J3174" t="s">
        <v>1553</v>
      </c>
    </row>
    <row r="3175" spans="1:10" x14ac:dyDescent="0.2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Jaime\QUIFA-CAJÚA\Cajua\[VAS_CAJUA_CF_SEC_20230125.xlsx]CF PRB'!</v>
      </c>
      <c r="G3175" s="6" t="s">
        <v>43</v>
      </c>
      <c r="H3175" s="1">
        <f t="shared" si="692"/>
        <v>55</v>
      </c>
      <c r="I3175" s="1" t="str">
        <f t="shared" si="691"/>
        <v>='C:\Users\jaime.benazar\Quorum Business Solutions\Ecopetrol Prometeo - Documents\Planning Space Implementation\3. Analysis &amp; Design\Design\FC22\DRR Jaime\QUIFA-CAJÚA\Cajua\[VAS_CAJUA_CF_SEC_20230125.xlsx]CF PRB'!$DI$55</v>
      </c>
      <c r="J3175" t="s">
        <v>1554</v>
      </c>
    </row>
    <row r="3176" spans="1:10" x14ac:dyDescent="0.2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Jaime\QUIFA-CAJÚA\Cajua\[VAS_CAJUA_CF_SEC_20230125.xlsx]CF PRB'!</v>
      </c>
      <c r="G3176" s="6" t="s">
        <v>43</v>
      </c>
      <c r="H3176" s="1">
        <f t="shared" si="692"/>
        <v>56</v>
      </c>
      <c r="I3176" s="1" t="str">
        <f t="shared" si="691"/>
        <v>='C:\Users\jaime.benazar\Quorum Business Solutions\Ecopetrol Prometeo - Documents\Planning Space Implementation\3. Analysis &amp; Design\Design\FC22\DRR Jaime\QUIFA-CAJÚA\Cajua\[VAS_CAJUA_CF_SEC_20230125.xlsx]CF PRB'!$DI$56</v>
      </c>
      <c r="J3176" t="s">
        <v>1555</v>
      </c>
    </row>
    <row r="3177" spans="1:10" x14ac:dyDescent="0.2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Jaime\QUIFA-CAJÚA\Cajua\[VAS_CAJUA_CF_SEC_20230125.xlsx]CF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Jaime\QUIFA-CAJÚA\Cajua\[VAS_CAJUA_CF_SEC_20230125.xlsx]CF PRB'!$DI$57</v>
      </c>
      <c r="J3177" t="s">
        <v>1556</v>
      </c>
    </row>
    <row r="3178" spans="1:10" x14ac:dyDescent="0.2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Jaime\QUIFA-CAJÚA\Cajua\[VAS_CAJUA_CF_SEC_20230125.xlsx]CF PRB'!</v>
      </c>
      <c r="G3178" s="6" t="s">
        <v>43</v>
      </c>
      <c r="H3178" s="1">
        <f t="shared" si="728"/>
        <v>58</v>
      </c>
      <c r="I3178" s="1" t="str">
        <f t="shared" si="729"/>
        <v>='C:\Users\jaime.benazar\Quorum Business Solutions\Ecopetrol Prometeo - Documents\Planning Space Implementation\3. Analysis &amp; Design\Design\FC22\DRR Jaime\QUIFA-CAJÚA\Cajua\[VAS_CAJUA_CF_SEC_20230125.xlsx]CF PRB'!$DI$58</v>
      </c>
      <c r="J3178" t="s">
        <v>1557</v>
      </c>
    </row>
    <row r="3179" spans="1:10" x14ac:dyDescent="0.2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Jaime\QUIFA-CAJÚA\Cajua\[VAS_CAJUA_CF_SEC_20230125.xlsx]CF PRB'!</v>
      </c>
      <c r="G3179" s="6" t="s">
        <v>43</v>
      </c>
      <c r="H3179" s="1">
        <f t="shared" si="728"/>
        <v>59</v>
      </c>
      <c r="I3179" s="1" t="str">
        <f t="shared" si="729"/>
        <v>='C:\Users\jaime.benazar\Quorum Business Solutions\Ecopetrol Prometeo - Documents\Planning Space Implementation\3. Analysis &amp; Design\Design\FC22\DRR Jaime\QUIFA-CAJÚA\Cajua\[VAS_CAJUA_CF_SEC_20230125.xlsx]CF PRB'!$DI$59</v>
      </c>
      <c r="J3179" t="s">
        <v>1558</v>
      </c>
    </row>
    <row r="3180" spans="1:10" x14ac:dyDescent="0.2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Jaime\QUIFA-CAJÚA\Cajua\[VAS_CAJUA_CF_SEC_20230125.xlsx]CF PRB'!</v>
      </c>
      <c r="G3180" s="6" t="s">
        <v>43</v>
      </c>
      <c r="H3180" s="1">
        <f t="shared" si="728"/>
        <v>60</v>
      </c>
      <c r="I3180" s="1" t="str">
        <f t="shared" si="729"/>
        <v>='C:\Users\jaime.benazar\Quorum Business Solutions\Ecopetrol Prometeo - Documents\Planning Space Implementation\3. Analysis &amp; Design\Design\FC22\DRR Jaime\QUIFA-CAJÚA\Cajua\[VAS_CAJUA_CF_SEC_20230125.xlsx]CF PRB'!$DI$60</v>
      </c>
      <c r="J3180" t="s">
        <v>1559</v>
      </c>
    </row>
    <row r="3181" spans="1:10" x14ac:dyDescent="0.2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Jaime\QUIFA-CAJÚA\Cajua\[VAS_CAJUA_CF_SEC_20230125.xlsx]CF PRB'!</v>
      </c>
      <c r="G3181" s="6" t="s">
        <v>43</v>
      </c>
      <c r="H3181" s="1">
        <f t="shared" si="728"/>
        <v>61</v>
      </c>
      <c r="I3181" s="1" t="str">
        <f t="shared" si="729"/>
        <v>='C:\Users\jaime.benazar\Quorum Business Solutions\Ecopetrol Prometeo - Documents\Planning Space Implementation\3. Analysis &amp; Design\Design\FC22\DRR Jaime\QUIFA-CAJÚA\Cajua\[VAS_CAJUA_CF_SEC_20230125.xlsx]CF PRB'!$DI$61</v>
      </c>
      <c r="J3181" t="s">
        <v>1560</v>
      </c>
    </row>
    <row r="3182" spans="1:10" x14ac:dyDescent="0.2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Jaime\QUIFA-CAJÚA\Cajua\[VAS_CAJUA_CF_SEC_20230125.xlsx]CF PRB'!</v>
      </c>
      <c r="G3182" s="6" t="s">
        <v>43</v>
      </c>
      <c r="H3182" s="1">
        <f t="shared" si="728"/>
        <v>62</v>
      </c>
      <c r="I3182" s="1" t="str">
        <f t="shared" si="729"/>
        <v>='C:\Users\jaime.benazar\Quorum Business Solutions\Ecopetrol Prometeo - Documents\Planning Space Implementation\3. Analysis &amp; Design\Design\FC22\DRR Jaime\QUIFA-CAJÚA\Cajua\[VAS_CAJUA_CF_SEC_20230125.xlsx]CF PRB'!$DI$62</v>
      </c>
      <c r="J3182" t="s">
        <v>1561</v>
      </c>
    </row>
    <row r="3183" spans="1:10" x14ac:dyDescent="0.2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Jaime\QUIFA-CAJÚA\Cajua\[VAS_CAJUA_CF_SEC_20230125.xlsx]CF PRB'!</v>
      </c>
      <c r="G3183" s="6" t="s">
        <v>43</v>
      </c>
      <c r="H3183" s="1">
        <f t="shared" si="728"/>
        <v>63</v>
      </c>
      <c r="I3183" s="1" t="str">
        <f t="shared" si="729"/>
        <v>='C:\Users\jaime.benazar\Quorum Business Solutions\Ecopetrol Prometeo - Documents\Planning Space Implementation\3. Analysis &amp; Design\Design\FC22\DRR Jaime\QUIFA-CAJÚA\Cajua\[VAS_CAJUA_CF_SEC_20230125.xlsx]CF PRB'!$DI$63</v>
      </c>
      <c r="J3183" t="s">
        <v>1562</v>
      </c>
    </row>
    <row r="3184" spans="1:10" x14ac:dyDescent="0.2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Jaime\QUIFA-CAJÚA\Cajua\[VAS_CAJUA_CF_SEC_20230125.xlsx]CF PRB'!</v>
      </c>
      <c r="G3184" s="6" t="s">
        <v>43</v>
      </c>
      <c r="H3184" s="1">
        <f t="shared" si="728"/>
        <v>64</v>
      </c>
      <c r="I3184" s="1" t="str">
        <f t="shared" si="729"/>
        <v>='C:\Users\jaime.benazar\Quorum Business Solutions\Ecopetrol Prometeo - Documents\Planning Space Implementation\3. Analysis &amp; Design\Design\FC22\DRR Jaime\QUIFA-CAJÚA\Cajua\[VAS_CAJUA_CF_SEC_20230125.xlsx]CF PRB'!$DI$64</v>
      </c>
      <c r="J3184" t="s">
        <v>1563</v>
      </c>
    </row>
    <row r="3185" spans="1:10" x14ac:dyDescent="0.2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Jaime\QUIFA-CAJÚA\Cajua\[VAS_CAJUA_CF_SEC_20230125.xlsx]CF PRB'!</v>
      </c>
      <c r="G3185" s="6" t="s">
        <v>43</v>
      </c>
      <c r="H3185" s="1">
        <f t="shared" si="728"/>
        <v>65</v>
      </c>
      <c r="I3185" s="1" t="str">
        <f t="shared" si="729"/>
        <v>='C:\Users\jaime.benazar\Quorum Business Solutions\Ecopetrol Prometeo - Documents\Planning Space Implementation\3. Analysis &amp; Design\Design\FC22\DRR Jaime\QUIFA-CAJÚA\Cajua\[VAS_CAJUA_CF_SEC_20230125.xlsx]CF PRB'!$DI$65</v>
      </c>
      <c r="J3185" t="s">
        <v>1564</v>
      </c>
    </row>
    <row r="3186" spans="1:10" x14ac:dyDescent="0.2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Jaime\QUIFA-CAJÚA\Cajua\[VAS_CAJUA_CF_SEC_20230125.xlsx]CF PRB'!</v>
      </c>
      <c r="G3186" s="6" t="s">
        <v>43</v>
      </c>
      <c r="H3186" s="1">
        <f t="shared" si="728"/>
        <v>66</v>
      </c>
      <c r="I3186" s="1" t="str">
        <f t="shared" si="729"/>
        <v>='C:\Users\jaime.benazar\Quorum Business Solutions\Ecopetrol Prometeo - Documents\Planning Space Implementation\3. Analysis &amp; Design\Design\FC22\DRR Jaime\QUIFA-CAJÚA\Cajua\[VAS_CAJUA_CF_SEC_20230125.xlsx]CF PRB'!$DI$66</v>
      </c>
      <c r="J3186" t="s">
        <v>1565</v>
      </c>
    </row>
    <row r="3187" spans="1:10" x14ac:dyDescent="0.2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Jaime\QUIFA-CAJÚA\Cajua\[VAS_CAJUA_CF_SEC_20230125.xlsx]CF PRB'!</v>
      </c>
      <c r="G3187" s="6" t="s">
        <v>43</v>
      </c>
      <c r="H3187" s="1">
        <f t="shared" si="728"/>
        <v>67</v>
      </c>
      <c r="I3187" s="1" t="str">
        <f t="shared" si="729"/>
        <v>='C:\Users\jaime.benazar\Quorum Business Solutions\Ecopetrol Prometeo - Documents\Planning Space Implementation\3. Analysis &amp; Design\Design\FC22\DRR Jaime\QUIFA-CAJÚA\Cajua\[VAS_CAJUA_CF_SEC_20230125.xlsx]CF PRB'!$DI$67</v>
      </c>
      <c r="J3187" t="s">
        <v>1566</v>
      </c>
    </row>
    <row r="3188" spans="1:10" x14ac:dyDescent="0.2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Jaime\QUIFA-CAJÚA\Cajua\[VAS_CAJUA_CF_SEC_20230125.xlsx]CF PRB'!</v>
      </c>
      <c r="G3188" s="6" t="s">
        <v>43</v>
      </c>
      <c r="H3188" s="1">
        <f t="shared" si="728"/>
        <v>68</v>
      </c>
      <c r="I3188" s="1" t="str">
        <f t="shared" si="729"/>
        <v>='C:\Users\jaime.benazar\Quorum Business Solutions\Ecopetrol Prometeo - Documents\Planning Space Implementation\3. Analysis &amp; Design\Design\FC22\DRR Jaime\QUIFA-CAJÚA\Cajua\[VAS_CAJUA_CF_SEC_20230125.xlsx]CF PRB'!$DI$68</v>
      </c>
      <c r="J3188" t="s">
        <v>1567</v>
      </c>
    </row>
    <row r="3189" spans="1:10" x14ac:dyDescent="0.2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Jaime\QUIFA-CAJÚA\Cajua\[VAS_CAJUA_CF_SEC_20230125.xlsx]CF PRB'!</v>
      </c>
      <c r="G3189" s="6" t="s">
        <v>43</v>
      </c>
      <c r="H3189" s="1">
        <f t="shared" si="728"/>
        <v>69</v>
      </c>
      <c r="I3189" s="1" t="str">
        <f t="shared" si="729"/>
        <v>='C:\Users\jaime.benazar\Quorum Business Solutions\Ecopetrol Prometeo - Documents\Planning Space Implementation\3. Analysis &amp; Design\Design\FC22\DRR Jaime\QUIFA-CAJÚA\Cajua\[VAS_CAJUA_CF_SEC_20230125.xlsx]CF PRB'!$DI$69</v>
      </c>
      <c r="J3189" t="s">
        <v>1568</v>
      </c>
    </row>
    <row r="3190" spans="1:10" x14ac:dyDescent="0.2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Jaime\QUIFA-CAJÚA\Cajua\[VAS_CAJUA_CF_SEC_20230125.xlsx]CF PRB'!</v>
      </c>
      <c r="G3190" s="6" t="s">
        <v>43</v>
      </c>
      <c r="H3190" s="1">
        <f t="shared" si="728"/>
        <v>70</v>
      </c>
      <c r="I3190" s="1" t="str">
        <f t="shared" si="729"/>
        <v>='C:\Users\jaime.benazar\Quorum Business Solutions\Ecopetrol Prometeo - Documents\Planning Space Implementation\3. Analysis &amp; Design\Design\FC22\DRR Jaime\QUIFA-CAJÚA\Cajua\[VAS_CAJUA_CF_SEC_20230125.xlsx]CF PRB'!$DI$70</v>
      </c>
      <c r="J3190" t="s">
        <v>1569</v>
      </c>
    </row>
    <row r="3191" spans="1:10" x14ac:dyDescent="0.2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Jaime\QUIFA-CAJÚA\Cajua\[VAS_CAJUA_CF_SEC_20230125.xlsx]CF PRB'!</v>
      </c>
      <c r="G3191" s="6" t="s">
        <v>43</v>
      </c>
      <c r="H3191" s="1">
        <f t="shared" si="728"/>
        <v>71</v>
      </c>
      <c r="I3191" s="1" t="str">
        <f t="shared" si="729"/>
        <v>='C:\Users\jaime.benazar\Quorum Business Solutions\Ecopetrol Prometeo - Documents\Planning Space Implementation\3. Analysis &amp; Design\Design\FC22\DRR Jaime\QUIFA-CAJÚA\Cajua\[VAS_CAJUA_CF_SEC_20230125.xlsx]CF PRB'!$DI$71</v>
      </c>
      <c r="J3191" t="s">
        <v>1570</v>
      </c>
    </row>
    <row r="3192" spans="1:10" x14ac:dyDescent="0.2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Jaime\QUIFA-CAJÚA\Cajua\[VAS_CAJUA_CF_SEC_20230125.xlsx]CF PRB'!</v>
      </c>
      <c r="G3192" s="6" t="s">
        <v>43</v>
      </c>
      <c r="H3192" s="1">
        <f t="shared" si="728"/>
        <v>72</v>
      </c>
      <c r="I3192" s="1" t="str">
        <f t="shared" si="729"/>
        <v>='C:\Users\jaime.benazar\Quorum Business Solutions\Ecopetrol Prometeo - Documents\Planning Space Implementation\3. Analysis &amp; Design\Design\FC22\DRR Jaime\QUIFA-CAJÚA\Cajua\[VAS_CAJUA_CF_SEC_20230125.xlsx]CF PRB'!$DI$72</v>
      </c>
      <c r="J3192" t="s">
        <v>1571</v>
      </c>
    </row>
    <row r="3193" spans="1:10" x14ac:dyDescent="0.25">
      <c r="A3193" s="7" t="s">
        <v>28</v>
      </c>
      <c r="B3193" s="6"/>
      <c r="C3193" s="1" t="s">
        <v>42</v>
      </c>
      <c r="D3193" s="2"/>
      <c r="E3193" s="9"/>
      <c r="F3193" s="5"/>
      <c r="G3193" s="6"/>
      <c r="H3193" s="1"/>
      <c r="I3193" s="1"/>
      <c r="J3193" s="4"/>
    </row>
    <row r="3194" spans="1:10" x14ac:dyDescent="0.2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Jaime\QUIFA-CAJÚA\Cajua\[VAS_CAJUA_CF_SEC_20230125.xlsx]CF PSDP'!</v>
      </c>
      <c r="G3194" s="6" t="s">
        <v>43</v>
      </c>
      <c r="H3194" s="1"/>
      <c r="I3194" s="1"/>
    </row>
    <row r="3195" spans="1:10" x14ac:dyDescent="0.2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Jaime\QUIFA-CAJÚA\Cajua\[VAS_CAJUA_CF_SEC_20230125.xlsx]CF PSDP'!</v>
      </c>
      <c r="G3195" s="6" t="s">
        <v>43</v>
      </c>
      <c r="H3195" s="1"/>
      <c r="I3195" s="1"/>
    </row>
    <row r="3196" spans="1:10" x14ac:dyDescent="0.2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Jaime\QUIFA-CAJÚA\Cajua\[VAS_CAJUA_CF_SEC_20230125.xlsx]CF PSDP'!</v>
      </c>
      <c r="G3196" s="6" t="s">
        <v>43</v>
      </c>
      <c r="H3196" s="1"/>
      <c r="I3196" s="1"/>
    </row>
    <row r="3197" spans="1:10" x14ac:dyDescent="0.2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Jaime\QUIFA-CAJÚA\Cajua\[VAS_CAJUA_CF_SEC_20230125.xlsx]CF PSDP'!</v>
      </c>
      <c r="G3197" s="6" t="s">
        <v>43</v>
      </c>
      <c r="H3197" s="1"/>
      <c r="I3197" s="1"/>
    </row>
    <row r="3198" spans="1:10" x14ac:dyDescent="0.2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Jaime\QUIFA-CAJÚA\Cajua\[VAS_CAJUA_CF_SEC_20230125.xlsx]CF PSDP'!</v>
      </c>
      <c r="G3198" s="6" t="s">
        <v>43</v>
      </c>
      <c r="H3198" s="1"/>
      <c r="I3198" s="1"/>
    </row>
    <row r="3199" spans="1:10" x14ac:dyDescent="0.2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Jaime\QUIFA-CAJÚA\Cajua\[VAS_CAJUA_CF_SEC_20230125.xlsx]CF PSDP'!</v>
      </c>
      <c r="G3199" s="6" t="s">
        <v>43</v>
      </c>
      <c r="H3199" s="1"/>
      <c r="I3199" s="1"/>
    </row>
    <row r="3200" spans="1:10" x14ac:dyDescent="0.2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Jaime\QUIFA-CAJÚA\Cajua\[VAS_CAJUA_CF_SEC_20230125.xlsx]CF PSDP'!</v>
      </c>
      <c r="G3200" s="6" t="s">
        <v>43</v>
      </c>
      <c r="H3200" s="1"/>
      <c r="I3200" s="1"/>
    </row>
    <row r="3201" spans="1:9" x14ac:dyDescent="0.2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Jaime\QUIFA-CAJÚA\Cajua\[VAS_CAJUA_CF_SEC_20230125.xlsx]CF PSDP'!</v>
      </c>
      <c r="G3201" s="6" t="s">
        <v>43</v>
      </c>
      <c r="H3201" s="1"/>
      <c r="I3201" s="1"/>
    </row>
    <row r="3202" spans="1:9" x14ac:dyDescent="0.2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Jaime\QUIFA-CAJÚA\Cajua\[VAS_CAJUA_CF_SEC_20230125.xlsx]CF PSDP'!</v>
      </c>
      <c r="G3202" s="6" t="s">
        <v>43</v>
      </c>
      <c r="H3202" s="1"/>
      <c r="I3202" s="1"/>
    </row>
    <row r="3203" spans="1:9" x14ac:dyDescent="0.2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Jaime\QUIFA-CAJÚA\Cajua\[VAS_CAJUA_CF_SEC_20230125.xlsx]CF PSDP'!</v>
      </c>
      <c r="G3203" s="6" t="s">
        <v>43</v>
      </c>
      <c r="H3203" s="1"/>
      <c r="I3203" s="1"/>
    </row>
    <row r="3204" spans="1:9" x14ac:dyDescent="0.2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Jaime\QUIFA-CAJÚA\Cajua\[VAS_CAJUA_CF_SEC_20230125.xlsx]CF PSDP'!</v>
      </c>
      <c r="G3204" s="6" t="s">
        <v>43</v>
      </c>
      <c r="H3204" s="1"/>
      <c r="I3204" s="1"/>
    </row>
    <row r="3205" spans="1:9" x14ac:dyDescent="0.2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Jaime\QUIFA-CAJÚA\Cajua\[VAS_CAJUA_CF_SEC_20230125.xlsx]CF PSDP'!</v>
      </c>
      <c r="G3205" s="6" t="s">
        <v>43</v>
      </c>
      <c r="H3205" s="1"/>
      <c r="I3205" s="1"/>
    </row>
    <row r="3206" spans="1:9" x14ac:dyDescent="0.2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Jaime\QUIFA-CAJÚA\Cajua\[VAS_CAJUA_CF_SEC_20230125.xlsx]CF PSDP'!</v>
      </c>
      <c r="G3206" s="6" t="s">
        <v>43</v>
      </c>
      <c r="H3206" s="1"/>
      <c r="I3206" s="1"/>
    </row>
    <row r="3207" spans="1:9" x14ac:dyDescent="0.2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Jaime\QUIFA-CAJÚA\Cajua\[VAS_CAJUA_CF_SEC_20230125.xlsx]CF PSDP'!</v>
      </c>
      <c r="G3207" s="6" t="s">
        <v>43</v>
      </c>
      <c r="H3207" s="1"/>
      <c r="I3207" s="1"/>
    </row>
    <row r="3208" spans="1:9" x14ac:dyDescent="0.2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Jaime\QUIFA-CAJÚA\Cajua\[VAS_CAJUA_CF_SEC_20230125.xlsx]CF PSDP'!</v>
      </c>
      <c r="G3208" s="6" t="s">
        <v>43</v>
      </c>
      <c r="H3208" s="1"/>
      <c r="I3208" s="1"/>
    </row>
    <row r="3209" spans="1:9" x14ac:dyDescent="0.2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Jaime\QUIFA-CAJÚA\Cajua\[VAS_CAJUA_CF_SEC_20230125.xlsx]CF PSDP'!</v>
      </c>
      <c r="G3209" s="6" t="s">
        <v>43</v>
      </c>
      <c r="H3209" s="1"/>
      <c r="I3209" s="1"/>
    </row>
    <row r="3210" spans="1:9" x14ac:dyDescent="0.2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Jaime\QUIFA-CAJÚA\Cajua\[VAS_CAJUA_CF_SEC_20230125.xlsx]CF PSDP'!</v>
      </c>
      <c r="G3210" s="6" t="s">
        <v>43</v>
      </c>
      <c r="H3210" s="1"/>
      <c r="I3210" s="1"/>
    </row>
    <row r="3211" spans="1:9" x14ac:dyDescent="0.2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Jaime\QUIFA-CAJÚA\Cajua\[VAS_CAJUA_CF_SEC_20230125.xlsx]CF PSDP'!</v>
      </c>
      <c r="G3211" s="6" t="s">
        <v>43</v>
      </c>
      <c r="H3211" s="1"/>
      <c r="I3211" s="1"/>
    </row>
    <row r="3212" spans="1:9" x14ac:dyDescent="0.2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Jaime\QUIFA-CAJÚA\Cajua\[VAS_CAJUA_CF_SEC_20230125.xlsx]CF PSDP'!</v>
      </c>
      <c r="G3212" s="6" t="s">
        <v>43</v>
      </c>
      <c r="H3212" s="1"/>
      <c r="I3212" s="1"/>
    </row>
    <row r="3213" spans="1:9" x14ac:dyDescent="0.2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Jaime\QUIFA-CAJÚA\Cajua\[VAS_CAJUA_CF_SEC_20230125.xlsx]CF PSDP'!</v>
      </c>
      <c r="G3213" s="6" t="s">
        <v>43</v>
      </c>
      <c r="H3213" s="1"/>
      <c r="I3213" s="1"/>
    </row>
    <row r="3214" spans="1:9" x14ac:dyDescent="0.2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Jaime\QUIFA-CAJÚA\Cajua\[VAS_CAJUA_CF_SEC_20230125.xlsx]CF PSDP'!</v>
      </c>
      <c r="G3214" s="6" t="s">
        <v>43</v>
      </c>
      <c r="H3214" s="1"/>
      <c r="I3214" s="1"/>
    </row>
    <row r="3215" spans="1:9" x14ac:dyDescent="0.2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Jaime\QUIFA-CAJÚA\Cajua\[VAS_CAJUA_CF_SEC_20230125.xlsx]CF PSDP'!</v>
      </c>
      <c r="G3215" s="6" t="s">
        <v>43</v>
      </c>
      <c r="H3215" s="1"/>
      <c r="I3215" s="1"/>
    </row>
    <row r="3216" spans="1:9" x14ac:dyDescent="0.2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Jaime\QUIFA-CAJÚA\Cajua\[VAS_CAJUA_CF_SEC_20230125.xlsx]CF PSDP'!</v>
      </c>
      <c r="G3216" s="6" t="s">
        <v>43</v>
      </c>
      <c r="H3216" s="1"/>
      <c r="I3216" s="1"/>
    </row>
    <row r="3217" spans="1:9" x14ac:dyDescent="0.2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Jaime\QUIFA-CAJÚA\Cajua\[VAS_CAJUA_CF_SEC_20230125.xlsx]CF PSDP'!</v>
      </c>
      <c r="G3217" s="6" t="s">
        <v>43</v>
      </c>
      <c r="H3217" s="1"/>
      <c r="I3217" s="1"/>
    </row>
    <row r="3218" spans="1:9" x14ac:dyDescent="0.2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Jaime\QUIFA-CAJÚA\Cajua\[VAS_CAJUA_CF_SEC_20230125.xlsx]CF PSDP'!</v>
      </c>
      <c r="G3218" s="6" t="s">
        <v>43</v>
      </c>
      <c r="H3218" s="1"/>
      <c r="I3218" s="1"/>
    </row>
    <row r="3219" spans="1:9" x14ac:dyDescent="0.2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Jaime\QUIFA-CAJÚA\Cajua\[VAS_CAJUA_CF_SEC_20230125.xlsx]CF PSDP'!</v>
      </c>
      <c r="G3219" s="6" t="s">
        <v>43</v>
      </c>
      <c r="H3219" s="1"/>
      <c r="I3219" s="1"/>
    </row>
    <row r="3220" spans="1:9" x14ac:dyDescent="0.2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Jaime\QUIFA-CAJÚA\Cajua\[VAS_CAJUA_CF_SEC_20230125.xlsx]CF PSDP'!</v>
      </c>
      <c r="G3220" s="6" t="s">
        <v>43</v>
      </c>
      <c r="H3220" s="1"/>
      <c r="I3220" s="1"/>
    </row>
    <row r="3221" spans="1:9" x14ac:dyDescent="0.2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Jaime\QUIFA-CAJÚA\Cajua\[VAS_CAJUA_CF_SEC_20230125.xlsx]CF PSDP'!</v>
      </c>
      <c r="G3221" s="6" t="s">
        <v>43</v>
      </c>
      <c r="H3221" s="1"/>
      <c r="I3221" s="1"/>
    </row>
    <row r="3222" spans="1:9" x14ac:dyDescent="0.2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Jaime\QUIFA-CAJÚA\Cajua\[VAS_CAJUA_CF_SEC_20230125.xlsx]CF PSDP'!</v>
      </c>
      <c r="G3222" s="6" t="s">
        <v>43</v>
      </c>
      <c r="H3222" s="1"/>
      <c r="I3222" s="1"/>
    </row>
    <row r="3223" spans="1:9" x14ac:dyDescent="0.2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Jaime\QUIFA-CAJÚA\Cajua\[VAS_CAJUA_CF_SEC_20230125.xlsx]CF PSDP'!</v>
      </c>
      <c r="G3223" s="6" t="s">
        <v>43</v>
      </c>
      <c r="H3223" s="1"/>
      <c r="I3223" s="1"/>
    </row>
    <row r="3224" spans="1:9" x14ac:dyDescent="0.2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Jaime\QUIFA-CAJÚA\Cajua\[VAS_CAJUA_CF_SEC_20230125.xlsx]CF PSDP'!</v>
      </c>
      <c r="G3224" s="6" t="s">
        <v>43</v>
      </c>
      <c r="H3224" s="1"/>
      <c r="I3224" s="1"/>
    </row>
    <row r="3225" spans="1:9" x14ac:dyDescent="0.2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Jaime\QUIFA-CAJÚA\Cajua\[VAS_CAJUA_CF_SEC_20230125.xlsx]CF PSDP'!</v>
      </c>
      <c r="G3225" s="6" t="s">
        <v>43</v>
      </c>
      <c r="H3225" s="1"/>
      <c r="I3225" s="1"/>
    </row>
    <row r="3226" spans="1:9" x14ac:dyDescent="0.2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Jaime\QUIFA-CAJÚA\Cajua\[VAS_CAJUA_CF_SEC_20230125.xlsx]CF PSDP'!</v>
      </c>
      <c r="G3226" s="6" t="s">
        <v>43</v>
      </c>
      <c r="H3226" s="1"/>
      <c r="I3226" s="1"/>
    </row>
    <row r="3227" spans="1:9" x14ac:dyDescent="0.2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Jaime\QUIFA-CAJÚA\Cajua\[VAS_CAJUA_CF_SEC_20230125.xlsx]CF PSDP'!</v>
      </c>
      <c r="G3227" s="6" t="s">
        <v>43</v>
      </c>
      <c r="H3227" s="1"/>
      <c r="I3227" s="1"/>
    </row>
    <row r="3228" spans="1:9" x14ac:dyDescent="0.2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Jaime\QUIFA-CAJÚA\Cajua\[VAS_CAJUA_CF_SEC_20230125.xlsx]CF PSDP'!</v>
      </c>
      <c r="G3228" s="6" t="s">
        <v>43</v>
      </c>
      <c r="H3228" s="1"/>
      <c r="I3228" s="1"/>
    </row>
    <row r="3229" spans="1:9" x14ac:dyDescent="0.2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Jaime\QUIFA-CAJÚA\Cajua\[VAS_CAJUA_CF_SEC_20230125.xlsx]CF PSDP'!</v>
      </c>
      <c r="G3229" s="6" t="s">
        <v>43</v>
      </c>
      <c r="H3229" s="1"/>
      <c r="I3229" s="1"/>
    </row>
    <row r="3230" spans="1:9" x14ac:dyDescent="0.2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Jaime\QUIFA-CAJÚA\Cajua\[VAS_CAJUA_CF_SEC_20230125.xlsx]CF PSDP'!</v>
      </c>
      <c r="G3230" s="6" t="s">
        <v>43</v>
      </c>
      <c r="H3230" s="1"/>
      <c r="I3230" s="1"/>
    </row>
    <row r="3231" spans="1:9" x14ac:dyDescent="0.25">
      <c r="A3231" s="8" t="s">
        <v>28</v>
      </c>
      <c r="C3231" s="1" t="s">
        <v>42</v>
      </c>
      <c r="D3231" s="2"/>
      <c r="E3231" s="8" t="str">
        <f t="shared" si="731"/>
        <v>Total'!</v>
      </c>
      <c r="F3231" s="2"/>
    </row>
    <row r="3232" spans="1:9" x14ac:dyDescent="0.2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Jaime\QUIFA-CAJÚA\Cajua\[VAS_CAJUA_CF_SEC_20230125.xlsx]CF PSNP'!</v>
      </c>
      <c r="G3232" s="6" t="s">
        <v>43</v>
      </c>
      <c r="H3232" s="1"/>
      <c r="I3232" s="1"/>
    </row>
    <row r="3233" spans="1:9" x14ac:dyDescent="0.2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Jaime\QUIFA-CAJÚA\Cajua\[VAS_CAJUA_CF_SEC_20230125.xlsx]CF PSNP'!</v>
      </c>
      <c r="G3233" s="6" t="s">
        <v>43</v>
      </c>
      <c r="H3233" s="1"/>
      <c r="I3233" s="1"/>
    </row>
    <row r="3234" spans="1:9" x14ac:dyDescent="0.2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Jaime\QUIFA-CAJÚA\Cajua\[VAS_CAJUA_CF_SEC_20230125.xlsx]CF PSNP'!</v>
      </c>
      <c r="G3234" s="6" t="s">
        <v>43</v>
      </c>
      <c r="H3234" s="1"/>
      <c r="I3234" s="1"/>
    </row>
    <row r="3235" spans="1:9" x14ac:dyDescent="0.2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Jaime\QUIFA-CAJÚA\Cajua\[VAS_CAJUA_CF_SEC_20230125.xlsx]CF PSNP'!</v>
      </c>
      <c r="G3235" s="6" t="s">
        <v>43</v>
      </c>
      <c r="H3235" s="1"/>
      <c r="I3235" s="1"/>
    </row>
    <row r="3236" spans="1:9" x14ac:dyDescent="0.2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Jaime\QUIFA-CAJÚA\Cajua\[VAS_CAJUA_CF_SEC_20230125.xlsx]CF PSNP'!</v>
      </c>
      <c r="G3236" s="6" t="s">
        <v>43</v>
      </c>
      <c r="H3236" s="1"/>
      <c r="I3236" s="1"/>
    </row>
    <row r="3237" spans="1:9" x14ac:dyDescent="0.2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Jaime\QUIFA-CAJÚA\Cajua\[VAS_CAJUA_CF_SEC_20230125.xlsx]CF PSNP'!</v>
      </c>
      <c r="G3237" s="6" t="s">
        <v>43</v>
      </c>
      <c r="H3237" s="1"/>
      <c r="I3237" s="1"/>
    </row>
    <row r="3238" spans="1:9" x14ac:dyDescent="0.2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Jaime\QUIFA-CAJÚA\Cajua\[VAS_CAJUA_CF_SEC_20230125.xlsx]CF PSNP'!</v>
      </c>
      <c r="G3238" s="6" t="s">
        <v>43</v>
      </c>
      <c r="H3238" s="1"/>
      <c r="I3238" s="1"/>
    </row>
    <row r="3239" spans="1:9" x14ac:dyDescent="0.2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Jaime\QUIFA-CAJÚA\Cajua\[VAS_CAJUA_CF_SEC_20230125.xlsx]CF PSNP'!</v>
      </c>
      <c r="G3239" s="6" t="s">
        <v>43</v>
      </c>
      <c r="H3239" s="1"/>
      <c r="I3239" s="1"/>
    </row>
    <row r="3240" spans="1:9" x14ac:dyDescent="0.2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Jaime\QUIFA-CAJÚA\Cajua\[VAS_CAJUA_CF_SEC_20230125.xlsx]CF PSNP'!</v>
      </c>
      <c r="G3240" s="6" t="s">
        <v>43</v>
      </c>
      <c r="H3240" s="1"/>
      <c r="I3240" s="1"/>
    </row>
    <row r="3241" spans="1:9" x14ac:dyDescent="0.2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Jaime\QUIFA-CAJÚA\Cajua\[VAS_CAJUA_CF_SEC_20230125.xlsx]CF PSNP'!</v>
      </c>
      <c r="G3241" s="6" t="s">
        <v>43</v>
      </c>
      <c r="H3241" s="1"/>
      <c r="I3241" s="1"/>
    </row>
    <row r="3242" spans="1:9" x14ac:dyDescent="0.2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Jaime\QUIFA-CAJÚA\Cajua\[VAS_CAJUA_CF_SEC_20230125.xlsx]CF PSNP'!</v>
      </c>
      <c r="G3242" s="6" t="s">
        <v>43</v>
      </c>
      <c r="H3242" s="1"/>
      <c r="I3242" s="1"/>
    </row>
    <row r="3243" spans="1:9" x14ac:dyDescent="0.2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Jaime\QUIFA-CAJÚA\Cajua\[VAS_CAJUA_CF_SEC_20230125.xlsx]CF PSNP'!</v>
      </c>
      <c r="G3243" s="6" t="s">
        <v>43</v>
      </c>
      <c r="H3243" s="1"/>
      <c r="I3243" s="1"/>
    </row>
    <row r="3244" spans="1:9" x14ac:dyDescent="0.2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Jaime\QUIFA-CAJÚA\Cajua\[VAS_CAJUA_CF_SEC_20230125.xlsx]CF PSNP'!</v>
      </c>
      <c r="G3244" s="6" t="s">
        <v>43</v>
      </c>
      <c r="H3244" s="1"/>
      <c r="I3244" s="1"/>
    </row>
    <row r="3245" spans="1:9" x14ac:dyDescent="0.2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Jaime\QUIFA-CAJÚA\Cajua\[VAS_CAJUA_CF_SEC_20230125.xlsx]CF PSNP'!</v>
      </c>
      <c r="G3245" s="6" t="s">
        <v>43</v>
      </c>
      <c r="H3245" s="1"/>
      <c r="I3245" s="1"/>
    </row>
    <row r="3246" spans="1:9" x14ac:dyDescent="0.2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Jaime\QUIFA-CAJÚA\Cajua\[VAS_CAJUA_CF_SEC_20230125.xlsx]CF PSNP'!</v>
      </c>
      <c r="G3246" s="6" t="s">
        <v>43</v>
      </c>
      <c r="H3246" s="1"/>
      <c r="I3246" s="1"/>
    </row>
    <row r="3247" spans="1:9" x14ac:dyDescent="0.2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Jaime\QUIFA-CAJÚA\Cajua\[VAS_CAJUA_CF_SEC_20230125.xlsx]CF PSNP'!</v>
      </c>
      <c r="G3247" s="6" t="s">
        <v>43</v>
      </c>
      <c r="H3247" s="1"/>
      <c r="I3247" s="1"/>
    </row>
    <row r="3248" spans="1:9" x14ac:dyDescent="0.2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Jaime\QUIFA-CAJÚA\Cajua\[VAS_CAJUA_CF_SEC_20230125.xlsx]CF PSNP'!</v>
      </c>
      <c r="G3248" s="6" t="s">
        <v>43</v>
      </c>
      <c r="H3248" s="1"/>
      <c r="I3248" s="1"/>
    </row>
    <row r="3249" spans="1:9" x14ac:dyDescent="0.2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Jaime\QUIFA-CAJÚA\Cajua\[VAS_CAJUA_CF_SEC_20230125.xlsx]CF PSNP'!</v>
      </c>
      <c r="G3249" s="6" t="s">
        <v>43</v>
      </c>
      <c r="H3249" s="1"/>
      <c r="I3249" s="1"/>
    </row>
    <row r="3250" spans="1:9" x14ac:dyDescent="0.2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Jaime\QUIFA-CAJÚA\Cajua\[VAS_CAJUA_CF_SEC_20230125.xlsx]CF PSNP'!</v>
      </c>
      <c r="G3250" s="6" t="s">
        <v>43</v>
      </c>
      <c r="H3250" s="1"/>
      <c r="I3250" s="1"/>
    </row>
    <row r="3251" spans="1:9" x14ac:dyDescent="0.2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Jaime\QUIFA-CAJÚA\Cajua\[VAS_CAJUA_CF_SEC_20230125.xlsx]CF PSNP'!</v>
      </c>
      <c r="G3251" s="6" t="s">
        <v>43</v>
      </c>
      <c r="H3251" s="1"/>
      <c r="I3251" s="1"/>
    </row>
    <row r="3252" spans="1:9" x14ac:dyDescent="0.2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Jaime\QUIFA-CAJÚA\Cajua\[VAS_CAJUA_CF_SEC_20230125.xlsx]CF PSNP'!</v>
      </c>
      <c r="G3252" s="6" t="s">
        <v>43</v>
      </c>
      <c r="H3252" s="1"/>
      <c r="I3252" s="1"/>
    </row>
    <row r="3253" spans="1:9" x14ac:dyDescent="0.2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Jaime\QUIFA-CAJÚA\Cajua\[VAS_CAJUA_CF_SEC_20230125.xlsx]CF PSNP'!</v>
      </c>
      <c r="G3253" s="6" t="s">
        <v>43</v>
      </c>
      <c r="H3253" s="1"/>
      <c r="I3253" s="1"/>
    </row>
    <row r="3254" spans="1:9" x14ac:dyDescent="0.2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Jaime\QUIFA-CAJÚA\Cajua\[VAS_CAJUA_CF_SEC_20230125.xlsx]CF PSNP'!</v>
      </c>
      <c r="G3254" s="6" t="s">
        <v>43</v>
      </c>
      <c r="H3254" s="1"/>
      <c r="I3254" s="1"/>
    </row>
    <row r="3255" spans="1:9" x14ac:dyDescent="0.2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Jaime\QUIFA-CAJÚA\Cajua\[VAS_CAJUA_CF_SEC_20230125.xlsx]CF PSNP'!</v>
      </c>
      <c r="G3255" s="6" t="s">
        <v>43</v>
      </c>
      <c r="H3255" s="1"/>
      <c r="I3255" s="1"/>
    </row>
    <row r="3256" spans="1:9" x14ac:dyDescent="0.2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Jaime\QUIFA-CAJÚA\Cajua\[VAS_CAJUA_CF_SEC_20230125.xlsx]CF PSNP'!</v>
      </c>
      <c r="G3256" s="6" t="s">
        <v>43</v>
      </c>
      <c r="H3256" s="1"/>
      <c r="I3256" s="1"/>
    </row>
    <row r="3257" spans="1:9" x14ac:dyDescent="0.2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Jaime\QUIFA-CAJÚA\Cajua\[VAS_CAJUA_CF_SEC_20230125.xlsx]CF PSNP'!</v>
      </c>
      <c r="G3257" s="6" t="s">
        <v>43</v>
      </c>
      <c r="H3257" s="1"/>
      <c r="I3257" s="1"/>
    </row>
    <row r="3258" spans="1:9" x14ac:dyDescent="0.2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Jaime\QUIFA-CAJÚA\Cajua\[VAS_CAJUA_CF_SEC_20230125.xlsx]CF PSNP'!</v>
      </c>
      <c r="G3258" s="6" t="s">
        <v>43</v>
      </c>
      <c r="H3258" s="1"/>
      <c r="I3258" s="1"/>
    </row>
    <row r="3259" spans="1:9" x14ac:dyDescent="0.2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Jaime\QUIFA-CAJÚA\Cajua\[VAS_CAJUA_CF_SEC_20230125.xlsx]CF PSNP'!</v>
      </c>
      <c r="G3259" s="6" t="s">
        <v>43</v>
      </c>
      <c r="H3259" s="1"/>
      <c r="I3259" s="1"/>
    </row>
    <row r="3260" spans="1:9" x14ac:dyDescent="0.2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Jaime\QUIFA-CAJÚA\Cajua\[VAS_CAJUA_CF_SEC_20230125.xlsx]CF PSNP'!</v>
      </c>
      <c r="G3260" s="6" t="s">
        <v>43</v>
      </c>
      <c r="H3260" s="1"/>
      <c r="I3260" s="1"/>
    </row>
    <row r="3261" spans="1:9" x14ac:dyDescent="0.2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Jaime\QUIFA-CAJÚA\Cajua\[VAS_CAJUA_CF_SEC_20230125.xlsx]CF PSNP'!</v>
      </c>
      <c r="G3261" s="6" t="s">
        <v>43</v>
      </c>
      <c r="H3261" s="1"/>
      <c r="I3261" s="1"/>
    </row>
    <row r="3262" spans="1:9" x14ac:dyDescent="0.2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Jaime\QUIFA-CAJÚA\Cajua\[VAS_CAJUA_CF_SEC_20230125.xlsx]CF PSNP'!</v>
      </c>
      <c r="G3262" s="6" t="s">
        <v>43</v>
      </c>
      <c r="H3262" s="1"/>
      <c r="I3262" s="1"/>
    </row>
    <row r="3263" spans="1:9" x14ac:dyDescent="0.2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Jaime\QUIFA-CAJÚA\Cajua\[VAS_CAJUA_CF_SEC_20230125.xlsx]CF PSNP'!</v>
      </c>
      <c r="G3263" s="6" t="s">
        <v>43</v>
      </c>
      <c r="H3263" s="1"/>
      <c r="I3263" s="1"/>
    </row>
    <row r="3264" spans="1:9" x14ac:dyDescent="0.2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Jaime\QUIFA-CAJÚA\Cajua\[VAS_CAJUA_CF_SEC_20230125.xlsx]CF PSNP'!</v>
      </c>
      <c r="G3264" s="6" t="s">
        <v>43</v>
      </c>
      <c r="H3264" s="1"/>
      <c r="I3264" s="1"/>
    </row>
    <row r="3265" spans="1:9" x14ac:dyDescent="0.2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Jaime\QUIFA-CAJÚA\Cajua\[VAS_CAJUA_CF_SEC_20230125.xlsx]CF PSNP'!</v>
      </c>
      <c r="G3265" s="6" t="s">
        <v>43</v>
      </c>
      <c r="H3265" s="1"/>
      <c r="I3265" s="1"/>
    </row>
    <row r="3266" spans="1:9" x14ac:dyDescent="0.2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Jaime\QUIFA-CAJÚA\Cajua\[VAS_CAJUA_CF_SEC_20230125.xlsx]CF PSNP'!</v>
      </c>
      <c r="G3266" s="6" t="s">
        <v>43</v>
      </c>
      <c r="H3266" s="1"/>
      <c r="I3266" s="1"/>
    </row>
    <row r="3267" spans="1:9" x14ac:dyDescent="0.2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Jaime\QUIFA-CAJÚA\Cajua\[VAS_CAJUA_CF_SEC_20230125.xlsx]CF PSNP'!</v>
      </c>
      <c r="G3267" s="6" t="s">
        <v>43</v>
      </c>
      <c r="H3267" s="1"/>
      <c r="I3267" s="1"/>
    </row>
    <row r="3268" spans="1:9" x14ac:dyDescent="0.2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Jaime\QUIFA-CAJÚA\Cajua\[VAS_CAJUA_CF_SEC_20230125.xlsx]CF PSNP'!</v>
      </c>
      <c r="G3268" s="6" t="s">
        <v>43</v>
      </c>
      <c r="H3268" s="1"/>
      <c r="I3268" s="1"/>
    </row>
    <row r="3269" spans="1:9" x14ac:dyDescent="0.25">
      <c r="A3269" s="8" t="s">
        <v>28</v>
      </c>
      <c r="C3269" s="1" t="s">
        <v>42</v>
      </c>
      <c r="D3269" s="2"/>
      <c r="E3269" s="8" t="str">
        <f t="shared" si="739"/>
        <v>Total'!</v>
      </c>
      <c r="F3269" s="5"/>
    </row>
    <row r="3270" spans="1:9" x14ac:dyDescent="0.2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Jaime\QUIFA-CAJÚA\Cajua\[VAS_CAJUA_CF_SEC_20230125.xlsx]CF PSND'!</v>
      </c>
      <c r="G3270" s="6" t="s">
        <v>43</v>
      </c>
      <c r="H3270" s="1"/>
      <c r="I3270" s="1"/>
    </row>
    <row r="3271" spans="1:9" x14ac:dyDescent="0.2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Jaime\QUIFA-CAJÚA\Cajua\[VAS_CAJUA_CF_SEC_20230125.xlsx]CF PSND'!</v>
      </c>
      <c r="G3271" s="6" t="s">
        <v>43</v>
      </c>
      <c r="H3271" s="1"/>
      <c r="I3271" s="1"/>
    </row>
    <row r="3272" spans="1:9" x14ac:dyDescent="0.2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Jaime\QUIFA-CAJÚA\Cajua\[VAS_CAJUA_CF_SEC_20230125.xlsx]CF PSND'!</v>
      </c>
      <c r="G3272" s="6" t="s">
        <v>43</v>
      </c>
      <c r="H3272" s="1"/>
      <c r="I3272" s="1"/>
    </row>
    <row r="3273" spans="1:9" x14ac:dyDescent="0.2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Jaime\QUIFA-CAJÚA\Cajua\[VAS_CAJUA_CF_SEC_20230125.xlsx]CF PSND'!</v>
      </c>
      <c r="G3273" s="6" t="s">
        <v>43</v>
      </c>
      <c r="H3273" s="1"/>
      <c r="I3273" s="1"/>
    </row>
    <row r="3274" spans="1:9" x14ac:dyDescent="0.2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Jaime\QUIFA-CAJÚA\Cajua\[VAS_CAJUA_CF_SEC_20230125.xlsx]CF PSND'!</v>
      </c>
      <c r="G3274" s="6" t="s">
        <v>43</v>
      </c>
      <c r="H3274" s="1"/>
      <c r="I3274" s="1"/>
    </row>
    <row r="3275" spans="1:9" x14ac:dyDescent="0.2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Jaime\QUIFA-CAJÚA\Cajua\[VAS_CAJUA_CF_SEC_20230125.xlsx]CF PSND'!</v>
      </c>
      <c r="G3275" s="6" t="s">
        <v>43</v>
      </c>
      <c r="H3275" s="1"/>
      <c r="I3275" s="1"/>
    </row>
    <row r="3276" spans="1:9" x14ac:dyDescent="0.2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Jaime\QUIFA-CAJÚA\Cajua\[VAS_CAJUA_CF_SEC_20230125.xlsx]CF PSND'!</v>
      </c>
      <c r="G3276" s="6" t="s">
        <v>43</v>
      </c>
      <c r="H3276" s="1"/>
      <c r="I3276" s="1"/>
    </row>
    <row r="3277" spans="1:9" x14ac:dyDescent="0.2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Jaime\QUIFA-CAJÚA\Cajua\[VAS_CAJUA_CF_SEC_20230125.xlsx]CF PSND'!</v>
      </c>
      <c r="G3277" s="6" t="s">
        <v>43</v>
      </c>
      <c r="H3277" s="1"/>
      <c r="I3277" s="1"/>
    </row>
    <row r="3278" spans="1:9" x14ac:dyDescent="0.2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Jaime\QUIFA-CAJÚA\Cajua\[VAS_CAJUA_CF_SEC_20230125.xlsx]CF PSND'!</v>
      </c>
      <c r="G3278" s="6" t="s">
        <v>43</v>
      </c>
      <c r="H3278" s="1"/>
      <c r="I3278" s="1"/>
    </row>
    <row r="3279" spans="1:9" x14ac:dyDescent="0.2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Jaime\QUIFA-CAJÚA\Cajua\[VAS_CAJUA_CF_SEC_20230125.xlsx]CF PSND'!</v>
      </c>
      <c r="G3279" s="6" t="s">
        <v>43</v>
      </c>
      <c r="H3279" s="1"/>
      <c r="I3279" s="1"/>
    </row>
    <row r="3280" spans="1:9" x14ac:dyDescent="0.2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Jaime\QUIFA-CAJÚA\Cajua\[VAS_CAJUA_CF_SEC_20230125.xlsx]CF PSND'!</v>
      </c>
      <c r="G3280" s="6" t="s">
        <v>43</v>
      </c>
      <c r="H3280" s="1"/>
      <c r="I3280" s="1"/>
    </row>
    <row r="3281" spans="1:9" x14ac:dyDescent="0.2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Jaime\QUIFA-CAJÚA\Cajua\[VAS_CAJUA_CF_SEC_20230125.xlsx]CF PSND'!</v>
      </c>
      <c r="G3281" s="6" t="s">
        <v>43</v>
      </c>
      <c r="H3281" s="1"/>
      <c r="I3281" s="1"/>
    </row>
    <row r="3282" spans="1:9" x14ac:dyDescent="0.2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Jaime\QUIFA-CAJÚA\Cajua\[VAS_CAJUA_CF_SEC_20230125.xlsx]CF PSND'!</v>
      </c>
      <c r="G3282" s="6" t="s">
        <v>43</v>
      </c>
      <c r="H3282" s="1"/>
      <c r="I3282" s="1"/>
    </row>
    <row r="3283" spans="1:9" x14ac:dyDescent="0.2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Jaime\QUIFA-CAJÚA\Cajua\[VAS_CAJUA_CF_SEC_20230125.xlsx]CF PSND'!</v>
      </c>
      <c r="G3283" s="6" t="s">
        <v>43</v>
      </c>
      <c r="H3283" s="1"/>
      <c r="I3283" s="1"/>
    </row>
    <row r="3284" spans="1:9" x14ac:dyDescent="0.2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Jaime\QUIFA-CAJÚA\Cajua\[VAS_CAJUA_CF_SEC_20230125.xlsx]CF PSND'!</v>
      </c>
      <c r="G3284" s="6" t="s">
        <v>43</v>
      </c>
      <c r="H3284" s="1"/>
      <c r="I3284" s="1"/>
    </row>
    <row r="3285" spans="1:9" x14ac:dyDescent="0.2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Jaime\QUIFA-CAJÚA\Cajua\[VAS_CAJUA_CF_SEC_20230125.xlsx]CF PSND'!</v>
      </c>
      <c r="G3285" s="6" t="s">
        <v>43</v>
      </c>
      <c r="H3285" s="1"/>
      <c r="I3285" s="1"/>
    </row>
    <row r="3286" spans="1:9" x14ac:dyDescent="0.2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Jaime\QUIFA-CAJÚA\Cajua\[VAS_CAJUA_CF_SEC_20230125.xlsx]CF PSND'!</v>
      </c>
      <c r="G3286" s="6" t="s">
        <v>43</v>
      </c>
      <c r="H3286" s="1"/>
      <c r="I3286" s="1"/>
    </row>
    <row r="3287" spans="1:9" x14ac:dyDescent="0.2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Jaime\QUIFA-CAJÚA\Cajua\[VAS_CAJUA_CF_SEC_20230125.xlsx]CF PSND'!</v>
      </c>
      <c r="G3287" s="6" t="s">
        <v>43</v>
      </c>
      <c r="H3287" s="1"/>
      <c r="I3287" s="1"/>
    </row>
    <row r="3288" spans="1:9" x14ac:dyDescent="0.2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Jaime\QUIFA-CAJÚA\Cajua\[VAS_CAJUA_CF_SEC_20230125.xlsx]CF PSND'!</v>
      </c>
      <c r="G3288" s="6" t="s">
        <v>43</v>
      </c>
      <c r="H3288" s="1"/>
      <c r="I3288" s="1"/>
    </row>
    <row r="3289" spans="1:9" x14ac:dyDescent="0.2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Jaime\QUIFA-CAJÚA\Cajua\[VAS_CAJUA_CF_SEC_20230125.xlsx]CF PSND'!</v>
      </c>
      <c r="G3289" s="6" t="s">
        <v>43</v>
      </c>
      <c r="H3289" s="1"/>
      <c r="I3289" s="1"/>
    </row>
    <row r="3290" spans="1:9" x14ac:dyDescent="0.2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Jaime\QUIFA-CAJÚA\Cajua\[VAS_CAJUA_CF_SEC_20230125.xlsx]CF PSND'!</v>
      </c>
      <c r="G3290" s="6" t="s">
        <v>43</v>
      </c>
      <c r="H3290" s="1"/>
      <c r="I3290" s="1"/>
    </row>
    <row r="3291" spans="1:9" x14ac:dyDescent="0.2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Jaime\QUIFA-CAJÚA\Cajua\[VAS_CAJUA_CF_SEC_20230125.xlsx]CF PSND'!</v>
      </c>
      <c r="G3291" s="6" t="s">
        <v>43</v>
      </c>
      <c r="H3291" s="1"/>
      <c r="I3291" s="1"/>
    </row>
    <row r="3292" spans="1:9" x14ac:dyDescent="0.2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Jaime\QUIFA-CAJÚA\Cajua\[VAS_CAJUA_CF_SEC_20230125.xlsx]CF PSND'!</v>
      </c>
      <c r="G3292" s="6" t="s">
        <v>43</v>
      </c>
      <c r="H3292" s="1"/>
      <c r="I3292" s="1"/>
    </row>
    <row r="3293" spans="1:9" x14ac:dyDescent="0.2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Jaime\QUIFA-CAJÚA\Cajua\[VAS_CAJUA_CF_SEC_20230125.xlsx]CF PSND'!</v>
      </c>
      <c r="G3293" s="6" t="s">
        <v>43</v>
      </c>
      <c r="H3293" s="1"/>
      <c r="I3293" s="1"/>
    </row>
    <row r="3294" spans="1:9" x14ac:dyDescent="0.2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Jaime\QUIFA-CAJÚA\Cajua\[VAS_CAJUA_CF_SEC_20230125.xlsx]CF PSND'!</v>
      </c>
      <c r="G3294" s="6" t="s">
        <v>43</v>
      </c>
      <c r="H3294" s="1"/>
      <c r="I3294" s="1"/>
    </row>
    <row r="3295" spans="1:9" x14ac:dyDescent="0.2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Jaime\QUIFA-CAJÚA\Cajua\[VAS_CAJUA_CF_SEC_20230125.xlsx]CF PSND'!</v>
      </c>
      <c r="G3295" s="6" t="s">
        <v>43</v>
      </c>
      <c r="H3295" s="1"/>
      <c r="I3295" s="1"/>
    </row>
    <row r="3296" spans="1:9" x14ac:dyDescent="0.2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Jaime\QUIFA-CAJÚA\Cajua\[VAS_CAJUA_CF_SEC_20230125.xlsx]CF PSND'!</v>
      </c>
      <c r="G3296" s="6" t="s">
        <v>43</v>
      </c>
      <c r="H3296" s="1"/>
      <c r="I3296" s="1"/>
    </row>
    <row r="3297" spans="1:10" x14ac:dyDescent="0.2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Jaime\QUIFA-CAJÚA\Cajua\[VAS_CAJUA_CF_SEC_20230125.xlsx]CF PSND'!</v>
      </c>
      <c r="G3297" s="6" t="s">
        <v>43</v>
      </c>
      <c r="H3297" s="1"/>
      <c r="I3297" s="1"/>
    </row>
    <row r="3298" spans="1:10" x14ac:dyDescent="0.2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Jaime\QUIFA-CAJÚA\Cajua\[VAS_CAJUA_CF_SEC_20230125.xlsx]CF PSND'!</v>
      </c>
      <c r="G3298" s="6" t="s">
        <v>43</v>
      </c>
      <c r="H3298" s="1"/>
      <c r="I3298" s="1"/>
    </row>
    <row r="3299" spans="1:10" x14ac:dyDescent="0.2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Jaime\QUIFA-CAJÚA\Cajua\[VAS_CAJUA_CF_SEC_20230125.xlsx]CF PSND'!</v>
      </c>
      <c r="G3299" s="6" t="s">
        <v>43</v>
      </c>
      <c r="H3299" s="1"/>
      <c r="I3299" s="1"/>
    </row>
    <row r="3300" spans="1:10" x14ac:dyDescent="0.2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Jaime\QUIFA-CAJÚA\Cajua\[VAS_CAJUA_CF_SEC_20230125.xlsx]CF PSND'!</v>
      </c>
      <c r="G3300" s="6" t="s">
        <v>43</v>
      </c>
      <c r="H3300" s="1"/>
      <c r="I3300" s="1"/>
    </row>
    <row r="3301" spans="1:10" x14ac:dyDescent="0.2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Jaime\QUIFA-CAJÚA\Cajua\[VAS_CAJUA_CF_SEC_20230125.xlsx]CF PSND'!</v>
      </c>
      <c r="G3301" s="6" t="s">
        <v>43</v>
      </c>
      <c r="H3301" s="1"/>
      <c r="I3301" s="1"/>
    </row>
    <row r="3302" spans="1:10" x14ac:dyDescent="0.2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Jaime\QUIFA-CAJÚA\Cajua\[VAS_CAJUA_CF_SEC_20230125.xlsx]CF PSND'!</v>
      </c>
      <c r="G3302" s="6" t="s">
        <v>43</v>
      </c>
      <c r="H3302" s="1"/>
      <c r="I3302" s="1"/>
    </row>
    <row r="3303" spans="1:10" x14ac:dyDescent="0.2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Jaime\QUIFA-CAJÚA\Cajua\[VAS_CAJUA_CF_SEC_20230125.xlsx]CF PSND'!</v>
      </c>
      <c r="G3303" s="6" t="s">
        <v>43</v>
      </c>
      <c r="H3303" s="1"/>
      <c r="I3303" s="1"/>
    </row>
    <row r="3304" spans="1:10" x14ac:dyDescent="0.2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Jaime\QUIFA-CAJÚA\Cajua\[VAS_CAJUA_CF_SEC_20230125.xlsx]CF PSND'!</v>
      </c>
      <c r="G3304" s="6" t="s">
        <v>43</v>
      </c>
      <c r="H3304" s="1"/>
      <c r="I3304" s="1"/>
    </row>
    <row r="3305" spans="1:10" x14ac:dyDescent="0.2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Jaime\QUIFA-CAJÚA\Cajua\[VAS_CAJUA_CF_SEC_20230125.xlsx]CF PSND'!</v>
      </c>
      <c r="G3305" s="6" t="s">
        <v>43</v>
      </c>
      <c r="H3305" s="1"/>
      <c r="I3305" s="1"/>
    </row>
    <row r="3306" spans="1:10" x14ac:dyDescent="0.2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Jaime\QUIFA-CAJÚA\Cajua\[VAS_CAJUA_CF_SEC_20230125.xlsx]CF PSND'!</v>
      </c>
      <c r="G3306" s="6" t="s">
        <v>43</v>
      </c>
      <c r="H3306" s="1"/>
      <c r="I3306" s="1"/>
    </row>
    <row r="3307" spans="1:10" x14ac:dyDescent="0.25">
      <c r="A3307" s="8" t="s">
        <v>28</v>
      </c>
      <c r="C3307" s="1" t="s">
        <v>42</v>
      </c>
      <c r="D3307" s="2"/>
      <c r="E3307" s="8" t="str">
        <f t="shared" si="747"/>
        <v>Total'!</v>
      </c>
      <c r="F3307" s="2"/>
    </row>
    <row r="3308" spans="1:10" x14ac:dyDescent="0.2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Jaime\QUIFA-CAJÚA\Cajua\[VAS_CAJUA_CF_SEC_20230125.xlsx]CF PS'!</v>
      </c>
      <c r="G3308" s="6" t="s">
        <v>43</v>
      </c>
      <c r="H3308" s="1">
        <f>IF(A3308&lt;&gt;A3178,36,H3178+1)</f>
        <v>36</v>
      </c>
      <c r="I3308" s="1" t="str">
        <f t="shared" si="691"/>
        <v>='C:\Users\jaime.benazar\Quorum Business Solutions\Ecopetrol Prometeo - Documents\Planning Space Implementation\3. Analysis &amp; Design\Design\FC22\DRR Jaime\QUIFA-CAJÚA\Cajua\[VAS_CAJUA_CF_SEC_20230125.xlsx]CF PS'!$DI$36</v>
      </c>
      <c r="J3308" t="s">
        <v>1572</v>
      </c>
    </row>
    <row r="3309" spans="1:10" x14ac:dyDescent="0.2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Jaime\QUIFA-CAJÚA\Cajua\[VAS_CAJUA_CF_SEC_20230125.xlsx]CF PS'!</v>
      </c>
      <c r="G3309" s="6" t="s">
        <v>43</v>
      </c>
      <c r="H3309" s="1">
        <f t="shared" si="692"/>
        <v>37</v>
      </c>
      <c r="I3309" s="1" t="str">
        <f t="shared" si="691"/>
        <v>='C:\Users\jaime.benazar\Quorum Business Solutions\Ecopetrol Prometeo - Documents\Planning Space Implementation\3. Analysis &amp; Design\Design\FC22\DRR Jaime\QUIFA-CAJÚA\Cajua\[VAS_CAJUA_CF_SEC_20230125.xlsx]CF PS'!$DI$37</v>
      </c>
      <c r="J3309" t="s">
        <v>1573</v>
      </c>
    </row>
    <row r="3310" spans="1:10" x14ac:dyDescent="0.2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Jaime\QUIFA-CAJÚA\Cajua\[VAS_CAJUA_CF_SEC_20230125.xlsx]CF PS'!</v>
      </c>
      <c r="G3310" s="6" t="s">
        <v>43</v>
      </c>
      <c r="H3310" s="1">
        <f t="shared" si="692"/>
        <v>38</v>
      </c>
      <c r="I3310" s="1" t="str">
        <f t="shared" si="691"/>
        <v>='C:\Users\jaime.benazar\Quorum Business Solutions\Ecopetrol Prometeo - Documents\Planning Space Implementation\3. Analysis &amp; Design\Design\FC22\DRR Jaime\QUIFA-CAJÚA\Cajua\[VAS_CAJUA_CF_SEC_20230125.xlsx]CF PS'!$DI$38</v>
      </c>
      <c r="J3310" t="s">
        <v>1574</v>
      </c>
    </row>
    <row r="3311" spans="1:10" x14ac:dyDescent="0.2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Jaime\QUIFA-CAJÚA\Cajua\[VAS_CAJUA_CF_SEC_20230125.xlsx]CF PS'!</v>
      </c>
      <c r="G3311" s="6" t="s">
        <v>43</v>
      </c>
      <c r="H3311" s="1">
        <f t="shared" si="692"/>
        <v>39</v>
      </c>
      <c r="I3311" s="1" t="str">
        <f t="shared" si="691"/>
        <v>='C:\Users\jaime.benazar\Quorum Business Solutions\Ecopetrol Prometeo - Documents\Planning Space Implementation\3. Analysis &amp; Design\Design\FC22\DRR Jaime\QUIFA-CAJÚA\Cajua\[VAS_CAJUA_CF_SEC_20230125.xlsx]CF PS'!$DI$39</v>
      </c>
      <c r="J3311" t="s">
        <v>1575</v>
      </c>
    </row>
    <row r="3312" spans="1:10" x14ac:dyDescent="0.2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Jaime\QUIFA-CAJÚA\Cajua\[VAS_CAJUA_CF_SEC_20230125.xlsx]CF PS'!</v>
      </c>
      <c r="G3312" s="6" t="s">
        <v>43</v>
      </c>
      <c r="H3312" s="1">
        <f t="shared" si="692"/>
        <v>40</v>
      </c>
      <c r="I3312" s="1" t="str">
        <f t="shared" si="691"/>
        <v>='C:\Users\jaime.benazar\Quorum Business Solutions\Ecopetrol Prometeo - Documents\Planning Space Implementation\3. Analysis &amp; Design\Design\FC22\DRR Jaime\QUIFA-CAJÚA\Cajua\[VAS_CAJUA_CF_SEC_20230125.xlsx]CF PS'!$DI$40</v>
      </c>
      <c r="J3312" t="s">
        <v>1576</v>
      </c>
    </row>
    <row r="3313" spans="1:10" x14ac:dyDescent="0.2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Jaime\QUIFA-CAJÚA\Cajua\[VAS_CAJUA_CF_SEC_20230125.xlsx]CF PS'!</v>
      </c>
      <c r="G3313" s="6" t="s">
        <v>43</v>
      </c>
      <c r="H3313" s="1">
        <f t="shared" si="692"/>
        <v>41</v>
      </c>
      <c r="I3313" s="1" t="str">
        <f t="shared" si="691"/>
        <v>='C:\Users\jaime.benazar\Quorum Business Solutions\Ecopetrol Prometeo - Documents\Planning Space Implementation\3. Analysis &amp; Design\Design\FC22\DRR Jaime\QUIFA-CAJÚA\Cajua\[VAS_CAJUA_CF_SEC_20230125.xlsx]CF PS'!$DI$41</v>
      </c>
      <c r="J3313" t="s">
        <v>1577</v>
      </c>
    </row>
    <row r="3314" spans="1:10" x14ac:dyDescent="0.2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Jaime\QUIFA-CAJÚA\Cajua\[VAS_CAJUA_CF_SEC_20230125.xlsx]CF PS'!</v>
      </c>
      <c r="G3314" s="6" t="s">
        <v>43</v>
      </c>
      <c r="H3314" s="1">
        <f t="shared" si="692"/>
        <v>42</v>
      </c>
      <c r="I3314" s="1" t="str">
        <f t="shared" si="691"/>
        <v>='C:\Users\jaime.benazar\Quorum Business Solutions\Ecopetrol Prometeo - Documents\Planning Space Implementation\3. Analysis &amp; Design\Design\FC22\DRR Jaime\QUIFA-CAJÚA\Cajua\[VAS_CAJUA_CF_SEC_20230125.xlsx]CF PS'!$DI$42</v>
      </c>
      <c r="J3314" t="s">
        <v>1578</v>
      </c>
    </row>
    <row r="3315" spans="1:10" x14ac:dyDescent="0.2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Jaime\QUIFA-CAJÚA\Cajua\[VAS_CAJUA_CF_SEC_20230125.xlsx]CF PS'!</v>
      </c>
      <c r="G3315" s="6" t="s">
        <v>43</v>
      </c>
      <c r="H3315" s="1">
        <f t="shared" si="692"/>
        <v>43</v>
      </c>
      <c r="I3315" s="1" t="str">
        <f t="shared" si="691"/>
        <v>='C:\Users\jaime.benazar\Quorum Business Solutions\Ecopetrol Prometeo - Documents\Planning Space Implementation\3. Analysis &amp; Design\Design\FC22\DRR Jaime\QUIFA-CAJÚA\Cajua\[VAS_CAJUA_CF_SEC_20230125.xlsx]CF PS'!$DI$43</v>
      </c>
      <c r="J3315" t="s">
        <v>1579</v>
      </c>
    </row>
    <row r="3316" spans="1:10" x14ac:dyDescent="0.2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Jaime\QUIFA-CAJÚA\Cajua\[VAS_CAJUA_CF_SEC_20230125.xlsx]CF PS'!</v>
      </c>
      <c r="G3316" s="6" t="s">
        <v>43</v>
      </c>
      <c r="H3316" s="1">
        <f t="shared" si="692"/>
        <v>44</v>
      </c>
      <c r="I3316" s="1" t="str">
        <f t="shared" si="691"/>
        <v>='C:\Users\jaime.benazar\Quorum Business Solutions\Ecopetrol Prometeo - Documents\Planning Space Implementation\3. Analysis &amp; Design\Design\FC22\DRR Jaime\QUIFA-CAJÚA\Cajua\[VAS_CAJUA_CF_SEC_20230125.xlsx]CF PS'!$DI$44</v>
      </c>
      <c r="J3316" t="s">
        <v>1580</v>
      </c>
    </row>
    <row r="3317" spans="1:10" x14ac:dyDescent="0.2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Jaime\QUIFA-CAJÚA\Cajua\[VAS_CAJUA_CF_SEC_20230125.xlsx]CF PS'!</v>
      </c>
      <c r="G3317" s="6" t="s">
        <v>43</v>
      </c>
      <c r="H3317" s="1">
        <f t="shared" si="692"/>
        <v>45</v>
      </c>
      <c r="I3317" s="1" t="str">
        <f t="shared" si="691"/>
        <v>='C:\Users\jaime.benazar\Quorum Business Solutions\Ecopetrol Prometeo - Documents\Planning Space Implementation\3. Analysis &amp; Design\Design\FC22\DRR Jaime\QUIFA-CAJÚA\Cajua\[VAS_CAJUA_CF_SEC_20230125.xlsx]CF PS'!$DI$45</v>
      </c>
      <c r="J3317" t="s">
        <v>1581</v>
      </c>
    </row>
    <row r="3318" spans="1:10" x14ac:dyDescent="0.2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Jaime\QUIFA-CAJÚA\Cajua\[VAS_CAJUA_CF_SEC_20230125.xlsx]CF PS'!</v>
      </c>
      <c r="G3318" s="6" t="s">
        <v>43</v>
      </c>
      <c r="H3318" s="1">
        <f t="shared" si="692"/>
        <v>46</v>
      </c>
      <c r="I3318" s="1" t="str">
        <f t="shared" si="691"/>
        <v>='C:\Users\jaime.benazar\Quorum Business Solutions\Ecopetrol Prometeo - Documents\Planning Space Implementation\3. Analysis &amp; Design\Design\FC22\DRR Jaime\QUIFA-CAJÚA\Cajua\[VAS_CAJUA_CF_SEC_20230125.xlsx]CF PS'!$DI$46</v>
      </c>
      <c r="J3318" t="s">
        <v>1582</v>
      </c>
    </row>
    <row r="3319" spans="1:10" x14ac:dyDescent="0.2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Jaime\QUIFA-CAJÚA\Cajua\[VAS_CAJUA_CF_SEC_20230125.xlsx]CF PS'!</v>
      </c>
      <c r="G3319" s="6" t="s">
        <v>43</v>
      </c>
      <c r="H3319" s="1">
        <f t="shared" si="692"/>
        <v>47</v>
      </c>
      <c r="I3319" s="1" t="str">
        <f t="shared" si="691"/>
        <v>='C:\Users\jaime.benazar\Quorum Business Solutions\Ecopetrol Prometeo - Documents\Planning Space Implementation\3. Analysis &amp; Design\Design\FC22\DRR Jaime\QUIFA-CAJÚA\Cajua\[VAS_CAJUA_CF_SEC_20230125.xlsx]CF PS'!$DI$47</v>
      </c>
      <c r="J3319" t="s">
        <v>1583</v>
      </c>
    </row>
    <row r="3320" spans="1:10" x14ac:dyDescent="0.2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Jaime\QUIFA-CAJÚA\Cajua\[VAS_CAJUA_CF_SEC_20230125.xlsx]CF PS'!</v>
      </c>
      <c r="G3320" s="6" t="s">
        <v>43</v>
      </c>
      <c r="H3320" s="1">
        <f t="shared" si="692"/>
        <v>48</v>
      </c>
      <c r="I3320" s="1" t="str">
        <f t="shared" si="691"/>
        <v>='C:\Users\jaime.benazar\Quorum Business Solutions\Ecopetrol Prometeo - Documents\Planning Space Implementation\3. Analysis &amp; Design\Design\FC22\DRR Jaime\QUIFA-CAJÚA\Cajua\[VAS_CAJUA_CF_SEC_20230125.xlsx]CF PS'!$DI$48</v>
      </c>
      <c r="J3320" t="s">
        <v>1584</v>
      </c>
    </row>
    <row r="3321" spans="1:10" x14ac:dyDescent="0.2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Jaime\QUIFA-CAJÚA\Cajua\[VAS_CAJUA_CF_SEC_20230125.xlsx]CF PS'!</v>
      </c>
      <c r="G3321" s="6" t="s">
        <v>43</v>
      </c>
      <c r="H3321" s="1">
        <f t="shared" si="692"/>
        <v>49</v>
      </c>
      <c r="I3321" s="1" t="str">
        <f t="shared" si="691"/>
        <v>='C:\Users\jaime.benazar\Quorum Business Solutions\Ecopetrol Prometeo - Documents\Planning Space Implementation\3. Analysis &amp; Design\Design\FC22\DRR Jaime\QUIFA-CAJÚA\Cajua\[VAS_CAJUA_CF_SEC_20230125.xlsx]CF PS'!$DI$49</v>
      </c>
      <c r="J3321" t="s">
        <v>1585</v>
      </c>
    </row>
    <row r="3322" spans="1:10" x14ac:dyDescent="0.2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Jaime\QUIFA-CAJÚA\Cajua\[VAS_CAJUA_CF_SEC_20230125.xlsx]CF PS'!</v>
      </c>
      <c r="G3322" s="6" t="s">
        <v>43</v>
      </c>
      <c r="H3322" s="1">
        <f t="shared" si="692"/>
        <v>50</v>
      </c>
      <c r="I3322" s="1" t="str">
        <f t="shared" si="691"/>
        <v>='C:\Users\jaime.benazar\Quorum Business Solutions\Ecopetrol Prometeo - Documents\Planning Space Implementation\3. Analysis &amp; Design\Design\FC22\DRR Jaime\QUIFA-CAJÚA\Cajua\[VAS_CAJUA_CF_SEC_20230125.xlsx]CF PS'!$DI$50</v>
      </c>
      <c r="J3322" t="s">
        <v>1586</v>
      </c>
    </row>
    <row r="3323" spans="1:10" x14ac:dyDescent="0.2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Jaime\QUIFA-CAJÚA\Cajua\[VAS_CAJUA_CF_SEC_20230125.xlsx]CF PS'!</v>
      </c>
      <c r="G3323" s="6" t="s">
        <v>43</v>
      </c>
      <c r="H3323" s="1">
        <f t="shared" si="692"/>
        <v>51</v>
      </c>
      <c r="I3323" s="1" t="str">
        <f t="shared" si="691"/>
        <v>='C:\Users\jaime.benazar\Quorum Business Solutions\Ecopetrol Prometeo - Documents\Planning Space Implementation\3. Analysis &amp; Design\Design\FC22\DRR Jaime\QUIFA-CAJÚA\Cajua\[VAS_CAJUA_CF_SEC_20230125.xlsx]CF PS'!$DI$51</v>
      </c>
      <c r="J3323" t="s">
        <v>1587</v>
      </c>
    </row>
    <row r="3324" spans="1:10" x14ac:dyDescent="0.2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Jaime\QUIFA-CAJÚA\Cajua\[VAS_CAJUA_CF_SEC_20230125.xlsx]CF PS'!</v>
      </c>
      <c r="G3324" s="6" t="s">
        <v>43</v>
      </c>
      <c r="H3324" s="1">
        <f t="shared" si="692"/>
        <v>52</v>
      </c>
      <c r="I3324" s="1" t="str">
        <f t="shared" si="691"/>
        <v>='C:\Users\jaime.benazar\Quorum Business Solutions\Ecopetrol Prometeo - Documents\Planning Space Implementation\3. Analysis &amp; Design\Design\FC22\DRR Jaime\QUIFA-CAJÚA\Cajua\[VAS_CAJUA_CF_SEC_20230125.xlsx]CF PS'!$DI$52</v>
      </c>
      <c r="J3324" t="s">
        <v>1588</v>
      </c>
    </row>
    <row r="3325" spans="1:10" x14ac:dyDescent="0.2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Jaime\QUIFA-CAJÚA\Cajua\[VAS_CAJUA_CF_SEC_20230125.xlsx]CF PS'!</v>
      </c>
      <c r="G3325" s="6" t="s">
        <v>43</v>
      </c>
      <c r="H3325" s="1">
        <f t="shared" si="692"/>
        <v>53</v>
      </c>
      <c r="I3325" s="1" t="str">
        <f t="shared" si="691"/>
        <v>='C:\Users\jaime.benazar\Quorum Business Solutions\Ecopetrol Prometeo - Documents\Planning Space Implementation\3. Analysis &amp; Design\Design\FC22\DRR Jaime\QUIFA-CAJÚA\Cajua\[VAS_CAJUA_CF_SEC_20230125.xlsx]CF PS'!$DI$53</v>
      </c>
      <c r="J3325" t="s">
        <v>1589</v>
      </c>
    </row>
    <row r="3326" spans="1:10" x14ac:dyDescent="0.2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Jaime\QUIFA-CAJÚA\Cajua\[VAS_CAJUA_CF_SEC_20230125.xlsx]CF PS'!</v>
      </c>
      <c r="G3326" s="6" t="s">
        <v>43</v>
      </c>
      <c r="H3326" s="1">
        <f t="shared" si="692"/>
        <v>54</v>
      </c>
      <c r="I3326" s="1" t="str">
        <f t="shared" si="691"/>
        <v>='C:\Users\jaime.benazar\Quorum Business Solutions\Ecopetrol Prometeo - Documents\Planning Space Implementation\3. Analysis &amp; Design\Design\FC22\DRR Jaime\QUIFA-CAJÚA\Cajua\[VAS_CAJUA_CF_SEC_20230125.xlsx]CF PS'!$DI$54</v>
      </c>
      <c r="J3326" t="s">
        <v>1590</v>
      </c>
    </row>
    <row r="3327" spans="1:10" x14ac:dyDescent="0.2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Jaime\QUIFA-CAJÚA\Cajua\[VAS_CAJUA_CF_SEC_20230125.xlsx]CF PS'!</v>
      </c>
      <c r="G3327" s="6" t="s">
        <v>43</v>
      </c>
      <c r="H3327" s="1">
        <f t="shared" si="692"/>
        <v>55</v>
      </c>
      <c r="I3327" s="1" t="str">
        <f t="shared" si="691"/>
        <v>='C:\Users\jaime.benazar\Quorum Business Solutions\Ecopetrol Prometeo - Documents\Planning Space Implementation\3. Analysis &amp; Design\Design\FC22\DRR Jaime\QUIFA-CAJÚA\Cajua\[VAS_CAJUA_CF_SEC_20230125.xlsx]CF PS'!$DI$55</v>
      </c>
      <c r="J3327" t="s">
        <v>1591</v>
      </c>
    </row>
    <row r="3328" spans="1:10" x14ac:dyDescent="0.2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Jaime\QUIFA-CAJÚA\Cajua\[VAS_CAJUA_CF_SEC_20230125.xlsx]CF PS'!</v>
      </c>
      <c r="G3328" s="6" t="s">
        <v>43</v>
      </c>
      <c r="H3328" s="1">
        <f t="shared" si="692"/>
        <v>56</v>
      </c>
      <c r="I3328" s="1" t="str">
        <f t="shared" si="691"/>
        <v>='C:\Users\jaime.benazar\Quorum Business Solutions\Ecopetrol Prometeo - Documents\Planning Space Implementation\3. Analysis &amp; Design\Design\FC22\DRR Jaime\QUIFA-CAJÚA\Cajua\[VAS_CAJUA_CF_SEC_20230125.xlsx]CF PS'!$DI$56</v>
      </c>
      <c r="J3328" t="s">
        <v>1592</v>
      </c>
    </row>
    <row r="3329" spans="1:10" x14ac:dyDescent="0.2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Jaime\QUIFA-CAJÚA\Cajua\[VAS_CAJUA_CF_SEC_20230125.xlsx]CF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Jaime\QUIFA-CAJÚA\Cajua\[VAS_CAJUA_CF_SEC_20230125.xlsx]CF PS'!$DI$57</v>
      </c>
      <c r="J3329" t="s">
        <v>1593</v>
      </c>
    </row>
    <row r="3330" spans="1:10" x14ac:dyDescent="0.2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Jaime\QUIFA-CAJÚA\Cajua\[VAS_CAJUA_CF_SEC_20230125.xlsx]CF PS'!</v>
      </c>
      <c r="G3330" s="6" t="s">
        <v>43</v>
      </c>
      <c r="H3330" s="1">
        <f t="shared" si="761"/>
        <v>58</v>
      </c>
      <c r="I3330" s="1" t="str">
        <f t="shared" si="762"/>
        <v>='C:\Users\jaime.benazar\Quorum Business Solutions\Ecopetrol Prometeo - Documents\Planning Space Implementation\3. Analysis &amp; Design\Design\FC22\DRR Jaime\QUIFA-CAJÚA\Cajua\[VAS_CAJUA_CF_SEC_20230125.xlsx]CF PS'!$DI$58</v>
      </c>
      <c r="J3330" t="s">
        <v>1594</v>
      </c>
    </row>
    <row r="3331" spans="1:10" x14ac:dyDescent="0.2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Jaime\QUIFA-CAJÚA\Cajua\[VAS_CAJUA_CF_SEC_20230125.xlsx]CF PS'!</v>
      </c>
      <c r="G3331" s="6" t="s">
        <v>43</v>
      </c>
      <c r="H3331" s="1">
        <f t="shared" si="761"/>
        <v>59</v>
      </c>
      <c r="I3331" s="1" t="str">
        <f t="shared" si="762"/>
        <v>='C:\Users\jaime.benazar\Quorum Business Solutions\Ecopetrol Prometeo - Documents\Planning Space Implementation\3. Analysis &amp; Design\Design\FC22\DRR Jaime\QUIFA-CAJÚA\Cajua\[VAS_CAJUA_CF_SEC_20230125.xlsx]CF PS'!$DI$59</v>
      </c>
      <c r="J3331" t="s">
        <v>1595</v>
      </c>
    </row>
    <row r="3332" spans="1:10" x14ac:dyDescent="0.2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Jaime\QUIFA-CAJÚA\Cajua\[VAS_CAJUA_CF_SEC_20230125.xlsx]CF PS'!</v>
      </c>
      <c r="G3332" s="6" t="s">
        <v>43</v>
      </c>
      <c r="H3332" s="1">
        <f t="shared" si="761"/>
        <v>60</v>
      </c>
      <c r="I3332" s="1" t="str">
        <f t="shared" si="762"/>
        <v>='C:\Users\jaime.benazar\Quorum Business Solutions\Ecopetrol Prometeo - Documents\Planning Space Implementation\3. Analysis &amp; Design\Design\FC22\DRR Jaime\QUIFA-CAJÚA\Cajua\[VAS_CAJUA_CF_SEC_20230125.xlsx]CF PS'!$DI$60</v>
      </c>
      <c r="J3332" t="s">
        <v>1596</v>
      </c>
    </row>
    <row r="3333" spans="1:10" x14ac:dyDescent="0.2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Jaime\QUIFA-CAJÚA\Cajua\[VAS_CAJUA_CF_SEC_20230125.xlsx]CF PS'!</v>
      </c>
      <c r="G3333" s="6" t="s">
        <v>43</v>
      </c>
      <c r="H3333" s="1">
        <f t="shared" si="761"/>
        <v>61</v>
      </c>
      <c r="I3333" s="1" t="str">
        <f t="shared" si="762"/>
        <v>='C:\Users\jaime.benazar\Quorum Business Solutions\Ecopetrol Prometeo - Documents\Planning Space Implementation\3. Analysis &amp; Design\Design\FC22\DRR Jaime\QUIFA-CAJÚA\Cajua\[VAS_CAJUA_CF_SEC_20230125.xlsx]CF PS'!$DI$61</v>
      </c>
      <c r="J3333" t="s">
        <v>1597</v>
      </c>
    </row>
    <row r="3334" spans="1:10" x14ac:dyDescent="0.2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Jaime\QUIFA-CAJÚA\Cajua\[VAS_CAJUA_CF_SEC_20230125.xlsx]CF PS'!</v>
      </c>
      <c r="G3334" s="6" t="s">
        <v>43</v>
      </c>
      <c r="H3334" s="1">
        <f t="shared" si="761"/>
        <v>62</v>
      </c>
      <c r="I3334" s="1" t="str">
        <f t="shared" si="762"/>
        <v>='C:\Users\jaime.benazar\Quorum Business Solutions\Ecopetrol Prometeo - Documents\Planning Space Implementation\3. Analysis &amp; Design\Design\FC22\DRR Jaime\QUIFA-CAJÚA\Cajua\[VAS_CAJUA_CF_SEC_20230125.xlsx]CF PS'!$DI$62</v>
      </c>
      <c r="J3334" t="s">
        <v>1598</v>
      </c>
    </row>
    <row r="3335" spans="1:10" x14ac:dyDescent="0.2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Jaime\QUIFA-CAJÚA\Cajua\[VAS_CAJUA_CF_SEC_20230125.xlsx]CF PS'!</v>
      </c>
      <c r="G3335" s="6" t="s">
        <v>43</v>
      </c>
      <c r="H3335" s="1">
        <f t="shared" si="761"/>
        <v>63</v>
      </c>
      <c r="I3335" s="1" t="str">
        <f t="shared" si="762"/>
        <v>='C:\Users\jaime.benazar\Quorum Business Solutions\Ecopetrol Prometeo - Documents\Planning Space Implementation\3. Analysis &amp; Design\Design\FC22\DRR Jaime\QUIFA-CAJÚA\Cajua\[VAS_CAJUA_CF_SEC_20230125.xlsx]CF PS'!$DI$63</v>
      </c>
      <c r="J3335" t="s">
        <v>1599</v>
      </c>
    </row>
    <row r="3336" spans="1:10" x14ac:dyDescent="0.2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Jaime\QUIFA-CAJÚA\Cajua\[VAS_CAJUA_CF_SEC_20230125.xlsx]CF PS'!</v>
      </c>
      <c r="G3336" s="6" t="s">
        <v>43</v>
      </c>
      <c r="H3336" s="1">
        <f t="shared" si="761"/>
        <v>64</v>
      </c>
      <c r="I3336" s="1" t="str">
        <f t="shared" si="762"/>
        <v>='C:\Users\jaime.benazar\Quorum Business Solutions\Ecopetrol Prometeo - Documents\Planning Space Implementation\3. Analysis &amp; Design\Design\FC22\DRR Jaime\QUIFA-CAJÚA\Cajua\[VAS_CAJUA_CF_SEC_20230125.xlsx]CF PS'!$DI$64</v>
      </c>
      <c r="J3336" t="s">
        <v>1600</v>
      </c>
    </row>
    <row r="3337" spans="1:10" x14ac:dyDescent="0.2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Jaime\QUIFA-CAJÚA\Cajua\[VAS_CAJUA_CF_SEC_20230125.xlsx]CF PS'!</v>
      </c>
      <c r="G3337" s="6" t="s">
        <v>43</v>
      </c>
      <c r="H3337" s="1">
        <f t="shared" si="761"/>
        <v>65</v>
      </c>
      <c r="I3337" s="1" t="str">
        <f t="shared" si="762"/>
        <v>='C:\Users\jaime.benazar\Quorum Business Solutions\Ecopetrol Prometeo - Documents\Planning Space Implementation\3. Analysis &amp; Design\Design\FC22\DRR Jaime\QUIFA-CAJÚA\Cajua\[VAS_CAJUA_CF_SEC_20230125.xlsx]CF PS'!$DI$65</v>
      </c>
      <c r="J3337" t="s">
        <v>1601</v>
      </c>
    </row>
    <row r="3338" spans="1:10" x14ac:dyDescent="0.2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Jaime\QUIFA-CAJÚA\Cajua\[VAS_CAJUA_CF_SEC_20230125.xlsx]CF PS'!</v>
      </c>
      <c r="G3338" s="6" t="s">
        <v>43</v>
      </c>
      <c r="H3338" s="1">
        <f t="shared" si="761"/>
        <v>66</v>
      </c>
      <c r="I3338" s="1" t="str">
        <f t="shared" si="762"/>
        <v>='C:\Users\jaime.benazar\Quorum Business Solutions\Ecopetrol Prometeo - Documents\Planning Space Implementation\3. Analysis &amp; Design\Design\FC22\DRR Jaime\QUIFA-CAJÚA\Cajua\[VAS_CAJUA_CF_SEC_20230125.xlsx]CF PS'!$DI$66</v>
      </c>
      <c r="J3338" t="s">
        <v>1602</v>
      </c>
    </row>
    <row r="3339" spans="1:10" x14ac:dyDescent="0.2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Jaime\QUIFA-CAJÚA\Cajua\[VAS_CAJUA_CF_SEC_20230125.xlsx]CF PS'!</v>
      </c>
      <c r="G3339" s="6" t="s">
        <v>43</v>
      </c>
      <c r="H3339" s="1">
        <f t="shared" si="761"/>
        <v>67</v>
      </c>
      <c r="I3339" s="1" t="str">
        <f t="shared" si="762"/>
        <v>='C:\Users\jaime.benazar\Quorum Business Solutions\Ecopetrol Prometeo - Documents\Planning Space Implementation\3. Analysis &amp; Design\Design\FC22\DRR Jaime\QUIFA-CAJÚA\Cajua\[VAS_CAJUA_CF_SEC_20230125.xlsx]CF PS'!$DI$67</v>
      </c>
      <c r="J3339" t="s">
        <v>1603</v>
      </c>
    </row>
    <row r="3340" spans="1:10" x14ac:dyDescent="0.2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Jaime\QUIFA-CAJÚA\Cajua\[VAS_CAJUA_CF_SEC_20230125.xlsx]CF PS'!</v>
      </c>
      <c r="G3340" s="6" t="s">
        <v>43</v>
      </c>
      <c r="H3340" s="1">
        <f t="shared" si="761"/>
        <v>68</v>
      </c>
      <c r="I3340" s="1" t="str">
        <f t="shared" si="762"/>
        <v>='C:\Users\jaime.benazar\Quorum Business Solutions\Ecopetrol Prometeo - Documents\Planning Space Implementation\3. Analysis &amp; Design\Design\FC22\DRR Jaime\QUIFA-CAJÚA\Cajua\[VAS_CAJUA_CF_SEC_20230125.xlsx]CF PS'!$DI$68</v>
      </c>
      <c r="J3340" t="s">
        <v>1604</v>
      </c>
    </row>
    <row r="3341" spans="1:10" x14ac:dyDescent="0.2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Jaime\QUIFA-CAJÚA\Cajua\[VAS_CAJUA_CF_SEC_20230125.xlsx]CF PS'!</v>
      </c>
      <c r="G3341" s="6" t="s">
        <v>43</v>
      </c>
      <c r="H3341" s="1">
        <f t="shared" si="761"/>
        <v>69</v>
      </c>
      <c r="I3341" s="1" t="str">
        <f t="shared" si="762"/>
        <v>='C:\Users\jaime.benazar\Quorum Business Solutions\Ecopetrol Prometeo - Documents\Planning Space Implementation\3. Analysis &amp; Design\Design\FC22\DRR Jaime\QUIFA-CAJÚA\Cajua\[VAS_CAJUA_CF_SEC_20230125.xlsx]CF PS'!$DI$69</v>
      </c>
      <c r="J3341" t="s">
        <v>1605</v>
      </c>
    </row>
    <row r="3342" spans="1:10" x14ac:dyDescent="0.2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Jaime\QUIFA-CAJÚA\Cajua\[VAS_CAJUA_CF_SEC_20230125.xlsx]CF PS'!</v>
      </c>
      <c r="G3342" s="6" t="s">
        <v>43</v>
      </c>
      <c r="H3342" s="1">
        <f t="shared" si="761"/>
        <v>70</v>
      </c>
      <c r="I3342" s="1" t="str">
        <f t="shared" si="762"/>
        <v>='C:\Users\jaime.benazar\Quorum Business Solutions\Ecopetrol Prometeo - Documents\Planning Space Implementation\3. Analysis &amp; Design\Design\FC22\DRR Jaime\QUIFA-CAJÚA\Cajua\[VAS_CAJUA_CF_SEC_20230125.xlsx]CF PS'!$DI$70</v>
      </c>
      <c r="J3342" t="s">
        <v>1606</v>
      </c>
    </row>
    <row r="3343" spans="1:10" x14ac:dyDescent="0.2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Jaime\QUIFA-CAJÚA\Cajua\[VAS_CAJUA_CF_SEC_20230125.xlsx]CF PS'!</v>
      </c>
      <c r="G3343" s="6" t="s">
        <v>43</v>
      </c>
      <c r="H3343" s="1">
        <f t="shared" si="761"/>
        <v>71</v>
      </c>
      <c r="I3343" s="1" t="str">
        <f t="shared" si="762"/>
        <v>='C:\Users\jaime.benazar\Quorum Business Solutions\Ecopetrol Prometeo - Documents\Planning Space Implementation\3. Analysis &amp; Design\Design\FC22\DRR Jaime\QUIFA-CAJÚA\Cajua\[VAS_CAJUA_CF_SEC_20230125.xlsx]CF PS'!$DI$71</v>
      </c>
      <c r="J3343" t="s">
        <v>1607</v>
      </c>
    </row>
    <row r="3344" spans="1:10" x14ac:dyDescent="0.2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Jaime\QUIFA-CAJÚA\Cajua\[VAS_CAJUA_CF_SEC_20230125.xlsx]CF PS'!</v>
      </c>
      <c r="G3344" s="6" t="s">
        <v>43</v>
      </c>
      <c r="H3344" s="1">
        <f t="shared" si="761"/>
        <v>72</v>
      </c>
      <c r="I3344" s="1" t="str">
        <f t="shared" si="762"/>
        <v>='C:\Users\jaime.benazar\Quorum Business Solutions\Ecopetrol Prometeo - Documents\Planning Space Implementation\3. Analysis &amp; Design\Design\FC22\DRR Jaime\QUIFA-CAJÚA\Cajua\[VAS_CAJUA_CF_SEC_20230125.xlsx]CF PS'!$DI$72</v>
      </c>
      <c r="J3344" t="s">
        <v>1608</v>
      </c>
    </row>
    <row r="3345" spans="1:10" x14ac:dyDescent="0.25">
      <c r="A3345" s="8" t="s">
        <v>28</v>
      </c>
      <c r="C3345" s="1" t="s">
        <v>42</v>
      </c>
      <c r="D3345" s="2"/>
      <c r="E3345" s="8" t="str">
        <f t="shared" si="690"/>
        <v>Total'!</v>
      </c>
      <c r="F3345" s="5"/>
      <c r="J3345" s="4"/>
    </row>
    <row r="3346" spans="1:10" x14ac:dyDescent="0.2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Jaime\QUIFA-CAJÚA\Cajua\[VAS_CAJUA_CF_SEC_20230125.xlsx]CF PDP'!</v>
      </c>
      <c r="G3346" s="6" t="s">
        <v>59</v>
      </c>
      <c r="H3346" s="1">
        <f>IF(A3346&lt;&gt;A3345,36,H3345+1)</f>
        <v>36</v>
      </c>
      <c r="I3346" s="1" t="str">
        <f>_xlfn.CONCAT("='",F3346:H3346)</f>
        <v>='C:\Users\jaime.benazar\Quorum Business Solutions\Ecopetrol Prometeo - Documents\Planning Space Implementation\3. Analysis &amp; Design\Design\FC22\DRR Jaime\QUIFA-CAJÚA\Cajua\[VAS_CAJUA_CF_SEC_20230125.xlsx]CF PDP'!$BB$36</v>
      </c>
      <c r="J3346" s="12" t="s">
        <v>1609</v>
      </c>
    </row>
    <row r="3347" spans="1:10" x14ac:dyDescent="0.2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Jaime\QUIFA-CAJÚA\Cajua\[VAS_CAJUA_CF_SEC_20230125.xlsx]CF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Jaime\QUIFA-CAJÚA\Cajua\[VAS_CAJUA_CF_SEC_20230125.xlsx]CF PDP'!$BB$37</v>
      </c>
      <c r="J3347" s="1" t="s">
        <v>1610</v>
      </c>
    </row>
    <row r="3348" spans="1:10" x14ac:dyDescent="0.2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Jaime\QUIFA-CAJÚA\Cajua\[VAS_CAJUA_CF_SEC_20230125.xlsx]CF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Jaime\QUIFA-CAJÚA\Cajua\[VAS_CAJUA_CF_SEC_20230125.xlsx]CF PDP'!$BB$38</v>
      </c>
      <c r="J3348" s="1" t="s">
        <v>1611</v>
      </c>
    </row>
    <row r="3349" spans="1:10" x14ac:dyDescent="0.2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Jaime\QUIFA-CAJÚA\Cajua\[VAS_CAJUA_CF_SEC_20230125.xlsx]CF PDP'!</v>
      </c>
      <c r="G3349" s="6" t="s">
        <v>59</v>
      </c>
      <c r="H3349" s="1">
        <f t="shared" si="768"/>
        <v>39</v>
      </c>
      <c r="I3349" s="1" t="str">
        <f t="shared" si="766"/>
        <v>='C:\Users\jaime.benazar\Quorum Business Solutions\Ecopetrol Prometeo - Documents\Planning Space Implementation\3. Analysis &amp; Design\Design\FC22\DRR Jaime\QUIFA-CAJÚA\Cajua\[VAS_CAJUA_CF_SEC_20230125.xlsx]CF PDP'!$BB$39</v>
      </c>
      <c r="J3349" s="1" t="s">
        <v>1612</v>
      </c>
    </row>
    <row r="3350" spans="1:10" x14ac:dyDescent="0.2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Jaime\QUIFA-CAJÚA\Cajua\[VAS_CAJUA_CF_SEC_20230125.xlsx]CF PDP'!</v>
      </c>
      <c r="G3350" s="6" t="s">
        <v>59</v>
      </c>
      <c r="H3350" s="1">
        <f t="shared" si="768"/>
        <v>40</v>
      </c>
      <c r="I3350" s="1" t="str">
        <f t="shared" si="766"/>
        <v>='C:\Users\jaime.benazar\Quorum Business Solutions\Ecopetrol Prometeo - Documents\Planning Space Implementation\3. Analysis &amp; Design\Design\FC22\DRR Jaime\QUIFA-CAJÚA\Cajua\[VAS_CAJUA_CF_SEC_20230125.xlsx]CF PDP'!$BB$40</v>
      </c>
      <c r="J3350" s="1" t="s">
        <v>1613</v>
      </c>
    </row>
    <row r="3351" spans="1:10" x14ac:dyDescent="0.2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Jaime\QUIFA-CAJÚA\Cajua\[VAS_CAJUA_CF_SEC_20230125.xlsx]CF PDP'!</v>
      </c>
      <c r="G3351" s="6" t="s">
        <v>59</v>
      </c>
      <c r="H3351" s="1">
        <f t="shared" si="768"/>
        <v>41</v>
      </c>
      <c r="I3351" s="1" t="str">
        <f t="shared" si="766"/>
        <v>='C:\Users\jaime.benazar\Quorum Business Solutions\Ecopetrol Prometeo - Documents\Planning Space Implementation\3. Analysis &amp; Design\Design\FC22\DRR Jaime\QUIFA-CAJÚA\Cajua\[VAS_CAJUA_CF_SEC_20230125.xlsx]CF PDP'!$BB$41</v>
      </c>
      <c r="J3351" s="1" t="s">
        <v>1614</v>
      </c>
    </row>
    <row r="3352" spans="1:10" x14ac:dyDescent="0.2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Jaime\QUIFA-CAJÚA\Cajua\[VAS_CAJUA_CF_SEC_20230125.xlsx]CF PDP'!</v>
      </c>
      <c r="G3352" s="6" t="s">
        <v>59</v>
      </c>
      <c r="H3352" s="1">
        <f t="shared" si="768"/>
        <v>42</v>
      </c>
      <c r="I3352" s="1" t="str">
        <f t="shared" si="766"/>
        <v>='C:\Users\jaime.benazar\Quorum Business Solutions\Ecopetrol Prometeo - Documents\Planning Space Implementation\3. Analysis &amp; Design\Design\FC22\DRR Jaime\QUIFA-CAJÚA\Cajua\[VAS_CAJUA_CF_SEC_20230125.xlsx]CF PDP'!$BB$42</v>
      </c>
      <c r="J3352" s="1" t="s">
        <v>1615</v>
      </c>
    </row>
    <row r="3353" spans="1:10" x14ac:dyDescent="0.2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Jaime\QUIFA-CAJÚA\Cajua\[VAS_CAJUA_CF_SEC_20230125.xlsx]CF PDP'!</v>
      </c>
      <c r="G3353" s="6" t="s">
        <v>59</v>
      </c>
      <c r="H3353" s="1">
        <f t="shared" si="768"/>
        <v>43</v>
      </c>
      <c r="I3353" s="1" t="str">
        <f t="shared" si="766"/>
        <v>='C:\Users\jaime.benazar\Quorum Business Solutions\Ecopetrol Prometeo - Documents\Planning Space Implementation\3. Analysis &amp; Design\Design\FC22\DRR Jaime\QUIFA-CAJÚA\Cajua\[VAS_CAJUA_CF_SEC_20230125.xlsx]CF PDP'!$BB$43</v>
      </c>
      <c r="J3353" s="1" t="s">
        <v>1616</v>
      </c>
    </row>
    <row r="3354" spans="1:10" x14ac:dyDescent="0.2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Jaime\QUIFA-CAJÚA\Cajua\[VAS_CAJUA_CF_SEC_20230125.xlsx]CF PDP'!</v>
      </c>
      <c r="G3354" s="6" t="s">
        <v>59</v>
      </c>
      <c r="H3354" s="1">
        <f t="shared" si="768"/>
        <v>44</v>
      </c>
      <c r="I3354" s="1" t="str">
        <f t="shared" si="766"/>
        <v>='C:\Users\jaime.benazar\Quorum Business Solutions\Ecopetrol Prometeo - Documents\Planning Space Implementation\3. Analysis &amp; Design\Design\FC22\DRR Jaime\QUIFA-CAJÚA\Cajua\[VAS_CAJUA_CF_SEC_20230125.xlsx]CF PDP'!$BB$44</v>
      </c>
      <c r="J3354" s="1" t="s">
        <v>1617</v>
      </c>
    </row>
    <row r="3355" spans="1:10" x14ac:dyDescent="0.2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Jaime\QUIFA-CAJÚA\Cajua\[VAS_CAJUA_CF_SEC_20230125.xlsx]CF PDP'!</v>
      </c>
      <c r="G3355" s="6" t="s">
        <v>59</v>
      </c>
      <c r="H3355" s="1">
        <f t="shared" si="768"/>
        <v>45</v>
      </c>
      <c r="I3355" s="1" t="str">
        <f t="shared" si="766"/>
        <v>='C:\Users\jaime.benazar\Quorum Business Solutions\Ecopetrol Prometeo - Documents\Planning Space Implementation\3. Analysis &amp; Design\Design\FC22\DRR Jaime\QUIFA-CAJÚA\Cajua\[VAS_CAJUA_CF_SEC_20230125.xlsx]CF PDP'!$BB$45</v>
      </c>
      <c r="J3355" s="1" t="s">
        <v>1618</v>
      </c>
    </row>
    <row r="3356" spans="1:10" x14ac:dyDescent="0.2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Jaime\QUIFA-CAJÚA\Cajua\[VAS_CAJUA_CF_SEC_20230125.xlsx]CF PDP'!</v>
      </c>
      <c r="G3356" s="6" t="s">
        <v>59</v>
      </c>
      <c r="H3356" s="1">
        <f t="shared" si="768"/>
        <v>46</v>
      </c>
      <c r="I3356" s="1" t="str">
        <f t="shared" si="766"/>
        <v>='C:\Users\jaime.benazar\Quorum Business Solutions\Ecopetrol Prometeo - Documents\Planning Space Implementation\3. Analysis &amp; Design\Design\FC22\DRR Jaime\QUIFA-CAJÚA\Cajua\[VAS_CAJUA_CF_SEC_20230125.xlsx]CF PDP'!$BB$46</v>
      </c>
      <c r="J3356" s="1" t="s">
        <v>1619</v>
      </c>
    </row>
    <row r="3357" spans="1:10" x14ac:dyDescent="0.2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Jaime\QUIFA-CAJÚA\Cajua\[VAS_CAJUA_CF_SEC_20230125.xlsx]CF PDP'!</v>
      </c>
      <c r="G3357" s="6" t="s">
        <v>59</v>
      </c>
      <c r="H3357" s="1">
        <f t="shared" si="768"/>
        <v>47</v>
      </c>
      <c r="I3357" s="1" t="str">
        <f t="shared" si="766"/>
        <v>='C:\Users\jaime.benazar\Quorum Business Solutions\Ecopetrol Prometeo - Documents\Planning Space Implementation\3. Analysis &amp; Design\Design\FC22\DRR Jaime\QUIFA-CAJÚA\Cajua\[VAS_CAJUA_CF_SEC_20230125.xlsx]CF PDP'!$BB$47</v>
      </c>
      <c r="J3357" s="1" t="s">
        <v>1620</v>
      </c>
    </row>
    <row r="3358" spans="1:10" x14ac:dyDescent="0.2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Jaime\QUIFA-CAJÚA\Cajua\[VAS_CAJUA_CF_SEC_20230125.xlsx]CF PDP'!</v>
      </c>
      <c r="G3358" s="6" t="s">
        <v>59</v>
      </c>
      <c r="H3358" s="1">
        <f t="shared" si="768"/>
        <v>48</v>
      </c>
      <c r="I3358" s="1" t="str">
        <f t="shared" si="766"/>
        <v>='C:\Users\jaime.benazar\Quorum Business Solutions\Ecopetrol Prometeo - Documents\Planning Space Implementation\3. Analysis &amp; Design\Design\FC22\DRR Jaime\QUIFA-CAJÚA\Cajua\[VAS_CAJUA_CF_SEC_20230125.xlsx]CF PDP'!$BB$48</v>
      </c>
      <c r="J3358" s="1" t="s">
        <v>1621</v>
      </c>
    </row>
    <row r="3359" spans="1:10" x14ac:dyDescent="0.2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Jaime\QUIFA-CAJÚA\Cajua\[VAS_CAJUA_CF_SEC_20230125.xlsx]CF PDP'!</v>
      </c>
      <c r="G3359" s="6" t="s">
        <v>59</v>
      </c>
      <c r="H3359" s="1">
        <f t="shared" si="768"/>
        <v>49</v>
      </c>
      <c r="I3359" s="1" t="str">
        <f t="shared" si="766"/>
        <v>='C:\Users\jaime.benazar\Quorum Business Solutions\Ecopetrol Prometeo - Documents\Planning Space Implementation\3. Analysis &amp; Design\Design\FC22\DRR Jaime\QUIFA-CAJÚA\Cajua\[VAS_CAJUA_CF_SEC_20230125.xlsx]CF PDP'!$BB$49</v>
      </c>
      <c r="J3359" s="1" t="s">
        <v>1622</v>
      </c>
    </row>
    <row r="3360" spans="1:10" x14ac:dyDescent="0.2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Jaime\QUIFA-CAJÚA\Cajua\[VAS_CAJUA_CF_SEC_20230125.xlsx]CF PDP'!</v>
      </c>
      <c r="G3360" s="6" t="s">
        <v>59</v>
      </c>
      <c r="H3360" s="1">
        <f t="shared" si="768"/>
        <v>50</v>
      </c>
      <c r="I3360" s="1" t="str">
        <f t="shared" si="766"/>
        <v>='C:\Users\jaime.benazar\Quorum Business Solutions\Ecopetrol Prometeo - Documents\Planning Space Implementation\3. Analysis &amp; Design\Design\FC22\DRR Jaime\QUIFA-CAJÚA\Cajua\[VAS_CAJUA_CF_SEC_20230125.xlsx]CF PDP'!$BB$50</v>
      </c>
      <c r="J3360" s="1" t="s">
        <v>1623</v>
      </c>
    </row>
    <row r="3361" spans="1:10" x14ac:dyDescent="0.2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Jaime\QUIFA-CAJÚA\Cajua\[VAS_CAJUA_CF_SEC_20230125.xlsx]CF PDP'!</v>
      </c>
      <c r="G3361" s="6" t="s">
        <v>59</v>
      </c>
      <c r="H3361" s="1">
        <f t="shared" si="768"/>
        <v>51</v>
      </c>
      <c r="I3361" s="1" t="str">
        <f t="shared" si="766"/>
        <v>='C:\Users\jaime.benazar\Quorum Business Solutions\Ecopetrol Prometeo - Documents\Planning Space Implementation\3. Analysis &amp; Design\Design\FC22\DRR Jaime\QUIFA-CAJÚA\Cajua\[VAS_CAJUA_CF_SEC_20230125.xlsx]CF PDP'!$BB$51</v>
      </c>
      <c r="J3361" s="1" t="s">
        <v>1624</v>
      </c>
    </row>
    <row r="3362" spans="1:10" x14ac:dyDescent="0.2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Jaime\QUIFA-CAJÚA\Cajua\[VAS_CAJUA_CF_SEC_20230125.xlsx]CF PDP'!</v>
      </c>
      <c r="G3362" s="6" t="s">
        <v>59</v>
      </c>
      <c r="H3362" s="1">
        <f t="shared" si="768"/>
        <v>52</v>
      </c>
      <c r="I3362" s="1" t="str">
        <f t="shared" si="766"/>
        <v>='C:\Users\jaime.benazar\Quorum Business Solutions\Ecopetrol Prometeo - Documents\Planning Space Implementation\3. Analysis &amp; Design\Design\FC22\DRR Jaime\QUIFA-CAJÚA\Cajua\[VAS_CAJUA_CF_SEC_20230125.xlsx]CF PDP'!$BB$52</v>
      </c>
      <c r="J3362" s="1" t="s">
        <v>1625</v>
      </c>
    </row>
    <row r="3363" spans="1:10" x14ac:dyDescent="0.2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Jaime\QUIFA-CAJÚA\Cajua\[VAS_CAJUA_CF_SEC_20230125.xlsx]CF PDP'!</v>
      </c>
      <c r="G3363" s="6" t="s">
        <v>59</v>
      </c>
      <c r="H3363" s="1">
        <f t="shared" si="768"/>
        <v>53</v>
      </c>
      <c r="I3363" s="1" t="str">
        <f t="shared" si="766"/>
        <v>='C:\Users\jaime.benazar\Quorum Business Solutions\Ecopetrol Prometeo - Documents\Planning Space Implementation\3. Analysis &amp; Design\Design\FC22\DRR Jaime\QUIFA-CAJÚA\Cajua\[VAS_CAJUA_CF_SEC_20230125.xlsx]CF PDP'!$BB$53</v>
      </c>
      <c r="J3363" s="1" t="s">
        <v>1626</v>
      </c>
    </row>
    <row r="3364" spans="1:10" x14ac:dyDescent="0.2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Jaime\QUIFA-CAJÚA\Cajua\[VAS_CAJUA_CF_SEC_20230125.xlsx]CF PDP'!</v>
      </c>
      <c r="G3364" s="6" t="s">
        <v>59</v>
      </c>
      <c r="H3364" s="1">
        <f t="shared" si="768"/>
        <v>54</v>
      </c>
      <c r="I3364" s="1" t="str">
        <f t="shared" si="766"/>
        <v>='C:\Users\jaime.benazar\Quorum Business Solutions\Ecopetrol Prometeo - Documents\Planning Space Implementation\3. Analysis &amp; Design\Design\FC22\DRR Jaime\QUIFA-CAJÚA\Cajua\[VAS_CAJUA_CF_SEC_20230125.xlsx]CF PDP'!$BB$54</v>
      </c>
      <c r="J3364" s="1" t="s">
        <v>1627</v>
      </c>
    </row>
    <row r="3365" spans="1:10" x14ac:dyDescent="0.2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Jaime\QUIFA-CAJÚA\Cajua\[VAS_CAJUA_CF_SEC_20230125.xlsx]CF PDP'!</v>
      </c>
      <c r="G3365" s="6" t="s">
        <v>59</v>
      </c>
      <c r="H3365" s="1">
        <f t="shared" si="768"/>
        <v>55</v>
      </c>
      <c r="I3365" s="1" t="str">
        <f t="shared" si="766"/>
        <v>='C:\Users\jaime.benazar\Quorum Business Solutions\Ecopetrol Prometeo - Documents\Planning Space Implementation\3. Analysis &amp; Design\Design\FC22\DRR Jaime\QUIFA-CAJÚA\Cajua\[VAS_CAJUA_CF_SEC_20230125.xlsx]CF PDP'!$BB$55</v>
      </c>
      <c r="J3365" s="1" t="s">
        <v>1628</v>
      </c>
    </row>
    <row r="3366" spans="1:10" x14ac:dyDescent="0.2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Jaime\QUIFA-CAJÚA\Cajua\[VAS_CAJUA_CF_SEC_20230125.xlsx]CF PDP'!</v>
      </c>
      <c r="G3366" s="6" t="s">
        <v>59</v>
      </c>
      <c r="H3366" s="1">
        <f t="shared" si="768"/>
        <v>56</v>
      </c>
      <c r="I3366" s="1" t="str">
        <f t="shared" si="766"/>
        <v>='C:\Users\jaime.benazar\Quorum Business Solutions\Ecopetrol Prometeo - Documents\Planning Space Implementation\3. Analysis &amp; Design\Design\FC22\DRR Jaime\QUIFA-CAJÚA\Cajua\[VAS_CAJUA_CF_SEC_20230125.xlsx]CF PDP'!$BB$56</v>
      </c>
      <c r="J3366" s="1" t="s">
        <v>1629</v>
      </c>
    </row>
    <row r="3367" spans="1:10" x14ac:dyDescent="0.2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Jaime\QUIFA-CAJÚA\Cajua\[VAS_CAJUA_CF_SEC_20230125.xlsx]CF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Jaime\QUIFA-CAJÚA\Cajua\[VAS_CAJUA_CF_SEC_20230125.xlsx]CF PDP'!$BB$57</v>
      </c>
      <c r="J3367" s="1" t="s">
        <v>1630</v>
      </c>
    </row>
    <row r="3368" spans="1:10" x14ac:dyDescent="0.2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Jaime\QUIFA-CAJÚA\Cajua\[VAS_CAJUA_CF_SEC_20230125.xlsx]CF PDP'!</v>
      </c>
      <c r="G3368" s="6" t="s">
        <v>59</v>
      </c>
      <c r="H3368" s="1">
        <f t="shared" si="771"/>
        <v>58</v>
      </c>
      <c r="I3368" s="1" t="str">
        <f t="shared" si="772"/>
        <v>='C:\Users\jaime.benazar\Quorum Business Solutions\Ecopetrol Prometeo - Documents\Planning Space Implementation\3. Analysis &amp; Design\Design\FC22\DRR Jaime\QUIFA-CAJÚA\Cajua\[VAS_CAJUA_CF_SEC_20230125.xlsx]CF PDP'!$BB$58</v>
      </c>
      <c r="J3368" s="1" t="s">
        <v>1631</v>
      </c>
    </row>
    <row r="3369" spans="1:10" x14ac:dyDescent="0.2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Jaime\QUIFA-CAJÚA\Cajua\[VAS_CAJUA_CF_SEC_20230125.xlsx]CF PDP'!</v>
      </c>
      <c r="G3369" s="6" t="s">
        <v>59</v>
      </c>
      <c r="H3369" s="1">
        <f t="shared" si="771"/>
        <v>59</v>
      </c>
      <c r="I3369" s="1" t="str">
        <f t="shared" si="772"/>
        <v>='C:\Users\jaime.benazar\Quorum Business Solutions\Ecopetrol Prometeo - Documents\Planning Space Implementation\3. Analysis &amp; Design\Design\FC22\DRR Jaime\QUIFA-CAJÚA\Cajua\[VAS_CAJUA_CF_SEC_20230125.xlsx]CF PDP'!$BB$59</v>
      </c>
      <c r="J3369" s="1" t="s">
        <v>1632</v>
      </c>
    </row>
    <row r="3370" spans="1:10" x14ac:dyDescent="0.2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Jaime\QUIFA-CAJÚA\Cajua\[VAS_CAJUA_CF_SEC_20230125.xlsx]CF PDP'!</v>
      </c>
      <c r="G3370" s="6" t="s">
        <v>59</v>
      </c>
      <c r="H3370" s="1">
        <f t="shared" si="771"/>
        <v>60</v>
      </c>
      <c r="I3370" s="1" t="str">
        <f t="shared" si="772"/>
        <v>='C:\Users\jaime.benazar\Quorum Business Solutions\Ecopetrol Prometeo - Documents\Planning Space Implementation\3. Analysis &amp; Design\Design\FC22\DRR Jaime\QUIFA-CAJÚA\Cajua\[VAS_CAJUA_CF_SEC_20230125.xlsx]CF PDP'!$BB$60</v>
      </c>
      <c r="J3370" s="1" t="s">
        <v>1633</v>
      </c>
    </row>
    <row r="3371" spans="1:10" x14ac:dyDescent="0.2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Jaime\QUIFA-CAJÚA\Cajua\[VAS_CAJUA_CF_SEC_20230125.xlsx]CF PDP'!</v>
      </c>
      <c r="G3371" s="6" t="s">
        <v>59</v>
      </c>
      <c r="H3371" s="1">
        <f t="shared" si="771"/>
        <v>61</v>
      </c>
      <c r="I3371" s="1" t="str">
        <f t="shared" si="772"/>
        <v>='C:\Users\jaime.benazar\Quorum Business Solutions\Ecopetrol Prometeo - Documents\Planning Space Implementation\3. Analysis &amp; Design\Design\FC22\DRR Jaime\QUIFA-CAJÚA\Cajua\[VAS_CAJUA_CF_SEC_20230125.xlsx]CF PDP'!$BB$61</v>
      </c>
      <c r="J3371" s="1" t="s">
        <v>1634</v>
      </c>
    </row>
    <row r="3372" spans="1:10" x14ac:dyDescent="0.2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Jaime\QUIFA-CAJÚA\Cajua\[VAS_CAJUA_CF_SEC_20230125.xlsx]CF PDP'!</v>
      </c>
      <c r="G3372" s="6" t="s">
        <v>59</v>
      </c>
      <c r="H3372" s="1">
        <f t="shared" si="771"/>
        <v>62</v>
      </c>
      <c r="I3372" s="1" t="str">
        <f t="shared" si="772"/>
        <v>='C:\Users\jaime.benazar\Quorum Business Solutions\Ecopetrol Prometeo - Documents\Planning Space Implementation\3. Analysis &amp; Design\Design\FC22\DRR Jaime\QUIFA-CAJÚA\Cajua\[VAS_CAJUA_CF_SEC_20230125.xlsx]CF PDP'!$BB$62</v>
      </c>
      <c r="J3372" s="1" t="s">
        <v>1635</v>
      </c>
    </row>
    <row r="3373" spans="1:10" x14ac:dyDescent="0.2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Jaime\QUIFA-CAJÚA\Cajua\[VAS_CAJUA_CF_SEC_20230125.xlsx]CF PDP'!</v>
      </c>
      <c r="G3373" s="6" t="s">
        <v>59</v>
      </c>
      <c r="H3373" s="1">
        <f t="shared" si="771"/>
        <v>63</v>
      </c>
      <c r="I3373" s="1" t="str">
        <f t="shared" si="772"/>
        <v>='C:\Users\jaime.benazar\Quorum Business Solutions\Ecopetrol Prometeo - Documents\Planning Space Implementation\3. Analysis &amp; Design\Design\FC22\DRR Jaime\QUIFA-CAJÚA\Cajua\[VAS_CAJUA_CF_SEC_20230125.xlsx]CF PDP'!$BB$63</v>
      </c>
      <c r="J3373" s="1" t="s">
        <v>1636</v>
      </c>
    </row>
    <row r="3374" spans="1:10" x14ac:dyDescent="0.2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Jaime\QUIFA-CAJÚA\Cajua\[VAS_CAJUA_CF_SEC_20230125.xlsx]CF PDP'!</v>
      </c>
      <c r="G3374" s="6" t="s">
        <v>59</v>
      </c>
      <c r="H3374" s="1">
        <f t="shared" si="771"/>
        <v>64</v>
      </c>
      <c r="I3374" s="1" t="str">
        <f t="shared" si="772"/>
        <v>='C:\Users\jaime.benazar\Quorum Business Solutions\Ecopetrol Prometeo - Documents\Planning Space Implementation\3. Analysis &amp; Design\Design\FC22\DRR Jaime\QUIFA-CAJÚA\Cajua\[VAS_CAJUA_CF_SEC_20230125.xlsx]CF PDP'!$BB$64</v>
      </c>
      <c r="J3374" s="1" t="s">
        <v>1637</v>
      </c>
    </row>
    <row r="3375" spans="1:10" x14ac:dyDescent="0.2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Jaime\QUIFA-CAJÚA\Cajua\[VAS_CAJUA_CF_SEC_20230125.xlsx]CF PDP'!</v>
      </c>
      <c r="G3375" s="6" t="s">
        <v>59</v>
      </c>
      <c r="H3375" s="1">
        <f t="shared" si="771"/>
        <v>65</v>
      </c>
      <c r="I3375" s="1" t="str">
        <f t="shared" si="772"/>
        <v>='C:\Users\jaime.benazar\Quorum Business Solutions\Ecopetrol Prometeo - Documents\Planning Space Implementation\3. Analysis &amp; Design\Design\FC22\DRR Jaime\QUIFA-CAJÚA\Cajua\[VAS_CAJUA_CF_SEC_20230125.xlsx]CF PDP'!$BB$65</v>
      </c>
      <c r="J3375" s="1" t="s">
        <v>1638</v>
      </c>
    </row>
    <row r="3376" spans="1:10" x14ac:dyDescent="0.2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Jaime\QUIFA-CAJÚA\Cajua\[VAS_CAJUA_CF_SEC_20230125.xlsx]CF PDP'!</v>
      </c>
      <c r="G3376" s="6" t="s">
        <v>59</v>
      </c>
      <c r="H3376" s="1">
        <f t="shared" si="771"/>
        <v>66</v>
      </c>
      <c r="I3376" s="1" t="str">
        <f t="shared" si="772"/>
        <v>='C:\Users\jaime.benazar\Quorum Business Solutions\Ecopetrol Prometeo - Documents\Planning Space Implementation\3. Analysis &amp; Design\Design\FC22\DRR Jaime\QUIFA-CAJÚA\Cajua\[VAS_CAJUA_CF_SEC_20230125.xlsx]CF PDP'!$BB$66</v>
      </c>
      <c r="J3376" s="1" t="s">
        <v>1639</v>
      </c>
    </row>
    <row r="3377" spans="1:10" x14ac:dyDescent="0.2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Jaime\QUIFA-CAJÚA\Cajua\[VAS_CAJUA_CF_SEC_20230125.xlsx]CF PDP'!</v>
      </c>
      <c r="G3377" s="6" t="s">
        <v>59</v>
      </c>
      <c r="H3377" s="1">
        <f t="shared" si="771"/>
        <v>67</v>
      </c>
      <c r="I3377" s="1" t="str">
        <f t="shared" si="772"/>
        <v>='C:\Users\jaime.benazar\Quorum Business Solutions\Ecopetrol Prometeo - Documents\Planning Space Implementation\3. Analysis &amp; Design\Design\FC22\DRR Jaime\QUIFA-CAJÚA\Cajua\[VAS_CAJUA_CF_SEC_20230125.xlsx]CF PDP'!$BB$67</v>
      </c>
      <c r="J3377" s="1" t="s">
        <v>1640</v>
      </c>
    </row>
    <row r="3378" spans="1:10" x14ac:dyDescent="0.2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Jaime\QUIFA-CAJÚA\Cajua\[VAS_CAJUA_CF_SEC_20230125.xlsx]CF PDP'!</v>
      </c>
      <c r="G3378" s="6" t="s">
        <v>59</v>
      </c>
      <c r="H3378" s="1">
        <f t="shared" si="771"/>
        <v>68</v>
      </c>
      <c r="I3378" s="1" t="str">
        <f t="shared" si="772"/>
        <v>='C:\Users\jaime.benazar\Quorum Business Solutions\Ecopetrol Prometeo - Documents\Planning Space Implementation\3. Analysis &amp; Design\Design\FC22\DRR Jaime\QUIFA-CAJÚA\Cajua\[VAS_CAJUA_CF_SEC_20230125.xlsx]CF PDP'!$BB$68</v>
      </c>
      <c r="J3378" s="1" t="s">
        <v>1641</v>
      </c>
    </row>
    <row r="3379" spans="1:10" x14ac:dyDescent="0.2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Jaime\QUIFA-CAJÚA\Cajua\[VAS_CAJUA_CF_SEC_20230125.xlsx]CF PDP'!</v>
      </c>
      <c r="G3379" s="6" t="s">
        <v>59</v>
      </c>
      <c r="H3379" s="1">
        <f t="shared" si="771"/>
        <v>69</v>
      </c>
      <c r="I3379" s="1" t="str">
        <f t="shared" si="772"/>
        <v>='C:\Users\jaime.benazar\Quorum Business Solutions\Ecopetrol Prometeo - Documents\Planning Space Implementation\3. Analysis &amp; Design\Design\FC22\DRR Jaime\QUIFA-CAJÚA\Cajua\[VAS_CAJUA_CF_SEC_20230125.xlsx]CF PDP'!$BB$69</v>
      </c>
      <c r="J3379" s="1" t="s">
        <v>1642</v>
      </c>
    </row>
    <row r="3380" spans="1:10" x14ac:dyDescent="0.2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Jaime\QUIFA-CAJÚA\Cajua\[VAS_CAJUA_CF_SEC_20230125.xlsx]CF PDP'!</v>
      </c>
      <c r="G3380" s="6" t="s">
        <v>59</v>
      </c>
      <c r="H3380" s="1">
        <f t="shared" si="771"/>
        <v>70</v>
      </c>
      <c r="I3380" s="1" t="str">
        <f t="shared" si="772"/>
        <v>='C:\Users\jaime.benazar\Quorum Business Solutions\Ecopetrol Prometeo - Documents\Planning Space Implementation\3. Analysis &amp; Design\Design\FC22\DRR Jaime\QUIFA-CAJÚA\Cajua\[VAS_CAJUA_CF_SEC_20230125.xlsx]CF PDP'!$BB$70</v>
      </c>
      <c r="J3380" s="1" t="s">
        <v>1643</v>
      </c>
    </row>
    <row r="3381" spans="1:10" x14ac:dyDescent="0.2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Jaime\QUIFA-CAJÚA\Cajua\[VAS_CAJUA_CF_SEC_20230125.xlsx]CF PDP'!</v>
      </c>
      <c r="G3381" s="6" t="s">
        <v>59</v>
      </c>
      <c r="H3381" s="1">
        <f t="shared" si="771"/>
        <v>71</v>
      </c>
      <c r="I3381" s="1" t="str">
        <f t="shared" si="772"/>
        <v>='C:\Users\jaime.benazar\Quorum Business Solutions\Ecopetrol Prometeo - Documents\Planning Space Implementation\3. Analysis &amp; Design\Design\FC22\DRR Jaime\QUIFA-CAJÚA\Cajua\[VAS_CAJUA_CF_SEC_20230125.xlsx]CF PDP'!$BB$71</v>
      </c>
      <c r="J3381" s="1" t="s">
        <v>1644</v>
      </c>
    </row>
    <row r="3382" spans="1:10" x14ac:dyDescent="0.2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Jaime\QUIFA-CAJÚA\Cajua\[VAS_CAJUA_CF_SEC_20230125.xlsx]CF PDP'!</v>
      </c>
      <c r="G3382" s="6" t="s">
        <v>59</v>
      </c>
      <c r="H3382" s="1">
        <f t="shared" si="771"/>
        <v>72</v>
      </c>
      <c r="I3382" s="1" t="str">
        <f t="shared" si="772"/>
        <v>='C:\Users\jaime.benazar\Quorum Business Solutions\Ecopetrol Prometeo - Documents\Planning Space Implementation\3. Analysis &amp; Design\Design\FC22\DRR Jaime\QUIFA-CAJÚA\Cajua\[VAS_CAJUA_CF_SEC_20230125.xlsx]CF PDP'!$BB$72</v>
      </c>
      <c r="J3382" s="1" t="s">
        <v>1645</v>
      </c>
    </row>
    <row r="3383" spans="1:10" x14ac:dyDescent="0.25">
      <c r="A3383" s="6" t="s">
        <v>28</v>
      </c>
      <c r="B3383" s="6"/>
      <c r="C3383" s="1" t="s">
        <v>49</v>
      </c>
      <c r="D3383" s="2"/>
      <c r="E3383" s="9" t="str">
        <f t="shared" si="765"/>
        <v>Total'!</v>
      </c>
      <c r="F3383" s="2"/>
      <c r="G3383" s="6"/>
      <c r="H3383" s="1"/>
      <c r="I3383" s="1"/>
      <c r="J3383" s="4"/>
    </row>
    <row r="3384" spans="1:10" x14ac:dyDescent="0.2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Jaime\QUIFA-CAJÚA\Cajua\[VAS_CAJUA_CF_SEC_20230125.xlsx]CF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Jaime\QUIFA-CAJÚA\Cajua\[VAS_CAJUA_CF_SEC_20230125.xlsx]CF PNP'!$BB$36</v>
      </c>
      <c r="J3384" s="1" t="s">
        <v>1646</v>
      </c>
    </row>
    <row r="3385" spans="1:10" x14ac:dyDescent="0.2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Jaime\QUIFA-CAJÚA\Cajua\[VAS_CAJUA_CF_SEC_20230125.xlsx]CF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Jaime\QUIFA-CAJÚA\Cajua\[VAS_CAJUA_CF_SEC_20230125.xlsx]CF PNP'!$BB$37</v>
      </c>
      <c r="J3385" s="1" t="s">
        <v>1647</v>
      </c>
    </row>
    <row r="3386" spans="1:10" x14ac:dyDescent="0.2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Jaime\QUIFA-CAJÚA\Cajua\[VAS_CAJUA_CF_SEC_20230125.xlsx]CF PNP'!</v>
      </c>
      <c r="G3386" s="6" t="s">
        <v>59</v>
      </c>
      <c r="H3386" s="1">
        <f t="shared" si="775"/>
        <v>38</v>
      </c>
      <c r="I3386" s="1" t="str">
        <f t="shared" si="774"/>
        <v>='C:\Users\jaime.benazar\Quorum Business Solutions\Ecopetrol Prometeo - Documents\Planning Space Implementation\3. Analysis &amp; Design\Design\FC22\DRR Jaime\QUIFA-CAJÚA\Cajua\[VAS_CAJUA_CF_SEC_20230125.xlsx]CF PNP'!$BB$38</v>
      </c>
      <c r="J3386" s="1" t="s">
        <v>1648</v>
      </c>
    </row>
    <row r="3387" spans="1:10" x14ac:dyDescent="0.2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Jaime\QUIFA-CAJÚA\Cajua\[VAS_CAJUA_CF_SEC_20230125.xlsx]CF PNP'!</v>
      </c>
      <c r="G3387" s="6" t="s">
        <v>59</v>
      </c>
      <c r="H3387" s="1">
        <f t="shared" si="775"/>
        <v>39</v>
      </c>
      <c r="I3387" s="1" t="str">
        <f t="shared" si="774"/>
        <v>='C:\Users\jaime.benazar\Quorum Business Solutions\Ecopetrol Prometeo - Documents\Planning Space Implementation\3. Analysis &amp; Design\Design\FC22\DRR Jaime\QUIFA-CAJÚA\Cajua\[VAS_CAJUA_CF_SEC_20230125.xlsx]CF PNP'!$BB$39</v>
      </c>
      <c r="J3387" s="1" t="s">
        <v>1649</v>
      </c>
    </row>
    <row r="3388" spans="1:10" x14ac:dyDescent="0.2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Jaime\QUIFA-CAJÚA\Cajua\[VAS_CAJUA_CF_SEC_20230125.xlsx]CF PNP'!</v>
      </c>
      <c r="G3388" s="6" t="s">
        <v>59</v>
      </c>
      <c r="H3388" s="1">
        <f t="shared" si="775"/>
        <v>40</v>
      </c>
      <c r="I3388" s="1" t="str">
        <f t="shared" si="774"/>
        <v>='C:\Users\jaime.benazar\Quorum Business Solutions\Ecopetrol Prometeo - Documents\Planning Space Implementation\3. Analysis &amp; Design\Design\FC22\DRR Jaime\QUIFA-CAJÚA\Cajua\[VAS_CAJUA_CF_SEC_20230125.xlsx]CF PNP'!$BB$40</v>
      </c>
      <c r="J3388" s="1" t="s">
        <v>1650</v>
      </c>
    </row>
    <row r="3389" spans="1:10" x14ac:dyDescent="0.2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Jaime\QUIFA-CAJÚA\Cajua\[VAS_CAJUA_CF_SEC_20230125.xlsx]CF PNP'!</v>
      </c>
      <c r="G3389" s="6" t="s">
        <v>59</v>
      </c>
      <c r="H3389" s="1">
        <f t="shared" si="775"/>
        <v>41</v>
      </c>
      <c r="I3389" s="1" t="str">
        <f t="shared" si="774"/>
        <v>='C:\Users\jaime.benazar\Quorum Business Solutions\Ecopetrol Prometeo - Documents\Planning Space Implementation\3. Analysis &amp; Design\Design\FC22\DRR Jaime\QUIFA-CAJÚA\Cajua\[VAS_CAJUA_CF_SEC_20230125.xlsx]CF PNP'!$BB$41</v>
      </c>
      <c r="J3389" s="1" t="s">
        <v>1651</v>
      </c>
    </row>
    <row r="3390" spans="1:10" x14ac:dyDescent="0.2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Jaime\QUIFA-CAJÚA\Cajua\[VAS_CAJUA_CF_SEC_20230125.xlsx]CF PNP'!</v>
      </c>
      <c r="G3390" s="6" t="s">
        <v>59</v>
      </c>
      <c r="H3390" s="1">
        <f t="shared" si="775"/>
        <v>42</v>
      </c>
      <c r="I3390" s="1" t="str">
        <f t="shared" si="774"/>
        <v>='C:\Users\jaime.benazar\Quorum Business Solutions\Ecopetrol Prometeo - Documents\Planning Space Implementation\3. Analysis &amp; Design\Design\FC22\DRR Jaime\QUIFA-CAJÚA\Cajua\[VAS_CAJUA_CF_SEC_20230125.xlsx]CF PNP'!$BB$42</v>
      </c>
      <c r="J3390" s="1" t="s">
        <v>1652</v>
      </c>
    </row>
    <row r="3391" spans="1:10" x14ac:dyDescent="0.2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Jaime\QUIFA-CAJÚA\Cajua\[VAS_CAJUA_CF_SEC_20230125.xlsx]CF PNP'!</v>
      </c>
      <c r="G3391" s="6" t="s">
        <v>59</v>
      </c>
      <c r="H3391" s="1">
        <f t="shared" si="775"/>
        <v>43</v>
      </c>
      <c r="I3391" s="1" t="str">
        <f t="shared" si="774"/>
        <v>='C:\Users\jaime.benazar\Quorum Business Solutions\Ecopetrol Prometeo - Documents\Planning Space Implementation\3. Analysis &amp; Design\Design\FC22\DRR Jaime\QUIFA-CAJÚA\Cajua\[VAS_CAJUA_CF_SEC_20230125.xlsx]CF PNP'!$BB$43</v>
      </c>
      <c r="J3391" s="1" t="s">
        <v>1653</v>
      </c>
    </row>
    <row r="3392" spans="1:10" x14ac:dyDescent="0.2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Jaime\QUIFA-CAJÚA\Cajua\[VAS_CAJUA_CF_SEC_20230125.xlsx]CF PNP'!</v>
      </c>
      <c r="G3392" s="6" t="s">
        <v>59</v>
      </c>
      <c r="H3392" s="1">
        <f t="shared" si="775"/>
        <v>44</v>
      </c>
      <c r="I3392" s="1" t="str">
        <f t="shared" si="774"/>
        <v>='C:\Users\jaime.benazar\Quorum Business Solutions\Ecopetrol Prometeo - Documents\Planning Space Implementation\3. Analysis &amp; Design\Design\FC22\DRR Jaime\QUIFA-CAJÚA\Cajua\[VAS_CAJUA_CF_SEC_20230125.xlsx]CF PNP'!$BB$44</v>
      </c>
      <c r="J3392" s="1" t="s">
        <v>1654</v>
      </c>
    </row>
    <row r="3393" spans="1:10" x14ac:dyDescent="0.2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Jaime\QUIFA-CAJÚA\Cajua\[VAS_CAJUA_CF_SEC_20230125.xlsx]CF PNP'!</v>
      </c>
      <c r="G3393" s="6" t="s">
        <v>59</v>
      </c>
      <c r="H3393" s="1">
        <f t="shared" si="775"/>
        <v>45</v>
      </c>
      <c r="I3393" s="1" t="str">
        <f t="shared" si="774"/>
        <v>='C:\Users\jaime.benazar\Quorum Business Solutions\Ecopetrol Prometeo - Documents\Planning Space Implementation\3. Analysis &amp; Design\Design\FC22\DRR Jaime\QUIFA-CAJÚA\Cajua\[VAS_CAJUA_CF_SEC_20230125.xlsx]CF PNP'!$BB$45</v>
      </c>
      <c r="J3393" s="1" t="s">
        <v>1655</v>
      </c>
    </row>
    <row r="3394" spans="1:10" x14ac:dyDescent="0.2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Jaime\QUIFA-CAJÚA\Cajua\[VAS_CAJUA_CF_SEC_20230125.xlsx]CF PNP'!</v>
      </c>
      <c r="G3394" s="6" t="s">
        <v>59</v>
      </c>
      <c r="H3394" s="1">
        <f t="shared" si="775"/>
        <v>46</v>
      </c>
      <c r="I3394" s="1" t="str">
        <f t="shared" si="774"/>
        <v>='C:\Users\jaime.benazar\Quorum Business Solutions\Ecopetrol Prometeo - Documents\Planning Space Implementation\3. Analysis &amp; Design\Design\FC22\DRR Jaime\QUIFA-CAJÚA\Cajua\[VAS_CAJUA_CF_SEC_20230125.xlsx]CF PNP'!$BB$46</v>
      </c>
      <c r="J3394" s="1" t="s">
        <v>1656</v>
      </c>
    </row>
    <row r="3395" spans="1:10" x14ac:dyDescent="0.2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Jaime\QUIFA-CAJÚA\Cajua\[VAS_CAJUA_CF_SEC_20230125.xlsx]CF PNP'!</v>
      </c>
      <c r="G3395" s="6" t="s">
        <v>59</v>
      </c>
      <c r="H3395" s="1">
        <f t="shared" si="775"/>
        <v>47</v>
      </c>
      <c r="I3395" s="1" t="str">
        <f t="shared" si="774"/>
        <v>='C:\Users\jaime.benazar\Quorum Business Solutions\Ecopetrol Prometeo - Documents\Planning Space Implementation\3. Analysis &amp; Design\Design\FC22\DRR Jaime\QUIFA-CAJÚA\Cajua\[VAS_CAJUA_CF_SEC_20230125.xlsx]CF PNP'!$BB$47</v>
      </c>
      <c r="J3395" s="1" t="s">
        <v>1657</v>
      </c>
    </row>
    <row r="3396" spans="1:10" x14ac:dyDescent="0.2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Jaime\QUIFA-CAJÚA\Cajua\[VAS_CAJUA_CF_SEC_20230125.xlsx]CF PNP'!</v>
      </c>
      <c r="G3396" s="6" t="s">
        <v>59</v>
      </c>
      <c r="H3396" s="1">
        <f t="shared" si="775"/>
        <v>48</v>
      </c>
      <c r="I3396" s="1" t="str">
        <f t="shared" si="774"/>
        <v>='C:\Users\jaime.benazar\Quorum Business Solutions\Ecopetrol Prometeo - Documents\Planning Space Implementation\3. Analysis &amp; Design\Design\FC22\DRR Jaime\QUIFA-CAJÚA\Cajua\[VAS_CAJUA_CF_SEC_20230125.xlsx]CF PNP'!$BB$48</v>
      </c>
      <c r="J3396" s="1" t="s">
        <v>1658</v>
      </c>
    </row>
    <row r="3397" spans="1:10" x14ac:dyDescent="0.2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Jaime\QUIFA-CAJÚA\Cajua\[VAS_CAJUA_CF_SEC_20230125.xlsx]CF PNP'!</v>
      </c>
      <c r="G3397" s="6" t="s">
        <v>59</v>
      </c>
      <c r="H3397" s="1">
        <f t="shared" si="775"/>
        <v>49</v>
      </c>
      <c r="I3397" s="1" t="str">
        <f t="shared" si="774"/>
        <v>='C:\Users\jaime.benazar\Quorum Business Solutions\Ecopetrol Prometeo - Documents\Planning Space Implementation\3. Analysis &amp; Design\Design\FC22\DRR Jaime\QUIFA-CAJÚA\Cajua\[VAS_CAJUA_CF_SEC_20230125.xlsx]CF PNP'!$BB$49</v>
      </c>
      <c r="J3397" s="1" t="s">
        <v>1659</v>
      </c>
    </row>
    <row r="3398" spans="1:10" x14ac:dyDescent="0.2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Jaime\QUIFA-CAJÚA\Cajua\[VAS_CAJUA_CF_SEC_20230125.xlsx]CF PNP'!</v>
      </c>
      <c r="G3398" s="6" t="s">
        <v>59</v>
      </c>
      <c r="H3398" s="1">
        <f t="shared" si="775"/>
        <v>50</v>
      </c>
      <c r="I3398" s="1" t="str">
        <f t="shared" si="774"/>
        <v>='C:\Users\jaime.benazar\Quorum Business Solutions\Ecopetrol Prometeo - Documents\Planning Space Implementation\3. Analysis &amp; Design\Design\FC22\DRR Jaime\QUIFA-CAJÚA\Cajua\[VAS_CAJUA_CF_SEC_20230125.xlsx]CF PNP'!$BB$50</v>
      </c>
      <c r="J3398" s="1" t="s">
        <v>1660</v>
      </c>
    </row>
    <row r="3399" spans="1:10" x14ac:dyDescent="0.2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Jaime\QUIFA-CAJÚA\Cajua\[VAS_CAJUA_CF_SEC_20230125.xlsx]CF PNP'!</v>
      </c>
      <c r="G3399" s="6" t="s">
        <v>59</v>
      </c>
      <c r="H3399" s="1">
        <f t="shared" si="775"/>
        <v>51</v>
      </c>
      <c r="I3399" s="1" t="str">
        <f t="shared" si="774"/>
        <v>='C:\Users\jaime.benazar\Quorum Business Solutions\Ecopetrol Prometeo - Documents\Planning Space Implementation\3. Analysis &amp; Design\Design\FC22\DRR Jaime\QUIFA-CAJÚA\Cajua\[VAS_CAJUA_CF_SEC_20230125.xlsx]CF PNP'!$BB$51</v>
      </c>
      <c r="J3399" s="1" t="s">
        <v>1661</v>
      </c>
    </row>
    <row r="3400" spans="1:10" x14ac:dyDescent="0.2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Jaime\QUIFA-CAJÚA\Cajua\[VAS_CAJUA_CF_SEC_20230125.xlsx]CF PNP'!</v>
      </c>
      <c r="G3400" s="6" t="s">
        <v>59</v>
      </c>
      <c r="H3400" s="1">
        <f t="shared" si="775"/>
        <v>52</v>
      </c>
      <c r="I3400" s="1" t="str">
        <f t="shared" si="774"/>
        <v>='C:\Users\jaime.benazar\Quorum Business Solutions\Ecopetrol Prometeo - Documents\Planning Space Implementation\3. Analysis &amp; Design\Design\FC22\DRR Jaime\QUIFA-CAJÚA\Cajua\[VAS_CAJUA_CF_SEC_20230125.xlsx]CF PNP'!$BB$52</v>
      </c>
      <c r="J3400" s="1" t="s">
        <v>1662</v>
      </c>
    </row>
    <row r="3401" spans="1:10" x14ac:dyDescent="0.2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Jaime\QUIFA-CAJÚA\Cajua\[VAS_CAJUA_CF_SEC_20230125.xlsx]CF PNP'!</v>
      </c>
      <c r="G3401" s="6" t="s">
        <v>59</v>
      </c>
      <c r="H3401" s="1">
        <f t="shared" si="775"/>
        <v>53</v>
      </c>
      <c r="I3401" s="1" t="str">
        <f t="shared" si="774"/>
        <v>='C:\Users\jaime.benazar\Quorum Business Solutions\Ecopetrol Prometeo - Documents\Planning Space Implementation\3. Analysis &amp; Design\Design\FC22\DRR Jaime\QUIFA-CAJÚA\Cajua\[VAS_CAJUA_CF_SEC_20230125.xlsx]CF PNP'!$BB$53</v>
      </c>
      <c r="J3401" s="1" t="s">
        <v>1663</v>
      </c>
    </row>
    <row r="3402" spans="1:10" x14ac:dyDescent="0.2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Jaime\QUIFA-CAJÚA\Cajua\[VAS_CAJUA_CF_SEC_20230125.xlsx]CF PNP'!</v>
      </c>
      <c r="G3402" s="6" t="s">
        <v>59</v>
      </c>
      <c r="H3402" s="1">
        <f t="shared" si="775"/>
        <v>54</v>
      </c>
      <c r="I3402" s="1" t="str">
        <f t="shared" si="774"/>
        <v>='C:\Users\jaime.benazar\Quorum Business Solutions\Ecopetrol Prometeo - Documents\Planning Space Implementation\3. Analysis &amp; Design\Design\FC22\DRR Jaime\QUIFA-CAJÚA\Cajua\[VAS_CAJUA_CF_SEC_20230125.xlsx]CF PNP'!$BB$54</v>
      </c>
      <c r="J3402" s="1" t="s">
        <v>1664</v>
      </c>
    </row>
    <row r="3403" spans="1:10" x14ac:dyDescent="0.2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Jaime\QUIFA-CAJÚA\Cajua\[VAS_CAJUA_CF_SEC_20230125.xlsx]CF PNP'!</v>
      </c>
      <c r="G3403" s="6" t="s">
        <v>59</v>
      </c>
      <c r="H3403" s="1">
        <f t="shared" si="775"/>
        <v>55</v>
      </c>
      <c r="I3403" s="1" t="str">
        <f t="shared" si="774"/>
        <v>='C:\Users\jaime.benazar\Quorum Business Solutions\Ecopetrol Prometeo - Documents\Planning Space Implementation\3. Analysis &amp; Design\Design\FC22\DRR Jaime\QUIFA-CAJÚA\Cajua\[VAS_CAJUA_CF_SEC_20230125.xlsx]CF PNP'!$BB$55</v>
      </c>
      <c r="J3403" s="1" t="s">
        <v>1665</v>
      </c>
    </row>
    <row r="3404" spans="1:10" x14ac:dyDescent="0.2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Jaime\QUIFA-CAJÚA\Cajua\[VAS_CAJUA_CF_SEC_20230125.xlsx]CF PNP'!</v>
      </c>
      <c r="G3404" s="6" t="s">
        <v>59</v>
      </c>
      <c r="H3404" s="1">
        <f t="shared" si="775"/>
        <v>56</v>
      </c>
      <c r="I3404" s="1" t="str">
        <f t="shared" si="774"/>
        <v>='C:\Users\jaime.benazar\Quorum Business Solutions\Ecopetrol Prometeo - Documents\Planning Space Implementation\3. Analysis &amp; Design\Design\FC22\DRR Jaime\QUIFA-CAJÚA\Cajua\[VAS_CAJUA_CF_SEC_20230125.xlsx]CF PNP'!$BB$56</v>
      </c>
      <c r="J3404" s="1" t="s">
        <v>1666</v>
      </c>
    </row>
    <row r="3405" spans="1:10" x14ac:dyDescent="0.2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Jaime\QUIFA-CAJÚA\Cajua\[VAS_CAJUA_CF_SEC_20230125.xlsx]CF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Jaime\QUIFA-CAJÚA\Cajua\[VAS_CAJUA_CF_SEC_20230125.xlsx]CF PNP'!$BB$57</v>
      </c>
      <c r="J3405" s="1" t="s">
        <v>1667</v>
      </c>
    </row>
    <row r="3406" spans="1:10" x14ac:dyDescent="0.2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Jaime\QUIFA-CAJÚA\Cajua\[VAS_CAJUA_CF_SEC_20230125.xlsx]CF PNP'!</v>
      </c>
      <c r="G3406" s="6" t="s">
        <v>59</v>
      </c>
      <c r="H3406" s="1">
        <f t="shared" si="781"/>
        <v>58</v>
      </c>
      <c r="I3406" s="1" t="str">
        <f t="shared" si="782"/>
        <v>='C:\Users\jaime.benazar\Quorum Business Solutions\Ecopetrol Prometeo - Documents\Planning Space Implementation\3. Analysis &amp; Design\Design\FC22\DRR Jaime\QUIFA-CAJÚA\Cajua\[VAS_CAJUA_CF_SEC_20230125.xlsx]CF PNP'!$BB$58</v>
      </c>
      <c r="J3406" s="1" t="s">
        <v>1668</v>
      </c>
    </row>
    <row r="3407" spans="1:10" x14ac:dyDescent="0.2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Jaime\QUIFA-CAJÚA\Cajua\[VAS_CAJUA_CF_SEC_20230125.xlsx]CF PNP'!</v>
      </c>
      <c r="G3407" s="6" t="s">
        <v>59</v>
      </c>
      <c r="H3407" s="1">
        <f t="shared" si="781"/>
        <v>59</v>
      </c>
      <c r="I3407" s="1" t="str">
        <f t="shared" si="782"/>
        <v>='C:\Users\jaime.benazar\Quorum Business Solutions\Ecopetrol Prometeo - Documents\Planning Space Implementation\3. Analysis &amp; Design\Design\FC22\DRR Jaime\QUIFA-CAJÚA\Cajua\[VAS_CAJUA_CF_SEC_20230125.xlsx]CF PNP'!$BB$59</v>
      </c>
      <c r="J3407" s="1" t="s">
        <v>1669</v>
      </c>
    </row>
    <row r="3408" spans="1:10" x14ac:dyDescent="0.2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Jaime\QUIFA-CAJÚA\Cajua\[VAS_CAJUA_CF_SEC_20230125.xlsx]CF PNP'!</v>
      </c>
      <c r="G3408" s="6" t="s">
        <v>59</v>
      </c>
      <c r="H3408" s="1">
        <f t="shared" si="781"/>
        <v>60</v>
      </c>
      <c r="I3408" s="1" t="str">
        <f t="shared" si="782"/>
        <v>='C:\Users\jaime.benazar\Quorum Business Solutions\Ecopetrol Prometeo - Documents\Planning Space Implementation\3. Analysis &amp; Design\Design\FC22\DRR Jaime\QUIFA-CAJÚA\Cajua\[VAS_CAJUA_CF_SEC_20230125.xlsx]CF PNP'!$BB$60</v>
      </c>
      <c r="J3408" s="1" t="s">
        <v>1670</v>
      </c>
    </row>
    <row r="3409" spans="1:10" x14ac:dyDescent="0.2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Jaime\QUIFA-CAJÚA\Cajua\[VAS_CAJUA_CF_SEC_20230125.xlsx]CF PNP'!</v>
      </c>
      <c r="G3409" s="6" t="s">
        <v>59</v>
      </c>
      <c r="H3409" s="1">
        <f t="shared" si="781"/>
        <v>61</v>
      </c>
      <c r="I3409" s="1" t="str">
        <f t="shared" si="782"/>
        <v>='C:\Users\jaime.benazar\Quorum Business Solutions\Ecopetrol Prometeo - Documents\Planning Space Implementation\3. Analysis &amp; Design\Design\FC22\DRR Jaime\QUIFA-CAJÚA\Cajua\[VAS_CAJUA_CF_SEC_20230125.xlsx]CF PNP'!$BB$61</v>
      </c>
      <c r="J3409" s="1" t="s">
        <v>1671</v>
      </c>
    </row>
    <row r="3410" spans="1:10" x14ac:dyDescent="0.2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Jaime\QUIFA-CAJÚA\Cajua\[VAS_CAJUA_CF_SEC_20230125.xlsx]CF PNP'!</v>
      </c>
      <c r="G3410" s="6" t="s">
        <v>59</v>
      </c>
      <c r="H3410" s="1">
        <f t="shared" si="781"/>
        <v>62</v>
      </c>
      <c r="I3410" s="1" t="str">
        <f t="shared" si="782"/>
        <v>='C:\Users\jaime.benazar\Quorum Business Solutions\Ecopetrol Prometeo - Documents\Planning Space Implementation\3. Analysis &amp; Design\Design\FC22\DRR Jaime\QUIFA-CAJÚA\Cajua\[VAS_CAJUA_CF_SEC_20230125.xlsx]CF PNP'!$BB$62</v>
      </c>
      <c r="J3410" s="1" t="s">
        <v>1672</v>
      </c>
    </row>
    <row r="3411" spans="1:10" x14ac:dyDescent="0.2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Jaime\QUIFA-CAJÚA\Cajua\[VAS_CAJUA_CF_SEC_20230125.xlsx]CF PNP'!</v>
      </c>
      <c r="G3411" s="6" t="s">
        <v>59</v>
      </c>
      <c r="H3411" s="1">
        <f t="shared" si="781"/>
        <v>63</v>
      </c>
      <c r="I3411" s="1" t="str">
        <f t="shared" si="782"/>
        <v>='C:\Users\jaime.benazar\Quorum Business Solutions\Ecopetrol Prometeo - Documents\Planning Space Implementation\3. Analysis &amp; Design\Design\FC22\DRR Jaime\QUIFA-CAJÚA\Cajua\[VAS_CAJUA_CF_SEC_20230125.xlsx]CF PNP'!$BB$63</v>
      </c>
      <c r="J3411" s="1" t="s">
        <v>1673</v>
      </c>
    </row>
    <row r="3412" spans="1:10" x14ac:dyDescent="0.2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Jaime\QUIFA-CAJÚA\Cajua\[VAS_CAJUA_CF_SEC_20230125.xlsx]CF PNP'!</v>
      </c>
      <c r="G3412" s="6" t="s">
        <v>59</v>
      </c>
      <c r="H3412" s="1">
        <f t="shared" si="781"/>
        <v>64</v>
      </c>
      <c r="I3412" s="1" t="str">
        <f t="shared" si="782"/>
        <v>='C:\Users\jaime.benazar\Quorum Business Solutions\Ecopetrol Prometeo - Documents\Planning Space Implementation\3. Analysis &amp; Design\Design\FC22\DRR Jaime\QUIFA-CAJÚA\Cajua\[VAS_CAJUA_CF_SEC_20230125.xlsx]CF PNP'!$BB$64</v>
      </c>
      <c r="J3412" s="1" t="s">
        <v>1674</v>
      </c>
    </row>
    <row r="3413" spans="1:10" x14ac:dyDescent="0.2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Jaime\QUIFA-CAJÚA\Cajua\[VAS_CAJUA_CF_SEC_20230125.xlsx]CF PNP'!</v>
      </c>
      <c r="G3413" s="6" t="s">
        <v>59</v>
      </c>
      <c r="H3413" s="1">
        <f t="shared" si="781"/>
        <v>65</v>
      </c>
      <c r="I3413" s="1" t="str">
        <f t="shared" si="782"/>
        <v>='C:\Users\jaime.benazar\Quorum Business Solutions\Ecopetrol Prometeo - Documents\Planning Space Implementation\3. Analysis &amp; Design\Design\FC22\DRR Jaime\QUIFA-CAJÚA\Cajua\[VAS_CAJUA_CF_SEC_20230125.xlsx]CF PNP'!$BB$65</v>
      </c>
      <c r="J3413" s="1" t="s">
        <v>1675</v>
      </c>
    </row>
    <row r="3414" spans="1:10" x14ac:dyDescent="0.2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Jaime\QUIFA-CAJÚA\Cajua\[VAS_CAJUA_CF_SEC_20230125.xlsx]CF PNP'!</v>
      </c>
      <c r="G3414" s="6" t="s">
        <v>59</v>
      </c>
      <c r="H3414" s="1">
        <f t="shared" si="781"/>
        <v>66</v>
      </c>
      <c r="I3414" s="1" t="str">
        <f t="shared" si="782"/>
        <v>='C:\Users\jaime.benazar\Quorum Business Solutions\Ecopetrol Prometeo - Documents\Planning Space Implementation\3. Analysis &amp; Design\Design\FC22\DRR Jaime\QUIFA-CAJÚA\Cajua\[VAS_CAJUA_CF_SEC_20230125.xlsx]CF PNP'!$BB$66</v>
      </c>
      <c r="J3414" s="1" t="s">
        <v>1676</v>
      </c>
    </row>
    <row r="3415" spans="1:10" x14ac:dyDescent="0.2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Jaime\QUIFA-CAJÚA\Cajua\[VAS_CAJUA_CF_SEC_20230125.xlsx]CF PNP'!</v>
      </c>
      <c r="G3415" s="6" t="s">
        <v>59</v>
      </c>
      <c r="H3415" s="1">
        <f t="shared" si="781"/>
        <v>67</v>
      </c>
      <c r="I3415" s="1" t="str">
        <f t="shared" si="782"/>
        <v>='C:\Users\jaime.benazar\Quorum Business Solutions\Ecopetrol Prometeo - Documents\Planning Space Implementation\3. Analysis &amp; Design\Design\FC22\DRR Jaime\QUIFA-CAJÚA\Cajua\[VAS_CAJUA_CF_SEC_20230125.xlsx]CF PNP'!$BB$67</v>
      </c>
      <c r="J3415" s="1" t="s">
        <v>1677</v>
      </c>
    </row>
    <row r="3416" spans="1:10" x14ac:dyDescent="0.2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Jaime\QUIFA-CAJÚA\Cajua\[VAS_CAJUA_CF_SEC_20230125.xlsx]CF PNP'!</v>
      </c>
      <c r="G3416" s="6" t="s">
        <v>59</v>
      </c>
      <c r="H3416" s="1">
        <f t="shared" si="781"/>
        <v>68</v>
      </c>
      <c r="I3416" s="1" t="str">
        <f t="shared" si="782"/>
        <v>='C:\Users\jaime.benazar\Quorum Business Solutions\Ecopetrol Prometeo - Documents\Planning Space Implementation\3. Analysis &amp; Design\Design\FC22\DRR Jaime\QUIFA-CAJÚA\Cajua\[VAS_CAJUA_CF_SEC_20230125.xlsx]CF PNP'!$BB$68</v>
      </c>
      <c r="J3416" s="1" t="s">
        <v>1678</v>
      </c>
    </row>
    <row r="3417" spans="1:10" x14ac:dyDescent="0.2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Jaime\QUIFA-CAJÚA\Cajua\[VAS_CAJUA_CF_SEC_20230125.xlsx]CF PNP'!</v>
      </c>
      <c r="G3417" s="6" t="s">
        <v>59</v>
      </c>
      <c r="H3417" s="1">
        <f t="shared" si="781"/>
        <v>69</v>
      </c>
      <c r="I3417" s="1" t="str">
        <f t="shared" si="782"/>
        <v>='C:\Users\jaime.benazar\Quorum Business Solutions\Ecopetrol Prometeo - Documents\Planning Space Implementation\3. Analysis &amp; Design\Design\FC22\DRR Jaime\QUIFA-CAJÚA\Cajua\[VAS_CAJUA_CF_SEC_20230125.xlsx]CF PNP'!$BB$69</v>
      </c>
      <c r="J3417" s="1" t="s">
        <v>1679</v>
      </c>
    </row>
    <row r="3418" spans="1:10" x14ac:dyDescent="0.2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Jaime\QUIFA-CAJÚA\Cajua\[VAS_CAJUA_CF_SEC_20230125.xlsx]CF PNP'!</v>
      </c>
      <c r="G3418" s="6" t="s">
        <v>59</v>
      </c>
      <c r="H3418" s="1">
        <f t="shared" si="781"/>
        <v>70</v>
      </c>
      <c r="I3418" s="1" t="str">
        <f t="shared" si="782"/>
        <v>='C:\Users\jaime.benazar\Quorum Business Solutions\Ecopetrol Prometeo - Documents\Planning Space Implementation\3. Analysis &amp; Design\Design\FC22\DRR Jaime\QUIFA-CAJÚA\Cajua\[VAS_CAJUA_CF_SEC_20230125.xlsx]CF PNP'!$BB$70</v>
      </c>
      <c r="J3418" s="1" t="s">
        <v>1680</v>
      </c>
    </row>
    <row r="3419" spans="1:10" x14ac:dyDescent="0.2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Jaime\QUIFA-CAJÚA\Cajua\[VAS_CAJUA_CF_SEC_20230125.xlsx]CF PNP'!</v>
      </c>
      <c r="G3419" s="6" t="s">
        <v>59</v>
      </c>
      <c r="H3419" s="1">
        <f t="shared" si="781"/>
        <v>71</v>
      </c>
      <c r="I3419" s="1" t="str">
        <f t="shared" si="782"/>
        <v>='C:\Users\jaime.benazar\Quorum Business Solutions\Ecopetrol Prometeo - Documents\Planning Space Implementation\3. Analysis &amp; Design\Design\FC22\DRR Jaime\QUIFA-CAJÚA\Cajua\[VAS_CAJUA_CF_SEC_20230125.xlsx]CF PNP'!$BB$71</v>
      </c>
      <c r="J3419" s="1" t="s">
        <v>1681</v>
      </c>
    </row>
    <row r="3420" spans="1:10" x14ac:dyDescent="0.2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Jaime\QUIFA-CAJÚA\Cajua\[VAS_CAJUA_CF_SEC_20230125.xlsx]CF PNP'!</v>
      </c>
      <c r="G3420" s="6" t="s">
        <v>59</v>
      </c>
      <c r="H3420" s="1">
        <f t="shared" si="781"/>
        <v>72</v>
      </c>
      <c r="I3420" s="1" t="str">
        <f t="shared" si="782"/>
        <v>='C:\Users\jaime.benazar\Quorum Business Solutions\Ecopetrol Prometeo - Documents\Planning Space Implementation\3. Analysis &amp; Design\Design\FC22\DRR Jaime\QUIFA-CAJÚA\Cajua\[VAS_CAJUA_CF_SEC_20230125.xlsx]CF PNP'!$BB$72</v>
      </c>
      <c r="J3420" s="1" t="s">
        <v>1682</v>
      </c>
    </row>
    <row r="3421" spans="1:10" x14ac:dyDescent="0.25">
      <c r="A3421" s="6" t="s">
        <v>28</v>
      </c>
      <c r="B3421" s="6"/>
      <c r="C3421" s="1" t="s">
        <v>49</v>
      </c>
      <c r="D3421" s="2"/>
      <c r="E3421" s="9"/>
      <c r="F3421" s="5"/>
      <c r="G3421" s="6"/>
      <c r="H3421" s="1"/>
      <c r="I3421" s="1"/>
      <c r="J3421" s="4"/>
    </row>
    <row r="3422" spans="1:10" x14ac:dyDescent="0.2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Jaime\QUIFA-CAJÚA\Cajua\[VAS_CAJUA_CF_SEC_20230125.xlsx]CF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Jaime\QUIFA-CAJÚA\Cajua\[VAS_CAJUA_CF_SEC_20230125.xlsx]CF PND'!$BB$36</v>
      </c>
      <c r="J3422" s="1" t="s">
        <v>1683</v>
      </c>
    </row>
    <row r="3423" spans="1:10" x14ac:dyDescent="0.2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Jaime\QUIFA-CAJÚA\Cajua\[VAS_CAJUA_CF_SEC_20230125.xlsx]CF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Jaime\QUIFA-CAJÚA\Cajua\[VAS_CAJUA_CF_SEC_20230125.xlsx]CF PND'!$BB$37</v>
      </c>
      <c r="J3423" s="1" t="s">
        <v>1684</v>
      </c>
    </row>
    <row r="3424" spans="1:10" x14ac:dyDescent="0.2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Jaime\QUIFA-CAJÚA\Cajua\[VAS_CAJUA_CF_SEC_20230125.xlsx]CF PND'!</v>
      </c>
      <c r="G3424" s="6" t="s">
        <v>59</v>
      </c>
      <c r="H3424" s="1">
        <f t="shared" si="787"/>
        <v>38</v>
      </c>
      <c r="I3424" s="1" t="str">
        <f t="shared" si="786"/>
        <v>='C:\Users\jaime.benazar\Quorum Business Solutions\Ecopetrol Prometeo - Documents\Planning Space Implementation\3. Analysis &amp; Design\Design\FC22\DRR Jaime\QUIFA-CAJÚA\Cajua\[VAS_CAJUA_CF_SEC_20230125.xlsx]CF PND'!$BB$38</v>
      </c>
      <c r="J3424" s="1" t="s">
        <v>1685</v>
      </c>
    </row>
    <row r="3425" spans="1:10" x14ac:dyDescent="0.2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Jaime\QUIFA-CAJÚA\Cajua\[VAS_CAJUA_CF_SEC_20230125.xlsx]CF PND'!</v>
      </c>
      <c r="G3425" s="6" t="s">
        <v>59</v>
      </c>
      <c r="H3425" s="1">
        <f t="shared" si="787"/>
        <v>39</v>
      </c>
      <c r="I3425" s="1" t="str">
        <f t="shared" si="786"/>
        <v>='C:\Users\jaime.benazar\Quorum Business Solutions\Ecopetrol Prometeo - Documents\Planning Space Implementation\3. Analysis &amp; Design\Design\FC22\DRR Jaime\QUIFA-CAJÚA\Cajua\[VAS_CAJUA_CF_SEC_20230125.xlsx]CF PND'!$BB$39</v>
      </c>
      <c r="J3425" s="1" t="s">
        <v>1686</v>
      </c>
    </row>
    <row r="3426" spans="1:10" x14ac:dyDescent="0.2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Jaime\QUIFA-CAJÚA\Cajua\[VAS_CAJUA_CF_SEC_20230125.xlsx]CF PND'!</v>
      </c>
      <c r="G3426" s="6" t="s">
        <v>59</v>
      </c>
      <c r="H3426" s="1">
        <f t="shared" si="787"/>
        <v>40</v>
      </c>
      <c r="I3426" s="1" t="str">
        <f t="shared" si="786"/>
        <v>='C:\Users\jaime.benazar\Quorum Business Solutions\Ecopetrol Prometeo - Documents\Planning Space Implementation\3. Analysis &amp; Design\Design\FC22\DRR Jaime\QUIFA-CAJÚA\Cajua\[VAS_CAJUA_CF_SEC_20230125.xlsx]CF PND'!$BB$40</v>
      </c>
      <c r="J3426" s="1" t="s">
        <v>1687</v>
      </c>
    </row>
    <row r="3427" spans="1:10" x14ac:dyDescent="0.2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Jaime\QUIFA-CAJÚA\Cajua\[VAS_CAJUA_CF_SEC_20230125.xlsx]CF PND'!</v>
      </c>
      <c r="G3427" s="6" t="s">
        <v>59</v>
      </c>
      <c r="H3427" s="1">
        <f t="shared" si="787"/>
        <v>41</v>
      </c>
      <c r="I3427" s="1" t="str">
        <f t="shared" si="786"/>
        <v>='C:\Users\jaime.benazar\Quorum Business Solutions\Ecopetrol Prometeo - Documents\Planning Space Implementation\3. Analysis &amp; Design\Design\FC22\DRR Jaime\QUIFA-CAJÚA\Cajua\[VAS_CAJUA_CF_SEC_20230125.xlsx]CF PND'!$BB$41</v>
      </c>
      <c r="J3427" s="1" t="s">
        <v>1688</v>
      </c>
    </row>
    <row r="3428" spans="1:10" x14ac:dyDescent="0.2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Jaime\QUIFA-CAJÚA\Cajua\[VAS_CAJUA_CF_SEC_20230125.xlsx]CF PND'!</v>
      </c>
      <c r="G3428" s="6" t="s">
        <v>59</v>
      </c>
      <c r="H3428" s="1">
        <f t="shared" si="787"/>
        <v>42</v>
      </c>
      <c r="I3428" s="1" t="str">
        <f t="shared" si="786"/>
        <v>='C:\Users\jaime.benazar\Quorum Business Solutions\Ecopetrol Prometeo - Documents\Planning Space Implementation\3. Analysis &amp; Design\Design\FC22\DRR Jaime\QUIFA-CAJÚA\Cajua\[VAS_CAJUA_CF_SEC_20230125.xlsx]CF PND'!$BB$42</v>
      </c>
      <c r="J3428" s="1" t="s">
        <v>1689</v>
      </c>
    </row>
    <row r="3429" spans="1:10" x14ac:dyDescent="0.2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Jaime\QUIFA-CAJÚA\Cajua\[VAS_CAJUA_CF_SEC_20230125.xlsx]CF PND'!</v>
      </c>
      <c r="G3429" s="6" t="s">
        <v>59</v>
      </c>
      <c r="H3429" s="1">
        <f t="shared" si="787"/>
        <v>43</v>
      </c>
      <c r="I3429" s="1" t="str">
        <f t="shared" si="786"/>
        <v>='C:\Users\jaime.benazar\Quorum Business Solutions\Ecopetrol Prometeo - Documents\Planning Space Implementation\3. Analysis &amp; Design\Design\FC22\DRR Jaime\QUIFA-CAJÚA\Cajua\[VAS_CAJUA_CF_SEC_20230125.xlsx]CF PND'!$BB$43</v>
      </c>
      <c r="J3429" s="1" t="s">
        <v>1690</v>
      </c>
    </row>
    <row r="3430" spans="1:10" x14ac:dyDescent="0.2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Jaime\QUIFA-CAJÚA\Cajua\[VAS_CAJUA_CF_SEC_20230125.xlsx]CF PND'!</v>
      </c>
      <c r="G3430" s="6" t="s">
        <v>59</v>
      </c>
      <c r="H3430" s="1">
        <f t="shared" si="787"/>
        <v>44</v>
      </c>
      <c r="I3430" s="1" t="str">
        <f t="shared" si="786"/>
        <v>='C:\Users\jaime.benazar\Quorum Business Solutions\Ecopetrol Prometeo - Documents\Planning Space Implementation\3. Analysis &amp; Design\Design\FC22\DRR Jaime\QUIFA-CAJÚA\Cajua\[VAS_CAJUA_CF_SEC_20230125.xlsx]CF PND'!$BB$44</v>
      </c>
      <c r="J3430" s="1" t="s">
        <v>1691</v>
      </c>
    </row>
    <row r="3431" spans="1:10" x14ac:dyDescent="0.2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Jaime\QUIFA-CAJÚA\Cajua\[VAS_CAJUA_CF_SEC_20230125.xlsx]CF PND'!</v>
      </c>
      <c r="G3431" s="6" t="s">
        <v>59</v>
      </c>
      <c r="H3431" s="1">
        <f t="shared" si="787"/>
        <v>45</v>
      </c>
      <c r="I3431" s="1" t="str">
        <f t="shared" si="786"/>
        <v>='C:\Users\jaime.benazar\Quorum Business Solutions\Ecopetrol Prometeo - Documents\Planning Space Implementation\3. Analysis &amp; Design\Design\FC22\DRR Jaime\QUIFA-CAJÚA\Cajua\[VAS_CAJUA_CF_SEC_20230125.xlsx]CF PND'!$BB$45</v>
      </c>
      <c r="J3431" s="1" t="s">
        <v>1692</v>
      </c>
    </row>
    <row r="3432" spans="1:10" x14ac:dyDescent="0.2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Jaime\QUIFA-CAJÚA\Cajua\[VAS_CAJUA_CF_SEC_20230125.xlsx]CF PND'!</v>
      </c>
      <c r="G3432" s="6" t="s">
        <v>59</v>
      </c>
      <c r="H3432" s="1">
        <f t="shared" si="787"/>
        <v>46</v>
      </c>
      <c r="I3432" s="1" t="str">
        <f t="shared" si="786"/>
        <v>='C:\Users\jaime.benazar\Quorum Business Solutions\Ecopetrol Prometeo - Documents\Planning Space Implementation\3. Analysis &amp; Design\Design\FC22\DRR Jaime\QUIFA-CAJÚA\Cajua\[VAS_CAJUA_CF_SEC_20230125.xlsx]CF PND'!$BB$46</v>
      </c>
      <c r="J3432" s="1" t="s">
        <v>1693</v>
      </c>
    </row>
    <row r="3433" spans="1:10" x14ac:dyDescent="0.2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Jaime\QUIFA-CAJÚA\Cajua\[VAS_CAJUA_CF_SEC_20230125.xlsx]CF PND'!</v>
      </c>
      <c r="G3433" s="6" t="s">
        <v>59</v>
      </c>
      <c r="H3433" s="1">
        <f t="shared" si="787"/>
        <v>47</v>
      </c>
      <c r="I3433" s="1" t="str">
        <f t="shared" si="786"/>
        <v>='C:\Users\jaime.benazar\Quorum Business Solutions\Ecopetrol Prometeo - Documents\Planning Space Implementation\3. Analysis &amp; Design\Design\FC22\DRR Jaime\QUIFA-CAJÚA\Cajua\[VAS_CAJUA_CF_SEC_20230125.xlsx]CF PND'!$BB$47</v>
      </c>
      <c r="J3433" s="1" t="s">
        <v>1694</v>
      </c>
    </row>
    <row r="3434" spans="1:10" x14ac:dyDescent="0.2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Jaime\QUIFA-CAJÚA\Cajua\[VAS_CAJUA_CF_SEC_20230125.xlsx]CF PND'!</v>
      </c>
      <c r="G3434" s="6" t="s">
        <v>59</v>
      </c>
      <c r="H3434" s="1">
        <f t="shared" si="787"/>
        <v>48</v>
      </c>
      <c r="I3434" s="1" t="str">
        <f t="shared" si="786"/>
        <v>='C:\Users\jaime.benazar\Quorum Business Solutions\Ecopetrol Prometeo - Documents\Planning Space Implementation\3. Analysis &amp; Design\Design\FC22\DRR Jaime\QUIFA-CAJÚA\Cajua\[VAS_CAJUA_CF_SEC_20230125.xlsx]CF PND'!$BB$48</v>
      </c>
      <c r="J3434" s="1" t="s">
        <v>1695</v>
      </c>
    </row>
    <row r="3435" spans="1:10" x14ac:dyDescent="0.2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Jaime\QUIFA-CAJÚA\Cajua\[VAS_CAJUA_CF_SEC_20230125.xlsx]CF PND'!</v>
      </c>
      <c r="G3435" s="6" t="s">
        <v>59</v>
      </c>
      <c r="H3435" s="1">
        <f t="shared" si="787"/>
        <v>49</v>
      </c>
      <c r="I3435" s="1" t="str">
        <f t="shared" si="786"/>
        <v>='C:\Users\jaime.benazar\Quorum Business Solutions\Ecopetrol Prometeo - Documents\Planning Space Implementation\3. Analysis &amp; Design\Design\FC22\DRR Jaime\QUIFA-CAJÚA\Cajua\[VAS_CAJUA_CF_SEC_20230125.xlsx]CF PND'!$BB$49</v>
      </c>
      <c r="J3435" s="1" t="s">
        <v>1696</v>
      </c>
    </row>
    <row r="3436" spans="1:10" x14ac:dyDescent="0.2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Jaime\QUIFA-CAJÚA\Cajua\[VAS_CAJUA_CF_SEC_20230125.xlsx]CF PND'!</v>
      </c>
      <c r="G3436" s="6" t="s">
        <v>59</v>
      </c>
      <c r="H3436" s="1">
        <f t="shared" si="787"/>
        <v>50</v>
      </c>
      <c r="I3436" s="1" t="str">
        <f t="shared" si="786"/>
        <v>='C:\Users\jaime.benazar\Quorum Business Solutions\Ecopetrol Prometeo - Documents\Planning Space Implementation\3. Analysis &amp; Design\Design\FC22\DRR Jaime\QUIFA-CAJÚA\Cajua\[VAS_CAJUA_CF_SEC_20230125.xlsx]CF PND'!$BB$50</v>
      </c>
      <c r="J3436" s="1" t="s">
        <v>1697</v>
      </c>
    </row>
    <row r="3437" spans="1:10" x14ac:dyDescent="0.2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Jaime\QUIFA-CAJÚA\Cajua\[VAS_CAJUA_CF_SEC_20230125.xlsx]CF PND'!</v>
      </c>
      <c r="G3437" s="6" t="s">
        <v>59</v>
      </c>
      <c r="H3437" s="1">
        <f t="shared" si="787"/>
        <v>51</v>
      </c>
      <c r="I3437" s="1" t="str">
        <f t="shared" si="786"/>
        <v>='C:\Users\jaime.benazar\Quorum Business Solutions\Ecopetrol Prometeo - Documents\Planning Space Implementation\3. Analysis &amp; Design\Design\FC22\DRR Jaime\QUIFA-CAJÚA\Cajua\[VAS_CAJUA_CF_SEC_20230125.xlsx]CF PND'!$BB$51</v>
      </c>
      <c r="J3437" s="1" t="s">
        <v>1698</v>
      </c>
    </row>
    <row r="3438" spans="1:10" x14ac:dyDescent="0.2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Jaime\QUIFA-CAJÚA\Cajua\[VAS_CAJUA_CF_SEC_20230125.xlsx]CF PND'!</v>
      </c>
      <c r="G3438" s="6" t="s">
        <v>59</v>
      </c>
      <c r="H3438" s="1">
        <f t="shared" si="787"/>
        <v>52</v>
      </c>
      <c r="I3438" s="1" t="str">
        <f t="shared" si="786"/>
        <v>='C:\Users\jaime.benazar\Quorum Business Solutions\Ecopetrol Prometeo - Documents\Planning Space Implementation\3. Analysis &amp; Design\Design\FC22\DRR Jaime\QUIFA-CAJÚA\Cajua\[VAS_CAJUA_CF_SEC_20230125.xlsx]CF PND'!$BB$52</v>
      </c>
      <c r="J3438" s="1" t="s">
        <v>1699</v>
      </c>
    </row>
    <row r="3439" spans="1:10" x14ac:dyDescent="0.2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Jaime\QUIFA-CAJÚA\Cajua\[VAS_CAJUA_CF_SEC_20230125.xlsx]CF PND'!</v>
      </c>
      <c r="G3439" s="6" t="s">
        <v>59</v>
      </c>
      <c r="H3439" s="1">
        <f t="shared" si="787"/>
        <v>53</v>
      </c>
      <c r="I3439" s="1" t="str">
        <f t="shared" si="786"/>
        <v>='C:\Users\jaime.benazar\Quorum Business Solutions\Ecopetrol Prometeo - Documents\Planning Space Implementation\3. Analysis &amp; Design\Design\FC22\DRR Jaime\QUIFA-CAJÚA\Cajua\[VAS_CAJUA_CF_SEC_20230125.xlsx]CF PND'!$BB$53</v>
      </c>
      <c r="J3439" s="1" t="s">
        <v>1700</v>
      </c>
    </row>
    <row r="3440" spans="1:10" x14ac:dyDescent="0.2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Jaime\QUIFA-CAJÚA\Cajua\[VAS_CAJUA_CF_SEC_20230125.xlsx]CF PND'!</v>
      </c>
      <c r="G3440" s="6" t="s">
        <v>59</v>
      </c>
      <c r="H3440" s="1">
        <f t="shared" si="787"/>
        <v>54</v>
      </c>
      <c r="I3440" s="1" t="str">
        <f t="shared" si="786"/>
        <v>='C:\Users\jaime.benazar\Quorum Business Solutions\Ecopetrol Prometeo - Documents\Planning Space Implementation\3. Analysis &amp; Design\Design\FC22\DRR Jaime\QUIFA-CAJÚA\Cajua\[VAS_CAJUA_CF_SEC_20230125.xlsx]CF PND'!$BB$54</v>
      </c>
      <c r="J3440" s="1" t="s">
        <v>1701</v>
      </c>
    </row>
    <row r="3441" spans="1:10" x14ac:dyDescent="0.2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Jaime\QUIFA-CAJÚA\Cajua\[VAS_CAJUA_CF_SEC_20230125.xlsx]CF PND'!</v>
      </c>
      <c r="G3441" s="6" t="s">
        <v>59</v>
      </c>
      <c r="H3441" s="1">
        <f t="shared" si="787"/>
        <v>55</v>
      </c>
      <c r="I3441" s="1" t="str">
        <f t="shared" si="786"/>
        <v>='C:\Users\jaime.benazar\Quorum Business Solutions\Ecopetrol Prometeo - Documents\Planning Space Implementation\3. Analysis &amp; Design\Design\FC22\DRR Jaime\QUIFA-CAJÚA\Cajua\[VAS_CAJUA_CF_SEC_20230125.xlsx]CF PND'!$BB$55</v>
      </c>
      <c r="J3441" s="1" t="s">
        <v>1702</v>
      </c>
    </row>
    <row r="3442" spans="1:10" x14ac:dyDescent="0.2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Jaime\QUIFA-CAJÚA\Cajua\[VAS_CAJUA_CF_SEC_20230125.xlsx]CF PND'!</v>
      </c>
      <c r="G3442" s="6" t="s">
        <v>59</v>
      </c>
      <c r="H3442" s="1">
        <f t="shared" si="787"/>
        <v>56</v>
      </c>
      <c r="I3442" s="1" t="str">
        <f t="shared" si="786"/>
        <v>='C:\Users\jaime.benazar\Quorum Business Solutions\Ecopetrol Prometeo - Documents\Planning Space Implementation\3. Analysis &amp; Design\Design\FC22\DRR Jaime\QUIFA-CAJÚA\Cajua\[VAS_CAJUA_CF_SEC_20230125.xlsx]CF PND'!$BB$56</v>
      </c>
      <c r="J3442" s="1" t="s">
        <v>1703</v>
      </c>
    </row>
    <row r="3443" spans="1:10" x14ac:dyDescent="0.2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Jaime\QUIFA-CAJÚA\Cajua\[VAS_CAJUA_CF_SEC_20230125.xlsx]CF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Jaime\QUIFA-CAJÚA\Cajua\[VAS_CAJUA_CF_SEC_20230125.xlsx]CF PND'!$BB$57</v>
      </c>
      <c r="J3443" s="1" t="s">
        <v>1704</v>
      </c>
    </row>
    <row r="3444" spans="1:10" x14ac:dyDescent="0.2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Jaime\QUIFA-CAJÚA\Cajua\[VAS_CAJUA_CF_SEC_20230125.xlsx]CF PND'!</v>
      </c>
      <c r="G3444" s="6" t="s">
        <v>59</v>
      </c>
      <c r="H3444" s="1">
        <f t="shared" si="793"/>
        <v>58</v>
      </c>
      <c r="I3444" s="1" t="str">
        <f t="shared" si="794"/>
        <v>='C:\Users\jaime.benazar\Quorum Business Solutions\Ecopetrol Prometeo - Documents\Planning Space Implementation\3. Analysis &amp; Design\Design\FC22\DRR Jaime\QUIFA-CAJÚA\Cajua\[VAS_CAJUA_CF_SEC_20230125.xlsx]CF PND'!$BB$58</v>
      </c>
      <c r="J3444" s="1" t="s">
        <v>1705</v>
      </c>
    </row>
    <row r="3445" spans="1:10" x14ac:dyDescent="0.2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Jaime\QUIFA-CAJÚA\Cajua\[VAS_CAJUA_CF_SEC_20230125.xlsx]CF PND'!</v>
      </c>
      <c r="G3445" s="6" t="s">
        <v>59</v>
      </c>
      <c r="H3445" s="1">
        <f t="shared" si="793"/>
        <v>59</v>
      </c>
      <c r="I3445" s="1" t="str">
        <f t="shared" si="794"/>
        <v>='C:\Users\jaime.benazar\Quorum Business Solutions\Ecopetrol Prometeo - Documents\Planning Space Implementation\3. Analysis &amp; Design\Design\FC22\DRR Jaime\QUIFA-CAJÚA\Cajua\[VAS_CAJUA_CF_SEC_20230125.xlsx]CF PND'!$BB$59</v>
      </c>
      <c r="J3445" s="1" t="s">
        <v>1706</v>
      </c>
    </row>
    <row r="3446" spans="1:10" x14ac:dyDescent="0.2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Jaime\QUIFA-CAJÚA\Cajua\[VAS_CAJUA_CF_SEC_20230125.xlsx]CF PND'!</v>
      </c>
      <c r="G3446" s="6" t="s">
        <v>59</v>
      </c>
      <c r="H3446" s="1">
        <f t="shared" si="793"/>
        <v>60</v>
      </c>
      <c r="I3446" s="1" t="str">
        <f t="shared" si="794"/>
        <v>='C:\Users\jaime.benazar\Quorum Business Solutions\Ecopetrol Prometeo - Documents\Planning Space Implementation\3. Analysis &amp; Design\Design\FC22\DRR Jaime\QUIFA-CAJÚA\Cajua\[VAS_CAJUA_CF_SEC_20230125.xlsx]CF PND'!$BB$60</v>
      </c>
      <c r="J3446" s="1" t="s">
        <v>1707</v>
      </c>
    </row>
    <row r="3447" spans="1:10" x14ac:dyDescent="0.2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Jaime\QUIFA-CAJÚA\Cajua\[VAS_CAJUA_CF_SEC_20230125.xlsx]CF PND'!</v>
      </c>
      <c r="G3447" s="6" t="s">
        <v>59</v>
      </c>
      <c r="H3447" s="1">
        <f t="shared" si="793"/>
        <v>61</v>
      </c>
      <c r="I3447" s="1" t="str">
        <f t="shared" si="794"/>
        <v>='C:\Users\jaime.benazar\Quorum Business Solutions\Ecopetrol Prometeo - Documents\Planning Space Implementation\3. Analysis &amp; Design\Design\FC22\DRR Jaime\QUIFA-CAJÚA\Cajua\[VAS_CAJUA_CF_SEC_20230125.xlsx]CF PND'!$BB$61</v>
      </c>
      <c r="J3447" s="1" t="s">
        <v>1708</v>
      </c>
    </row>
    <row r="3448" spans="1:10" x14ac:dyDescent="0.2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Jaime\QUIFA-CAJÚA\Cajua\[VAS_CAJUA_CF_SEC_20230125.xlsx]CF PND'!</v>
      </c>
      <c r="G3448" s="6" t="s">
        <v>59</v>
      </c>
      <c r="H3448" s="1">
        <f t="shared" si="793"/>
        <v>62</v>
      </c>
      <c r="I3448" s="1" t="str">
        <f t="shared" si="794"/>
        <v>='C:\Users\jaime.benazar\Quorum Business Solutions\Ecopetrol Prometeo - Documents\Planning Space Implementation\3. Analysis &amp; Design\Design\FC22\DRR Jaime\QUIFA-CAJÚA\Cajua\[VAS_CAJUA_CF_SEC_20230125.xlsx]CF PND'!$BB$62</v>
      </c>
      <c r="J3448" s="1" t="s">
        <v>1709</v>
      </c>
    </row>
    <row r="3449" spans="1:10" x14ac:dyDescent="0.2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Jaime\QUIFA-CAJÚA\Cajua\[VAS_CAJUA_CF_SEC_20230125.xlsx]CF PND'!</v>
      </c>
      <c r="G3449" s="6" t="s">
        <v>59</v>
      </c>
      <c r="H3449" s="1">
        <f t="shared" si="793"/>
        <v>63</v>
      </c>
      <c r="I3449" s="1" t="str">
        <f t="shared" si="794"/>
        <v>='C:\Users\jaime.benazar\Quorum Business Solutions\Ecopetrol Prometeo - Documents\Planning Space Implementation\3. Analysis &amp; Design\Design\FC22\DRR Jaime\QUIFA-CAJÚA\Cajua\[VAS_CAJUA_CF_SEC_20230125.xlsx]CF PND'!$BB$63</v>
      </c>
      <c r="J3449" s="1" t="s">
        <v>1710</v>
      </c>
    </row>
    <row r="3450" spans="1:10" x14ac:dyDescent="0.2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Jaime\QUIFA-CAJÚA\Cajua\[VAS_CAJUA_CF_SEC_20230125.xlsx]CF PND'!</v>
      </c>
      <c r="G3450" s="6" t="s">
        <v>59</v>
      </c>
      <c r="H3450" s="1">
        <f t="shared" si="793"/>
        <v>64</v>
      </c>
      <c r="I3450" s="1" t="str">
        <f t="shared" si="794"/>
        <v>='C:\Users\jaime.benazar\Quorum Business Solutions\Ecopetrol Prometeo - Documents\Planning Space Implementation\3. Analysis &amp; Design\Design\FC22\DRR Jaime\QUIFA-CAJÚA\Cajua\[VAS_CAJUA_CF_SEC_20230125.xlsx]CF PND'!$BB$64</v>
      </c>
      <c r="J3450" s="1" t="s">
        <v>1711</v>
      </c>
    </row>
    <row r="3451" spans="1:10" x14ac:dyDescent="0.2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Jaime\QUIFA-CAJÚA\Cajua\[VAS_CAJUA_CF_SEC_20230125.xlsx]CF PND'!</v>
      </c>
      <c r="G3451" s="6" t="s">
        <v>59</v>
      </c>
      <c r="H3451" s="1">
        <f t="shared" si="793"/>
        <v>65</v>
      </c>
      <c r="I3451" s="1" t="str">
        <f t="shared" si="794"/>
        <v>='C:\Users\jaime.benazar\Quorum Business Solutions\Ecopetrol Prometeo - Documents\Planning Space Implementation\3. Analysis &amp; Design\Design\FC22\DRR Jaime\QUIFA-CAJÚA\Cajua\[VAS_CAJUA_CF_SEC_20230125.xlsx]CF PND'!$BB$65</v>
      </c>
      <c r="J3451" s="1" t="s">
        <v>1712</v>
      </c>
    </row>
    <row r="3452" spans="1:10" x14ac:dyDescent="0.2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Jaime\QUIFA-CAJÚA\Cajua\[VAS_CAJUA_CF_SEC_20230125.xlsx]CF PND'!</v>
      </c>
      <c r="G3452" s="6" t="s">
        <v>59</v>
      </c>
      <c r="H3452" s="1">
        <f t="shared" si="793"/>
        <v>66</v>
      </c>
      <c r="I3452" s="1" t="str">
        <f t="shared" si="794"/>
        <v>='C:\Users\jaime.benazar\Quorum Business Solutions\Ecopetrol Prometeo - Documents\Planning Space Implementation\3. Analysis &amp; Design\Design\FC22\DRR Jaime\QUIFA-CAJÚA\Cajua\[VAS_CAJUA_CF_SEC_20230125.xlsx]CF PND'!$BB$66</v>
      </c>
      <c r="J3452" s="1" t="s">
        <v>1713</v>
      </c>
    </row>
    <row r="3453" spans="1:10" x14ac:dyDescent="0.2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Jaime\QUIFA-CAJÚA\Cajua\[VAS_CAJUA_CF_SEC_20230125.xlsx]CF PND'!</v>
      </c>
      <c r="G3453" s="6" t="s">
        <v>59</v>
      </c>
      <c r="H3453" s="1">
        <f t="shared" si="793"/>
        <v>67</v>
      </c>
      <c r="I3453" s="1" t="str">
        <f t="shared" si="794"/>
        <v>='C:\Users\jaime.benazar\Quorum Business Solutions\Ecopetrol Prometeo - Documents\Planning Space Implementation\3. Analysis &amp; Design\Design\FC22\DRR Jaime\QUIFA-CAJÚA\Cajua\[VAS_CAJUA_CF_SEC_20230125.xlsx]CF PND'!$BB$67</v>
      </c>
      <c r="J3453" s="1" t="s">
        <v>1714</v>
      </c>
    </row>
    <row r="3454" spans="1:10" x14ac:dyDescent="0.2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Jaime\QUIFA-CAJÚA\Cajua\[VAS_CAJUA_CF_SEC_20230125.xlsx]CF PND'!</v>
      </c>
      <c r="G3454" s="6" t="s">
        <v>59</v>
      </c>
      <c r="H3454" s="1">
        <f t="shared" si="793"/>
        <v>68</v>
      </c>
      <c r="I3454" s="1" t="str">
        <f t="shared" si="794"/>
        <v>='C:\Users\jaime.benazar\Quorum Business Solutions\Ecopetrol Prometeo - Documents\Planning Space Implementation\3. Analysis &amp; Design\Design\FC22\DRR Jaime\QUIFA-CAJÚA\Cajua\[VAS_CAJUA_CF_SEC_20230125.xlsx]CF PND'!$BB$68</v>
      </c>
      <c r="J3454" s="1" t="s">
        <v>1715</v>
      </c>
    </row>
    <row r="3455" spans="1:10" x14ac:dyDescent="0.2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Jaime\QUIFA-CAJÚA\Cajua\[VAS_CAJUA_CF_SEC_20230125.xlsx]CF PND'!</v>
      </c>
      <c r="G3455" s="6" t="s">
        <v>59</v>
      </c>
      <c r="H3455" s="1">
        <f t="shared" si="793"/>
        <v>69</v>
      </c>
      <c r="I3455" s="1" t="str">
        <f t="shared" si="794"/>
        <v>='C:\Users\jaime.benazar\Quorum Business Solutions\Ecopetrol Prometeo - Documents\Planning Space Implementation\3. Analysis &amp; Design\Design\FC22\DRR Jaime\QUIFA-CAJÚA\Cajua\[VAS_CAJUA_CF_SEC_20230125.xlsx]CF PND'!$BB$69</v>
      </c>
      <c r="J3455" s="1" t="s">
        <v>1716</v>
      </c>
    </row>
    <row r="3456" spans="1:10" x14ac:dyDescent="0.2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Jaime\QUIFA-CAJÚA\Cajua\[VAS_CAJUA_CF_SEC_20230125.xlsx]CF PND'!</v>
      </c>
      <c r="G3456" s="6" t="s">
        <v>59</v>
      </c>
      <c r="H3456" s="1">
        <f t="shared" si="793"/>
        <v>70</v>
      </c>
      <c r="I3456" s="1" t="str">
        <f t="shared" si="794"/>
        <v>='C:\Users\jaime.benazar\Quorum Business Solutions\Ecopetrol Prometeo - Documents\Planning Space Implementation\3. Analysis &amp; Design\Design\FC22\DRR Jaime\QUIFA-CAJÚA\Cajua\[VAS_CAJUA_CF_SEC_20230125.xlsx]CF PND'!$BB$70</v>
      </c>
      <c r="J3456" s="1" t="s">
        <v>1717</v>
      </c>
    </row>
    <row r="3457" spans="1:10" x14ac:dyDescent="0.2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Jaime\QUIFA-CAJÚA\Cajua\[VAS_CAJUA_CF_SEC_20230125.xlsx]CF PND'!</v>
      </c>
      <c r="G3457" s="6" t="s">
        <v>59</v>
      </c>
      <c r="H3457" s="1">
        <f t="shared" si="793"/>
        <v>71</v>
      </c>
      <c r="I3457" s="1" t="str">
        <f t="shared" si="794"/>
        <v>='C:\Users\jaime.benazar\Quorum Business Solutions\Ecopetrol Prometeo - Documents\Planning Space Implementation\3. Analysis &amp; Design\Design\FC22\DRR Jaime\QUIFA-CAJÚA\Cajua\[VAS_CAJUA_CF_SEC_20230125.xlsx]CF PND'!$BB$71</v>
      </c>
      <c r="J3457" s="1" t="s">
        <v>1718</v>
      </c>
    </row>
    <row r="3458" spans="1:10" x14ac:dyDescent="0.2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Jaime\QUIFA-CAJÚA\Cajua\[VAS_CAJUA_CF_SEC_20230125.xlsx]CF PND'!</v>
      </c>
      <c r="G3458" s="6" t="s">
        <v>59</v>
      </c>
      <c r="H3458" s="1">
        <f t="shared" si="793"/>
        <v>72</v>
      </c>
      <c r="I3458" s="1" t="str">
        <f t="shared" si="794"/>
        <v>='C:\Users\jaime.benazar\Quorum Business Solutions\Ecopetrol Prometeo - Documents\Planning Space Implementation\3. Analysis &amp; Design\Design\FC22\DRR Jaime\QUIFA-CAJÚA\Cajua\[VAS_CAJUA_CF_SEC_20230125.xlsx]CF PND'!$BB$72</v>
      </c>
      <c r="J3458" s="1" t="s">
        <v>1719</v>
      </c>
    </row>
    <row r="3459" spans="1:10" x14ac:dyDescent="0.25">
      <c r="A3459" s="6" t="s">
        <v>28</v>
      </c>
      <c r="B3459" s="6"/>
      <c r="C3459" s="1" t="s">
        <v>49</v>
      </c>
      <c r="D3459" s="2"/>
      <c r="E3459" s="9"/>
      <c r="F3459" s="2"/>
      <c r="G3459" s="6"/>
      <c r="H3459" s="1"/>
      <c r="I3459" s="1"/>
      <c r="J3459" s="4"/>
    </row>
    <row r="3460" spans="1:10" x14ac:dyDescent="0.2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Jaime\QUIFA-CAJÚA\Cajua\[VAS_CAJUA_CF_SEC_20230125.xlsx]CF PRBDP'!</v>
      </c>
      <c r="G3460" s="6" t="s">
        <v>59</v>
      </c>
      <c r="H3460" s="1"/>
      <c r="I3460" s="1"/>
      <c r="J3460" s="1"/>
    </row>
    <row r="3461" spans="1:10" x14ac:dyDescent="0.2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Jaime\QUIFA-CAJÚA\Cajua\[VAS_CAJUA_CF_SEC_20230125.xlsx]CF PRBDP'!</v>
      </c>
      <c r="G3461" s="6" t="s">
        <v>59</v>
      </c>
      <c r="H3461" s="1"/>
      <c r="I3461" s="1"/>
      <c r="J3461" s="1"/>
    </row>
    <row r="3462" spans="1:10" x14ac:dyDescent="0.2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Jaime\QUIFA-CAJÚA\Cajua\[VAS_CAJUA_CF_SEC_20230125.xlsx]CF PRBDP'!</v>
      </c>
      <c r="G3462" s="6" t="s">
        <v>59</v>
      </c>
      <c r="H3462" s="1"/>
      <c r="I3462" s="1"/>
      <c r="J3462" s="1"/>
    </row>
    <row r="3463" spans="1:10" x14ac:dyDescent="0.2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Jaime\QUIFA-CAJÚA\Cajua\[VAS_CAJUA_CF_SEC_20230125.xlsx]CF PRBDP'!</v>
      </c>
      <c r="G3463" s="6" t="s">
        <v>59</v>
      </c>
      <c r="H3463" s="1"/>
      <c r="I3463" s="1"/>
      <c r="J3463" s="1"/>
    </row>
    <row r="3464" spans="1:10" x14ac:dyDescent="0.2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Jaime\QUIFA-CAJÚA\Cajua\[VAS_CAJUA_CF_SEC_20230125.xlsx]CF PRBDP'!</v>
      </c>
      <c r="G3464" s="6" t="s">
        <v>59</v>
      </c>
      <c r="H3464" s="1"/>
      <c r="I3464" s="1"/>
      <c r="J3464" s="1"/>
    </row>
    <row r="3465" spans="1:10" x14ac:dyDescent="0.2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Jaime\QUIFA-CAJÚA\Cajua\[VAS_CAJUA_CF_SEC_20230125.xlsx]CF PRBDP'!</v>
      </c>
      <c r="G3465" s="6" t="s">
        <v>59</v>
      </c>
      <c r="H3465" s="1"/>
      <c r="I3465" s="1"/>
      <c r="J3465" s="1"/>
    </row>
    <row r="3466" spans="1:10" x14ac:dyDescent="0.2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Jaime\QUIFA-CAJÚA\Cajua\[VAS_CAJUA_CF_SEC_20230125.xlsx]CF PRBDP'!</v>
      </c>
      <c r="G3466" s="6" t="s">
        <v>59</v>
      </c>
      <c r="H3466" s="1"/>
      <c r="I3466" s="1"/>
      <c r="J3466" s="1"/>
    </row>
    <row r="3467" spans="1:10" x14ac:dyDescent="0.2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Jaime\QUIFA-CAJÚA\Cajua\[VAS_CAJUA_CF_SEC_20230125.xlsx]CF PRBDP'!</v>
      </c>
      <c r="G3467" s="6" t="s">
        <v>59</v>
      </c>
      <c r="H3467" s="1"/>
      <c r="I3467" s="1"/>
      <c r="J3467" s="1"/>
    </row>
    <row r="3468" spans="1:10" x14ac:dyDescent="0.2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Jaime\QUIFA-CAJÚA\Cajua\[VAS_CAJUA_CF_SEC_20230125.xlsx]CF PRBDP'!</v>
      </c>
      <c r="G3468" s="6" t="s">
        <v>59</v>
      </c>
      <c r="H3468" s="1"/>
      <c r="I3468" s="1"/>
      <c r="J3468" s="1"/>
    </row>
    <row r="3469" spans="1:10" x14ac:dyDescent="0.2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Jaime\QUIFA-CAJÚA\Cajua\[VAS_CAJUA_CF_SEC_20230125.xlsx]CF PRBDP'!</v>
      </c>
      <c r="G3469" s="6" t="s">
        <v>59</v>
      </c>
      <c r="H3469" s="1"/>
      <c r="I3469" s="1"/>
      <c r="J3469" s="1"/>
    </row>
    <row r="3470" spans="1:10" x14ac:dyDescent="0.2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Jaime\QUIFA-CAJÚA\Cajua\[VAS_CAJUA_CF_SEC_20230125.xlsx]CF PRBDP'!</v>
      </c>
      <c r="G3470" s="6" t="s">
        <v>59</v>
      </c>
      <c r="H3470" s="1"/>
      <c r="I3470" s="1"/>
      <c r="J3470" s="1"/>
    </row>
    <row r="3471" spans="1:10" x14ac:dyDescent="0.2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Jaime\QUIFA-CAJÚA\Cajua\[VAS_CAJUA_CF_SEC_20230125.xlsx]CF PRBDP'!</v>
      </c>
      <c r="G3471" s="6" t="s">
        <v>59</v>
      </c>
      <c r="H3471" s="1"/>
      <c r="I3471" s="1"/>
      <c r="J3471" s="1"/>
    </row>
    <row r="3472" spans="1:10" x14ac:dyDescent="0.2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Jaime\QUIFA-CAJÚA\Cajua\[VAS_CAJUA_CF_SEC_20230125.xlsx]CF PRBDP'!</v>
      </c>
      <c r="G3472" s="6" t="s">
        <v>59</v>
      </c>
      <c r="H3472" s="1"/>
      <c r="I3472" s="1"/>
      <c r="J3472" s="1"/>
    </row>
    <row r="3473" spans="1:10" x14ac:dyDescent="0.2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Jaime\QUIFA-CAJÚA\Cajua\[VAS_CAJUA_CF_SEC_20230125.xlsx]CF PRBDP'!</v>
      </c>
      <c r="G3473" s="6" t="s">
        <v>59</v>
      </c>
      <c r="H3473" s="1"/>
      <c r="I3473" s="1"/>
      <c r="J3473" s="1"/>
    </row>
    <row r="3474" spans="1:10" x14ac:dyDescent="0.2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Jaime\QUIFA-CAJÚA\Cajua\[VAS_CAJUA_CF_SEC_20230125.xlsx]CF PRBDP'!</v>
      </c>
      <c r="G3474" s="6" t="s">
        <v>59</v>
      </c>
      <c r="H3474" s="1"/>
      <c r="I3474" s="1"/>
      <c r="J3474" s="1"/>
    </row>
    <row r="3475" spans="1:10" x14ac:dyDescent="0.2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Jaime\QUIFA-CAJÚA\Cajua\[VAS_CAJUA_CF_SEC_20230125.xlsx]CF PRBDP'!</v>
      </c>
      <c r="G3475" s="6" t="s">
        <v>59</v>
      </c>
      <c r="H3475" s="1"/>
      <c r="I3475" s="1"/>
      <c r="J3475" s="1"/>
    </row>
    <row r="3476" spans="1:10" x14ac:dyDescent="0.2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Jaime\QUIFA-CAJÚA\Cajua\[VAS_CAJUA_CF_SEC_20230125.xlsx]CF PRBDP'!</v>
      </c>
      <c r="G3476" s="6" t="s">
        <v>59</v>
      </c>
      <c r="H3476" s="1"/>
      <c r="I3476" s="1"/>
      <c r="J3476" s="1"/>
    </row>
    <row r="3477" spans="1:10" x14ac:dyDescent="0.2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Jaime\QUIFA-CAJÚA\Cajua\[VAS_CAJUA_CF_SEC_20230125.xlsx]CF PRBDP'!</v>
      </c>
      <c r="G3477" s="6" t="s">
        <v>59</v>
      </c>
      <c r="H3477" s="1"/>
      <c r="I3477" s="1"/>
      <c r="J3477" s="1"/>
    </row>
    <row r="3478" spans="1:10" x14ac:dyDescent="0.2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Jaime\QUIFA-CAJÚA\Cajua\[VAS_CAJUA_CF_SEC_20230125.xlsx]CF PRBDP'!</v>
      </c>
      <c r="G3478" s="6" t="s">
        <v>59</v>
      </c>
      <c r="H3478" s="1"/>
      <c r="I3478" s="1"/>
      <c r="J3478" s="1"/>
    </row>
    <row r="3479" spans="1:10" x14ac:dyDescent="0.2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Jaime\QUIFA-CAJÚA\Cajua\[VAS_CAJUA_CF_SEC_20230125.xlsx]CF PRBDP'!</v>
      </c>
      <c r="G3479" s="6" t="s">
        <v>59</v>
      </c>
      <c r="H3479" s="1"/>
      <c r="I3479" s="1"/>
      <c r="J3479" s="1"/>
    </row>
    <row r="3480" spans="1:10" x14ac:dyDescent="0.2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Jaime\QUIFA-CAJÚA\Cajua\[VAS_CAJUA_CF_SEC_20230125.xlsx]CF PRBDP'!</v>
      </c>
      <c r="G3480" s="6" t="s">
        <v>59</v>
      </c>
      <c r="H3480" s="1"/>
      <c r="I3480" s="1"/>
      <c r="J3480" s="1"/>
    </row>
    <row r="3481" spans="1:10" x14ac:dyDescent="0.2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Jaime\QUIFA-CAJÚA\Cajua\[VAS_CAJUA_CF_SEC_20230125.xlsx]CF PRBDP'!</v>
      </c>
      <c r="G3481" s="6" t="s">
        <v>59</v>
      </c>
      <c r="H3481" s="1"/>
      <c r="I3481" s="1"/>
      <c r="J3481" s="1"/>
    </row>
    <row r="3482" spans="1:10" x14ac:dyDescent="0.2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Jaime\QUIFA-CAJÚA\Cajua\[VAS_CAJUA_CF_SEC_20230125.xlsx]CF PRBDP'!</v>
      </c>
      <c r="G3482" s="6" t="s">
        <v>59</v>
      </c>
      <c r="H3482" s="1"/>
      <c r="I3482" s="1"/>
      <c r="J3482" s="1"/>
    </row>
    <row r="3483" spans="1:10" x14ac:dyDescent="0.2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Jaime\QUIFA-CAJÚA\Cajua\[VAS_CAJUA_CF_SEC_20230125.xlsx]CF PRBDP'!</v>
      </c>
      <c r="G3483" s="6" t="s">
        <v>59</v>
      </c>
      <c r="H3483" s="1"/>
      <c r="I3483" s="1"/>
      <c r="J3483" s="1"/>
    </row>
    <row r="3484" spans="1:10" x14ac:dyDescent="0.2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Jaime\QUIFA-CAJÚA\Cajua\[VAS_CAJUA_CF_SEC_20230125.xlsx]CF PRBDP'!</v>
      </c>
      <c r="G3484" s="6" t="s">
        <v>59</v>
      </c>
      <c r="H3484" s="1"/>
      <c r="I3484" s="1"/>
      <c r="J3484" s="1"/>
    </row>
    <row r="3485" spans="1:10" x14ac:dyDescent="0.2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Jaime\QUIFA-CAJÚA\Cajua\[VAS_CAJUA_CF_SEC_20230125.xlsx]CF PRBDP'!</v>
      </c>
      <c r="G3485" s="6" t="s">
        <v>59</v>
      </c>
      <c r="H3485" s="1"/>
      <c r="I3485" s="1"/>
      <c r="J3485" s="1"/>
    </row>
    <row r="3486" spans="1:10" x14ac:dyDescent="0.2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Jaime\QUIFA-CAJÚA\Cajua\[VAS_CAJUA_CF_SEC_20230125.xlsx]CF PRBDP'!</v>
      </c>
      <c r="G3486" s="6" t="s">
        <v>59</v>
      </c>
      <c r="H3486" s="1"/>
      <c r="I3486" s="1"/>
      <c r="J3486" s="1"/>
    </row>
    <row r="3487" spans="1:10" x14ac:dyDescent="0.2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Jaime\QUIFA-CAJÚA\Cajua\[VAS_CAJUA_CF_SEC_20230125.xlsx]CF PRBDP'!</v>
      </c>
      <c r="G3487" s="6" t="s">
        <v>59</v>
      </c>
      <c r="H3487" s="1"/>
      <c r="I3487" s="1"/>
      <c r="J3487" s="1"/>
    </row>
    <row r="3488" spans="1:10" x14ac:dyDescent="0.2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Jaime\QUIFA-CAJÚA\Cajua\[VAS_CAJUA_CF_SEC_20230125.xlsx]CF PRBDP'!</v>
      </c>
      <c r="G3488" s="6" t="s">
        <v>59</v>
      </c>
      <c r="H3488" s="1"/>
      <c r="I3488" s="1"/>
      <c r="J3488" s="1"/>
    </row>
    <row r="3489" spans="1:10" x14ac:dyDescent="0.2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Jaime\QUIFA-CAJÚA\Cajua\[VAS_CAJUA_CF_SEC_20230125.xlsx]CF PRBDP'!</v>
      </c>
      <c r="G3489" s="6" t="s">
        <v>59</v>
      </c>
      <c r="H3489" s="1"/>
      <c r="I3489" s="1"/>
      <c r="J3489" s="1"/>
    </row>
    <row r="3490" spans="1:10" x14ac:dyDescent="0.2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Jaime\QUIFA-CAJÚA\Cajua\[VAS_CAJUA_CF_SEC_20230125.xlsx]CF PRBDP'!</v>
      </c>
      <c r="G3490" s="6" t="s">
        <v>59</v>
      </c>
      <c r="H3490" s="1"/>
      <c r="I3490" s="1"/>
      <c r="J3490" s="1"/>
    </row>
    <row r="3491" spans="1:10" x14ac:dyDescent="0.2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Jaime\QUIFA-CAJÚA\Cajua\[VAS_CAJUA_CF_SEC_20230125.xlsx]CF PRBDP'!</v>
      </c>
      <c r="G3491" s="6" t="s">
        <v>59</v>
      </c>
      <c r="H3491" s="1"/>
      <c r="I3491" s="1"/>
      <c r="J3491" s="1"/>
    </row>
    <row r="3492" spans="1:10" x14ac:dyDescent="0.2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Jaime\QUIFA-CAJÚA\Cajua\[VAS_CAJUA_CF_SEC_20230125.xlsx]CF PRBDP'!</v>
      </c>
      <c r="G3492" s="6" t="s">
        <v>59</v>
      </c>
      <c r="H3492" s="1"/>
      <c r="I3492" s="1"/>
      <c r="J3492" s="1"/>
    </row>
    <row r="3493" spans="1:10" x14ac:dyDescent="0.2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Jaime\QUIFA-CAJÚA\Cajua\[VAS_CAJUA_CF_SEC_20230125.xlsx]CF PRBDP'!</v>
      </c>
      <c r="G3493" s="6" t="s">
        <v>59</v>
      </c>
      <c r="H3493" s="1"/>
      <c r="I3493" s="1"/>
      <c r="J3493" s="1"/>
    </row>
    <row r="3494" spans="1:10" x14ac:dyDescent="0.2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Jaime\QUIFA-CAJÚA\Cajua\[VAS_CAJUA_CF_SEC_20230125.xlsx]CF PRBDP'!</v>
      </c>
      <c r="G3494" s="6" t="s">
        <v>59</v>
      </c>
      <c r="H3494" s="1"/>
      <c r="I3494" s="1"/>
      <c r="J3494" s="1"/>
    </row>
    <row r="3495" spans="1:10" x14ac:dyDescent="0.2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Jaime\QUIFA-CAJÚA\Cajua\[VAS_CAJUA_CF_SEC_20230125.xlsx]CF PRBDP'!</v>
      </c>
      <c r="G3495" s="6" t="s">
        <v>59</v>
      </c>
      <c r="H3495" s="1"/>
      <c r="I3495" s="1"/>
      <c r="J3495" s="1"/>
    </row>
    <row r="3496" spans="1:10" x14ac:dyDescent="0.2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Jaime\QUIFA-CAJÚA\Cajua\[VAS_CAJUA_CF_SEC_20230125.xlsx]CF PRBDP'!</v>
      </c>
      <c r="G3496" s="6" t="s">
        <v>59</v>
      </c>
      <c r="H3496" s="1"/>
      <c r="I3496" s="1"/>
      <c r="J3496" s="1"/>
    </row>
    <row r="3497" spans="1:10" x14ac:dyDescent="0.25">
      <c r="A3497" s="6" t="s">
        <v>28</v>
      </c>
      <c r="B3497" s="6"/>
      <c r="C3497" s="1" t="s">
        <v>49</v>
      </c>
      <c r="D3497" s="2"/>
      <c r="E3497" s="9"/>
      <c r="F3497" s="5"/>
      <c r="G3497" s="6"/>
      <c r="H3497" s="1"/>
      <c r="I3497" s="1"/>
      <c r="J3497" s="12"/>
    </row>
    <row r="3498" spans="1:10" x14ac:dyDescent="0.2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Jaime\QUIFA-CAJÚA\Cajua\[VAS_CAJUA_CF_SEC_20230125.xlsx]CF PRBNP'!</v>
      </c>
      <c r="G3498" s="6" t="s">
        <v>59</v>
      </c>
      <c r="H3498" s="1"/>
      <c r="I3498" s="1"/>
      <c r="J3498" s="1"/>
    </row>
    <row r="3499" spans="1:10" x14ac:dyDescent="0.2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Jaime\QUIFA-CAJÚA\Cajua\[VAS_CAJUA_CF_SEC_20230125.xlsx]CF PRBNP'!</v>
      </c>
      <c r="G3499" s="6" t="s">
        <v>59</v>
      </c>
      <c r="H3499" s="1"/>
      <c r="I3499" s="1"/>
      <c r="J3499" s="1"/>
    </row>
    <row r="3500" spans="1:10" x14ac:dyDescent="0.2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Jaime\QUIFA-CAJÚA\Cajua\[VAS_CAJUA_CF_SEC_20230125.xlsx]CF PRBNP'!</v>
      </c>
      <c r="G3500" s="6" t="s">
        <v>59</v>
      </c>
      <c r="H3500" s="1"/>
      <c r="I3500" s="1"/>
      <c r="J3500" s="1"/>
    </row>
    <row r="3501" spans="1:10" x14ac:dyDescent="0.2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Jaime\QUIFA-CAJÚA\Cajua\[VAS_CAJUA_CF_SEC_20230125.xlsx]CF PRBNP'!</v>
      </c>
      <c r="G3501" s="6" t="s">
        <v>59</v>
      </c>
      <c r="H3501" s="1"/>
      <c r="I3501" s="1"/>
      <c r="J3501" s="1"/>
    </row>
    <row r="3502" spans="1:10" x14ac:dyDescent="0.2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Jaime\QUIFA-CAJÚA\Cajua\[VAS_CAJUA_CF_SEC_20230125.xlsx]CF PRBNP'!</v>
      </c>
      <c r="G3502" s="6" t="s">
        <v>59</v>
      </c>
      <c r="H3502" s="1"/>
      <c r="I3502" s="1"/>
      <c r="J3502" s="1"/>
    </row>
    <row r="3503" spans="1:10" x14ac:dyDescent="0.2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Jaime\QUIFA-CAJÚA\Cajua\[VAS_CAJUA_CF_SEC_20230125.xlsx]CF PRBNP'!</v>
      </c>
      <c r="G3503" s="6" t="s">
        <v>59</v>
      </c>
      <c r="H3503" s="1"/>
      <c r="I3503" s="1"/>
      <c r="J3503" s="1"/>
    </row>
    <row r="3504" spans="1:10" x14ac:dyDescent="0.2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Jaime\QUIFA-CAJÚA\Cajua\[VAS_CAJUA_CF_SEC_20230125.xlsx]CF PRBNP'!</v>
      </c>
      <c r="G3504" s="6" t="s">
        <v>59</v>
      </c>
      <c r="H3504" s="1"/>
      <c r="I3504" s="1"/>
      <c r="J3504" s="1"/>
    </row>
    <row r="3505" spans="1:10" x14ac:dyDescent="0.2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Jaime\QUIFA-CAJÚA\Cajua\[VAS_CAJUA_CF_SEC_20230125.xlsx]CF PRBNP'!</v>
      </c>
      <c r="G3505" s="6" t="s">
        <v>59</v>
      </c>
      <c r="H3505" s="1"/>
      <c r="I3505" s="1"/>
      <c r="J3505" s="1"/>
    </row>
    <row r="3506" spans="1:10" x14ac:dyDescent="0.2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Jaime\QUIFA-CAJÚA\Cajua\[VAS_CAJUA_CF_SEC_20230125.xlsx]CF PRBNP'!</v>
      </c>
      <c r="G3506" s="6" t="s">
        <v>59</v>
      </c>
      <c r="H3506" s="1"/>
      <c r="I3506" s="1"/>
      <c r="J3506" s="1"/>
    </row>
    <row r="3507" spans="1:10" x14ac:dyDescent="0.2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Jaime\QUIFA-CAJÚA\Cajua\[VAS_CAJUA_CF_SEC_20230125.xlsx]CF PRBNP'!</v>
      </c>
      <c r="G3507" s="6" t="s">
        <v>59</v>
      </c>
      <c r="H3507" s="1"/>
      <c r="I3507" s="1"/>
      <c r="J3507" s="1"/>
    </row>
    <row r="3508" spans="1:10" x14ac:dyDescent="0.2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Jaime\QUIFA-CAJÚA\Cajua\[VAS_CAJUA_CF_SEC_20230125.xlsx]CF PRBNP'!</v>
      </c>
      <c r="G3508" s="6" t="s">
        <v>59</v>
      </c>
      <c r="H3508" s="1"/>
      <c r="I3508" s="1"/>
      <c r="J3508" s="1"/>
    </row>
    <row r="3509" spans="1:10" x14ac:dyDescent="0.2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Jaime\QUIFA-CAJÚA\Cajua\[VAS_CAJUA_CF_SEC_20230125.xlsx]CF PRBNP'!</v>
      </c>
      <c r="G3509" s="6" t="s">
        <v>59</v>
      </c>
      <c r="H3509" s="1"/>
      <c r="I3509" s="1"/>
      <c r="J3509" s="1"/>
    </row>
    <row r="3510" spans="1:10" x14ac:dyDescent="0.2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Jaime\QUIFA-CAJÚA\Cajua\[VAS_CAJUA_CF_SEC_20230125.xlsx]CF PRBNP'!</v>
      </c>
      <c r="G3510" s="6" t="s">
        <v>59</v>
      </c>
      <c r="H3510" s="1"/>
      <c r="I3510" s="1"/>
      <c r="J3510" s="1"/>
    </row>
    <row r="3511" spans="1:10" x14ac:dyDescent="0.2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Jaime\QUIFA-CAJÚA\Cajua\[VAS_CAJUA_CF_SEC_20230125.xlsx]CF PRBNP'!</v>
      </c>
      <c r="G3511" s="6" t="s">
        <v>59</v>
      </c>
      <c r="H3511" s="1"/>
      <c r="I3511" s="1"/>
      <c r="J3511" s="1"/>
    </row>
    <row r="3512" spans="1:10" x14ac:dyDescent="0.2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Jaime\QUIFA-CAJÚA\Cajua\[VAS_CAJUA_CF_SEC_20230125.xlsx]CF PRBNP'!</v>
      </c>
      <c r="G3512" s="6" t="s">
        <v>59</v>
      </c>
      <c r="H3512" s="1"/>
      <c r="I3512" s="1"/>
      <c r="J3512" s="1"/>
    </row>
    <row r="3513" spans="1:10" x14ac:dyDescent="0.2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Jaime\QUIFA-CAJÚA\Cajua\[VAS_CAJUA_CF_SEC_20230125.xlsx]CF PRBNP'!</v>
      </c>
      <c r="G3513" s="6" t="s">
        <v>59</v>
      </c>
      <c r="H3513" s="1"/>
      <c r="I3513" s="1"/>
      <c r="J3513" s="1"/>
    </row>
    <row r="3514" spans="1:10" x14ac:dyDescent="0.2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Jaime\QUIFA-CAJÚA\Cajua\[VAS_CAJUA_CF_SEC_20230125.xlsx]CF PRBNP'!</v>
      </c>
      <c r="G3514" s="6" t="s">
        <v>59</v>
      </c>
      <c r="H3514" s="1"/>
      <c r="I3514" s="1"/>
      <c r="J3514" s="1"/>
    </row>
    <row r="3515" spans="1:10" x14ac:dyDescent="0.2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Jaime\QUIFA-CAJÚA\Cajua\[VAS_CAJUA_CF_SEC_20230125.xlsx]CF PRBNP'!</v>
      </c>
      <c r="G3515" s="6" t="s">
        <v>59</v>
      </c>
      <c r="H3515" s="1"/>
      <c r="I3515" s="1"/>
      <c r="J3515" s="1"/>
    </row>
    <row r="3516" spans="1:10" x14ac:dyDescent="0.2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Jaime\QUIFA-CAJÚA\Cajua\[VAS_CAJUA_CF_SEC_20230125.xlsx]CF PRBNP'!</v>
      </c>
      <c r="G3516" s="6" t="s">
        <v>59</v>
      </c>
      <c r="H3516" s="1"/>
      <c r="I3516" s="1"/>
      <c r="J3516" s="1"/>
    </row>
    <row r="3517" spans="1:10" x14ac:dyDescent="0.2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Jaime\QUIFA-CAJÚA\Cajua\[VAS_CAJUA_CF_SEC_20230125.xlsx]CF PRBNP'!</v>
      </c>
      <c r="G3517" s="6" t="s">
        <v>59</v>
      </c>
      <c r="H3517" s="1"/>
      <c r="I3517" s="1"/>
      <c r="J3517" s="1"/>
    </row>
    <row r="3518" spans="1:10" x14ac:dyDescent="0.2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Jaime\QUIFA-CAJÚA\Cajua\[VAS_CAJUA_CF_SEC_20230125.xlsx]CF PRBNP'!</v>
      </c>
      <c r="G3518" s="6" t="s">
        <v>59</v>
      </c>
      <c r="H3518" s="1"/>
      <c r="I3518" s="1"/>
      <c r="J3518" s="1"/>
    </row>
    <row r="3519" spans="1:10" x14ac:dyDescent="0.2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Jaime\QUIFA-CAJÚA\Cajua\[VAS_CAJUA_CF_SEC_20230125.xlsx]CF PRBNP'!</v>
      </c>
      <c r="G3519" s="6" t="s">
        <v>59</v>
      </c>
      <c r="H3519" s="1"/>
      <c r="I3519" s="1"/>
      <c r="J3519" s="1"/>
    </row>
    <row r="3520" spans="1:10" x14ac:dyDescent="0.2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Jaime\QUIFA-CAJÚA\Cajua\[VAS_CAJUA_CF_SEC_20230125.xlsx]CF PRBNP'!</v>
      </c>
      <c r="G3520" s="6" t="s">
        <v>59</v>
      </c>
      <c r="H3520" s="1"/>
      <c r="I3520" s="1"/>
      <c r="J3520" s="1"/>
    </row>
    <row r="3521" spans="1:10" x14ac:dyDescent="0.2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Jaime\QUIFA-CAJÚA\Cajua\[VAS_CAJUA_CF_SEC_20230125.xlsx]CF PRBNP'!</v>
      </c>
      <c r="G3521" s="6" t="s">
        <v>59</v>
      </c>
      <c r="H3521" s="1"/>
      <c r="I3521" s="1"/>
      <c r="J3521" s="1"/>
    </row>
    <row r="3522" spans="1:10" x14ac:dyDescent="0.2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Jaime\QUIFA-CAJÚA\Cajua\[VAS_CAJUA_CF_SEC_20230125.xlsx]CF PRBNP'!</v>
      </c>
      <c r="G3522" s="6" t="s">
        <v>59</v>
      </c>
      <c r="H3522" s="1"/>
      <c r="I3522" s="1"/>
      <c r="J3522" s="1"/>
    </row>
    <row r="3523" spans="1:10" x14ac:dyDescent="0.2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Jaime\QUIFA-CAJÚA\Cajua\[VAS_CAJUA_CF_SEC_20230125.xlsx]CF PRBNP'!</v>
      </c>
      <c r="G3523" s="6" t="s">
        <v>59</v>
      </c>
      <c r="H3523" s="1"/>
      <c r="I3523" s="1"/>
      <c r="J3523" s="1"/>
    </row>
    <row r="3524" spans="1:10" x14ac:dyDescent="0.2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Jaime\QUIFA-CAJÚA\Cajua\[VAS_CAJUA_CF_SEC_20230125.xlsx]CF PRBNP'!</v>
      </c>
      <c r="G3524" s="6" t="s">
        <v>59</v>
      </c>
      <c r="H3524" s="1"/>
      <c r="I3524" s="1"/>
      <c r="J3524" s="1"/>
    </row>
    <row r="3525" spans="1:10" x14ac:dyDescent="0.2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Jaime\QUIFA-CAJÚA\Cajua\[VAS_CAJUA_CF_SEC_20230125.xlsx]CF PRBNP'!</v>
      </c>
      <c r="G3525" s="6" t="s">
        <v>59</v>
      </c>
      <c r="H3525" s="1"/>
      <c r="I3525" s="1"/>
      <c r="J3525" s="1"/>
    </row>
    <row r="3526" spans="1:10" x14ac:dyDescent="0.2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Jaime\QUIFA-CAJÚA\Cajua\[VAS_CAJUA_CF_SEC_20230125.xlsx]CF PRBNP'!</v>
      </c>
      <c r="G3526" s="6" t="s">
        <v>59</v>
      </c>
      <c r="H3526" s="1"/>
      <c r="I3526" s="1"/>
      <c r="J3526" s="1"/>
    </row>
    <row r="3527" spans="1:10" x14ac:dyDescent="0.2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Jaime\QUIFA-CAJÚA\Cajua\[VAS_CAJUA_CF_SEC_20230125.xlsx]CF PRBNP'!</v>
      </c>
      <c r="G3527" s="6" t="s">
        <v>59</v>
      </c>
      <c r="H3527" s="1"/>
      <c r="I3527" s="1"/>
      <c r="J3527" s="1"/>
    </row>
    <row r="3528" spans="1:10" x14ac:dyDescent="0.2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Jaime\QUIFA-CAJÚA\Cajua\[VAS_CAJUA_CF_SEC_20230125.xlsx]CF PRBNP'!</v>
      </c>
      <c r="G3528" s="6" t="s">
        <v>59</v>
      </c>
      <c r="H3528" s="1"/>
      <c r="I3528" s="1"/>
      <c r="J3528" s="1"/>
    </row>
    <row r="3529" spans="1:10" x14ac:dyDescent="0.2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Jaime\QUIFA-CAJÚA\Cajua\[VAS_CAJUA_CF_SEC_20230125.xlsx]CF PRBNP'!</v>
      </c>
      <c r="G3529" s="6" t="s">
        <v>59</v>
      </c>
      <c r="H3529" s="1"/>
      <c r="I3529" s="1"/>
      <c r="J3529" s="1"/>
    </row>
    <row r="3530" spans="1:10" x14ac:dyDescent="0.2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Jaime\QUIFA-CAJÚA\Cajua\[VAS_CAJUA_CF_SEC_20230125.xlsx]CF PRBNP'!</v>
      </c>
      <c r="G3530" s="6" t="s">
        <v>59</v>
      </c>
      <c r="H3530" s="1"/>
      <c r="I3530" s="1"/>
      <c r="J3530" s="1"/>
    </row>
    <row r="3531" spans="1:10" x14ac:dyDescent="0.2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Jaime\QUIFA-CAJÚA\Cajua\[VAS_CAJUA_CF_SEC_20230125.xlsx]CF PRBNP'!</v>
      </c>
      <c r="G3531" s="6" t="s">
        <v>59</v>
      </c>
      <c r="H3531" s="1"/>
      <c r="I3531" s="1"/>
      <c r="J3531" s="1"/>
    </row>
    <row r="3532" spans="1:10" x14ac:dyDescent="0.2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Jaime\QUIFA-CAJÚA\Cajua\[VAS_CAJUA_CF_SEC_20230125.xlsx]CF PRBNP'!</v>
      </c>
      <c r="G3532" s="6" t="s">
        <v>59</v>
      </c>
      <c r="H3532" s="1"/>
      <c r="I3532" s="1"/>
      <c r="J3532" s="1"/>
    </row>
    <row r="3533" spans="1:10" x14ac:dyDescent="0.2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Jaime\QUIFA-CAJÚA\Cajua\[VAS_CAJUA_CF_SEC_20230125.xlsx]CF PRBNP'!</v>
      </c>
      <c r="G3533" s="6" t="s">
        <v>59</v>
      </c>
      <c r="H3533" s="1"/>
      <c r="I3533" s="1"/>
      <c r="J3533" s="1"/>
    </row>
    <row r="3534" spans="1:10" x14ac:dyDescent="0.2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Jaime\QUIFA-CAJÚA\Cajua\[VAS_CAJUA_CF_SEC_20230125.xlsx]CF PRBNP'!</v>
      </c>
      <c r="G3534" s="6" t="s">
        <v>59</v>
      </c>
      <c r="H3534" s="1"/>
      <c r="I3534" s="1"/>
      <c r="J3534" s="1"/>
    </row>
    <row r="3535" spans="1:10" x14ac:dyDescent="0.25">
      <c r="A3535" s="6" t="s">
        <v>28</v>
      </c>
      <c r="B3535" s="6"/>
      <c r="C3535" s="1" t="s">
        <v>49</v>
      </c>
      <c r="D3535" s="2"/>
      <c r="E3535" s="9"/>
      <c r="F3535" s="2"/>
      <c r="G3535" s="6"/>
      <c r="H3535" s="1"/>
      <c r="I3535" s="1"/>
      <c r="J3535" s="12"/>
    </row>
    <row r="3536" spans="1:10" x14ac:dyDescent="0.2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Jaime\QUIFA-CAJÚA\Cajua\[VAS_CAJUA_CF_SEC_20230125.xlsx]CF PRBND'!</v>
      </c>
      <c r="G3536" s="6" t="s">
        <v>59</v>
      </c>
      <c r="H3536" s="1"/>
      <c r="I3536" s="1"/>
      <c r="J3536" s="1"/>
    </row>
    <row r="3537" spans="1:10" x14ac:dyDescent="0.2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Jaime\QUIFA-CAJÚA\Cajua\[VAS_CAJUA_CF_SEC_20230125.xlsx]CF PRBND'!</v>
      </c>
      <c r="G3537" s="6" t="s">
        <v>59</v>
      </c>
      <c r="H3537" s="1"/>
      <c r="I3537" s="1"/>
      <c r="J3537" s="1"/>
    </row>
    <row r="3538" spans="1:10" x14ac:dyDescent="0.2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Jaime\QUIFA-CAJÚA\Cajua\[VAS_CAJUA_CF_SEC_20230125.xlsx]CF PRBND'!</v>
      </c>
      <c r="G3538" s="6" t="s">
        <v>59</v>
      </c>
      <c r="H3538" s="1"/>
      <c r="I3538" s="1"/>
      <c r="J3538" s="1"/>
    </row>
    <row r="3539" spans="1:10" x14ac:dyDescent="0.2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Jaime\QUIFA-CAJÚA\Cajua\[VAS_CAJUA_CF_SEC_20230125.xlsx]CF PRBND'!</v>
      </c>
      <c r="G3539" s="6" t="s">
        <v>59</v>
      </c>
      <c r="H3539" s="1"/>
      <c r="I3539" s="1"/>
      <c r="J3539" s="1"/>
    </row>
    <row r="3540" spans="1:10" x14ac:dyDescent="0.2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Jaime\QUIFA-CAJÚA\Cajua\[VAS_CAJUA_CF_SEC_20230125.xlsx]CF PRBND'!</v>
      </c>
      <c r="G3540" s="6" t="s">
        <v>59</v>
      </c>
      <c r="H3540" s="1"/>
      <c r="I3540" s="1"/>
      <c r="J3540" s="1"/>
    </row>
    <row r="3541" spans="1:10" x14ac:dyDescent="0.2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Jaime\QUIFA-CAJÚA\Cajua\[VAS_CAJUA_CF_SEC_20230125.xlsx]CF PRBND'!</v>
      </c>
      <c r="G3541" s="6" t="s">
        <v>59</v>
      </c>
      <c r="H3541" s="1"/>
      <c r="I3541" s="1"/>
      <c r="J3541" s="1"/>
    </row>
    <row r="3542" spans="1:10" x14ac:dyDescent="0.2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Jaime\QUIFA-CAJÚA\Cajua\[VAS_CAJUA_CF_SEC_20230125.xlsx]CF PRBND'!</v>
      </c>
      <c r="G3542" s="6" t="s">
        <v>59</v>
      </c>
      <c r="H3542" s="1"/>
      <c r="I3542" s="1"/>
      <c r="J3542" s="1"/>
    </row>
    <row r="3543" spans="1:10" x14ac:dyDescent="0.2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Jaime\QUIFA-CAJÚA\Cajua\[VAS_CAJUA_CF_SEC_20230125.xlsx]CF PRBND'!</v>
      </c>
      <c r="G3543" s="6" t="s">
        <v>59</v>
      </c>
      <c r="H3543" s="1"/>
      <c r="I3543" s="1"/>
      <c r="J3543" s="1"/>
    </row>
    <row r="3544" spans="1:10" x14ac:dyDescent="0.2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Jaime\QUIFA-CAJÚA\Cajua\[VAS_CAJUA_CF_SEC_20230125.xlsx]CF PRBND'!</v>
      </c>
      <c r="G3544" s="6" t="s">
        <v>59</v>
      </c>
      <c r="H3544" s="1"/>
      <c r="I3544" s="1"/>
      <c r="J3544" s="1"/>
    </row>
    <row r="3545" spans="1:10" x14ac:dyDescent="0.2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Jaime\QUIFA-CAJÚA\Cajua\[VAS_CAJUA_CF_SEC_20230125.xlsx]CF PRBND'!</v>
      </c>
      <c r="G3545" s="6" t="s">
        <v>59</v>
      </c>
      <c r="H3545" s="1"/>
      <c r="I3545" s="1"/>
      <c r="J3545" s="1"/>
    </row>
    <row r="3546" spans="1:10" x14ac:dyDescent="0.2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Jaime\QUIFA-CAJÚA\Cajua\[VAS_CAJUA_CF_SEC_20230125.xlsx]CF PRBND'!</v>
      </c>
      <c r="G3546" s="6" t="s">
        <v>59</v>
      </c>
      <c r="H3546" s="1"/>
      <c r="I3546" s="1"/>
      <c r="J3546" s="1"/>
    </row>
    <row r="3547" spans="1:10" x14ac:dyDescent="0.2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Jaime\QUIFA-CAJÚA\Cajua\[VAS_CAJUA_CF_SEC_20230125.xlsx]CF PRBND'!</v>
      </c>
      <c r="G3547" s="6" t="s">
        <v>59</v>
      </c>
      <c r="H3547" s="1"/>
      <c r="I3547" s="1"/>
      <c r="J3547" s="1"/>
    </row>
    <row r="3548" spans="1:10" x14ac:dyDescent="0.2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Jaime\QUIFA-CAJÚA\Cajua\[VAS_CAJUA_CF_SEC_20230125.xlsx]CF PRBND'!</v>
      </c>
      <c r="G3548" s="6" t="s">
        <v>59</v>
      </c>
      <c r="H3548" s="1"/>
      <c r="I3548" s="1"/>
      <c r="J3548" s="1"/>
    </row>
    <row r="3549" spans="1:10" x14ac:dyDescent="0.2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Jaime\QUIFA-CAJÚA\Cajua\[VAS_CAJUA_CF_SEC_20230125.xlsx]CF PRBND'!</v>
      </c>
      <c r="G3549" s="6" t="s">
        <v>59</v>
      </c>
      <c r="H3549" s="1"/>
      <c r="I3549" s="1"/>
      <c r="J3549" s="1"/>
    </row>
    <row r="3550" spans="1:10" x14ac:dyDescent="0.2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Jaime\QUIFA-CAJÚA\Cajua\[VAS_CAJUA_CF_SEC_20230125.xlsx]CF PRBND'!</v>
      </c>
      <c r="G3550" s="6" t="s">
        <v>59</v>
      </c>
      <c r="H3550" s="1"/>
      <c r="I3550" s="1"/>
      <c r="J3550" s="1"/>
    </row>
    <row r="3551" spans="1:10" x14ac:dyDescent="0.2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Jaime\QUIFA-CAJÚA\Cajua\[VAS_CAJUA_CF_SEC_20230125.xlsx]CF PRBND'!</v>
      </c>
      <c r="G3551" s="6" t="s">
        <v>59</v>
      </c>
      <c r="H3551" s="1"/>
      <c r="I3551" s="1"/>
      <c r="J3551" s="1"/>
    </row>
    <row r="3552" spans="1:10" x14ac:dyDescent="0.2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Jaime\QUIFA-CAJÚA\Cajua\[VAS_CAJUA_CF_SEC_20230125.xlsx]CF PRBND'!</v>
      </c>
      <c r="G3552" s="6" t="s">
        <v>59</v>
      </c>
      <c r="H3552" s="1"/>
      <c r="I3552" s="1"/>
      <c r="J3552" s="1"/>
    </row>
    <row r="3553" spans="1:10" x14ac:dyDescent="0.2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Jaime\QUIFA-CAJÚA\Cajua\[VAS_CAJUA_CF_SEC_20230125.xlsx]CF PRBND'!</v>
      </c>
      <c r="G3553" s="6" t="s">
        <v>59</v>
      </c>
      <c r="H3553" s="1"/>
      <c r="I3553" s="1"/>
      <c r="J3553" s="1"/>
    </row>
    <row r="3554" spans="1:10" x14ac:dyDescent="0.2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Jaime\QUIFA-CAJÚA\Cajua\[VAS_CAJUA_CF_SEC_20230125.xlsx]CF PRBND'!</v>
      </c>
      <c r="G3554" s="6" t="s">
        <v>59</v>
      </c>
      <c r="H3554" s="1"/>
      <c r="I3554" s="1"/>
      <c r="J3554" s="1"/>
    </row>
    <row r="3555" spans="1:10" x14ac:dyDescent="0.2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Jaime\QUIFA-CAJÚA\Cajua\[VAS_CAJUA_CF_SEC_20230125.xlsx]CF PRBND'!</v>
      </c>
      <c r="G3555" s="6" t="s">
        <v>59</v>
      </c>
      <c r="H3555" s="1"/>
      <c r="I3555" s="1"/>
      <c r="J3555" s="1"/>
    </row>
    <row r="3556" spans="1:10" x14ac:dyDescent="0.2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Jaime\QUIFA-CAJÚA\Cajua\[VAS_CAJUA_CF_SEC_20230125.xlsx]CF PRBND'!</v>
      </c>
      <c r="G3556" s="6" t="s">
        <v>59</v>
      </c>
      <c r="H3556" s="1"/>
      <c r="I3556" s="1"/>
      <c r="J3556" s="1"/>
    </row>
    <row r="3557" spans="1:10" x14ac:dyDescent="0.2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Jaime\QUIFA-CAJÚA\Cajua\[VAS_CAJUA_CF_SEC_20230125.xlsx]CF PRBND'!</v>
      </c>
      <c r="G3557" s="6" t="s">
        <v>59</v>
      </c>
      <c r="H3557" s="1"/>
      <c r="I3557" s="1"/>
      <c r="J3557" s="1"/>
    </row>
    <row r="3558" spans="1:10" x14ac:dyDescent="0.2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Jaime\QUIFA-CAJÚA\Cajua\[VAS_CAJUA_CF_SEC_20230125.xlsx]CF PRBND'!</v>
      </c>
      <c r="G3558" s="6" t="s">
        <v>59</v>
      </c>
      <c r="H3558" s="1"/>
      <c r="I3558" s="1"/>
      <c r="J3558" s="1"/>
    </row>
    <row r="3559" spans="1:10" x14ac:dyDescent="0.2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Jaime\QUIFA-CAJÚA\Cajua\[VAS_CAJUA_CF_SEC_20230125.xlsx]CF PRBND'!</v>
      </c>
      <c r="G3559" s="6" t="s">
        <v>59</v>
      </c>
      <c r="H3559" s="1"/>
      <c r="I3559" s="1"/>
      <c r="J3559" s="1"/>
    </row>
    <row r="3560" spans="1:10" x14ac:dyDescent="0.2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Jaime\QUIFA-CAJÚA\Cajua\[VAS_CAJUA_CF_SEC_20230125.xlsx]CF PRBND'!</v>
      </c>
      <c r="G3560" s="6" t="s">
        <v>59</v>
      </c>
      <c r="H3560" s="1"/>
      <c r="I3560" s="1"/>
      <c r="J3560" s="1"/>
    </row>
    <row r="3561" spans="1:10" x14ac:dyDescent="0.2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Jaime\QUIFA-CAJÚA\Cajua\[VAS_CAJUA_CF_SEC_20230125.xlsx]CF PRBND'!</v>
      </c>
      <c r="G3561" s="6" t="s">
        <v>59</v>
      </c>
      <c r="H3561" s="1"/>
      <c r="I3561" s="1"/>
      <c r="J3561" s="1"/>
    </row>
    <row r="3562" spans="1:10" x14ac:dyDescent="0.2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Jaime\QUIFA-CAJÚA\Cajua\[VAS_CAJUA_CF_SEC_20230125.xlsx]CF PRBND'!</v>
      </c>
      <c r="G3562" s="6" t="s">
        <v>59</v>
      </c>
      <c r="H3562" s="1"/>
      <c r="I3562" s="1"/>
      <c r="J3562" s="1"/>
    </row>
    <row r="3563" spans="1:10" x14ac:dyDescent="0.2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Jaime\QUIFA-CAJÚA\Cajua\[VAS_CAJUA_CF_SEC_20230125.xlsx]CF PRBND'!</v>
      </c>
      <c r="G3563" s="6" t="s">
        <v>59</v>
      </c>
      <c r="H3563" s="1"/>
      <c r="I3563" s="1"/>
      <c r="J3563" s="1"/>
    </row>
    <row r="3564" spans="1:10" x14ac:dyDescent="0.2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Jaime\QUIFA-CAJÚA\Cajua\[VAS_CAJUA_CF_SEC_20230125.xlsx]CF PRBND'!</v>
      </c>
      <c r="G3564" s="6" t="s">
        <v>59</v>
      </c>
      <c r="H3564" s="1"/>
      <c r="I3564" s="1"/>
      <c r="J3564" s="1"/>
    </row>
    <row r="3565" spans="1:10" x14ac:dyDescent="0.2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Jaime\QUIFA-CAJÚA\Cajua\[VAS_CAJUA_CF_SEC_20230125.xlsx]CF PRBND'!</v>
      </c>
      <c r="G3565" s="6" t="s">
        <v>59</v>
      </c>
      <c r="H3565" s="1"/>
      <c r="I3565" s="1"/>
      <c r="J3565" s="1"/>
    </row>
    <row r="3566" spans="1:10" x14ac:dyDescent="0.2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Jaime\QUIFA-CAJÚA\Cajua\[VAS_CAJUA_CF_SEC_20230125.xlsx]CF PRBND'!</v>
      </c>
      <c r="G3566" s="6" t="s">
        <v>59</v>
      </c>
      <c r="H3566" s="1"/>
      <c r="I3566" s="1"/>
      <c r="J3566" s="1"/>
    </row>
    <row r="3567" spans="1:10" x14ac:dyDescent="0.2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Jaime\QUIFA-CAJÚA\Cajua\[VAS_CAJUA_CF_SEC_20230125.xlsx]CF PRBND'!</v>
      </c>
      <c r="G3567" s="6" t="s">
        <v>59</v>
      </c>
      <c r="H3567" s="1"/>
      <c r="I3567" s="1"/>
      <c r="J3567" s="1"/>
    </row>
    <row r="3568" spans="1:10" x14ac:dyDescent="0.2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Jaime\QUIFA-CAJÚA\Cajua\[VAS_CAJUA_CF_SEC_20230125.xlsx]CF PRBND'!</v>
      </c>
      <c r="G3568" s="6" t="s">
        <v>59</v>
      </c>
      <c r="H3568" s="1"/>
      <c r="I3568" s="1"/>
      <c r="J3568" s="1"/>
    </row>
    <row r="3569" spans="1:10" x14ac:dyDescent="0.2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Jaime\QUIFA-CAJÚA\Cajua\[VAS_CAJUA_CF_SEC_20230125.xlsx]CF PRBND'!</v>
      </c>
      <c r="G3569" s="6" t="s">
        <v>59</v>
      </c>
      <c r="H3569" s="1"/>
      <c r="I3569" s="1"/>
      <c r="J3569" s="1"/>
    </row>
    <row r="3570" spans="1:10" x14ac:dyDescent="0.2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Jaime\QUIFA-CAJÚA\Cajua\[VAS_CAJUA_CF_SEC_20230125.xlsx]CF PRBND'!</v>
      </c>
      <c r="G3570" s="6" t="s">
        <v>59</v>
      </c>
      <c r="H3570" s="1"/>
      <c r="I3570" s="1"/>
      <c r="J3570" s="1"/>
    </row>
    <row r="3571" spans="1:10" x14ac:dyDescent="0.2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Jaime\QUIFA-CAJÚA\Cajua\[VAS_CAJUA_CF_SEC_20230125.xlsx]CF PRBND'!</v>
      </c>
      <c r="G3571" s="6" t="s">
        <v>59</v>
      </c>
      <c r="H3571" s="1"/>
      <c r="I3571" s="1"/>
      <c r="J3571" s="1"/>
    </row>
    <row r="3572" spans="1:10" x14ac:dyDescent="0.2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Jaime\QUIFA-CAJÚA\Cajua\[VAS_CAJUA_CF_SEC_20230125.xlsx]CF PRBND'!</v>
      </c>
      <c r="G3572" s="6" t="s">
        <v>59</v>
      </c>
      <c r="H3572" s="1"/>
      <c r="I3572" s="1"/>
      <c r="J3572" s="1"/>
    </row>
    <row r="3573" spans="1:10" x14ac:dyDescent="0.25">
      <c r="A3573" s="6" t="s">
        <v>28</v>
      </c>
      <c r="B3573" s="6"/>
      <c r="C3573" s="1" t="s">
        <v>49</v>
      </c>
      <c r="D3573" s="2"/>
      <c r="E3573" s="9"/>
      <c r="F3573" s="2"/>
      <c r="G3573" s="6"/>
      <c r="H3573" s="1"/>
      <c r="I3573" s="1"/>
      <c r="J3573" s="12"/>
    </row>
    <row r="3574" spans="1:10" x14ac:dyDescent="0.2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Jaime\QUIFA-CAJÚA\Cajua\[VAS_CAJUA_CF_SEC_20230125.xlsx]CF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Jaime\QUIFA-CAJÚA\Cajua\[VAS_CAJUA_CF_SEC_20230125.xlsx]CF PRB'!$BB$36</v>
      </c>
      <c r="J3574" s="1" t="s">
        <v>1720</v>
      </c>
    </row>
    <row r="3575" spans="1:10" x14ac:dyDescent="0.2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Jaime\QUIFA-CAJÚA\Cajua\[VAS_CAJUA_CF_SEC_20230125.xlsx]CF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Jaime\QUIFA-CAJÚA\Cajua\[VAS_CAJUA_CF_SEC_20230125.xlsx]CF PRB'!$BB$37</v>
      </c>
      <c r="J3575" s="1" t="s">
        <v>1721</v>
      </c>
    </row>
    <row r="3576" spans="1:10" x14ac:dyDescent="0.2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Jaime\QUIFA-CAJÚA\Cajua\[VAS_CAJUA_CF_SEC_20230125.xlsx]CF PRB'!</v>
      </c>
      <c r="G3576" s="6" t="s">
        <v>59</v>
      </c>
      <c r="H3576" s="1">
        <f t="shared" si="821"/>
        <v>38</v>
      </c>
      <c r="I3576" s="1" t="str">
        <f t="shared" si="820"/>
        <v>='C:\Users\jaime.benazar\Quorum Business Solutions\Ecopetrol Prometeo - Documents\Planning Space Implementation\3. Analysis &amp; Design\Design\FC22\DRR Jaime\QUIFA-CAJÚA\Cajua\[VAS_CAJUA_CF_SEC_20230125.xlsx]CF PRB'!$BB$38</v>
      </c>
      <c r="J3576" s="1" t="s">
        <v>1722</v>
      </c>
    </row>
    <row r="3577" spans="1:10" x14ac:dyDescent="0.2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Jaime\QUIFA-CAJÚA\Cajua\[VAS_CAJUA_CF_SEC_20230125.xlsx]CF PRB'!</v>
      </c>
      <c r="G3577" s="6" t="s">
        <v>59</v>
      </c>
      <c r="H3577" s="1">
        <f t="shared" si="821"/>
        <v>39</v>
      </c>
      <c r="I3577" s="1" t="str">
        <f t="shared" si="820"/>
        <v>='C:\Users\jaime.benazar\Quorum Business Solutions\Ecopetrol Prometeo - Documents\Planning Space Implementation\3. Analysis &amp; Design\Design\FC22\DRR Jaime\QUIFA-CAJÚA\Cajua\[VAS_CAJUA_CF_SEC_20230125.xlsx]CF PRB'!$BB$39</v>
      </c>
      <c r="J3577" s="1" t="s">
        <v>1723</v>
      </c>
    </row>
    <row r="3578" spans="1:10" x14ac:dyDescent="0.2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Jaime\QUIFA-CAJÚA\Cajua\[VAS_CAJUA_CF_SEC_20230125.xlsx]CF PRB'!</v>
      </c>
      <c r="G3578" s="6" t="s">
        <v>59</v>
      </c>
      <c r="H3578" s="1">
        <f t="shared" si="821"/>
        <v>40</v>
      </c>
      <c r="I3578" s="1" t="str">
        <f t="shared" si="820"/>
        <v>='C:\Users\jaime.benazar\Quorum Business Solutions\Ecopetrol Prometeo - Documents\Planning Space Implementation\3. Analysis &amp; Design\Design\FC22\DRR Jaime\QUIFA-CAJÚA\Cajua\[VAS_CAJUA_CF_SEC_20230125.xlsx]CF PRB'!$BB$40</v>
      </c>
      <c r="J3578" s="1" t="s">
        <v>1724</v>
      </c>
    </row>
    <row r="3579" spans="1:10" x14ac:dyDescent="0.2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Jaime\QUIFA-CAJÚA\Cajua\[VAS_CAJUA_CF_SEC_20230125.xlsx]CF PRB'!</v>
      </c>
      <c r="G3579" s="6" t="s">
        <v>59</v>
      </c>
      <c r="H3579" s="1">
        <f t="shared" si="821"/>
        <v>41</v>
      </c>
      <c r="I3579" s="1" t="str">
        <f t="shared" si="820"/>
        <v>='C:\Users\jaime.benazar\Quorum Business Solutions\Ecopetrol Prometeo - Documents\Planning Space Implementation\3. Analysis &amp; Design\Design\FC22\DRR Jaime\QUIFA-CAJÚA\Cajua\[VAS_CAJUA_CF_SEC_20230125.xlsx]CF PRB'!$BB$41</v>
      </c>
      <c r="J3579" s="1" t="s">
        <v>1725</v>
      </c>
    </row>
    <row r="3580" spans="1:10" x14ac:dyDescent="0.2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Jaime\QUIFA-CAJÚA\Cajua\[VAS_CAJUA_CF_SEC_20230125.xlsx]CF PRB'!</v>
      </c>
      <c r="G3580" s="6" t="s">
        <v>59</v>
      </c>
      <c r="H3580" s="1">
        <f t="shared" si="821"/>
        <v>42</v>
      </c>
      <c r="I3580" s="1" t="str">
        <f t="shared" si="820"/>
        <v>='C:\Users\jaime.benazar\Quorum Business Solutions\Ecopetrol Prometeo - Documents\Planning Space Implementation\3. Analysis &amp; Design\Design\FC22\DRR Jaime\QUIFA-CAJÚA\Cajua\[VAS_CAJUA_CF_SEC_20230125.xlsx]CF PRB'!$BB$42</v>
      </c>
      <c r="J3580" s="1" t="s">
        <v>1726</v>
      </c>
    </row>
    <row r="3581" spans="1:10" x14ac:dyDescent="0.2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Jaime\QUIFA-CAJÚA\Cajua\[VAS_CAJUA_CF_SEC_20230125.xlsx]CF PRB'!</v>
      </c>
      <c r="G3581" s="6" t="s">
        <v>59</v>
      </c>
      <c r="H3581" s="1">
        <f t="shared" si="821"/>
        <v>43</v>
      </c>
      <c r="I3581" s="1" t="str">
        <f t="shared" si="820"/>
        <v>='C:\Users\jaime.benazar\Quorum Business Solutions\Ecopetrol Prometeo - Documents\Planning Space Implementation\3. Analysis &amp; Design\Design\FC22\DRR Jaime\QUIFA-CAJÚA\Cajua\[VAS_CAJUA_CF_SEC_20230125.xlsx]CF PRB'!$BB$43</v>
      </c>
      <c r="J3581" s="1" t="s">
        <v>1727</v>
      </c>
    </row>
    <row r="3582" spans="1:10" x14ac:dyDescent="0.2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Jaime\QUIFA-CAJÚA\Cajua\[VAS_CAJUA_CF_SEC_20230125.xlsx]CF PRB'!</v>
      </c>
      <c r="G3582" s="6" t="s">
        <v>59</v>
      </c>
      <c r="H3582" s="1">
        <f t="shared" si="821"/>
        <v>44</v>
      </c>
      <c r="I3582" s="1" t="str">
        <f t="shared" si="820"/>
        <v>='C:\Users\jaime.benazar\Quorum Business Solutions\Ecopetrol Prometeo - Documents\Planning Space Implementation\3. Analysis &amp; Design\Design\FC22\DRR Jaime\QUIFA-CAJÚA\Cajua\[VAS_CAJUA_CF_SEC_20230125.xlsx]CF PRB'!$BB$44</v>
      </c>
      <c r="J3582" s="1" t="s">
        <v>1728</v>
      </c>
    </row>
    <row r="3583" spans="1:10" x14ac:dyDescent="0.2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Jaime\QUIFA-CAJÚA\Cajua\[VAS_CAJUA_CF_SEC_20230125.xlsx]CF PRB'!</v>
      </c>
      <c r="G3583" s="6" t="s">
        <v>59</v>
      </c>
      <c r="H3583" s="1">
        <f t="shared" si="821"/>
        <v>45</v>
      </c>
      <c r="I3583" s="1" t="str">
        <f t="shared" si="820"/>
        <v>='C:\Users\jaime.benazar\Quorum Business Solutions\Ecopetrol Prometeo - Documents\Planning Space Implementation\3. Analysis &amp; Design\Design\FC22\DRR Jaime\QUIFA-CAJÚA\Cajua\[VAS_CAJUA_CF_SEC_20230125.xlsx]CF PRB'!$BB$45</v>
      </c>
      <c r="J3583" s="1" t="s">
        <v>1729</v>
      </c>
    </row>
    <row r="3584" spans="1:10" x14ac:dyDescent="0.2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Jaime\QUIFA-CAJÚA\Cajua\[VAS_CAJUA_CF_SEC_20230125.xlsx]CF PRB'!</v>
      </c>
      <c r="G3584" s="6" t="s">
        <v>59</v>
      </c>
      <c r="H3584" s="1">
        <f t="shared" si="821"/>
        <v>46</v>
      </c>
      <c r="I3584" s="1" t="str">
        <f t="shared" si="820"/>
        <v>='C:\Users\jaime.benazar\Quorum Business Solutions\Ecopetrol Prometeo - Documents\Planning Space Implementation\3. Analysis &amp; Design\Design\FC22\DRR Jaime\QUIFA-CAJÚA\Cajua\[VAS_CAJUA_CF_SEC_20230125.xlsx]CF PRB'!$BB$46</v>
      </c>
      <c r="J3584" s="1" t="s">
        <v>1730</v>
      </c>
    </row>
    <row r="3585" spans="1:10" x14ac:dyDescent="0.2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Jaime\QUIFA-CAJÚA\Cajua\[VAS_CAJUA_CF_SEC_20230125.xlsx]CF PRB'!</v>
      </c>
      <c r="G3585" s="6" t="s">
        <v>59</v>
      </c>
      <c r="H3585" s="1">
        <f t="shared" si="821"/>
        <v>47</v>
      </c>
      <c r="I3585" s="1" t="str">
        <f t="shared" si="820"/>
        <v>='C:\Users\jaime.benazar\Quorum Business Solutions\Ecopetrol Prometeo - Documents\Planning Space Implementation\3. Analysis &amp; Design\Design\FC22\DRR Jaime\QUIFA-CAJÚA\Cajua\[VAS_CAJUA_CF_SEC_20230125.xlsx]CF PRB'!$BB$47</v>
      </c>
      <c r="J3585" s="1" t="s">
        <v>1731</v>
      </c>
    </row>
    <row r="3586" spans="1:10" x14ac:dyDescent="0.2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Jaime\QUIFA-CAJÚA\Cajua\[VAS_CAJUA_CF_SEC_20230125.xlsx]CF PRB'!</v>
      </c>
      <c r="G3586" s="6" t="s">
        <v>59</v>
      </c>
      <c r="H3586" s="1">
        <f t="shared" si="821"/>
        <v>48</v>
      </c>
      <c r="I3586" s="1" t="str">
        <f t="shared" si="820"/>
        <v>='C:\Users\jaime.benazar\Quorum Business Solutions\Ecopetrol Prometeo - Documents\Planning Space Implementation\3. Analysis &amp; Design\Design\FC22\DRR Jaime\QUIFA-CAJÚA\Cajua\[VAS_CAJUA_CF_SEC_20230125.xlsx]CF PRB'!$BB$48</v>
      </c>
      <c r="J3586" s="1" t="s">
        <v>1732</v>
      </c>
    </row>
    <row r="3587" spans="1:10" x14ac:dyDescent="0.2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Jaime\QUIFA-CAJÚA\Cajua\[VAS_CAJUA_CF_SEC_20230125.xlsx]CF PRB'!</v>
      </c>
      <c r="G3587" s="6" t="s">
        <v>59</v>
      </c>
      <c r="H3587" s="1">
        <f t="shared" si="821"/>
        <v>49</v>
      </c>
      <c r="I3587" s="1" t="str">
        <f t="shared" si="820"/>
        <v>='C:\Users\jaime.benazar\Quorum Business Solutions\Ecopetrol Prometeo - Documents\Planning Space Implementation\3. Analysis &amp; Design\Design\FC22\DRR Jaime\QUIFA-CAJÚA\Cajua\[VAS_CAJUA_CF_SEC_20230125.xlsx]CF PRB'!$BB$49</v>
      </c>
      <c r="J3587" s="1" t="s">
        <v>1733</v>
      </c>
    </row>
    <row r="3588" spans="1:10" x14ac:dyDescent="0.2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Jaime\QUIFA-CAJÚA\Cajua\[VAS_CAJUA_CF_SEC_20230125.xlsx]CF PRB'!</v>
      </c>
      <c r="G3588" s="6" t="s">
        <v>59</v>
      </c>
      <c r="H3588" s="1">
        <f t="shared" si="821"/>
        <v>50</v>
      </c>
      <c r="I3588" s="1" t="str">
        <f t="shared" si="820"/>
        <v>='C:\Users\jaime.benazar\Quorum Business Solutions\Ecopetrol Prometeo - Documents\Planning Space Implementation\3. Analysis &amp; Design\Design\FC22\DRR Jaime\QUIFA-CAJÚA\Cajua\[VAS_CAJUA_CF_SEC_20230125.xlsx]CF PRB'!$BB$50</v>
      </c>
      <c r="J3588" s="1" t="s">
        <v>1734</v>
      </c>
    </row>
    <row r="3589" spans="1:10" x14ac:dyDescent="0.2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Jaime\QUIFA-CAJÚA\Cajua\[VAS_CAJUA_CF_SEC_20230125.xlsx]CF PRB'!</v>
      </c>
      <c r="G3589" s="6" t="s">
        <v>59</v>
      </c>
      <c r="H3589" s="1">
        <f t="shared" si="821"/>
        <v>51</v>
      </c>
      <c r="I3589" s="1" t="str">
        <f t="shared" si="820"/>
        <v>='C:\Users\jaime.benazar\Quorum Business Solutions\Ecopetrol Prometeo - Documents\Planning Space Implementation\3. Analysis &amp; Design\Design\FC22\DRR Jaime\QUIFA-CAJÚA\Cajua\[VAS_CAJUA_CF_SEC_20230125.xlsx]CF PRB'!$BB$51</v>
      </c>
      <c r="J3589" s="1" t="s">
        <v>1735</v>
      </c>
    </row>
    <row r="3590" spans="1:10" x14ac:dyDescent="0.2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Jaime\QUIFA-CAJÚA\Cajua\[VAS_CAJUA_CF_SEC_20230125.xlsx]CF PRB'!</v>
      </c>
      <c r="G3590" s="6" t="s">
        <v>59</v>
      </c>
      <c r="H3590" s="1">
        <f t="shared" si="821"/>
        <v>52</v>
      </c>
      <c r="I3590" s="1" t="str">
        <f t="shared" si="820"/>
        <v>='C:\Users\jaime.benazar\Quorum Business Solutions\Ecopetrol Prometeo - Documents\Planning Space Implementation\3. Analysis &amp; Design\Design\FC22\DRR Jaime\QUIFA-CAJÚA\Cajua\[VAS_CAJUA_CF_SEC_20230125.xlsx]CF PRB'!$BB$52</v>
      </c>
      <c r="J3590" s="1" t="s">
        <v>1736</v>
      </c>
    </row>
    <row r="3591" spans="1:10" x14ac:dyDescent="0.2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Jaime\QUIFA-CAJÚA\Cajua\[VAS_CAJUA_CF_SEC_20230125.xlsx]CF PRB'!</v>
      </c>
      <c r="G3591" s="6" t="s">
        <v>59</v>
      </c>
      <c r="H3591" s="1">
        <f t="shared" si="821"/>
        <v>53</v>
      </c>
      <c r="I3591" s="1" t="str">
        <f t="shared" si="820"/>
        <v>='C:\Users\jaime.benazar\Quorum Business Solutions\Ecopetrol Prometeo - Documents\Planning Space Implementation\3. Analysis &amp; Design\Design\FC22\DRR Jaime\QUIFA-CAJÚA\Cajua\[VAS_CAJUA_CF_SEC_20230125.xlsx]CF PRB'!$BB$53</v>
      </c>
      <c r="J3591" s="1" t="s">
        <v>1737</v>
      </c>
    </row>
    <row r="3592" spans="1:10" x14ac:dyDescent="0.2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Jaime\QUIFA-CAJÚA\Cajua\[VAS_CAJUA_CF_SEC_20230125.xlsx]CF PRB'!</v>
      </c>
      <c r="G3592" s="6" t="s">
        <v>59</v>
      </c>
      <c r="H3592" s="1">
        <f t="shared" si="821"/>
        <v>54</v>
      </c>
      <c r="I3592" s="1" t="str">
        <f t="shared" si="820"/>
        <v>='C:\Users\jaime.benazar\Quorum Business Solutions\Ecopetrol Prometeo - Documents\Planning Space Implementation\3. Analysis &amp; Design\Design\FC22\DRR Jaime\QUIFA-CAJÚA\Cajua\[VAS_CAJUA_CF_SEC_20230125.xlsx]CF PRB'!$BB$54</v>
      </c>
      <c r="J3592" s="1" t="s">
        <v>1738</v>
      </c>
    </row>
    <row r="3593" spans="1:10" x14ac:dyDescent="0.2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Jaime\QUIFA-CAJÚA\Cajua\[VAS_CAJUA_CF_SEC_20230125.xlsx]CF PRB'!</v>
      </c>
      <c r="G3593" s="6" t="s">
        <v>59</v>
      </c>
      <c r="H3593" s="1">
        <f t="shared" si="821"/>
        <v>55</v>
      </c>
      <c r="I3593" s="1" t="str">
        <f t="shared" si="820"/>
        <v>='C:\Users\jaime.benazar\Quorum Business Solutions\Ecopetrol Prometeo - Documents\Planning Space Implementation\3. Analysis &amp; Design\Design\FC22\DRR Jaime\QUIFA-CAJÚA\Cajua\[VAS_CAJUA_CF_SEC_20230125.xlsx]CF PRB'!$BB$55</v>
      </c>
      <c r="J3593" s="1" t="s">
        <v>1739</v>
      </c>
    </row>
    <row r="3594" spans="1:10" x14ac:dyDescent="0.2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Jaime\QUIFA-CAJÚA\Cajua\[VAS_CAJUA_CF_SEC_20230125.xlsx]CF PRB'!</v>
      </c>
      <c r="G3594" s="6" t="s">
        <v>59</v>
      </c>
      <c r="H3594" s="1">
        <f t="shared" si="821"/>
        <v>56</v>
      </c>
      <c r="I3594" s="1" t="str">
        <f t="shared" si="820"/>
        <v>='C:\Users\jaime.benazar\Quorum Business Solutions\Ecopetrol Prometeo - Documents\Planning Space Implementation\3. Analysis &amp; Design\Design\FC22\DRR Jaime\QUIFA-CAJÚA\Cajua\[VAS_CAJUA_CF_SEC_20230125.xlsx]CF PRB'!$BB$56</v>
      </c>
      <c r="J3594" s="1" t="s">
        <v>1740</v>
      </c>
    </row>
    <row r="3595" spans="1:10" x14ac:dyDescent="0.2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Jaime\QUIFA-CAJÚA\Cajua\[VAS_CAJUA_CF_SEC_20230125.xlsx]CF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Jaime\QUIFA-CAJÚA\Cajua\[VAS_CAJUA_CF_SEC_20230125.xlsx]CF PRB'!$BB$57</v>
      </c>
      <c r="J3595" s="1" t="s">
        <v>1741</v>
      </c>
    </row>
    <row r="3596" spans="1:10" x14ac:dyDescent="0.2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Jaime\QUIFA-CAJÚA\Cajua\[VAS_CAJUA_CF_SEC_20230125.xlsx]CF PRB'!</v>
      </c>
      <c r="G3596" s="6" t="s">
        <v>59</v>
      </c>
      <c r="H3596" s="1">
        <f t="shared" si="828"/>
        <v>58</v>
      </c>
      <c r="I3596" s="1" t="str">
        <f t="shared" si="829"/>
        <v>='C:\Users\jaime.benazar\Quorum Business Solutions\Ecopetrol Prometeo - Documents\Planning Space Implementation\3. Analysis &amp; Design\Design\FC22\DRR Jaime\QUIFA-CAJÚA\Cajua\[VAS_CAJUA_CF_SEC_20230125.xlsx]CF PRB'!$BB$58</v>
      </c>
      <c r="J3596" s="1" t="s">
        <v>1742</v>
      </c>
    </row>
    <row r="3597" spans="1:10" x14ac:dyDescent="0.2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Jaime\QUIFA-CAJÚA\Cajua\[VAS_CAJUA_CF_SEC_20230125.xlsx]CF PRB'!</v>
      </c>
      <c r="G3597" s="6" t="s">
        <v>59</v>
      </c>
      <c r="H3597" s="1">
        <f t="shared" si="828"/>
        <v>59</v>
      </c>
      <c r="I3597" s="1" t="str">
        <f t="shared" si="829"/>
        <v>='C:\Users\jaime.benazar\Quorum Business Solutions\Ecopetrol Prometeo - Documents\Planning Space Implementation\3. Analysis &amp; Design\Design\FC22\DRR Jaime\QUIFA-CAJÚA\Cajua\[VAS_CAJUA_CF_SEC_20230125.xlsx]CF PRB'!$BB$59</v>
      </c>
      <c r="J3597" s="1" t="s">
        <v>1743</v>
      </c>
    </row>
    <row r="3598" spans="1:10" x14ac:dyDescent="0.2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Jaime\QUIFA-CAJÚA\Cajua\[VAS_CAJUA_CF_SEC_20230125.xlsx]CF PRB'!</v>
      </c>
      <c r="G3598" s="6" t="s">
        <v>59</v>
      </c>
      <c r="H3598" s="1">
        <f t="shared" si="828"/>
        <v>60</v>
      </c>
      <c r="I3598" s="1" t="str">
        <f t="shared" si="829"/>
        <v>='C:\Users\jaime.benazar\Quorum Business Solutions\Ecopetrol Prometeo - Documents\Planning Space Implementation\3. Analysis &amp; Design\Design\FC22\DRR Jaime\QUIFA-CAJÚA\Cajua\[VAS_CAJUA_CF_SEC_20230125.xlsx]CF PRB'!$BB$60</v>
      </c>
      <c r="J3598" s="1" t="s">
        <v>1744</v>
      </c>
    </row>
    <row r="3599" spans="1:10" x14ac:dyDescent="0.2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Jaime\QUIFA-CAJÚA\Cajua\[VAS_CAJUA_CF_SEC_20230125.xlsx]CF PRB'!</v>
      </c>
      <c r="G3599" s="6" t="s">
        <v>59</v>
      </c>
      <c r="H3599" s="1">
        <f t="shared" si="828"/>
        <v>61</v>
      </c>
      <c r="I3599" s="1" t="str">
        <f t="shared" si="829"/>
        <v>='C:\Users\jaime.benazar\Quorum Business Solutions\Ecopetrol Prometeo - Documents\Planning Space Implementation\3. Analysis &amp; Design\Design\FC22\DRR Jaime\QUIFA-CAJÚA\Cajua\[VAS_CAJUA_CF_SEC_20230125.xlsx]CF PRB'!$BB$61</v>
      </c>
      <c r="J3599" s="1" t="s">
        <v>1745</v>
      </c>
    </row>
    <row r="3600" spans="1:10" x14ac:dyDescent="0.2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Jaime\QUIFA-CAJÚA\Cajua\[VAS_CAJUA_CF_SEC_20230125.xlsx]CF PRB'!</v>
      </c>
      <c r="G3600" s="6" t="s">
        <v>59</v>
      </c>
      <c r="H3600" s="1">
        <f t="shared" si="828"/>
        <v>62</v>
      </c>
      <c r="I3600" s="1" t="str">
        <f t="shared" si="829"/>
        <v>='C:\Users\jaime.benazar\Quorum Business Solutions\Ecopetrol Prometeo - Documents\Planning Space Implementation\3. Analysis &amp; Design\Design\FC22\DRR Jaime\QUIFA-CAJÚA\Cajua\[VAS_CAJUA_CF_SEC_20230125.xlsx]CF PRB'!$BB$62</v>
      </c>
      <c r="J3600" s="1" t="s">
        <v>1746</v>
      </c>
    </row>
    <row r="3601" spans="1:10" x14ac:dyDescent="0.2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Jaime\QUIFA-CAJÚA\Cajua\[VAS_CAJUA_CF_SEC_20230125.xlsx]CF PRB'!</v>
      </c>
      <c r="G3601" s="6" t="s">
        <v>59</v>
      </c>
      <c r="H3601" s="1">
        <f t="shared" si="828"/>
        <v>63</v>
      </c>
      <c r="I3601" s="1" t="str">
        <f t="shared" si="829"/>
        <v>='C:\Users\jaime.benazar\Quorum Business Solutions\Ecopetrol Prometeo - Documents\Planning Space Implementation\3. Analysis &amp; Design\Design\FC22\DRR Jaime\QUIFA-CAJÚA\Cajua\[VAS_CAJUA_CF_SEC_20230125.xlsx]CF PRB'!$BB$63</v>
      </c>
      <c r="J3601" s="1" t="s">
        <v>1747</v>
      </c>
    </row>
    <row r="3602" spans="1:10" x14ac:dyDescent="0.2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Jaime\QUIFA-CAJÚA\Cajua\[VAS_CAJUA_CF_SEC_20230125.xlsx]CF PRB'!</v>
      </c>
      <c r="G3602" s="6" t="s">
        <v>59</v>
      </c>
      <c r="H3602" s="1">
        <f t="shared" si="828"/>
        <v>64</v>
      </c>
      <c r="I3602" s="1" t="str">
        <f t="shared" si="829"/>
        <v>='C:\Users\jaime.benazar\Quorum Business Solutions\Ecopetrol Prometeo - Documents\Planning Space Implementation\3. Analysis &amp; Design\Design\FC22\DRR Jaime\QUIFA-CAJÚA\Cajua\[VAS_CAJUA_CF_SEC_20230125.xlsx]CF PRB'!$BB$64</v>
      </c>
      <c r="J3602" s="1" t="s">
        <v>1748</v>
      </c>
    </row>
    <row r="3603" spans="1:10" x14ac:dyDescent="0.2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Jaime\QUIFA-CAJÚA\Cajua\[VAS_CAJUA_CF_SEC_20230125.xlsx]CF PRB'!</v>
      </c>
      <c r="G3603" s="6" t="s">
        <v>59</v>
      </c>
      <c r="H3603" s="1">
        <f t="shared" si="828"/>
        <v>65</v>
      </c>
      <c r="I3603" s="1" t="str">
        <f t="shared" si="829"/>
        <v>='C:\Users\jaime.benazar\Quorum Business Solutions\Ecopetrol Prometeo - Documents\Planning Space Implementation\3. Analysis &amp; Design\Design\FC22\DRR Jaime\QUIFA-CAJÚA\Cajua\[VAS_CAJUA_CF_SEC_20230125.xlsx]CF PRB'!$BB$65</v>
      </c>
      <c r="J3603" s="1" t="s">
        <v>1749</v>
      </c>
    </row>
    <row r="3604" spans="1:10" x14ac:dyDescent="0.2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Jaime\QUIFA-CAJÚA\Cajua\[VAS_CAJUA_CF_SEC_20230125.xlsx]CF PRB'!</v>
      </c>
      <c r="G3604" s="6" t="s">
        <v>59</v>
      </c>
      <c r="H3604" s="1">
        <f t="shared" si="828"/>
        <v>66</v>
      </c>
      <c r="I3604" s="1" t="str">
        <f t="shared" si="829"/>
        <v>='C:\Users\jaime.benazar\Quorum Business Solutions\Ecopetrol Prometeo - Documents\Planning Space Implementation\3. Analysis &amp; Design\Design\FC22\DRR Jaime\QUIFA-CAJÚA\Cajua\[VAS_CAJUA_CF_SEC_20230125.xlsx]CF PRB'!$BB$66</v>
      </c>
      <c r="J3604" s="1" t="s">
        <v>1750</v>
      </c>
    </row>
    <row r="3605" spans="1:10" x14ac:dyDescent="0.2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Jaime\QUIFA-CAJÚA\Cajua\[VAS_CAJUA_CF_SEC_20230125.xlsx]CF PRB'!</v>
      </c>
      <c r="G3605" s="6" t="s">
        <v>59</v>
      </c>
      <c r="H3605" s="1">
        <f t="shared" si="828"/>
        <v>67</v>
      </c>
      <c r="I3605" s="1" t="str">
        <f t="shared" si="829"/>
        <v>='C:\Users\jaime.benazar\Quorum Business Solutions\Ecopetrol Prometeo - Documents\Planning Space Implementation\3. Analysis &amp; Design\Design\FC22\DRR Jaime\QUIFA-CAJÚA\Cajua\[VAS_CAJUA_CF_SEC_20230125.xlsx]CF PRB'!$BB$67</v>
      </c>
      <c r="J3605" s="1" t="s">
        <v>1751</v>
      </c>
    </row>
    <row r="3606" spans="1:10" x14ac:dyDescent="0.2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Jaime\QUIFA-CAJÚA\Cajua\[VAS_CAJUA_CF_SEC_20230125.xlsx]CF PRB'!</v>
      </c>
      <c r="G3606" s="6" t="s">
        <v>59</v>
      </c>
      <c r="H3606" s="1">
        <f t="shared" si="828"/>
        <v>68</v>
      </c>
      <c r="I3606" s="1" t="str">
        <f t="shared" si="829"/>
        <v>='C:\Users\jaime.benazar\Quorum Business Solutions\Ecopetrol Prometeo - Documents\Planning Space Implementation\3. Analysis &amp; Design\Design\FC22\DRR Jaime\QUIFA-CAJÚA\Cajua\[VAS_CAJUA_CF_SEC_20230125.xlsx]CF PRB'!$BB$68</v>
      </c>
      <c r="J3606" s="1" t="s">
        <v>1752</v>
      </c>
    </row>
    <row r="3607" spans="1:10" x14ac:dyDescent="0.2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Jaime\QUIFA-CAJÚA\Cajua\[VAS_CAJUA_CF_SEC_20230125.xlsx]CF PRB'!</v>
      </c>
      <c r="G3607" s="6" t="s">
        <v>59</v>
      </c>
      <c r="H3607" s="1">
        <f t="shared" si="828"/>
        <v>69</v>
      </c>
      <c r="I3607" s="1" t="str">
        <f t="shared" si="829"/>
        <v>='C:\Users\jaime.benazar\Quorum Business Solutions\Ecopetrol Prometeo - Documents\Planning Space Implementation\3. Analysis &amp; Design\Design\FC22\DRR Jaime\QUIFA-CAJÚA\Cajua\[VAS_CAJUA_CF_SEC_20230125.xlsx]CF PRB'!$BB$69</v>
      </c>
      <c r="J3607" s="1" t="s">
        <v>1753</v>
      </c>
    </row>
    <row r="3608" spans="1:10" x14ac:dyDescent="0.2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Jaime\QUIFA-CAJÚA\Cajua\[VAS_CAJUA_CF_SEC_20230125.xlsx]CF PRB'!</v>
      </c>
      <c r="G3608" s="6" t="s">
        <v>59</v>
      </c>
      <c r="H3608" s="1">
        <f t="shared" si="828"/>
        <v>70</v>
      </c>
      <c r="I3608" s="1" t="str">
        <f t="shared" si="829"/>
        <v>='C:\Users\jaime.benazar\Quorum Business Solutions\Ecopetrol Prometeo - Documents\Planning Space Implementation\3. Analysis &amp; Design\Design\FC22\DRR Jaime\QUIFA-CAJÚA\Cajua\[VAS_CAJUA_CF_SEC_20230125.xlsx]CF PRB'!$BB$70</v>
      </c>
      <c r="J3608" s="1" t="s">
        <v>1754</v>
      </c>
    </row>
    <row r="3609" spans="1:10" x14ac:dyDescent="0.2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Jaime\QUIFA-CAJÚA\Cajua\[VAS_CAJUA_CF_SEC_20230125.xlsx]CF PRB'!</v>
      </c>
      <c r="G3609" s="6" t="s">
        <v>59</v>
      </c>
      <c r="H3609" s="1">
        <f t="shared" si="828"/>
        <v>71</v>
      </c>
      <c r="I3609" s="1" t="str">
        <f t="shared" si="829"/>
        <v>='C:\Users\jaime.benazar\Quorum Business Solutions\Ecopetrol Prometeo - Documents\Planning Space Implementation\3. Analysis &amp; Design\Design\FC22\DRR Jaime\QUIFA-CAJÚA\Cajua\[VAS_CAJUA_CF_SEC_20230125.xlsx]CF PRB'!$BB$71</v>
      </c>
      <c r="J3609" s="1" t="s">
        <v>1755</v>
      </c>
    </row>
    <row r="3610" spans="1:10" x14ac:dyDescent="0.2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Jaime\QUIFA-CAJÚA\Cajua\[VAS_CAJUA_CF_SEC_20230125.xlsx]CF PRB'!</v>
      </c>
      <c r="G3610" s="6" t="s">
        <v>59</v>
      </c>
      <c r="H3610" s="1">
        <f t="shared" si="828"/>
        <v>72</v>
      </c>
      <c r="I3610" s="1" t="str">
        <f t="shared" si="829"/>
        <v>='C:\Users\jaime.benazar\Quorum Business Solutions\Ecopetrol Prometeo - Documents\Planning Space Implementation\3. Analysis &amp; Design\Design\FC22\DRR Jaime\QUIFA-CAJÚA\Cajua\[VAS_CAJUA_CF_SEC_20230125.xlsx]CF PRB'!$BB$72</v>
      </c>
      <c r="J3610" s="1" t="s">
        <v>1756</v>
      </c>
    </row>
    <row r="3611" spans="1:10" x14ac:dyDescent="0.25">
      <c r="A3611" s="6" t="s">
        <v>28</v>
      </c>
      <c r="B3611" s="6"/>
      <c r="C3611" s="1" t="s">
        <v>49</v>
      </c>
      <c r="D3611" s="2"/>
      <c r="E3611" s="9"/>
      <c r="F3611" s="2"/>
      <c r="G3611" s="6"/>
      <c r="H3611" s="1"/>
      <c r="I3611" s="1"/>
      <c r="J3611" s="4"/>
    </row>
    <row r="3612" spans="1:10" x14ac:dyDescent="0.2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Jaime\QUIFA-CAJÚA\Cajua\[VAS_CAJUA_CF_SEC_20230125.xlsx]CF PSDP'!</v>
      </c>
      <c r="G3612" s="6" t="s">
        <v>59</v>
      </c>
      <c r="H3612" s="1"/>
      <c r="I3612" s="1"/>
      <c r="J3612" s="1"/>
    </row>
    <row r="3613" spans="1:10" x14ac:dyDescent="0.2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Jaime\QUIFA-CAJÚA\Cajua\[VAS_CAJUA_CF_SEC_20230125.xlsx]CF PSDP'!</v>
      </c>
      <c r="G3613" s="6" t="s">
        <v>59</v>
      </c>
      <c r="H3613" s="1"/>
      <c r="I3613" s="1"/>
      <c r="J3613" s="1"/>
    </row>
    <row r="3614" spans="1:10" x14ac:dyDescent="0.2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Jaime\QUIFA-CAJÚA\Cajua\[VAS_CAJUA_CF_SEC_20230125.xlsx]CF PSDP'!</v>
      </c>
      <c r="G3614" s="6" t="s">
        <v>59</v>
      </c>
      <c r="H3614" s="1"/>
      <c r="I3614" s="1"/>
      <c r="J3614" s="1"/>
    </row>
    <row r="3615" spans="1:10" x14ac:dyDescent="0.2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Jaime\QUIFA-CAJÚA\Cajua\[VAS_CAJUA_CF_SEC_20230125.xlsx]CF PSDP'!</v>
      </c>
      <c r="G3615" s="6" t="s">
        <v>59</v>
      </c>
      <c r="H3615" s="1"/>
      <c r="I3615" s="1"/>
      <c r="J3615" s="1"/>
    </row>
    <row r="3616" spans="1:10" x14ac:dyDescent="0.2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Jaime\QUIFA-CAJÚA\Cajua\[VAS_CAJUA_CF_SEC_20230125.xlsx]CF PSDP'!</v>
      </c>
      <c r="G3616" s="6" t="s">
        <v>59</v>
      </c>
      <c r="H3616" s="1"/>
      <c r="I3616" s="1"/>
      <c r="J3616" s="1"/>
    </row>
    <row r="3617" spans="1:10" x14ac:dyDescent="0.2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Jaime\QUIFA-CAJÚA\Cajua\[VAS_CAJUA_CF_SEC_20230125.xlsx]CF PSDP'!</v>
      </c>
      <c r="G3617" s="6" t="s">
        <v>59</v>
      </c>
      <c r="H3617" s="1"/>
      <c r="I3617" s="1"/>
      <c r="J3617" s="1"/>
    </row>
    <row r="3618" spans="1:10" x14ac:dyDescent="0.2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Jaime\QUIFA-CAJÚA\Cajua\[VAS_CAJUA_CF_SEC_20230125.xlsx]CF PSDP'!</v>
      </c>
      <c r="G3618" s="6" t="s">
        <v>59</v>
      </c>
      <c r="H3618" s="1"/>
      <c r="I3618" s="1"/>
      <c r="J3618" s="1"/>
    </row>
    <row r="3619" spans="1:10" x14ac:dyDescent="0.2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Jaime\QUIFA-CAJÚA\Cajua\[VAS_CAJUA_CF_SEC_20230125.xlsx]CF PSDP'!</v>
      </c>
      <c r="G3619" s="6" t="s">
        <v>59</v>
      </c>
      <c r="H3619" s="1"/>
      <c r="I3619" s="1"/>
      <c r="J3619" s="1"/>
    </row>
    <row r="3620" spans="1:10" x14ac:dyDescent="0.2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Jaime\QUIFA-CAJÚA\Cajua\[VAS_CAJUA_CF_SEC_20230125.xlsx]CF PSDP'!</v>
      </c>
      <c r="G3620" s="6" t="s">
        <v>59</v>
      </c>
      <c r="H3620" s="1"/>
      <c r="I3620" s="1"/>
      <c r="J3620" s="1"/>
    </row>
    <row r="3621" spans="1:10" x14ac:dyDescent="0.2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Jaime\QUIFA-CAJÚA\Cajua\[VAS_CAJUA_CF_SEC_20230125.xlsx]CF PSDP'!</v>
      </c>
      <c r="G3621" s="6" t="s">
        <v>59</v>
      </c>
      <c r="H3621" s="1"/>
      <c r="I3621" s="1"/>
      <c r="J3621" s="1"/>
    </row>
    <row r="3622" spans="1:10" x14ac:dyDescent="0.2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Jaime\QUIFA-CAJÚA\Cajua\[VAS_CAJUA_CF_SEC_20230125.xlsx]CF PSDP'!</v>
      </c>
      <c r="G3622" s="6" t="s">
        <v>59</v>
      </c>
      <c r="H3622" s="1"/>
      <c r="I3622" s="1"/>
      <c r="J3622" s="1"/>
    </row>
    <row r="3623" spans="1:10" x14ac:dyDescent="0.2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Jaime\QUIFA-CAJÚA\Cajua\[VAS_CAJUA_CF_SEC_20230125.xlsx]CF PSDP'!</v>
      </c>
      <c r="G3623" s="6" t="s">
        <v>59</v>
      </c>
      <c r="H3623" s="1"/>
      <c r="I3623" s="1"/>
      <c r="J3623" s="1"/>
    </row>
    <row r="3624" spans="1:10" x14ac:dyDescent="0.2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Jaime\QUIFA-CAJÚA\Cajua\[VAS_CAJUA_CF_SEC_20230125.xlsx]CF PSDP'!</v>
      </c>
      <c r="G3624" s="6" t="s">
        <v>59</v>
      </c>
      <c r="H3624" s="1"/>
      <c r="I3624" s="1"/>
      <c r="J3624" s="1"/>
    </row>
    <row r="3625" spans="1:10" x14ac:dyDescent="0.2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Jaime\QUIFA-CAJÚA\Cajua\[VAS_CAJUA_CF_SEC_20230125.xlsx]CF PSDP'!</v>
      </c>
      <c r="G3625" s="6" t="s">
        <v>59</v>
      </c>
      <c r="H3625" s="1"/>
      <c r="I3625" s="1"/>
      <c r="J3625" s="1"/>
    </row>
    <row r="3626" spans="1:10" x14ac:dyDescent="0.2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Jaime\QUIFA-CAJÚA\Cajua\[VAS_CAJUA_CF_SEC_20230125.xlsx]CF PSDP'!</v>
      </c>
      <c r="G3626" s="6" t="s">
        <v>59</v>
      </c>
      <c r="H3626" s="1"/>
      <c r="I3626" s="1"/>
      <c r="J3626" s="1"/>
    </row>
    <row r="3627" spans="1:10" x14ac:dyDescent="0.2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Jaime\QUIFA-CAJÚA\Cajua\[VAS_CAJUA_CF_SEC_20230125.xlsx]CF PSDP'!</v>
      </c>
      <c r="G3627" s="6" t="s">
        <v>59</v>
      </c>
      <c r="H3627" s="1"/>
      <c r="I3627" s="1"/>
      <c r="J3627" s="1"/>
    </row>
    <row r="3628" spans="1:10" x14ac:dyDescent="0.2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Jaime\QUIFA-CAJÚA\Cajua\[VAS_CAJUA_CF_SEC_20230125.xlsx]CF PSDP'!</v>
      </c>
      <c r="G3628" s="6" t="s">
        <v>59</v>
      </c>
      <c r="H3628" s="1"/>
      <c r="I3628" s="1"/>
      <c r="J3628" s="1"/>
    </row>
    <row r="3629" spans="1:10" x14ac:dyDescent="0.2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Jaime\QUIFA-CAJÚA\Cajua\[VAS_CAJUA_CF_SEC_20230125.xlsx]CF PSDP'!</v>
      </c>
      <c r="G3629" s="6" t="s">
        <v>59</v>
      </c>
      <c r="H3629" s="1"/>
      <c r="I3629" s="1"/>
      <c r="J3629" s="1"/>
    </row>
    <row r="3630" spans="1:10" x14ac:dyDescent="0.2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Jaime\QUIFA-CAJÚA\Cajua\[VAS_CAJUA_CF_SEC_20230125.xlsx]CF PSDP'!</v>
      </c>
      <c r="G3630" s="6" t="s">
        <v>59</v>
      </c>
      <c r="H3630" s="1"/>
      <c r="I3630" s="1"/>
      <c r="J3630" s="1"/>
    </row>
    <row r="3631" spans="1:10" x14ac:dyDescent="0.2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Jaime\QUIFA-CAJÚA\Cajua\[VAS_CAJUA_CF_SEC_20230125.xlsx]CF PSDP'!</v>
      </c>
      <c r="G3631" s="6" t="s">
        <v>59</v>
      </c>
      <c r="H3631" s="1"/>
      <c r="I3631" s="1"/>
      <c r="J3631" s="1"/>
    </row>
    <row r="3632" spans="1:10" x14ac:dyDescent="0.2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Jaime\QUIFA-CAJÚA\Cajua\[VAS_CAJUA_CF_SEC_20230125.xlsx]CF PSDP'!</v>
      </c>
      <c r="G3632" s="6" t="s">
        <v>59</v>
      </c>
      <c r="H3632" s="1"/>
      <c r="I3632" s="1"/>
      <c r="J3632" s="1"/>
    </row>
    <row r="3633" spans="1:10" x14ac:dyDescent="0.2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Jaime\QUIFA-CAJÚA\Cajua\[VAS_CAJUA_CF_SEC_20230125.xlsx]CF PSDP'!</v>
      </c>
      <c r="G3633" s="6" t="s">
        <v>59</v>
      </c>
      <c r="H3633" s="1"/>
      <c r="I3633" s="1"/>
      <c r="J3633" s="1"/>
    </row>
    <row r="3634" spans="1:10" x14ac:dyDescent="0.2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Jaime\QUIFA-CAJÚA\Cajua\[VAS_CAJUA_CF_SEC_20230125.xlsx]CF PSDP'!</v>
      </c>
      <c r="G3634" s="6" t="s">
        <v>59</v>
      </c>
      <c r="H3634" s="1"/>
      <c r="I3634" s="1"/>
      <c r="J3634" s="1"/>
    </row>
    <row r="3635" spans="1:10" x14ac:dyDescent="0.2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Jaime\QUIFA-CAJÚA\Cajua\[VAS_CAJUA_CF_SEC_20230125.xlsx]CF PSDP'!</v>
      </c>
      <c r="G3635" s="6" t="s">
        <v>59</v>
      </c>
      <c r="H3635" s="1"/>
      <c r="I3635" s="1"/>
      <c r="J3635" s="1"/>
    </row>
    <row r="3636" spans="1:10" x14ac:dyDescent="0.2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Jaime\QUIFA-CAJÚA\Cajua\[VAS_CAJUA_CF_SEC_20230125.xlsx]CF PSDP'!</v>
      </c>
      <c r="G3636" s="6" t="s">
        <v>59</v>
      </c>
      <c r="H3636" s="1"/>
      <c r="I3636" s="1"/>
      <c r="J3636" s="1"/>
    </row>
    <row r="3637" spans="1:10" x14ac:dyDescent="0.2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Jaime\QUIFA-CAJÚA\Cajua\[VAS_CAJUA_CF_SEC_20230125.xlsx]CF PSDP'!</v>
      </c>
      <c r="G3637" s="6" t="s">
        <v>59</v>
      </c>
      <c r="H3637" s="1"/>
      <c r="I3637" s="1"/>
      <c r="J3637" s="1"/>
    </row>
    <row r="3638" spans="1:10" x14ac:dyDescent="0.2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Jaime\QUIFA-CAJÚA\Cajua\[VAS_CAJUA_CF_SEC_20230125.xlsx]CF PSDP'!</v>
      </c>
      <c r="G3638" s="6" t="s">
        <v>59</v>
      </c>
      <c r="H3638" s="1"/>
      <c r="I3638" s="1"/>
      <c r="J3638" s="1"/>
    </row>
    <row r="3639" spans="1:10" x14ac:dyDescent="0.2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Jaime\QUIFA-CAJÚA\Cajua\[VAS_CAJUA_CF_SEC_20230125.xlsx]CF PSDP'!</v>
      </c>
      <c r="G3639" s="6" t="s">
        <v>59</v>
      </c>
      <c r="H3639" s="1"/>
      <c r="I3639" s="1"/>
      <c r="J3639" s="1"/>
    </row>
    <row r="3640" spans="1:10" x14ac:dyDescent="0.2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Jaime\QUIFA-CAJÚA\Cajua\[VAS_CAJUA_CF_SEC_20230125.xlsx]CF PSDP'!</v>
      </c>
      <c r="G3640" s="6" t="s">
        <v>59</v>
      </c>
      <c r="H3640" s="1"/>
      <c r="I3640" s="1"/>
      <c r="J3640" s="1"/>
    </row>
    <row r="3641" spans="1:10" x14ac:dyDescent="0.2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Jaime\QUIFA-CAJÚA\Cajua\[VAS_CAJUA_CF_SEC_20230125.xlsx]CF PSDP'!</v>
      </c>
      <c r="G3641" s="6" t="s">
        <v>59</v>
      </c>
      <c r="H3641" s="1"/>
      <c r="I3641" s="1"/>
      <c r="J3641" s="1"/>
    </row>
    <row r="3642" spans="1:10" x14ac:dyDescent="0.2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Jaime\QUIFA-CAJÚA\Cajua\[VAS_CAJUA_CF_SEC_20230125.xlsx]CF PSDP'!</v>
      </c>
      <c r="G3642" s="6" t="s">
        <v>59</v>
      </c>
      <c r="H3642" s="1"/>
      <c r="I3642" s="1"/>
      <c r="J3642" s="1"/>
    </row>
    <row r="3643" spans="1:10" x14ac:dyDescent="0.2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Jaime\QUIFA-CAJÚA\Cajua\[VAS_CAJUA_CF_SEC_20230125.xlsx]CF PSDP'!</v>
      </c>
      <c r="G3643" s="6" t="s">
        <v>59</v>
      </c>
      <c r="H3643" s="1"/>
      <c r="I3643" s="1"/>
      <c r="J3643" s="1"/>
    </row>
    <row r="3644" spans="1:10" x14ac:dyDescent="0.2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Jaime\QUIFA-CAJÚA\Cajua\[VAS_CAJUA_CF_SEC_20230125.xlsx]CF PSDP'!</v>
      </c>
      <c r="G3644" s="6" t="s">
        <v>59</v>
      </c>
      <c r="H3644" s="1"/>
      <c r="I3644" s="1"/>
      <c r="J3644" s="1"/>
    </row>
    <row r="3645" spans="1:10" x14ac:dyDescent="0.2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Jaime\QUIFA-CAJÚA\Cajua\[VAS_CAJUA_CF_SEC_20230125.xlsx]CF PSDP'!</v>
      </c>
      <c r="G3645" s="6" t="s">
        <v>59</v>
      </c>
      <c r="H3645" s="1"/>
      <c r="I3645" s="1"/>
      <c r="J3645" s="1"/>
    </row>
    <row r="3646" spans="1:10" x14ac:dyDescent="0.2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Jaime\QUIFA-CAJÚA\Cajua\[VAS_CAJUA_CF_SEC_20230125.xlsx]CF PSDP'!</v>
      </c>
      <c r="G3646" s="6" t="s">
        <v>59</v>
      </c>
      <c r="H3646" s="1"/>
      <c r="I3646" s="1"/>
      <c r="J3646" s="1"/>
    </row>
    <row r="3647" spans="1:10" x14ac:dyDescent="0.2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Jaime\QUIFA-CAJÚA\Cajua\[VAS_CAJUA_CF_SEC_20230125.xlsx]CF PSDP'!</v>
      </c>
      <c r="G3647" s="6" t="s">
        <v>59</v>
      </c>
      <c r="H3647" s="1"/>
      <c r="I3647" s="1"/>
      <c r="J3647" s="1"/>
    </row>
    <row r="3648" spans="1:10" x14ac:dyDescent="0.2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Jaime\QUIFA-CAJÚA\Cajua\[VAS_CAJUA_CF_SEC_20230125.xlsx]CF PSDP'!</v>
      </c>
      <c r="G3648" s="6" t="s">
        <v>59</v>
      </c>
      <c r="H3648" s="1"/>
      <c r="I3648" s="1"/>
      <c r="J3648" s="1"/>
    </row>
    <row r="3649" spans="1:10" x14ac:dyDescent="0.25">
      <c r="A3649" s="6" t="s">
        <v>28</v>
      </c>
      <c r="B3649" s="6"/>
      <c r="C3649" s="1" t="s">
        <v>49</v>
      </c>
      <c r="D3649" s="2"/>
      <c r="E3649" s="9"/>
      <c r="F3649" s="2"/>
      <c r="G3649" s="6"/>
      <c r="H3649" s="1"/>
      <c r="I3649" s="1"/>
      <c r="J3649" s="12"/>
    </row>
    <row r="3650" spans="1:10" x14ac:dyDescent="0.2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Jaime\QUIFA-CAJÚA\Cajua\[VAS_CAJUA_CF_SEC_20230125.xlsx]CF PSNP'!</v>
      </c>
      <c r="G3650" s="6" t="s">
        <v>59</v>
      </c>
      <c r="H3650" s="1"/>
      <c r="I3650" s="1"/>
      <c r="J3650" s="1"/>
    </row>
    <row r="3651" spans="1:10" x14ac:dyDescent="0.2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Jaime\QUIFA-CAJÚA\Cajua\[VAS_CAJUA_CF_SEC_20230125.xlsx]CF PSNP'!</v>
      </c>
      <c r="G3651" s="6" t="s">
        <v>59</v>
      </c>
      <c r="H3651" s="1"/>
      <c r="I3651" s="1"/>
      <c r="J3651" s="1"/>
    </row>
    <row r="3652" spans="1:10" x14ac:dyDescent="0.2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Jaime\QUIFA-CAJÚA\Cajua\[VAS_CAJUA_CF_SEC_20230125.xlsx]CF PSNP'!</v>
      </c>
      <c r="G3652" s="6" t="s">
        <v>59</v>
      </c>
      <c r="H3652" s="1"/>
      <c r="I3652" s="1"/>
      <c r="J3652" s="1"/>
    </row>
    <row r="3653" spans="1:10" x14ac:dyDescent="0.2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Jaime\QUIFA-CAJÚA\Cajua\[VAS_CAJUA_CF_SEC_20230125.xlsx]CF PSNP'!</v>
      </c>
      <c r="G3653" s="6" t="s">
        <v>59</v>
      </c>
      <c r="H3653" s="1"/>
      <c r="I3653" s="1"/>
      <c r="J3653" s="1"/>
    </row>
    <row r="3654" spans="1:10" x14ac:dyDescent="0.2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Jaime\QUIFA-CAJÚA\Cajua\[VAS_CAJUA_CF_SEC_20230125.xlsx]CF PSNP'!</v>
      </c>
      <c r="G3654" s="6" t="s">
        <v>59</v>
      </c>
      <c r="H3654" s="1"/>
      <c r="I3654" s="1"/>
      <c r="J3654" s="1"/>
    </row>
    <row r="3655" spans="1:10" x14ac:dyDescent="0.2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Jaime\QUIFA-CAJÚA\Cajua\[VAS_CAJUA_CF_SEC_20230125.xlsx]CF PSNP'!</v>
      </c>
      <c r="G3655" s="6" t="s">
        <v>59</v>
      </c>
      <c r="H3655" s="1"/>
      <c r="I3655" s="1"/>
      <c r="J3655" s="1"/>
    </row>
    <row r="3656" spans="1:10" x14ac:dyDescent="0.2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Jaime\QUIFA-CAJÚA\Cajua\[VAS_CAJUA_CF_SEC_20230125.xlsx]CF PSNP'!</v>
      </c>
      <c r="G3656" s="6" t="s">
        <v>59</v>
      </c>
      <c r="H3656" s="1"/>
      <c r="I3656" s="1"/>
      <c r="J3656" s="1"/>
    </row>
    <row r="3657" spans="1:10" x14ac:dyDescent="0.2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Jaime\QUIFA-CAJÚA\Cajua\[VAS_CAJUA_CF_SEC_20230125.xlsx]CF PSNP'!</v>
      </c>
      <c r="G3657" s="6" t="s">
        <v>59</v>
      </c>
      <c r="H3657" s="1"/>
      <c r="I3657" s="1"/>
      <c r="J3657" s="1"/>
    </row>
    <row r="3658" spans="1:10" x14ac:dyDescent="0.2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Jaime\QUIFA-CAJÚA\Cajua\[VAS_CAJUA_CF_SEC_20230125.xlsx]CF PSNP'!</v>
      </c>
      <c r="G3658" s="6" t="s">
        <v>59</v>
      </c>
      <c r="H3658" s="1"/>
      <c r="I3658" s="1"/>
      <c r="J3658" s="1"/>
    </row>
    <row r="3659" spans="1:10" x14ac:dyDescent="0.2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Jaime\QUIFA-CAJÚA\Cajua\[VAS_CAJUA_CF_SEC_20230125.xlsx]CF PSNP'!</v>
      </c>
      <c r="G3659" s="6" t="s">
        <v>59</v>
      </c>
      <c r="H3659" s="1"/>
      <c r="I3659" s="1"/>
      <c r="J3659" s="1"/>
    </row>
    <row r="3660" spans="1:10" x14ac:dyDescent="0.2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Jaime\QUIFA-CAJÚA\Cajua\[VAS_CAJUA_CF_SEC_20230125.xlsx]CF PSNP'!</v>
      </c>
      <c r="G3660" s="6" t="s">
        <v>59</v>
      </c>
      <c r="H3660" s="1"/>
      <c r="I3660" s="1"/>
      <c r="J3660" s="1"/>
    </row>
    <row r="3661" spans="1:10" x14ac:dyDescent="0.2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Jaime\QUIFA-CAJÚA\Cajua\[VAS_CAJUA_CF_SEC_20230125.xlsx]CF PSNP'!</v>
      </c>
      <c r="G3661" s="6" t="s">
        <v>59</v>
      </c>
      <c r="H3661" s="1"/>
      <c r="I3661" s="1"/>
      <c r="J3661" s="1"/>
    </row>
    <row r="3662" spans="1:10" x14ac:dyDescent="0.2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Jaime\QUIFA-CAJÚA\Cajua\[VAS_CAJUA_CF_SEC_20230125.xlsx]CF PSNP'!</v>
      </c>
      <c r="G3662" s="6" t="s">
        <v>59</v>
      </c>
      <c r="H3662" s="1"/>
      <c r="I3662" s="1"/>
      <c r="J3662" s="1"/>
    </row>
    <row r="3663" spans="1:10" x14ac:dyDescent="0.2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Jaime\QUIFA-CAJÚA\Cajua\[VAS_CAJUA_CF_SEC_20230125.xlsx]CF PSNP'!</v>
      </c>
      <c r="G3663" s="6" t="s">
        <v>59</v>
      </c>
      <c r="H3663" s="1"/>
      <c r="I3663" s="1"/>
      <c r="J3663" s="1"/>
    </row>
    <row r="3664" spans="1:10" x14ac:dyDescent="0.2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Jaime\QUIFA-CAJÚA\Cajua\[VAS_CAJUA_CF_SEC_20230125.xlsx]CF PSNP'!</v>
      </c>
      <c r="G3664" s="6" t="s">
        <v>59</v>
      </c>
      <c r="H3664" s="1"/>
      <c r="I3664" s="1"/>
      <c r="J3664" s="1"/>
    </row>
    <row r="3665" spans="1:10" x14ac:dyDescent="0.2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Jaime\QUIFA-CAJÚA\Cajua\[VAS_CAJUA_CF_SEC_20230125.xlsx]CF PSNP'!</v>
      </c>
      <c r="G3665" s="6" t="s">
        <v>59</v>
      </c>
      <c r="H3665" s="1"/>
      <c r="I3665" s="1"/>
      <c r="J3665" s="1"/>
    </row>
    <row r="3666" spans="1:10" x14ac:dyDescent="0.2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Jaime\QUIFA-CAJÚA\Cajua\[VAS_CAJUA_CF_SEC_20230125.xlsx]CF PSNP'!</v>
      </c>
      <c r="G3666" s="6" t="s">
        <v>59</v>
      </c>
      <c r="H3666" s="1"/>
      <c r="I3666" s="1"/>
      <c r="J3666" s="1"/>
    </row>
    <row r="3667" spans="1:10" x14ac:dyDescent="0.2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Jaime\QUIFA-CAJÚA\Cajua\[VAS_CAJUA_CF_SEC_20230125.xlsx]CF PSNP'!</v>
      </c>
      <c r="G3667" s="6" t="s">
        <v>59</v>
      </c>
      <c r="H3667" s="1"/>
      <c r="I3667" s="1"/>
      <c r="J3667" s="1"/>
    </row>
    <row r="3668" spans="1:10" x14ac:dyDescent="0.2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Jaime\QUIFA-CAJÚA\Cajua\[VAS_CAJUA_CF_SEC_20230125.xlsx]CF PSNP'!</v>
      </c>
      <c r="G3668" s="6" t="s">
        <v>59</v>
      </c>
      <c r="H3668" s="1"/>
      <c r="I3668" s="1"/>
      <c r="J3668" s="1"/>
    </row>
    <row r="3669" spans="1:10" x14ac:dyDescent="0.2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Jaime\QUIFA-CAJÚA\Cajua\[VAS_CAJUA_CF_SEC_20230125.xlsx]CF PSNP'!</v>
      </c>
      <c r="G3669" s="6" t="s">
        <v>59</v>
      </c>
      <c r="H3669" s="1"/>
      <c r="I3669" s="1"/>
      <c r="J3669" s="1"/>
    </row>
    <row r="3670" spans="1:10" x14ac:dyDescent="0.2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Jaime\QUIFA-CAJÚA\Cajua\[VAS_CAJUA_CF_SEC_20230125.xlsx]CF PSNP'!</v>
      </c>
      <c r="G3670" s="6" t="s">
        <v>59</v>
      </c>
      <c r="H3670" s="1"/>
      <c r="I3670" s="1"/>
      <c r="J3670" s="1"/>
    </row>
    <row r="3671" spans="1:10" x14ac:dyDescent="0.2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Jaime\QUIFA-CAJÚA\Cajua\[VAS_CAJUA_CF_SEC_20230125.xlsx]CF PSNP'!</v>
      </c>
      <c r="G3671" s="6" t="s">
        <v>59</v>
      </c>
      <c r="H3671" s="1"/>
      <c r="I3671" s="1"/>
      <c r="J3671" s="1"/>
    </row>
    <row r="3672" spans="1:10" x14ac:dyDescent="0.2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Jaime\QUIFA-CAJÚA\Cajua\[VAS_CAJUA_CF_SEC_20230125.xlsx]CF PSNP'!</v>
      </c>
      <c r="G3672" s="6" t="s">
        <v>59</v>
      </c>
      <c r="H3672" s="1"/>
      <c r="I3672" s="1"/>
      <c r="J3672" s="1"/>
    </row>
    <row r="3673" spans="1:10" x14ac:dyDescent="0.2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Jaime\QUIFA-CAJÚA\Cajua\[VAS_CAJUA_CF_SEC_20230125.xlsx]CF PSNP'!</v>
      </c>
      <c r="G3673" s="6" t="s">
        <v>59</v>
      </c>
      <c r="H3673" s="1"/>
      <c r="I3673" s="1"/>
      <c r="J3673" s="1"/>
    </row>
    <row r="3674" spans="1:10" x14ac:dyDescent="0.2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Jaime\QUIFA-CAJÚA\Cajua\[VAS_CAJUA_CF_SEC_20230125.xlsx]CF PSNP'!</v>
      </c>
      <c r="G3674" s="6" t="s">
        <v>59</v>
      </c>
      <c r="H3674" s="1"/>
      <c r="I3674" s="1"/>
      <c r="J3674" s="1"/>
    </row>
    <row r="3675" spans="1:10" x14ac:dyDescent="0.2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Jaime\QUIFA-CAJÚA\Cajua\[VAS_CAJUA_CF_SEC_20230125.xlsx]CF PSNP'!</v>
      </c>
      <c r="G3675" s="6" t="s">
        <v>59</v>
      </c>
      <c r="H3675" s="1"/>
      <c r="I3675" s="1"/>
      <c r="J3675" s="1"/>
    </row>
    <row r="3676" spans="1:10" x14ac:dyDescent="0.2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Jaime\QUIFA-CAJÚA\Cajua\[VAS_CAJUA_CF_SEC_20230125.xlsx]CF PSNP'!</v>
      </c>
      <c r="G3676" s="6" t="s">
        <v>59</v>
      </c>
      <c r="H3676" s="1"/>
      <c r="I3676" s="1"/>
      <c r="J3676" s="1"/>
    </row>
    <row r="3677" spans="1:10" x14ac:dyDescent="0.2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Jaime\QUIFA-CAJÚA\Cajua\[VAS_CAJUA_CF_SEC_20230125.xlsx]CF PSNP'!</v>
      </c>
      <c r="G3677" s="6" t="s">
        <v>59</v>
      </c>
      <c r="H3677" s="1"/>
      <c r="I3677" s="1"/>
      <c r="J3677" s="1"/>
    </row>
    <row r="3678" spans="1:10" x14ac:dyDescent="0.2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Jaime\QUIFA-CAJÚA\Cajua\[VAS_CAJUA_CF_SEC_20230125.xlsx]CF PSNP'!</v>
      </c>
      <c r="G3678" s="6" t="s">
        <v>59</v>
      </c>
      <c r="H3678" s="1"/>
      <c r="I3678" s="1"/>
      <c r="J3678" s="1"/>
    </row>
    <row r="3679" spans="1:10" x14ac:dyDescent="0.2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Jaime\QUIFA-CAJÚA\Cajua\[VAS_CAJUA_CF_SEC_20230125.xlsx]CF PSNP'!</v>
      </c>
      <c r="G3679" s="6" t="s">
        <v>59</v>
      </c>
      <c r="H3679" s="1"/>
      <c r="I3679" s="1"/>
      <c r="J3679" s="1"/>
    </row>
    <row r="3680" spans="1:10" x14ac:dyDescent="0.2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Jaime\QUIFA-CAJÚA\Cajua\[VAS_CAJUA_CF_SEC_20230125.xlsx]CF PSNP'!</v>
      </c>
      <c r="G3680" s="6" t="s">
        <v>59</v>
      </c>
      <c r="H3680" s="1"/>
      <c r="I3680" s="1"/>
      <c r="J3680" s="1"/>
    </row>
    <row r="3681" spans="1:10" x14ac:dyDescent="0.2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Jaime\QUIFA-CAJÚA\Cajua\[VAS_CAJUA_CF_SEC_20230125.xlsx]CF PSNP'!</v>
      </c>
      <c r="G3681" s="6" t="s">
        <v>59</v>
      </c>
      <c r="H3681" s="1"/>
      <c r="I3681" s="1"/>
      <c r="J3681" s="1"/>
    </row>
    <row r="3682" spans="1:10" x14ac:dyDescent="0.2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Jaime\QUIFA-CAJÚA\Cajua\[VAS_CAJUA_CF_SEC_20230125.xlsx]CF PSNP'!</v>
      </c>
      <c r="G3682" s="6" t="s">
        <v>59</v>
      </c>
      <c r="H3682" s="1"/>
      <c r="I3682" s="1"/>
      <c r="J3682" s="1"/>
    </row>
    <row r="3683" spans="1:10" x14ac:dyDescent="0.2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Jaime\QUIFA-CAJÚA\Cajua\[VAS_CAJUA_CF_SEC_20230125.xlsx]CF PSNP'!</v>
      </c>
      <c r="G3683" s="6" t="s">
        <v>59</v>
      </c>
      <c r="H3683" s="1"/>
      <c r="I3683" s="1"/>
      <c r="J3683" s="1"/>
    </row>
    <row r="3684" spans="1:10" x14ac:dyDescent="0.2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Jaime\QUIFA-CAJÚA\Cajua\[VAS_CAJUA_CF_SEC_20230125.xlsx]CF PSNP'!</v>
      </c>
      <c r="G3684" s="6" t="s">
        <v>59</v>
      </c>
      <c r="H3684" s="1"/>
      <c r="I3684" s="1"/>
      <c r="J3684" s="1"/>
    </row>
    <row r="3685" spans="1:10" x14ac:dyDescent="0.2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Jaime\QUIFA-CAJÚA\Cajua\[VAS_CAJUA_CF_SEC_20230125.xlsx]CF PSNP'!</v>
      </c>
      <c r="G3685" s="6" t="s">
        <v>59</v>
      </c>
      <c r="H3685" s="1"/>
      <c r="I3685" s="1"/>
      <c r="J3685" s="1"/>
    </row>
    <row r="3686" spans="1:10" x14ac:dyDescent="0.2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Jaime\QUIFA-CAJÚA\Cajua\[VAS_CAJUA_CF_SEC_20230125.xlsx]CF PSNP'!</v>
      </c>
      <c r="G3686" s="6" t="s">
        <v>59</v>
      </c>
      <c r="H3686" s="1"/>
      <c r="I3686" s="1"/>
      <c r="J3686" s="1"/>
    </row>
    <row r="3687" spans="1:10" x14ac:dyDescent="0.25">
      <c r="A3687" s="6" t="s">
        <v>28</v>
      </c>
      <c r="B3687" s="6"/>
      <c r="C3687" s="1" t="s">
        <v>49</v>
      </c>
      <c r="D3687" s="2"/>
      <c r="E3687" s="9"/>
      <c r="F3687" s="5"/>
      <c r="G3687" s="6"/>
      <c r="H3687" s="1"/>
      <c r="I3687" s="1"/>
      <c r="J3687" s="12"/>
    </row>
    <row r="3688" spans="1:10" x14ac:dyDescent="0.2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Jaime\QUIFA-CAJÚA\Cajua\[VAS_CAJUA_CF_SEC_20230125.xlsx]CF PSND'!</v>
      </c>
      <c r="G3688" s="6" t="s">
        <v>59</v>
      </c>
      <c r="H3688" s="1"/>
      <c r="I3688" s="1"/>
      <c r="J3688" s="1"/>
    </row>
    <row r="3689" spans="1:10" x14ac:dyDescent="0.2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Jaime\QUIFA-CAJÚA\Cajua\[VAS_CAJUA_CF_SEC_20230125.xlsx]CF PSND'!</v>
      </c>
      <c r="G3689" s="6" t="s">
        <v>59</v>
      </c>
      <c r="H3689" s="1"/>
      <c r="I3689" s="1"/>
      <c r="J3689" s="1"/>
    </row>
    <row r="3690" spans="1:10" x14ac:dyDescent="0.2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Jaime\QUIFA-CAJÚA\Cajua\[VAS_CAJUA_CF_SEC_20230125.xlsx]CF PSND'!</v>
      </c>
      <c r="G3690" s="6" t="s">
        <v>59</v>
      </c>
      <c r="H3690" s="1"/>
      <c r="I3690" s="1"/>
      <c r="J3690" s="1"/>
    </row>
    <row r="3691" spans="1:10" x14ac:dyDescent="0.2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Jaime\QUIFA-CAJÚA\Cajua\[VAS_CAJUA_CF_SEC_20230125.xlsx]CF PSND'!</v>
      </c>
      <c r="G3691" s="6" t="s">
        <v>59</v>
      </c>
      <c r="H3691" s="1"/>
      <c r="I3691" s="1"/>
      <c r="J3691" s="1"/>
    </row>
    <row r="3692" spans="1:10" x14ac:dyDescent="0.2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Jaime\QUIFA-CAJÚA\Cajua\[VAS_CAJUA_CF_SEC_20230125.xlsx]CF PSND'!</v>
      </c>
      <c r="G3692" s="6" t="s">
        <v>59</v>
      </c>
      <c r="H3692" s="1"/>
      <c r="I3692" s="1"/>
      <c r="J3692" s="1"/>
    </row>
    <row r="3693" spans="1:10" x14ac:dyDescent="0.2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Jaime\QUIFA-CAJÚA\Cajua\[VAS_CAJUA_CF_SEC_20230125.xlsx]CF PSND'!</v>
      </c>
      <c r="G3693" s="6" t="s">
        <v>59</v>
      </c>
      <c r="H3693" s="1"/>
      <c r="I3693" s="1"/>
      <c r="J3693" s="1"/>
    </row>
    <row r="3694" spans="1:10" x14ac:dyDescent="0.2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Jaime\QUIFA-CAJÚA\Cajua\[VAS_CAJUA_CF_SEC_20230125.xlsx]CF PSND'!</v>
      </c>
      <c r="G3694" s="6" t="s">
        <v>59</v>
      </c>
      <c r="H3694" s="1"/>
      <c r="I3694" s="1"/>
      <c r="J3694" s="1"/>
    </row>
    <row r="3695" spans="1:10" x14ac:dyDescent="0.2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Jaime\QUIFA-CAJÚA\Cajua\[VAS_CAJUA_CF_SEC_20230125.xlsx]CF PSND'!</v>
      </c>
      <c r="G3695" s="6" t="s">
        <v>59</v>
      </c>
      <c r="H3695" s="1"/>
      <c r="I3695" s="1"/>
      <c r="J3695" s="1"/>
    </row>
    <row r="3696" spans="1:10" x14ac:dyDescent="0.2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Jaime\QUIFA-CAJÚA\Cajua\[VAS_CAJUA_CF_SEC_20230125.xlsx]CF PSND'!</v>
      </c>
      <c r="G3696" s="6" t="s">
        <v>59</v>
      </c>
      <c r="H3696" s="1"/>
      <c r="I3696" s="1"/>
      <c r="J3696" s="1"/>
    </row>
    <row r="3697" spans="1:10" x14ac:dyDescent="0.2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Jaime\QUIFA-CAJÚA\Cajua\[VAS_CAJUA_CF_SEC_20230125.xlsx]CF PSND'!</v>
      </c>
      <c r="G3697" s="6" t="s">
        <v>59</v>
      </c>
      <c r="H3697" s="1"/>
      <c r="I3697" s="1"/>
      <c r="J3697" s="1"/>
    </row>
    <row r="3698" spans="1:10" x14ac:dyDescent="0.2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Jaime\QUIFA-CAJÚA\Cajua\[VAS_CAJUA_CF_SEC_20230125.xlsx]CF PSND'!</v>
      </c>
      <c r="G3698" s="6" t="s">
        <v>59</v>
      </c>
      <c r="H3698" s="1"/>
      <c r="I3698" s="1"/>
      <c r="J3698" s="1"/>
    </row>
    <row r="3699" spans="1:10" x14ac:dyDescent="0.2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Jaime\QUIFA-CAJÚA\Cajua\[VAS_CAJUA_CF_SEC_20230125.xlsx]CF PSND'!</v>
      </c>
      <c r="G3699" s="6" t="s">
        <v>59</v>
      </c>
      <c r="H3699" s="1"/>
      <c r="I3699" s="1"/>
      <c r="J3699" s="1"/>
    </row>
    <row r="3700" spans="1:10" x14ac:dyDescent="0.2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Jaime\QUIFA-CAJÚA\Cajua\[VAS_CAJUA_CF_SEC_20230125.xlsx]CF PSND'!</v>
      </c>
      <c r="G3700" s="6" t="s">
        <v>59</v>
      </c>
      <c r="H3700" s="1"/>
      <c r="I3700" s="1"/>
      <c r="J3700" s="1"/>
    </row>
    <row r="3701" spans="1:10" x14ac:dyDescent="0.2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Jaime\QUIFA-CAJÚA\Cajua\[VAS_CAJUA_CF_SEC_20230125.xlsx]CF PSND'!</v>
      </c>
      <c r="G3701" s="6" t="s">
        <v>59</v>
      </c>
      <c r="H3701" s="1"/>
      <c r="I3701" s="1"/>
      <c r="J3701" s="1"/>
    </row>
    <row r="3702" spans="1:10" x14ac:dyDescent="0.2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Jaime\QUIFA-CAJÚA\Cajua\[VAS_CAJUA_CF_SEC_20230125.xlsx]CF PSND'!</v>
      </c>
      <c r="G3702" s="6" t="s">
        <v>59</v>
      </c>
      <c r="H3702" s="1"/>
      <c r="I3702" s="1"/>
      <c r="J3702" s="1"/>
    </row>
    <row r="3703" spans="1:10" x14ac:dyDescent="0.2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Jaime\QUIFA-CAJÚA\Cajua\[VAS_CAJUA_CF_SEC_20230125.xlsx]CF PSND'!</v>
      </c>
      <c r="G3703" s="6" t="s">
        <v>59</v>
      </c>
      <c r="H3703" s="1"/>
      <c r="I3703" s="1"/>
      <c r="J3703" s="1"/>
    </row>
    <row r="3704" spans="1:10" x14ac:dyDescent="0.2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Jaime\QUIFA-CAJÚA\Cajua\[VAS_CAJUA_CF_SEC_20230125.xlsx]CF PSND'!</v>
      </c>
      <c r="G3704" s="6" t="s">
        <v>59</v>
      </c>
      <c r="H3704" s="1"/>
      <c r="I3704" s="1"/>
      <c r="J3704" s="1"/>
    </row>
    <row r="3705" spans="1:10" x14ac:dyDescent="0.2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Jaime\QUIFA-CAJÚA\Cajua\[VAS_CAJUA_CF_SEC_20230125.xlsx]CF PSND'!</v>
      </c>
      <c r="G3705" s="6" t="s">
        <v>59</v>
      </c>
      <c r="H3705" s="1"/>
      <c r="I3705" s="1"/>
      <c r="J3705" s="1"/>
    </row>
    <row r="3706" spans="1:10" x14ac:dyDescent="0.2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Jaime\QUIFA-CAJÚA\Cajua\[VAS_CAJUA_CF_SEC_20230125.xlsx]CF PSND'!</v>
      </c>
      <c r="G3706" s="6" t="s">
        <v>59</v>
      </c>
      <c r="H3706" s="1"/>
      <c r="I3706" s="1"/>
      <c r="J3706" s="1"/>
    </row>
    <row r="3707" spans="1:10" x14ac:dyDescent="0.2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Jaime\QUIFA-CAJÚA\Cajua\[VAS_CAJUA_CF_SEC_20230125.xlsx]CF PSND'!</v>
      </c>
      <c r="G3707" s="6" t="s">
        <v>59</v>
      </c>
      <c r="H3707" s="1"/>
      <c r="I3707" s="1"/>
      <c r="J3707" s="1"/>
    </row>
    <row r="3708" spans="1:10" x14ac:dyDescent="0.2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Jaime\QUIFA-CAJÚA\Cajua\[VAS_CAJUA_CF_SEC_20230125.xlsx]CF PSND'!</v>
      </c>
      <c r="G3708" s="6" t="s">
        <v>59</v>
      </c>
      <c r="H3708" s="1"/>
      <c r="I3708" s="1"/>
      <c r="J3708" s="1"/>
    </row>
    <row r="3709" spans="1:10" x14ac:dyDescent="0.2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Jaime\QUIFA-CAJÚA\Cajua\[VAS_CAJUA_CF_SEC_20230125.xlsx]CF PSND'!</v>
      </c>
      <c r="G3709" s="6" t="s">
        <v>59</v>
      </c>
      <c r="H3709" s="1"/>
      <c r="I3709" s="1"/>
      <c r="J3709" s="1"/>
    </row>
    <row r="3710" spans="1:10" x14ac:dyDescent="0.2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Jaime\QUIFA-CAJÚA\Cajua\[VAS_CAJUA_CF_SEC_20230125.xlsx]CF PSND'!</v>
      </c>
      <c r="G3710" s="6" t="s">
        <v>59</v>
      </c>
      <c r="H3710" s="1"/>
      <c r="I3710" s="1"/>
      <c r="J3710" s="1"/>
    </row>
    <row r="3711" spans="1:10" x14ac:dyDescent="0.2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Jaime\QUIFA-CAJÚA\Cajua\[VAS_CAJUA_CF_SEC_20230125.xlsx]CF PSND'!</v>
      </c>
      <c r="G3711" s="6" t="s">
        <v>59</v>
      </c>
      <c r="H3711" s="1"/>
      <c r="I3711" s="1"/>
      <c r="J3711" s="1"/>
    </row>
    <row r="3712" spans="1:10" x14ac:dyDescent="0.2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Jaime\QUIFA-CAJÚA\Cajua\[VAS_CAJUA_CF_SEC_20230125.xlsx]CF PSND'!</v>
      </c>
      <c r="G3712" s="6" t="s">
        <v>59</v>
      </c>
      <c r="H3712" s="1"/>
      <c r="I3712" s="1"/>
      <c r="J3712" s="1"/>
    </row>
    <row r="3713" spans="1:10" x14ac:dyDescent="0.2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Jaime\QUIFA-CAJÚA\Cajua\[VAS_CAJUA_CF_SEC_20230125.xlsx]CF PSND'!</v>
      </c>
      <c r="G3713" s="6" t="s">
        <v>59</v>
      </c>
      <c r="H3713" s="1"/>
      <c r="I3713" s="1"/>
      <c r="J3713" s="1"/>
    </row>
    <row r="3714" spans="1:10" x14ac:dyDescent="0.2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Jaime\QUIFA-CAJÚA\Cajua\[VAS_CAJUA_CF_SEC_20230125.xlsx]CF PSND'!</v>
      </c>
      <c r="G3714" s="6" t="s">
        <v>59</v>
      </c>
      <c r="H3714" s="1"/>
      <c r="I3714" s="1"/>
      <c r="J3714" s="1"/>
    </row>
    <row r="3715" spans="1:10" x14ac:dyDescent="0.2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Jaime\QUIFA-CAJÚA\Cajua\[VAS_CAJUA_CF_SEC_20230125.xlsx]CF PSND'!</v>
      </c>
      <c r="G3715" s="6" t="s">
        <v>59</v>
      </c>
      <c r="H3715" s="1"/>
      <c r="I3715" s="1"/>
      <c r="J3715" s="1"/>
    </row>
    <row r="3716" spans="1:10" x14ac:dyDescent="0.2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Jaime\QUIFA-CAJÚA\Cajua\[VAS_CAJUA_CF_SEC_20230125.xlsx]CF PSND'!</v>
      </c>
      <c r="G3716" s="6" t="s">
        <v>59</v>
      </c>
      <c r="H3716" s="1"/>
      <c r="I3716" s="1"/>
      <c r="J3716" s="1"/>
    </row>
    <row r="3717" spans="1:10" x14ac:dyDescent="0.2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Jaime\QUIFA-CAJÚA\Cajua\[VAS_CAJUA_CF_SEC_20230125.xlsx]CF PSND'!</v>
      </c>
      <c r="G3717" s="6" t="s">
        <v>59</v>
      </c>
      <c r="H3717" s="1"/>
      <c r="I3717" s="1"/>
      <c r="J3717" s="1"/>
    </row>
    <row r="3718" spans="1:10" x14ac:dyDescent="0.2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Jaime\QUIFA-CAJÚA\Cajua\[VAS_CAJUA_CF_SEC_20230125.xlsx]CF PSND'!</v>
      </c>
      <c r="G3718" s="6" t="s">
        <v>59</v>
      </c>
      <c r="H3718" s="1"/>
      <c r="I3718" s="1"/>
      <c r="J3718" s="1"/>
    </row>
    <row r="3719" spans="1:10" x14ac:dyDescent="0.2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Jaime\QUIFA-CAJÚA\Cajua\[VAS_CAJUA_CF_SEC_20230125.xlsx]CF PSND'!</v>
      </c>
      <c r="G3719" s="6" t="s">
        <v>59</v>
      </c>
      <c r="H3719" s="1"/>
      <c r="I3719" s="1"/>
      <c r="J3719" s="1"/>
    </row>
    <row r="3720" spans="1:10" x14ac:dyDescent="0.2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Jaime\QUIFA-CAJÚA\Cajua\[VAS_CAJUA_CF_SEC_20230125.xlsx]CF PSND'!</v>
      </c>
      <c r="G3720" s="6" t="s">
        <v>59</v>
      </c>
      <c r="H3720" s="1"/>
      <c r="I3720" s="1"/>
      <c r="J3720" s="1"/>
    </row>
    <row r="3721" spans="1:10" x14ac:dyDescent="0.2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Jaime\QUIFA-CAJÚA\Cajua\[VAS_CAJUA_CF_SEC_20230125.xlsx]CF PSND'!</v>
      </c>
      <c r="G3721" s="6" t="s">
        <v>59</v>
      </c>
      <c r="H3721" s="1"/>
      <c r="I3721" s="1"/>
      <c r="J3721" s="1"/>
    </row>
    <row r="3722" spans="1:10" x14ac:dyDescent="0.2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Jaime\QUIFA-CAJÚA\Cajua\[VAS_CAJUA_CF_SEC_20230125.xlsx]CF PSND'!</v>
      </c>
      <c r="G3722" s="6" t="s">
        <v>59</v>
      </c>
      <c r="H3722" s="1"/>
      <c r="I3722" s="1"/>
      <c r="J3722" s="1"/>
    </row>
    <row r="3723" spans="1:10" x14ac:dyDescent="0.2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Jaime\QUIFA-CAJÚA\Cajua\[VAS_CAJUA_CF_SEC_20230125.xlsx]CF PSND'!</v>
      </c>
      <c r="G3723" s="6" t="s">
        <v>59</v>
      </c>
      <c r="H3723" s="1"/>
      <c r="I3723" s="1"/>
      <c r="J3723" s="1"/>
    </row>
    <row r="3724" spans="1:10" x14ac:dyDescent="0.2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Jaime\QUIFA-CAJÚA\Cajua\[VAS_CAJUA_CF_SEC_20230125.xlsx]CF PSND'!</v>
      </c>
      <c r="G3724" s="6" t="s">
        <v>59</v>
      </c>
      <c r="H3724" s="1"/>
      <c r="I3724" s="1"/>
      <c r="J3724" s="1"/>
    </row>
    <row r="3725" spans="1:10" x14ac:dyDescent="0.25">
      <c r="A3725" s="6" t="s">
        <v>28</v>
      </c>
      <c r="B3725" s="6"/>
      <c r="C3725" s="1" t="s">
        <v>49</v>
      </c>
      <c r="D3725" s="2"/>
      <c r="E3725" s="9"/>
      <c r="F3725" s="2"/>
      <c r="G3725" s="6"/>
      <c r="H3725" s="1"/>
      <c r="I3725" s="1"/>
      <c r="J3725" s="12"/>
    </row>
    <row r="3726" spans="1:10" x14ac:dyDescent="0.2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Jaime\QUIFA-CAJÚA\Cajua\[VAS_CAJUA_CF_SEC_20230125.xlsx]CF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Jaime\QUIFA-CAJÚA\Cajua\[VAS_CAJUA_CF_SEC_20230125.xlsx]CF PS'!$BB$36</v>
      </c>
      <c r="J3726" s="1" t="s">
        <v>1757</v>
      </c>
    </row>
    <row r="3727" spans="1:10" x14ac:dyDescent="0.2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Jaime\QUIFA-CAJÚA\Cajua\[VAS_CAJUA_CF_SEC_20230125.xlsx]CF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Jaime\QUIFA-CAJÚA\Cajua\[VAS_CAJUA_CF_SEC_20230125.xlsx]CF PS'!$BB$37</v>
      </c>
      <c r="J3727" s="1" t="s">
        <v>1758</v>
      </c>
    </row>
    <row r="3728" spans="1:10" x14ac:dyDescent="0.2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Jaime\QUIFA-CAJÚA\Cajua\[VAS_CAJUA_CF_SEC_20230125.xlsx]CF PS'!</v>
      </c>
      <c r="G3728" s="6" t="s">
        <v>59</v>
      </c>
      <c r="H3728" s="1">
        <f t="shared" si="856"/>
        <v>38</v>
      </c>
      <c r="I3728" s="1" t="str">
        <f t="shared" si="855"/>
        <v>='C:\Users\jaime.benazar\Quorum Business Solutions\Ecopetrol Prometeo - Documents\Planning Space Implementation\3. Analysis &amp; Design\Design\FC22\DRR Jaime\QUIFA-CAJÚA\Cajua\[VAS_CAJUA_CF_SEC_20230125.xlsx]CF PS'!$BB$38</v>
      </c>
      <c r="J3728" s="1" t="s">
        <v>1759</v>
      </c>
    </row>
    <row r="3729" spans="1:10" x14ac:dyDescent="0.2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Jaime\QUIFA-CAJÚA\Cajua\[VAS_CAJUA_CF_SEC_20230125.xlsx]CF PS'!</v>
      </c>
      <c r="G3729" s="6" t="s">
        <v>59</v>
      </c>
      <c r="H3729" s="1">
        <f t="shared" si="856"/>
        <v>39</v>
      </c>
      <c r="I3729" s="1" t="str">
        <f t="shared" si="855"/>
        <v>='C:\Users\jaime.benazar\Quorum Business Solutions\Ecopetrol Prometeo - Documents\Planning Space Implementation\3. Analysis &amp; Design\Design\FC22\DRR Jaime\QUIFA-CAJÚA\Cajua\[VAS_CAJUA_CF_SEC_20230125.xlsx]CF PS'!$BB$39</v>
      </c>
      <c r="J3729" s="1" t="s">
        <v>1760</v>
      </c>
    </row>
    <row r="3730" spans="1:10" x14ac:dyDescent="0.2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Jaime\QUIFA-CAJÚA\Cajua\[VAS_CAJUA_CF_SEC_20230125.xlsx]CF PS'!</v>
      </c>
      <c r="G3730" s="6" t="s">
        <v>59</v>
      </c>
      <c r="H3730" s="1">
        <f t="shared" si="856"/>
        <v>40</v>
      </c>
      <c r="I3730" s="1" t="str">
        <f t="shared" si="855"/>
        <v>='C:\Users\jaime.benazar\Quorum Business Solutions\Ecopetrol Prometeo - Documents\Planning Space Implementation\3. Analysis &amp; Design\Design\FC22\DRR Jaime\QUIFA-CAJÚA\Cajua\[VAS_CAJUA_CF_SEC_20230125.xlsx]CF PS'!$BB$40</v>
      </c>
      <c r="J3730" s="1" t="s">
        <v>1761</v>
      </c>
    </row>
    <row r="3731" spans="1:10" x14ac:dyDescent="0.2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Jaime\QUIFA-CAJÚA\Cajua\[VAS_CAJUA_CF_SEC_20230125.xlsx]CF PS'!</v>
      </c>
      <c r="G3731" s="6" t="s">
        <v>59</v>
      </c>
      <c r="H3731" s="1">
        <f t="shared" si="856"/>
        <v>41</v>
      </c>
      <c r="I3731" s="1" t="str">
        <f t="shared" si="855"/>
        <v>='C:\Users\jaime.benazar\Quorum Business Solutions\Ecopetrol Prometeo - Documents\Planning Space Implementation\3. Analysis &amp; Design\Design\FC22\DRR Jaime\QUIFA-CAJÚA\Cajua\[VAS_CAJUA_CF_SEC_20230125.xlsx]CF PS'!$BB$41</v>
      </c>
      <c r="J3731" s="1" t="s">
        <v>1762</v>
      </c>
    </row>
    <row r="3732" spans="1:10" x14ac:dyDescent="0.2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Jaime\QUIFA-CAJÚA\Cajua\[VAS_CAJUA_CF_SEC_20230125.xlsx]CF PS'!</v>
      </c>
      <c r="G3732" s="6" t="s">
        <v>59</v>
      </c>
      <c r="H3732" s="1">
        <f t="shared" si="856"/>
        <v>42</v>
      </c>
      <c r="I3732" s="1" t="str">
        <f t="shared" si="855"/>
        <v>='C:\Users\jaime.benazar\Quorum Business Solutions\Ecopetrol Prometeo - Documents\Planning Space Implementation\3. Analysis &amp; Design\Design\FC22\DRR Jaime\QUIFA-CAJÚA\Cajua\[VAS_CAJUA_CF_SEC_20230125.xlsx]CF PS'!$BB$42</v>
      </c>
      <c r="J3732" s="1" t="s">
        <v>1763</v>
      </c>
    </row>
    <row r="3733" spans="1:10" x14ac:dyDescent="0.2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Jaime\QUIFA-CAJÚA\Cajua\[VAS_CAJUA_CF_SEC_20230125.xlsx]CF PS'!</v>
      </c>
      <c r="G3733" s="6" t="s">
        <v>59</v>
      </c>
      <c r="H3733" s="1">
        <f t="shared" si="856"/>
        <v>43</v>
      </c>
      <c r="I3733" s="1" t="str">
        <f t="shared" si="855"/>
        <v>='C:\Users\jaime.benazar\Quorum Business Solutions\Ecopetrol Prometeo - Documents\Planning Space Implementation\3. Analysis &amp; Design\Design\FC22\DRR Jaime\QUIFA-CAJÚA\Cajua\[VAS_CAJUA_CF_SEC_20230125.xlsx]CF PS'!$BB$43</v>
      </c>
      <c r="J3733" s="1" t="s">
        <v>1764</v>
      </c>
    </row>
    <row r="3734" spans="1:10" x14ac:dyDescent="0.2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Jaime\QUIFA-CAJÚA\Cajua\[VAS_CAJUA_CF_SEC_20230125.xlsx]CF PS'!</v>
      </c>
      <c r="G3734" s="6" t="s">
        <v>59</v>
      </c>
      <c r="H3734" s="1">
        <f t="shared" si="856"/>
        <v>44</v>
      </c>
      <c r="I3734" s="1" t="str">
        <f t="shared" si="855"/>
        <v>='C:\Users\jaime.benazar\Quorum Business Solutions\Ecopetrol Prometeo - Documents\Planning Space Implementation\3. Analysis &amp; Design\Design\FC22\DRR Jaime\QUIFA-CAJÚA\Cajua\[VAS_CAJUA_CF_SEC_20230125.xlsx]CF PS'!$BB$44</v>
      </c>
      <c r="J3734" s="1" t="s">
        <v>1765</v>
      </c>
    </row>
    <row r="3735" spans="1:10" x14ac:dyDescent="0.2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Jaime\QUIFA-CAJÚA\Cajua\[VAS_CAJUA_CF_SEC_20230125.xlsx]CF PS'!</v>
      </c>
      <c r="G3735" s="6" t="s">
        <v>59</v>
      </c>
      <c r="H3735" s="1">
        <f t="shared" si="856"/>
        <v>45</v>
      </c>
      <c r="I3735" s="1" t="str">
        <f t="shared" si="855"/>
        <v>='C:\Users\jaime.benazar\Quorum Business Solutions\Ecopetrol Prometeo - Documents\Planning Space Implementation\3. Analysis &amp; Design\Design\FC22\DRR Jaime\QUIFA-CAJÚA\Cajua\[VAS_CAJUA_CF_SEC_20230125.xlsx]CF PS'!$BB$45</v>
      </c>
      <c r="J3735" s="1" t="s">
        <v>1766</v>
      </c>
    </row>
    <row r="3736" spans="1:10" x14ac:dyDescent="0.2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Jaime\QUIFA-CAJÚA\Cajua\[VAS_CAJUA_CF_SEC_20230125.xlsx]CF PS'!</v>
      </c>
      <c r="G3736" s="6" t="s">
        <v>59</v>
      </c>
      <c r="H3736" s="1">
        <f t="shared" si="856"/>
        <v>46</v>
      </c>
      <c r="I3736" s="1" t="str">
        <f t="shared" si="855"/>
        <v>='C:\Users\jaime.benazar\Quorum Business Solutions\Ecopetrol Prometeo - Documents\Planning Space Implementation\3. Analysis &amp; Design\Design\FC22\DRR Jaime\QUIFA-CAJÚA\Cajua\[VAS_CAJUA_CF_SEC_20230125.xlsx]CF PS'!$BB$46</v>
      </c>
      <c r="J3736" s="1" t="s">
        <v>1767</v>
      </c>
    </row>
    <row r="3737" spans="1:10" x14ac:dyDescent="0.2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Jaime\QUIFA-CAJÚA\Cajua\[VAS_CAJUA_CF_SEC_20230125.xlsx]CF PS'!</v>
      </c>
      <c r="G3737" s="6" t="s">
        <v>59</v>
      </c>
      <c r="H3737" s="1">
        <f t="shared" si="856"/>
        <v>47</v>
      </c>
      <c r="I3737" s="1" t="str">
        <f t="shared" si="855"/>
        <v>='C:\Users\jaime.benazar\Quorum Business Solutions\Ecopetrol Prometeo - Documents\Planning Space Implementation\3. Analysis &amp; Design\Design\FC22\DRR Jaime\QUIFA-CAJÚA\Cajua\[VAS_CAJUA_CF_SEC_20230125.xlsx]CF PS'!$BB$47</v>
      </c>
      <c r="J3737" s="1" t="s">
        <v>1768</v>
      </c>
    </row>
    <row r="3738" spans="1:10" x14ac:dyDescent="0.2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Jaime\QUIFA-CAJÚA\Cajua\[VAS_CAJUA_CF_SEC_20230125.xlsx]CF PS'!</v>
      </c>
      <c r="G3738" s="6" t="s">
        <v>59</v>
      </c>
      <c r="H3738" s="1">
        <f t="shared" si="856"/>
        <v>48</v>
      </c>
      <c r="I3738" s="1" t="str">
        <f t="shared" si="855"/>
        <v>='C:\Users\jaime.benazar\Quorum Business Solutions\Ecopetrol Prometeo - Documents\Planning Space Implementation\3. Analysis &amp; Design\Design\FC22\DRR Jaime\QUIFA-CAJÚA\Cajua\[VAS_CAJUA_CF_SEC_20230125.xlsx]CF PS'!$BB$48</v>
      </c>
      <c r="J3738" s="1" t="s">
        <v>1769</v>
      </c>
    </row>
    <row r="3739" spans="1:10" x14ac:dyDescent="0.2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Jaime\QUIFA-CAJÚA\Cajua\[VAS_CAJUA_CF_SEC_20230125.xlsx]CF PS'!</v>
      </c>
      <c r="G3739" s="6" t="s">
        <v>59</v>
      </c>
      <c r="H3739" s="1">
        <f t="shared" si="856"/>
        <v>49</v>
      </c>
      <c r="I3739" s="1" t="str">
        <f t="shared" si="855"/>
        <v>='C:\Users\jaime.benazar\Quorum Business Solutions\Ecopetrol Prometeo - Documents\Planning Space Implementation\3. Analysis &amp; Design\Design\FC22\DRR Jaime\QUIFA-CAJÚA\Cajua\[VAS_CAJUA_CF_SEC_20230125.xlsx]CF PS'!$BB$49</v>
      </c>
      <c r="J3739" s="1" t="s">
        <v>1770</v>
      </c>
    </row>
    <row r="3740" spans="1:10" x14ac:dyDescent="0.2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Jaime\QUIFA-CAJÚA\Cajua\[VAS_CAJUA_CF_SEC_20230125.xlsx]CF PS'!</v>
      </c>
      <c r="G3740" s="6" t="s">
        <v>59</v>
      </c>
      <c r="H3740" s="1">
        <f t="shared" si="856"/>
        <v>50</v>
      </c>
      <c r="I3740" s="1" t="str">
        <f t="shared" si="855"/>
        <v>='C:\Users\jaime.benazar\Quorum Business Solutions\Ecopetrol Prometeo - Documents\Planning Space Implementation\3. Analysis &amp; Design\Design\FC22\DRR Jaime\QUIFA-CAJÚA\Cajua\[VAS_CAJUA_CF_SEC_20230125.xlsx]CF PS'!$BB$50</v>
      </c>
      <c r="J3740" s="1" t="s">
        <v>1771</v>
      </c>
    </row>
    <row r="3741" spans="1:10" x14ac:dyDescent="0.2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Jaime\QUIFA-CAJÚA\Cajua\[VAS_CAJUA_CF_SEC_20230125.xlsx]CF PS'!</v>
      </c>
      <c r="G3741" s="6" t="s">
        <v>59</v>
      </c>
      <c r="H3741" s="1">
        <f t="shared" si="856"/>
        <v>51</v>
      </c>
      <c r="I3741" s="1" t="str">
        <f t="shared" si="855"/>
        <v>='C:\Users\jaime.benazar\Quorum Business Solutions\Ecopetrol Prometeo - Documents\Planning Space Implementation\3. Analysis &amp; Design\Design\FC22\DRR Jaime\QUIFA-CAJÚA\Cajua\[VAS_CAJUA_CF_SEC_20230125.xlsx]CF PS'!$BB$51</v>
      </c>
      <c r="J3741" s="1" t="s">
        <v>1772</v>
      </c>
    </row>
    <row r="3742" spans="1:10" x14ac:dyDescent="0.2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Jaime\QUIFA-CAJÚA\Cajua\[VAS_CAJUA_CF_SEC_20230125.xlsx]CF PS'!</v>
      </c>
      <c r="G3742" s="6" t="s">
        <v>59</v>
      </c>
      <c r="H3742" s="1">
        <f t="shared" si="856"/>
        <v>52</v>
      </c>
      <c r="I3742" s="1" t="str">
        <f t="shared" si="855"/>
        <v>='C:\Users\jaime.benazar\Quorum Business Solutions\Ecopetrol Prometeo - Documents\Planning Space Implementation\3. Analysis &amp; Design\Design\FC22\DRR Jaime\QUIFA-CAJÚA\Cajua\[VAS_CAJUA_CF_SEC_20230125.xlsx]CF PS'!$BB$52</v>
      </c>
      <c r="J3742" s="1" t="s">
        <v>1773</v>
      </c>
    </row>
    <row r="3743" spans="1:10" x14ac:dyDescent="0.2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Jaime\QUIFA-CAJÚA\Cajua\[VAS_CAJUA_CF_SEC_20230125.xlsx]CF PS'!</v>
      </c>
      <c r="G3743" s="6" t="s">
        <v>59</v>
      </c>
      <c r="H3743" s="1">
        <f t="shared" si="856"/>
        <v>53</v>
      </c>
      <c r="I3743" s="1" t="str">
        <f t="shared" si="855"/>
        <v>='C:\Users\jaime.benazar\Quorum Business Solutions\Ecopetrol Prometeo - Documents\Planning Space Implementation\3. Analysis &amp; Design\Design\FC22\DRR Jaime\QUIFA-CAJÚA\Cajua\[VAS_CAJUA_CF_SEC_20230125.xlsx]CF PS'!$BB$53</v>
      </c>
      <c r="J3743" s="1" t="s">
        <v>1774</v>
      </c>
    </row>
    <row r="3744" spans="1:10" x14ac:dyDescent="0.2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Jaime\QUIFA-CAJÚA\Cajua\[VAS_CAJUA_CF_SEC_20230125.xlsx]CF PS'!</v>
      </c>
      <c r="G3744" s="6" t="s">
        <v>59</v>
      </c>
      <c r="H3744" s="1">
        <f t="shared" si="856"/>
        <v>54</v>
      </c>
      <c r="I3744" s="1" t="str">
        <f t="shared" si="855"/>
        <v>='C:\Users\jaime.benazar\Quorum Business Solutions\Ecopetrol Prometeo - Documents\Planning Space Implementation\3. Analysis &amp; Design\Design\FC22\DRR Jaime\QUIFA-CAJÚA\Cajua\[VAS_CAJUA_CF_SEC_20230125.xlsx]CF PS'!$BB$54</v>
      </c>
      <c r="J3744" s="1" t="s">
        <v>1775</v>
      </c>
    </row>
    <row r="3745" spans="1:10" x14ac:dyDescent="0.2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Jaime\QUIFA-CAJÚA\Cajua\[VAS_CAJUA_CF_SEC_20230125.xlsx]CF PS'!</v>
      </c>
      <c r="G3745" s="6" t="s">
        <v>59</v>
      </c>
      <c r="H3745" s="1">
        <f t="shared" si="856"/>
        <v>55</v>
      </c>
      <c r="I3745" s="1" t="str">
        <f t="shared" si="855"/>
        <v>='C:\Users\jaime.benazar\Quorum Business Solutions\Ecopetrol Prometeo - Documents\Planning Space Implementation\3. Analysis &amp; Design\Design\FC22\DRR Jaime\QUIFA-CAJÚA\Cajua\[VAS_CAJUA_CF_SEC_20230125.xlsx]CF PS'!$BB$55</v>
      </c>
      <c r="J3745" s="1" t="s">
        <v>1776</v>
      </c>
    </row>
    <row r="3746" spans="1:10" x14ac:dyDescent="0.2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Jaime\QUIFA-CAJÚA\Cajua\[VAS_CAJUA_CF_SEC_20230125.xlsx]CF PS'!</v>
      </c>
      <c r="G3746" s="6" t="s">
        <v>59</v>
      </c>
      <c r="H3746" s="1">
        <f t="shared" si="856"/>
        <v>56</v>
      </c>
      <c r="I3746" s="1" t="str">
        <f t="shared" si="855"/>
        <v>='C:\Users\jaime.benazar\Quorum Business Solutions\Ecopetrol Prometeo - Documents\Planning Space Implementation\3. Analysis &amp; Design\Design\FC22\DRR Jaime\QUIFA-CAJÚA\Cajua\[VAS_CAJUA_CF_SEC_20230125.xlsx]CF PS'!$BB$56</v>
      </c>
      <c r="J3746" s="1" t="s">
        <v>1777</v>
      </c>
    </row>
    <row r="3747" spans="1:10" x14ac:dyDescent="0.2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Jaime\QUIFA-CAJÚA\Cajua\[VAS_CAJUA_CF_SEC_20230125.xlsx]CF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Jaime\QUIFA-CAJÚA\Cajua\[VAS_CAJUA_CF_SEC_20230125.xlsx]CF PS'!$BB$57</v>
      </c>
      <c r="J3747" s="1" t="s">
        <v>1778</v>
      </c>
    </row>
    <row r="3748" spans="1:10" x14ac:dyDescent="0.2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Jaime\QUIFA-CAJÚA\Cajua\[VAS_CAJUA_CF_SEC_20230125.xlsx]CF PS'!</v>
      </c>
      <c r="G3748" s="6" t="s">
        <v>59</v>
      </c>
      <c r="H3748" s="1">
        <f t="shared" si="862"/>
        <v>58</v>
      </c>
      <c r="I3748" s="1" t="str">
        <f t="shared" si="863"/>
        <v>='C:\Users\jaime.benazar\Quorum Business Solutions\Ecopetrol Prometeo - Documents\Planning Space Implementation\3. Analysis &amp; Design\Design\FC22\DRR Jaime\QUIFA-CAJÚA\Cajua\[VAS_CAJUA_CF_SEC_20230125.xlsx]CF PS'!$BB$58</v>
      </c>
      <c r="J3748" s="1" t="s">
        <v>1779</v>
      </c>
    </row>
    <row r="3749" spans="1:10" x14ac:dyDescent="0.2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Jaime\QUIFA-CAJÚA\Cajua\[VAS_CAJUA_CF_SEC_20230125.xlsx]CF PS'!</v>
      </c>
      <c r="G3749" s="6" t="s">
        <v>59</v>
      </c>
      <c r="H3749" s="1">
        <f t="shared" si="862"/>
        <v>59</v>
      </c>
      <c r="I3749" s="1" t="str">
        <f t="shared" si="863"/>
        <v>='C:\Users\jaime.benazar\Quorum Business Solutions\Ecopetrol Prometeo - Documents\Planning Space Implementation\3. Analysis &amp; Design\Design\FC22\DRR Jaime\QUIFA-CAJÚA\Cajua\[VAS_CAJUA_CF_SEC_20230125.xlsx]CF PS'!$BB$59</v>
      </c>
      <c r="J3749" s="1" t="s">
        <v>1780</v>
      </c>
    </row>
    <row r="3750" spans="1:10" x14ac:dyDescent="0.2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Jaime\QUIFA-CAJÚA\Cajua\[VAS_CAJUA_CF_SEC_20230125.xlsx]CF PS'!</v>
      </c>
      <c r="G3750" s="6" t="s">
        <v>59</v>
      </c>
      <c r="H3750" s="1">
        <f t="shared" si="862"/>
        <v>60</v>
      </c>
      <c r="I3750" s="1" t="str">
        <f t="shared" si="863"/>
        <v>='C:\Users\jaime.benazar\Quorum Business Solutions\Ecopetrol Prometeo - Documents\Planning Space Implementation\3. Analysis &amp; Design\Design\FC22\DRR Jaime\QUIFA-CAJÚA\Cajua\[VAS_CAJUA_CF_SEC_20230125.xlsx]CF PS'!$BB$60</v>
      </c>
      <c r="J3750" s="1" t="s">
        <v>1781</v>
      </c>
    </row>
    <row r="3751" spans="1:10" x14ac:dyDescent="0.2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Jaime\QUIFA-CAJÚA\Cajua\[VAS_CAJUA_CF_SEC_20230125.xlsx]CF PS'!</v>
      </c>
      <c r="G3751" s="6" t="s">
        <v>59</v>
      </c>
      <c r="H3751" s="1">
        <f t="shared" si="862"/>
        <v>61</v>
      </c>
      <c r="I3751" s="1" t="str">
        <f t="shared" si="863"/>
        <v>='C:\Users\jaime.benazar\Quorum Business Solutions\Ecopetrol Prometeo - Documents\Planning Space Implementation\3. Analysis &amp; Design\Design\FC22\DRR Jaime\QUIFA-CAJÚA\Cajua\[VAS_CAJUA_CF_SEC_20230125.xlsx]CF PS'!$BB$61</v>
      </c>
      <c r="J3751" s="1" t="s">
        <v>1782</v>
      </c>
    </row>
    <row r="3752" spans="1:10" x14ac:dyDescent="0.2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Jaime\QUIFA-CAJÚA\Cajua\[VAS_CAJUA_CF_SEC_20230125.xlsx]CF PS'!</v>
      </c>
      <c r="G3752" s="6" t="s">
        <v>59</v>
      </c>
      <c r="H3752" s="1">
        <f t="shared" si="862"/>
        <v>62</v>
      </c>
      <c r="I3752" s="1" t="str">
        <f t="shared" si="863"/>
        <v>='C:\Users\jaime.benazar\Quorum Business Solutions\Ecopetrol Prometeo - Documents\Planning Space Implementation\3. Analysis &amp; Design\Design\FC22\DRR Jaime\QUIFA-CAJÚA\Cajua\[VAS_CAJUA_CF_SEC_20230125.xlsx]CF PS'!$BB$62</v>
      </c>
      <c r="J3752" s="1" t="s">
        <v>1783</v>
      </c>
    </row>
    <row r="3753" spans="1:10" x14ac:dyDescent="0.2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Jaime\QUIFA-CAJÚA\Cajua\[VAS_CAJUA_CF_SEC_20230125.xlsx]CF PS'!</v>
      </c>
      <c r="G3753" s="6" t="s">
        <v>59</v>
      </c>
      <c r="H3753" s="1">
        <f t="shared" si="862"/>
        <v>63</v>
      </c>
      <c r="I3753" s="1" t="str">
        <f t="shared" si="863"/>
        <v>='C:\Users\jaime.benazar\Quorum Business Solutions\Ecopetrol Prometeo - Documents\Planning Space Implementation\3. Analysis &amp; Design\Design\FC22\DRR Jaime\QUIFA-CAJÚA\Cajua\[VAS_CAJUA_CF_SEC_20230125.xlsx]CF PS'!$BB$63</v>
      </c>
      <c r="J3753" s="1" t="s">
        <v>1784</v>
      </c>
    </row>
    <row r="3754" spans="1:10" x14ac:dyDescent="0.2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Jaime\QUIFA-CAJÚA\Cajua\[VAS_CAJUA_CF_SEC_20230125.xlsx]CF PS'!</v>
      </c>
      <c r="G3754" s="6" t="s">
        <v>59</v>
      </c>
      <c r="H3754" s="1">
        <f t="shared" si="862"/>
        <v>64</v>
      </c>
      <c r="I3754" s="1" t="str">
        <f t="shared" si="863"/>
        <v>='C:\Users\jaime.benazar\Quorum Business Solutions\Ecopetrol Prometeo - Documents\Planning Space Implementation\3. Analysis &amp; Design\Design\FC22\DRR Jaime\QUIFA-CAJÚA\Cajua\[VAS_CAJUA_CF_SEC_20230125.xlsx]CF PS'!$BB$64</v>
      </c>
      <c r="J3754" s="1" t="s">
        <v>1785</v>
      </c>
    </row>
    <row r="3755" spans="1:10" x14ac:dyDescent="0.2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Jaime\QUIFA-CAJÚA\Cajua\[VAS_CAJUA_CF_SEC_20230125.xlsx]CF PS'!</v>
      </c>
      <c r="G3755" s="6" t="s">
        <v>59</v>
      </c>
      <c r="H3755" s="1">
        <f t="shared" si="862"/>
        <v>65</v>
      </c>
      <c r="I3755" s="1" t="str">
        <f t="shared" si="863"/>
        <v>='C:\Users\jaime.benazar\Quorum Business Solutions\Ecopetrol Prometeo - Documents\Planning Space Implementation\3. Analysis &amp; Design\Design\FC22\DRR Jaime\QUIFA-CAJÚA\Cajua\[VAS_CAJUA_CF_SEC_20230125.xlsx]CF PS'!$BB$65</v>
      </c>
      <c r="J3755" s="1" t="s">
        <v>1786</v>
      </c>
    </row>
    <row r="3756" spans="1:10" x14ac:dyDescent="0.2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Jaime\QUIFA-CAJÚA\Cajua\[VAS_CAJUA_CF_SEC_20230125.xlsx]CF PS'!</v>
      </c>
      <c r="G3756" s="6" t="s">
        <v>59</v>
      </c>
      <c r="H3756" s="1">
        <f t="shared" si="862"/>
        <v>66</v>
      </c>
      <c r="I3756" s="1" t="str">
        <f t="shared" si="863"/>
        <v>='C:\Users\jaime.benazar\Quorum Business Solutions\Ecopetrol Prometeo - Documents\Planning Space Implementation\3. Analysis &amp; Design\Design\FC22\DRR Jaime\QUIFA-CAJÚA\Cajua\[VAS_CAJUA_CF_SEC_20230125.xlsx]CF PS'!$BB$66</v>
      </c>
      <c r="J3756" s="1" t="s">
        <v>1787</v>
      </c>
    </row>
    <row r="3757" spans="1:10" x14ac:dyDescent="0.2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Jaime\QUIFA-CAJÚA\Cajua\[VAS_CAJUA_CF_SEC_20230125.xlsx]CF PS'!</v>
      </c>
      <c r="G3757" s="6" t="s">
        <v>59</v>
      </c>
      <c r="H3757" s="1">
        <f t="shared" si="862"/>
        <v>67</v>
      </c>
      <c r="I3757" s="1" t="str">
        <f t="shared" si="863"/>
        <v>='C:\Users\jaime.benazar\Quorum Business Solutions\Ecopetrol Prometeo - Documents\Planning Space Implementation\3. Analysis &amp; Design\Design\FC22\DRR Jaime\QUIFA-CAJÚA\Cajua\[VAS_CAJUA_CF_SEC_20230125.xlsx]CF PS'!$BB$67</v>
      </c>
      <c r="J3757" s="1" t="s">
        <v>1788</v>
      </c>
    </row>
    <row r="3758" spans="1:10" x14ac:dyDescent="0.2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Jaime\QUIFA-CAJÚA\Cajua\[VAS_CAJUA_CF_SEC_20230125.xlsx]CF PS'!</v>
      </c>
      <c r="G3758" s="6" t="s">
        <v>59</v>
      </c>
      <c r="H3758" s="1">
        <f t="shared" si="862"/>
        <v>68</v>
      </c>
      <c r="I3758" s="1" t="str">
        <f t="shared" si="863"/>
        <v>='C:\Users\jaime.benazar\Quorum Business Solutions\Ecopetrol Prometeo - Documents\Planning Space Implementation\3. Analysis &amp; Design\Design\FC22\DRR Jaime\QUIFA-CAJÚA\Cajua\[VAS_CAJUA_CF_SEC_20230125.xlsx]CF PS'!$BB$68</v>
      </c>
      <c r="J3758" s="1" t="s">
        <v>1789</v>
      </c>
    </row>
    <row r="3759" spans="1:10" x14ac:dyDescent="0.2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Jaime\QUIFA-CAJÚA\Cajua\[VAS_CAJUA_CF_SEC_20230125.xlsx]CF PS'!</v>
      </c>
      <c r="G3759" s="6" t="s">
        <v>59</v>
      </c>
      <c r="H3759" s="1">
        <f t="shared" si="862"/>
        <v>69</v>
      </c>
      <c r="I3759" s="1" t="str">
        <f t="shared" si="863"/>
        <v>='C:\Users\jaime.benazar\Quorum Business Solutions\Ecopetrol Prometeo - Documents\Planning Space Implementation\3. Analysis &amp; Design\Design\FC22\DRR Jaime\QUIFA-CAJÚA\Cajua\[VAS_CAJUA_CF_SEC_20230125.xlsx]CF PS'!$BB$69</v>
      </c>
      <c r="J3759" s="1" t="s">
        <v>1790</v>
      </c>
    </row>
    <row r="3760" spans="1:10" x14ac:dyDescent="0.2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Jaime\QUIFA-CAJÚA\Cajua\[VAS_CAJUA_CF_SEC_20230125.xlsx]CF PS'!</v>
      </c>
      <c r="G3760" s="6" t="s">
        <v>59</v>
      </c>
      <c r="H3760" s="1">
        <f t="shared" si="862"/>
        <v>70</v>
      </c>
      <c r="I3760" s="1" t="str">
        <f t="shared" si="863"/>
        <v>='C:\Users\jaime.benazar\Quorum Business Solutions\Ecopetrol Prometeo - Documents\Planning Space Implementation\3. Analysis &amp; Design\Design\FC22\DRR Jaime\QUIFA-CAJÚA\Cajua\[VAS_CAJUA_CF_SEC_20230125.xlsx]CF PS'!$BB$70</v>
      </c>
      <c r="J3760" s="1" t="s">
        <v>1791</v>
      </c>
    </row>
    <row r="3761" spans="1:10" x14ac:dyDescent="0.2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Jaime\QUIFA-CAJÚA\Cajua\[VAS_CAJUA_CF_SEC_20230125.xlsx]CF PS'!</v>
      </c>
      <c r="G3761" s="6" t="s">
        <v>59</v>
      </c>
      <c r="H3761" s="1">
        <f t="shared" si="862"/>
        <v>71</v>
      </c>
      <c r="I3761" s="1" t="str">
        <f t="shared" si="863"/>
        <v>='C:\Users\jaime.benazar\Quorum Business Solutions\Ecopetrol Prometeo - Documents\Planning Space Implementation\3. Analysis &amp; Design\Design\FC22\DRR Jaime\QUIFA-CAJÚA\Cajua\[VAS_CAJUA_CF_SEC_20230125.xlsx]CF PS'!$BB$71</v>
      </c>
      <c r="J3761" s="1" t="s">
        <v>1792</v>
      </c>
    </row>
    <row r="3762" spans="1:10" x14ac:dyDescent="0.2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Jaime\QUIFA-CAJÚA\Cajua\[VAS_CAJUA_CF_SEC_20230125.xlsx]CF PS'!</v>
      </c>
      <c r="G3762" s="6" t="s">
        <v>59</v>
      </c>
      <c r="H3762" s="1">
        <f t="shared" si="862"/>
        <v>72</v>
      </c>
      <c r="I3762" s="1" t="str">
        <f t="shared" si="863"/>
        <v>='C:\Users\jaime.benazar\Quorum Business Solutions\Ecopetrol Prometeo - Documents\Planning Space Implementation\3. Analysis &amp; Design\Design\FC22\DRR Jaime\QUIFA-CAJÚA\Cajua\[VAS_CAJUA_CF_SEC_20230125.xlsx]CF PS'!$BB$72</v>
      </c>
      <c r="J3762" s="1" t="s">
        <v>1793</v>
      </c>
    </row>
    <row r="3763" spans="1:10" x14ac:dyDescent="0.25">
      <c r="A3763" s="6" t="s">
        <v>28</v>
      </c>
      <c r="B3763" s="6"/>
      <c r="C3763" s="1" t="s">
        <v>49</v>
      </c>
      <c r="D3763" s="2"/>
      <c r="E3763" s="9"/>
      <c r="F3763" s="2"/>
      <c r="G3763" s="6"/>
      <c r="H3763" s="1"/>
      <c r="I3763" s="1"/>
      <c r="J3763" s="4"/>
    </row>
    <row r="3764" spans="1:10" x14ac:dyDescent="0.2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Jaime\QUIFA-CAJÚA\Cajua\[VAS_CAJUA_CF_SEC_20230125.xlsx]CF PDP'!</v>
      </c>
      <c r="G3764" s="6" t="s">
        <v>60</v>
      </c>
      <c r="H3764" s="1">
        <f>IF(A3764&lt;&gt;A3763,36,H3763+1)</f>
        <v>36</v>
      </c>
      <c r="I3764" s="1" t="str">
        <f>_xlfn.CONCAT("='",F3764:H3764)</f>
        <v>='C:\Users\jaime.benazar\Quorum Business Solutions\Ecopetrol Prometeo - Documents\Planning Space Implementation\3. Analysis &amp; Design\Design\FC22\DRR Jaime\QUIFA-CAJÚA\Cajua\[VAS_CAJUA_CF_SEC_20230125.xlsx]CF PDP'!$BY$36</v>
      </c>
      <c r="J3764" s="12" t="s">
        <v>1794</v>
      </c>
    </row>
    <row r="3765" spans="1:10" x14ac:dyDescent="0.2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Jaime\QUIFA-CAJÚA\Cajua\[VAS_CAJUA_CF_SEC_20230125.xlsx]CF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Jaime\QUIFA-CAJÚA\Cajua\[VAS_CAJUA_CF_SEC_20230125.xlsx]CF PDP'!$BY$37</v>
      </c>
      <c r="J3765" s="1" t="s">
        <v>1795</v>
      </c>
    </row>
    <row r="3766" spans="1:10" x14ac:dyDescent="0.2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Jaime\QUIFA-CAJÚA\Cajua\[VAS_CAJUA_CF_SEC_20230125.xlsx]CF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Jaime\QUIFA-CAJÚA\Cajua\[VAS_CAJUA_CF_SEC_20230125.xlsx]CF PDP'!$BY$38</v>
      </c>
      <c r="J3766" s="1" t="s">
        <v>1796</v>
      </c>
    </row>
    <row r="3767" spans="1:10" x14ac:dyDescent="0.2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Jaime\QUIFA-CAJÚA\Cajua\[VAS_CAJUA_CF_SEC_20230125.xlsx]CF PDP'!</v>
      </c>
      <c r="G3767" s="6" t="s">
        <v>60</v>
      </c>
      <c r="H3767" s="1">
        <f t="shared" si="869"/>
        <v>39</v>
      </c>
      <c r="I3767" s="1" t="str">
        <f t="shared" si="867"/>
        <v>='C:\Users\jaime.benazar\Quorum Business Solutions\Ecopetrol Prometeo - Documents\Planning Space Implementation\3. Analysis &amp; Design\Design\FC22\DRR Jaime\QUIFA-CAJÚA\Cajua\[VAS_CAJUA_CF_SEC_20230125.xlsx]CF PDP'!$BY$39</v>
      </c>
      <c r="J3767" s="1" t="s">
        <v>1797</v>
      </c>
    </row>
    <row r="3768" spans="1:10" x14ac:dyDescent="0.2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Jaime\QUIFA-CAJÚA\Cajua\[VAS_CAJUA_CF_SEC_20230125.xlsx]CF PDP'!</v>
      </c>
      <c r="G3768" s="6" t="s">
        <v>60</v>
      </c>
      <c r="H3768" s="1">
        <f t="shared" si="869"/>
        <v>40</v>
      </c>
      <c r="I3768" s="1" t="str">
        <f t="shared" si="867"/>
        <v>='C:\Users\jaime.benazar\Quorum Business Solutions\Ecopetrol Prometeo - Documents\Planning Space Implementation\3. Analysis &amp; Design\Design\FC22\DRR Jaime\QUIFA-CAJÚA\Cajua\[VAS_CAJUA_CF_SEC_20230125.xlsx]CF PDP'!$BY$40</v>
      </c>
      <c r="J3768" s="1" t="s">
        <v>1798</v>
      </c>
    </row>
    <row r="3769" spans="1:10" x14ac:dyDescent="0.2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Jaime\QUIFA-CAJÚA\Cajua\[VAS_CAJUA_CF_SEC_20230125.xlsx]CF PDP'!</v>
      </c>
      <c r="G3769" s="6" t="s">
        <v>60</v>
      </c>
      <c r="H3769" s="1">
        <f t="shared" si="869"/>
        <v>41</v>
      </c>
      <c r="I3769" s="1" t="str">
        <f t="shared" si="867"/>
        <v>='C:\Users\jaime.benazar\Quorum Business Solutions\Ecopetrol Prometeo - Documents\Planning Space Implementation\3. Analysis &amp; Design\Design\FC22\DRR Jaime\QUIFA-CAJÚA\Cajua\[VAS_CAJUA_CF_SEC_20230125.xlsx]CF PDP'!$BY$41</v>
      </c>
      <c r="J3769" s="1" t="s">
        <v>1799</v>
      </c>
    </row>
    <row r="3770" spans="1:10" x14ac:dyDescent="0.2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Jaime\QUIFA-CAJÚA\Cajua\[VAS_CAJUA_CF_SEC_20230125.xlsx]CF PDP'!</v>
      </c>
      <c r="G3770" s="6" t="s">
        <v>60</v>
      </c>
      <c r="H3770" s="1">
        <f t="shared" si="869"/>
        <v>42</v>
      </c>
      <c r="I3770" s="1" t="str">
        <f t="shared" si="867"/>
        <v>='C:\Users\jaime.benazar\Quorum Business Solutions\Ecopetrol Prometeo - Documents\Planning Space Implementation\3. Analysis &amp; Design\Design\FC22\DRR Jaime\QUIFA-CAJÚA\Cajua\[VAS_CAJUA_CF_SEC_20230125.xlsx]CF PDP'!$BY$42</v>
      </c>
      <c r="J3770" s="1" t="s">
        <v>1800</v>
      </c>
    </row>
    <row r="3771" spans="1:10" x14ac:dyDescent="0.2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Jaime\QUIFA-CAJÚA\Cajua\[VAS_CAJUA_CF_SEC_20230125.xlsx]CF PDP'!</v>
      </c>
      <c r="G3771" s="6" t="s">
        <v>60</v>
      </c>
      <c r="H3771" s="1">
        <f t="shared" si="869"/>
        <v>43</v>
      </c>
      <c r="I3771" s="1" t="str">
        <f t="shared" si="867"/>
        <v>='C:\Users\jaime.benazar\Quorum Business Solutions\Ecopetrol Prometeo - Documents\Planning Space Implementation\3. Analysis &amp; Design\Design\FC22\DRR Jaime\QUIFA-CAJÚA\Cajua\[VAS_CAJUA_CF_SEC_20230125.xlsx]CF PDP'!$BY$43</v>
      </c>
      <c r="J3771" s="1" t="s">
        <v>1801</v>
      </c>
    </row>
    <row r="3772" spans="1:10" x14ac:dyDescent="0.2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Jaime\QUIFA-CAJÚA\Cajua\[VAS_CAJUA_CF_SEC_20230125.xlsx]CF PDP'!</v>
      </c>
      <c r="G3772" s="6" t="s">
        <v>60</v>
      </c>
      <c r="H3772" s="1">
        <f t="shared" si="869"/>
        <v>44</v>
      </c>
      <c r="I3772" s="1" t="str">
        <f t="shared" si="867"/>
        <v>='C:\Users\jaime.benazar\Quorum Business Solutions\Ecopetrol Prometeo - Documents\Planning Space Implementation\3. Analysis &amp; Design\Design\FC22\DRR Jaime\QUIFA-CAJÚA\Cajua\[VAS_CAJUA_CF_SEC_20230125.xlsx]CF PDP'!$BY$44</v>
      </c>
      <c r="J3772" s="1" t="s">
        <v>1802</v>
      </c>
    </row>
    <row r="3773" spans="1:10" x14ac:dyDescent="0.2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Jaime\QUIFA-CAJÚA\Cajua\[VAS_CAJUA_CF_SEC_20230125.xlsx]CF PDP'!</v>
      </c>
      <c r="G3773" s="6" t="s">
        <v>60</v>
      </c>
      <c r="H3773" s="1">
        <f t="shared" si="869"/>
        <v>45</v>
      </c>
      <c r="I3773" s="1" t="str">
        <f t="shared" si="867"/>
        <v>='C:\Users\jaime.benazar\Quorum Business Solutions\Ecopetrol Prometeo - Documents\Planning Space Implementation\3. Analysis &amp; Design\Design\FC22\DRR Jaime\QUIFA-CAJÚA\Cajua\[VAS_CAJUA_CF_SEC_20230125.xlsx]CF PDP'!$BY$45</v>
      </c>
      <c r="J3773" s="1" t="s">
        <v>1803</v>
      </c>
    </row>
    <row r="3774" spans="1:10" x14ac:dyDescent="0.2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Jaime\QUIFA-CAJÚA\Cajua\[VAS_CAJUA_CF_SEC_20230125.xlsx]CF PDP'!</v>
      </c>
      <c r="G3774" s="6" t="s">
        <v>60</v>
      </c>
      <c r="H3774" s="1">
        <f t="shared" si="869"/>
        <v>46</v>
      </c>
      <c r="I3774" s="1" t="str">
        <f t="shared" si="867"/>
        <v>='C:\Users\jaime.benazar\Quorum Business Solutions\Ecopetrol Prometeo - Documents\Planning Space Implementation\3. Analysis &amp; Design\Design\FC22\DRR Jaime\QUIFA-CAJÚA\Cajua\[VAS_CAJUA_CF_SEC_20230125.xlsx]CF PDP'!$BY$46</v>
      </c>
      <c r="J3774" s="1" t="s">
        <v>1804</v>
      </c>
    </row>
    <row r="3775" spans="1:10" x14ac:dyDescent="0.2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Jaime\QUIFA-CAJÚA\Cajua\[VAS_CAJUA_CF_SEC_20230125.xlsx]CF PDP'!</v>
      </c>
      <c r="G3775" s="6" t="s">
        <v>60</v>
      </c>
      <c r="H3775" s="1">
        <f t="shared" si="869"/>
        <v>47</v>
      </c>
      <c r="I3775" s="1" t="str">
        <f t="shared" si="867"/>
        <v>='C:\Users\jaime.benazar\Quorum Business Solutions\Ecopetrol Prometeo - Documents\Planning Space Implementation\3. Analysis &amp; Design\Design\FC22\DRR Jaime\QUIFA-CAJÚA\Cajua\[VAS_CAJUA_CF_SEC_20230125.xlsx]CF PDP'!$BY$47</v>
      </c>
      <c r="J3775" s="1" t="s">
        <v>1805</v>
      </c>
    </row>
    <row r="3776" spans="1:10" x14ac:dyDescent="0.2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Jaime\QUIFA-CAJÚA\Cajua\[VAS_CAJUA_CF_SEC_20230125.xlsx]CF PDP'!</v>
      </c>
      <c r="G3776" s="6" t="s">
        <v>60</v>
      </c>
      <c r="H3776" s="1">
        <f t="shared" si="869"/>
        <v>48</v>
      </c>
      <c r="I3776" s="1" t="str">
        <f t="shared" si="867"/>
        <v>='C:\Users\jaime.benazar\Quorum Business Solutions\Ecopetrol Prometeo - Documents\Planning Space Implementation\3. Analysis &amp; Design\Design\FC22\DRR Jaime\QUIFA-CAJÚA\Cajua\[VAS_CAJUA_CF_SEC_20230125.xlsx]CF PDP'!$BY$48</v>
      </c>
      <c r="J3776" s="1" t="s">
        <v>1806</v>
      </c>
    </row>
    <row r="3777" spans="1:10" x14ac:dyDescent="0.2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Jaime\QUIFA-CAJÚA\Cajua\[VAS_CAJUA_CF_SEC_20230125.xlsx]CF PDP'!</v>
      </c>
      <c r="G3777" s="6" t="s">
        <v>60</v>
      </c>
      <c r="H3777" s="1">
        <f t="shared" si="869"/>
        <v>49</v>
      </c>
      <c r="I3777" s="1" t="str">
        <f t="shared" si="867"/>
        <v>='C:\Users\jaime.benazar\Quorum Business Solutions\Ecopetrol Prometeo - Documents\Planning Space Implementation\3. Analysis &amp; Design\Design\FC22\DRR Jaime\QUIFA-CAJÚA\Cajua\[VAS_CAJUA_CF_SEC_20230125.xlsx]CF PDP'!$BY$49</v>
      </c>
      <c r="J3777" s="1" t="s">
        <v>1807</v>
      </c>
    </row>
    <row r="3778" spans="1:10" x14ac:dyDescent="0.2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Jaime\QUIFA-CAJÚA\Cajua\[VAS_CAJUA_CF_SEC_20230125.xlsx]CF PDP'!</v>
      </c>
      <c r="G3778" s="6" t="s">
        <v>60</v>
      </c>
      <c r="H3778" s="1">
        <f t="shared" si="869"/>
        <v>50</v>
      </c>
      <c r="I3778" s="1" t="str">
        <f t="shared" si="867"/>
        <v>='C:\Users\jaime.benazar\Quorum Business Solutions\Ecopetrol Prometeo - Documents\Planning Space Implementation\3. Analysis &amp; Design\Design\FC22\DRR Jaime\QUIFA-CAJÚA\Cajua\[VAS_CAJUA_CF_SEC_20230125.xlsx]CF PDP'!$BY$50</v>
      </c>
      <c r="J3778" s="1" t="s">
        <v>1808</v>
      </c>
    </row>
    <row r="3779" spans="1:10" x14ac:dyDescent="0.2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Jaime\QUIFA-CAJÚA\Cajua\[VAS_CAJUA_CF_SEC_20230125.xlsx]CF PDP'!</v>
      </c>
      <c r="G3779" s="6" t="s">
        <v>60</v>
      </c>
      <c r="H3779" s="1">
        <f t="shared" si="869"/>
        <v>51</v>
      </c>
      <c r="I3779" s="1" t="str">
        <f t="shared" si="867"/>
        <v>='C:\Users\jaime.benazar\Quorum Business Solutions\Ecopetrol Prometeo - Documents\Planning Space Implementation\3. Analysis &amp; Design\Design\FC22\DRR Jaime\QUIFA-CAJÚA\Cajua\[VAS_CAJUA_CF_SEC_20230125.xlsx]CF PDP'!$BY$51</v>
      </c>
      <c r="J3779" s="1" t="s">
        <v>1809</v>
      </c>
    </row>
    <row r="3780" spans="1:10" x14ac:dyDescent="0.2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Jaime\QUIFA-CAJÚA\Cajua\[VAS_CAJUA_CF_SEC_20230125.xlsx]CF PDP'!</v>
      </c>
      <c r="G3780" s="6" t="s">
        <v>60</v>
      </c>
      <c r="H3780" s="1">
        <f t="shared" si="869"/>
        <v>52</v>
      </c>
      <c r="I3780" s="1" t="str">
        <f t="shared" si="867"/>
        <v>='C:\Users\jaime.benazar\Quorum Business Solutions\Ecopetrol Prometeo - Documents\Planning Space Implementation\3. Analysis &amp; Design\Design\FC22\DRR Jaime\QUIFA-CAJÚA\Cajua\[VAS_CAJUA_CF_SEC_20230125.xlsx]CF PDP'!$BY$52</v>
      </c>
      <c r="J3780" s="1" t="s">
        <v>1810</v>
      </c>
    </row>
    <row r="3781" spans="1:10" x14ac:dyDescent="0.2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Jaime\QUIFA-CAJÚA\Cajua\[VAS_CAJUA_CF_SEC_20230125.xlsx]CF PDP'!</v>
      </c>
      <c r="G3781" s="6" t="s">
        <v>60</v>
      </c>
      <c r="H3781" s="1">
        <f t="shared" si="869"/>
        <v>53</v>
      </c>
      <c r="I3781" s="1" t="str">
        <f t="shared" si="867"/>
        <v>='C:\Users\jaime.benazar\Quorum Business Solutions\Ecopetrol Prometeo - Documents\Planning Space Implementation\3. Analysis &amp; Design\Design\FC22\DRR Jaime\QUIFA-CAJÚA\Cajua\[VAS_CAJUA_CF_SEC_20230125.xlsx]CF PDP'!$BY$53</v>
      </c>
      <c r="J3781" s="1" t="s">
        <v>1811</v>
      </c>
    </row>
    <row r="3782" spans="1:10" x14ac:dyDescent="0.2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Jaime\QUIFA-CAJÚA\Cajua\[VAS_CAJUA_CF_SEC_20230125.xlsx]CF PDP'!</v>
      </c>
      <c r="G3782" s="6" t="s">
        <v>60</v>
      </c>
      <c r="H3782" s="1">
        <f t="shared" si="869"/>
        <v>54</v>
      </c>
      <c r="I3782" s="1" t="str">
        <f t="shared" si="867"/>
        <v>='C:\Users\jaime.benazar\Quorum Business Solutions\Ecopetrol Prometeo - Documents\Planning Space Implementation\3. Analysis &amp; Design\Design\FC22\DRR Jaime\QUIFA-CAJÚA\Cajua\[VAS_CAJUA_CF_SEC_20230125.xlsx]CF PDP'!$BY$54</v>
      </c>
      <c r="J3782" s="1" t="s">
        <v>1812</v>
      </c>
    </row>
    <row r="3783" spans="1:10" x14ac:dyDescent="0.2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Jaime\QUIFA-CAJÚA\Cajua\[VAS_CAJUA_CF_SEC_20230125.xlsx]CF PDP'!</v>
      </c>
      <c r="G3783" s="6" t="s">
        <v>60</v>
      </c>
      <c r="H3783" s="1">
        <f t="shared" si="869"/>
        <v>55</v>
      </c>
      <c r="I3783" s="1" t="str">
        <f t="shared" si="867"/>
        <v>='C:\Users\jaime.benazar\Quorum Business Solutions\Ecopetrol Prometeo - Documents\Planning Space Implementation\3. Analysis &amp; Design\Design\FC22\DRR Jaime\QUIFA-CAJÚA\Cajua\[VAS_CAJUA_CF_SEC_20230125.xlsx]CF PDP'!$BY$55</v>
      </c>
      <c r="J3783" s="1" t="s">
        <v>1813</v>
      </c>
    </row>
    <row r="3784" spans="1:10" x14ac:dyDescent="0.2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Jaime\QUIFA-CAJÚA\Cajua\[VAS_CAJUA_CF_SEC_20230125.xlsx]CF PDP'!</v>
      </c>
      <c r="G3784" s="6" t="s">
        <v>60</v>
      </c>
      <c r="H3784" s="1">
        <f t="shared" si="869"/>
        <v>56</v>
      </c>
      <c r="I3784" s="1" t="str">
        <f t="shared" si="867"/>
        <v>='C:\Users\jaime.benazar\Quorum Business Solutions\Ecopetrol Prometeo - Documents\Planning Space Implementation\3. Analysis &amp; Design\Design\FC22\DRR Jaime\QUIFA-CAJÚA\Cajua\[VAS_CAJUA_CF_SEC_20230125.xlsx]CF PDP'!$BY$56</v>
      </c>
      <c r="J3784" s="1" t="s">
        <v>1814</v>
      </c>
    </row>
    <row r="3785" spans="1:10" x14ac:dyDescent="0.2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Jaime\QUIFA-CAJÚA\Cajua\[VAS_CAJUA_CF_SEC_20230125.xlsx]CF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Jaime\QUIFA-CAJÚA\Cajua\[VAS_CAJUA_CF_SEC_20230125.xlsx]CF PDP'!$BY$57</v>
      </c>
      <c r="J3785" s="1" t="s">
        <v>1815</v>
      </c>
    </row>
    <row r="3786" spans="1:10" x14ac:dyDescent="0.2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Jaime\QUIFA-CAJÚA\Cajua\[VAS_CAJUA_CF_SEC_20230125.xlsx]CF PDP'!</v>
      </c>
      <c r="G3786" s="6" t="s">
        <v>60</v>
      </c>
      <c r="H3786" s="1">
        <f t="shared" si="872"/>
        <v>58</v>
      </c>
      <c r="I3786" s="1" t="str">
        <f t="shared" si="873"/>
        <v>='C:\Users\jaime.benazar\Quorum Business Solutions\Ecopetrol Prometeo - Documents\Planning Space Implementation\3. Analysis &amp; Design\Design\FC22\DRR Jaime\QUIFA-CAJÚA\Cajua\[VAS_CAJUA_CF_SEC_20230125.xlsx]CF PDP'!$BY$58</v>
      </c>
      <c r="J3786" s="1" t="s">
        <v>1816</v>
      </c>
    </row>
    <row r="3787" spans="1:10" x14ac:dyDescent="0.2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Jaime\QUIFA-CAJÚA\Cajua\[VAS_CAJUA_CF_SEC_20230125.xlsx]CF PDP'!</v>
      </c>
      <c r="G3787" s="6" t="s">
        <v>60</v>
      </c>
      <c r="H3787" s="1">
        <f t="shared" si="872"/>
        <v>59</v>
      </c>
      <c r="I3787" s="1" t="str">
        <f t="shared" si="873"/>
        <v>='C:\Users\jaime.benazar\Quorum Business Solutions\Ecopetrol Prometeo - Documents\Planning Space Implementation\3. Analysis &amp; Design\Design\FC22\DRR Jaime\QUIFA-CAJÚA\Cajua\[VAS_CAJUA_CF_SEC_20230125.xlsx]CF PDP'!$BY$59</v>
      </c>
      <c r="J3787" s="1" t="s">
        <v>1817</v>
      </c>
    </row>
    <row r="3788" spans="1:10" x14ac:dyDescent="0.2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Jaime\QUIFA-CAJÚA\Cajua\[VAS_CAJUA_CF_SEC_20230125.xlsx]CF PDP'!</v>
      </c>
      <c r="G3788" s="6" t="s">
        <v>60</v>
      </c>
      <c r="H3788" s="1">
        <f t="shared" si="872"/>
        <v>60</v>
      </c>
      <c r="I3788" s="1" t="str">
        <f t="shared" si="873"/>
        <v>='C:\Users\jaime.benazar\Quorum Business Solutions\Ecopetrol Prometeo - Documents\Planning Space Implementation\3. Analysis &amp; Design\Design\FC22\DRR Jaime\QUIFA-CAJÚA\Cajua\[VAS_CAJUA_CF_SEC_20230125.xlsx]CF PDP'!$BY$60</v>
      </c>
      <c r="J3788" s="1" t="s">
        <v>1818</v>
      </c>
    </row>
    <row r="3789" spans="1:10" x14ac:dyDescent="0.2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Jaime\QUIFA-CAJÚA\Cajua\[VAS_CAJUA_CF_SEC_20230125.xlsx]CF PDP'!</v>
      </c>
      <c r="G3789" s="6" t="s">
        <v>60</v>
      </c>
      <c r="H3789" s="1">
        <f t="shared" si="872"/>
        <v>61</v>
      </c>
      <c r="I3789" s="1" t="str">
        <f t="shared" si="873"/>
        <v>='C:\Users\jaime.benazar\Quorum Business Solutions\Ecopetrol Prometeo - Documents\Planning Space Implementation\3. Analysis &amp; Design\Design\FC22\DRR Jaime\QUIFA-CAJÚA\Cajua\[VAS_CAJUA_CF_SEC_20230125.xlsx]CF PDP'!$BY$61</v>
      </c>
      <c r="J3789" s="1" t="s">
        <v>1819</v>
      </c>
    </row>
    <row r="3790" spans="1:10" x14ac:dyDescent="0.2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Jaime\QUIFA-CAJÚA\Cajua\[VAS_CAJUA_CF_SEC_20230125.xlsx]CF PDP'!</v>
      </c>
      <c r="G3790" s="6" t="s">
        <v>60</v>
      </c>
      <c r="H3790" s="1">
        <f t="shared" si="872"/>
        <v>62</v>
      </c>
      <c r="I3790" s="1" t="str">
        <f t="shared" si="873"/>
        <v>='C:\Users\jaime.benazar\Quorum Business Solutions\Ecopetrol Prometeo - Documents\Planning Space Implementation\3. Analysis &amp; Design\Design\FC22\DRR Jaime\QUIFA-CAJÚA\Cajua\[VAS_CAJUA_CF_SEC_20230125.xlsx]CF PDP'!$BY$62</v>
      </c>
      <c r="J3790" s="1" t="s">
        <v>1820</v>
      </c>
    </row>
    <row r="3791" spans="1:10" x14ac:dyDescent="0.2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Jaime\QUIFA-CAJÚA\Cajua\[VAS_CAJUA_CF_SEC_20230125.xlsx]CF PDP'!</v>
      </c>
      <c r="G3791" s="6" t="s">
        <v>60</v>
      </c>
      <c r="H3791" s="1">
        <f t="shared" si="872"/>
        <v>63</v>
      </c>
      <c r="I3791" s="1" t="str">
        <f t="shared" si="873"/>
        <v>='C:\Users\jaime.benazar\Quorum Business Solutions\Ecopetrol Prometeo - Documents\Planning Space Implementation\3. Analysis &amp; Design\Design\FC22\DRR Jaime\QUIFA-CAJÚA\Cajua\[VAS_CAJUA_CF_SEC_20230125.xlsx]CF PDP'!$BY$63</v>
      </c>
      <c r="J3791" s="1" t="s">
        <v>1821</v>
      </c>
    </row>
    <row r="3792" spans="1:10" x14ac:dyDescent="0.2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Jaime\QUIFA-CAJÚA\Cajua\[VAS_CAJUA_CF_SEC_20230125.xlsx]CF PDP'!</v>
      </c>
      <c r="G3792" s="6" t="s">
        <v>60</v>
      </c>
      <c r="H3792" s="1">
        <f t="shared" si="872"/>
        <v>64</v>
      </c>
      <c r="I3792" s="1" t="str">
        <f t="shared" si="873"/>
        <v>='C:\Users\jaime.benazar\Quorum Business Solutions\Ecopetrol Prometeo - Documents\Planning Space Implementation\3. Analysis &amp; Design\Design\FC22\DRR Jaime\QUIFA-CAJÚA\Cajua\[VAS_CAJUA_CF_SEC_20230125.xlsx]CF PDP'!$BY$64</v>
      </c>
      <c r="J3792" s="1" t="s">
        <v>1822</v>
      </c>
    </row>
    <row r="3793" spans="1:10" x14ac:dyDescent="0.2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Jaime\QUIFA-CAJÚA\Cajua\[VAS_CAJUA_CF_SEC_20230125.xlsx]CF PDP'!</v>
      </c>
      <c r="G3793" s="6" t="s">
        <v>60</v>
      </c>
      <c r="H3793" s="1">
        <f t="shared" si="872"/>
        <v>65</v>
      </c>
      <c r="I3793" s="1" t="str">
        <f t="shared" si="873"/>
        <v>='C:\Users\jaime.benazar\Quorum Business Solutions\Ecopetrol Prometeo - Documents\Planning Space Implementation\3. Analysis &amp; Design\Design\FC22\DRR Jaime\QUIFA-CAJÚA\Cajua\[VAS_CAJUA_CF_SEC_20230125.xlsx]CF PDP'!$BY$65</v>
      </c>
      <c r="J3793" s="1" t="s">
        <v>1823</v>
      </c>
    </row>
    <row r="3794" spans="1:10" x14ac:dyDescent="0.2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Jaime\QUIFA-CAJÚA\Cajua\[VAS_CAJUA_CF_SEC_20230125.xlsx]CF PDP'!</v>
      </c>
      <c r="G3794" s="6" t="s">
        <v>60</v>
      </c>
      <c r="H3794" s="1">
        <f t="shared" si="872"/>
        <v>66</v>
      </c>
      <c r="I3794" s="1" t="str">
        <f t="shared" si="873"/>
        <v>='C:\Users\jaime.benazar\Quorum Business Solutions\Ecopetrol Prometeo - Documents\Planning Space Implementation\3. Analysis &amp; Design\Design\FC22\DRR Jaime\QUIFA-CAJÚA\Cajua\[VAS_CAJUA_CF_SEC_20230125.xlsx]CF PDP'!$BY$66</v>
      </c>
      <c r="J3794" s="1" t="s">
        <v>1824</v>
      </c>
    </row>
    <row r="3795" spans="1:10" x14ac:dyDescent="0.2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Jaime\QUIFA-CAJÚA\Cajua\[VAS_CAJUA_CF_SEC_20230125.xlsx]CF PDP'!</v>
      </c>
      <c r="G3795" s="6" t="s">
        <v>60</v>
      </c>
      <c r="H3795" s="1">
        <f t="shared" si="872"/>
        <v>67</v>
      </c>
      <c r="I3795" s="1" t="str">
        <f t="shared" si="873"/>
        <v>='C:\Users\jaime.benazar\Quorum Business Solutions\Ecopetrol Prometeo - Documents\Planning Space Implementation\3. Analysis &amp; Design\Design\FC22\DRR Jaime\QUIFA-CAJÚA\Cajua\[VAS_CAJUA_CF_SEC_20230125.xlsx]CF PDP'!$BY$67</v>
      </c>
      <c r="J3795" s="1" t="s">
        <v>1825</v>
      </c>
    </row>
    <row r="3796" spans="1:10" x14ac:dyDescent="0.2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Jaime\QUIFA-CAJÚA\Cajua\[VAS_CAJUA_CF_SEC_20230125.xlsx]CF PDP'!</v>
      </c>
      <c r="G3796" s="6" t="s">
        <v>60</v>
      </c>
      <c r="H3796" s="1">
        <f t="shared" si="872"/>
        <v>68</v>
      </c>
      <c r="I3796" s="1" t="str">
        <f t="shared" si="873"/>
        <v>='C:\Users\jaime.benazar\Quorum Business Solutions\Ecopetrol Prometeo - Documents\Planning Space Implementation\3. Analysis &amp; Design\Design\FC22\DRR Jaime\QUIFA-CAJÚA\Cajua\[VAS_CAJUA_CF_SEC_20230125.xlsx]CF PDP'!$BY$68</v>
      </c>
      <c r="J3796" s="1" t="s">
        <v>1826</v>
      </c>
    </row>
    <row r="3797" spans="1:10" x14ac:dyDescent="0.2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Jaime\QUIFA-CAJÚA\Cajua\[VAS_CAJUA_CF_SEC_20230125.xlsx]CF PDP'!</v>
      </c>
      <c r="G3797" s="6" t="s">
        <v>60</v>
      </c>
      <c r="H3797" s="1">
        <f t="shared" si="872"/>
        <v>69</v>
      </c>
      <c r="I3797" s="1" t="str">
        <f t="shared" si="873"/>
        <v>='C:\Users\jaime.benazar\Quorum Business Solutions\Ecopetrol Prometeo - Documents\Planning Space Implementation\3. Analysis &amp; Design\Design\FC22\DRR Jaime\QUIFA-CAJÚA\Cajua\[VAS_CAJUA_CF_SEC_20230125.xlsx]CF PDP'!$BY$69</v>
      </c>
      <c r="J3797" s="1" t="s">
        <v>1827</v>
      </c>
    </row>
    <row r="3798" spans="1:10" x14ac:dyDescent="0.2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Jaime\QUIFA-CAJÚA\Cajua\[VAS_CAJUA_CF_SEC_20230125.xlsx]CF PDP'!</v>
      </c>
      <c r="G3798" s="6" t="s">
        <v>60</v>
      </c>
      <c r="H3798" s="1">
        <f t="shared" si="872"/>
        <v>70</v>
      </c>
      <c r="I3798" s="1" t="str">
        <f t="shared" si="873"/>
        <v>='C:\Users\jaime.benazar\Quorum Business Solutions\Ecopetrol Prometeo - Documents\Planning Space Implementation\3. Analysis &amp; Design\Design\FC22\DRR Jaime\QUIFA-CAJÚA\Cajua\[VAS_CAJUA_CF_SEC_20230125.xlsx]CF PDP'!$BY$70</v>
      </c>
      <c r="J3798" s="1" t="s">
        <v>1828</v>
      </c>
    </row>
    <row r="3799" spans="1:10" x14ac:dyDescent="0.2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Jaime\QUIFA-CAJÚA\Cajua\[VAS_CAJUA_CF_SEC_20230125.xlsx]CF PDP'!</v>
      </c>
      <c r="G3799" s="6" t="s">
        <v>60</v>
      </c>
      <c r="H3799" s="1">
        <f t="shared" si="872"/>
        <v>71</v>
      </c>
      <c r="I3799" s="1" t="str">
        <f t="shared" si="873"/>
        <v>='C:\Users\jaime.benazar\Quorum Business Solutions\Ecopetrol Prometeo - Documents\Planning Space Implementation\3. Analysis &amp; Design\Design\FC22\DRR Jaime\QUIFA-CAJÚA\Cajua\[VAS_CAJUA_CF_SEC_20230125.xlsx]CF PDP'!$BY$71</v>
      </c>
      <c r="J3799" s="1" t="s">
        <v>1829</v>
      </c>
    </row>
    <row r="3800" spans="1:10" x14ac:dyDescent="0.2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Jaime\QUIFA-CAJÚA\Cajua\[VAS_CAJUA_CF_SEC_20230125.xlsx]CF PDP'!</v>
      </c>
      <c r="G3800" s="6" t="s">
        <v>60</v>
      </c>
      <c r="H3800" s="1">
        <f t="shared" si="872"/>
        <v>72</v>
      </c>
      <c r="I3800" s="1" t="str">
        <f t="shared" si="873"/>
        <v>='C:\Users\jaime.benazar\Quorum Business Solutions\Ecopetrol Prometeo - Documents\Planning Space Implementation\3. Analysis &amp; Design\Design\FC22\DRR Jaime\QUIFA-CAJÚA\Cajua\[VAS_CAJUA_CF_SEC_20230125.xlsx]CF PDP'!$BY$72</v>
      </c>
      <c r="J3800" s="1" t="s">
        <v>1830</v>
      </c>
    </row>
    <row r="3801" spans="1:10" x14ac:dyDescent="0.25">
      <c r="A3801" s="6" t="s">
        <v>28</v>
      </c>
      <c r="B3801" s="6"/>
      <c r="C3801" s="1" t="s">
        <v>109</v>
      </c>
      <c r="D3801" s="2"/>
      <c r="E3801" s="9" t="str">
        <f t="shared" si="866"/>
        <v>Total'!</v>
      </c>
      <c r="F3801" s="2"/>
      <c r="G3801" s="6"/>
      <c r="H3801" s="1"/>
      <c r="I3801" s="1"/>
      <c r="J3801" s="4"/>
    </row>
    <row r="3802" spans="1:10" x14ac:dyDescent="0.2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Jaime\QUIFA-CAJÚA\Cajua\[VAS_CAJUA_CF_SEC_20230125.xlsx]CF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Jaime\QUIFA-CAJÚA\Cajua\[VAS_CAJUA_CF_SEC_20230125.xlsx]CF PNP'!$BY$36</v>
      </c>
      <c r="J3802" s="1" t="s">
        <v>1831</v>
      </c>
    </row>
    <row r="3803" spans="1:10" x14ac:dyDescent="0.2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Jaime\QUIFA-CAJÚA\Cajua\[VAS_CAJUA_CF_SEC_20230125.xlsx]CF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Jaime\QUIFA-CAJÚA\Cajua\[VAS_CAJUA_CF_SEC_20230125.xlsx]CF PNP'!$BY$37</v>
      </c>
      <c r="J3803" s="1" t="s">
        <v>1832</v>
      </c>
    </row>
    <row r="3804" spans="1:10" x14ac:dyDescent="0.2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Jaime\QUIFA-CAJÚA\Cajua\[VAS_CAJUA_CF_SEC_20230125.xlsx]CF PNP'!</v>
      </c>
      <c r="G3804" s="6" t="s">
        <v>60</v>
      </c>
      <c r="H3804" s="1">
        <f t="shared" si="876"/>
        <v>38</v>
      </c>
      <c r="I3804" s="1" t="str">
        <f t="shared" si="875"/>
        <v>='C:\Users\jaime.benazar\Quorum Business Solutions\Ecopetrol Prometeo - Documents\Planning Space Implementation\3. Analysis &amp; Design\Design\FC22\DRR Jaime\QUIFA-CAJÚA\Cajua\[VAS_CAJUA_CF_SEC_20230125.xlsx]CF PNP'!$BY$38</v>
      </c>
      <c r="J3804" s="1" t="s">
        <v>1833</v>
      </c>
    </row>
    <row r="3805" spans="1:10" x14ac:dyDescent="0.2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Jaime\QUIFA-CAJÚA\Cajua\[VAS_CAJUA_CF_SEC_20230125.xlsx]CF PNP'!</v>
      </c>
      <c r="G3805" s="6" t="s">
        <v>60</v>
      </c>
      <c r="H3805" s="1">
        <f t="shared" si="876"/>
        <v>39</v>
      </c>
      <c r="I3805" s="1" t="str">
        <f t="shared" si="875"/>
        <v>='C:\Users\jaime.benazar\Quorum Business Solutions\Ecopetrol Prometeo - Documents\Planning Space Implementation\3. Analysis &amp; Design\Design\FC22\DRR Jaime\QUIFA-CAJÚA\Cajua\[VAS_CAJUA_CF_SEC_20230125.xlsx]CF PNP'!$BY$39</v>
      </c>
      <c r="J3805" s="1" t="s">
        <v>1834</v>
      </c>
    </row>
    <row r="3806" spans="1:10" x14ac:dyDescent="0.2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Jaime\QUIFA-CAJÚA\Cajua\[VAS_CAJUA_CF_SEC_20230125.xlsx]CF PNP'!</v>
      </c>
      <c r="G3806" s="6" t="s">
        <v>60</v>
      </c>
      <c r="H3806" s="1">
        <f t="shared" si="876"/>
        <v>40</v>
      </c>
      <c r="I3806" s="1" t="str">
        <f t="shared" si="875"/>
        <v>='C:\Users\jaime.benazar\Quorum Business Solutions\Ecopetrol Prometeo - Documents\Planning Space Implementation\3. Analysis &amp; Design\Design\FC22\DRR Jaime\QUIFA-CAJÚA\Cajua\[VAS_CAJUA_CF_SEC_20230125.xlsx]CF PNP'!$BY$40</v>
      </c>
      <c r="J3806" s="1" t="s">
        <v>1835</v>
      </c>
    </row>
    <row r="3807" spans="1:10" x14ac:dyDescent="0.2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Jaime\QUIFA-CAJÚA\Cajua\[VAS_CAJUA_CF_SEC_20230125.xlsx]CF PNP'!</v>
      </c>
      <c r="G3807" s="6" t="s">
        <v>60</v>
      </c>
      <c r="H3807" s="1">
        <f t="shared" si="876"/>
        <v>41</v>
      </c>
      <c r="I3807" s="1" t="str">
        <f t="shared" si="875"/>
        <v>='C:\Users\jaime.benazar\Quorum Business Solutions\Ecopetrol Prometeo - Documents\Planning Space Implementation\3. Analysis &amp; Design\Design\FC22\DRR Jaime\QUIFA-CAJÚA\Cajua\[VAS_CAJUA_CF_SEC_20230125.xlsx]CF PNP'!$BY$41</v>
      </c>
      <c r="J3807" s="1" t="s">
        <v>1836</v>
      </c>
    </row>
    <row r="3808" spans="1:10" x14ac:dyDescent="0.2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Jaime\QUIFA-CAJÚA\Cajua\[VAS_CAJUA_CF_SEC_20230125.xlsx]CF PNP'!</v>
      </c>
      <c r="G3808" s="6" t="s">
        <v>60</v>
      </c>
      <c r="H3808" s="1">
        <f t="shared" si="876"/>
        <v>42</v>
      </c>
      <c r="I3808" s="1" t="str">
        <f t="shared" si="875"/>
        <v>='C:\Users\jaime.benazar\Quorum Business Solutions\Ecopetrol Prometeo - Documents\Planning Space Implementation\3. Analysis &amp; Design\Design\FC22\DRR Jaime\QUIFA-CAJÚA\Cajua\[VAS_CAJUA_CF_SEC_20230125.xlsx]CF PNP'!$BY$42</v>
      </c>
      <c r="J3808" s="1" t="s">
        <v>1837</v>
      </c>
    </row>
    <row r="3809" spans="1:10" x14ac:dyDescent="0.2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Jaime\QUIFA-CAJÚA\Cajua\[VAS_CAJUA_CF_SEC_20230125.xlsx]CF PNP'!</v>
      </c>
      <c r="G3809" s="6" t="s">
        <v>60</v>
      </c>
      <c r="H3809" s="1">
        <f t="shared" si="876"/>
        <v>43</v>
      </c>
      <c r="I3809" s="1" t="str">
        <f t="shared" si="875"/>
        <v>='C:\Users\jaime.benazar\Quorum Business Solutions\Ecopetrol Prometeo - Documents\Planning Space Implementation\3. Analysis &amp; Design\Design\FC22\DRR Jaime\QUIFA-CAJÚA\Cajua\[VAS_CAJUA_CF_SEC_20230125.xlsx]CF PNP'!$BY$43</v>
      </c>
      <c r="J3809" s="1" t="s">
        <v>1838</v>
      </c>
    </row>
    <row r="3810" spans="1:10" x14ac:dyDescent="0.2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Jaime\QUIFA-CAJÚA\Cajua\[VAS_CAJUA_CF_SEC_20230125.xlsx]CF PNP'!</v>
      </c>
      <c r="G3810" s="6" t="s">
        <v>60</v>
      </c>
      <c r="H3810" s="1">
        <f t="shared" si="876"/>
        <v>44</v>
      </c>
      <c r="I3810" s="1" t="str">
        <f t="shared" si="875"/>
        <v>='C:\Users\jaime.benazar\Quorum Business Solutions\Ecopetrol Prometeo - Documents\Planning Space Implementation\3. Analysis &amp; Design\Design\FC22\DRR Jaime\QUIFA-CAJÚA\Cajua\[VAS_CAJUA_CF_SEC_20230125.xlsx]CF PNP'!$BY$44</v>
      </c>
      <c r="J3810" s="1" t="s">
        <v>1839</v>
      </c>
    </row>
    <row r="3811" spans="1:10" x14ac:dyDescent="0.2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Jaime\QUIFA-CAJÚA\Cajua\[VAS_CAJUA_CF_SEC_20230125.xlsx]CF PNP'!</v>
      </c>
      <c r="G3811" s="6" t="s">
        <v>60</v>
      </c>
      <c r="H3811" s="1">
        <f t="shared" si="876"/>
        <v>45</v>
      </c>
      <c r="I3811" s="1" t="str">
        <f t="shared" si="875"/>
        <v>='C:\Users\jaime.benazar\Quorum Business Solutions\Ecopetrol Prometeo - Documents\Planning Space Implementation\3. Analysis &amp; Design\Design\FC22\DRR Jaime\QUIFA-CAJÚA\Cajua\[VAS_CAJUA_CF_SEC_20230125.xlsx]CF PNP'!$BY$45</v>
      </c>
      <c r="J3811" s="1" t="s">
        <v>1840</v>
      </c>
    </row>
    <row r="3812" spans="1:10" x14ac:dyDescent="0.2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Jaime\QUIFA-CAJÚA\Cajua\[VAS_CAJUA_CF_SEC_20230125.xlsx]CF PNP'!</v>
      </c>
      <c r="G3812" s="6" t="s">
        <v>60</v>
      </c>
      <c r="H3812" s="1">
        <f t="shared" si="876"/>
        <v>46</v>
      </c>
      <c r="I3812" s="1" t="str">
        <f t="shared" si="875"/>
        <v>='C:\Users\jaime.benazar\Quorum Business Solutions\Ecopetrol Prometeo - Documents\Planning Space Implementation\3. Analysis &amp; Design\Design\FC22\DRR Jaime\QUIFA-CAJÚA\Cajua\[VAS_CAJUA_CF_SEC_20230125.xlsx]CF PNP'!$BY$46</v>
      </c>
      <c r="J3812" s="1" t="s">
        <v>1841</v>
      </c>
    </row>
    <row r="3813" spans="1:10" x14ac:dyDescent="0.2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Jaime\QUIFA-CAJÚA\Cajua\[VAS_CAJUA_CF_SEC_20230125.xlsx]CF PNP'!</v>
      </c>
      <c r="G3813" s="6" t="s">
        <v>60</v>
      </c>
      <c r="H3813" s="1">
        <f t="shared" si="876"/>
        <v>47</v>
      </c>
      <c r="I3813" s="1" t="str">
        <f t="shared" si="875"/>
        <v>='C:\Users\jaime.benazar\Quorum Business Solutions\Ecopetrol Prometeo - Documents\Planning Space Implementation\3. Analysis &amp; Design\Design\FC22\DRR Jaime\QUIFA-CAJÚA\Cajua\[VAS_CAJUA_CF_SEC_20230125.xlsx]CF PNP'!$BY$47</v>
      </c>
      <c r="J3813" s="1" t="s">
        <v>1842</v>
      </c>
    </row>
    <row r="3814" spans="1:10" x14ac:dyDescent="0.2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Jaime\QUIFA-CAJÚA\Cajua\[VAS_CAJUA_CF_SEC_20230125.xlsx]CF PNP'!</v>
      </c>
      <c r="G3814" s="6" t="s">
        <v>60</v>
      </c>
      <c r="H3814" s="1">
        <f t="shared" si="876"/>
        <v>48</v>
      </c>
      <c r="I3814" s="1" t="str">
        <f t="shared" si="875"/>
        <v>='C:\Users\jaime.benazar\Quorum Business Solutions\Ecopetrol Prometeo - Documents\Planning Space Implementation\3. Analysis &amp; Design\Design\FC22\DRR Jaime\QUIFA-CAJÚA\Cajua\[VAS_CAJUA_CF_SEC_20230125.xlsx]CF PNP'!$BY$48</v>
      </c>
      <c r="J3814" s="1" t="s">
        <v>1843</v>
      </c>
    </row>
    <row r="3815" spans="1:10" x14ac:dyDescent="0.2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Jaime\QUIFA-CAJÚA\Cajua\[VAS_CAJUA_CF_SEC_20230125.xlsx]CF PNP'!</v>
      </c>
      <c r="G3815" s="6" t="s">
        <v>60</v>
      </c>
      <c r="H3815" s="1">
        <f t="shared" si="876"/>
        <v>49</v>
      </c>
      <c r="I3815" s="1" t="str">
        <f t="shared" si="875"/>
        <v>='C:\Users\jaime.benazar\Quorum Business Solutions\Ecopetrol Prometeo - Documents\Planning Space Implementation\3. Analysis &amp; Design\Design\FC22\DRR Jaime\QUIFA-CAJÚA\Cajua\[VAS_CAJUA_CF_SEC_20230125.xlsx]CF PNP'!$BY$49</v>
      </c>
      <c r="J3815" s="1" t="s">
        <v>1844</v>
      </c>
    </row>
    <row r="3816" spans="1:10" x14ac:dyDescent="0.2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Jaime\QUIFA-CAJÚA\Cajua\[VAS_CAJUA_CF_SEC_20230125.xlsx]CF PNP'!</v>
      </c>
      <c r="G3816" s="6" t="s">
        <v>60</v>
      </c>
      <c r="H3816" s="1">
        <f t="shared" si="876"/>
        <v>50</v>
      </c>
      <c r="I3816" s="1" t="str">
        <f t="shared" si="875"/>
        <v>='C:\Users\jaime.benazar\Quorum Business Solutions\Ecopetrol Prometeo - Documents\Planning Space Implementation\3. Analysis &amp; Design\Design\FC22\DRR Jaime\QUIFA-CAJÚA\Cajua\[VAS_CAJUA_CF_SEC_20230125.xlsx]CF PNP'!$BY$50</v>
      </c>
      <c r="J3816" s="1" t="s">
        <v>1845</v>
      </c>
    </row>
    <row r="3817" spans="1:10" x14ac:dyDescent="0.2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Jaime\QUIFA-CAJÚA\Cajua\[VAS_CAJUA_CF_SEC_20230125.xlsx]CF PNP'!</v>
      </c>
      <c r="G3817" s="6" t="s">
        <v>60</v>
      </c>
      <c r="H3817" s="1">
        <f t="shared" si="876"/>
        <v>51</v>
      </c>
      <c r="I3817" s="1" t="str">
        <f t="shared" si="875"/>
        <v>='C:\Users\jaime.benazar\Quorum Business Solutions\Ecopetrol Prometeo - Documents\Planning Space Implementation\3. Analysis &amp; Design\Design\FC22\DRR Jaime\QUIFA-CAJÚA\Cajua\[VAS_CAJUA_CF_SEC_20230125.xlsx]CF PNP'!$BY$51</v>
      </c>
      <c r="J3817" s="1" t="s">
        <v>1846</v>
      </c>
    </row>
    <row r="3818" spans="1:10" x14ac:dyDescent="0.2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Jaime\QUIFA-CAJÚA\Cajua\[VAS_CAJUA_CF_SEC_20230125.xlsx]CF PNP'!</v>
      </c>
      <c r="G3818" s="6" t="s">
        <v>60</v>
      </c>
      <c r="H3818" s="1">
        <f t="shared" si="876"/>
        <v>52</v>
      </c>
      <c r="I3818" s="1" t="str">
        <f t="shared" si="875"/>
        <v>='C:\Users\jaime.benazar\Quorum Business Solutions\Ecopetrol Prometeo - Documents\Planning Space Implementation\3. Analysis &amp; Design\Design\FC22\DRR Jaime\QUIFA-CAJÚA\Cajua\[VAS_CAJUA_CF_SEC_20230125.xlsx]CF PNP'!$BY$52</v>
      </c>
      <c r="J3818" s="1" t="s">
        <v>1847</v>
      </c>
    </row>
    <row r="3819" spans="1:10" x14ac:dyDescent="0.2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Jaime\QUIFA-CAJÚA\Cajua\[VAS_CAJUA_CF_SEC_20230125.xlsx]CF PNP'!</v>
      </c>
      <c r="G3819" s="6" t="s">
        <v>60</v>
      </c>
      <c r="H3819" s="1">
        <f t="shared" si="876"/>
        <v>53</v>
      </c>
      <c r="I3819" s="1" t="str">
        <f t="shared" si="875"/>
        <v>='C:\Users\jaime.benazar\Quorum Business Solutions\Ecopetrol Prometeo - Documents\Planning Space Implementation\3. Analysis &amp; Design\Design\FC22\DRR Jaime\QUIFA-CAJÚA\Cajua\[VAS_CAJUA_CF_SEC_20230125.xlsx]CF PNP'!$BY$53</v>
      </c>
      <c r="J3819" s="1" t="s">
        <v>1848</v>
      </c>
    </row>
    <row r="3820" spans="1:10" x14ac:dyDescent="0.2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Jaime\QUIFA-CAJÚA\Cajua\[VAS_CAJUA_CF_SEC_20230125.xlsx]CF PNP'!</v>
      </c>
      <c r="G3820" s="6" t="s">
        <v>60</v>
      </c>
      <c r="H3820" s="1">
        <f t="shared" si="876"/>
        <v>54</v>
      </c>
      <c r="I3820" s="1" t="str">
        <f t="shared" si="875"/>
        <v>='C:\Users\jaime.benazar\Quorum Business Solutions\Ecopetrol Prometeo - Documents\Planning Space Implementation\3. Analysis &amp; Design\Design\FC22\DRR Jaime\QUIFA-CAJÚA\Cajua\[VAS_CAJUA_CF_SEC_20230125.xlsx]CF PNP'!$BY$54</v>
      </c>
      <c r="J3820" s="1" t="s">
        <v>1849</v>
      </c>
    </row>
    <row r="3821" spans="1:10" x14ac:dyDescent="0.2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Jaime\QUIFA-CAJÚA\Cajua\[VAS_CAJUA_CF_SEC_20230125.xlsx]CF PNP'!</v>
      </c>
      <c r="G3821" s="6" t="s">
        <v>60</v>
      </c>
      <c r="H3821" s="1">
        <f t="shared" si="876"/>
        <v>55</v>
      </c>
      <c r="I3821" s="1" t="str">
        <f t="shared" si="875"/>
        <v>='C:\Users\jaime.benazar\Quorum Business Solutions\Ecopetrol Prometeo - Documents\Planning Space Implementation\3. Analysis &amp; Design\Design\FC22\DRR Jaime\QUIFA-CAJÚA\Cajua\[VAS_CAJUA_CF_SEC_20230125.xlsx]CF PNP'!$BY$55</v>
      </c>
      <c r="J3821" s="1" t="s">
        <v>1850</v>
      </c>
    </row>
    <row r="3822" spans="1:10" x14ac:dyDescent="0.2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Jaime\QUIFA-CAJÚA\Cajua\[VAS_CAJUA_CF_SEC_20230125.xlsx]CF PNP'!</v>
      </c>
      <c r="G3822" s="6" t="s">
        <v>60</v>
      </c>
      <c r="H3822" s="1">
        <f t="shared" si="876"/>
        <v>56</v>
      </c>
      <c r="I3822" s="1" t="str">
        <f t="shared" si="875"/>
        <v>='C:\Users\jaime.benazar\Quorum Business Solutions\Ecopetrol Prometeo - Documents\Planning Space Implementation\3. Analysis &amp; Design\Design\FC22\DRR Jaime\QUIFA-CAJÚA\Cajua\[VAS_CAJUA_CF_SEC_20230125.xlsx]CF PNP'!$BY$56</v>
      </c>
      <c r="J3822" s="1" t="s">
        <v>1851</v>
      </c>
    </row>
    <row r="3823" spans="1:10" x14ac:dyDescent="0.2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Jaime\QUIFA-CAJÚA\Cajua\[VAS_CAJUA_CF_SEC_20230125.xlsx]CF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Jaime\QUIFA-CAJÚA\Cajua\[VAS_CAJUA_CF_SEC_20230125.xlsx]CF PNP'!$BY$57</v>
      </c>
      <c r="J3823" s="1" t="s">
        <v>1852</v>
      </c>
    </row>
    <row r="3824" spans="1:10" x14ac:dyDescent="0.2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Jaime\QUIFA-CAJÚA\Cajua\[VAS_CAJUA_CF_SEC_20230125.xlsx]CF PNP'!</v>
      </c>
      <c r="G3824" s="6" t="s">
        <v>60</v>
      </c>
      <c r="H3824" s="1">
        <f t="shared" si="882"/>
        <v>58</v>
      </c>
      <c r="I3824" s="1" t="str">
        <f t="shared" si="883"/>
        <v>='C:\Users\jaime.benazar\Quorum Business Solutions\Ecopetrol Prometeo - Documents\Planning Space Implementation\3. Analysis &amp; Design\Design\FC22\DRR Jaime\QUIFA-CAJÚA\Cajua\[VAS_CAJUA_CF_SEC_20230125.xlsx]CF PNP'!$BY$58</v>
      </c>
      <c r="J3824" s="1" t="s">
        <v>1853</v>
      </c>
    </row>
    <row r="3825" spans="1:10" x14ac:dyDescent="0.2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Jaime\QUIFA-CAJÚA\Cajua\[VAS_CAJUA_CF_SEC_20230125.xlsx]CF PNP'!</v>
      </c>
      <c r="G3825" s="6" t="s">
        <v>60</v>
      </c>
      <c r="H3825" s="1">
        <f t="shared" si="882"/>
        <v>59</v>
      </c>
      <c r="I3825" s="1" t="str">
        <f t="shared" si="883"/>
        <v>='C:\Users\jaime.benazar\Quorum Business Solutions\Ecopetrol Prometeo - Documents\Planning Space Implementation\3. Analysis &amp; Design\Design\FC22\DRR Jaime\QUIFA-CAJÚA\Cajua\[VAS_CAJUA_CF_SEC_20230125.xlsx]CF PNP'!$BY$59</v>
      </c>
      <c r="J3825" s="1" t="s">
        <v>1854</v>
      </c>
    </row>
    <row r="3826" spans="1:10" x14ac:dyDescent="0.2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Jaime\QUIFA-CAJÚA\Cajua\[VAS_CAJUA_CF_SEC_20230125.xlsx]CF PNP'!</v>
      </c>
      <c r="G3826" s="6" t="s">
        <v>60</v>
      </c>
      <c r="H3826" s="1">
        <f t="shared" si="882"/>
        <v>60</v>
      </c>
      <c r="I3826" s="1" t="str">
        <f t="shared" si="883"/>
        <v>='C:\Users\jaime.benazar\Quorum Business Solutions\Ecopetrol Prometeo - Documents\Planning Space Implementation\3. Analysis &amp; Design\Design\FC22\DRR Jaime\QUIFA-CAJÚA\Cajua\[VAS_CAJUA_CF_SEC_20230125.xlsx]CF PNP'!$BY$60</v>
      </c>
      <c r="J3826" s="1" t="s">
        <v>1855</v>
      </c>
    </row>
    <row r="3827" spans="1:10" x14ac:dyDescent="0.2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Jaime\QUIFA-CAJÚA\Cajua\[VAS_CAJUA_CF_SEC_20230125.xlsx]CF PNP'!</v>
      </c>
      <c r="G3827" s="6" t="s">
        <v>60</v>
      </c>
      <c r="H3827" s="1">
        <f t="shared" si="882"/>
        <v>61</v>
      </c>
      <c r="I3827" s="1" t="str">
        <f t="shared" si="883"/>
        <v>='C:\Users\jaime.benazar\Quorum Business Solutions\Ecopetrol Prometeo - Documents\Planning Space Implementation\3. Analysis &amp; Design\Design\FC22\DRR Jaime\QUIFA-CAJÚA\Cajua\[VAS_CAJUA_CF_SEC_20230125.xlsx]CF PNP'!$BY$61</v>
      </c>
      <c r="J3827" s="1" t="s">
        <v>1856</v>
      </c>
    </row>
    <row r="3828" spans="1:10" x14ac:dyDescent="0.2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Jaime\QUIFA-CAJÚA\Cajua\[VAS_CAJUA_CF_SEC_20230125.xlsx]CF PNP'!</v>
      </c>
      <c r="G3828" s="6" t="s">
        <v>60</v>
      </c>
      <c r="H3828" s="1">
        <f t="shared" si="882"/>
        <v>62</v>
      </c>
      <c r="I3828" s="1" t="str">
        <f t="shared" si="883"/>
        <v>='C:\Users\jaime.benazar\Quorum Business Solutions\Ecopetrol Prometeo - Documents\Planning Space Implementation\3. Analysis &amp; Design\Design\FC22\DRR Jaime\QUIFA-CAJÚA\Cajua\[VAS_CAJUA_CF_SEC_20230125.xlsx]CF PNP'!$BY$62</v>
      </c>
      <c r="J3828" s="1" t="s">
        <v>1857</v>
      </c>
    </row>
    <row r="3829" spans="1:10" x14ac:dyDescent="0.2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Jaime\QUIFA-CAJÚA\Cajua\[VAS_CAJUA_CF_SEC_20230125.xlsx]CF PNP'!</v>
      </c>
      <c r="G3829" s="6" t="s">
        <v>60</v>
      </c>
      <c r="H3829" s="1">
        <f t="shared" si="882"/>
        <v>63</v>
      </c>
      <c r="I3829" s="1" t="str">
        <f t="shared" si="883"/>
        <v>='C:\Users\jaime.benazar\Quorum Business Solutions\Ecopetrol Prometeo - Documents\Planning Space Implementation\3. Analysis &amp; Design\Design\FC22\DRR Jaime\QUIFA-CAJÚA\Cajua\[VAS_CAJUA_CF_SEC_20230125.xlsx]CF PNP'!$BY$63</v>
      </c>
      <c r="J3829" s="1" t="s">
        <v>1858</v>
      </c>
    </row>
    <row r="3830" spans="1:10" x14ac:dyDescent="0.2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Jaime\QUIFA-CAJÚA\Cajua\[VAS_CAJUA_CF_SEC_20230125.xlsx]CF PNP'!</v>
      </c>
      <c r="G3830" s="6" t="s">
        <v>60</v>
      </c>
      <c r="H3830" s="1">
        <f t="shared" si="882"/>
        <v>64</v>
      </c>
      <c r="I3830" s="1" t="str">
        <f t="shared" si="883"/>
        <v>='C:\Users\jaime.benazar\Quorum Business Solutions\Ecopetrol Prometeo - Documents\Planning Space Implementation\3. Analysis &amp; Design\Design\FC22\DRR Jaime\QUIFA-CAJÚA\Cajua\[VAS_CAJUA_CF_SEC_20230125.xlsx]CF PNP'!$BY$64</v>
      </c>
      <c r="J3830" s="1" t="s">
        <v>1859</v>
      </c>
    </row>
    <row r="3831" spans="1:10" x14ac:dyDescent="0.2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Jaime\QUIFA-CAJÚA\Cajua\[VAS_CAJUA_CF_SEC_20230125.xlsx]CF PNP'!</v>
      </c>
      <c r="G3831" s="6" t="s">
        <v>60</v>
      </c>
      <c r="H3831" s="1">
        <f t="shared" si="882"/>
        <v>65</v>
      </c>
      <c r="I3831" s="1" t="str">
        <f t="shared" si="883"/>
        <v>='C:\Users\jaime.benazar\Quorum Business Solutions\Ecopetrol Prometeo - Documents\Planning Space Implementation\3. Analysis &amp; Design\Design\FC22\DRR Jaime\QUIFA-CAJÚA\Cajua\[VAS_CAJUA_CF_SEC_20230125.xlsx]CF PNP'!$BY$65</v>
      </c>
      <c r="J3831" s="1" t="s">
        <v>1860</v>
      </c>
    </row>
    <row r="3832" spans="1:10" x14ac:dyDescent="0.2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Jaime\QUIFA-CAJÚA\Cajua\[VAS_CAJUA_CF_SEC_20230125.xlsx]CF PNP'!</v>
      </c>
      <c r="G3832" s="6" t="s">
        <v>60</v>
      </c>
      <c r="H3832" s="1">
        <f t="shared" si="882"/>
        <v>66</v>
      </c>
      <c r="I3832" s="1" t="str">
        <f t="shared" si="883"/>
        <v>='C:\Users\jaime.benazar\Quorum Business Solutions\Ecopetrol Prometeo - Documents\Planning Space Implementation\3. Analysis &amp; Design\Design\FC22\DRR Jaime\QUIFA-CAJÚA\Cajua\[VAS_CAJUA_CF_SEC_20230125.xlsx]CF PNP'!$BY$66</v>
      </c>
      <c r="J3832" s="1" t="s">
        <v>1861</v>
      </c>
    </row>
    <row r="3833" spans="1:10" x14ac:dyDescent="0.2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Jaime\QUIFA-CAJÚA\Cajua\[VAS_CAJUA_CF_SEC_20230125.xlsx]CF PNP'!</v>
      </c>
      <c r="G3833" s="6" t="s">
        <v>60</v>
      </c>
      <c r="H3833" s="1">
        <f t="shared" si="882"/>
        <v>67</v>
      </c>
      <c r="I3833" s="1" t="str">
        <f t="shared" si="883"/>
        <v>='C:\Users\jaime.benazar\Quorum Business Solutions\Ecopetrol Prometeo - Documents\Planning Space Implementation\3. Analysis &amp; Design\Design\FC22\DRR Jaime\QUIFA-CAJÚA\Cajua\[VAS_CAJUA_CF_SEC_20230125.xlsx]CF PNP'!$BY$67</v>
      </c>
      <c r="J3833" s="1" t="s">
        <v>1862</v>
      </c>
    </row>
    <row r="3834" spans="1:10" x14ac:dyDescent="0.2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Jaime\QUIFA-CAJÚA\Cajua\[VAS_CAJUA_CF_SEC_20230125.xlsx]CF PNP'!</v>
      </c>
      <c r="G3834" s="6" t="s">
        <v>60</v>
      </c>
      <c r="H3834" s="1">
        <f t="shared" si="882"/>
        <v>68</v>
      </c>
      <c r="I3834" s="1" t="str">
        <f t="shared" si="883"/>
        <v>='C:\Users\jaime.benazar\Quorum Business Solutions\Ecopetrol Prometeo - Documents\Planning Space Implementation\3. Analysis &amp; Design\Design\FC22\DRR Jaime\QUIFA-CAJÚA\Cajua\[VAS_CAJUA_CF_SEC_20230125.xlsx]CF PNP'!$BY$68</v>
      </c>
      <c r="J3834" s="1" t="s">
        <v>1863</v>
      </c>
    </row>
    <row r="3835" spans="1:10" x14ac:dyDescent="0.2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Jaime\QUIFA-CAJÚA\Cajua\[VAS_CAJUA_CF_SEC_20230125.xlsx]CF PNP'!</v>
      </c>
      <c r="G3835" s="6" t="s">
        <v>60</v>
      </c>
      <c r="H3835" s="1">
        <f t="shared" si="882"/>
        <v>69</v>
      </c>
      <c r="I3835" s="1" t="str">
        <f t="shared" si="883"/>
        <v>='C:\Users\jaime.benazar\Quorum Business Solutions\Ecopetrol Prometeo - Documents\Planning Space Implementation\3. Analysis &amp; Design\Design\FC22\DRR Jaime\QUIFA-CAJÚA\Cajua\[VAS_CAJUA_CF_SEC_20230125.xlsx]CF PNP'!$BY$69</v>
      </c>
      <c r="J3835" s="1" t="s">
        <v>1864</v>
      </c>
    </row>
    <row r="3836" spans="1:10" x14ac:dyDescent="0.2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Jaime\QUIFA-CAJÚA\Cajua\[VAS_CAJUA_CF_SEC_20230125.xlsx]CF PNP'!</v>
      </c>
      <c r="G3836" s="6" t="s">
        <v>60</v>
      </c>
      <c r="H3836" s="1">
        <f t="shared" si="882"/>
        <v>70</v>
      </c>
      <c r="I3836" s="1" t="str">
        <f t="shared" si="883"/>
        <v>='C:\Users\jaime.benazar\Quorum Business Solutions\Ecopetrol Prometeo - Documents\Planning Space Implementation\3. Analysis &amp; Design\Design\FC22\DRR Jaime\QUIFA-CAJÚA\Cajua\[VAS_CAJUA_CF_SEC_20230125.xlsx]CF PNP'!$BY$70</v>
      </c>
      <c r="J3836" s="1" t="s">
        <v>1865</v>
      </c>
    </row>
    <row r="3837" spans="1:10" x14ac:dyDescent="0.2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Jaime\QUIFA-CAJÚA\Cajua\[VAS_CAJUA_CF_SEC_20230125.xlsx]CF PNP'!</v>
      </c>
      <c r="G3837" s="6" t="s">
        <v>60</v>
      </c>
      <c r="H3837" s="1">
        <f t="shared" si="882"/>
        <v>71</v>
      </c>
      <c r="I3837" s="1" t="str">
        <f t="shared" si="883"/>
        <v>='C:\Users\jaime.benazar\Quorum Business Solutions\Ecopetrol Prometeo - Documents\Planning Space Implementation\3. Analysis &amp; Design\Design\FC22\DRR Jaime\QUIFA-CAJÚA\Cajua\[VAS_CAJUA_CF_SEC_20230125.xlsx]CF PNP'!$BY$71</v>
      </c>
      <c r="J3837" s="1" t="s">
        <v>1866</v>
      </c>
    </row>
    <row r="3838" spans="1:10" x14ac:dyDescent="0.2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Jaime\QUIFA-CAJÚA\Cajua\[VAS_CAJUA_CF_SEC_20230125.xlsx]CF PNP'!</v>
      </c>
      <c r="G3838" s="6" t="s">
        <v>60</v>
      </c>
      <c r="H3838" s="1">
        <f t="shared" si="882"/>
        <v>72</v>
      </c>
      <c r="I3838" s="1" t="str">
        <f t="shared" si="883"/>
        <v>='C:\Users\jaime.benazar\Quorum Business Solutions\Ecopetrol Prometeo - Documents\Planning Space Implementation\3. Analysis &amp; Design\Design\FC22\DRR Jaime\QUIFA-CAJÚA\Cajua\[VAS_CAJUA_CF_SEC_20230125.xlsx]CF PNP'!$BY$72</v>
      </c>
      <c r="J3838" s="1" t="s">
        <v>1867</v>
      </c>
    </row>
    <row r="3839" spans="1:10" x14ac:dyDescent="0.25">
      <c r="A3839" s="6" t="s">
        <v>28</v>
      </c>
      <c r="B3839" s="6"/>
      <c r="C3839" s="1" t="s">
        <v>109</v>
      </c>
      <c r="D3839" s="2"/>
      <c r="E3839" s="9"/>
      <c r="F3839" s="2"/>
      <c r="G3839" s="6"/>
      <c r="H3839" s="1"/>
      <c r="I3839" s="1"/>
      <c r="J3839" s="4"/>
    </row>
    <row r="3840" spans="1:10" x14ac:dyDescent="0.2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Jaime\QUIFA-CAJÚA\Cajua\[VAS_CAJUA_CF_SEC_20230125.xlsx]CF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Jaime\QUIFA-CAJÚA\Cajua\[VAS_CAJUA_CF_SEC_20230125.xlsx]CF PND'!$BY$36</v>
      </c>
      <c r="J3840" s="1" t="s">
        <v>1868</v>
      </c>
    </row>
    <row r="3841" spans="1:10" x14ac:dyDescent="0.2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Jaime\QUIFA-CAJÚA\Cajua\[VAS_CAJUA_CF_SEC_20230125.xlsx]CF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Jaime\QUIFA-CAJÚA\Cajua\[VAS_CAJUA_CF_SEC_20230125.xlsx]CF PND'!$BY$37</v>
      </c>
      <c r="J3841" s="1" t="s">
        <v>1869</v>
      </c>
    </row>
    <row r="3842" spans="1:10" x14ac:dyDescent="0.2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Jaime\QUIFA-CAJÚA\Cajua\[VAS_CAJUA_CF_SEC_20230125.xlsx]CF PND'!</v>
      </c>
      <c r="G3842" s="6" t="s">
        <v>60</v>
      </c>
      <c r="H3842" s="1">
        <f t="shared" si="888"/>
        <v>38</v>
      </c>
      <c r="I3842" s="1" t="str">
        <f t="shared" si="887"/>
        <v>='C:\Users\jaime.benazar\Quorum Business Solutions\Ecopetrol Prometeo - Documents\Planning Space Implementation\3. Analysis &amp; Design\Design\FC22\DRR Jaime\QUIFA-CAJÚA\Cajua\[VAS_CAJUA_CF_SEC_20230125.xlsx]CF PND'!$BY$38</v>
      </c>
      <c r="J3842" s="1" t="s">
        <v>1870</v>
      </c>
    </row>
    <row r="3843" spans="1:10" x14ac:dyDescent="0.2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Jaime\QUIFA-CAJÚA\Cajua\[VAS_CAJUA_CF_SEC_20230125.xlsx]CF PND'!</v>
      </c>
      <c r="G3843" s="6" t="s">
        <v>60</v>
      </c>
      <c r="H3843" s="1">
        <f t="shared" si="888"/>
        <v>39</v>
      </c>
      <c r="I3843" s="1" t="str">
        <f t="shared" si="887"/>
        <v>='C:\Users\jaime.benazar\Quorum Business Solutions\Ecopetrol Prometeo - Documents\Planning Space Implementation\3. Analysis &amp; Design\Design\FC22\DRR Jaime\QUIFA-CAJÚA\Cajua\[VAS_CAJUA_CF_SEC_20230125.xlsx]CF PND'!$BY$39</v>
      </c>
      <c r="J3843" s="1" t="s">
        <v>1871</v>
      </c>
    </row>
    <row r="3844" spans="1:10" x14ac:dyDescent="0.2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Jaime\QUIFA-CAJÚA\Cajua\[VAS_CAJUA_CF_SEC_20230125.xlsx]CF PND'!</v>
      </c>
      <c r="G3844" s="6" t="s">
        <v>60</v>
      </c>
      <c r="H3844" s="1">
        <f t="shared" si="888"/>
        <v>40</v>
      </c>
      <c r="I3844" s="1" t="str">
        <f t="shared" si="887"/>
        <v>='C:\Users\jaime.benazar\Quorum Business Solutions\Ecopetrol Prometeo - Documents\Planning Space Implementation\3. Analysis &amp; Design\Design\FC22\DRR Jaime\QUIFA-CAJÚA\Cajua\[VAS_CAJUA_CF_SEC_20230125.xlsx]CF PND'!$BY$40</v>
      </c>
      <c r="J3844" s="1" t="s">
        <v>1872</v>
      </c>
    </row>
    <row r="3845" spans="1:10" x14ac:dyDescent="0.2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Jaime\QUIFA-CAJÚA\Cajua\[VAS_CAJUA_CF_SEC_20230125.xlsx]CF PND'!</v>
      </c>
      <c r="G3845" s="6" t="s">
        <v>60</v>
      </c>
      <c r="H3845" s="1">
        <f t="shared" si="888"/>
        <v>41</v>
      </c>
      <c r="I3845" s="1" t="str">
        <f t="shared" si="887"/>
        <v>='C:\Users\jaime.benazar\Quorum Business Solutions\Ecopetrol Prometeo - Documents\Planning Space Implementation\3. Analysis &amp; Design\Design\FC22\DRR Jaime\QUIFA-CAJÚA\Cajua\[VAS_CAJUA_CF_SEC_20230125.xlsx]CF PND'!$BY$41</v>
      </c>
      <c r="J3845" s="1" t="s">
        <v>1873</v>
      </c>
    </row>
    <row r="3846" spans="1:10" x14ac:dyDescent="0.2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Jaime\QUIFA-CAJÚA\Cajua\[VAS_CAJUA_CF_SEC_20230125.xlsx]CF PND'!</v>
      </c>
      <c r="G3846" s="6" t="s">
        <v>60</v>
      </c>
      <c r="H3846" s="1">
        <f t="shared" si="888"/>
        <v>42</v>
      </c>
      <c r="I3846" s="1" t="str">
        <f t="shared" si="887"/>
        <v>='C:\Users\jaime.benazar\Quorum Business Solutions\Ecopetrol Prometeo - Documents\Planning Space Implementation\3. Analysis &amp; Design\Design\FC22\DRR Jaime\QUIFA-CAJÚA\Cajua\[VAS_CAJUA_CF_SEC_20230125.xlsx]CF PND'!$BY$42</v>
      </c>
      <c r="J3846" s="1" t="s">
        <v>1874</v>
      </c>
    </row>
    <row r="3847" spans="1:10" x14ac:dyDescent="0.2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Jaime\QUIFA-CAJÚA\Cajua\[VAS_CAJUA_CF_SEC_20230125.xlsx]CF PND'!</v>
      </c>
      <c r="G3847" s="6" t="s">
        <v>60</v>
      </c>
      <c r="H3847" s="1">
        <f t="shared" si="888"/>
        <v>43</v>
      </c>
      <c r="I3847" s="1" t="str">
        <f t="shared" si="887"/>
        <v>='C:\Users\jaime.benazar\Quorum Business Solutions\Ecopetrol Prometeo - Documents\Planning Space Implementation\3. Analysis &amp; Design\Design\FC22\DRR Jaime\QUIFA-CAJÚA\Cajua\[VAS_CAJUA_CF_SEC_20230125.xlsx]CF PND'!$BY$43</v>
      </c>
      <c r="J3847" s="1" t="s">
        <v>1875</v>
      </c>
    </row>
    <row r="3848" spans="1:10" x14ac:dyDescent="0.2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Jaime\QUIFA-CAJÚA\Cajua\[VAS_CAJUA_CF_SEC_20230125.xlsx]CF PND'!</v>
      </c>
      <c r="G3848" s="6" t="s">
        <v>60</v>
      </c>
      <c r="H3848" s="1">
        <f t="shared" si="888"/>
        <v>44</v>
      </c>
      <c r="I3848" s="1" t="str">
        <f t="shared" si="887"/>
        <v>='C:\Users\jaime.benazar\Quorum Business Solutions\Ecopetrol Prometeo - Documents\Planning Space Implementation\3. Analysis &amp; Design\Design\FC22\DRR Jaime\QUIFA-CAJÚA\Cajua\[VAS_CAJUA_CF_SEC_20230125.xlsx]CF PND'!$BY$44</v>
      </c>
      <c r="J3848" s="1" t="s">
        <v>1876</v>
      </c>
    </row>
    <row r="3849" spans="1:10" x14ac:dyDescent="0.2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Jaime\QUIFA-CAJÚA\Cajua\[VAS_CAJUA_CF_SEC_20230125.xlsx]CF PND'!</v>
      </c>
      <c r="G3849" s="6" t="s">
        <v>60</v>
      </c>
      <c r="H3849" s="1">
        <f t="shared" si="888"/>
        <v>45</v>
      </c>
      <c r="I3849" s="1" t="str">
        <f t="shared" si="887"/>
        <v>='C:\Users\jaime.benazar\Quorum Business Solutions\Ecopetrol Prometeo - Documents\Planning Space Implementation\3. Analysis &amp; Design\Design\FC22\DRR Jaime\QUIFA-CAJÚA\Cajua\[VAS_CAJUA_CF_SEC_20230125.xlsx]CF PND'!$BY$45</v>
      </c>
      <c r="J3849" s="1" t="s">
        <v>1877</v>
      </c>
    </row>
    <row r="3850" spans="1:10" x14ac:dyDescent="0.2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Jaime\QUIFA-CAJÚA\Cajua\[VAS_CAJUA_CF_SEC_20230125.xlsx]CF PND'!</v>
      </c>
      <c r="G3850" s="6" t="s">
        <v>60</v>
      </c>
      <c r="H3850" s="1">
        <f t="shared" si="888"/>
        <v>46</v>
      </c>
      <c r="I3850" s="1" t="str">
        <f t="shared" si="887"/>
        <v>='C:\Users\jaime.benazar\Quorum Business Solutions\Ecopetrol Prometeo - Documents\Planning Space Implementation\3. Analysis &amp; Design\Design\FC22\DRR Jaime\QUIFA-CAJÚA\Cajua\[VAS_CAJUA_CF_SEC_20230125.xlsx]CF PND'!$BY$46</v>
      </c>
      <c r="J3850" s="1" t="s">
        <v>1878</v>
      </c>
    </row>
    <row r="3851" spans="1:10" x14ac:dyDescent="0.2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Jaime\QUIFA-CAJÚA\Cajua\[VAS_CAJUA_CF_SEC_20230125.xlsx]CF PND'!</v>
      </c>
      <c r="G3851" s="6" t="s">
        <v>60</v>
      </c>
      <c r="H3851" s="1">
        <f t="shared" si="888"/>
        <v>47</v>
      </c>
      <c r="I3851" s="1" t="str">
        <f t="shared" si="887"/>
        <v>='C:\Users\jaime.benazar\Quorum Business Solutions\Ecopetrol Prometeo - Documents\Planning Space Implementation\3. Analysis &amp; Design\Design\FC22\DRR Jaime\QUIFA-CAJÚA\Cajua\[VAS_CAJUA_CF_SEC_20230125.xlsx]CF PND'!$BY$47</v>
      </c>
      <c r="J3851" s="1" t="s">
        <v>1879</v>
      </c>
    </row>
    <row r="3852" spans="1:10" x14ac:dyDescent="0.2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Jaime\QUIFA-CAJÚA\Cajua\[VAS_CAJUA_CF_SEC_20230125.xlsx]CF PND'!</v>
      </c>
      <c r="G3852" s="6" t="s">
        <v>60</v>
      </c>
      <c r="H3852" s="1">
        <f t="shared" si="888"/>
        <v>48</v>
      </c>
      <c r="I3852" s="1" t="str">
        <f t="shared" si="887"/>
        <v>='C:\Users\jaime.benazar\Quorum Business Solutions\Ecopetrol Prometeo - Documents\Planning Space Implementation\3. Analysis &amp; Design\Design\FC22\DRR Jaime\QUIFA-CAJÚA\Cajua\[VAS_CAJUA_CF_SEC_20230125.xlsx]CF PND'!$BY$48</v>
      </c>
      <c r="J3852" s="1" t="s">
        <v>1880</v>
      </c>
    </row>
    <row r="3853" spans="1:10" x14ac:dyDescent="0.2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Jaime\QUIFA-CAJÚA\Cajua\[VAS_CAJUA_CF_SEC_20230125.xlsx]CF PND'!</v>
      </c>
      <c r="G3853" s="6" t="s">
        <v>60</v>
      </c>
      <c r="H3853" s="1">
        <f t="shared" si="888"/>
        <v>49</v>
      </c>
      <c r="I3853" s="1" t="str">
        <f t="shared" si="887"/>
        <v>='C:\Users\jaime.benazar\Quorum Business Solutions\Ecopetrol Prometeo - Documents\Planning Space Implementation\3. Analysis &amp; Design\Design\FC22\DRR Jaime\QUIFA-CAJÚA\Cajua\[VAS_CAJUA_CF_SEC_20230125.xlsx]CF PND'!$BY$49</v>
      </c>
      <c r="J3853" s="1" t="s">
        <v>1881</v>
      </c>
    </row>
    <row r="3854" spans="1:10" x14ac:dyDescent="0.2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Jaime\QUIFA-CAJÚA\Cajua\[VAS_CAJUA_CF_SEC_20230125.xlsx]CF PND'!</v>
      </c>
      <c r="G3854" s="6" t="s">
        <v>60</v>
      </c>
      <c r="H3854" s="1">
        <f t="shared" si="888"/>
        <v>50</v>
      </c>
      <c r="I3854" s="1" t="str">
        <f t="shared" si="887"/>
        <v>='C:\Users\jaime.benazar\Quorum Business Solutions\Ecopetrol Prometeo - Documents\Planning Space Implementation\3. Analysis &amp; Design\Design\FC22\DRR Jaime\QUIFA-CAJÚA\Cajua\[VAS_CAJUA_CF_SEC_20230125.xlsx]CF PND'!$BY$50</v>
      </c>
      <c r="J3854" s="1" t="s">
        <v>1882</v>
      </c>
    </row>
    <row r="3855" spans="1:10" x14ac:dyDescent="0.2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Jaime\QUIFA-CAJÚA\Cajua\[VAS_CAJUA_CF_SEC_20230125.xlsx]CF PND'!</v>
      </c>
      <c r="G3855" s="6" t="s">
        <v>60</v>
      </c>
      <c r="H3855" s="1">
        <f t="shared" si="888"/>
        <v>51</v>
      </c>
      <c r="I3855" s="1" t="str">
        <f t="shared" si="887"/>
        <v>='C:\Users\jaime.benazar\Quorum Business Solutions\Ecopetrol Prometeo - Documents\Planning Space Implementation\3. Analysis &amp; Design\Design\FC22\DRR Jaime\QUIFA-CAJÚA\Cajua\[VAS_CAJUA_CF_SEC_20230125.xlsx]CF PND'!$BY$51</v>
      </c>
      <c r="J3855" s="1" t="s">
        <v>1883</v>
      </c>
    </row>
    <row r="3856" spans="1:10" x14ac:dyDescent="0.2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Jaime\QUIFA-CAJÚA\Cajua\[VAS_CAJUA_CF_SEC_20230125.xlsx]CF PND'!</v>
      </c>
      <c r="G3856" s="6" t="s">
        <v>60</v>
      </c>
      <c r="H3856" s="1">
        <f t="shared" si="888"/>
        <v>52</v>
      </c>
      <c r="I3856" s="1" t="str">
        <f t="shared" si="887"/>
        <v>='C:\Users\jaime.benazar\Quorum Business Solutions\Ecopetrol Prometeo - Documents\Planning Space Implementation\3. Analysis &amp; Design\Design\FC22\DRR Jaime\QUIFA-CAJÚA\Cajua\[VAS_CAJUA_CF_SEC_20230125.xlsx]CF PND'!$BY$52</v>
      </c>
      <c r="J3856" s="1" t="s">
        <v>1884</v>
      </c>
    </row>
    <row r="3857" spans="1:10" x14ac:dyDescent="0.2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Jaime\QUIFA-CAJÚA\Cajua\[VAS_CAJUA_CF_SEC_20230125.xlsx]CF PND'!</v>
      </c>
      <c r="G3857" s="6" t="s">
        <v>60</v>
      </c>
      <c r="H3857" s="1">
        <f t="shared" si="888"/>
        <v>53</v>
      </c>
      <c r="I3857" s="1" t="str">
        <f t="shared" si="887"/>
        <v>='C:\Users\jaime.benazar\Quorum Business Solutions\Ecopetrol Prometeo - Documents\Planning Space Implementation\3. Analysis &amp; Design\Design\FC22\DRR Jaime\QUIFA-CAJÚA\Cajua\[VAS_CAJUA_CF_SEC_20230125.xlsx]CF PND'!$BY$53</v>
      </c>
      <c r="J3857" s="1" t="s">
        <v>1885</v>
      </c>
    </row>
    <row r="3858" spans="1:10" x14ac:dyDescent="0.2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Jaime\QUIFA-CAJÚA\Cajua\[VAS_CAJUA_CF_SEC_20230125.xlsx]CF PND'!</v>
      </c>
      <c r="G3858" s="6" t="s">
        <v>60</v>
      </c>
      <c r="H3858" s="1">
        <f t="shared" si="888"/>
        <v>54</v>
      </c>
      <c r="I3858" s="1" t="str">
        <f t="shared" si="887"/>
        <v>='C:\Users\jaime.benazar\Quorum Business Solutions\Ecopetrol Prometeo - Documents\Planning Space Implementation\3. Analysis &amp; Design\Design\FC22\DRR Jaime\QUIFA-CAJÚA\Cajua\[VAS_CAJUA_CF_SEC_20230125.xlsx]CF PND'!$BY$54</v>
      </c>
      <c r="J3858" s="1" t="s">
        <v>1886</v>
      </c>
    </row>
    <row r="3859" spans="1:10" x14ac:dyDescent="0.2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Jaime\QUIFA-CAJÚA\Cajua\[VAS_CAJUA_CF_SEC_20230125.xlsx]CF PND'!</v>
      </c>
      <c r="G3859" s="6" t="s">
        <v>60</v>
      </c>
      <c r="H3859" s="1">
        <f t="shared" si="888"/>
        <v>55</v>
      </c>
      <c r="I3859" s="1" t="str">
        <f t="shared" si="887"/>
        <v>='C:\Users\jaime.benazar\Quorum Business Solutions\Ecopetrol Prometeo - Documents\Planning Space Implementation\3. Analysis &amp; Design\Design\FC22\DRR Jaime\QUIFA-CAJÚA\Cajua\[VAS_CAJUA_CF_SEC_20230125.xlsx]CF PND'!$BY$55</v>
      </c>
      <c r="J3859" s="1" t="s">
        <v>1887</v>
      </c>
    </row>
    <row r="3860" spans="1:10" x14ac:dyDescent="0.2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Jaime\QUIFA-CAJÚA\Cajua\[VAS_CAJUA_CF_SEC_20230125.xlsx]CF PND'!</v>
      </c>
      <c r="G3860" s="6" t="s">
        <v>60</v>
      </c>
      <c r="H3860" s="1">
        <f t="shared" si="888"/>
        <v>56</v>
      </c>
      <c r="I3860" s="1" t="str">
        <f t="shared" si="887"/>
        <v>='C:\Users\jaime.benazar\Quorum Business Solutions\Ecopetrol Prometeo - Documents\Planning Space Implementation\3. Analysis &amp; Design\Design\FC22\DRR Jaime\QUIFA-CAJÚA\Cajua\[VAS_CAJUA_CF_SEC_20230125.xlsx]CF PND'!$BY$56</v>
      </c>
      <c r="J3860" s="1" t="s">
        <v>1888</v>
      </c>
    </row>
    <row r="3861" spans="1:10" x14ac:dyDescent="0.2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Jaime\QUIFA-CAJÚA\Cajua\[VAS_CAJUA_CF_SEC_20230125.xlsx]CF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Jaime\QUIFA-CAJÚA\Cajua\[VAS_CAJUA_CF_SEC_20230125.xlsx]CF PND'!$BY$57</v>
      </c>
      <c r="J3861" s="1" t="s">
        <v>1889</v>
      </c>
    </row>
    <row r="3862" spans="1:10" x14ac:dyDescent="0.2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Jaime\QUIFA-CAJÚA\Cajua\[VAS_CAJUA_CF_SEC_20230125.xlsx]CF PND'!</v>
      </c>
      <c r="G3862" s="6" t="s">
        <v>60</v>
      </c>
      <c r="H3862" s="1">
        <f t="shared" si="894"/>
        <v>58</v>
      </c>
      <c r="I3862" s="1" t="str">
        <f t="shared" si="895"/>
        <v>='C:\Users\jaime.benazar\Quorum Business Solutions\Ecopetrol Prometeo - Documents\Planning Space Implementation\3. Analysis &amp; Design\Design\FC22\DRR Jaime\QUIFA-CAJÚA\Cajua\[VAS_CAJUA_CF_SEC_20230125.xlsx]CF PND'!$BY$58</v>
      </c>
      <c r="J3862" s="1" t="s">
        <v>1890</v>
      </c>
    </row>
    <row r="3863" spans="1:10" x14ac:dyDescent="0.2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Jaime\QUIFA-CAJÚA\Cajua\[VAS_CAJUA_CF_SEC_20230125.xlsx]CF PND'!</v>
      </c>
      <c r="G3863" s="6" t="s">
        <v>60</v>
      </c>
      <c r="H3863" s="1">
        <f t="shared" si="894"/>
        <v>59</v>
      </c>
      <c r="I3863" s="1" t="str">
        <f t="shared" si="895"/>
        <v>='C:\Users\jaime.benazar\Quorum Business Solutions\Ecopetrol Prometeo - Documents\Planning Space Implementation\3. Analysis &amp; Design\Design\FC22\DRR Jaime\QUIFA-CAJÚA\Cajua\[VAS_CAJUA_CF_SEC_20230125.xlsx]CF PND'!$BY$59</v>
      </c>
      <c r="J3863" s="1" t="s">
        <v>1891</v>
      </c>
    </row>
    <row r="3864" spans="1:10" x14ac:dyDescent="0.2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Jaime\QUIFA-CAJÚA\Cajua\[VAS_CAJUA_CF_SEC_20230125.xlsx]CF PND'!</v>
      </c>
      <c r="G3864" s="6" t="s">
        <v>60</v>
      </c>
      <c r="H3864" s="1">
        <f t="shared" si="894"/>
        <v>60</v>
      </c>
      <c r="I3864" s="1" t="str">
        <f t="shared" si="895"/>
        <v>='C:\Users\jaime.benazar\Quorum Business Solutions\Ecopetrol Prometeo - Documents\Planning Space Implementation\3. Analysis &amp; Design\Design\FC22\DRR Jaime\QUIFA-CAJÚA\Cajua\[VAS_CAJUA_CF_SEC_20230125.xlsx]CF PND'!$BY$60</v>
      </c>
      <c r="J3864" s="1" t="s">
        <v>1892</v>
      </c>
    </row>
    <row r="3865" spans="1:10" x14ac:dyDescent="0.2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Jaime\QUIFA-CAJÚA\Cajua\[VAS_CAJUA_CF_SEC_20230125.xlsx]CF PND'!</v>
      </c>
      <c r="G3865" s="6" t="s">
        <v>60</v>
      </c>
      <c r="H3865" s="1">
        <f t="shared" si="894"/>
        <v>61</v>
      </c>
      <c r="I3865" s="1" t="str">
        <f t="shared" si="895"/>
        <v>='C:\Users\jaime.benazar\Quorum Business Solutions\Ecopetrol Prometeo - Documents\Planning Space Implementation\3. Analysis &amp; Design\Design\FC22\DRR Jaime\QUIFA-CAJÚA\Cajua\[VAS_CAJUA_CF_SEC_20230125.xlsx]CF PND'!$BY$61</v>
      </c>
      <c r="J3865" s="1" t="s">
        <v>1893</v>
      </c>
    </row>
    <row r="3866" spans="1:10" x14ac:dyDescent="0.2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Jaime\QUIFA-CAJÚA\Cajua\[VAS_CAJUA_CF_SEC_20230125.xlsx]CF PND'!</v>
      </c>
      <c r="G3866" s="6" t="s">
        <v>60</v>
      </c>
      <c r="H3866" s="1">
        <f t="shared" si="894"/>
        <v>62</v>
      </c>
      <c r="I3866" s="1" t="str">
        <f t="shared" si="895"/>
        <v>='C:\Users\jaime.benazar\Quorum Business Solutions\Ecopetrol Prometeo - Documents\Planning Space Implementation\3. Analysis &amp; Design\Design\FC22\DRR Jaime\QUIFA-CAJÚA\Cajua\[VAS_CAJUA_CF_SEC_20230125.xlsx]CF PND'!$BY$62</v>
      </c>
      <c r="J3866" s="1" t="s">
        <v>1894</v>
      </c>
    </row>
    <row r="3867" spans="1:10" x14ac:dyDescent="0.2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Jaime\QUIFA-CAJÚA\Cajua\[VAS_CAJUA_CF_SEC_20230125.xlsx]CF PND'!</v>
      </c>
      <c r="G3867" s="6" t="s">
        <v>60</v>
      </c>
      <c r="H3867" s="1">
        <f t="shared" si="894"/>
        <v>63</v>
      </c>
      <c r="I3867" s="1" t="str">
        <f t="shared" si="895"/>
        <v>='C:\Users\jaime.benazar\Quorum Business Solutions\Ecopetrol Prometeo - Documents\Planning Space Implementation\3. Analysis &amp; Design\Design\FC22\DRR Jaime\QUIFA-CAJÚA\Cajua\[VAS_CAJUA_CF_SEC_20230125.xlsx]CF PND'!$BY$63</v>
      </c>
      <c r="J3867" s="1" t="s">
        <v>1895</v>
      </c>
    </row>
    <row r="3868" spans="1:10" x14ac:dyDescent="0.2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Jaime\QUIFA-CAJÚA\Cajua\[VAS_CAJUA_CF_SEC_20230125.xlsx]CF PND'!</v>
      </c>
      <c r="G3868" s="6" t="s">
        <v>60</v>
      </c>
      <c r="H3868" s="1">
        <f t="shared" si="894"/>
        <v>64</v>
      </c>
      <c r="I3868" s="1" t="str">
        <f t="shared" si="895"/>
        <v>='C:\Users\jaime.benazar\Quorum Business Solutions\Ecopetrol Prometeo - Documents\Planning Space Implementation\3. Analysis &amp; Design\Design\FC22\DRR Jaime\QUIFA-CAJÚA\Cajua\[VAS_CAJUA_CF_SEC_20230125.xlsx]CF PND'!$BY$64</v>
      </c>
      <c r="J3868" s="1" t="s">
        <v>1896</v>
      </c>
    </row>
    <row r="3869" spans="1:10" x14ac:dyDescent="0.2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Jaime\QUIFA-CAJÚA\Cajua\[VAS_CAJUA_CF_SEC_20230125.xlsx]CF PND'!</v>
      </c>
      <c r="G3869" s="6" t="s">
        <v>60</v>
      </c>
      <c r="H3869" s="1">
        <f t="shared" si="894"/>
        <v>65</v>
      </c>
      <c r="I3869" s="1" t="str">
        <f t="shared" si="895"/>
        <v>='C:\Users\jaime.benazar\Quorum Business Solutions\Ecopetrol Prometeo - Documents\Planning Space Implementation\3. Analysis &amp; Design\Design\FC22\DRR Jaime\QUIFA-CAJÚA\Cajua\[VAS_CAJUA_CF_SEC_20230125.xlsx]CF PND'!$BY$65</v>
      </c>
      <c r="J3869" s="1" t="s">
        <v>1897</v>
      </c>
    </row>
    <row r="3870" spans="1:10" x14ac:dyDescent="0.2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Jaime\QUIFA-CAJÚA\Cajua\[VAS_CAJUA_CF_SEC_20230125.xlsx]CF PND'!</v>
      </c>
      <c r="G3870" s="6" t="s">
        <v>60</v>
      </c>
      <c r="H3870" s="1">
        <f t="shared" si="894"/>
        <v>66</v>
      </c>
      <c r="I3870" s="1" t="str">
        <f t="shared" si="895"/>
        <v>='C:\Users\jaime.benazar\Quorum Business Solutions\Ecopetrol Prometeo - Documents\Planning Space Implementation\3. Analysis &amp; Design\Design\FC22\DRR Jaime\QUIFA-CAJÚA\Cajua\[VAS_CAJUA_CF_SEC_20230125.xlsx]CF PND'!$BY$66</v>
      </c>
      <c r="J3870" s="1" t="s">
        <v>1898</v>
      </c>
    </row>
    <row r="3871" spans="1:10" x14ac:dyDescent="0.2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Jaime\QUIFA-CAJÚA\Cajua\[VAS_CAJUA_CF_SEC_20230125.xlsx]CF PND'!</v>
      </c>
      <c r="G3871" s="6" t="s">
        <v>60</v>
      </c>
      <c r="H3871" s="1">
        <f t="shared" si="894"/>
        <v>67</v>
      </c>
      <c r="I3871" s="1" t="str">
        <f t="shared" si="895"/>
        <v>='C:\Users\jaime.benazar\Quorum Business Solutions\Ecopetrol Prometeo - Documents\Planning Space Implementation\3. Analysis &amp; Design\Design\FC22\DRR Jaime\QUIFA-CAJÚA\Cajua\[VAS_CAJUA_CF_SEC_20230125.xlsx]CF PND'!$BY$67</v>
      </c>
      <c r="J3871" s="1" t="s">
        <v>1899</v>
      </c>
    </row>
    <row r="3872" spans="1:10" x14ac:dyDescent="0.2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Jaime\QUIFA-CAJÚA\Cajua\[VAS_CAJUA_CF_SEC_20230125.xlsx]CF PND'!</v>
      </c>
      <c r="G3872" s="6" t="s">
        <v>60</v>
      </c>
      <c r="H3872" s="1">
        <f t="shared" si="894"/>
        <v>68</v>
      </c>
      <c r="I3872" s="1" t="str">
        <f t="shared" si="895"/>
        <v>='C:\Users\jaime.benazar\Quorum Business Solutions\Ecopetrol Prometeo - Documents\Planning Space Implementation\3. Analysis &amp; Design\Design\FC22\DRR Jaime\QUIFA-CAJÚA\Cajua\[VAS_CAJUA_CF_SEC_20230125.xlsx]CF PND'!$BY$68</v>
      </c>
      <c r="J3872" s="1" t="s">
        <v>1900</v>
      </c>
    </row>
    <row r="3873" spans="1:10" x14ac:dyDescent="0.2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Jaime\QUIFA-CAJÚA\Cajua\[VAS_CAJUA_CF_SEC_20230125.xlsx]CF PND'!</v>
      </c>
      <c r="G3873" s="6" t="s">
        <v>60</v>
      </c>
      <c r="H3873" s="1">
        <f t="shared" si="894"/>
        <v>69</v>
      </c>
      <c r="I3873" s="1" t="str">
        <f t="shared" si="895"/>
        <v>='C:\Users\jaime.benazar\Quorum Business Solutions\Ecopetrol Prometeo - Documents\Planning Space Implementation\3. Analysis &amp; Design\Design\FC22\DRR Jaime\QUIFA-CAJÚA\Cajua\[VAS_CAJUA_CF_SEC_20230125.xlsx]CF PND'!$BY$69</v>
      </c>
      <c r="J3873" s="1" t="s">
        <v>1901</v>
      </c>
    </row>
    <row r="3874" spans="1:10" x14ac:dyDescent="0.2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Jaime\QUIFA-CAJÚA\Cajua\[VAS_CAJUA_CF_SEC_20230125.xlsx]CF PND'!</v>
      </c>
      <c r="G3874" s="6" t="s">
        <v>60</v>
      </c>
      <c r="H3874" s="1">
        <f t="shared" si="894"/>
        <v>70</v>
      </c>
      <c r="I3874" s="1" t="str">
        <f t="shared" si="895"/>
        <v>='C:\Users\jaime.benazar\Quorum Business Solutions\Ecopetrol Prometeo - Documents\Planning Space Implementation\3. Analysis &amp; Design\Design\FC22\DRR Jaime\QUIFA-CAJÚA\Cajua\[VAS_CAJUA_CF_SEC_20230125.xlsx]CF PND'!$BY$70</v>
      </c>
      <c r="J3874" s="1" t="s">
        <v>1902</v>
      </c>
    </row>
    <row r="3875" spans="1:10" x14ac:dyDescent="0.2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Jaime\QUIFA-CAJÚA\Cajua\[VAS_CAJUA_CF_SEC_20230125.xlsx]CF PND'!</v>
      </c>
      <c r="G3875" s="6" t="s">
        <v>60</v>
      </c>
      <c r="H3875" s="1">
        <f t="shared" si="894"/>
        <v>71</v>
      </c>
      <c r="I3875" s="1" t="str">
        <f t="shared" si="895"/>
        <v>='C:\Users\jaime.benazar\Quorum Business Solutions\Ecopetrol Prometeo - Documents\Planning Space Implementation\3. Analysis &amp; Design\Design\FC22\DRR Jaime\QUIFA-CAJÚA\Cajua\[VAS_CAJUA_CF_SEC_20230125.xlsx]CF PND'!$BY$71</v>
      </c>
      <c r="J3875" s="1" t="s">
        <v>1903</v>
      </c>
    </row>
    <row r="3876" spans="1:10" x14ac:dyDescent="0.2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Jaime\QUIFA-CAJÚA\Cajua\[VAS_CAJUA_CF_SEC_20230125.xlsx]CF PND'!</v>
      </c>
      <c r="G3876" s="6" t="s">
        <v>60</v>
      </c>
      <c r="H3876" s="1">
        <f t="shared" si="894"/>
        <v>72</v>
      </c>
      <c r="I3876" s="1" t="str">
        <f t="shared" si="895"/>
        <v>='C:\Users\jaime.benazar\Quorum Business Solutions\Ecopetrol Prometeo - Documents\Planning Space Implementation\3. Analysis &amp; Design\Design\FC22\DRR Jaime\QUIFA-CAJÚA\Cajua\[VAS_CAJUA_CF_SEC_20230125.xlsx]CF PND'!$BY$72</v>
      </c>
      <c r="J3876" s="1" t="s">
        <v>1904</v>
      </c>
    </row>
    <row r="3877" spans="1:10" x14ac:dyDescent="0.25">
      <c r="A3877" s="6" t="s">
        <v>28</v>
      </c>
      <c r="B3877" s="6"/>
      <c r="C3877" s="1" t="s">
        <v>109</v>
      </c>
      <c r="D3877" s="2"/>
      <c r="E3877" s="9"/>
      <c r="F3877" s="2"/>
      <c r="G3877" s="6"/>
      <c r="H3877" s="1"/>
      <c r="I3877" s="1"/>
      <c r="J3877" s="4"/>
    </row>
    <row r="3878" spans="1:10" x14ac:dyDescent="0.2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Jaime\QUIFA-CAJÚA\Cajua\[VAS_CAJUA_CF_SEC_20230125.xlsx]CF PRBDP'!</v>
      </c>
      <c r="G3878" s="6" t="s">
        <v>60</v>
      </c>
      <c r="H3878" s="1"/>
      <c r="I3878" s="1"/>
      <c r="J3878" s="1"/>
    </row>
    <row r="3879" spans="1:10" x14ac:dyDescent="0.2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Jaime\QUIFA-CAJÚA\Cajua\[VAS_CAJUA_CF_SEC_20230125.xlsx]CF PRBDP'!</v>
      </c>
      <c r="G3879" s="6" t="s">
        <v>60</v>
      </c>
      <c r="H3879" s="1"/>
      <c r="I3879" s="1"/>
      <c r="J3879" s="1"/>
    </row>
    <row r="3880" spans="1:10" x14ac:dyDescent="0.2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Jaime\QUIFA-CAJÚA\Cajua\[VAS_CAJUA_CF_SEC_20230125.xlsx]CF PRBDP'!</v>
      </c>
      <c r="G3880" s="6" t="s">
        <v>60</v>
      </c>
      <c r="H3880" s="1"/>
      <c r="I3880" s="1"/>
      <c r="J3880" s="1"/>
    </row>
    <row r="3881" spans="1:10" x14ac:dyDescent="0.2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Jaime\QUIFA-CAJÚA\Cajua\[VAS_CAJUA_CF_SEC_20230125.xlsx]CF PRBDP'!</v>
      </c>
      <c r="G3881" s="6" t="s">
        <v>60</v>
      </c>
      <c r="H3881" s="1"/>
      <c r="I3881" s="1"/>
      <c r="J3881" s="1"/>
    </row>
    <row r="3882" spans="1:10" x14ac:dyDescent="0.2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Jaime\QUIFA-CAJÚA\Cajua\[VAS_CAJUA_CF_SEC_20230125.xlsx]CF PRBDP'!</v>
      </c>
      <c r="G3882" s="6" t="s">
        <v>60</v>
      </c>
      <c r="H3882" s="1"/>
      <c r="I3882" s="1"/>
      <c r="J3882" s="1"/>
    </row>
    <row r="3883" spans="1:10" x14ac:dyDescent="0.2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Jaime\QUIFA-CAJÚA\Cajua\[VAS_CAJUA_CF_SEC_20230125.xlsx]CF PRBDP'!</v>
      </c>
      <c r="G3883" s="6" t="s">
        <v>60</v>
      </c>
      <c r="H3883" s="1"/>
      <c r="I3883" s="1"/>
      <c r="J3883" s="1"/>
    </row>
    <row r="3884" spans="1:10" x14ac:dyDescent="0.2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Jaime\QUIFA-CAJÚA\Cajua\[VAS_CAJUA_CF_SEC_20230125.xlsx]CF PRBDP'!</v>
      </c>
      <c r="G3884" s="6" t="s">
        <v>60</v>
      </c>
      <c r="H3884" s="1"/>
      <c r="I3884" s="1"/>
      <c r="J3884" s="1"/>
    </row>
    <row r="3885" spans="1:10" x14ac:dyDescent="0.2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Jaime\QUIFA-CAJÚA\Cajua\[VAS_CAJUA_CF_SEC_20230125.xlsx]CF PRBDP'!</v>
      </c>
      <c r="G3885" s="6" t="s">
        <v>60</v>
      </c>
      <c r="H3885" s="1"/>
      <c r="I3885" s="1"/>
      <c r="J3885" s="1"/>
    </row>
    <row r="3886" spans="1:10" x14ac:dyDescent="0.2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Jaime\QUIFA-CAJÚA\Cajua\[VAS_CAJUA_CF_SEC_20230125.xlsx]CF PRBDP'!</v>
      </c>
      <c r="G3886" s="6" t="s">
        <v>60</v>
      </c>
      <c r="H3886" s="1"/>
      <c r="I3886" s="1"/>
      <c r="J3886" s="1"/>
    </row>
    <row r="3887" spans="1:10" x14ac:dyDescent="0.2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Jaime\QUIFA-CAJÚA\Cajua\[VAS_CAJUA_CF_SEC_20230125.xlsx]CF PRBDP'!</v>
      </c>
      <c r="G3887" s="6" t="s">
        <v>60</v>
      </c>
      <c r="H3887" s="1"/>
      <c r="I3887" s="1"/>
      <c r="J3887" s="1"/>
    </row>
    <row r="3888" spans="1:10" x14ac:dyDescent="0.2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Jaime\QUIFA-CAJÚA\Cajua\[VAS_CAJUA_CF_SEC_20230125.xlsx]CF PRBDP'!</v>
      </c>
      <c r="G3888" s="6" t="s">
        <v>60</v>
      </c>
      <c r="H3888" s="1"/>
      <c r="I3888" s="1"/>
      <c r="J3888" s="1"/>
    </row>
    <row r="3889" spans="1:10" x14ac:dyDescent="0.2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Jaime\QUIFA-CAJÚA\Cajua\[VAS_CAJUA_CF_SEC_20230125.xlsx]CF PRBDP'!</v>
      </c>
      <c r="G3889" s="6" t="s">
        <v>60</v>
      </c>
      <c r="H3889" s="1"/>
      <c r="I3889" s="1"/>
      <c r="J3889" s="1"/>
    </row>
    <row r="3890" spans="1:10" x14ac:dyDescent="0.2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Jaime\QUIFA-CAJÚA\Cajua\[VAS_CAJUA_CF_SEC_20230125.xlsx]CF PRBDP'!</v>
      </c>
      <c r="G3890" s="6" t="s">
        <v>60</v>
      </c>
      <c r="H3890" s="1"/>
      <c r="I3890" s="1"/>
      <c r="J3890" s="1"/>
    </row>
    <row r="3891" spans="1:10" x14ac:dyDescent="0.2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Jaime\QUIFA-CAJÚA\Cajua\[VAS_CAJUA_CF_SEC_20230125.xlsx]CF PRBDP'!</v>
      </c>
      <c r="G3891" s="6" t="s">
        <v>60</v>
      </c>
      <c r="H3891" s="1"/>
      <c r="I3891" s="1"/>
      <c r="J3891" s="1"/>
    </row>
    <row r="3892" spans="1:10" x14ac:dyDescent="0.2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Jaime\QUIFA-CAJÚA\Cajua\[VAS_CAJUA_CF_SEC_20230125.xlsx]CF PRBDP'!</v>
      </c>
      <c r="G3892" s="6" t="s">
        <v>60</v>
      </c>
      <c r="H3892" s="1"/>
      <c r="I3892" s="1"/>
      <c r="J3892" s="1"/>
    </row>
    <row r="3893" spans="1:10" x14ac:dyDescent="0.2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Jaime\QUIFA-CAJÚA\Cajua\[VAS_CAJUA_CF_SEC_20230125.xlsx]CF PRBDP'!</v>
      </c>
      <c r="G3893" s="6" t="s">
        <v>60</v>
      </c>
      <c r="H3893" s="1"/>
      <c r="I3893" s="1"/>
      <c r="J3893" s="1"/>
    </row>
    <row r="3894" spans="1:10" x14ac:dyDescent="0.2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Jaime\QUIFA-CAJÚA\Cajua\[VAS_CAJUA_CF_SEC_20230125.xlsx]CF PRBDP'!</v>
      </c>
      <c r="G3894" s="6" t="s">
        <v>60</v>
      </c>
      <c r="H3894" s="1"/>
      <c r="I3894" s="1"/>
      <c r="J3894" s="1"/>
    </row>
    <row r="3895" spans="1:10" x14ac:dyDescent="0.2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Jaime\QUIFA-CAJÚA\Cajua\[VAS_CAJUA_CF_SEC_20230125.xlsx]CF PRBDP'!</v>
      </c>
      <c r="G3895" s="6" t="s">
        <v>60</v>
      </c>
      <c r="H3895" s="1"/>
      <c r="I3895" s="1"/>
      <c r="J3895" s="1"/>
    </row>
    <row r="3896" spans="1:10" x14ac:dyDescent="0.2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Jaime\QUIFA-CAJÚA\Cajua\[VAS_CAJUA_CF_SEC_20230125.xlsx]CF PRBDP'!</v>
      </c>
      <c r="G3896" s="6" t="s">
        <v>60</v>
      </c>
      <c r="H3896" s="1"/>
      <c r="I3896" s="1"/>
      <c r="J3896" s="1"/>
    </row>
    <row r="3897" spans="1:10" x14ac:dyDescent="0.2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Jaime\QUIFA-CAJÚA\Cajua\[VAS_CAJUA_CF_SEC_20230125.xlsx]CF PRBDP'!</v>
      </c>
      <c r="G3897" s="6" t="s">
        <v>60</v>
      </c>
      <c r="H3897" s="1"/>
      <c r="I3897" s="1"/>
      <c r="J3897" s="1"/>
    </row>
    <row r="3898" spans="1:10" x14ac:dyDescent="0.2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Jaime\QUIFA-CAJÚA\Cajua\[VAS_CAJUA_CF_SEC_20230125.xlsx]CF PRBDP'!</v>
      </c>
      <c r="G3898" s="6" t="s">
        <v>60</v>
      </c>
      <c r="H3898" s="1"/>
      <c r="I3898" s="1"/>
      <c r="J3898" s="1"/>
    </row>
    <row r="3899" spans="1:10" x14ac:dyDescent="0.2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Jaime\QUIFA-CAJÚA\Cajua\[VAS_CAJUA_CF_SEC_20230125.xlsx]CF PRBDP'!</v>
      </c>
      <c r="G3899" s="6" t="s">
        <v>60</v>
      </c>
      <c r="H3899" s="1"/>
      <c r="I3899" s="1"/>
      <c r="J3899" s="1"/>
    </row>
    <row r="3900" spans="1:10" x14ac:dyDescent="0.2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Jaime\QUIFA-CAJÚA\Cajua\[VAS_CAJUA_CF_SEC_20230125.xlsx]CF PRBDP'!</v>
      </c>
      <c r="G3900" s="6" t="s">
        <v>60</v>
      </c>
      <c r="H3900" s="1"/>
      <c r="I3900" s="1"/>
      <c r="J3900" s="1"/>
    </row>
    <row r="3901" spans="1:10" x14ac:dyDescent="0.2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Jaime\QUIFA-CAJÚA\Cajua\[VAS_CAJUA_CF_SEC_20230125.xlsx]CF PRBDP'!</v>
      </c>
      <c r="G3901" s="6" t="s">
        <v>60</v>
      </c>
      <c r="H3901" s="1"/>
      <c r="I3901" s="1"/>
      <c r="J3901" s="1"/>
    </row>
    <row r="3902" spans="1:10" x14ac:dyDescent="0.2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Jaime\QUIFA-CAJÚA\Cajua\[VAS_CAJUA_CF_SEC_20230125.xlsx]CF PRBDP'!</v>
      </c>
      <c r="G3902" s="6" t="s">
        <v>60</v>
      </c>
      <c r="H3902" s="1"/>
      <c r="I3902" s="1"/>
      <c r="J3902" s="1"/>
    </row>
    <row r="3903" spans="1:10" x14ac:dyDescent="0.2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Jaime\QUIFA-CAJÚA\Cajua\[VAS_CAJUA_CF_SEC_20230125.xlsx]CF PRBDP'!</v>
      </c>
      <c r="G3903" s="6" t="s">
        <v>60</v>
      </c>
      <c r="H3903" s="1"/>
      <c r="I3903" s="1"/>
      <c r="J3903" s="1"/>
    </row>
    <row r="3904" spans="1:10" x14ac:dyDescent="0.2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Jaime\QUIFA-CAJÚA\Cajua\[VAS_CAJUA_CF_SEC_20230125.xlsx]CF PRBDP'!</v>
      </c>
      <c r="G3904" s="6" t="s">
        <v>60</v>
      </c>
      <c r="H3904" s="1"/>
      <c r="I3904" s="1"/>
      <c r="J3904" s="1"/>
    </row>
    <row r="3905" spans="1:10" x14ac:dyDescent="0.2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Jaime\QUIFA-CAJÚA\Cajua\[VAS_CAJUA_CF_SEC_20230125.xlsx]CF PRBDP'!</v>
      </c>
      <c r="G3905" s="6" t="s">
        <v>60</v>
      </c>
      <c r="H3905" s="1"/>
      <c r="I3905" s="1"/>
      <c r="J3905" s="1"/>
    </row>
    <row r="3906" spans="1:10" x14ac:dyDescent="0.2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Jaime\QUIFA-CAJÚA\Cajua\[VAS_CAJUA_CF_SEC_20230125.xlsx]CF PRBDP'!</v>
      </c>
      <c r="G3906" s="6" t="s">
        <v>60</v>
      </c>
      <c r="H3906" s="1"/>
      <c r="I3906" s="1"/>
      <c r="J3906" s="1"/>
    </row>
    <row r="3907" spans="1:10" x14ac:dyDescent="0.2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Jaime\QUIFA-CAJÚA\Cajua\[VAS_CAJUA_CF_SEC_20230125.xlsx]CF PRBDP'!</v>
      </c>
      <c r="G3907" s="6" t="s">
        <v>60</v>
      </c>
      <c r="H3907" s="1"/>
      <c r="I3907" s="1"/>
      <c r="J3907" s="1"/>
    </row>
    <row r="3908" spans="1:10" x14ac:dyDescent="0.2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Jaime\QUIFA-CAJÚA\Cajua\[VAS_CAJUA_CF_SEC_20230125.xlsx]CF PRBDP'!</v>
      </c>
      <c r="G3908" s="6" t="s">
        <v>60</v>
      </c>
      <c r="H3908" s="1"/>
      <c r="I3908" s="1"/>
      <c r="J3908" s="1"/>
    </row>
    <row r="3909" spans="1:10" x14ac:dyDescent="0.2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Jaime\QUIFA-CAJÚA\Cajua\[VAS_CAJUA_CF_SEC_20230125.xlsx]CF PRBDP'!</v>
      </c>
      <c r="G3909" s="6" t="s">
        <v>60</v>
      </c>
      <c r="H3909" s="1"/>
      <c r="I3909" s="1"/>
      <c r="J3909" s="1"/>
    </row>
    <row r="3910" spans="1:10" x14ac:dyDescent="0.2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Jaime\QUIFA-CAJÚA\Cajua\[VAS_CAJUA_CF_SEC_20230125.xlsx]CF PRBDP'!</v>
      </c>
      <c r="G3910" s="6" t="s">
        <v>60</v>
      </c>
      <c r="H3910" s="1"/>
      <c r="I3910" s="1"/>
      <c r="J3910" s="1"/>
    </row>
    <row r="3911" spans="1:10" x14ac:dyDescent="0.2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Jaime\QUIFA-CAJÚA\Cajua\[VAS_CAJUA_CF_SEC_20230125.xlsx]CF PRBDP'!</v>
      </c>
      <c r="G3911" s="6" t="s">
        <v>60</v>
      </c>
      <c r="H3911" s="1"/>
      <c r="I3911" s="1"/>
      <c r="J3911" s="1"/>
    </row>
    <row r="3912" spans="1:10" x14ac:dyDescent="0.2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Jaime\QUIFA-CAJÚA\Cajua\[VAS_CAJUA_CF_SEC_20230125.xlsx]CF PRBDP'!</v>
      </c>
      <c r="G3912" s="6" t="s">
        <v>60</v>
      </c>
      <c r="H3912" s="1"/>
      <c r="I3912" s="1"/>
      <c r="J3912" s="1"/>
    </row>
    <row r="3913" spans="1:10" x14ac:dyDescent="0.2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Jaime\QUIFA-CAJÚA\Cajua\[VAS_CAJUA_CF_SEC_20230125.xlsx]CF PRBDP'!</v>
      </c>
      <c r="G3913" s="6" t="s">
        <v>60</v>
      </c>
      <c r="H3913" s="1"/>
      <c r="I3913" s="1"/>
      <c r="J3913" s="1"/>
    </row>
    <row r="3914" spans="1:10" x14ac:dyDescent="0.2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Jaime\QUIFA-CAJÚA\Cajua\[VAS_CAJUA_CF_SEC_20230125.xlsx]CF PRBDP'!</v>
      </c>
      <c r="G3914" s="6" t="s">
        <v>60</v>
      </c>
      <c r="H3914" s="1"/>
      <c r="I3914" s="1"/>
      <c r="J3914" s="1"/>
    </row>
    <row r="3915" spans="1:10" x14ac:dyDescent="0.25">
      <c r="A3915" s="6" t="s">
        <v>28</v>
      </c>
      <c r="B3915" s="6"/>
      <c r="C3915" s="1" t="s">
        <v>109</v>
      </c>
      <c r="D3915" s="2"/>
      <c r="E3915" s="9"/>
      <c r="F3915" s="2"/>
      <c r="G3915" s="6"/>
      <c r="H3915" s="1"/>
      <c r="I3915" s="1"/>
      <c r="J3915" s="12"/>
    </row>
    <row r="3916" spans="1:10" x14ac:dyDescent="0.2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Jaime\QUIFA-CAJÚA\Cajua\[VAS_CAJUA_CF_SEC_20230125.xlsx]CF PRBNP'!</v>
      </c>
      <c r="G3916" s="6" t="s">
        <v>60</v>
      </c>
      <c r="H3916" s="1"/>
      <c r="I3916" s="1"/>
      <c r="J3916" s="1"/>
    </row>
    <row r="3917" spans="1:10" x14ac:dyDescent="0.2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Jaime\QUIFA-CAJÚA\Cajua\[VAS_CAJUA_CF_SEC_20230125.xlsx]CF PRBNP'!</v>
      </c>
      <c r="G3917" s="6" t="s">
        <v>60</v>
      </c>
      <c r="H3917" s="1"/>
      <c r="I3917" s="1"/>
      <c r="J3917" s="1"/>
    </row>
    <row r="3918" spans="1:10" x14ac:dyDescent="0.2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Jaime\QUIFA-CAJÚA\Cajua\[VAS_CAJUA_CF_SEC_20230125.xlsx]CF PRBNP'!</v>
      </c>
      <c r="G3918" s="6" t="s">
        <v>60</v>
      </c>
      <c r="H3918" s="1"/>
      <c r="I3918" s="1"/>
      <c r="J3918" s="1"/>
    </row>
    <row r="3919" spans="1:10" x14ac:dyDescent="0.2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Jaime\QUIFA-CAJÚA\Cajua\[VAS_CAJUA_CF_SEC_20230125.xlsx]CF PRBNP'!</v>
      </c>
      <c r="G3919" s="6" t="s">
        <v>60</v>
      </c>
      <c r="H3919" s="1"/>
      <c r="I3919" s="1"/>
      <c r="J3919" s="1"/>
    </row>
    <row r="3920" spans="1:10" x14ac:dyDescent="0.2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Jaime\QUIFA-CAJÚA\Cajua\[VAS_CAJUA_CF_SEC_20230125.xlsx]CF PRBNP'!</v>
      </c>
      <c r="G3920" s="6" t="s">
        <v>60</v>
      </c>
      <c r="H3920" s="1"/>
      <c r="I3920" s="1"/>
      <c r="J3920" s="1"/>
    </row>
    <row r="3921" spans="1:10" x14ac:dyDescent="0.2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Jaime\QUIFA-CAJÚA\Cajua\[VAS_CAJUA_CF_SEC_20230125.xlsx]CF PRBNP'!</v>
      </c>
      <c r="G3921" s="6" t="s">
        <v>60</v>
      </c>
      <c r="H3921" s="1"/>
      <c r="I3921" s="1"/>
      <c r="J3921" s="1"/>
    </row>
    <row r="3922" spans="1:10" x14ac:dyDescent="0.2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Jaime\QUIFA-CAJÚA\Cajua\[VAS_CAJUA_CF_SEC_20230125.xlsx]CF PRBNP'!</v>
      </c>
      <c r="G3922" s="6" t="s">
        <v>60</v>
      </c>
      <c r="H3922" s="1"/>
      <c r="I3922" s="1"/>
      <c r="J3922" s="1"/>
    </row>
    <row r="3923" spans="1:10" x14ac:dyDescent="0.2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Jaime\QUIFA-CAJÚA\Cajua\[VAS_CAJUA_CF_SEC_20230125.xlsx]CF PRBNP'!</v>
      </c>
      <c r="G3923" s="6" t="s">
        <v>60</v>
      </c>
      <c r="H3923" s="1"/>
      <c r="I3923" s="1"/>
      <c r="J3923" s="1"/>
    </row>
    <row r="3924" spans="1:10" x14ac:dyDescent="0.2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Jaime\QUIFA-CAJÚA\Cajua\[VAS_CAJUA_CF_SEC_20230125.xlsx]CF PRBNP'!</v>
      </c>
      <c r="G3924" s="6" t="s">
        <v>60</v>
      </c>
      <c r="H3924" s="1"/>
      <c r="I3924" s="1"/>
      <c r="J3924" s="1"/>
    </row>
    <row r="3925" spans="1:10" x14ac:dyDescent="0.2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Jaime\QUIFA-CAJÚA\Cajua\[VAS_CAJUA_CF_SEC_20230125.xlsx]CF PRBNP'!</v>
      </c>
      <c r="G3925" s="6" t="s">
        <v>60</v>
      </c>
      <c r="H3925" s="1"/>
      <c r="I3925" s="1"/>
      <c r="J3925" s="1"/>
    </row>
    <row r="3926" spans="1:10" x14ac:dyDescent="0.2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Jaime\QUIFA-CAJÚA\Cajua\[VAS_CAJUA_CF_SEC_20230125.xlsx]CF PRBNP'!</v>
      </c>
      <c r="G3926" s="6" t="s">
        <v>60</v>
      </c>
      <c r="H3926" s="1"/>
      <c r="I3926" s="1"/>
      <c r="J3926" s="1"/>
    </row>
    <row r="3927" spans="1:10" x14ac:dyDescent="0.2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Jaime\QUIFA-CAJÚA\Cajua\[VAS_CAJUA_CF_SEC_20230125.xlsx]CF PRBNP'!</v>
      </c>
      <c r="G3927" s="6" t="s">
        <v>60</v>
      </c>
      <c r="H3927" s="1"/>
      <c r="I3927" s="1"/>
      <c r="J3927" s="1"/>
    </row>
    <row r="3928" spans="1:10" x14ac:dyDescent="0.2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Jaime\QUIFA-CAJÚA\Cajua\[VAS_CAJUA_CF_SEC_20230125.xlsx]CF PRBNP'!</v>
      </c>
      <c r="G3928" s="6" t="s">
        <v>60</v>
      </c>
      <c r="H3928" s="1"/>
      <c r="I3928" s="1"/>
      <c r="J3928" s="1"/>
    </row>
    <row r="3929" spans="1:10" x14ac:dyDescent="0.2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Jaime\QUIFA-CAJÚA\Cajua\[VAS_CAJUA_CF_SEC_20230125.xlsx]CF PRBNP'!</v>
      </c>
      <c r="G3929" s="6" t="s">
        <v>60</v>
      </c>
      <c r="H3929" s="1"/>
      <c r="I3929" s="1"/>
      <c r="J3929" s="1"/>
    </row>
    <row r="3930" spans="1:10" x14ac:dyDescent="0.2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Jaime\QUIFA-CAJÚA\Cajua\[VAS_CAJUA_CF_SEC_20230125.xlsx]CF PRBNP'!</v>
      </c>
      <c r="G3930" s="6" t="s">
        <v>60</v>
      </c>
      <c r="H3930" s="1"/>
      <c r="I3930" s="1"/>
      <c r="J3930" s="1"/>
    </row>
    <row r="3931" spans="1:10" x14ac:dyDescent="0.2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Jaime\QUIFA-CAJÚA\Cajua\[VAS_CAJUA_CF_SEC_20230125.xlsx]CF PRBNP'!</v>
      </c>
      <c r="G3931" s="6" t="s">
        <v>60</v>
      </c>
      <c r="H3931" s="1"/>
      <c r="I3931" s="1"/>
      <c r="J3931" s="1"/>
    </row>
    <row r="3932" spans="1:10" x14ac:dyDescent="0.2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Jaime\QUIFA-CAJÚA\Cajua\[VAS_CAJUA_CF_SEC_20230125.xlsx]CF PRBNP'!</v>
      </c>
      <c r="G3932" s="6" t="s">
        <v>60</v>
      </c>
      <c r="H3932" s="1"/>
      <c r="I3932" s="1"/>
      <c r="J3932" s="1"/>
    </row>
    <row r="3933" spans="1:10" x14ac:dyDescent="0.2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Jaime\QUIFA-CAJÚA\Cajua\[VAS_CAJUA_CF_SEC_20230125.xlsx]CF PRBNP'!</v>
      </c>
      <c r="G3933" s="6" t="s">
        <v>60</v>
      </c>
      <c r="H3933" s="1"/>
      <c r="I3933" s="1"/>
      <c r="J3933" s="1"/>
    </row>
    <row r="3934" spans="1:10" x14ac:dyDescent="0.2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Jaime\QUIFA-CAJÚA\Cajua\[VAS_CAJUA_CF_SEC_20230125.xlsx]CF PRBNP'!</v>
      </c>
      <c r="G3934" s="6" t="s">
        <v>60</v>
      </c>
      <c r="H3934" s="1"/>
      <c r="I3934" s="1"/>
      <c r="J3934" s="1"/>
    </row>
    <row r="3935" spans="1:10" x14ac:dyDescent="0.2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Jaime\QUIFA-CAJÚA\Cajua\[VAS_CAJUA_CF_SEC_20230125.xlsx]CF PRBNP'!</v>
      </c>
      <c r="G3935" s="6" t="s">
        <v>60</v>
      </c>
      <c r="H3935" s="1"/>
      <c r="I3935" s="1"/>
      <c r="J3935" s="1"/>
    </row>
    <row r="3936" spans="1:10" x14ac:dyDescent="0.2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Jaime\QUIFA-CAJÚA\Cajua\[VAS_CAJUA_CF_SEC_20230125.xlsx]CF PRBNP'!</v>
      </c>
      <c r="G3936" s="6" t="s">
        <v>60</v>
      </c>
      <c r="H3936" s="1"/>
      <c r="I3936" s="1"/>
      <c r="J3936" s="1"/>
    </row>
    <row r="3937" spans="1:10" x14ac:dyDescent="0.2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Jaime\QUIFA-CAJÚA\Cajua\[VAS_CAJUA_CF_SEC_20230125.xlsx]CF PRBNP'!</v>
      </c>
      <c r="G3937" s="6" t="s">
        <v>60</v>
      </c>
      <c r="H3937" s="1"/>
      <c r="I3937" s="1"/>
      <c r="J3937" s="1"/>
    </row>
    <row r="3938" spans="1:10" x14ac:dyDescent="0.2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Jaime\QUIFA-CAJÚA\Cajua\[VAS_CAJUA_CF_SEC_20230125.xlsx]CF PRBNP'!</v>
      </c>
      <c r="G3938" s="6" t="s">
        <v>60</v>
      </c>
      <c r="H3938" s="1"/>
      <c r="I3938" s="1"/>
      <c r="J3938" s="1"/>
    </row>
    <row r="3939" spans="1:10" x14ac:dyDescent="0.2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Jaime\QUIFA-CAJÚA\Cajua\[VAS_CAJUA_CF_SEC_20230125.xlsx]CF PRBNP'!</v>
      </c>
      <c r="G3939" s="6" t="s">
        <v>60</v>
      </c>
      <c r="H3939" s="1"/>
      <c r="I3939" s="1"/>
      <c r="J3939" s="1"/>
    </row>
    <row r="3940" spans="1:10" x14ac:dyDescent="0.2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Jaime\QUIFA-CAJÚA\Cajua\[VAS_CAJUA_CF_SEC_20230125.xlsx]CF PRBNP'!</v>
      </c>
      <c r="G3940" s="6" t="s">
        <v>60</v>
      </c>
      <c r="H3940" s="1"/>
      <c r="I3940" s="1"/>
      <c r="J3940" s="1"/>
    </row>
    <row r="3941" spans="1:10" x14ac:dyDescent="0.2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Jaime\QUIFA-CAJÚA\Cajua\[VAS_CAJUA_CF_SEC_20230125.xlsx]CF PRBNP'!</v>
      </c>
      <c r="G3941" s="6" t="s">
        <v>60</v>
      </c>
      <c r="H3941" s="1"/>
      <c r="I3941" s="1"/>
      <c r="J3941" s="1"/>
    </row>
    <row r="3942" spans="1:10" x14ac:dyDescent="0.2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Jaime\QUIFA-CAJÚA\Cajua\[VAS_CAJUA_CF_SEC_20230125.xlsx]CF PRBNP'!</v>
      </c>
      <c r="G3942" s="6" t="s">
        <v>60</v>
      </c>
      <c r="H3942" s="1"/>
      <c r="I3942" s="1"/>
      <c r="J3942" s="1"/>
    </row>
    <row r="3943" spans="1:10" x14ac:dyDescent="0.2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Jaime\QUIFA-CAJÚA\Cajua\[VAS_CAJUA_CF_SEC_20230125.xlsx]CF PRBNP'!</v>
      </c>
      <c r="G3943" s="6" t="s">
        <v>60</v>
      </c>
      <c r="H3943" s="1"/>
      <c r="I3943" s="1"/>
      <c r="J3943" s="1"/>
    </row>
    <row r="3944" spans="1:10" x14ac:dyDescent="0.2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Jaime\QUIFA-CAJÚA\Cajua\[VAS_CAJUA_CF_SEC_20230125.xlsx]CF PRBNP'!</v>
      </c>
      <c r="G3944" s="6" t="s">
        <v>60</v>
      </c>
      <c r="H3944" s="1"/>
      <c r="I3944" s="1"/>
      <c r="J3944" s="1"/>
    </row>
    <row r="3945" spans="1:10" x14ac:dyDescent="0.2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Jaime\QUIFA-CAJÚA\Cajua\[VAS_CAJUA_CF_SEC_20230125.xlsx]CF PRBNP'!</v>
      </c>
      <c r="G3945" s="6" t="s">
        <v>60</v>
      </c>
      <c r="H3945" s="1"/>
      <c r="I3945" s="1"/>
      <c r="J3945" s="1"/>
    </row>
    <row r="3946" spans="1:10" x14ac:dyDescent="0.2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Jaime\QUIFA-CAJÚA\Cajua\[VAS_CAJUA_CF_SEC_20230125.xlsx]CF PRBNP'!</v>
      </c>
      <c r="G3946" s="6" t="s">
        <v>60</v>
      </c>
      <c r="H3946" s="1"/>
      <c r="I3946" s="1"/>
      <c r="J3946" s="1"/>
    </row>
    <row r="3947" spans="1:10" x14ac:dyDescent="0.2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Jaime\QUIFA-CAJÚA\Cajua\[VAS_CAJUA_CF_SEC_20230125.xlsx]CF PRBNP'!</v>
      </c>
      <c r="G3947" s="6" t="s">
        <v>60</v>
      </c>
      <c r="H3947" s="1"/>
      <c r="I3947" s="1"/>
      <c r="J3947" s="1"/>
    </row>
    <row r="3948" spans="1:10" x14ac:dyDescent="0.2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Jaime\QUIFA-CAJÚA\Cajua\[VAS_CAJUA_CF_SEC_20230125.xlsx]CF PRBNP'!</v>
      </c>
      <c r="G3948" s="6" t="s">
        <v>60</v>
      </c>
      <c r="H3948" s="1"/>
      <c r="I3948" s="1"/>
      <c r="J3948" s="1"/>
    </row>
    <row r="3949" spans="1:10" x14ac:dyDescent="0.2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Jaime\QUIFA-CAJÚA\Cajua\[VAS_CAJUA_CF_SEC_20230125.xlsx]CF PRBNP'!</v>
      </c>
      <c r="G3949" s="6" t="s">
        <v>60</v>
      </c>
      <c r="H3949" s="1"/>
      <c r="I3949" s="1"/>
      <c r="J3949" s="1"/>
    </row>
    <row r="3950" spans="1:10" x14ac:dyDescent="0.2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Jaime\QUIFA-CAJÚA\Cajua\[VAS_CAJUA_CF_SEC_20230125.xlsx]CF PRBNP'!</v>
      </c>
      <c r="G3950" s="6" t="s">
        <v>60</v>
      </c>
      <c r="H3950" s="1"/>
      <c r="I3950" s="1"/>
      <c r="J3950" s="1"/>
    </row>
    <row r="3951" spans="1:10" x14ac:dyDescent="0.2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Jaime\QUIFA-CAJÚA\Cajua\[VAS_CAJUA_CF_SEC_20230125.xlsx]CF PRBNP'!</v>
      </c>
      <c r="G3951" s="6" t="s">
        <v>60</v>
      </c>
      <c r="H3951" s="1"/>
      <c r="I3951" s="1"/>
      <c r="J3951" s="1"/>
    </row>
    <row r="3952" spans="1:10" x14ac:dyDescent="0.2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Jaime\QUIFA-CAJÚA\Cajua\[VAS_CAJUA_CF_SEC_20230125.xlsx]CF PRBNP'!</v>
      </c>
      <c r="G3952" s="6" t="s">
        <v>60</v>
      </c>
      <c r="H3952" s="1"/>
      <c r="I3952" s="1"/>
      <c r="J3952" s="1"/>
    </row>
    <row r="3953" spans="1:10" x14ac:dyDescent="0.25">
      <c r="A3953" s="6" t="s">
        <v>28</v>
      </c>
      <c r="B3953" s="6"/>
      <c r="C3953" s="1" t="s">
        <v>109</v>
      </c>
      <c r="D3953" s="2"/>
      <c r="E3953" s="9"/>
      <c r="F3953" s="2"/>
      <c r="G3953" s="6"/>
      <c r="H3953" s="1"/>
      <c r="I3953" s="1"/>
      <c r="J3953" s="12"/>
    </row>
    <row r="3954" spans="1:10" x14ac:dyDescent="0.2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Jaime\QUIFA-CAJÚA\Cajua\[VAS_CAJUA_CF_SEC_20230125.xlsx]CF PRBND'!</v>
      </c>
      <c r="G3954" s="6" t="s">
        <v>60</v>
      </c>
      <c r="H3954" s="1"/>
      <c r="I3954" s="1"/>
      <c r="J3954" s="1"/>
    </row>
    <row r="3955" spans="1:10" x14ac:dyDescent="0.2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Jaime\QUIFA-CAJÚA\Cajua\[VAS_CAJUA_CF_SEC_20230125.xlsx]CF PRBND'!</v>
      </c>
      <c r="G3955" s="6" t="s">
        <v>60</v>
      </c>
      <c r="H3955" s="1"/>
      <c r="I3955" s="1"/>
      <c r="J3955" s="1"/>
    </row>
    <row r="3956" spans="1:10" x14ac:dyDescent="0.2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Jaime\QUIFA-CAJÚA\Cajua\[VAS_CAJUA_CF_SEC_20230125.xlsx]CF PRBND'!</v>
      </c>
      <c r="G3956" s="6" t="s">
        <v>60</v>
      </c>
      <c r="H3956" s="1"/>
      <c r="I3956" s="1"/>
      <c r="J3956" s="1"/>
    </row>
    <row r="3957" spans="1:10" x14ac:dyDescent="0.2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Jaime\QUIFA-CAJÚA\Cajua\[VAS_CAJUA_CF_SEC_20230125.xlsx]CF PRBND'!</v>
      </c>
      <c r="G3957" s="6" t="s">
        <v>60</v>
      </c>
      <c r="H3957" s="1"/>
      <c r="I3957" s="1"/>
      <c r="J3957" s="1"/>
    </row>
    <row r="3958" spans="1:10" x14ac:dyDescent="0.2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Jaime\QUIFA-CAJÚA\Cajua\[VAS_CAJUA_CF_SEC_20230125.xlsx]CF PRBND'!</v>
      </c>
      <c r="G3958" s="6" t="s">
        <v>60</v>
      </c>
      <c r="H3958" s="1"/>
      <c r="I3958" s="1"/>
      <c r="J3958" s="1"/>
    </row>
    <row r="3959" spans="1:10" x14ac:dyDescent="0.2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Jaime\QUIFA-CAJÚA\Cajua\[VAS_CAJUA_CF_SEC_20230125.xlsx]CF PRBND'!</v>
      </c>
      <c r="G3959" s="6" t="s">
        <v>60</v>
      </c>
      <c r="H3959" s="1"/>
      <c r="I3959" s="1"/>
      <c r="J3959" s="1"/>
    </row>
    <row r="3960" spans="1:10" x14ac:dyDescent="0.2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Jaime\QUIFA-CAJÚA\Cajua\[VAS_CAJUA_CF_SEC_20230125.xlsx]CF PRBND'!</v>
      </c>
      <c r="G3960" s="6" t="s">
        <v>60</v>
      </c>
      <c r="H3960" s="1"/>
      <c r="I3960" s="1"/>
      <c r="J3960" s="1"/>
    </row>
    <row r="3961" spans="1:10" x14ac:dyDescent="0.2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Jaime\QUIFA-CAJÚA\Cajua\[VAS_CAJUA_CF_SEC_20230125.xlsx]CF PRBND'!</v>
      </c>
      <c r="G3961" s="6" t="s">
        <v>60</v>
      </c>
      <c r="H3961" s="1"/>
      <c r="I3961" s="1"/>
      <c r="J3961" s="1"/>
    </row>
    <row r="3962" spans="1:10" x14ac:dyDescent="0.2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Jaime\QUIFA-CAJÚA\Cajua\[VAS_CAJUA_CF_SEC_20230125.xlsx]CF PRBND'!</v>
      </c>
      <c r="G3962" s="6" t="s">
        <v>60</v>
      </c>
      <c r="H3962" s="1"/>
      <c r="I3962" s="1"/>
      <c r="J3962" s="1"/>
    </row>
    <row r="3963" spans="1:10" x14ac:dyDescent="0.2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Jaime\QUIFA-CAJÚA\Cajua\[VAS_CAJUA_CF_SEC_20230125.xlsx]CF PRBND'!</v>
      </c>
      <c r="G3963" s="6" t="s">
        <v>60</v>
      </c>
      <c r="H3963" s="1"/>
      <c r="I3963" s="1"/>
      <c r="J3963" s="1"/>
    </row>
    <row r="3964" spans="1:10" x14ac:dyDescent="0.2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Jaime\QUIFA-CAJÚA\Cajua\[VAS_CAJUA_CF_SEC_20230125.xlsx]CF PRBND'!</v>
      </c>
      <c r="G3964" s="6" t="s">
        <v>60</v>
      </c>
      <c r="H3964" s="1"/>
      <c r="I3964" s="1"/>
      <c r="J3964" s="1"/>
    </row>
    <row r="3965" spans="1:10" x14ac:dyDescent="0.2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Jaime\QUIFA-CAJÚA\Cajua\[VAS_CAJUA_CF_SEC_20230125.xlsx]CF PRBND'!</v>
      </c>
      <c r="G3965" s="6" t="s">
        <v>60</v>
      </c>
      <c r="H3965" s="1"/>
      <c r="I3965" s="1"/>
      <c r="J3965" s="1"/>
    </row>
    <row r="3966" spans="1:10" x14ac:dyDescent="0.2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Jaime\QUIFA-CAJÚA\Cajua\[VAS_CAJUA_CF_SEC_20230125.xlsx]CF PRBND'!</v>
      </c>
      <c r="G3966" s="6" t="s">
        <v>60</v>
      </c>
      <c r="H3966" s="1"/>
      <c r="I3966" s="1"/>
      <c r="J3966" s="1"/>
    </row>
    <row r="3967" spans="1:10" x14ac:dyDescent="0.2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Jaime\QUIFA-CAJÚA\Cajua\[VAS_CAJUA_CF_SEC_20230125.xlsx]CF PRBND'!</v>
      </c>
      <c r="G3967" s="6" t="s">
        <v>60</v>
      </c>
      <c r="H3967" s="1"/>
      <c r="I3967" s="1"/>
      <c r="J3967" s="1"/>
    </row>
    <row r="3968" spans="1:10" x14ac:dyDescent="0.2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Jaime\QUIFA-CAJÚA\Cajua\[VAS_CAJUA_CF_SEC_20230125.xlsx]CF PRBND'!</v>
      </c>
      <c r="G3968" s="6" t="s">
        <v>60</v>
      </c>
      <c r="H3968" s="1"/>
      <c r="I3968" s="1"/>
      <c r="J3968" s="1"/>
    </row>
    <row r="3969" spans="1:10" x14ac:dyDescent="0.2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Jaime\QUIFA-CAJÚA\Cajua\[VAS_CAJUA_CF_SEC_20230125.xlsx]CF PRBND'!</v>
      </c>
      <c r="G3969" s="6" t="s">
        <v>60</v>
      </c>
      <c r="H3969" s="1"/>
      <c r="I3969" s="1"/>
      <c r="J3969" s="1"/>
    </row>
    <row r="3970" spans="1:10" x14ac:dyDescent="0.2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Jaime\QUIFA-CAJÚA\Cajua\[VAS_CAJUA_CF_SEC_20230125.xlsx]CF PRBND'!</v>
      </c>
      <c r="G3970" s="6" t="s">
        <v>60</v>
      </c>
      <c r="H3970" s="1"/>
      <c r="I3970" s="1"/>
      <c r="J3970" s="1"/>
    </row>
    <row r="3971" spans="1:10" x14ac:dyDescent="0.2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Jaime\QUIFA-CAJÚA\Cajua\[VAS_CAJUA_CF_SEC_20230125.xlsx]CF PRBND'!</v>
      </c>
      <c r="G3971" s="6" t="s">
        <v>60</v>
      </c>
      <c r="H3971" s="1"/>
      <c r="I3971" s="1"/>
      <c r="J3971" s="1"/>
    </row>
    <row r="3972" spans="1:10" x14ac:dyDescent="0.2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Jaime\QUIFA-CAJÚA\Cajua\[VAS_CAJUA_CF_SEC_20230125.xlsx]CF PRBND'!</v>
      </c>
      <c r="G3972" s="6" t="s">
        <v>60</v>
      </c>
      <c r="H3972" s="1"/>
      <c r="I3972" s="1"/>
      <c r="J3972" s="1"/>
    </row>
    <row r="3973" spans="1:10" x14ac:dyDescent="0.2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Jaime\QUIFA-CAJÚA\Cajua\[VAS_CAJUA_CF_SEC_20230125.xlsx]CF PRBND'!</v>
      </c>
      <c r="G3973" s="6" t="s">
        <v>60</v>
      </c>
      <c r="H3973" s="1"/>
      <c r="I3973" s="1"/>
      <c r="J3973" s="1"/>
    </row>
    <row r="3974" spans="1:10" x14ac:dyDescent="0.2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Jaime\QUIFA-CAJÚA\Cajua\[VAS_CAJUA_CF_SEC_20230125.xlsx]CF PRBND'!</v>
      </c>
      <c r="G3974" s="6" t="s">
        <v>60</v>
      </c>
      <c r="H3974" s="1"/>
      <c r="I3974" s="1"/>
      <c r="J3974" s="1"/>
    </row>
    <row r="3975" spans="1:10" x14ac:dyDescent="0.2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Jaime\QUIFA-CAJÚA\Cajua\[VAS_CAJUA_CF_SEC_20230125.xlsx]CF PRBND'!</v>
      </c>
      <c r="G3975" s="6" t="s">
        <v>60</v>
      </c>
      <c r="H3975" s="1"/>
      <c r="I3975" s="1"/>
      <c r="J3975" s="1"/>
    </row>
    <row r="3976" spans="1:10" x14ac:dyDescent="0.2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Jaime\QUIFA-CAJÚA\Cajua\[VAS_CAJUA_CF_SEC_20230125.xlsx]CF PRBND'!</v>
      </c>
      <c r="G3976" s="6" t="s">
        <v>60</v>
      </c>
      <c r="H3976" s="1"/>
      <c r="I3976" s="1"/>
      <c r="J3976" s="1"/>
    </row>
    <row r="3977" spans="1:10" x14ac:dyDescent="0.2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Jaime\QUIFA-CAJÚA\Cajua\[VAS_CAJUA_CF_SEC_20230125.xlsx]CF PRBND'!</v>
      </c>
      <c r="G3977" s="6" t="s">
        <v>60</v>
      </c>
      <c r="H3977" s="1"/>
      <c r="I3977" s="1"/>
      <c r="J3977" s="1"/>
    </row>
    <row r="3978" spans="1:10" x14ac:dyDescent="0.2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Jaime\QUIFA-CAJÚA\Cajua\[VAS_CAJUA_CF_SEC_20230125.xlsx]CF PRBND'!</v>
      </c>
      <c r="G3978" s="6" t="s">
        <v>60</v>
      </c>
      <c r="H3978" s="1"/>
      <c r="I3978" s="1"/>
      <c r="J3978" s="1"/>
    </row>
    <row r="3979" spans="1:10" x14ac:dyDescent="0.2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Jaime\QUIFA-CAJÚA\Cajua\[VAS_CAJUA_CF_SEC_20230125.xlsx]CF PRBND'!</v>
      </c>
      <c r="G3979" s="6" t="s">
        <v>60</v>
      </c>
      <c r="H3979" s="1"/>
      <c r="I3979" s="1"/>
      <c r="J3979" s="1"/>
    </row>
    <row r="3980" spans="1:10" x14ac:dyDescent="0.2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Jaime\QUIFA-CAJÚA\Cajua\[VAS_CAJUA_CF_SEC_20230125.xlsx]CF PRBND'!</v>
      </c>
      <c r="G3980" s="6" t="s">
        <v>60</v>
      </c>
      <c r="H3980" s="1"/>
      <c r="I3980" s="1"/>
      <c r="J3980" s="1"/>
    </row>
    <row r="3981" spans="1:10" x14ac:dyDescent="0.2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Jaime\QUIFA-CAJÚA\Cajua\[VAS_CAJUA_CF_SEC_20230125.xlsx]CF PRBND'!</v>
      </c>
      <c r="G3981" s="6" t="s">
        <v>60</v>
      </c>
      <c r="H3981" s="1"/>
      <c r="I3981" s="1"/>
      <c r="J3981" s="1"/>
    </row>
    <row r="3982" spans="1:10" x14ac:dyDescent="0.2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Jaime\QUIFA-CAJÚA\Cajua\[VAS_CAJUA_CF_SEC_20230125.xlsx]CF PRBND'!</v>
      </c>
      <c r="G3982" s="6" t="s">
        <v>60</v>
      </c>
      <c r="H3982" s="1"/>
      <c r="I3982" s="1"/>
      <c r="J3982" s="1"/>
    </row>
    <row r="3983" spans="1:10" x14ac:dyDescent="0.2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Jaime\QUIFA-CAJÚA\Cajua\[VAS_CAJUA_CF_SEC_20230125.xlsx]CF PRBND'!</v>
      </c>
      <c r="G3983" s="6" t="s">
        <v>60</v>
      </c>
      <c r="H3983" s="1"/>
      <c r="I3983" s="1"/>
      <c r="J3983" s="1"/>
    </row>
    <row r="3984" spans="1:10" x14ac:dyDescent="0.2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Jaime\QUIFA-CAJÚA\Cajua\[VAS_CAJUA_CF_SEC_20230125.xlsx]CF PRBND'!</v>
      </c>
      <c r="G3984" s="6" t="s">
        <v>60</v>
      </c>
      <c r="H3984" s="1"/>
      <c r="I3984" s="1"/>
      <c r="J3984" s="1"/>
    </row>
    <row r="3985" spans="1:10" x14ac:dyDescent="0.2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Jaime\QUIFA-CAJÚA\Cajua\[VAS_CAJUA_CF_SEC_20230125.xlsx]CF PRBND'!</v>
      </c>
      <c r="G3985" s="6" t="s">
        <v>60</v>
      </c>
      <c r="H3985" s="1"/>
      <c r="I3985" s="1"/>
      <c r="J3985" s="1"/>
    </row>
    <row r="3986" spans="1:10" x14ac:dyDescent="0.2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Jaime\QUIFA-CAJÚA\Cajua\[VAS_CAJUA_CF_SEC_20230125.xlsx]CF PRBND'!</v>
      </c>
      <c r="G3986" s="6" t="s">
        <v>60</v>
      </c>
      <c r="H3986" s="1"/>
      <c r="I3986" s="1"/>
      <c r="J3986" s="1"/>
    </row>
    <row r="3987" spans="1:10" x14ac:dyDescent="0.2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Jaime\QUIFA-CAJÚA\Cajua\[VAS_CAJUA_CF_SEC_20230125.xlsx]CF PRBND'!</v>
      </c>
      <c r="G3987" s="6" t="s">
        <v>60</v>
      </c>
      <c r="H3987" s="1"/>
      <c r="I3987" s="1"/>
      <c r="J3987" s="1"/>
    </row>
    <row r="3988" spans="1:10" x14ac:dyDescent="0.2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Jaime\QUIFA-CAJÚA\Cajua\[VAS_CAJUA_CF_SEC_20230125.xlsx]CF PRBND'!</v>
      </c>
      <c r="G3988" s="6" t="s">
        <v>60</v>
      </c>
      <c r="H3988" s="1"/>
      <c r="I3988" s="1"/>
      <c r="J3988" s="1"/>
    </row>
    <row r="3989" spans="1:10" x14ac:dyDescent="0.2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Jaime\QUIFA-CAJÚA\Cajua\[VAS_CAJUA_CF_SEC_20230125.xlsx]CF PRBND'!</v>
      </c>
      <c r="G3989" s="6" t="s">
        <v>60</v>
      </c>
      <c r="H3989" s="1"/>
      <c r="I3989" s="1"/>
      <c r="J3989" s="1"/>
    </row>
    <row r="3990" spans="1:10" x14ac:dyDescent="0.2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Jaime\QUIFA-CAJÚA\Cajua\[VAS_CAJUA_CF_SEC_20230125.xlsx]CF PRBND'!</v>
      </c>
      <c r="G3990" s="6" t="s">
        <v>60</v>
      </c>
      <c r="H3990" s="1"/>
      <c r="I3990" s="1"/>
      <c r="J3990" s="1"/>
    </row>
    <row r="3991" spans="1:10" x14ac:dyDescent="0.25">
      <c r="A3991" s="6" t="s">
        <v>28</v>
      </c>
      <c r="B3991" s="6"/>
      <c r="C3991" s="1" t="s">
        <v>109</v>
      </c>
      <c r="D3991" s="2"/>
      <c r="E3991" s="9"/>
      <c r="F3991" s="5"/>
      <c r="G3991" s="6"/>
      <c r="H3991" s="1"/>
      <c r="I3991" s="1"/>
      <c r="J3991" s="12"/>
    </row>
    <row r="3992" spans="1:10" x14ac:dyDescent="0.2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Jaime\QUIFA-CAJÚA\Cajua\[VAS_CAJUA_CF_SEC_20230125.xlsx]CF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Jaime\QUIFA-CAJÚA\Cajua\[VAS_CAJUA_CF_SEC_20230125.xlsx]CF PRB'!$BY$36</v>
      </c>
      <c r="J3992" s="1" t="s">
        <v>1905</v>
      </c>
    </row>
    <row r="3993" spans="1:10" x14ac:dyDescent="0.2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Jaime\QUIFA-CAJÚA\Cajua\[VAS_CAJUA_CF_SEC_20230125.xlsx]CF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Jaime\QUIFA-CAJÚA\Cajua\[VAS_CAJUA_CF_SEC_20230125.xlsx]CF PRB'!$BY$37</v>
      </c>
      <c r="J3993" s="1" t="s">
        <v>1906</v>
      </c>
    </row>
    <row r="3994" spans="1:10" x14ac:dyDescent="0.2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Jaime\QUIFA-CAJÚA\Cajua\[VAS_CAJUA_CF_SEC_20230125.xlsx]CF PRB'!</v>
      </c>
      <c r="G3994" s="6" t="s">
        <v>60</v>
      </c>
      <c r="H3994" s="1">
        <f t="shared" si="924"/>
        <v>38</v>
      </c>
      <c r="I3994" s="1" t="str">
        <f t="shared" si="923"/>
        <v>='C:\Users\jaime.benazar\Quorum Business Solutions\Ecopetrol Prometeo - Documents\Planning Space Implementation\3. Analysis &amp; Design\Design\FC22\DRR Jaime\QUIFA-CAJÚA\Cajua\[VAS_CAJUA_CF_SEC_20230125.xlsx]CF PRB'!$BY$38</v>
      </c>
      <c r="J3994" s="1" t="s">
        <v>1907</v>
      </c>
    </row>
    <row r="3995" spans="1:10" x14ac:dyDescent="0.2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Jaime\QUIFA-CAJÚA\Cajua\[VAS_CAJUA_CF_SEC_20230125.xlsx]CF PRB'!</v>
      </c>
      <c r="G3995" s="6" t="s">
        <v>60</v>
      </c>
      <c r="H3995" s="1">
        <f t="shared" si="924"/>
        <v>39</v>
      </c>
      <c r="I3995" s="1" t="str">
        <f t="shared" si="923"/>
        <v>='C:\Users\jaime.benazar\Quorum Business Solutions\Ecopetrol Prometeo - Documents\Planning Space Implementation\3. Analysis &amp; Design\Design\FC22\DRR Jaime\QUIFA-CAJÚA\Cajua\[VAS_CAJUA_CF_SEC_20230125.xlsx]CF PRB'!$BY$39</v>
      </c>
      <c r="J3995" s="1" t="s">
        <v>1908</v>
      </c>
    </row>
    <row r="3996" spans="1:10" x14ac:dyDescent="0.2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Jaime\QUIFA-CAJÚA\Cajua\[VAS_CAJUA_CF_SEC_20230125.xlsx]CF PRB'!</v>
      </c>
      <c r="G3996" s="6" t="s">
        <v>60</v>
      </c>
      <c r="H3996" s="1">
        <f t="shared" si="924"/>
        <v>40</v>
      </c>
      <c r="I3996" s="1" t="str">
        <f t="shared" si="923"/>
        <v>='C:\Users\jaime.benazar\Quorum Business Solutions\Ecopetrol Prometeo - Documents\Planning Space Implementation\3. Analysis &amp; Design\Design\FC22\DRR Jaime\QUIFA-CAJÚA\Cajua\[VAS_CAJUA_CF_SEC_20230125.xlsx]CF PRB'!$BY$40</v>
      </c>
      <c r="J3996" s="1" t="s">
        <v>1909</v>
      </c>
    </row>
    <row r="3997" spans="1:10" x14ac:dyDescent="0.2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Jaime\QUIFA-CAJÚA\Cajua\[VAS_CAJUA_CF_SEC_20230125.xlsx]CF PRB'!</v>
      </c>
      <c r="G3997" s="6" t="s">
        <v>60</v>
      </c>
      <c r="H3997" s="1">
        <f t="shared" si="924"/>
        <v>41</v>
      </c>
      <c r="I3997" s="1" t="str">
        <f t="shared" si="923"/>
        <v>='C:\Users\jaime.benazar\Quorum Business Solutions\Ecopetrol Prometeo - Documents\Planning Space Implementation\3. Analysis &amp; Design\Design\FC22\DRR Jaime\QUIFA-CAJÚA\Cajua\[VAS_CAJUA_CF_SEC_20230125.xlsx]CF PRB'!$BY$41</v>
      </c>
      <c r="J3997" s="1" t="s">
        <v>1910</v>
      </c>
    </row>
    <row r="3998" spans="1:10" x14ac:dyDescent="0.2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Jaime\QUIFA-CAJÚA\Cajua\[VAS_CAJUA_CF_SEC_20230125.xlsx]CF PRB'!</v>
      </c>
      <c r="G3998" s="6" t="s">
        <v>60</v>
      </c>
      <c r="H3998" s="1">
        <f t="shared" si="924"/>
        <v>42</v>
      </c>
      <c r="I3998" s="1" t="str">
        <f t="shared" si="923"/>
        <v>='C:\Users\jaime.benazar\Quorum Business Solutions\Ecopetrol Prometeo - Documents\Planning Space Implementation\3. Analysis &amp; Design\Design\FC22\DRR Jaime\QUIFA-CAJÚA\Cajua\[VAS_CAJUA_CF_SEC_20230125.xlsx]CF PRB'!$BY$42</v>
      </c>
      <c r="J3998" s="1" t="s">
        <v>1911</v>
      </c>
    </row>
    <row r="3999" spans="1:10" x14ac:dyDescent="0.2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Jaime\QUIFA-CAJÚA\Cajua\[VAS_CAJUA_CF_SEC_20230125.xlsx]CF PRB'!</v>
      </c>
      <c r="G3999" s="6" t="s">
        <v>60</v>
      </c>
      <c r="H3999" s="1">
        <f t="shared" si="924"/>
        <v>43</v>
      </c>
      <c r="I3999" s="1" t="str">
        <f t="shared" si="923"/>
        <v>='C:\Users\jaime.benazar\Quorum Business Solutions\Ecopetrol Prometeo - Documents\Planning Space Implementation\3. Analysis &amp; Design\Design\FC22\DRR Jaime\QUIFA-CAJÚA\Cajua\[VAS_CAJUA_CF_SEC_20230125.xlsx]CF PRB'!$BY$43</v>
      </c>
      <c r="J3999" s="1" t="s">
        <v>1912</v>
      </c>
    </row>
    <row r="4000" spans="1:10" x14ac:dyDescent="0.2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Jaime\QUIFA-CAJÚA\Cajua\[VAS_CAJUA_CF_SEC_20230125.xlsx]CF PRB'!</v>
      </c>
      <c r="G4000" s="6" t="s">
        <v>60</v>
      </c>
      <c r="H4000" s="1">
        <f t="shared" si="924"/>
        <v>44</v>
      </c>
      <c r="I4000" s="1" t="str">
        <f t="shared" si="923"/>
        <v>='C:\Users\jaime.benazar\Quorum Business Solutions\Ecopetrol Prometeo - Documents\Planning Space Implementation\3. Analysis &amp; Design\Design\FC22\DRR Jaime\QUIFA-CAJÚA\Cajua\[VAS_CAJUA_CF_SEC_20230125.xlsx]CF PRB'!$BY$44</v>
      </c>
      <c r="J4000" s="1" t="s">
        <v>1913</v>
      </c>
    </row>
    <row r="4001" spans="1:10" x14ac:dyDescent="0.2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Jaime\QUIFA-CAJÚA\Cajua\[VAS_CAJUA_CF_SEC_20230125.xlsx]CF PRB'!</v>
      </c>
      <c r="G4001" s="6" t="s">
        <v>60</v>
      </c>
      <c r="H4001" s="1">
        <f t="shared" si="924"/>
        <v>45</v>
      </c>
      <c r="I4001" s="1" t="str">
        <f t="shared" si="923"/>
        <v>='C:\Users\jaime.benazar\Quorum Business Solutions\Ecopetrol Prometeo - Documents\Planning Space Implementation\3. Analysis &amp; Design\Design\FC22\DRR Jaime\QUIFA-CAJÚA\Cajua\[VAS_CAJUA_CF_SEC_20230125.xlsx]CF PRB'!$BY$45</v>
      </c>
      <c r="J4001" s="1" t="s">
        <v>1914</v>
      </c>
    </row>
    <row r="4002" spans="1:10" x14ac:dyDescent="0.2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Jaime\QUIFA-CAJÚA\Cajua\[VAS_CAJUA_CF_SEC_20230125.xlsx]CF PRB'!</v>
      </c>
      <c r="G4002" s="6" t="s">
        <v>60</v>
      </c>
      <c r="H4002" s="1">
        <f t="shared" si="924"/>
        <v>46</v>
      </c>
      <c r="I4002" s="1" t="str">
        <f t="shared" si="923"/>
        <v>='C:\Users\jaime.benazar\Quorum Business Solutions\Ecopetrol Prometeo - Documents\Planning Space Implementation\3. Analysis &amp; Design\Design\FC22\DRR Jaime\QUIFA-CAJÚA\Cajua\[VAS_CAJUA_CF_SEC_20230125.xlsx]CF PRB'!$BY$46</v>
      </c>
      <c r="J4002" s="1" t="s">
        <v>1915</v>
      </c>
    </row>
    <row r="4003" spans="1:10" x14ac:dyDescent="0.2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Jaime\QUIFA-CAJÚA\Cajua\[VAS_CAJUA_CF_SEC_20230125.xlsx]CF PRB'!</v>
      </c>
      <c r="G4003" s="6" t="s">
        <v>60</v>
      </c>
      <c r="H4003" s="1">
        <f t="shared" si="924"/>
        <v>47</v>
      </c>
      <c r="I4003" s="1" t="str">
        <f t="shared" si="923"/>
        <v>='C:\Users\jaime.benazar\Quorum Business Solutions\Ecopetrol Prometeo - Documents\Planning Space Implementation\3. Analysis &amp; Design\Design\FC22\DRR Jaime\QUIFA-CAJÚA\Cajua\[VAS_CAJUA_CF_SEC_20230125.xlsx]CF PRB'!$BY$47</v>
      </c>
      <c r="J4003" s="1" t="s">
        <v>1916</v>
      </c>
    </row>
    <row r="4004" spans="1:10" x14ac:dyDescent="0.2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Jaime\QUIFA-CAJÚA\Cajua\[VAS_CAJUA_CF_SEC_20230125.xlsx]CF PRB'!</v>
      </c>
      <c r="G4004" s="6" t="s">
        <v>60</v>
      </c>
      <c r="H4004" s="1">
        <f t="shared" si="924"/>
        <v>48</v>
      </c>
      <c r="I4004" s="1" t="str">
        <f t="shared" si="923"/>
        <v>='C:\Users\jaime.benazar\Quorum Business Solutions\Ecopetrol Prometeo - Documents\Planning Space Implementation\3. Analysis &amp; Design\Design\FC22\DRR Jaime\QUIFA-CAJÚA\Cajua\[VAS_CAJUA_CF_SEC_20230125.xlsx]CF PRB'!$BY$48</v>
      </c>
      <c r="J4004" s="1" t="s">
        <v>1917</v>
      </c>
    </row>
    <row r="4005" spans="1:10" x14ac:dyDescent="0.2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Jaime\QUIFA-CAJÚA\Cajua\[VAS_CAJUA_CF_SEC_20230125.xlsx]CF PRB'!</v>
      </c>
      <c r="G4005" s="6" t="s">
        <v>60</v>
      </c>
      <c r="H4005" s="1">
        <f t="shared" si="924"/>
        <v>49</v>
      </c>
      <c r="I4005" s="1" t="str">
        <f t="shared" si="923"/>
        <v>='C:\Users\jaime.benazar\Quorum Business Solutions\Ecopetrol Prometeo - Documents\Planning Space Implementation\3. Analysis &amp; Design\Design\FC22\DRR Jaime\QUIFA-CAJÚA\Cajua\[VAS_CAJUA_CF_SEC_20230125.xlsx]CF PRB'!$BY$49</v>
      </c>
      <c r="J4005" s="1" t="s">
        <v>1918</v>
      </c>
    </row>
    <row r="4006" spans="1:10" x14ac:dyDescent="0.2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Jaime\QUIFA-CAJÚA\Cajua\[VAS_CAJUA_CF_SEC_20230125.xlsx]CF PRB'!</v>
      </c>
      <c r="G4006" s="6" t="s">
        <v>60</v>
      </c>
      <c r="H4006" s="1">
        <f t="shared" si="924"/>
        <v>50</v>
      </c>
      <c r="I4006" s="1" t="str">
        <f t="shared" si="923"/>
        <v>='C:\Users\jaime.benazar\Quorum Business Solutions\Ecopetrol Prometeo - Documents\Planning Space Implementation\3. Analysis &amp; Design\Design\FC22\DRR Jaime\QUIFA-CAJÚA\Cajua\[VAS_CAJUA_CF_SEC_20230125.xlsx]CF PRB'!$BY$50</v>
      </c>
      <c r="J4006" s="1" t="s">
        <v>1919</v>
      </c>
    </row>
    <row r="4007" spans="1:10" x14ac:dyDescent="0.2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Jaime\QUIFA-CAJÚA\Cajua\[VAS_CAJUA_CF_SEC_20230125.xlsx]CF PRB'!</v>
      </c>
      <c r="G4007" s="6" t="s">
        <v>60</v>
      </c>
      <c r="H4007" s="1">
        <f t="shared" si="924"/>
        <v>51</v>
      </c>
      <c r="I4007" s="1" t="str">
        <f t="shared" si="923"/>
        <v>='C:\Users\jaime.benazar\Quorum Business Solutions\Ecopetrol Prometeo - Documents\Planning Space Implementation\3. Analysis &amp; Design\Design\FC22\DRR Jaime\QUIFA-CAJÚA\Cajua\[VAS_CAJUA_CF_SEC_20230125.xlsx]CF PRB'!$BY$51</v>
      </c>
      <c r="J4007" s="1" t="s">
        <v>1920</v>
      </c>
    </row>
    <row r="4008" spans="1:10" x14ac:dyDescent="0.2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Jaime\QUIFA-CAJÚA\Cajua\[VAS_CAJUA_CF_SEC_20230125.xlsx]CF PRB'!</v>
      </c>
      <c r="G4008" s="6" t="s">
        <v>60</v>
      </c>
      <c r="H4008" s="1">
        <f t="shared" si="924"/>
        <v>52</v>
      </c>
      <c r="I4008" s="1" t="str">
        <f t="shared" si="923"/>
        <v>='C:\Users\jaime.benazar\Quorum Business Solutions\Ecopetrol Prometeo - Documents\Planning Space Implementation\3. Analysis &amp; Design\Design\FC22\DRR Jaime\QUIFA-CAJÚA\Cajua\[VAS_CAJUA_CF_SEC_20230125.xlsx]CF PRB'!$BY$52</v>
      </c>
      <c r="J4008" s="1" t="s">
        <v>1921</v>
      </c>
    </row>
    <row r="4009" spans="1:10" x14ac:dyDescent="0.2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Jaime\QUIFA-CAJÚA\Cajua\[VAS_CAJUA_CF_SEC_20230125.xlsx]CF PRB'!</v>
      </c>
      <c r="G4009" s="6" t="s">
        <v>60</v>
      </c>
      <c r="H4009" s="1">
        <f t="shared" si="924"/>
        <v>53</v>
      </c>
      <c r="I4009" s="1" t="str">
        <f t="shared" si="923"/>
        <v>='C:\Users\jaime.benazar\Quorum Business Solutions\Ecopetrol Prometeo - Documents\Planning Space Implementation\3. Analysis &amp; Design\Design\FC22\DRR Jaime\QUIFA-CAJÚA\Cajua\[VAS_CAJUA_CF_SEC_20230125.xlsx]CF PRB'!$BY$53</v>
      </c>
      <c r="J4009" s="1" t="s">
        <v>1922</v>
      </c>
    </row>
    <row r="4010" spans="1:10" x14ac:dyDescent="0.2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Jaime\QUIFA-CAJÚA\Cajua\[VAS_CAJUA_CF_SEC_20230125.xlsx]CF PRB'!</v>
      </c>
      <c r="G4010" s="6" t="s">
        <v>60</v>
      </c>
      <c r="H4010" s="1">
        <f t="shared" si="924"/>
        <v>54</v>
      </c>
      <c r="I4010" s="1" t="str">
        <f t="shared" si="923"/>
        <v>='C:\Users\jaime.benazar\Quorum Business Solutions\Ecopetrol Prometeo - Documents\Planning Space Implementation\3. Analysis &amp; Design\Design\FC22\DRR Jaime\QUIFA-CAJÚA\Cajua\[VAS_CAJUA_CF_SEC_20230125.xlsx]CF PRB'!$BY$54</v>
      </c>
      <c r="J4010" s="1" t="s">
        <v>1923</v>
      </c>
    </row>
    <row r="4011" spans="1:10" x14ac:dyDescent="0.2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Jaime\QUIFA-CAJÚA\Cajua\[VAS_CAJUA_CF_SEC_20230125.xlsx]CF PRB'!</v>
      </c>
      <c r="G4011" s="6" t="s">
        <v>60</v>
      </c>
      <c r="H4011" s="1">
        <f t="shared" si="924"/>
        <v>55</v>
      </c>
      <c r="I4011" s="1" t="str">
        <f t="shared" si="923"/>
        <v>='C:\Users\jaime.benazar\Quorum Business Solutions\Ecopetrol Prometeo - Documents\Planning Space Implementation\3. Analysis &amp; Design\Design\FC22\DRR Jaime\QUIFA-CAJÚA\Cajua\[VAS_CAJUA_CF_SEC_20230125.xlsx]CF PRB'!$BY$55</v>
      </c>
      <c r="J4011" s="1" t="s">
        <v>1924</v>
      </c>
    </row>
    <row r="4012" spans="1:10" x14ac:dyDescent="0.2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Jaime\QUIFA-CAJÚA\Cajua\[VAS_CAJUA_CF_SEC_20230125.xlsx]CF PRB'!</v>
      </c>
      <c r="G4012" s="6" t="s">
        <v>60</v>
      </c>
      <c r="H4012" s="1">
        <f t="shared" si="924"/>
        <v>56</v>
      </c>
      <c r="I4012" s="1" t="str">
        <f t="shared" si="923"/>
        <v>='C:\Users\jaime.benazar\Quorum Business Solutions\Ecopetrol Prometeo - Documents\Planning Space Implementation\3. Analysis &amp; Design\Design\FC22\DRR Jaime\QUIFA-CAJÚA\Cajua\[VAS_CAJUA_CF_SEC_20230125.xlsx]CF PRB'!$BY$56</v>
      </c>
      <c r="J4012" s="1" t="s">
        <v>1925</v>
      </c>
    </row>
    <row r="4013" spans="1:10" x14ac:dyDescent="0.2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Jaime\QUIFA-CAJÚA\Cajua\[VAS_CAJUA_CF_SEC_20230125.xlsx]CF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Jaime\QUIFA-CAJÚA\Cajua\[VAS_CAJUA_CF_SEC_20230125.xlsx]CF PRB'!$BY$57</v>
      </c>
      <c r="J4013" s="1" t="s">
        <v>1926</v>
      </c>
    </row>
    <row r="4014" spans="1:10" x14ac:dyDescent="0.2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Jaime\QUIFA-CAJÚA\Cajua\[VAS_CAJUA_CF_SEC_20230125.xlsx]CF PRB'!</v>
      </c>
      <c r="G4014" s="6" t="s">
        <v>60</v>
      </c>
      <c r="H4014" s="1">
        <f t="shared" si="930"/>
        <v>58</v>
      </c>
      <c r="I4014" s="1" t="str">
        <f t="shared" si="931"/>
        <v>='C:\Users\jaime.benazar\Quorum Business Solutions\Ecopetrol Prometeo - Documents\Planning Space Implementation\3. Analysis &amp; Design\Design\FC22\DRR Jaime\QUIFA-CAJÚA\Cajua\[VAS_CAJUA_CF_SEC_20230125.xlsx]CF PRB'!$BY$58</v>
      </c>
      <c r="J4014" s="1" t="s">
        <v>1927</v>
      </c>
    </row>
    <row r="4015" spans="1:10" x14ac:dyDescent="0.2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Jaime\QUIFA-CAJÚA\Cajua\[VAS_CAJUA_CF_SEC_20230125.xlsx]CF PRB'!</v>
      </c>
      <c r="G4015" s="6" t="s">
        <v>60</v>
      </c>
      <c r="H4015" s="1">
        <f t="shared" si="930"/>
        <v>59</v>
      </c>
      <c r="I4015" s="1" t="str">
        <f t="shared" si="931"/>
        <v>='C:\Users\jaime.benazar\Quorum Business Solutions\Ecopetrol Prometeo - Documents\Planning Space Implementation\3. Analysis &amp; Design\Design\FC22\DRR Jaime\QUIFA-CAJÚA\Cajua\[VAS_CAJUA_CF_SEC_20230125.xlsx]CF PRB'!$BY$59</v>
      </c>
      <c r="J4015" s="1" t="s">
        <v>1928</v>
      </c>
    </row>
    <row r="4016" spans="1:10" x14ac:dyDescent="0.2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Jaime\QUIFA-CAJÚA\Cajua\[VAS_CAJUA_CF_SEC_20230125.xlsx]CF PRB'!</v>
      </c>
      <c r="G4016" s="6" t="s">
        <v>60</v>
      </c>
      <c r="H4016" s="1">
        <f t="shared" si="930"/>
        <v>60</v>
      </c>
      <c r="I4016" s="1" t="str">
        <f t="shared" si="931"/>
        <v>='C:\Users\jaime.benazar\Quorum Business Solutions\Ecopetrol Prometeo - Documents\Planning Space Implementation\3. Analysis &amp; Design\Design\FC22\DRR Jaime\QUIFA-CAJÚA\Cajua\[VAS_CAJUA_CF_SEC_20230125.xlsx]CF PRB'!$BY$60</v>
      </c>
      <c r="J4016" s="1" t="s">
        <v>1929</v>
      </c>
    </row>
    <row r="4017" spans="1:10" x14ac:dyDescent="0.2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Jaime\QUIFA-CAJÚA\Cajua\[VAS_CAJUA_CF_SEC_20230125.xlsx]CF PRB'!</v>
      </c>
      <c r="G4017" s="6" t="s">
        <v>60</v>
      </c>
      <c r="H4017" s="1">
        <f t="shared" si="930"/>
        <v>61</v>
      </c>
      <c r="I4017" s="1" t="str">
        <f t="shared" si="931"/>
        <v>='C:\Users\jaime.benazar\Quorum Business Solutions\Ecopetrol Prometeo - Documents\Planning Space Implementation\3. Analysis &amp; Design\Design\FC22\DRR Jaime\QUIFA-CAJÚA\Cajua\[VAS_CAJUA_CF_SEC_20230125.xlsx]CF PRB'!$BY$61</v>
      </c>
      <c r="J4017" s="1" t="s">
        <v>1930</v>
      </c>
    </row>
    <row r="4018" spans="1:10" x14ac:dyDescent="0.2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Jaime\QUIFA-CAJÚA\Cajua\[VAS_CAJUA_CF_SEC_20230125.xlsx]CF PRB'!</v>
      </c>
      <c r="G4018" s="6" t="s">
        <v>60</v>
      </c>
      <c r="H4018" s="1">
        <f t="shared" si="930"/>
        <v>62</v>
      </c>
      <c r="I4018" s="1" t="str">
        <f t="shared" si="931"/>
        <v>='C:\Users\jaime.benazar\Quorum Business Solutions\Ecopetrol Prometeo - Documents\Planning Space Implementation\3. Analysis &amp; Design\Design\FC22\DRR Jaime\QUIFA-CAJÚA\Cajua\[VAS_CAJUA_CF_SEC_20230125.xlsx]CF PRB'!$BY$62</v>
      </c>
      <c r="J4018" s="1" t="s">
        <v>1931</v>
      </c>
    </row>
    <row r="4019" spans="1:10" x14ac:dyDescent="0.2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Jaime\QUIFA-CAJÚA\Cajua\[VAS_CAJUA_CF_SEC_20230125.xlsx]CF PRB'!</v>
      </c>
      <c r="G4019" s="6" t="s">
        <v>60</v>
      </c>
      <c r="H4019" s="1">
        <f t="shared" si="930"/>
        <v>63</v>
      </c>
      <c r="I4019" s="1" t="str">
        <f t="shared" si="931"/>
        <v>='C:\Users\jaime.benazar\Quorum Business Solutions\Ecopetrol Prometeo - Documents\Planning Space Implementation\3. Analysis &amp; Design\Design\FC22\DRR Jaime\QUIFA-CAJÚA\Cajua\[VAS_CAJUA_CF_SEC_20230125.xlsx]CF PRB'!$BY$63</v>
      </c>
      <c r="J4019" s="1" t="s">
        <v>1932</v>
      </c>
    </row>
    <row r="4020" spans="1:10" x14ac:dyDescent="0.2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Jaime\QUIFA-CAJÚA\Cajua\[VAS_CAJUA_CF_SEC_20230125.xlsx]CF PRB'!</v>
      </c>
      <c r="G4020" s="6" t="s">
        <v>60</v>
      </c>
      <c r="H4020" s="1">
        <f t="shared" si="930"/>
        <v>64</v>
      </c>
      <c r="I4020" s="1" t="str">
        <f t="shared" si="931"/>
        <v>='C:\Users\jaime.benazar\Quorum Business Solutions\Ecopetrol Prometeo - Documents\Planning Space Implementation\3. Analysis &amp; Design\Design\FC22\DRR Jaime\QUIFA-CAJÚA\Cajua\[VAS_CAJUA_CF_SEC_20230125.xlsx]CF PRB'!$BY$64</v>
      </c>
      <c r="J4020" s="1" t="s">
        <v>1933</v>
      </c>
    </row>
    <row r="4021" spans="1:10" x14ac:dyDescent="0.2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Jaime\QUIFA-CAJÚA\Cajua\[VAS_CAJUA_CF_SEC_20230125.xlsx]CF PRB'!</v>
      </c>
      <c r="G4021" s="6" t="s">
        <v>60</v>
      </c>
      <c r="H4021" s="1">
        <f t="shared" si="930"/>
        <v>65</v>
      </c>
      <c r="I4021" s="1" t="str">
        <f t="shared" si="931"/>
        <v>='C:\Users\jaime.benazar\Quorum Business Solutions\Ecopetrol Prometeo - Documents\Planning Space Implementation\3. Analysis &amp; Design\Design\FC22\DRR Jaime\QUIFA-CAJÚA\Cajua\[VAS_CAJUA_CF_SEC_20230125.xlsx]CF PRB'!$BY$65</v>
      </c>
      <c r="J4021" s="1" t="s">
        <v>1934</v>
      </c>
    </row>
    <row r="4022" spans="1:10" x14ac:dyDescent="0.2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Jaime\QUIFA-CAJÚA\Cajua\[VAS_CAJUA_CF_SEC_20230125.xlsx]CF PRB'!</v>
      </c>
      <c r="G4022" s="6" t="s">
        <v>60</v>
      </c>
      <c r="H4022" s="1">
        <f t="shared" si="930"/>
        <v>66</v>
      </c>
      <c r="I4022" s="1" t="str">
        <f t="shared" si="931"/>
        <v>='C:\Users\jaime.benazar\Quorum Business Solutions\Ecopetrol Prometeo - Documents\Planning Space Implementation\3. Analysis &amp; Design\Design\FC22\DRR Jaime\QUIFA-CAJÚA\Cajua\[VAS_CAJUA_CF_SEC_20230125.xlsx]CF PRB'!$BY$66</v>
      </c>
      <c r="J4022" s="1" t="s">
        <v>1935</v>
      </c>
    </row>
    <row r="4023" spans="1:10" x14ac:dyDescent="0.2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Jaime\QUIFA-CAJÚA\Cajua\[VAS_CAJUA_CF_SEC_20230125.xlsx]CF PRB'!</v>
      </c>
      <c r="G4023" s="6" t="s">
        <v>60</v>
      </c>
      <c r="H4023" s="1">
        <f t="shared" si="930"/>
        <v>67</v>
      </c>
      <c r="I4023" s="1" t="str">
        <f t="shared" si="931"/>
        <v>='C:\Users\jaime.benazar\Quorum Business Solutions\Ecopetrol Prometeo - Documents\Planning Space Implementation\3. Analysis &amp; Design\Design\FC22\DRR Jaime\QUIFA-CAJÚA\Cajua\[VAS_CAJUA_CF_SEC_20230125.xlsx]CF PRB'!$BY$67</v>
      </c>
      <c r="J4023" s="1" t="s">
        <v>1936</v>
      </c>
    </row>
    <row r="4024" spans="1:10" x14ac:dyDescent="0.2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Jaime\QUIFA-CAJÚA\Cajua\[VAS_CAJUA_CF_SEC_20230125.xlsx]CF PRB'!</v>
      </c>
      <c r="G4024" s="6" t="s">
        <v>60</v>
      </c>
      <c r="H4024" s="1">
        <f t="shared" si="930"/>
        <v>68</v>
      </c>
      <c r="I4024" s="1" t="str">
        <f t="shared" si="931"/>
        <v>='C:\Users\jaime.benazar\Quorum Business Solutions\Ecopetrol Prometeo - Documents\Planning Space Implementation\3. Analysis &amp; Design\Design\FC22\DRR Jaime\QUIFA-CAJÚA\Cajua\[VAS_CAJUA_CF_SEC_20230125.xlsx]CF PRB'!$BY$68</v>
      </c>
      <c r="J4024" s="1" t="s">
        <v>1937</v>
      </c>
    </row>
    <row r="4025" spans="1:10" x14ac:dyDescent="0.2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Jaime\QUIFA-CAJÚA\Cajua\[VAS_CAJUA_CF_SEC_20230125.xlsx]CF PRB'!</v>
      </c>
      <c r="G4025" s="6" t="s">
        <v>60</v>
      </c>
      <c r="H4025" s="1">
        <f t="shared" si="930"/>
        <v>69</v>
      </c>
      <c r="I4025" s="1" t="str">
        <f t="shared" si="931"/>
        <v>='C:\Users\jaime.benazar\Quorum Business Solutions\Ecopetrol Prometeo - Documents\Planning Space Implementation\3. Analysis &amp; Design\Design\FC22\DRR Jaime\QUIFA-CAJÚA\Cajua\[VAS_CAJUA_CF_SEC_20230125.xlsx]CF PRB'!$BY$69</v>
      </c>
      <c r="J4025" s="1" t="s">
        <v>1938</v>
      </c>
    </row>
    <row r="4026" spans="1:10" x14ac:dyDescent="0.2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Jaime\QUIFA-CAJÚA\Cajua\[VAS_CAJUA_CF_SEC_20230125.xlsx]CF PRB'!</v>
      </c>
      <c r="G4026" s="6" t="s">
        <v>60</v>
      </c>
      <c r="H4026" s="1">
        <f t="shared" si="930"/>
        <v>70</v>
      </c>
      <c r="I4026" s="1" t="str">
        <f t="shared" si="931"/>
        <v>='C:\Users\jaime.benazar\Quorum Business Solutions\Ecopetrol Prometeo - Documents\Planning Space Implementation\3. Analysis &amp; Design\Design\FC22\DRR Jaime\QUIFA-CAJÚA\Cajua\[VAS_CAJUA_CF_SEC_20230125.xlsx]CF PRB'!$BY$70</v>
      </c>
      <c r="J4026" s="1" t="s">
        <v>1939</v>
      </c>
    </row>
    <row r="4027" spans="1:10" x14ac:dyDescent="0.2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Jaime\QUIFA-CAJÚA\Cajua\[VAS_CAJUA_CF_SEC_20230125.xlsx]CF PRB'!</v>
      </c>
      <c r="G4027" s="6" t="s">
        <v>60</v>
      </c>
      <c r="H4027" s="1">
        <f t="shared" si="930"/>
        <v>71</v>
      </c>
      <c r="I4027" s="1" t="str">
        <f t="shared" si="931"/>
        <v>='C:\Users\jaime.benazar\Quorum Business Solutions\Ecopetrol Prometeo - Documents\Planning Space Implementation\3. Analysis &amp; Design\Design\FC22\DRR Jaime\QUIFA-CAJÚA\Cajua\[VAS_CAJUA_CF_SEC_20230125.xlsx]CF PRB'!$BY$71</v>
      </c>
      <c r="J4027" s="1" t="s">
        <v>1940</v>
      </c>
    </row>
    <row r="4028" spans="1:10" x14ac:dyDescent="0.2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Jaime\QUIFA-CAJÚA\Cajua\[VAS_CAJUA_CF_SEC_20230125.xlsx]CF PRB'!</v>
      </c>
      <c r="G4028" s="6" t="s">
        <v>60</v>
      </c>
      <c r="H4028" s="1">
        <f t="shared" si="930"/>
        <v>72</v>
      </c>
      <c r="I4028" s="1" t="str">
        <f t="shared" si="931"/>
        <v>='C:\Users\jaime.benazar\Quorum Business Solutions\Ecopetrol Prometeo - Documents\Planning Space Implementation\3. Analysis &amp; Design\Design\FC22\DRR Jaime\QUIFA-CAJÚA\Cajua\[VAS_CAJUA_CF_SEC_20230125.xlsx]CF PRB'!$BY$72</v>
      </c>
      <c r="J4028" s="1" t="s">
        <v>1941</v>
      </c>
    </row>
    <row r="4029" spans="1:10" x14ac:dyDescent="0.25">
      <c r="A4029" s="6" t="s">
        <v>28</v>
      </c>
      <c r="B4029" s="6"/>
      <c r="C4029" s="1" t="s">
        <v>109</v>
      </c>
      <c r="D4029" s="2"/>
      <c r="E4029" s="9"/>
      <c r="F4029" s="5"/>
      <c r="G4029" s="6"/>
      <c r="H4029" s="1"/>
      <c r="I4029" s="1"/>
      <c r="J4029" s="4"/>
    </row>
    <row r="4030" spans="1:10" x14ac:dyDescent="0.2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Jaime\QUIFA-CAJÚA\Cajua\[VAS_CAJUA_CF_SEC_20230125.xlsx]CF PSDP'!</v>
      </c>
      <c r="G4030" s="6" t="s">
        <v>60</v>
      </c>
      <c r="H4030" s="1"/>
      <c r="I4030" s="1"/>
      <c r="J4030" s="1"/>
    </row>
    <row r="4031" spans="1:10" x14ac:dyDescent="0.2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Jaime\QUIFA-CAJÚA\Cajua\[VAS_CAJUA_CF_SEC_20230125.xlsx]CF PSDP'!</v>
      </c>
      <c r="G4031" s="6" t="s">
        <v>60</v>
      </c>
      <c r="H4031" s="1"/>
      <c r="I4031" s="1"/>
      <c r="J4031" s="1"/>
    </row>
    <row r="4032" spans="1:10" x14ac:dyDescent="0.2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Jaime\QUIFA-CAJÚA\Cajua\[VAS_CAJUA_CF_SEC_20230125.xlsx]CF PSDP'!</v>
      </c>
      <c r="G4032" s="6" t="s">
        <v>60</v>
      </c>
      <c r="H4032" s="1"/>
      <c r="I4032" s="1"/>
      <c r="J4032" s="1"/>
    </row>
    <row r="4033" spans="1:10" x14ac:dyDescent="0.2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Jaime\QUIFA-CAJÚA\Cajua\[VAS_CAJUA_CF_SEC_20230125.xlsx]CF PSDP'!</v>
      </c>
      <c r="G4033" s="6" t="s">
        <v>60</v>
      </c>
      <c r="H4033" s="1"/>
      <c r="I4033" s="1"/>
      <c r="J4033" s="1"/>
    </row>
    <row r="4034" spans="1:10" x14ac:dyDescent="0.2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Jaime\QUIFA-CAJÚA\Cajua\[VAS_CAJUA_CF_SEC_20230125.xlsx]CF PSDP'!</v>
      </c>
      <c r="G4034" s="6" t="s">
        <v>60</v>
      </c>
      <c r="H4034" s="1"/>
      <c r="I4034" s="1"/>
      <c r="J4034" s="1"/>
    </row>
    <row r="4035" spans="1:10" x14ac:dyDescent="0.2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Jaime\QUIFA-CAJÚA\Cajua\[VAS_CAJUA_CF_SEC_20230125.xlsx]CF PSDP'!</v>
      </c>
      <c r="G4035" s="6" t="s">
        <v>60</v>
      </c>
      <c r="H4035" s="1"/>
      <c r="I4035" s="1"/>
      <c r="J4035" s="1"/>
    </row>
    <row r="4036" spans="1:10" x14ac:dyDescent="0.2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Jaime\QUIFA-CAJÚA\Cajua\[VAS_CAJUA_CF_SEC_20230125.xlsx]CF PSDP'!</v>
      </c>
      <c r="G4036" s="6" t="s">
        <v>60</v>
      </c>
      <c r="H4036" s="1"/>
      <c r="I4036" s="1"/>
      <c r="J4036" s="1"/>
    </row>
    <row r="4037" spans="1:10" x14ac:dyDescent="0.2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Jaime\QUIFA-CAJÚA\Cajua\[VAS_CAJUA_CF_SEC_20230125.xlsx]CF PSDP'!</v>
      </c>
      <c r="G4037" s="6" t="s">
        <v>60</v>
      </c>
      <c r="H4037" s="1"/>
      <c r="I4037" s="1"/>
      <c r="J4037" s="1"/>
    </row>
    <row r="4038" spans="1:10" x14ac:dyDescent="0.2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Jaime\QUIFA-CAJÚA\Cajua\[VAS_CAJUA_CF_SEC_20230125.xlsx]CF PSDP'!</v>
      </c>
      <c r="G4038" s="6" t="s">
        <v>60</v>
      </c>
      <c r="H4038" s="1"/>
      <c r="I4038" s="1"/>
      <c r="J4038" s="1"/>
    </row>
    <row r="4039" spans="1:10" x14ac:dyDescent="0.2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Jaime\QUIFA-CAJÚA\Cajua\[VAS_CAJUA_CF_SEC_20230125.xlsx]CF PSDP'!</v>
      </c>
      <c r="G4039" s="6" t="s">
        <v>60</v>
      </c>
      <c r="H4039" s="1"/>
      <c r="I4039" s="1"/>
      <c r="J4039" s="1"/>
    </row>
    <row r="4040" spans="1:10" x14ac:dyDescent="0.2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Jaime\QUIFA-CAJÚA\Cajua\[VAS_CAJUA_CF_SEC_20230125.xlsx]CF PSDP'!</v>
      </c>
      <c r="G4040" s="6" t="s">
        <v>60</v>
      </c>
      <c r="H4040" s="1"/>
      <c r="I4040" s="1"/>
      <c r="J4040" s="1"/>
    </row>
    <row r="4041" spans="1:10" x14ac:dyDescent="0.2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Jaime\QUIFA-CAJÚA\Cajua\[VAS_CAJUA_CF_SEC_20230125.xlsx]CF PSDP'!</v>
      </c>
      <c r="G4041" s="6" t="s">
        <v>60</v>
      </c>
      <c r="H4041" s="1"/>
      <c r="I4041" s="1"/>
      <c r="J4041" s="1"/>
    </row>
    <row r="4042" spans="1:10" x14ac:dyDescent="0.2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Jaime\QUIFA-CAJÚA\Cajua\[VAS_CAJUA_CF_SEC_20230125.xlsx]CF PSDP'!</v>
      </c>
      <c r="G4042" s="6" t="s">
        <v>60</v>
      </c>
      <c r="H4042" s="1"/>
      <c r="I4042" s="1"/>
      <c r="J4042" s="1"/>
    </row>
    <row r="4043" spans="1:10" x14ac:dyDescent="0.2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Jaime\QUIFA-CAJÚA\Cajua\[VAS_CAJUA_CF_SEC_20230125.xlsx]CF PSDP'!</v>
      </c>
      <c r="G4043" s="6" t="s">
        <v>60</v>
      </c>
      <c r="H4043" s="1"/>
      <c r="I4043" s="1"/>
      <c r="J4043" s="1"/>
    </row>
    <row r="4044" spans="1:10" x14ac:dyDescent="0.2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Jaime\QUIFA-CAJÚA\Cajua\[VAS_CAJUA_CF_SEC_20230125.xlsx]CF PSDP'!</v>
      </c>
      <c r="G4044" s="6" t="s">
        <v>60</v>
      </c>
      <c r="H4044" s="1"/>
      <c r="I4044" s="1"/>
      <c r="J4044" s="1"/>
    </row>
    <row r="4045" spans="1:10" x14ac:dyDescent="0.2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Jaime\QUIFA-CAJÚA\Cajua\[VAS_CAJUA_CF_SEC_20230125.xlsx]CF PSDP'!</v>
      </c>
      <c r="G4045" s="6" t="s">
        <v>60</v>
      </c>
      <c r="H4045" s="1"/>
      <c r="I4045" s="1"/>
      <c r="J4045" s="1"/>
    </row>
    <row r="4046" spans="1:10" x14ac:dyDescent="0.2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Jaime\QUIFA-CAJÚA\Cajua\[VAS_CAJUA_CF_SEC_20230125.xlsx]CF PSDP'!</v>
      </c>
      <c r="G4046" s="6" t="s">
        <v>60</v>
      </c>
      <c r="H4046" s="1"/>
      <c r="I4046" s="1"/>
      <c r="J4046" s="1"/>
    </row>
    <row r="4047" spans="1:10" x14ac:dyDescent="0.2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Jaime\QUIFA-CAJÚA\Cajua\[VAS_CAJUA_CF_SEC_20230125.xlsx]CF PSDP'!</v>
      </c>
      <c r="G4047" s="6" t="s">
        <v>60</v>
      </c>
      <c r="H4047" s="1"/>
      <c r="I4047" s="1"/>
      <c r="J4047" s="1"/>
    </row>
    <row r="4048" spans="1:10" x14ac:dyDescent="0.2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Jaime\QUIFA-CAJÚA\Cajua\[VAS_CAJUA_CF_SEC_20230125.xlsx]CF PSDP'!</v>
      </c>
      <c r="G4048" s="6" t="s">
        <v>60</v>
      </c>
      <c r="H4048" s="1"/>
      <c r="I4048" s="1"/>
      <c r="J4048" s="1"/>
    </row>
    <row r="4049" spans="1:10" x14ac:dyDescent="0.2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Jaime\QUIFA-CAJÚA\Cajua\[VAS_CAJUA_CF_SEC_20230125.xlsx]CF PSDP'!</v>
      </c>
      <c r="G4049" s="6" t="s">
        <v>60</v>
      </c>
      <c r="H4049" s="1"/>
      <c r="I4049" s="1"/>
      <c r="J4049" s="1"/>
    </row>
    <row r="4050" spans="1:10" x14ac:dyDescent="0.2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Jaime\QUIFA-CAJÚA\Cajua\[VAS_CAJUA_CF_SEC_20230125.xlsx]CF PSDP'!</v>
      </c>
      <c r="G4050" s="6" t="s">
        <v>60</v>
      </c>
      <c r="H4050" s="1"/>
      <c r="I4050" s="1"/>
      <c r="J4050" s="1"/>
    </row>
    <row r="4051" spans="1:10" x14ac:dyDescent="0.2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Jaime\QUIFA-CAJÚA\Cajua\[VAS_CAJUA_CF_SEC_20230125.xlsx]CF PSDP'!</v>
      </c>
      <c r="G4051" s="6" t="s">
        <v>60</v>
      </c>
      <c r="H4051" s="1"/>
      <c r="I4051" s="1"/>
      <c r="J4051" s="1"/>
    </row>
    <row r="4052" spans="1:10" x14ac:dyDescent="0.2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Jaime\QUIFA-CAJÚA\Cajua\[VAS_CAJUA_CF_SEC_20230125.xlsx]CF PSDP'!</v>
      </c>
      <c r="G4052" s="6" t="s">
        <v>60</v>
      </c>
      <c r="H4052" s="1"/>
      <c r="I4052" s="1"/>
      <c r="J4052" s="1"/>
    </row>
    <row r="4053" spans="1:10" x14ac:dyDescent="0.2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Jaime\QUIFA-CAJÚA\Cajua\[VAS_CAJUA_CF_SEC_20230125.xlsx]CF PSDP'!</v>
      </c>
      <c r="G4053" s="6" t="s">
        <v>60</v>
      </c>
      <c r="H4053" s="1"/>
      <c r="I4053" s="1"/>
      <c r="J4053" s="1"/>
    </row>
    <row r="4054" spans="1:10" x14ac:dyDescent="0.2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Jaime\QUIFA-CAJÚA\Cajua\[VAS_CAJUA_CF_SEC_20230125.xlsx]CF PSDP'!</v>
      </c>
      <c r="G4054" s="6" t="s">
        <v>60</v>
      </c>
      <c r="H4054" s="1"/>
      <c r="I4054" s="1"/>
      <c r="J4054" s="1"/>
    </row>
    <row r="4055" spans="1:10" x14ac:dyDescent="0.2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Jaime\QUIFA-CAJÚA\Cajua\[VAS_CAJUA_CF_SEC_20230125.xlsx]CF PSDP'!</v>
      </c>
      <c r="G4055" s="6" t="s">
        <v>60</v>
      </c>
      <c r="H4055" s="1"/>
      <c r="I4055" s="1"/>
      <c r="J4055" s="1"/>
    </row>
    <row r="4056" spans="1:10" x14ac:dyDescent="0.2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Jaime\QUIFA-CAJÚA\Cajua\[VAS_CAJUA_CF_SEC_20230125.xlsx]CF PSDP'!</v>
      </c>
      <c r="G4056" s="6" t="s">
        <v>60</v>
      </c>
      <c r="H4056" s="1"/>
      <c r="I4056" s="1"/>
      <c r="J4056" s="1"/>
    </row>
    <row r="4057" spans="1:10" x14ac:dyDescent="0.2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Jaime\QUIFA-CAJÚA\Cajua\[VAS_CAJUA_CF_SEC_20230125.xlsx]CF PSDP'!</v>
      </c>
      <c r="G4057" s="6" t="s">
        <v>60</v>
      </c>
      <c r="H4057" s="1"/>
      <c r="I4057" s="1"/>
      <c r="J4057" s="1"/>
    </row>
    <row r="4058" spans="1:10" x14ac:dyDescent="0.2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Jaime\QUIFA-CAJÚA\Cajua\[VAS_CAJUA_CF_SEC_20230125.xlsx]CF PSDP'!</v>
      </c>
      <c r="G4058" s="6" t="s">
        <v>60</v>
      </c>
      <c r="H4058" s="1"/>
      <c r="I4058" s="1"/>
      <c r="J4058" s="1"/>
    </row>
    <row r="4059" spans="1:10" x14ac:dyDescent="0.2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Jaime\QUIFA-CAJÚA\Cajua\[VAS_CAJUA_CF_SEC_20230125.xlsx]CF PSDP'!</v>
      </c>
      <c r="G4059" s="6" t="s">
        <v>60</v>
      </c>
      <c r="H4059" s="1"/>
      <c r="I4059" s="1"/>
      <c r="J4059" s="1"/>
    </row>
    <row r="4060" spans="1:10" x14ac:dyDescent="0.2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Jaime\QUIFA-CAJÚA\Cajua\[VAS_CAJUA_CF_SEC_20230125.xlsx]CF PSDP'!</v>
      </c>
      <c r="G4060" s="6" t="s">
        <v>60</v>
      </c>
      <c r="H4060" s="1"/>
      <c r="I4060" s="1"/>
      <c r="J4060" s="1"/>
    </row>
    <row r="4061" spans="1:10" x14ac:dyDescent="0.2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Jaime\QUIFA-CAJÚA\Cajua\[VAS_CAJUA_CF_SEC_20230125.xlsx]CF PSDP'!</v>
      </c>
      <c r="G4061" s="6" t="s">
        <v>60</v>
      </c>
      <c r="H4061" s="1"/>
      <c r="I4061" s="1"/>
      <c r="J4061" s="1"/>
    </row>
    <row r="4062" spans="1:10" x14ac:dyDescent="0.2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Jaime\QUIFA-CAJÚA\Cajua\[VAS_CAJUA_CF_SEC_20230125.xlsx]CF PSDP'!</v>
      </c>
      <c r="G4062" s="6" t="s">
        <v>60</v>
      </c>
      <c r="H4062" s="1"/>
      <c r="I4062" s="1"/>
      <c r="J4062" s="1"/>
    </row>
    <row r="4063" spans="1:10" x14ac:dyDescent="0.2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Jaime\QUIFA-CAJÚA\Cajua\[VAS_CAJUA_CF_SEC_20230125.xlsx]CF PSDP'!</v>
      </c>
      <c r="G4063" s="6" t="s">
        <v>60</v>
      </c>
      <c r="H4063" s="1"/>
      <c r="I4063" s="1"/>
      <c r="J4063" s="1"/>
    </row>
    <row r="4064" spans="1:10" x14ac:dyDescent="0.2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Jaime\QUIFA-CAJÚA\Cajua\[VAS_CAJUA_CF_SEC_20230125.xlsx]CF PSDP'!</v>
      </c>
      <c r="G4064" s="6" t="s">
        <v>60</v>
      </c>
      <c r="H4064" s="1"/>
      <c r="I4064" s="1"/>
      <c r="J4064" s="1"/>
    </row>
    <row r="4065" spans="1:10" x14ac:dyDescent="0.2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Jaime\QUIFA-CAJÚA\Cajua\[VAS_CAJUA_CF_SEC_20230125.xlsx]CF PSDP'!</v>
      </c>
      <c r="G4065" s="6" t="s">
        <v>60</v>
      </c>
      <c r="H4065" s="1"/>
      <c r="I4065" s="1"/>
      <c r="J4065" s="1"/>
    </row>
    <row r="4066" spans="1:10" x14ac:dyDescent="0.2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Jaime\QUIFA-CAJÚA\Cajua\[VAS_CAJUA_CF_SEC_20230125.xlsx]CF PSDP'!</v>
      </c>
      <c r="G4066" s="6" t="s">
        <v>60</v>
      </c>
      <c r="H4066" s="1"/>
      <c r="I4066" s="1"/>
      <c r="J4066" s="1"/>
    </row>
    <row r="4067" spans="1:10" x14ac:dyDescent="0.25">
      <c r="A4067" s="6" t="s">
        <v>28</v>
      </c>
      <c r="B4067" s="6"/>
      <c r="C4067" s="1" t="s">
        <v>109</v>
      </c>
      <c r="D4067" s="2"/>
      <c r="E4067" s="9"/>
      <c r="F4067" s="5"/>
      <c r="G4067" s="6"/>
      <c r="H4067" s="1"/>
      <c r="I4067" s="1"/>
      <c r="J4067" s="12"/>
    </row>
    <row r="4068" spans="1:10" x14ac:dyDescent="0.2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Jaime\QUIFA-CAJÚA\Cajua\[VAS_CAJUA_CF_SEC_20230125.xlsx]CF PSNP'!</v>
      </c>
      <c r="G4068" s="6" t="s">
        <v>60</v>
      </c>
      <c r="H4068" s="1"/>
      <c r="I4068" s="1"/>
      <c r="J4068" s="1"/>
    </row>
    <row r="4069" spans="1:10" x14ac:dyDescent="0.2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Jaime\QUIFA-CAJÚA\Cajua\[VAS_CAJUA_CF_SEC_20230125.xlsx]CF PSNP'!</v>
      </c>
      <c r="G4069" s="6" t="s">
        <v>60</v>
      </c>
      <c r="H4069" s="1"/>
      <c r="I4069" s="1"/>
      <c r="J4069" s="1"/>
    </row>
    <row r="4070" spans="1:10" x14ac:dyDescent="0.2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Jaime\QUIFA-CAJÚA\Cajua\[VAS_CAJUA_CF_SEC_20230125.xlsx]CF PSNP'!</v>
      </c>
      <c r="G4070" s="6" t="s">
        <v>60</v>
      </c>
      <c r="H4070" s="1"/>
      <c r="I4070" s="1"/>
      <c r="J4070" s="1"/>
    </row>
    <row r="4071" spans="1:10" x14ac:dyDescent="0.2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Jaime\QUIFA-CAJÚA\Cajua\[VAS_CAJUA_CF_SEC_20230125.xlsx]CF PSNP'!</v>
      </c>
      <c r="G4071" s="6" t="s">
        <v>60</v>
      </c>
      <c r="H4071" s="1"/>
      <c r="I4071" s="1"/>
      <c r="J4071" s="1"/>
    </row>
    <row r="4072" spans="1:10" x14ac:dyDescent="0.2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Jaime\QUIFA-CAJÚA\Cajua\[VAS_CAJUA_CF_SEC_20230125.xlsx]CF PSNP'!</v>
      </c>
      <c r="G4072" s="6" t="s">
        <v>60</v>
      </c>
      <c r="H4072" s="1"/>
      <c r="I4072" s="1"/>
      <c r="J4072" s="1"/>
    </row>
    <row r="4073" spans="1:10" x14ac:dyDescent="0.2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Jaime\QUIFA-CAJÚA\Cajua\[VAS_CAJUA_CF_SEC_20230125.xlsx]CF PSNP'!</v>
      </c>
      <c r="G4073" s="6" t="s">
        <v>60</v>
      </c>
      <c r="H4073" s="1"/>
      <c r="I4073" s="1"/>
      <c r="J4073" s="1"/>
    </row>
    <row r="4074" spans="1:10" x14ac:dyDescent="0.2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Jaime\QUIFA-CAJÚA\Cajua\[VAS_CAJUA_CF_SEC_20230125.xlsx]CF PSNP'!</v>
      </c>
      <c r="G4074" s="6" t="s">
        <v>60</v>
      </c>
      <c r="H4074" s="1"/>
      <c r="I4074" s="1"/>
      <c r="J4074" s="1"/>
    </row>
    <row r="4075" spans="1:10" x14ac:dyDescent="0.2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Jaime\QUIFA-CAJÚA\Cajua\[VAS_CAJUA_CF_SEC_20230125.xlsx]CF PSNP'!</v>
      </c>
      <c r="G4075" s="6" t="s">
        <v>60</v>
      </c>
      <c r="H4075" s="1"/>
      <c r="I4075" s="1"/>
      <c r="J4075" s="1"/>
    </row>
    <row r="4076" spans="1:10" x14ac:dyDescent="0.2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Jaime\QUIFA-CAJÚA\Cajua\[VAS_CAJUA_CF_SEC_20230125.xlsx]CF PSNP'!</v>
      </c>
      <c r="G4076" s="6" t="s">
        <v>60</v>
      </c>
      <c r="H4076" s="1"/>
      <c r="I4076" s="1"/>
      <c r="J4076" s="1"/>
    </row>
    <row r="4077" spans="1:10" x14ac:dyDescent="0.2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Jaime\QUIFA-CAJÚA\Cajua\[VAS_CAJUA_CF_SEC_20230125.xlsx]CF PSNP'!</v>
      </c>
      <c r="G4077" s="6" t="s">
        <v>60</v>
      </c>
      <c r="H4077" s="1"/>
      <c r="I4077" s="1"/>
      <c r="J4077" s="1"/>
    </row>
    <row r="4078" spans="1:10" x14ac:dyDescent="0.2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Jaime\QUIFA-CAJÚA\Cajua\[VAS_CAJUA_CF_SEC_20230125.xlsx]CF PSNP'!</v>
      </c>
      <c r="G4078" s="6" t="s">
        <v>60</v>
      </c>
      <c r="H4078" s="1"/>
      <c r="I4078" s="1"/>
      <c r="J4078" s="1"/>
    </row>
    <row r="4079" spans="1:10" x14ac:dyDescent="0.2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Jaime\QUIFA-CAJÚA\Cajua\[VAS_CAJUA_CF_SEC_20230125.xlsx]CF PSNP'!</v>
      </c>
      <c r="G4079" s="6" t="s">
        <v>60</v>
      </c>
      <c r="H4079" s="1"/>
      <c r="I4079" s="1"/>
      <c r="J4079" s="1"/>
    </row>
    <row r="4080" spans="1:10" x14ac:dyDescent="0.2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Jaime\QUIFA-CAJÚA\Cajua\[VAS_CAJUA_CF_SEC_20230125.xlsx]CF PSNP'!</v>
      </c>
      <c r="G4080" s="6" t="s">
        <v>60</v>
      </c>
      <c r="H4080" s="1"/>
      <c r="I4080" s="1"/>
      <c r="J4080" s="1"/>
    </row>
    <row r="4081" spans="1:10" x14ac:dyDescent="0.2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Jaime\QUIFA-CAJÚA\Cajua\[VAS_CAJUA_CF_SEC_20230125.xlsx]CF PSNP'!</v>
      </c>
      <c r="G4081" s="6" t="s">
        <v>60</v>
      </c>
      <c r="H4081" s="1"/>
      <c r="I4081" s="1"/>
      <c r="J4081" s="1"/>
    </row>
    <row r="4082" spans="1:10" x14ac:dyDescent="0.2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Jaime\QUIFA-CAJÚA\Cajua\[VAS_CAJUA_CF_SEC_20230125.xlsx]CF PSNP'!</v>
      </c>
      <c r="G4082" s="6" t="s">
        <v>60</v>
      </c>
      <c r="H4082" s="1"/>
      <c r="I4082" s="1"/>
      <c r="J4082" s="1"/>
    </row>
    <row r="4083" spans="1:10" x14ac:dyDescent="0.2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Jaime\QUIFA-CAJÚA\Cajua\[VAS_CAJUA_CF_SEC_20230125.xlsx]CF PSNP'!</v>
      </c>
      <c r="G4083" s="6" t="s">
        <v>60</v>
      </c>
      <c r="H4083" s="1"/>
      <c r="I4083" s="1"/>
      <c r="J4083" s="1"/>
    </row>
    <row r="4084" spans="1:10" x14ac:dyDescent="0.2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Jaime\QUIFA-CAJÚA\Cajua\[VAS_CAJUA_CF_SEC_20230125.xlsx]CF PSNP'!</v>
      </c>
      <c r="G4084" s="6" t="s">
        <v>60</v>
      </c>
      <c r="H4084" s="1"/>
      <c r="I4084" s="1"/>
      <c r="J4084" s="1"/>
    </row>
    <row r="4085" spans="1:10" x14ac:dyDescent="0.2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Jaime\QUIFA-CAJÚA\Cajua\[VAS_CAJUA_CF_SEC_20230125.xlsx]CF PSNP'!</v>
      </c>
      <c r="G4085" s="6" t="s">
        <v>60</v>
      </c>
      <c r="H4085" s="1"/>
      <c r="I4085" s="1"/>
      <c r="J4085" s="1"/>
    </row>
    <row r="4086" spans="1:10" x14ac:dyDescent="0.2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Jaime\QUIFA-CAJÚA\Cajua\[VAS_CAJUA_CF_SEC_20230125.xlsx]CF PSNP'!</v>
      </c>
      <c r="G4086" s="6" t="s">
        <v>60</v>
      </c>
      <c r="H4086" s="1"/>
      <c r="I4086" s="1"/>
      <c r="J4086" s="1"/>
    </row>
    <row r="4087" spans="1:10" x14ac:dyDescent="0.2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Jaime\QUIFA-CAJÚA\Cajua\[VAS_CAJUA_CF_SEC_20230125.xlsx]CF PSNP'!</v>
      </c>
      <c r="G4087" s="6" t="s">
        <v>60</v>
      </c>
      <c r="H4087" s="1"/>
      <c r="I4087" s="1"/>
      <c r="J4087" s="1"/>
    </row>
    <row r="4088" spans="1:10" x14ac:dyDescent="0.2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Jaime\QUIFA-CAJÚA\Cajua\[VAS_CAJUA_CF_SEC_20230125.xlsx]CF PSNP'!</v>
      </c>
      <c r="G4088" s="6" t="s">
        <v>60</v>
      </c>
      <c r="H4088" s="1"/>
      <c r="I4088" s="1"/>
      <c r="J4088" s="1"/>
    </row>
    <row r="4089" spans="1:10" x14ac:dyDescent="0.2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Jaime\QUIFA-CAJÚA\Cajua\[VAS_CAJUA_CF_SEC_20230125.xlsx]CF PSNP'!</v>
      </c>
      <c r="G4089" s="6" t="s">
        <v>60</v>
      </c>
      <c r="H4089" s="1"/>
      <c r="I4089" s="1"/>
      <c r="J4089" s="1"/>
    </row>
    <row r="4090" spans="1:10" x14ac:dyDescent="0.2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Jaime\QUIFA-CAJÚA\Cajua\[VAS_CAJUA_CF_SEC_20230125.xlsx]CF PSNP'!</v>
      </c>
      <c r="G4090" s="6" t="s">
        <v>60</v>
      </c>
      <c r="H4090" s="1"/>
      <c r="I4090" s="1"/>
      <c r="J4090" s="1"/>
    </row>
    <row r="4091" spans="1:10" x14ac:dyDescent="0.2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Jaime\QUIFA-CAJÚA\Cajua\[VAS_CAJUA_CF_SEC_20230125.xlsx]CF PSNP'!</v>
      </c>
      <c r="G4091" s="6" t="s">
        <v>60</v>
      </c>
      <c r="H4091" s="1"/>
      <c r="I4091" s="1"/>
      <c r="J4091" s="1"/>
    </row>
    <row r="4092" spans="1:10" x14ac:dyDescent="0.2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Jaime\QUIFA-CAJÚA\Cajua\[VAS_CAJUA_CF_SEC_20230125.xlsx]CF PSNP'!</v>
      </c>
      <c r="G4092" s="6" t="s">
        <v>60</v>
      </c>
      <c r="H4092" s="1"/>
      <c r="I4092" s="1"/>
      <c r="J4092" s="1"/>
    </row>
    <row r="4093" spans="1:10" x14ac:dyDescent="0.2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Jaime\QUIFA-CAJÚA\Cajua\[VAS_CAJUA_CF_SEC_20230125.xlsx]CF PSNP'!</v>
      </c>
      <c r="G4093" s="6" t="s">
        <v>60</v>
      </c>
      <c r="H4093" s="1"/>
      <c r="I4093" s="1"/>
      <c r="J4093" s="1"/>
    </row>
    <row r="4094" spans="1:10" x14ac:dyDescent="0.2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Jaime\QUIFA-CAJÚA\Cajua\[VAS_CAJUA_CF_SEC_20230125.xlsx]CF PSNP'!</v>
      </c>
      <c r="G4094" s="6" t="s">
        <v>60</v>
      </c>
      <c r="H4094" s="1"/>
      <c r="I4094" s="1"/>
      <c r="J4094" s="1"/>
    </row>
    <row r="4095" spans="1:10" x14ac:dyDescent="0.2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Jaime\QUIFA-CAJÚA\Cajua\[VAS_CAJUA_CF_SEC_20230125.xlsx]CF PSNP'!</v>
      </c>
      <c r="G4095" s="6" t="s">
        <v>60</v>
      </c>
      <c r="H4095" s="1"/>
      <c r="I4095" s="1"/>
      <c r="J4095" s="1"/>
    </row>
    <row r="4096" spans="1:10" x14ac:dyDescent="0.2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Jaime\QUIFA-CAJÚA\Cajua\[VAS_CAJUA_CF_SEC_20230125.xlsx]CF PSNP'!</v>
      </c>
      <c r="G4096" s="6" t="s">
        <v>60</v>
      </c>
      <c r="H4096" s="1"/>
      <c r="I4096" s="1"/>
      <c r="J4096" s="1"/>
    </row>
    <row r="4097" spans="1:10" x14ac:dyDescent="0.2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Jaime\QUIFA-CAJÚA\Cajua\[VAS_CAJUA_CF_SEC_20230125.xlsx]CF PSNP'!</v>
      </c>
      <c r="G4097" s="6" t="s">
        <v>60</v>
      </c>
      <c r="H4097" s="1"/>
      <c r="I4097" s="1"/>
      <c r="J4097" s="1"/>
    </row>
    <row r="4098" spans="1:10" x14ac:dyDescent="0.2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Jaime\QUIFA-CAJÚA\Cajua\[VAS_CAJUA_CF_SEC_20230125.xlsx]CF PSNP'!</v>
      </c>
      <c r="G4098" s="6" t="s">
        <v>60</v>
      </c>
      <c r="H4098" s="1"/>
      <c r="I4098" s="1"/>
      <c r="J4098" s="1"/>
    </row>
    <row r="4099" spans="1:10" x14ac:dyDescent="0.2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Jaime\QUIFA-CAJÚA\Cajua\[VAS_CAJUA_CF_SEC_20230125.xlsx]CF PSNP'!</v>
      </c>
      <c r="G4099" s="6" t="s">
        <v>60</v>
      </c>
      <c r="H4099" s="1"/>
      <c r="I4099" s="1"/>
      <c r="J4099" s="1"/>
    </row>
    <row r="4100" spans="1:10" x14ac:dyDescent="0.2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Jaime\QUIFA-CAJÚA\Cajua\[VAS_CAJUA_CF_SEC_20230125.xlsx]CF PSNP'!</v>
      </c>
      <c r="G4100" s="6" t="s">
        <v>60</v>
      </c>
      <c r="H4100" s="1"/>
      <c r="I4100" s="1"/>
      <c r="J4100" s="1"/>
    </row>
    <row r="4101" spans="1:10" x14ac:dyDescent="0.2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Jaime\QUIFA-CAJÚA\Cajua\[VAS_CAJUA_CF_SEC_20230125.xlsx]CF PSNP'!</v>
      </c>
      <c r="G4101" s="6" t="s">
        <v>60</v>
      </c>
      <c r="H4101" s="1"/>
      <c r="I4101" s="1"/>
      <c r="J4101" s="1"/>
    </row>
    <row r="4102" spans="1:10" x14ac:dyDescent="0.2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Jaime\QUIFA-CAJÚA\Cajua\[VAS_CAJUA_CF_SEC_20230125.xlsx]CF PSNP'!</v>
      </c>
      <c r="G4102" s="6" t="s">
        <v>60</v>
      </c>
      <c r="H4102" s="1"/>
      <c r="I4102" s="1"/>
      <c r="J4102" s="1"/>
    </row>
    <row r="4103" spans="1:10" x14ac:dyDescent="0.2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Jaime\QUIFA-CAJÚA\Cajua\[VAS_CAJUA_CF_SEC_20230125.xlsx]CF PSNP'!</v>
      </c>
      <c r="G4103" s="6" t="s">
        <v>60</v>
      </c>
      <c r="H4103" s="1"/>
      <c r="I4103" s="1"/>
      <c r="J4103" s="1"/>
    </row>
    <row r="4104" spans="1:10" x14ac:dyDescent="0.2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Jaime\QUIFA-CAJÚA\Cajua\[VAS_CAJUA_CF_SEC_20230125.xlsx]CF PSNP'!</v>
      </c>
      <c r="G4104" s="6" t="s">
        <v>60</v>
      </c>
      <c r="H4104" s="1"/>
      <c r="I4104" s="1"/>
      <c r="J4104" s="1"/>
    </row>
    <row r="4105" spans="1:10" x14ac:dyDescent="0.25">
      <c r="A4105" s="6" t="s">
        <v>28</v>
      </c>
      <c r="B4105" s="6"/>
      <c r="C4105" s="1" t="s">
        <v>109</v>
      </c>
      <c r="D4105" s="2"/>
      <c r="E4105" s="9"/>
      <c r="F4105" s="5"/>
      <c r="G4105" s="6"/>
      <c r="H4105" s="1"/>
      <c r="I4105" s="1"/>
      <c r="J4105" s="12"/>
    </row>
    <row r="4106" spans="1:10" x14ac:dyDescent="0.2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Jaime\QUIFA-CAJÚA\Cajua\[VAS_CAJUA_CF_SEC_20230125.xlsx]CF PSND'!</v>
      </c>
      <c r="G4106" s="6" t="s">
        <v>60</v>
      </c>
      <c r="H4106" s="1"/>
      <c r="I4106" s="1"/>
      <c r="J4106" s="1"/>
    </row>
    <row r="4107" spans="1:10" x14ac:dyDescent="0.2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Jaime\QUIFA-CAJÚA\Cajua\[VAS_CAJUA_CF_SEC_20230125.xlsx]CF PSND'!</v>
      </c>
      <c r="G4107" s="6" t="s">
        <v>60</v>
      </c>
      <c r="H4107" s="1"/>
      <c r="I4107" s="1"/>
      <c r="J4107" s="1"/>
    </row>
    <row r="4108" spans="1:10" x14ac:dyDescent="0.2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Jaime\QUIFA-CAJÚA\Cajua\[VAS_CAJUA_CF_SEC_20230125.xlsx]CF PSND'!</v>
      </c>
      <c r="G4108" s="6" t="s">
        <v>60</v>
      </c>
      <c r="H4108" s="1"/>
      <c r="I4108" s="1"/>
      <c r="J4108" s="1"/>
    </row>
    <row r="4109" spans="1:10" x14ac:dyDescent="0.2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Jaime\QUIFA-CAJÚA\Cajua\[VAS_CAJUA_CF_SEC_20230125.xlsx]CF PSND'!</v>
      </c>
      <c r="G4109" s="6" t="s">
        <v>60</v>
      </c>
      <c r="H4109" s="1"/>
      <c r="I4109" s="1"/>
      <c r="J4109" s="1"/>
    </row>
    <row r="4110" spans="1:10" x14ac:dyDescent="0.2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Jaime\QUIFA-CAJÚA\Cajua\[VAS_CAJUA_CF_SEC_20230125.xlsx]CF PSND'!</v>
      </c>
      <c r="G4110" s="6" t="s">
        <v>60</v>
      </c>
      <c r="H4110" s="1"/>
      <c r="I4110" s="1"/>
      <c r="J4110" s="1"/>
    </row>
    <row r="4111" spans="1:10" x14ac:dyDescent="0.2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Jaime\QUIFA-CAJÚA\Cajua\[VAS_CAJUA_CF_SEC_20230125.xlsx]CF PSND'!</v>
      </c>
      <c r="G4111" s="6" t="s">
        <v>60</v>
      </c>
      <c r="H4111" s="1"/>
      <c r="I4111" s="1"/>
      <c r="J4111" s="1"/>
    </row>
    <row r="4112" spans="1:10" x14ac:dyDescent="0.2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Jaime\QUIFA-CAJÚA\Cajua\[VAS_CAJUA_CF_SEC_20230125.xlsx]CF PSND'!</v>
      </c>
      <c r="G4112" s="6" t="s">
        <v>60</v>
      </c>
      <c r="H4112" s="1"/>
      <c r="I4112" s="1"/>
      <c r="J4112" s="1"/>
    </row>
    <row r="4113" spans="1:10" x14ac:dyDescent="0.2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Jaime\QUIFA-CAJÚA\Cajua\[VAS_CAJUA_CF_SEC_20230125.xlsx]CF PSND'!</v>
      </c>
      <c r="G4113" s="6" t="s">
        <v>60</v>
      </c>
      <c r="H4113" s="1"/>
      <c r="I4113" s="1"/>
      <c r="J4113" s="1"/>
    </row>
    <row r="4114" spans="1:10" x14ac:dyDescent="0.2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Jaime\QUIFA-CAJÚA\Cajua\[VAS_CAJUA_CF_SEC_20230125.xlsx]CF PSND'!</v>
      </c>
      <c r="G4114" s="6" t="s">
        <v>60</v>
      </c>
      <c r="H4114" s="1"/>
      <c r="I4114" s="1"/>
      <c r="J4114" s="1"/>
    </row>
    <row r="4115" spans="1:10" x14ac:dyDescent="0.2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Jaime\QUIFA-CAJÚA\Cajua\[VAS_CAJUA_CF_SEC_20230125.xlsx]CF PSND'!</v>
      </c>
      <c r="G4115" s="6" t="s">
        <v>60</v>
      </c>
      <c r="H4115" s="1"/>
      <c r="I4115" s="1"/>
      <c r="J4115" s="1"/>
    </row>
    <row r="4116" spans="1:10" x14ac:dyDescent="0.2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Jaime\QUIFA-CAJÚA\Cajua\[VAS_CAJUA_CF_SEC_20230125.xlsx]CF PSND'!</v>
      </c>
      <c r="G4116" s="6" t="s">
        <v>60</v>
      </c>
      <c r="H4116" s="1"/>
      <c r="I4116" s="1"/>
      <c r="J4116" s="1"/>
    </row>
    <row r="4117" spans="1:10" x14ac:dyDescent="0.2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Jaime\QUIFA-CAJÚA\Cajua\[VAS_CAJUA_CF_SEC_20230125.xlsx]CF PSND'!</v>
      </c>
      <c r="G4117" s="6" t="s">
        <v>60</v>
      </c>
      <c r="H4117" s="1"/>
      <c r="I4117" s="1"/>
      <c r="J4117" s="1"/>
    </row>
    <row r="4118" spans="1:10" x14ac:dyDescent="0.2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Jaime\QUIFA-CAJÚA\Cajua\[VAS_CAJUA_CF_SEC_20230125.xlsx]CF PSND'!</v>
      </c>
      <c r="G4118" s="6" t="s">
        <v>60</v>
      </c>
      <c r="H4118" s="1"/>
      <c r="I4118" s="1"/>
      <c r="J4118" s="1"/>
    </row>
    <row r="4119" spans="1:10" x14ac:dyDescent="0.2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Jaime\QUIFA-CAJÚA\Cajua\[VAS_CAJUA_CF_SEC_20230125.xlsx]CF PSND'!</v>
      </c>
      <c r="G4119" s="6" t="s">
        <v>60</v>
      </c>
      <c r="H4119" s="1"/>
      <c r="I4119" s="1"/>
      <c r="J4119" s="1"/>
    </row>
    <row r="4120" spans="1:10" x14ac:dyDescent="0.2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Jaime\QUIFA-CAJÚA\Cajua\[VAS_CAJUA_CF_SEC_20230125.xlsx]CF PSND'!</v>
      </c>
      <c r="G4120" s="6" t="s">
        <v>60</v>
      </c>
      <c r="H4120" s="1"/>
      <c r="I4120" s="1"/>
      <c r="J4120" s="1"/>
    </row>
    <row r="4121" spans="1:10" x14ac:dyDescent="0.2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Jaime\QUIFA-CAJÚA\Cajua\[VAS_CAJUA_CF_SEC_20230125.xlsx]CF PSND'!</v>
      </c>
      <c r="G4121" s="6" t="s">
        <v>60</v>
      </c>
      <c r="H4121" s="1"/>
      <c r="I4121" s="1"/>
      <c r="J4121" s="1"/>
    </row>
    <row r="4122" spans="1:10" x14ac:dyDescent="0.2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Jaime\QUIFA-CAJÚA\Cajua\[VAS_CAJUA_CF_SEC_20230125.xlsx]CF PSND'!</v>
      </c>
      <c r="G4122" s="6" t="s">
        <v>60</v>
      </c>
      <c r="H4122" s="1"/>
      <c r="I4122" s="1"/>
      <c r="J4122" s="1"/>
    </row>
    <row r="4123" spans="1:10" x14ac:dyDescent="0.2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Jaime\QUIFA-CAJÚA\Cajua\[VAS_CAJUA_CF_SEC_20230125.xlsx]CF PSND'!</v>
      </c>
      <c r="G4123" s="6" t="s">
        <v>60</v>
      </c>
      <c r="H4123" s="1"/>
      <c r="I4123" s="1"/>
      <c r="J4123" s="1"/>
    </row>
    <row r="4124" spans="1:10" x14ac:dyDescent="0.2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Jaime\QUIFA-CAJÚA\Cajua\[VAS_CAJUA_CF_SEC_20230125.xlsx]CF PSND'!</v>
      </c>
      <c r="G4124" s="6" t="s">
        <v>60</v>
      </c>
      <c r="H4124" s="1"/>
      <c r="I4124" s="1"/>
      <c r="J4124" s="1"/>
    </row>
    <row r="4125" spans="1:10" x14ac:dyDescent="0.2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Jaime\QUIFA-CAJÚA\Cajua\[VAS_CAJUA_CF_SEC_20230125.xlsx]CF PSND'!</v>
      </c>
      <c r="G4125" s="6" t="s">
        <v>60</v>
      </c>
      <c r="H4125" s="1"/>
      <c r="I4125" s="1"/>
      <c r="J4125" s="1"/>
    </row>
    <row r="4126" spans="1:10" x14ac:dyDescent="0.2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Jaime\QUIFA-CAJÚA\Cajua\[VAS_CAJUA_CF_SEC_20230125.xlsx]CF PSND'!</v>
      </c>
      <c r="G4126" s="6" t="s">
        <v>60</v>
      </c>
      <c r="H4126" s="1"/>
      <c r="I4126" s="1"/>
      <c r="J4126" s="1"/>
    </row>
    <row r="4127" spans="1:10" x14ac:dyDescent="0.2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Jaime\QUIFA-CAJÚA\Cajua\[VAS_CAJUA_CF_SEC_20230125.xlsx]CF PSND'!</v>
      </c>
      <c r="G4127" s="6" t="s">
        <v>60</v>
      </c>
      <c r="H4127" s="1"/>
      <c r="I4127" s="1"/>
      <c r="J4127" s="1"/>
    </row>
    <row r="4128" spans="1:10" x14ac:dyDescent="0.2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Jaime\QUIFA-CAJÚA\Cajua\[VAS_CAJUA_CF_SEC_20230125.xlsx]CF PSND'!</v>
      </c>
      <c r="G4128" s="6" t="s">
        <v>60</v>
      </c>
      <c r="H4128" s="1"/>
      <c r="I4128" s="1"/>
      <c r="J4128" s="1"/>
    </row>
    <row r="4129" spans="1:10" x14ac:dyDescent="0.2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Jaime\QUIFA-CAJÚA\Cajua\[VAS_CAJUA_CF_SEC_20230125.xlsx]CF PSND'!</v>
      </c>
      <c r="G4129" s="6" t="s">
        <v>60</v>
      </c>
      <c r="H4129" s="1"/>
      <c r="I4129" s="1"/>
      <c r="J4129" s="1"/>
    </row>
    <row r="4130" spans="1:10" x14ac:dyDescent="0.2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Jaime\QUIFA-CAJÚA\Cajua\[VAS_CAJUA_CF_SEC_20230125.xlsx]CF PSND'!</v>
      </c>
      <c r="G4130" s="6" t="s">
        <v>60</v>
      </c>
      <c r="H4130" s="1"/>
      <c r="I4130" s="1"/>
      <c r="J4130" s="1"/>
    </row>
    <row r="4131" spans="1:10" x14ac:dyDescent="0.2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Jaime\QUIFA-CAJÚA\Cajua\[VAS_CAJUA_CF_SEC_20230125.xlsx]CF PSND'!</v>
      </c>
      <c r="G4131" s="6" t="s">
        <v>60</v>
      </c>
      <c r="H4131" s="1"/>
      <c r="I4131" s="1"/>
      <c r="J4131" s="1"/>
    </row>
    <row r="4132" spans="1:10" x14ac:dyDescent="0.2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Jaime\QUIFA-CAJÚA\Cajua\[VAS_CAJUA_CF_SEC_20230125.xlsx]CF PSND'!</v>
      </c>
      <c r="G4132" s="6" t="s">
        <v>60</v>
      </c>
      <c r="H4132" s="1"/>
      <c r="I4132" s="1"/>
      <c r="J4132" s="1"/>
    </row>
    <row r="4133" spans="1:10" x14ac:dyDescent="0.2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Jaime\QUIFA-CAJÚA\Cajua\[VAS_CAJUA_CF_SEC_20230125.xlsx]CF PSND'!</v>
      </c>
      <c r="G4133" s="6" t="s">
        <v>60</v>
      </c>
      <c r="H4133" s="1"/>
      <c r="I4133" s="1"/>
      <c r="J4133" s="1"/>
    </row>
    <row r="4134" spans="1:10" x14ac:dyDescent="0.2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Jaime\QUIFA-CAJÚA\Cajua\[VAS_CAJUA_CF_SEC_20230125.xlsx]CF PSND'!</v>
      </c>
      <c r="G4134" s="6" t="s">
        <v>60</v>
      </c>
      <c r="H4134" s="1"/>
      <c r="I4134" s="1"/>
      <c r="J4134" s="1"/>
    </row>
    <row r="4135" spans="1:10" x14ac:dyDescent="0.2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Jaime\QUIFA-CAJÚA\Cajua\[VAS_CAJUA_CF_SEC_20230125.xlsx]CF PSND'!</v>
      </c>
      <c r="G4135" s="6" t="s">
        <v>60</v>
      </c>
      <c r="H4135" s="1"/>
      <c r="I4135" s="1"/>
      <c r="J4135" s="1"/>
    </row>
    <row r="4136" spans="1:10" x14ac:dyDescent="0.2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Jaime\QUIFA-CAJÚA\Cajua\[VAS_CAJUA_CF_SEC_20230125.xlsx]CF PSND'!</v>
      </c>
      <c r="G4136" s="6" t="s">
        <v>60</v>
      </c>
      <c r="H4136" s="1"/>
      <c r="I4136" s="1"/>
      <c r="J4136" s="1"/>
    </row>
    <row r="4137" spans="1:10" x14ac:dyDescent="0.2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Jaime\QUIFA-CAJÚA\Cajua\[VAS_CAJUA_CF_SEC_20230125.xlsx]CF PSND'!</v>
      </c>
      <c r="G4137" s="6" t="s">
        <v>60</v>
      </c>
      <c r="H4137" s="1"/>
      <c r="I4137" s="1"/>
      <c r="J4137" s="1"/>
    </row>
    <row r="4138" spans="1:10" x14ac:dyDescent="0.2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Jaime\QUIFA-CAJÚA\Cajua\[VAS_CAJUA_CF_SEC_20230125.xlsx]CF PSND'!</v>
      </c>
      <c r="G4138" s="6" t="s">
        <v>60</v>
      </c>
      <c r="H4138" s="1"/>
      <c r="I4138" s="1"/>
      <c r="J4138" s="1"/>
    </row>
    <row r="4139" spans="1:10" x14ac:dyDescent="0.2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Jaime\QUIFA-CAJÚA\Cajua\[VAS_CAJUA_CF_SEC_20230125.xlsx]CF PSND'!</v>
      </c>
      <c r="G4139" s="6" t="s">
        <v>60</v>
      </c>
      <c r="H4139" s="1"/>
      <c r="I4139" s="1"/>
      <c r="J4139" s="1"/>
    </row>
    <row r="4140" spans="1:10" x14ac:dyDescent="0.2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Jaime\QUIFA-CAJÚA\Cajua\[VAS_CAJUA_CF_SEC_20230125.xlsx]CF PSND'!</v>
      </c>
      <c r="G4140" s="6" t="s">
        <v>60</v>
      </c>
      <c r="H4140" s="1"/>
      <c r="I4140" s="1"/>
      <c r="J4140" s="1"/>
    </row>
    <row r="4141" spans="1:10" x14ac:dyDescent="0.2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Jaime\QUIFA-CAJÚA\Cajua\[VAS_CAJUA_CF_SEC_20230125.xlsx]CF PSND'!</v>
      </c>
      <c r="G4141" s="6" t="s">
        <v>60</v>
      </c>
      <c r="H4141" s="1"/>
      <c r="I4141" s="1"/>
      <c r="J4141" s="1"/>
    </row>
    <row r="4142" spans="1:10" x14ac:dyDescent="0.2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Jaime\QUIFA-CAJÚA\Cajua\[VAS_CAJUA_CF_SEC_20230125.xlsx]CF PSND'!</v>
      </c>
      <c r="G4142" s="6" t="s">
        <v>60</v>
      </c>
      <c r="H4142" s="1"/>
      <c r="I4142" s="1"/>
      <c r="J4142" s="1"/>
    </row>
    <row r="4143" spans="1:10" x14ac:dyDescent="0.25">
      <c r="A4143" s="6" t="s">
        <v>28</v>
      </c>
      <c r="B4143" s="6"/>
      <c r="C4143" s="1" t="s">
        <v>109</v>
      </c>
      <c r="D4143" s="2"/>
      <c r="E4143" s="9"/>
      <c r="F4143" s="5"/>
      <c r="G4143" s="6"/>
      <c r="H4143" s="1"/>
      <c r="I4143" s="1"/>
      <c r="J4143" s="12"/>
    </row>
    <row r="4144" spans="1:10" x14ac:dyDescent="0.2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Jaime\QUIFA-CAJÚA\Cajua\[VAS_CAJUA_CF_SEC_20230125.xlsx]CF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Jaime\QUIFA-CAJÚA\Cajua\[VAS_CAJUA_CF_SEC_20230125.xlsx]CF PS'!$BY$36</v>
      </c>
      <c r="J4144" s="1" t="s">
        <v>1942</v>
      </c>
    </row>
    <row r="4145" spans="1:10" x14ac:dyDescent="0.2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Jaime\QUIFA-CAJÚA\Cajua\[VAS_CAJUA_CF_SEC_20230125.xlsx]CF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Jaime\QUIFA-CAJÚA\Cajua\[VAS_CAJUA_CF_SEC_20230125.xlsx]CF PS'!$BY$37</v>
      </c>
      <c r="J4145" s="1" t="s">
        <v>1943</v>
      </c>
    </row>
    <row r="4146" spans="1:10" x14ac:dyDescent="0.2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Jaime\QUIFA-CAJÚA\Cajua\[VAS_CAJUA_CF_SEC_20230125.xlsx]CF PS'!</v>
      </c>
      <c r="G4146" s="6" t="s">
        <v>60</v>
      </c>
      <c r="H4146" s="1">
        <f t="shared" si="960"/>
        <v>38</v>
      </c>
      <c r="I4146" s="1" t="str">
        <f t="shared" si="959"/>
        <v>='C:\Users\jaime.benazar\Quorum Business Solutions\Ecopetrol Prometeo - Documents\Planning Space Implementation\3. Analysis &amp; Design\Design\FC22\DRR Jaime\QUIFA-CAJÚA\Cajua\[VAS_CAJUA_CF_SEC_20230125.xlsx]CF PS'!$BY$38</v>
      </c>
      <c r="J4146" s="1" t="s">
        <v>1944</v>
      </c>
    </row>
    <row r="4147" spans="1:10" x14ac:dyDescent="0.2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Jaime\QUIFA-CAJÚA\Cajua\[VAS_CAJUA_CF_SEC_20230125.xlsx]CF PS'!</v>
      </c>
      <c r="G4147" s="6" t="s">
        <v>60</v>
      </c>
      <c r="H4147" s="1">
        <f t="shared" si="960"/>
        <v>39</v>
      </c>
      <c r="I4147" s="1" t="str">
        <f t="shared" si="959"/>
        <v>='C:\Users\jaime.benazar\Quorum Business Solutions\Ecopetrol Prometeo - Documents\Planning Space Implementation\3. Analysis &amp; Design\Design\FC22\DRR Jaime\QUIFA-CAJÚA\Cajua\[VAS_CAJUA_CF_SEC_20230125.xlsx]CF PS'!$BY$39</v>
      </c>
      <c r="J4147" s="1" t="s">
        <v>1945</v>
      </c>
    </row>
    <row r="4148" spans="1:10" x14ac:dyDescent="0.2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Jaime\QUIFA-CAJÚA\Cajua\[VAS_CAJUA_CF_SEC_20230125.xlsx]CF PS'!</v>
      </c>
      <c r="G4148" s="6" t="s">
        <v>60</v>
      </c>
      <c r="H4148" s="1">
        <f t="shared" si="960"/>
        <v>40</v>
      </c>
      <c r="I4148" s="1" t="str">
        <f t="shared" si="959"/>
        <v>='C:\Users\jaime.benazar\Quorum Business Solutions\Ecopetrol Prometeo - Documents\Planning Space Implementation\3. Analysis &amp; Design\Design\FC22\DRR Jaime\QUIFA-CAJÚA\Cajua\[VAS_CAJUA_CF_SEC_20230125.xlsx]CF PS'!$BY$40</v>
      </c>
      <c r="J4148" s="1" t="s">
        <v>1946</v>
      </c>
    </row>
    <row r="4149" spans="1:10" x14ac:dyDescent="0.2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Jaime\QUIFA-CAJÚA\Cajua\[VAS_CAJUA_CF_SEC_20230125.xlsx]CF PS'!</v>
      </c>
      <c r="G4149" s="6" t="s">
        <v>60</v>
      </c>
      <c r="H4149" s="1">
        <f t="shared" si="960"/>
        <v>41</v>
      </c>
      <c r="I4149" s="1" t="str">
        <f t="shared" si="959"/>
        <v>='C:\Users\jaime.benazar\Quorum Business Solutions\Ecopetrol Prometeo - Documents\Planning Space Implementation\3. Analysis &amp; Design\Design\FC22\DRR Jaime\QUIFA-CAJÚA\Cajua\[VAS_CAJUA_CF_SEC_20230125.xlsx]CF PS'!$BY$41</v>
      </c>
      <c r="J4149" s="1" t="s">
        <v>1947</v>
      </c>
    </row>
    <row r="4150" spans="1:10" x14ac:dyDescent="0.2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Jaime\QUIFA-CAJÚA\Cajua\[VAS_CAJUA_CF_SEC_20230125.xlsx]CF PS'!</v>
      </c>
      <c r="G4150" s="6" t="s">
        <v>60</v>
      </c>
      <c r="H4150" s="1">
        <f t="shared" si="960"/>
        <v>42</v>
      </c>
      <c r="I4150" s="1" t="str">
        <f t="shared" si="959"/>
        <v>='C:\Users\jaime.benazar\Quorum Business Solutions\Ecopetrol Prometeo - Documents\Planning Space Implementation\3. Analysis &amp; Design\Design\FC22\DRR Jaime\QUIFA-CAJÚA\Cajua\[VAS_CAJUA_CF_SEC_20230125.xlsx]CF PS'!$BY$42</v>
      </c>
      <c r="J4150" s="1" t="s">
        <v>1948</v>
      </c>
    </row>
    <row r="4151" spans="1:10" x14ac:dyDescent="0.2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Jaime\QUIFA-CAJÚA\Cajua\[VAS_CAJUA_CF_SEC_20230125.xlsx]CF PS'!</v>
      </c>
      <c r="G4151" s="6" t="s">
        <v>60</v>
      </c>
      <c r="H4151" s="1">
        <f t="shared" si="960"/>
        <v>43</v>
      </c>
      <c r="I4151" s="1" t="str">
        <f t="shared" si="959"/>
        <v>='C:\Users\jaime.benazar\Quorum Business Solutions\Ecopetrol Prometeo - Documents\Planning Space Implementation\3. Analysis &amp; Design\Design\FC22\DRR Jaime\QUIFA-CAJÚA\Cajua\[VAS_CAJUA_CF_SEC_20230125.xlsx]CF PS'!$BY$43</v>
      </c>
      <c r="J4151" s="1" t="s">
        <v>1949</v>
      </c>
    </row>
    <row r="4152" spans="1:10" x14ac:dyDescent="0.2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Jaime\QUIFA-CAJÚA\Cajua\[VAS_CAJUA_CF_SEC_20230125.xlsx]CF PS'!</v>
      </c>
      <c r="G4152" s="6" t="s">
        <v>60</v>
      </c>
      <c r="H4152" s="1">
        <f t="shared" si="960"/>
        <v>44</v>
      </c>
      <c r="I4152" s="1" t="str">
        <f t="shared" si="959"/>
        <v>='C:\Users\jaime.benazar\Quorum Business Solutions\Ecopetrol Prometeo - Documents\Planning Space Implementation\3. Analysis &amp; Design\Design\FC22\DRR Jaime\QUIFA-CAJÚA\Cajua\[VAS_CAJUA_CF_SEC_20230125.xlsx]CF PS'!$BY$44</v>
      </c>
      <c r="J4152" s="1" t="s">
        <v>1950</v>
      </c>
    </row>
    <row r="4153" spans="1:10" x14ac:dyDescent="0.2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Jaime\QUIFA-CAJÚA\Cajua\[VAS_CAJUA_CF_SEC_20230125.xlsx]CF PS'!</v>
      </c>
      <c r="G4153" s="6" t="s">
        <v>60</v>
      </c>
      <c r="H4153" s="1">
        <f t="shared" si="960"/>
        <v>45</v>
      </c>
      <c r="I4153" s="1" t="str">
        <f t="shared" si="959"/>
        <v>='C:\Users\jaime.benazar\Quorum Business Solutions\Ecopetrol Prometeo - Documents\Planning Space Implementation\3. Analysis &amp; Design\Design\FC22\DRR Jaime\QUIFA-CAJÚA\Cajua\[VAS_CAJUA_CF_SEC_20230125.xlsx]CF PS'!$BY$45</v>
      </c>
      <c r="J4153" s="1" t="s">
        <v>1951</v>
      </c>
    </row>
    <row r="4154" spans="1:10" x14ac:dyDescent="0.2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Jaime\QUIFA-CAJÚA\Cajua\[VAS_CAJUA_CF_SEC_20230125.xlsx]CF PS'!</v>
      </c>
      <c r="G4154" s="6" t="s">
        <v>60</v>
      </c>
      <c r="H4154" s="1">
        <f t="shared" si="960"/>
        <v>46</v>
      </c>
      <c r="I4154" s="1" t="str">
        <f t="shared" si="959"/>
        <v>='C:\Users\jaime.benazar\Quorum Business Solutions\Ecopetrol Prometeo - Documents\Planning Space Implementation\3. Analysis &amp; Design\Design\FC22\DRR Jaime\QUIFA-CAJÚA\Cajua\[VAS_CAJUA_CF_SEC_20230125.xlsx]CF PS'!$BY$46</v>
      </c>
      <c r="J4154" s="1" t="s">
        <v>1952</v>
      </c>
    </row>
    <row r="4155" spans="1:10" x14ac:dyDescent="0.2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Jaime\QUIFA-CAJÚA\Cajua\[VAS_CAJUA_CF_SEC_20230125.xlsx]CF PS'!</v>
      </c>
      <c r="G4155" s="6" t="s">
        <v>60</v>
      </c>
      <c r="H4155" s="1">
        <f t="shared" si="960"/>
        <v>47</v>
      </c>
      <c r="I4155" s="1" t="str">
        <f t="shared" si="959"/>
        <v>='C:\Users\jaime.benazar\Quorum Business Solutions\Ecopetrol Prometeo - Documents\Planning Space Implementation\3. Analysis &amp; Design\Design\FC22\DRR Jaime\QUIFA-CAJÚA\Cajua\[VAS_CAJUA_CF_SEC_20230125.xlsx]CF PS'!$BY$47</v>
      </c>
      <c r="J4155" s="1" t="s">
        <v>1953</v>
      </c>
    </row>
    <row r="4156" spans="1:10" x14ac:dyDescent="0.2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Jaime\QUIFA-CAJÚA\Cajua\[VAS_CAJUA_CF_SEC_20230125.xlsx]CF PS'!</v>
      </c>
      <c r="G4156" s="6" t="s">
        <v>60</v>
      </c>
      <c r="H4156" s="1">
        <f t="shared" si="960"/>
        <v>48</v>
      </c>
      <c r="I4156" s="1" t="str">
        <f t="shared" si="959"/>
        <v>='C:\Users\jaime.benazar\Quorum Business Solutions\Ecopetrol Prometeo - Documents\Planning Space Implementation\3. Analysis &amp; Design\Design\FC22\DRR Jaime\QUIFA-CAJÚA\Cajua\[VAS_CAJUA_CF_SEC_20230125.xlsx]CF PS'!$BY$48</v>
      </c>
      <c r="J4156" s="1" t="s">
        <v>1954</v>
      </c>
    </row>
    <row r="4157" spans="1:10" x14ac:dyDescent="0.2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Jaime\QUIFA-CAJÚA\Cajua\[VAS_CAJUA_CF_SEC_20230125.xlsx]CF PS'!</v>
      </c>
      <c r="G4157" s="6" t="s">
        <v>60</v>
      </c>
      <c r="H4157" s="1">
        <f t="shared" si="960"/>
        <v>49</v>
      </c>
      <c r="I4157" s="1" t="str">
        <f t="shared" si="959"/>
        <v>='C:\Users\jaime.benazar\Quorum Business Solutions\Ecopetrol Prometeo - Documents\Planning Space Implementation\3. Analysis &amp; Design\Design\FC22\DRR Jaime\QUIFA-CAJÚA\Cajua\[VAS_CAJUA_CF_SEC_20230125.xlsx]CF PS'!$BY$49</v>
      </c>
      <c r="J4157" s="1" t="s">
        <v>1955</v>
      </c>
    </row>
    <row r="4158" spans="1:10" x14ac:dyDescent="0.2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Jaime\QUIFA-CAJÚA\Cajua\[VAS_CAJUA_CF_SEC_20230125.xlsx]CF PS'!</v>
      </c>
      <c r="G4158" s="6" t="s">
        <v>60</v>
      </c>
      <c r="H4158" s="1">
        <f t="shared" si="960"/>
        <v>50</v>
      </c>
      <c r="I4158" s="1" t="str">
        <f t="shared" si="959"/>
        <v>='C:\Users\jaime.benazar\Quorum Business Solutions\Ecopetrol Prometeo - Documents\Planning Space Implementation\3. Analysis &amp; Design\Design\FC22\DRR Jaime\QUIFA-CAJÚA\Cajua\[VAS_CAJUA_CF_SEC_20230125.xlsx]CF PS'!$BY$50</v>
      </c>
      <c r="J4158" s="1" t="s">
        <v>1956</v>
      </c>
    </row>
    <row r="4159" spans="1:10" x14ac:dyDescent="0.2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Jaime\QUIFA-CAJÚA\Cajua\[VAS_CAJUA_CF_SEC_20230125.xlsx]CF PS'!</v>
      </c>
      <c r="G4159" s="6" t="s">
        <v>60</v>
      </c>
      <c r="H4159" s="1">
        <f t="shared" si="960"/>
        <v>51</v>
      </c>
      <c r="I4159" s="1" t="str">
        <f t="shared" si="959"/>
        <v>='C:\Users\jaime.benazar\Quorum Business Solutions\Ecopetrol Prometeo - Documents\Planning Space Implementation\3. Analysis &amp; Design\Design\FC22\DRR Jaime\QUIFA-CAJÚA\Cajua\[VAS_CAJUA_CF_SEC_20230125.xlsx]CF PS'!$BY$51</v>
      </c>
      <c r="J4159" s="1" t="s">
        <v>1957</v>
      </c>
    </row>
    <row r="4160" spans="1:10" x14ac:dyDescent="0.2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Jaime\QUIFA-CAJÚA\Cajua\[VAS_CAJUA_CF_SEC_20230125.xlsx]CF PS'!</v>
      </c>
      <c r="G4160" s="6" t="s">
        <v>60</v>
      </c>
      <c r="H4160" s="1">
        <f t="shared" si="960"/>
        <v>52</v>
      </c>
      <c r="I4160" s="1" t="str">
        <f t="shared" si="959"/>
        <v>='C:\Users\jaime.benazar\Quorum Business Solutions\Ecopetrol Prometeo - Documents\Planning Space Implementation\3. Analysis &amp; Design\Design\FC22\DRR Jaime\QUIFA-CAJÚA\Cajua\[VAS_CAJUA_CF_SEC_20230125.xlsx]CF PS'!$BY$52</v>
      </c>
      <c r="J4160" s="1" t="s">
        <v>1958</v>
      </c>
    </row>
    <row r="4161" spans="1:10" x14ac:dyDescent="0.2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Jaime\QUIFA-CAJÚA\Cajua\[VAS_CAJUA_CF_SEC_20230125.xlsx]CF PS'!</v>
      </c>
      <c r="G4161" s="6" t="s">
        <v>60</v>
      </c>
      <c r="H4161" s="1">
        <f t="shared" si="960"/>
        <v>53</v>
      </c>
      <c r="I4161" s="1" t="str">
        <f t="shared" si="959"/>
        <v>='C:\Users\jaime.benazar\Quorum Business Solutions\Ecopetrol Prometeo - Documents\Planning Space Implementation\3. Analysis &amp; Design\Design\FC22\DRR Jaime\QUIFA-CAJÚA\Cajua\[VAS_CAJUA_CF_SEC_20230125.xlsx]CF PS'!$BY$53</v>
      </c>
      <c r="J4161" s="1" t="s">
        <v>1959</v>
      </c>
    </row>
    <row r="4162" spans="1:10" x14ac:dyDescent="0.2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Jaime\QUIFA-CAJÚA\Cajua\[VAS_CAJUA_CF_SEC_20230125.xlsx]CF PS'!</v>
      </c>
      <c r="G4162" s="6" t="s">
        <v>60</v>
      </c>
      <c r="H4162" s="1">
        <f t="shared" si="960"/>
        <v>54</v>
      </c>
      <c r="I4162" s="1" t="str">
        <f t="shared" si="959"/>
        <v>='C:\Users\jaime.benazar\Quorum Business Solutions\Ecopetrol Prometeo - Documents\Planning Space Implementation\3. Analysis &amp; Design\Design\FC22\DRR Jaime\QUIFA-CAJÚA\Cajua\[VAS_CAJUA_CF_SEC_20230125.xlsx]CF PS'!$BY$54</v>
      </c>
      <c r="J4162" s="1" t="s">
        <v>1960</v>
      </c>
    </row>
    <row r="4163" spans="1:10" x14ac:dyDescent="0.2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Jaime\QUIFA-CAJÚA\Cajua\[VAS_CAJUA_CF_SEC_20230125.xlsx]CF PS'!</v>
      </c>
      <c r="G4163" s="6" t="s">
        <v>60</v>
      </c>
      <c r="H4163" s="1">
        <f t="shared" si="960"/>
        <v>55</v>
      </c>
      <c r="I4163" s="1" t="str">
        <f t="shared" si="959"/>
        <v>='C:\Users\jaime.benazar\Quorum Business Solutions\Ecopetrol Prometeo - Documents\Planning Space Implementation\3. Analysis &amp; Design\Design\FC22\DRR Jaime\QUIFA-CAJÚA\Cajua\[VAS_CAJUA_CF_SEC_20230125.xlsx]CF PS'!$BY$55</v>
      </c>
      <c r="J4163" s="1" t="s">
        <v>1961</v>
      </c>
    </row>
    <row r="4164" spans="1:10" x14ac:dyDescent="0.2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Jaime\QUIFA-CAJÚA\Cajua\[VAS_CAJUA_CF_SEC_20230125.xlsx]CF PS'!</v>
      </c>
      <c r="G4164" s="6" t="s">
        <v>60</v>
      </c>
      <c r="H4164" s="1">
        <f t="shared" si="960"/>
        <v>56</v>
      </c>
      <c r="I4164" s="1" t="str">
        <f t="shared" si="959"/>
        <v>='C:\Users\jaime.benazar\Quorum Business Solutions\Ecopetrol Prometeo - Documents\Planning Space Implementation\3. Analysis &amp; Design\Design\FC22\DRR Jaime\QUIFA-CAJÚA\Cajua\[VAS_CAJUA_CF_SEC_20230125.xlsx]CF PS'!$BY$56</v>
      </c>
      <c r="J4164" s="1" t="s">
        <v>1962</v>
      </c>
    </row>
    <row r="4165" spans="1:10" x14ac:dyDescent="0.2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Jaime\QUIFA-CAJÚA\Cajua\[VAS_CAJUA_CF_SEC_20230125.xlsx]CF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Jaime\QUIFA-CAJÚA\Cajua\[VAS_CAJUA_CF_SEC_20230125.xlsx]CF PS'!$BY$57</v>
      </c>
      <c r="J4165" s="1" t="s">
        <v>1963</v>
      </c>
    </row>
    <row r="4166" spans="1:10" x14ac:dyDescent="0.2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Jaime\QUIFA-CAJÚA\Cajua\[VAS_CAJUA_CF_SEC_20230125.xlsx]CF PS'!</v>
      </c>
      <c r="G4166" s="6" t="s">
        <v>60</v>
      </c>
      <c r="H4166" s="1">
        <f t="shared" si="966"/>
        <v>58</v>
      </c>
      <c r="I4166" s="1" t="str">
        <f t="shared" si="967"/>
        <v>='C:\Users\jaime.benazar\Quorum Business Solutions\Ecopetrol Prometeo - Documents\Planning Space Implementation\3. Analysis &amp; Design\Design\FC22\DRR Jaime\QUIFA-CAJÚA\Cajua\[VAS_CAJUA_CF_SEC_20230125.xlsx]CF PS'!$BY$58</v>
      </c>
      <c r="J4166" s="1" t="s">
        <v>1964</v>
      </c>
    </row>
    <row r="4167" spans="1:10" x14ac:dyDescent="0.2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Jaime\QUIFA-CAJÚA\Cajua\[VAS_CAJUA_CF_SEC_20230125.xlsx]CF PS'!</v>
      </c>
      <c r="G4167" s="6" t="s">
        <v>60</v>
      </c>
      <c r="H4167" s="1">
        <f t="shared" si="966"/>
        <v>59</v>
      </c>
      <c r="I4167" s="1" t="str">
        <f t="shared" si="967"/>
        <v>='C:\Users\jaime.benazar\Quorum Business Solutions\Ecopetrol Prometeo - Documents\Planning Space Implementation\3. Analysis &amp; Design\Design\FC22\DRR Jaime\QUIFA-CAJÚA\Cajua\[VAS_CAJUA_CF_SEC_20230125.xlsx]CF PS'!$BY$59</v>
      </c>
      <c r="J4167" s="1" t="s">
        <v>1965</v>
      </c>
    </row>
    <row r="4168" spans="1:10" x14ac:dyDescent="0.2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Jaime\QUIFA-CAJÚA\Cajua\[VAS_CAJUA_CF_SEC_20230125.xlsx]CF PS'!</v>
      </c>
      <c r="G4168" s="6" t="s">
        <v>60</v>
      </c>
      <c r="H4168" s="1">
        <f t="shared" si="966"/>
        <v>60</v>
      </c>
      <c r="I4168" s="1" t="str">
        <f t="shared" si="967"/>
        <v>='C:\Users\jaime.benazar\Quorum Business Solutions\Ecopetrol Prometeo - Documents\Planning Space Implementation\3. Analysis &amp; Design\Design\FC22\DRR Jaime\QUIFA-CAJÚA\Cajua\[VAS_CAJUA_CF_SEC_20230125.xlsx]CF PS'!$BY$60</v>
      </c>
      <c r="J4168" s="1" t="s">
        <v>1966</v>
      </c>
    </row>
    <row r="4169" spans="1:10" x14ac:dyDescent="0.2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Jaime\QUIFA-CAJÚA\Cajua\[VAS_CAJUA_CF_SEC_20230125.xlsx]CF PS'!</v>
      </c>
      <c r="G4169" s="6" t="s">
        <v>60</v>
      </c>
      <c r="H4169" s="1">
        <f t="shared" si="966"/>
        <v>61</v>
      </c>
      <c r="I4169" s="1" t="str">
        <f t="shared" si="967"/>
        <v>='C:\Users\jaime.benazar\Quorum Business Solutions\Ecopetrol Prometeo - Documents\Planning Space Implementation\3. Analysis &amp; Design\Design\FC22\DRR Jaime\QUIFA-CAJÚA\Cajua\[VAS_CAJUA_CF_SEC_20230125.xlsx]CF PS'!$BY$61</v>
      </c>
      <c r="J4169" s="1" t="s">
        <v>1967</v>
      </c>
    </row>
    <row r="4170" spans="1:10" x14ac:dyDescent="0.2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Jaime\QUIFA-CAJÚA\Cajua\[VAS_CAJUA_CF_SEC_20230125.xlsx]CF PS'!</v>
      </c>
      <c r="G4170" s="6" t="s">
        <v>60</v>
      </c>
      <c r="H4170" s="1">
        <f t="shared" si="966"/>
        <v>62</v>
      </c>
      <c r="I4170" s="1" t="str">
        <f t="shared" si="967"/>
        <v>='C:\Users\jaime.benazar\Quorum Business Solutions\Ecopetrol Prometeo - Documents\Planning Space Implementation\3. Analysis &amp; Design\Design\FC22\DRR Jaime\QUIFA-CAJÚA\Cajua\[VAS_CAJUA_CF_SEC_20230125.xlsx]CF PS'!$BY$62</v>
      </c>
      <c r="J4170" s="1" t="s">
        <v>1968</v>
      </c>
    </row>
    <row r="4171" spans="1:10" x14ac:dyDescent="0.2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Jaime\QUIFA-CAJÚA\Cajua\[VAS_CAJUA_CF_SEC_20230125.xlsx]CF PS'!</v>
      </c>
      <c r="G4171" s="6" t="s">
        <v>60</v>
      </c>
      <c r="H4171" s="1">
        <f t="shared" si="966"/>
        <v>63</v>
      </c>
      <c r="I4171" s="1" t="str">
        <f t="shared" si="967"/>
        <v>='C:\Users\jaime.benazar\Quorum Business Solutions\Ecopetrol Prometeo - Documents\Planning Space Implementation\3. Analysis &amp; Design\Design\FC22\DRR Jaime\QUIFA-CAJÚA\Cajua\[VAS_CAJUA_CF_SEC_20230125.xlsx]CF PS'!$BY$63</v>
      </c>
      <c r="J4171" s="1" t="s">
        <v>1969</v>
      </c>
    </row>
    <row r="4172" spans="1:10" x14ac:dyDescent="0.2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Jaime\QUIFA-CAJÚA\Cajua\[VAS_CAJUA_CF_SEC_20230125.xlsx]CF PS'!</v>
      </c>
      <c r="G4172" s="6" t="s">
        <v>60</v>
      </c>
      <c r="H4172" s="1">
        <f t="shared" si="966"/>
        <v>64</v>
      </c>
      <c r="I4172" s="1" t="str">
        <f t="shared" si="967"/>
        <v>='C:\Users\jaime.benazar\Quorum Business Solutions\Ecopetrol Prometeo - Documents\Planning Space Implementation\3. Analysis &amp; Design\Design\FC22\DRR Jaime\QUIFA-CAJÚA\Cajua\[VAS_CAJUA_CF_SEC_20230125.xlsx]CF PS'!$BY$64</v>
      </c>
      <c r="J4172" s="1" t="s">
        <v>1970</v>
      </c>
    </row>
    <row r="4173" spans="1:10" x14ac:dyDescent="0.2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Jaime\QUIFA-CAJÚA\Cajua\[VAS_CAJUA_CF_SEC_20230125.xlsx]CF PS'!</v>
      </c>
      <c r="G4173" s="6" t="s">
        <v>60</v>
      </c>
      <c r="H4173" s="1">
        <f t="shared" si="966"/>
        <v>65</v>
      </c>
      <c r="I4173" s="1" t="str">
        <f t="shared" si="967"/>
        <v>='C:\Users\jaime.benazar\Quorum Business Solutions\Ecopetrol Prometeo - Documents\Planning Space Implementation\3. Analysis &amp; Design\Design\FC22\DRR Jaime\QUIFA-CAJÚA\Cajua\[VAS_CAJUA_CF_SEC_20230125.xlsx]CF PS'!$BY$65</v>
      </c>
      <c r="J4173" s="1" t="s">
        <v>1971</v>
      </c>
    </row>
    <row r="4174" spans="1:10" x14ac:dyDescent="0.2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Jaime\QUIFA-CAJÚA\Cajua\[VAS_CAJUA_CF_SEC_20230125.xlsx]CF PS'!</v>
      </c>
      <c r="G4174" s="6" t="s">
        <v>60</v>
      </c>
      <c r="H4174" s="1">
        <f t="shared" si="966"/>
        <v>66</v>
      </c>
      <c r="I4174" s="1" t="str">
        <f t="shared" si="967"/>
        <v>='C:\Users\jaime.benazar\Quorum Business Solutions\Ecopetrol Prometeo - Documents\Planning Space Implementation\3. Analysis &amp; Design\Design\FC22\DRR Jaime\QUIFA-CAJÚA\Cajua\[VAS_CAJUA_CF_SEC_20230125.xlsx]CF PS'!$BY$66</v>
      </c>
      <c r="J4174" s="1" t="s">
        <v>1972</v>
      </c>
    </row>
    <row r="4175" spans="1:10" x14ac:dyDescent="0.2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Jaime\QUIFA-CAJÚA\Cajua\[VAS_CAJUA_CF_SEC_20230125.xlsx]CF PS'!</v>
      </c>
      <c r="G4175" s="6" t="s">
        <v>60</v>
      </c>
      <c r="H4175" s="1">
        <f t="shared" si="966"/>
        <v>67</v>
      </c>
      <c r="I4175" s="1" t="str">
        <f t="shared" si="967"/>
        <v>='C:\Users\jaime.benazar\Quorum Business Solutions\Ecopetrol Prometeo - Documents\Planning Space Implementation\3. Analysis &amp; Design\Design\FC22\DRR Jaime\QUIFA-CAJÚA\Cajua\[VAS_CAJUA_CF_SEC_20230125.xlsx]CF PS'!$BY$67</v>
      </c>
      <c r="J4175" s="1" t="s">
        <v>1973</v>
      </c>
    </row>
    <row r="4176" spans="1:10" x14ac:dyDescent="0.2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Jaime\QUIFA-CAJÚA\Cajua\[VAS_CAJUA_CF_SEC_20230125.xlsx]CF PS'!</v>
      </c>
      <c r="G4176" s="6" t="s">
        <v>60</v>
      </c>
      <c r="H4176" s="1">
        <f t="shared" si="966"/>
        <v>68</v>
      </c>
      <c r="I4176" s="1" t="str">
        <f t="shared" si="967"/>
        <v>='C:\Users\jaime.benazar\Quorum Business Solutions\Ecopetrol Prometeo - Documents\Planning Space Implementation\3. Analysis &amp; Design\Design\FC22\DRR Jaime\QUIFA-CAJÚA\Cajua\[VAS_CAJUA_CF_SEC_20230125.xlsx]CF PS'!$BY$68</v>
      </c>
      <c r="J4176" s="1" t="s">
        <v>1974</v>
      </c>
    </row>
    <row r="4177" spans="1:10" x14ac:dyDescent="0.2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Jaime\QUIFA-CAJÚA\Cajua\[VAS_CAJUA_CF_SEC_20230125.xlsx]CF PS'!</v>
      </c>
      <c r="G4177" s="6" t="s">
        <v>60</v>
      </c>
      <c r="H4177" s="1">
        <f t="shared" si="966"/>
        <v>69</v>
      </c>
      <c r="I4177" s="1" t="str">
        <f t="shared" si="967"/>
        <v>='C:\Users\jaime.benazar\Quorum Business Solutions\Ecopetrol Prometeo - Documents\Planning Space Implementation\3. Analysis &amp; Design\Design\FC22\DRR Jaime\QUIFA-CAJÚA\Cajua\[VAS_CAJUA_CF_SEC_20230125.xlsx]CF PS'!$BY$69</v>
      </c>
      <c r="J4177" s="1" t="s">
        <v>1975</v>
      </c>
    </row>
    <row r="4178" spans="1:10" x14ac:dyDescent="0.2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Jaime\QUIFA-CAJÚA\Cajua\[VAS_CAJUA_CF_SEC_20230125.xlsx]CF PS'!</v>
      </c>
      <c r="G4178" s="6" t="s">
        <v>60</v>
      </c>
      <c r="H4178" s="1">
        <f t="shared" si="966"/>
        <v>70</v>
      </c>
      <c r="I4178" s="1" t="str">
        <f t="shared" si="967"/>
        <v>='C:\Users\jaime.benazar\Quorum Business Solutions\Ecopetrol Prometeo - Documents\Planning Space Implementation\3. Analysis &amp; Design\Design\FC22\DRR Jaime\QUIFA-CAJÚA\Cajua\[VAS_CAJUA_CF_SEC_20230125.xlsx]CF PS'!$BY$70</v>
      </c>
      <c r="J4178" s="1" t="s">
        <v>1976</v>
      </c>
    </row>
    <row r="4179" spans="1:10" x14ac:dyDescent="0.2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Jaime\QUIFA-CAJÚA\Cajua\[VAS_CAJUA_CF_SEC_20230125.xlsx]CF PS'!</v>
      </c>
      <c r="G4179" s="6" t="s">
        <v>60</v>
      </c>
      <c r="H4179" s="1">
        <f t="shared" si="966"/>
        <v>71</v>
      </c>
      <c r="I4179" s="1" t="str">
        <f t="shared" si="967"/>
        <v>='C:\Users\jaime.benazar\Quorum Business Solutions\Ecopetrol Prometeo - Documents\Planning Space Implementation\3. Analysis &amp; Design\Design\FC22\DRR Jaime\QUIFA-CAJÚA\Cajua\[VAS_CAJUA_CF_SEC_20230125.xlsx]CF PS'!$BY$71</v>
      </c>
      <c r="J4179" s="1" t="s">
        <v>1977</v>
      </c>
    </row>
    <row r="4180" spans="1:10" x14ac:dyDescent="0.2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Jaime\QUIFA-CAJÚA\Cajua\[VAS_CAJUA_CF_SEC_20230125.xlsx]CF PS'!</v>
      </c>
      <c r="G4180" s="6" t="s">
        <v>60</v>
      </c>
      <c r="H4180" s="1">
        <f t="shared" si="966"/>
        <v>72</v>
      </c>
      <c r="I4180" s="1" t="str">
        <f t="shared" si="967"/>
        <v>='C:\Users\jaime.benazar\Quorum Business Solutions\Ecopetrol Prometeo - Documents\Planning Space Implementation\3. Analysis &amp; Design\Design\FC22\DRR Jaime\QUIFA-CAJÚA\Cajua\[VAS_CAJUA_CF_SEC_20230125.xlsx]CF PS'!$BY$72</v>
      </c>
      <c r="J4180" s="1" t="s">
        <v>1978</v>
      </c>
    </row>
    <row r="4181" spans="1:10" x14ac:dyDescent="0.25">
      <c r="A4181" s="6" t="s">
        <v>28</v>
      </c>
      <c r="B4181" s="6"/>
      <c r="C4181" s="1" t="s">
        <v>109</v>
      </c>
      <c r="D4181" s="2"/>
      <c r="E4181" s="9"/>
      <c r="F4181" s="5"/>
      <c r="G4181" s="6"/>
      <c r="H4181" s="1"/>
      <c r="I4181" s="1"/>
      <c r="J4181" s="4"/>
    </row>
    <row r="4182" spans="1:10" x14ac:dyDescent="0.2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Jaime\QUIFA-CAJÚA\Cajua\[VAS_CAJUA_CF_SEC_20230125.xlsx]Consolidado'!</v>
      </c>
      <c r="G4182" s="32" t="s">
        <v>122</v>
      </c>
      <c r="H4182" s="33">
        <v>12</v>
      </c>
      <c r="I4182" s="33" t="str">
        <f t="shared" ref="I4182:I4203" si="970">_xlfn.CONCAT("='",F4182:H4182)</f>
        <v>='C:\Users\jaime.benazar\Quorum Business Solutions\Ecopetrol Prometeo - Documents\Planning Space Implementation\3. Analysis &amp; Design\Design\FC22\DRR Jaime\QUIFA-CAJÚA\Cajua\[VAS_CAJUA_CF_SEC_20230125.xlsx]Consolidado'!$J$12</v>
      </c>
      <c r="J4182" t="s">
        <v>1979</v>
      </c>
    </row>
    <row r="4183" spans="1:10" x14ac:dyDescent="0.2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Jaime\QUIFA-CAJÚA\Cajua\[VAS_CAJUA_CF_SEC_20230125.xlsx]Consolidado'!</v>
      </c>
      <c r="G4183" s="32" t="s">
        <v>122</v>
      </c>
      <c r="H4183" s="33">
        <v>13</v>
      </c>
      <c r="I4183" s="33" t="str">
        <f t="shared" si="970"/>
        <v>='C:\Users\jaime.benazar\Quorum Business Solutions\Ecopetrol Prometeo - Documents\Planning Space Implementation\3. Analysis &amp; Design\Design\FC22\DRR Jaime\QUIFA-CAJÚA\Cajua\[VAS_CAJUA_CF_SEC_20230125.xlsx]Consolidado'!$J$13</v>
      </c>
      <c r="J4183" t="s">
        <v>1980</v>
      </c>
    </row>
    <row r="4184" spans="1:10" x14ac:dyDescent="0.2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Jaime\QUIFA-CAJÚA\Cajua\[VAS_CAJUA_CF_SEC_20230125.xlsx]Consolidado'!</v>
      </c>
      <c r="G4184" s="32" t="s">
        <v>122</v>
      </c>
      <c r="H4184" s="33">
        <v>14</v>
      </c>
      <c r="I4184" s="33" t="str">
        <f t="shared" si="970"/>
        <v>='C:\Users\jaime.benazar\Quorum Business Solutions\Ecopetrol Prometeo - Documents\Planning Space Implementation\3. Analysis &amp; Design\Design\FC22\DRR Jaime\QUIFA-CAJÚA\Cajua\[VAS_CAJUA_CF_SEC_20230125.xlsx]Consolidado'!$J$14</v>
      </c>
      <c r="J4184" t="s">
        <v>1981</v>
      </c>
    </row>
    <row r="4185" spans="1:10" x14ac:dyDescent="0.2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Jaime\QUIFA-CAJÚA\Cajua\[VAS_CAJUA_CF_SEC_20230125.xlsx]Consolidado'!</v>
      </c>
      <c r="G4185" s="32" t="s">
        <v>122</v>
      </c>
      <c r="H4185" s="33">
        <v>17</v>
      </c>
      <c r="I4185" s="33" t="str">
        <f t="shared" si="970"/>
        <v>='C:\Users\jaime.benazar\Quorum Business Solutions\Ecopetrol Prometeo - Documents\Planning Space Implementation\3. Analysis &amp; Design\Design\FC22\DRR Jaime\QUIFA-CAJÚA\Cajua\[VAS_CAJUA_CF_SEC_20230125.xlsx]Consolidado'!$J$17</v>
      </c>
      <c r="J4185" t="s">
        <v>1982</v>
      </c>
    </row>
    <row r="4186" spans="1:10" x14ac:dyDescent="0.2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Jaime\QUIFA-CAJÚA\Cajua\[VAS_CAJUA_CF_SEC_20230125.xlsx]Consolidado'!</v>
      </c>
      <c r="G4186" s="32" t="s">
        <v>122</v>
      </c>
      <c r="H4186" s="33">
        <v>18</v>
      </c>
      <c r="I4186" s="33" t="str">
        <f t="shared" si="970"/>
        <v>='C:\Users\jaime.benazar\Quorum Business Solutions\Ecopetrol Prometeo - Documents\Planning Space Implementation\3. Analysis &amp; Design\Design\FC22\DRR Jaime\QUIFA-CAJÚA\Cajua\[VAS_CAJUA_CF_SEC_20230125.xlsx]Consolidado'!$J$18</v>
      </c>
      <c r="J4186" t="s">
        <v>1983</v>
      </c>
    </row>
    <row r="4187" spans="1:10" x14ac:dyDescent="0.25">
      <c r="A4187" s="32" t="s">
        <v>120</v>
      </c>
      <c r="B4187" s="32" t="s">
        <v>101</v>
      </c>
      <c r="C4187" s="33" t="s">
        <v>118</v>
      </c>
      <c r="D4187" s="34" t="s">
        <v>127</v>
      </c>
      <c r="E4187" s="35" t="str">
        <f t="shared" si="969"/>
        <v>Consolidado'!</v>
      </c>
      <c r="F4187" s="34"/>
      <c r="G4187" s="32"/>
      <c r="H4187" s="33"/>
      <c r="I4187" s="33"/>
    </row>
    <row r="4188" spans="1:10" x14ac:dyDescent="0.2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Jaime\QUIFA-CAJÚA\Cajua\[VAS_CAJUA_CF_SEC_20230125.xlsx]Consolidado'!</v>
      </c>
      <c r="G4188" s="32" t="s">
        <v>122</v>
      </c>
      <c r="H4188" s="33">
        <v>19</v>
      </c>
      <c r="I4188" s="33" t="str">
        <f t="shared" si="970"/>
        <v>='C:\Users\jaime.benazar\Quorum Business Solutions\Ecopetrol Prometeo - Documents\Planning Space Implementation\3. Analysis &amp; Design\Design\FC22\DRR Jaime\QUIFA-CAJÚA\Cajua\[VAS_CAJUA_CF_SEC_20230125.xlsx]Consolidado'!$J$19</v>
      </c>
      <c r="J4188" t="s">
        <v>1984</v>
      </c>
    </row>
    <row r="4189" spans="1:10" x14ac:dyDescent="0.2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Jaime\QUIFA-CAJÚA\Cajua\[VAS_CAJUA_CF_SEC_20230125.xlsx]Consolidado'!</v>
      </c>
      <c r="G4189" s="32" t="s">
        <v>122</v>
      </c>
      <c r="H4189" s="33">
        <v>21</v>
      </c>
      <c r="I4189" s="33" t="str">
        <f t="shared" si="970"/>
        <v>='C:\Users\jaime.benazar\Quorum Business Solutions\Ecopetrol Prometeo - Documents\Planning Space Implementation\3. Analysis &amp; Design\Design\FC22\DRR Jaime\QUIFA-CAJÚA\Cajua\[VAS_CAJUA_CF_SEC_20230125.xlsx]Consolidado'!$J$21</v>
      </c>
      <c r="J4189" t="s">
        <v>1985</v>
      </c>
    </row>
    <row r="4190" spans="1:10" x14ac:dyDescent="0.2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Jaime\QUIFA-CAJÚA\Cajua\[VAS_CAJUA_CF_SEC_20230125.xlsx]Consolidado'!</v>
      </c>
      <c r="G4190" s="32" t="s">
        <v>122</v>
      </c>
      <c r="H4190" s="33">
        <v>22</v>
      </c>
      <c r="I4190" s="33" t="str">
        <f t="shared" si="970"/>
        <v>='C:\Users\jaime.benazar\Quorum Business Solutions\Ecopetrol Prometeo - Documents\Planning Space Implementation\3. Analysis &amp; Design\Design\FC22\DRR Jaime\QUIFA-CAJÚA\Cajua\[VAS_CAJUA_CF_SEC_20230125.xlsx]Consolidado'!$J$22</v>
      </c>
      <c r="J4190" t="s">
        <v>1986</v>
      </c>
    </row>
    <row r="4191" spans="1:10" x14ac:dyDescent="0.25">
      <c r="A4191" s="32" t="s">
        <v>120</v>
      </c>
      <c r="B4191" s="32" t="s">
        <v>104</v>
      </c>
      <c r="C4191" s="33" t="s">
        <v>118</v>
      </c>
      <c r="D4191" s="34" t="s">
        <v>127</v>
      </c>
      <c r="E4191" s="35" t="str">
        <f t="shared" si="969"/>
        <v>Consolidado'!</v>
      </c>
      <c r="F4191" s="34"/>
      <c r="G4191" s="32"/>
      <c r="H4191" s="33"/>
      <c r="I4191" s="33"/>
    </row>
    <row r="4192" spans="1:10" x14ac:dyDescent="0.2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Jaime\QUIFA-CAJÚA\Cajua\[VAS_CAJUA_CF_SEC_20230125.xlsx]Consolidado'!</v>
      </c>
      <c r="G4192" s="32" t="s">
        <v>122</v>
      </c>
      <c r="H4192" s="33">
        <v>23</v>
      </c>
      <c r="I4192" s="33" t="str">
        <f t="shared" si="970"/>
        <v>='C:\Users\jaime.benazar\Quorum Business Solutions\Ecopetrol Prometeo - Documents\Planning Space Implementation\3. Analysis &amp; Design\Design\FC22\DRR Jaime\QUIFA-CAJÚA\Cajua\[VAS_CAJUA_CF_SEC_20230125.xlsx]Consolidado'!$J$23</v>
      </c>
      <c r="J4192" t="s">
        <v>1987</v>
      </c>
    </row>
    <row r="4193" spans="1:10" x14ac:dyDescent="0.2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Jaime\QUIFA-CAJÚA\Cajua\[VAS_CAJUA_CF_SEC_20230125.xlsx]Consolidado'!</v>
      </c>
      <c r="G4193" s="32" t="s">
        <v>121</v>
      </c>
      <c r="H4193" s="33">
        <v>12</v>
      </c>
      <c r="I4193" s="33" t="str">
        <f t="shared" si="970"/>
        <v>='C:\Users\jaime.benazar\Quorum Business Solutions\Ecopetrol Prometeo - Documents\Planning Space Implementation\3. Analysis &amp; Design\Design\FC22\DRR Jaime\QUIFA-CAJÚA\Cajua\[VAS_CAJUA_CF_SEC_20230125.xlsx]Consolidado'!$L$12</v>
      </c>
      <c r="J4193" t="s">
        <v>1988</v>
      </c>
    </row>
    <row r="4194" spans="1:10" x14ac:dyDescent="0.2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Jaime\QUIFA-CAJÚA\Cajua\[VAS_CAJUA_CF_SEC_20230125.xlsx]Consolidado'!</v>
      </c>
      <c r="G4194" s="32" t="s">
        <v>121</v>
      </c>
      <c r="H4194" s="33">
        <v>13</v>
      </c>
      <c r="I4194" s="33" t="str">
        <f t="shared" si="970"/>
        <v>='C:\Users\jaime.benazar\Quorum Business Solutions\Ecopetrol Prometeo - Documents\Planning Space Implementation\3. Analysis &amp; Design\Design\FC22\DRR Jaime\QUIFA-CAJÚA\Cajua\[VAS_CAJUA_CF_SEC_20230125.xlsx]Consolidado'!$L$13</v>
      </c>
      <c r="J4194" t="s">
        <v>1989</v>
      </c>
    </row>
    <row r="4195" spans="1:10" x14ac:dyDescent="0.2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Jaime\QUIFA-CAJÚA\Cajua\[VAS_CAJUA_CF_SEC_20230125.xlsx]Consolidado'!</v>
      </c>
      <c r="G4195" s="32" t="s">
        <v>121</v>
      </c>
      <c r="H4195" s="33">
        <v>14</v>
      </c>
      <c r="I4195" s="33" t="str">
        <f t="shared" si="970"/>
        <v>='C:\Users\jaime.benazar\Quorum Business Solutions\Ecopetrol Prometeo - Documents\Planning Space Implementation\3. Analysis &amp; Design\Design\FC22\DRR Jaime\QUIFA-CAJÚA\Cajua\[VAS_CAJUA_CF_SEC_20230125.xlsx]Consolidado'!$L$14</v>
      </c>
      <c r="J4195" t="s">
        <v>1990</v>
      </c>
    </row>
    <row r="4196" spans="1:10" x14ac:dyDescent="0.2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Jaime\QUIFA-CAJÚA\Cajua\[VAS_CAJUA_CF_SEC_20230125.xlsx]Consolidado'!</v>
      </c>
      <c r="G4196" s="32" t="s">
        <v>121</v>
      </c>
      <c r="H4196" s="33">
        <v>17</v>
      </c>
      <c r="I4196" s="33" t="str">
        <f t="shared" si="970"/>
        <v>='C:\Users\jaime.benazar\Quorum Business Solutions\Ecopetrol Prometeo - Documents\Planning Space Implementation\3. Analysis &amp; Design\Design\FC22\DRR Jaime\QUIFA-CAJÚA\Cajua\[VAS_CAJUA_CF_SEC_20230125.xlsx]Consolidado'!$L$17</v>
      </c>
      <c r="J4196" t="s">
        <v>1991</v>
      </c>
    </row>
    <row r="4197" spans="1:10" x14ac:dyDescent="0.2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Jaime\QUIFA-CAJÚA\Cajua\[VAS_CAJUA_CF_SEC_20230125.xlsx]Consolidado'!</v>
      </c>
      <c r="G4197" s="32" t="s">
        <v>121</v>
      </c>
      <c r="H4197" s="33">
        <v>18</v>
      </c>
      <c r="I4197" s="33" t="str">
        <f t="shared" si="970"/>
        <v>='C:\Users\jaime.benazar\Quorum Business Solutions\Ecopetrol Prometeo - Documents\Planning Space Implementation\3. Analysis &amp; Design\Design\FC22\DRR Jaime\QUIFA-CAJÚA\Cajua\[VAS_CAJUA_CF_SEC_20230125.xlsx]Consolidado'!$L$18</v>
      </c>
      <c r="J4197" t="s">
        <v>1992</v>
      </c>
    </row>
    <row r="4198" spans="1:10" x14ac:dyDescent="0.25">
      <c r="A4198" s="32" t="s">
        <v>120</v>
      </c>
      <c r="B4198" s="32" t="s">
        <v>101</v>
      </c>
      <c r="C4198" s="33" t="s">
        <v>119</v>
      </c>
      <c r="D4198" s="34" t="s">
        <v>127</v>
      </c>
      <c r="E4198" s="35" t="str">
        <f t="shared" si="969"/>
        <v>Consolidado'!</v>
      </c>
      <c r="F4198" s="34"/>
      <c r="G4198" s="32"/>
      <c r="H4198" s="33"/>
      <c r="I4198" s="33"/>
    </row>
    <row r="4199" spans="1:10" x14ac:dyDescent="0.2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Jaime\QUIFA-CAJÚA\Cajua\[VAS_CAJUA_CF_SEC_20230125.xlsx]Consolidado'!</v>
      </c>
      <c r="G4199" s="32" t="s">
        <v>121</v>
      </c>
      <c r="H4199" s="33">
        <v>19</v>
      </c>
      <c r="I4199" s="33" t="str">
        <f t="shared" si="970"/>
        <v>='C:\Users\jaime.benazar\Quorum Business Solutions\Ecopetrol Prometeo - Documents\Planning Space Implementation\3. Analysis &amp; Design\Design\FC22\DRR Jaime\QUIFA-CAJÚA\Cajua\[VAS_CAJUA_CF_SEC_20230125.xlsx]Consolidado'!$L$19</v>
      </c>
      <c r="J4199" t="s">
        <v>1993</v>
      </c>
    </row>
    <row r="4200" spans="1:10" x14ac:dyDescent="0.2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Jaime\QUIFA-CAJÚA\Cajua\[VAS_CAJUA_CF_SEC_20230125.xlsx]Consolidado'!</v>
      </c>
      <c r="G4200" s="32" t="s">
        <v>121</v>
      </c>
      <c r="H4200" s="33">
        <v>21</v>
      </c>
      <c r="I4200" s="33" t="str">
        <f t="shared" si="970"/>
        <v>='C:\Users\jaime.benazar\Quorum Business Solutions\Ecopetrol Prometeo - Documents\Planning Space Implementation\3. Analysis &amp; Design\Design\FC22\DRR Jaime\QUIFA-CAJÚA\Cajua\[VAS_CAJUA_CF_SEC_20230125.xlsx]Consolidado'!$L$21</v>
      </c>
      <c r="J4200" t="s">
        <v>1994</v>
      </c>
    </row>
    <row r="4201" spans="1:10" x14ac:dyDescent="0.2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Jaime\QUIFA-CAJÚA\Cajua\[VAS_CAJUA_CF_SEC_20230125.xlsx]Consolidado'!</v>
      </c>
      <c r="G4201" s="32" t="s">
        <v>121</v>
      </c>
      <c r="H4201" s="33">
        <v>22</v>
      </c>
      <c r="I4201" s="33" t="str">
        <f t="shared" si="970"/>
        <v>='C:\Users\jaime.benazar\Quorum Business Solutions\Ecopetrol Prometeo - Documents\Planning Space Implementation\3. Analysis &amp; Design\Design\FC22\DRR Jaime\QUIFA-CAJÚA\Cajua\[VAS_CAJUA_CF_SEC_20230125.xlsx]Consolidado'!$L$22</v>
      </c>
      <c r="J4201" t="s">
        <v>1995</v>
      </c>
    </row>
    <row r="4202" spans="1:10" x14ac:dyDescent="0.25">
      <c r="A4202" s="32" t="s">
        <v>120</v>
      </c>
      <c r="B4202" s="32" t="s">
        <v>104</v>
      </c>
      <c r="C4202" s="33" t="s">
        <v>119</v>
      </c>
      <c r="D4202" s="34" t="s">
        <v>127</v>
      </c>
      <c r="E4202" s="35" t="str">
        <f t="shared" si="969"/>
        <v>Consolidado'!</v>
      </c>
      <c r="F4202" s="34"/>
      <c r="G4202" s="32"/>
      <c r="H4202" s="33"/>
      <c r="I4202" s="33"/>
    </row>
    <row r="4203" spans="1:10" x14ac:dyDescent="0.2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Jaime\QUIFA-CAJÚA\Cajua\[VAS_CAJUA_CF_SEC_20230125.xlsx]Consolidado'!</v>
      </c>
      <c r="G4203" s="32" t="s">
        <v>121</v>
      </c>
      <c r="H4203" s="33">
        <v>23</v>
      </c>
      <c r="I4203" s="33" t="str">
        <f t="shared" si="970"/>
        <v>='C:\Users\jaime.benazar\Quorum Business Solutions\Ecopetrol Prometeo - Documents\Planning Space Implementation\3. Analysis &amp; Design\Design\FC22\DRR Jaime\QUIFA-CAJÚA\Cajua\[VAS_CAJUA_CF_SEC_20230125.xlsx]Consolidado'!$L$23</v>
      </c>
      <c r="J4203" t="s">
        <v>1996</v>
      </c>
    </row>
    <row r="4204" spans="1:10" x14ac:dyDescent="0.25">
      <c r="F4204" s="5"/>
    </row>
    <row r="4205" spans="1:10" x14ac:dyDescent="0.25">
      <c r="F4205" s="5"/>
    </row>
    <row r="4206" spans="1:10" x14ac:dyDescent="0.25">
      <c r="F4206" s="5"/>
    </row>
    <row r="4207" spans="1:10" x14ac:dyDescent="0.25">
      <c r="F4207" s="5"/>
    </row>
    <row r="4208" spans="1:10" x14ac:dyDescent="0.25">
      <c r="F4208" s="5"/>
    </row>
    <row r="4209" spans="6:6" x14ac:dyDescent="0.25">
      <c r="F4209" s="5"/>
    </row>
    <row r="4210" spans="6:6" x14ac:dyDescent="0.25">
      <c r="F4210" s="5"/>
    </row>
    <row r="4211" spans="6:6" x14ac:dyDescent="0.25">
      <c r="F4211" s="5"/>
    </row>
    <row r="4212" spans="6:6" x14ac:dyDescent="0.25">
      <c r="F4212" s="5"/>
    </row>
    <row r="4213" spans="6:6" x14ac:dyDescent="0.25">
      <c r="F4213" s="5"/>
    </row>
    <row r="4214" spans="6:6" x14ac:dyDescent="0.25">
      <c r="F4214" s="5"/>
    </row>
    <row r="4215" spans="6:6" x14ac:dyDescent="0.25">
      <c r="F4215" s="5"/>
    </row>
    <row r="4216" spans="6:6" x14ac:dyDescent="0.25">
      <c r="F4216" s="5"/>
    </row>
    <row r="4217" spans="6:6" x14ac:dyDescent="0.25">
      <c r="F4217" s="5"/>
    </row>
    <row r="4218" spans="6:6" x14ac:dyDescent="0.25">
      <c r="F4218" s="5"/>
    </row>
    <row r="4219" spans="6:6" x14ac:dyDescent="0.25">
      <c r="F4219" s="5"/>
    </row>
    <row r="4220" spans="6:6" x14ac:dyDescent="0.25">
      <c r="F4220" s="5"/>
    </row>
    <row r="4221" spans="6:6" x14ac:dyDescent="0.25">
      <c r="F4221" s="5"/>
    </row>
    <row r="4222" spans="6:6" x14ac:dyDescent="0.25">
      <c r="F4222" s="5"/>
    </row>
    <row r="4223" spans="6:6" x14ac:dyDescent="0.25">
      <c r="F4223" s="5"/>
    </row>
    <row r="4224" spans="6:6" x14ac:dyDescent="0.25">
      <c r="F4224" s="5"/>
    </row>
    <row r="4225" spans="6:6" x14ac:dyDescent="0.25">
      <c r="F4225" s="5"/>
    </row>
    <row r="4226" spans="6:6" x14ac:dyDescent="0.25">
      <c r="F4226" s="5"/>
    </row>
    <row r="4227" spans="6:6" x14ac:dyDescent="0.25">
      <c r="F4227" s="5"/>
    </row>
    <row r="4228" spans="6:6" x14ac:dyDescent="0.25">
      <c r="F4228" s="5"/>
    </row>
    <row r="4229" spans="6:6" x14ac:dyDescent="0.25">
      <c r="F4229" s="5"/>
    </row>
    <row r="4230" spans="6:6" x14ac:dyDescent="0.25">
      <c r="F4230" s="5"/>
    </row>
    <row r="4231" spans="6:6" x14ac:dyDescent="0.25">
      <c r="F4231" s="5"/>
    </row>
    <row r="4232" spans="6:6" x14ac:dyDescent="0.25">
      <c r="F4232" s="5"/>
    </row>
    <row r="4233" spans="6:6" x14ac:dyDescent="0.25">
      <c r="F4233" s="5"/>
    </row>
    <row r="4234" spans="6:6" x14ac:dyDescent="0.25">
      <c r="F4234" s="5"/>
    </row>
    <row r="4235" spans="6:6" x14ac:dyDescent="0.25">
      <c r="F4235" s="5"/>
    </row>
    <row r="4236" spans="6:6" x14ac:dyDescent="0.25">
      <c r="F4236" s="5"/>
    </row>
    <row r="4237" spans="6:6" x14ac:dyDescent="0.25">
      <c r="F4237" s="5"/>
    </row>
    <row r="4238" spans="6:6" x14ac:dyDescent="0.25">
      <c r="F4238" s="5"/>
    </row>
    <row r="4239" spans="6:6" x14ac:dyDescent="0.25">
      <c r="F4239" s="5"/>
    </row>
    <row r="4240" spans="6:6" x14ac:dyDescent="0.25">
      <c r="F4240" s="5"/>
    </row>
    <row r="4241" spans="6:6" x14ac:dyDescent="0.25">
      <c r="F4241" s="5"/>
    </row>
    <row r="4242" spans="6:6" x14ac:dyDescent="0.25">
      <c r="F4242" s="5"/>
    </row>
    <row r="4243" spans="6:6" x14ac:dyDescent="0.25">
      <c r="F4243" s="5"/>
    </row>
    <row r="4244" spans="6:6" x14ac:dyDescent="0.25">
      <c r="F4244" s="5"/>
    </row>
    <row r="4245" spans="6:6" x14ac:dyDescent="0.25">
      <c r="F4245" s="5"/>
    </row>
    <row r="4246" spans="6:6" x14ac:dyDescent="0.25">
      <c r="F4246" s="5"/>
    </row>
    <row r="4247" spans="6:6" x14ac:dyDescent="0.25">
      <c r="F4247" s="5"/>
    </row>
    <row r="4248" spans="6:6" x14ac:dyDescent="0.25">
      <c r="F4248" s="5"/>
    </row>
    <row r="4249" spans="6:6" x14ac:dyDescent="0.25">
      <c r="F4249" s="5"/>
    </row>
    <row r="4250" spans="6:6" x14ac:dyDescent="0.25">
      <c r="F4250" s="5"/>
    </row>
    <row r="4251" spans="6:6" x14ac:dyDescent="0.25">
      <c r="F4251" s="5"/>
    </row>
    <row r="4252" spans="6:6" x14ac:dyDescent="0.25">
      <c r="F4252" s="5"/>
    </row>
    <row r="4253" spans="6:6" x14ac:dyDescent="0.25">
      <c r="F4253" s="5"/>
    </row>
    <row r="4254" spans="6:6" x14ac:dyDescent="0.25">
      <c r="F4254" s="5"/>
    </row>
    <row r="4255" spans="6:6" x14ac:dyDescent="0.25">
      <c r="F4255" s="5"/>
    </row>
    <row r="4256" spans="6:6" x14ac:dyDescent="0.25">
      <c r="F4256" s="5"/>
    </row>
    <row r="4257" spans="6:6" x14ac:dyDescent="0.25">
      <c r="F4257" s="5"/>
    </row>
    <row r="4258" spans="6:6" x14ac:dyDescent="0.25">
      <c r="F4258" s="5"/>
    </row>
    <row r="4259" spans="6:6" x14ac:dyDescent="0.25">
      <c r="F4259" s="5"/>
    </row>
    <row r="4260" spans="6:6" x14ac:dyDescent="0.25">
      <c r="F4260" s="5"/>
    </row>
    <row r="4261" spans="6:6" x14ac:dyDescent="0.25">
      <c r="F4261" s="5"/>
    </row>
    <row r="4262" spans="6:6" x14ac:dyDescent="0.25">
      <c r="F4262" s="5"/>
    </row>
    <row r="4263" spans="6:6" x14ac:dyDescent="0.25">
      <c r="F4263" s="5"/>
    </row>
    <row r="4264" spans="6:6" x14ac:dyDescent="0.25">
      <c r="F4264" s="5"/>
    </row>
    <row r="4265" spans="6:6" x14ac:dyDescent="0.25">
      <c r="F4265" s="5"/>
    </row>
    <row r="4266" spans="6:6" x14ac:dyDescent="0.25">
      <c r="F4266" s="5"/>
    </row>
    <row r="4267" spans="6:6" x14ac:dyDescent="0.25">
      <c r="F4267" s="5"/>
    </row>
    <row r="4268" spans="6:6" x14ac:dyDescent="0.25">
      <c r="F4268" s="5"/>
    </row>
    <row r="4269" spans="6:6" x14ac:dyDescent="0.25">
      <c r="F4269" s="5"/>
    </row>
    <row r="4270" spans="6:6" x14ac:dyDescent="0.25">
      <c r="F4270" s="5"/>
    </row>
    <row r="4271" spans="6:6" x14ac:dyDescent="0.25">
      <c r="F4271" s="5"/>
    </row>
    <row r="4272" spans="6:6" x14ac:dyDescent="0.25">
      <c r="F4272" s="5"/>
    </row>
    <row r="4273" spans="6:6" x14ac:dyDescent="0.25">
      <c r="F4273" s="5"/>
    </row>
    <row r="4274" spans="6:6" x14ac:dyDescent="0.25">
      <c r="F4274" s="5"/>
    </row>
    <row r="4275" spans="6:6" x14ac:dyDescent="0.25">
      <c r="F4275" s="5"/>
    </row>
    <row r="4276" spans="6:6" x14ac:dyDescent="0.25">
      <c r="F4276" s="5"/>
    </row>
    <row r="4277" spans="6:6" x14ac:dyDescent="0.25">
      <c r="F4277" s="2"/>
    </row>
    <row r="4278" spans="6:6" x14ac:dyDescent="0.25">
      <c r="F4278" s="5"/>
    </row>
    <row r="4279" spans="6:6" x14ac:dyDescent="0.25">
      <c r="F4279" s="5"/>
    </row>
    <row r="4280" spans="6:6" x14ac:dyDescent="0.25">
      <c r="F4280" s="5"/>
    </row>
    <row r="4281" spans="6:6" x14ac:dyDescent="0.25">
      <c r="F4281" s="5"/>
    </row>
    <row r="4282" spans="6:6" x14ac:dyDescent="0.25">
      <c r="F4282" s="5"/>
    </row>
    <row r="4283" spans="6:6" x14ac:dyDescent="0.25">
      <c r="F4283" s="5"/>
    </row>
    <row r="4284" spans="6:6" x14ac:dyDescent="0.25">
      <c r="F4284" s="5"/>
    </row>
    <row r="4285" spans="6:6" x14ac:dyDescent="0.25">
      <c r="F4285" s="5"/>
    </row>
    <row r="4286" spans="6:6" x14ac:dyDescent="0.25">
      <c r="F4286" s="5"/>
    </row>
    <row r="4287" spans="6:6" x14ac:dyDescent="0.25">
      <c r="F4287" s="5"/>
    </row>
    <row r="4288" spans="6:6" x14ac:dyDescent="0.25">
      <c r="F4288" s="5"/>
    </row>
    <row r="4289" spans="6:6" x14ac:dyDescent="0.25">
      <c r="F4289" s="5"/>
    </row>
    <row r="4290" spans="6:6" x14ac:dyDescent="0.25">
      <c r="F4290" s="5"/>
    </row>
    <row r="4291" spans="6:6" x14ac:dyDescent="0.25">
      <c r="F4291" s="5"/>
    </row>
    <row r="4292" spans="6:6" x14ac:dyDescent="0.25">
      <c r="F4292" s="5"/>
    </row>
    <row r="4293" spans="6:6" x14ac:dyDescent="0.25">
      <c r="F4293" s="5"/>
    </row>
    <row r="4294" spans="6:6" x14ac:dyDescent="0.25">
      <c r="F4294" s="5"/>
    </row>
    <row r="4295" spans="6:6" x14ac:dyDescent="0.25">
      <c r="F4295" s="5"/>
    </row>
    <row r="4296" spans="6:6" x14ac:dyDescent="0.25">
      <c r="F4296" s="5"/>
    </row>
    <row r="4297" spans="6:6" x14ac:dyDescent="0.25">
      <c r="F4297" s="5"/>
    </row>
    <row r="4298" spans="6:6" x14ac:dyDescent="0.25">
      <c r="F4298" s="5"/>
    </row>
    <row r="4299" spans="6:6" x14ac:dyDescent="0.25">
      <c r="F4299" s="5"/>
    </row>
    <row r="4300" spans="6:6" x14ac:dyDescent="0.25">
      <c r="F4300" s="5"/>
    </row>
    <row r="4301" spans="6:6" x14ac:dyDescent="0.25">
      <c r="F4301" s="5"/>
    </row>
    <row r="4302" spans="6:6" x14ac:dyDescent="0.25">
      <c r="F4302" s="5"/>
    </row>
    <row r="4303" spans="6:6" x14ac:dyDescent="0.25">
      <c r="F4303" s="5"/>
    </row>
    <row r="4304" spans="6:6" x14ac:dyDescent="0.25">
      <c r="F4304" s="5"/>
    </row>
    <row r="4305" spans="6:6" x14ac:dyDescent="0.25">
      <c r="F4305" s="5"/>
    </row>
    <row r="4306" spans="6:6" x14ac:dyDescent="0.25">
      <c r="F4306" s="5"/>
    </row>
    <row r="4307" spans="6:6" x14ac:dyDescent="0.25">
      <c r="F4307" s="5"/>
    </row>
    <row r="4308" spans="6:6" x14ac:dyDescent="0.25">
      <c r="F4308" s="5"/>
    </row>
    <row r="4309" spans="6:6" x14ac:dyDescent="0.25">
      <c r="F4309" s="5"/>
    </row>
    <row r="4310" spans="6:6" x14ac:dyDescent="0.25">
      <c r="F4310" s="5"/>
    </row>
    <row r="4311" spans="6:6" x14ac:dyDescent="0.25">
      <c r="F4311" s="5"/>
    </row>
    <row r="4312" spans="6:6" x14ac:dyDescent="0.25">
      <c r="F4312" s="5"/>
    </row>
    <row r="4313" spans="6:6" x14ac:dyDescent="0.25">
      <c r="F4313" s="5"/>
    </row>
    <row r="4314" spans="6:6" x14ac:dyDescent="0.25">
      <c r="F4314" s="5"/>
    </row>
    <row r="4315" spans="6:6" x14ac:dyDescent="0.25">
      <c r="F4315" s="5"/>
    </row>
    <row r="4316" spans="6:6" x14ac:dyDescent="0.25">
      <c r="F4316" s="5"/>
    </row>
    <row r="4317" spans="6:6" x14ac:dyDescent="0.25">
      <c r="F4317" s="5"/>
    </row>
    <row r="4318" spans="6:6" x14ac:dyDescent="0.25">
      <c r="F4318" s="5"/>
    </row>
    <row r="4319" spans="6:6" x14ac:dyDescent="0.25">
      <c r="F4319" s="5"/>
    </row>
    <row r="4320" spans="6:6" x14ac:dyDescent="0.25">
      <c r="F4320" s="5"/>
    </row>
    <row r="4321" spans="6:6" x14ac:dyDescent="0.25">
      <c r="F4321" s="5"/>
    </row>
    <row r="4322" spans="6:6" x14ac:dyDescent="0.25">
      <c r="F4322" s="5"/>
    </row>
    <row r="4323" spans="6:6" x14ac:dyDescent="0.25">
      <c r="F4323" s="5"/>
    </row>
    <row r="4324" spans="6:6" x14ac:dyDescent="0.25">
      <c r="F4324" s="5"/>
    </row>
    <row r="4325" spans="6:6" x14ac:dyDescent="0.25">
      <c r="F4325" s="2"/>
    </row>
    <row r="4326" spans="6:6" x14ac:dyDescent="0.25">
      <c r="F4326" s="5"/>
    </row>
    <row r="4327" spans="6:6" x14ac:dyDescent="0.25">
      <c r="F4327" s="5"/>
    </row>
    <row r="4328" spans="6:6" x14ac:dyDescent="0.25">
      <c r="F4328" s="5"/>
    </row>
    <row r="4329" spans="6:6" x14ac:dyDescent="0.25">
      <c r="F4329" s="5"/>
    </row>
    <row r="4330" spans="6:6" x14ac:dyDescent="0.25">
      <c r="F4330" s="5"/>
    </row>
    <row r="4331" spans="6:6" x14ac:dyDescent="0.25">
      <c r="F4331" s="5"/>
    </row>
    <row r="4332" spans="6:6" x14ac:dyDescent="0.25">
      <c r="F4332" s="5"/>
    </row>
    <row r="4333" spans="6:6" x14ac:dyDescent="0.25">
      <c r="F4333" s="5"/>
    </row>
    <row r="4334" spans="6:6" x14ac:dyDescent="0.25">
      <c r="F4334" s="5"/>
    </row>
    <row r="4335" spans="6:6" x14ac:dyDescent="0.25">
      <c r="F4335" s="5"/>
    </row>
    <row r="4336" spans="6:6" x14ac:dyDescent="0.25">
      <c r="F4336" s="5"/>
    </row>
    <row r="4337" spans="6:6" x14ac:dyDescent="0.25">
      <c r="F4337" s="5"/>
    </row>
    <row r="4338" spans="6:6" x14ac:dyDescent="0.25">
      <c r="F4338" s="5"/>
    </row>
    <row r="4339" spans="6:6" x14ac:dyDescent="0.25">
      <c r="F4339" s="5"/>
    </row>
    <row r="4340" spans="6:6" x14ac:dyDescent="0.25">
      <c r="F4340" s="5"/>
    </row>
    <row r="4341" spans="6:6" x14ac:dyDescent="0.25">
      <c r="F4341" s="5"/>
    </row>
    <row r="4342" spans="6:6" x14ac:dyDescent="0.25">
      <c r="F4342" s="5"/>
    </row>
    <row r="4343" spans="6:6" x14ac:dyDescent="0.25">
      <c r="F4343" s="5"/>
    </row>
    <row r="4344" spans="6:6" x14ac:dyDescent="0.25">
      <c r="F4344" s="5"/>
    </row>
    <row r="4345" spans="6:6" x14ac:dyDescent="0.25">
      <c r="F4345" s="5"/>
    </row>
    <row r="4346" spans="6:6" x14ac:dyDescent="0.25">
      <c r="F4346" s="5"/>
    </row>
    <row r="4347" spans="6:6" x14ac:dyDescent="0.25">
      <c r="F4347" s="5"/>
    </row>
    <row r="4348" spans="6:6" x14ac:dyDescent="0.25">
      <c r="F4348" s="5"/>
    </row>
    <row r="4349" spans="6:6" x14ac:dyDescent="0.25">
      <c r="F4349" s="5"/>
    </row>
    <row r="4350" spans="6:6" x14ac:dyDescent="0.25">
      <c r="F4350" s="5"/>
    </row>
    <row r="4351" spans="6:6" x14ac:dyDescent="0.25">
      <c r="F4351" s="5"/>
    </row>
    <row r="4352" spans="6:6" x14ac:dyDescent="0.25">
      <c r="F4352" s="5"/>
    </row>
    <row r="4353" spans="6:6" x14ac:dyDescent="0.25">
      <c r="F4353" s="5"/>
    </row>
    <row r="4354" spans="6:6" x14ac:dyDescent="0.25">
      <c r="F4354" s="5"/>
    </row>
    <row r="4355" spans="6:6" x14ac:dyDescent="0.25">
      <c r="F4355" s="5"/>
    </row>
    <row r="4356" spans="6:6" x14ac:dyDescent="0.25">
      <c r="F4356" s="5"/>
    </row>
    <row r="4357" spans="6:6" x14ac:dyDescent="0.25">
      <c r="F4357" s="5"/>
    </row>
    <row r="4358" spans="6:6" x14ac:dyDescent="0.25">
      <c r="F4358" s="5"/>
    </row>
    <row r="4359" spans="6:6" x14ac:dyDescent="0.25">
      <c r="F4359" s="5"/>
    </row>
    <row r="4360" spans="6:6" x14ac:dyDescent="0.25">
      <c r="F4360" s="5"/>
    </row>
    <row r="4361" spans="6:6" x14ac:dyDescent="0.25">
      <c r="F4361" s="5"/>
    </row>
    <row r="4362" spans="6:6" x14ac:dyDescent="0.25">
      <c r="F4362" s="5"/>
    </row>
    <row r="4363" spans="6:6" x14ac:dyDescent="0.25">
      <c r="F4363" s="5"/>
    </row>
    <row r="4364" spans="6:6" x14ac:dyDescent="0.25">
      <c r="F4364" s="5"/>
    </row>
    <row r="4365" spans="6:6" x14ac:dyDescent="0.25">
      <c r="F4365" s="5"/>
    </row>
    <row r="4366" spans="6:6" x14ac:dyDescent="0.25">
      <c r="F4366" s="5"/>
    </row>
    <row r="4367" spans="6:6" x14ac:dyDescent="0.25">
      <c r="F4367" s="5"/>
    </row>
    <row r="4368" spans="6:6" x14ac:dyDescent="0.25">
      <c r="F4368" s="5"/>
    </row>
    <row r="4369" spans="6:6" x14ac:dyDescent="0.25">
      <c r="F4369" s="5"/>
    </row>
    <row r="4370" spans="6:6" x14ac:dyDescent="0.25">
      <c r="F4370" s="5"/>
    </row>
    <row r="4371" spans="6:6" x14ac:dyDescent="0.25">
      <c r="F4371" s="5"/>
    </row>
    <row r="4372" spans="6:6" x14ac:dyDescent="0.25">
      <c r="F4372" s="5"/>
    </row>
    <row r="4373" spans="6:6" x14ac:dyDescent="0.25">
      <c r="F4373" s="2"/>
    </row>
    <row r="4374" spans="6:6" x14ac:dyDescent="0.25">
      <c r="F4374" s="5"/>
    </row>
    <row r="4375" spans="6:6" x14ac:dyDescent="0.25">
      <c r="F4375" s="5"/>
    </row>
    <row r="4376" spans="6:6" x14ac:dyDescent="0.25">
      <c r="F4376" s="5"/>
    </row>
    <row r="4377" spans="6:6" x14ac:dyDescent="0.25">
      <c r="F4377" s="5"/>
    </row>
    <row r="4378" spans="6:6" x14ac:dyDescent="0.25">
      <c r="F4378" s="5"/>
    </row>
    <row r="4379" spans="6:6" x14ac:dyDescent="0.25">
      <c r="F4379" s="5"/>
    </row>
    <row r="4380" spans="6:6" x14ac:dyDescent="0.25">
      <c r="F4380" s="5"/>
    </row>
    <row r="4381" spans="6:6" x14ac:dyDescent="0.25">
      <c r="F4381" s="5"/>
    </row>
    <row r="4382" spans="6:6" x14ac:dyDescent="0.25">
      <c r="F4382" s="5"/>
    </row>
    <row r="4383" spans="6:6" x14ac:dyDescent="0.25">
      <c r="F4383" s="5"/>
    </row>
    <row r="4384" spans="6:6" x14ac:dyDescent="0.25">
      <c r="F4384" s="5"/>
    </row>
    <row r="4385" spans="6:6" x14ac:dyDescent="0.25">
      <c r="F4385" s="5"/>
    </row>
    <row r="4386" spans="6:6" x14ac:dyDescent="0.25">
      <c r="F4386" s="5"/>
    </row>
    <row r="4387" spans="6:6" x14ac:dyDescent="0.25">
      <c r="F4387" s="5"/>
    </row>
    <row r="4388" spans="6:6" x14ac:dyDescent="0.25">
      <c r="F4388" s="5"/>
    </row>
    <row r="4389" spans="6:6" x14ac:dyDescent="0.25">
      <c r="F4389" s="5"/>
    </row>
    <row r="4390" spans="6:6" x14ac:dyDescent="0.25">
      <c r="F4390" s="5"/>
    </row>
    <row r="4391" spans="6:6" x14ac:dyDescent="0.25">
      <c r="F4391" s="5"/>
    </row>
    <row r="4392" spans="6:6" x14ac:dyDescent="0.25">
      <c r="F4392" s="5"/>
    </row>
    <row r="4393" spans="6:6" x14ac:dyDescent="0.25">
      <c r="F4393" s="5"/>
    </row>
    <row r="4394" spans="6:6" x14ac:dyDescent="0.25">
      <c r="F4394" s="5"/>
    </row>
    <row r="4395" spans="6:6" x14ac:dyDescent="0.25">
      <c r="F4395" s="5"/>
    </row>
    <row r="4396" spans="6:6" x14ac:dyDescent="0.25">
      <c r="F4396" s="5"/>
    </row>
    <row r="4397" spans="6:6" x14ac:dyDescent="0.25">
      <c r="F4397" s="5"/>
    </row>
    <row r="4398" spans="6:6" x14ac:dyDescent="0.25">
      <c r="F4398" s="5"/>
    </row>
    <row r="4399" spans="6:6" x14ac:dyDescent="0.25">
      <c r="F4399" s="5"/>
    </row>
    <row r="4400" spans="6:6" x14ac:dyDescent="0.25">
      <c r="F4400" s="5"/>
    </row>
    <row r="4401" spans="6:6" x14ac:dyDescent="0.25">
      <c r="F4401" s="5"/>
    </row>
    <row r="4402" spans="6:6" x14ac:dyDescent="0.25">
      <c r="F4402" s="5"/>
    </row>
    <row r="4403" spans="6:6" x14ac:dyDescent="0.25">
      <c r="F4403" s="5"/>
    </row>
    <row r="4404" spans="6:6" x14ac:dyDescent="0.25">
      <c r="F4404" s="5"/>
    </row>
    <row r="4405" spans="6:6" x14ac:dyDescent="0.25">
      <c r="F4405" s="5"/>
    </row>
    <row r="4406" spans="6:6" x14ac:dyDescent="0.25">
      <c r="F4406" s="5"/>
    </row>
    <row r="4407" spans="6:6" x14ac:dyDescent="0.25">
      <c r="F4407" s="5"/>
    </row>
    <row r="4408" spans="6:6" x14ac:dyDescent="0.25">
      <c r="F4408" s="5"/>
    </row>
    <row r="4409" spans="6:6" x14ac:dyDescent="0.25">
      <c r="F4409" s="5"/>
    </row>
    <row r="4410" spans="6:6" x14ac:dyDescent="0.25">
      <c r="F4410" s="5"/>
    </row>
    <row r="4411" spans="6:6" x14ac:dyDescent="0.25">
      <c r="F4411" s="5"/>
    </row>
    <row r="4412" spans="6:6" x14ac:dyDescent="0.25">
      <c r="F4412" s="5"/>
    </row>
    <row r="4413" spans="6:6" x14ac:dyDescent="0.25">
      <c r="F4413" s="5"/>
    </row>
    <row r="4414" spans="6:6" x14ac:dyDescent="0.25">
      <c r="F4414" s="5"/>
    </row>
    <row r="4415" spans="6:6" x14ac:dyDescent="0.25">
      <c r="F4415" s="5"/>
    </row>
    <row r="4416" spans="6:6" x14ac:dyDescent="0.25">
      <c r="F4416" s="5"/>
    </row>
    <row r="4417" spans="6:6" x14ac:dyDescent="0.25">
      <c r="F4417" s="5"/>
    </row>
    <row r="4418" spans="6:6" x14ac:dyDescent="0.25">
      <c r="F4418" s="5"/>
    </row>
    <row r="4419" spans="6:6" x14ac:dyDescent="0.25">
      <c r="F4419" s="5"/>
    </row>
    <row r="4420" spans="6:6" x14ac:dyDescent="0.25">
      <c r="F4420" s="5"/>
    </row>
    <row r="4421" spans="6:6" x14ac:dyDescent="0.25">
      <c r="F4421" s="2"/>
    </row>
    <row r="4422" spans="6:6" x14ac:dyDescent="0.25">
      <c r="F4422" s="5"/>
    </row>
    <row r="4423" spans="6:6" x14ac:dyDescent="0.25">
      <c r="F4423" s="5"/>
    </row>
    <row r="4424" spans="6:6" x14ac:dyDescent="0.25">
      <c r="F4424" s="5"/>
    </row>
    <row r="4425" spans="6:6" x14ac:dyDescent="0.25">
      <c r="F4425" s="5"/>
    </row>
    <row r="4426" spans="6:6" x14ac:dyDescent="0.25">
      <c r="F4426" s="5"/>
    </row>
    <row r="4427" spans="6:6" x14ac:dyDescent="0.25">
      <c r="F4427" s="5"/>
    </row>
    <row r="4428" spans="6:6" x14ac:dyDescent="0.25">
      <c r="F4428" s="5"/>
    </row>
    <row r="4429" spans="6:6" x14ac:dyDescent="0.25">
      <c r="F4429" s="5"/>
    </row>
    <row r="4430" spans="6:6" x14ac:dyDescent="0.25">
      <c r="F4430" s="5"/>
    </row>
    <row r="4431" spans="6:6" x14ac:dyDescent="0.25">
      <c r="F4431" s="5"/>
    </row>
    <row r="4432" spans="6:6" x14ac:dyDescent="0.25">
      <c r="F4432" s="5"/>
    </row>
    <row r="4433" spans="6:6" x14ac:dyDescent="0.25">
      <c r="F4433" s="5"/>
    </row>
    <row r="4434" spans="6:6" x14ac:dyDescent="0.25">
      <c r="F4434" s="5"/>
    </row>
    <row r="4435" spans="6:6" x14ac:dyDescent="0.25">
      <c r="F4435" s="5"/>
    </row>
    <row r="4436" spans="6:6" x14ac:dyDescent="0.25">
      <c r="F4436" s="5"/>
    </row>
    <row r="4437" spans="6:6" x14ac:dyDescent="0.25">
      <c r="F4437" s="5"/>
    </row>
    <row r="4438" spans="6:6" x14ac:dyDescent="0.25">
      <c r="F4438" s="5"/>
    </row>
    <row r="4439" spans="6:6" x14ac:dyDescent="0.25">
      <c r="F4439" s="5"/>
    </row>
    <row r="4440" spans="6:6" x14ac:dyDescent="0.25">
      <c r="F4440" s="5"/>
    </row>
    <row r="4441" spans="6:6" x14ac:dyDescent="0.25">
      <c r="F4441" s="5"/>
    </row>
    <row r="4442" spans="6:6" x14ac:dyDescent="0.25">
      <c r="F4442" s="5"/>
    </row>
    <row r="4443" spans="6:6" x14ac:dyDescent="0.25">
      <c r="F4443" s="5"/>
    </row>
    <row r="4444" spans="6:6" x14ac:dyDescent="0.25">
      <c r="F4444" s="5"/>
    </row>
    <row r="4445" spans="6:6" x14ac:dyDescent="0.25">
      <c r="F4445" s="5"/>
    </row>
    <row r="4446" spans="6:6" x14ac:dyDescent="0.25">
      <c r="F4446" s="5"/>
    </row>
    <row r="4447" spans="6:6" x14ac:dyDescent="0.25">
      <c r="F4447" s="5"/>
    </row>
    <row r="4448" spans="6:6" x14ac:dyDescent="0.25">
      <c r="F4448" s="5"/>
    </row>
    <row r="4449" spans="6:6" x14ac:dyDescent="0.25">
      <c r="F4449" s="5"/>
    </row>
    <row r="4450" spans="6:6" x14ac:dyDescent="0.25">
      <c r="F4450" s="5"/>
    </row>
    <row r="4451" spans="6:6" x14ac:dyDescent="0.25">
      <c r="F4451" s="5"/>
    </row>
    <row r="4452" spans="6:6" x14ac:dyDescent="0.25">
      <c r="F4452" s="5"/>
    </row>
    <row r="4453" spans="6:6" x14ac:dyDescent="0.25">
      <c r="F4453" s="5"/>
    </row>
    <row r="4454" spans="6:6" x14ac:dyDescent="0.25">
      <c r="F4454" s="5"/>
    </row>
    <row r="4455" spans="6:6" x14ac:dyDescent="0.25">
      <c r="F4455" s="5"/>
    </row>
    <row r="4456" spans="6:6" x14ac:dyDescent="0.25">
      <c r="F4456" s="5"/>
    </row>
    <row r="4457" spans="6:6" x14ac:dyDescent="0.25">
      <c r="F4457" s="5"/>
    </row>
    <row r="4458" spans="6:6" x14ac:dyDescent="0.25">
      <c r="F4458" s="5"/>
    </row>
    <row r="4459" spans="6:6" x14ac:dyDescent="0.25">
      <c r="F4459" s="5"/>
    </row>
    <row r="4460" spans="6:6" x14ac:dyDescent="0.25">
      <c r="F4460" s="5"/>
    </row>
    <row r="4461" spans="6:6" x14ac:dyDescent="0.25">
      <c r="F4461" s="5"/>
    </row>
    <row r="4462" spans="6:6" x14ac:dyDescent="0.25">
      <c r="F4462" s="5"/>
    </row>
    <row r="4463" spans="6:6" x14ac:dyDescent="0.25">
      <c r="F4463" s="5"/>
    </row>
    <row r="4464" spans="6:6" x14ac:dyDescent="0.25">
      <c r="F4464" s="5"/>
    </row>
    <row r="4465" spans="6:6" x14ac:dyDescent="0.25">
      <c r="F4465" s="5"/>
    </row>
    <row r="4466" spans="6:6" x14ac:dyDescent="0.25">
      <c r="F4466" s="5"/>
    </row>
    <row r="4467" spans="6:6" x14ac:dyDescent="0.25">
      <c r="F4467" s="5"/>
    </row>
    <row r="4468" spans="6:6" x14ac:dyDescent="0.25">
      <c r="F4468" s="5"/>
    </row>
    <row r="4469" spans="6:6" x14ac:dyDescent="0.25">
      <c r="F4469" s="2"/>
    </row>
    <row r="4470" spans="6:6" x14ac:dyDescent="0.25">
      <c r="F4470" s="5"/>
    </row>
    <row r="4471" spans="6:6" x14ac:dyDescent="0.25">
      <c r="F4471" s="5"/>
    </row>
    <row r="4472" spans="6:6" x14ac:dyDescent="0.25">
      <c r="F4472" s="5"/>
    </row>
    <row r="4473" spans="6:6" x14ac:dyDescent="0.25">
      <c r="F4473" s="5"/>
    </row>
    <row r="4474" spans="6:6" x14ac:dyDescent="0.25">
      <c r="F4474" s="5"/>
    </row>
    <row r="4475" spans="6:6" x14ac:dyDescent="0.25">
      <c r="F4475" s="5"/>
    </row>
    <row r="4476" spans="6:6" x14ac:dyDescent="0.25">
      <c r="F4476" s="5"/>
    </row>
    <row r="4477" spans="6:6" x14ac:dyDescent="0.25">
      <c r="F4477" s="5"/>
    </row>
    <row r="4478" spans="6:6" x14ac:dyDescent="0.25">
      <c r="F4478" s="5"/>
    </row>
    <row r="4479" spans="6:6" x14ac:dyDescent="0.25">
      <c r="F4479" s="5"/>
    </row>
    <row r="4480" spans="6:6" x14ac:dyDescent="0.25">
      <c r="F4480" s="5"/>
    </row>
    <row r="4481" spans="6:6" x14ac:dyDescent="0.25">
      <c r="F4481" s="5"/>
    </row>
    <row r="4482" spans="6:6" x14ac:dyDescent="0.25">
      <c r="F4482" s="5"/>
    </row>
    <row r="4483" spans="6:6" x14ac:dyDescent="0.25">
      <c r="F4483" s="5"/>
    </row>
    <row r="4484" spans="6:6" x14ac:dyDescent="0.25">
      <c r="F4484" s="5"/>
    </row>
    <row r="4485" spans="6:6" x14ac:dyDescent="0.25">
      <c r="F4485" s="5"/>
    </row>
    <row r="4486" spans="6:6" x14ac:dyDescent="0.25">
      <c r="F4486" s="5"/>
    </row>
    <row r="4487" spans="6:6" x14ac:dyDescent="0.25">
      <c r="F4487" s="5"/>
    </row>
    <row r="4488" spans="6:6" x14ac:dyDescent="0.25">
      <c r="F4488" s="5"/>
    </row>
    <row r="4489" spans="6:6" x14ac:dyDescent="0.25">
      <c r="F4489" s="5"/>
    </row>
    <row r="4490" spans="6:6" x14ac:dyDescent="0.25">
      <c r="F4490" s="5"/>
    </row>
    <row r="4491" spans="6:6" x14ac:dyDescent="0.25">
      <c r="F4491" s="5"/>
    </row>
    <row r="4492" spans="6:6" x14ac:dyDescent="0.25">
      <c r="F4492" s="5"/>
    </row>
    <row r="4493" spans="6:6" x14ac:dyDescent="0.25">
      <c r="F4493" s="2"/>
    </row>
    <row r="4494" spans="6:6" x14ac:dyDescent="0.25">
      <c r="F4494" s="5"/>
    </row>
    <row r="4495" spans="6:6" x14ac:dyDescent="0.25">
      <c r="F4495" s="5"/>
    </row>
    <row r="4496" spans="6:6" x14ac:dyDescent="0.25">
      <c r="F4496" s="5"/>
    </row>
    <row r="4497" spans="6:6" x14ac:dyDescent="0.25">
      <c r="F4497" s="5"/>
    </row>
    <row r="4498" spans="6:6" x14ac:dyDescent="0.25">
      <c r="F4498" s="5"/>
    </row>
    <row r="4499" spans="6:6" x14ac:dyDescent="0.25">
      <c r="F4499" s="5"/>
    </row>
    <row r="4500" spans="6:6" x14ac:dyDescent="0.25">
      <c r="F4500" s="5"/>
    </row>
    <row r="4501" spans="6:6" x14ac:dyDescent="0.25">
      <c r="F4501" s="5"/>
    </row>
    <row r="4502" spans="6:6" x14ac:dyDescent="0.25">
      <c r="F4502" s="5"/>
    </row>
    <row r="4503" spans="6:6" x14ac:dyDescent="0.25">
      <c r="F4503" s="5"/>
    </row>
    <row r="4504" spans="6:6" x14ac:dyDescent="0.25">
      <c r="F4504" s="5"/>
    </row>
    <row r="4505" spans="6:6" x14ac:dyDescent="0.25">
      <c r="F4505" s="5"/>
    </row>
    <row r="4506" spans="6:6" x14ac:dyDescent="0.25">
      <c r="F4506" s="5"/>
    </row>
    <row r="4507" spans="6:6" x14ac:dyDescent="0.25">
      <c r="F4507" s="5"/>
    </row>
    <row r="4508" spans="6:6" x14ac:dyDescent="0.25">
      <c r="F4508" s="5"/>
    </row>
    <row r="4509" spans="6:6" x14ac:dyDescent="0.25">
      <c r="F4509" s="5"/>
    </row>
    <row r="4510" spans="6:6" x14ac:dyDescent="0.25">
      <c r="F4510" s="5"/>
    </row>
    <row r="4511" spans="6:6" x14ac:dyDescent="0.25">
      <c r="F4511" s="5"/>
    </row>
    <row r="4512" spans="6:6" x14ac:dyDescent="0.25">
      <c r="F4512" s="5"/>
    </row>
    <row r="4513" spans="6:6" x14ac:dyDescent="0.25">
      <c r="F4513" s="5"/>
    </row>
    <row r="4514" spans="6:6" x14ac:dyDescent="0.25">
      <c r="F4514" s="5"/>
    </row>
    <row r="4515" spans="6:6" x14ac:dyDescent="0.25">
      <c r="F4515" s="5"/>
    </row>
    <row r="4516" spans="6:6" x14ac:dyDescent="0.25">
      <c r="F4516" s="5"/>
    </row>
    <row r="4517" spans="6:6" x14ac:dyDescent="0.25">
      <c r="F4517" s="2"/>
    </row>
    <row r="4518" spans="6:6" x14ac:dyDescent="0.25">
      <c r="F4518" s="5"/>
    </row>
    <row r="4519" spans="6:6" x14ac:dyDescent="0.25">
      <c r="F4519" s="5"/>
    </row>
    <row r="4520" spans="6:6" x14ac:dyDescent="0.25">
      <c r="F4520" s="5"/>
    </row>
    <row r="4521" spans="6:6" x14ac:dyDescent="0.25">
      <c r="F4521" s="5"/>
    </row>
    <row r="4522" spans="6:6" x14ac:dyDescent="0.25">
      <c r="F4522" s="5"/>
    </row>
    <row r="4523" spans="6:6" x14ac:dyDescent="0.25">
      <c r="F4523" s="5"/>
    </row>
    <row r="4524" spans="6:6" x14ac:dyDescent="0.25">
      <c r="F4524" s="5"/>
    </row>
    <row r="4525" spans="6:6" x14ac:dyDescent="0.25">
      <c r="F4525" s="5"/>
    </row>
    <row r="4526" spans="6:6" x14ac:dyDescent="0.25">
      <c r="F4526" s="5"/>
    </row>
    <row r="4527" spans="6:6" x14ac:dyDescent="0.25">
      <c r="F4527" s="5"/>
    </row>
    <row r="4528" spans="6:6" x14ac:dyDescent="0.25">
      <c r="F4528" s="5"/>
    </row>
    <row r="4529" spans="6:6" x14ac:dyDescent="0.25">
      <c r="F4529" s="5"/>
    </row>
    <row r="4530" spans="6:6" x14ac:dyDescent="0.25">
      <c r="F4530" s="5"/>
    </row>
    <row r="4531" spans="6:6" x14ac:dyDescent="0.25">
      <c r="F4531" s="5"/>
    </row>
    <row r="4532" spans="6:6" x14ac:dyDescent="0.25">
      <c r="F4532" s="5"/>
    </row>
    <row r="4533" spans="6:6" x14ac:dyDescent="0.25">
      <c r="F4533" s="5"/>
    </row>
    <row r="4534" spans="6:6" x14ac:dyDescent="0.25">
      <c r="F4534" s="5"/>
    </row>
    <row r="4535" spans="6:6" x14ac:dyDescent="0.25">
      <c r="F4535" s="5"/>
    </row>
    <row r="4536" spans="6:6" x14ac:dyDescent="0.25">
      <c r="F4536" s="5"/>
    </row>
    <row r="4537" spans="6:6" x14ac:dyDescent="0.25">
      <c r="F4537" s="5"/>
    </row>
    <row r="4538" spans="6:6" x14ac:dyDescent="0.25">
      <c r="F4538" s="5"/>
    </row>
    <row r="4539" spans="6:6" x14ac:dyDescent="0.25">
      <c r="F4539" s="5"/>
    </row>
    <row r="4540" spans="6:6" x14ac:dyDescent="0.25">
      <c r="F4540" s="5"/>
    </row>
    <row r="4541" spans="6:6" x14ac:dyDescent="0.25">
      <c r="F4541" s="2"/>
    </row>
    <row r="4542" spans="6:6" x14ac:dyDescent="0.25">
      <c r="F4542" s="5"/>
    </row>
    <row r="4543" spans="6:6" x14ac:dyDescent="0.25">
      <c r="F4543" s="5"/>
    </row>
    <row r="4544" spans="6:6" x14ac:dyDescent="0.25">
      <c r="F4544" s="5"/>
    </row>
    <row r="4545" spans="6:6" x14ac:dyDescent="0.25">
      <c r="F4545" s="5"/>
    </row>
    <row r="4546" spans="6:6" x14ac:dyDescent="0.25">
      <c r="F4546" s="5"/>
    </row>
    <row r="4547" spans="6:6" x14ac:dyDescent="0.25">
      <c r="F4547" s="5"/>
    </row>
    <row r="4548" spans="6:6" x14ac:dyDescent="0.25">
      <c r="F4548" s="5"/>
    </row>
    <row r="4549" spans="6:6" x14ac:dyDescent="0.25">
      <c r="F4549" s="5"/>
    </row>
    <row r="4550" spans="6:6" x14ac:dyDescent="0.25">
      <c r="F4550" s="5"/>
    </row>
    <row r="4551" spans="6:6" x14ac:dyDescent="0.25">
      <c r="F4551" s="5"/>
    </row>
    <row r="4552" spans="6:6" x14ac:dyDescent="0.25">
      <c r="F4552" s="5"/>
    </row>
    <row r="4553" spans="6:6" x14ac:dyDescent="0.25">
      <c r="F4553" s="5"/>
    </row>
    <row r="4554" spans="6:6" x14ac:dyDescent="0.25">
      <c r="F4554" s="5"/>
    </row>
    <row r="4555" spans="6:6" x14ac:dyDescent="0.25">
      <c r="F4555" s="5"/>
    </row>
    <row r="4556" spans="6:6" x14ac:dyDescent="0.25">
      <c r="F4556" s="5"/>
    </row>
    <row r="4557" spans="6:6" x14ac:dyDescent="0.25">
      <c r="F4557" s="5"/>
    </row>
    <row r="4558" spans="6:6" x14ac:dyDescent="0.25">
      <c r="F4558" s="5"/>
    </row>
    <row r="4559" spans="6:6" x14ac:dyDescent="0.25">
      <c r="F4559" s="5"/>
    </row>
    <row r="4560" spans="6:6" x14ac:dyDescent="0.25">
      <c r="F4560" s="5"/>
    </row>
    <row r="4561" spans="6:6" x14ac:dyDescent="0.25">
      <c r="F4561" s="5"/>
    </row>
    <row r="4562" spans="6:6" x14ac:dyDescent="0.25">
      <c r="F4562" s="5"/>
    </row>
    <row r="4563" spans="6:6" x14ac:dyDescent="0.25">
      <c r="F4563" s="5"/>
    </row>
    <row r="4564" spans="6:6" x14ac:dyDescent="0.25">
      <c r="F4564" s="5"/>
    </row>
    <row r="4565" spans="6:6" x14ac:dyDescent="0.25">
      <c r="F4565" s="5"/>
    </row>
    <row r="4566" spans="6:6" x14ac:dyDescent="0.25">
      <c r="F4566" s="5"/>
    </row>
    <row r="4567" spans="6:6" x14ac:dyDescent="0.25">
      <c r="F4567" s="5"/>
    </row>
    <row r="4568" spans="6:6" x14ac:dyDescent="0.25">
      <c r="F4568" s="5"/>
    </row>
    <row r="4569" spans="6:6" x14ac:dyDescent="0.25">
      <c r="F4569" s="5"/>
    </row>
    <row r="4570" spans="6:6" x14ac:dyDescent="0.25">
      <c r="F4570" s="5"/>
    </row>
    <row r="4571" spans="6:6" x14ac:dyDescent="0.25">
      <c r="F4571" s="5"/>
    </row>
    <row r="4572" spans="6:6" x14ac:dyDescent="0.25">
      <c r="F4572" s="5"/>
    </row>
    <row r="4573" spans="6:6" x14ac:dyDescent="0.25">
      <c r="F4573" s="5"/>
    </row>
    <row r="4574" spans="6:6" x14ac:dyDescent="0.25">
      <c r="F4574" s="5"/>
    </row>
    <row r="4575" spans="6:6" x14ac:dyDescent="0.25">
      <c r="F4575" s="5"/>
    </row>
    <row r="4576" spans="6:6" x14ac:dyDescent="0.25">
      <c r="F4576" s="5"/>
    </row>
    <row r="4577" spans="6:6" x14ac:dyDescent="0.25">
      <c r="F4577" s="5"/>
    </row>
    <row r="4578" spans="6:6" x14ac:dyDescent="0.25">
      <c r="F4578" s="5"/>
    </row>
    <row r="4579" spans="6:6" x14ac:dyDescent="0.25">
      <c r="F4579" s="5"/>
    </row>
    <row r="4580" spans="6:6" x14ac:dyDescent="0.25">
      <c r="F4580" s="5"/>
    </row>
    <row r="4581" spans="6:6" x14ac:dyDescent="0.25">
      <c r="F4581" s="5"/>
    </row>
    <row r="4582" spans="6:6" x14ac:dyDescent="0.25">
      <c r="F4582" s="5"/>
    </row>
    <row r="4583" spans="6:6" x14ac:dyDescent="0.25">
      <c r="F4583" s="5"/>
    </row>
    <row r="4584" spans="6:6" x14ac:dyDescent="0.25">
      <c r="F4584" s="5"/>
    </row>
    <row r="4585" spans="6:6" x14ac:dyDescent="0.25">
      <c r="F4585" s="5"/>
    </row>
    <row r="4586" spans="6:6" x14ac:dyDescent="0.25">
      <c r="F4586" s="5"/>
    </row>
    <row r="4587" spans="6:6" x14ac:dyDescent="0.25">
      <c r="F4587" s="5"/>
    </row>
    <row r="4588" spans="6:6" x14ac:dyDescent="0.25">
      <c r="F4588" s="5"/>
    </row>
    <row r="4589" spans="6:6" x14ac:dyDescent="0.25">
      <c r="F4589" s="2"/>
    </row>
    <row r="4590" spans="6:6" x14ac:dyDescent="0.25">
      <c r="F4590" s="5"/>
    </row>
    <row r="4591" spans="6:6" x14ac:dyDescent="0.25">
      <c r="F4591" s="5"/>
    </row>
    <row r="4592" spans="6:6" x14ac:dyDescent="0.25">
      <c r="F4592" s="5"/>
    </row>
    <row r="4593" spans="6:6" x14ac:dyDescent="0.25">
      <c r="F4593" s="5"/>
    </row>
    <row r="4594" spans="6:6" x14ac:dyDescent="0.25">
      <c r="F4594" s="5"/>
    </row>
    <row r="4595" spans="6:6" x14ac:dyDescent="0.25">
      <c r="F4595" s="5"/>
    </row>
    <row r="4596" spans="6:6" x14ac:dyDescent="0.25">
      <c r="F4596" s="5"/>
    </row>
    <row r="4597" spans="6:6" x14ac:dyDescent="0.25">
      <c r="F4597" s="5"/>
    </row>
    <row r="4598" spans="6:6" x14ac:dyDescent="0.25">
      <c r="F4598" s="5"/>
    </row>
    <row r="4599" spans="6:6" x14ac:dyDescent="0.25">
      <c r="F4599" s="5"/>
    </row>
    <row r="4600" spans="6:6" x14ac:dyDescent="0.25">
      <c r="F4600" s="5"/>
    </row>
    <row r="4601" spans="6:6" x14ac:dyDescent="0.25">
      <c r="F4601" s="5"/>
    </row>
    <row r="4602" spans="6:6" x14ac:dyDescent="0.25">
      <c r="F4602" s="5"/>
    </row>
    <row r="4603" spans="6:6" x14ac:dyDescent="0.25">
      <c r="F4603" s="5"/>
    </row>
    <row r="4604" spans="6:6" x14ac:dyDescent="0.25">
      <c r="F4604" s="5"/>
    </row>
    <row r="4605" spans="6:6" x14ac:dyDescent="0.25">
      <c r="F4605" s="5"/>
    </row>
    <row r="4606" spans="6:6" x14ac:dyDescent="0.25">
      <c r="F4606" s="5"/>
    </row>
    <row r="4607" spans="6:6" x14ac:dyDescent="0.25">
      <c r="F4607" s="5"/>
    </row>
    <row r="4608" spans="6:6" x14ac:dyDescent="0.25">
      <c r="F4608" s="5"/>
    </row>
    <row r="4609" spans="6:6" x14ac:dyDescent="0.25">
      <c r="F4609" s="5"/>
    </row>
    <row r="4610" spans="6:6" x14ac:dyDescent="0.25">
      <c r="F4610" s="5"/>
    </row>
    <row r="4611" spans="6:6" x14ac:dyDescent="0.25">
      <c r="F4611" s="5"/>
    </row>
    <row r="4612" spans="6:6" x14ac:dyDescent="0.2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zoomScale="90" zoomScaleNormal="90" workbookViewId="0">
      <selection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58.85546875" customWidth="1"/>
    <col min="5" max="5" width="16.42578125" style="8" customWidth="1"/>
    <col min="6" max="6" width="28.140625" customWidth="1"/>
    <col min="7" max="7" width="8.5703125" style="8" customWidth="1"/>
    <col min="8" max="8" width="6.42578125" customWidth="1"/>
    <col min="9" max="9" width="40.42578125"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Jaime\QUIFA-CAJÚA\Cajua\[CAJUA_CF_SEC_New_27-Feb-2024Rev3.xlsx]D-PDP'!</v>
      </c>
      <c r="G2" s="32" t="s">
        <v>59</v>
      </c>
      <c r="H2" s="33">
        <v>12</v>
      </c>
      <c r="I2" s="33" t="str">
        <f>_xlfn.CONCAT("='",F2:H2)</f>
        <v>='C:\Users\jaime.benazar\Quorum Business Solutions\Ecopetrol Prometeo - Documents\Planning Space Implementation\3. Analysis &amp; Design\Design\FC22\DRR Jaime\QUIFA-CAJÚA\Cajua\[CAJUA_CF_SEC_New_27-Feb-2024Rev3.xlsx]D-PDP'!$BB$12</v>
      </c>
      <c r="J2" s="37" t="s">
        <v>2000</v>
      </c>
    </row>
    <row r="3" spans="1:10" x14ac:dyDescent="0.2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Jaime\QUIFA-CAJÚA\Cajua\[CAJUA_CF_SEC_New_27-Feb-2024Rev3.xlsx]D-PDP'!</v>
      </c>
      <c r="G3" s="32" t="s">
        <v>59</v>
      </c>
      <c r="H3" s="33">
        <f>IF(A3&lt;&gt;A2,12,H2+1)</f>
        <v>13</v>
      </c>
      <c r="I3" s="33" t="str">
        <f t="shared" ref="I3:I96" si="2">_xlfn.CONCAT("='",F3:H3)</f>
        <v>='C:\Users\jaime.benazar\Quorum Business Solutions\Ecopetrol Prometeo - Documents\Planning Space Implementation\3. Analysis &amp; Design\Design\FC22\DRR Jaime\QUIFA-CAJÚA\Cajua\[CAJUA_CF_SEC_New_27-Feb-2024Rev3.xlsx]D-PDP'!$BB$13</v>
      </c>
      <c r="J3" s="37" t="s">
        <v>2001</v>
      </c>
    </row>
    <row r="4" spans="1:10" x14ac:dyDescent="0.2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Jaime\QUIFA-CAJÚA\Cajua\[CAJUA_CF_SEC_New_27-Feb-2024Rev3.xlsx]D-PDP'!</v>
      </c>
      <c r="G4" s="32" t="s">
        <v>59</v>
      </c>
      <c r="H4" s="33">
        <f t="shared" ref="H4:H22" si="4">IF(A4&lt;&gt;A3,12,H3+1)</f>
        <v>14</v>
      </c>
      <c r="I4" s="33" t="str">
        <f t="shared" si="2"/>
        <v>='C:\Users\jaime.benazar\Quorum Business Solutions\Ecopetrol Prometeo - Documents\Planning Space Implementation\3. Analysis &amp; Design\Design\FC22\DRR Jaime\QUIFA-CAJÚA\Cajua\[CAJUA_CF_SEC_New_27-Feb-2024Rev3.xlsx]D-PDP'!$BB$14</v>
      </c>
      <c r="J4" s="37" t="s">
        <v>2002</v>
      </c>
    </row>
    <row r="5" spans="1:10" x14ac:dyDescent="0.2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Jaime\QUIFA-CAJÚA\Cajua\[CAJUA_CF_SEC_New_27-Feb-2024Rev3.xlsx]D-PDP'!</v>
      </c>
      <c r="G5" s="32" t="s">
        <v>59</v>
      </c>
      <c r="H5" s="33">
        <f t="shared" si="4"/>
        <v>15</v>
      </c>
      <c r="I5" s="33" t="str">
        <f t="shared" si="2"/>
        <v>='C:\Users\jaime.benazar\Quorum Business Solutions\Ecopetrol Prometeo - Documents\Planning Space Implementation\3. Analysis &amp; Design\Design\FC22\DRR Jaime\QUIFA-CAJÚA\Cajua\[CAJUA_CF_SEC_New_27-Feb-2024Rev3.xlsx]D-PDP'!$BB$15</v>
      </c>
      <c r="J5" s="37" t="s">
        <v>2003</v>
      </c>
    </row>
    <row r="6" spans="1:10" x14ac:dyDescent="0.2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Jaime\QUIFA-CAJÚA\Cajua\[CAJUA_CF_SEC_New_27-Feb-2024Rev3.xlsx]D-PDP'!</v>
      </c>
      <c r="G6" s="32" t="s">
        <v>59</v>
      </c>
      <c r="H6" s="33">
        <f t="shared" si="4"/>
        <v>16</v>
      </c>
      <c r="I6" s="33" t="str">
        <f t="shared" si="2"/>
        <v>='C:\Users\jaime.benazar\Quorum Business Solutions\Ecopetrol Prometeo - Documents\Planning Space Implementation\3. Analysis &amp; Design\Design\FC22\DRR Jaime\QUIFA-CAJÚA\Cajua\[CAJUA_CF_SEC_New_27-Feb-2024Rev3.xlsx]D-PDP'!$BB$16</v>
      </c>
      <c r="J6" s="37" t="s">
        <v>2004</v>
      </c>
    </row>
    <row r="7" spans="1:10" x14ac:dyDescent="0.2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Jaime\QUIFA-CAJÚA\Cajua\[CAJUA_CF_SEC_New_27-Feb-2024Rev3.xlsx]D-PDP'!</v>
      </c>
      <c r="G7" s="32" t="s">
        <v>59</v>
      </c>
      <c r="H7" s="33">
        <f t="shared" si="4"/>
        <v>17</v>
      </c>
      <c r="I7" s="33" t="str">
        <f t="shared" si="2"/>
        <v>='C:\Users\jaime.benazar\Quorum Business Solutions\Ecopetrol Prometeo - Documents\Planning Space Implementation\3. Analysis &amp; Design\Design\FC22\DRR Jaime\QUIFA-CAJÚA\Cajua\[CAJUA_CF_SEC_New_27-Feb-2024Rev3.xlsx]D-PDP'!$BB$17</v>
      </c>
      <c r="J7" s="37" t="s">
        <v>2005</v>
      </c>
    </row>
    <row r="8" spans="1:10" x14ac:dyDescent="0.2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Jaime\QUIFA-CAJÚA\Cajua\[CAJUA_CF_SEC_New_27-Feb-2024Rev3.xlsx]D-PDP'!</v>
      </c>
      <c r="G8" s="32" t="s">
        <v>59</v>
      </c>
      <c r="H8" s="33">
        <f t="shared" si="4"/>
        <v>18</v>
      </c>
      <c r="I8" s="33" t="str">
        <f t="shared" si="2"/>
        <v>='C:\Users\jaime.benazar\Quorum Business Solutions\Ecopetrol Prometeo - Documents\Planning Space Implementation\3. Analysis &amp; Design\Design\FC22\DRR Jaime\QUIFA-CAJÚA\Cajua\[CAJUA_CF_SEC_New_27-Feb-2024Rev3.xlsx]D-PDP'!$BB$18</v>
      </c>
      <c r="J8" s="37" t="s">
        <v>2006</v>
      </c>
    </row>
    <row r="9" spans="1:10" x14ac:dyDescent="0.2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Jaime\QUIFA-CAJÚA\Cajua\[CAJUA_CF_SEC_New_27-Feb-2024Rev3.xlsx]D-PDP'!</v>
      </c>
      <c r="G9" s="32" t="s">
        <v>59</v>
      </c>
      <c r="H9" s="33">
        <f t="shared" si="4"/>
        <v>19</v>
      </c>
      <c r="I9" s="33" t="str">
        <f t="shared" si="2"/>
        <v>='C:\Users\jaime.benazar\Quorum Business Solutions\Ecopetrol Prometeo - Documents\Planning Space Implementation\3. Analysis &amp; Design\Design\FC22\DRR Jaime\QUIFA-CAJÚA\Cajua\[CAJUA_CF_SEC_New_27-Feb-2024Rev3.xlsx]D-PDP'!$BB$19</v>
      </c>
      <c r="J9" s="37" t="s">
        <v>2007</v>
      </c>
    </row>
    <row r="10" spans="1:10" x14ac:dyDescent="0.2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Jaime\QUIFA-CAJÚA\Cajua\[CAJUA_CF_SEC_New_27-Feb-2024Rev3.xlsx]D-PDP'!</v>
      </c>
      <c r="G10" s="32" t="s">
        <v>59</v>
      </c>
      <c r="H10" s="33">
        <f t="shared" si="4"/>
        <v>20</v>
      </c>
      <c r="I10" s="33" t="str">
        <f t="shared" si="2"/>
        <v>='C:\Users\jaime.benazar\Quorum Business Solutions\Ecopetrol Prometeo - Documents\Planning Space Implementation\3. Analysis &amp; Design\Design\FC22\DRR Jaime\QUIFA-CAJÚA\Cajua\[CAJUA_CF_SEC_New_27-Feb-2024Rev3.xlsx]D-PDP'!$BB$20</v>
      </c>
      <c r="J10" s="37" t="s">
        <v>2008</v>
      </c>
    </row>
    <row r="11" spans="1:10" x14ac:dyDescent="0.2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Jaime\QUIFA-CAJÚA\Cajua\[CAJUA_CF_SEC_New_27-Feb-2024Rev3.xlsx]D-PDP'!</v>
      </c>
      <c r="G11" s="32" t="s">
        <v>59</v>
      </c>
      <c r="H11" s="33">
        <f t="shared" si="4"/>
        <v>21</v>
      </c>
      <c r="I11" s="33" t="str">
        <f t="shared" si="2"/>
        <v>='C:\Users\jaime.benazar\Quorum Business Solutions\Ecopetrol Prometeo - Documents\Planning Space Implementation\3. Analysis &amp; Design\Design\FC22\DRR Jaime\QUIFA-CAJÚA\Cajua\[CAJUA_CF_SEC_New_27-Feb-2024Rev3.xlsx]D-PDP'!$BB$21</v>
      </c>
      <c r="J11" s="37" t="s">
        <v>2009</v>
      </c>
    </row>
    <row r="12" spans="1:10" x14ac:dyDescent="0.2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Jaime\QUIFA-CAJÚA\Cajua\[CAJUA_CF_SEC_New_27-Feb-2024Rev3.xlsx]D-PDP'!</v>
      </c>
      <c r="G12" s="32" t="s">
        <v>59</v>
      </c>
      <c r="H12" s="33">
        <f t="shared" si="4"/>
        <v>22</v>
      </c>
      <c r="I12" s="33" t="str">
        <f t="shared" si="2"/>
        <v>='C:\Users\jaime.benazar\Quorum Business Solutions\Ecopetrol Prometeo - Documents\Planning Space Implementation\3. Analysis &amp; Design\Design\FC22\DRR Jaime\QUIFA-CAJÚA\Cajua\[CAJUA_CF_SEC_New_27-Feb-2024Rev3.xlsx]D-PDP'!$BB$22</v>
      </c>
      <c r="J12" s="37" t="s">
        <v>2010</v>
      </c>
    </row>
    <row r="13" spans="1:10" x14ac:dyDescent="0.2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Jaime\QUIFA-CAJÚA\Cajua\[CAJUA_CF_SEC_New_27-Feb-2024Rev3.xlsx]D-PDP'!</v>
      </c>
      <c r="G13" s="32" t="s">
        <v>59</v>
      </c>
      <c r="H13" s="33">
        <f t="shared" si="4"/>
        <v>23</v>
      </c>
      <c r="I13" s="33" t="str">
        <f t="shared" si="2"/>
        <v>='C:\Users\jaime.benazar\Quorum Business Solutions\Ecopetrol Prometeo - Documents\Planning Space Implementation\3. Analysis &amp; Design\Design\FC22\DRR Jaime\QUIFA-CAJÚA\Cajua\[CAJUA_CF_SEC_New_27-Feb-2024Rev3.xlsx]D-PDP'!$BB$23</v>
      </c>
      <c r="J13" s="37" t="s">
        <v>2011</v>
      </c>
    </row>
    <row r="14" spans="1:10" x14ac:dyDescent="0.2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Jaime\QUIFA-CAJÚA\Cajua\[CAJUA_CF_SEC_New_27-Feb-2024Rev3.xlsx]D-PDP'!</v>
      </c>
      <c r="G14" s="32" t="s">
        <v>59</v>
      </c>
      <c r="H14" s="33">
        <f t="shared" si="4"/>
        <v>24</v>
      </c>
      <c r="I14" s="33" t="str">
        <f t="shared" si="2"/>
        <v>='C:\Users\jaime.benazar\Quorum Business Solutions\Ecopetrol Prometeo - Documents\Planning Space Implementation\3. Analysis &amp; Design\Design\FC22\DRR Jaime\QUIFA-CAJÚA\Cajua\[CAJUA_CF_SEC_New_27-Feb-2024Rev3.xlsx]D-PDP'!$BB$24</v>
      </c>
      <c r="J14" s="37" t="s">
        <v>2012</v>
      </c>
    </row>
    <row r="15" spans="1:10" x14ac:dyDescent="0.2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Jaime\QUIFA-CAJÚA\Cajua\[CAJUA_CF_SEC_New_27-Feb-2024Rev3.xlsx]D-PDP'!</v>
      </c>
      <c r="G15" s="32" t="s">
        <v>59</v>
      </c>
      <c r="H15" s="33">
        <f t="shared" si="4"/>
        <v>25</v>
      </c>
      <c r="I15" s="33" t="str">
        <f t="shared" si="2"/>
        <v>='C:\Users\jaime.benazar\Quorum Business Solutions\Ecopetrol Prometeo - Documents\Planning Space Implementation\3. Analysis &amp; Design\Design\FC22\DRR Jaime\QUIFA-CAJÚA\Cajua\[CAJUA_CF_SEC_New_27-Feb-2024Rev3.xlsx]D-PDP'!$BB$25</v>
      </c>
      <c r="J15" s="37" t="s">
        <v>2013</v>
      </c>
    </row>
    <row r="16" spans="1:10" x14ac:dyDescent="0.2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Jaime\QUIFA-CAJÚA\Cajua\[CAJUA_CF_SEC_New_27-Feb-2024Rev3.xlsx]D-PDP'!</v>
      </c>
      <c r="G16" s="32" t="s">
        <v>59</v>
      </c>
      <c r="H16" s="33">
        <f t="shared" si="4"/>
        <v>26</v>
      </c>
      <c r="I16" s="33" t="str">
        <f t="shared" si="2"/>
        <v>='C:\Users\jaime.benazar\Quorum Business Solutions\Ecopetrol Prometeo - Documents\Planning Space Implementation\3. Analysis &amp; Design\Design\FC22\DRR Jaime\QUIFA-CAJÚA\Cajua\[CAJUA_CF_SEC_New_27-Feb-2024Rev3.xlsx]D-PDP'!$BB$26</v>
      </c>
      <c r="J16" s="37" t="s">
        <v>2014</v>
      </c>
    </row>
    <row r="17" spans="1:10" x14ac:dyDescent="0.2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Jaime\QUIFA-CAJÚA\Cajua\[CAJUA_CF_SEC_New_27-Feb-2024Rev3.xlsx]D-PDP'!</v>
      </c>
      <c r="G17" s="32" t="s">
        <v>59</v>
      </c>
      <c r="H17" s="33">
        <f t="shared" si="4"/>
        <v>27</v>
      </c>
      <c r="I17" s="33" t="str">
        <f t="shared" si="2"/>
        <v>='C:\Users\jaime.benazar\Quorum Business Solutions\Ecopetrol Prometeo - Documents\Planning Space Implementation\3. Analysis &amp; Design\Design\FC22\DRR Jaime\QUIFA-CAJÚA\Cajua\[CAJUA_CF_SEC_New_27-Feb-2024Rev3.xlsx]D-PDP'!$BB$27</v>
      </c>
      <c r="J17" s="37" t="s">
        <v>2015</v>
      </c>
    </row>
    <row r="18" spans="1:10" x14ac:dyDescent="0.2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Jaime\QUIFA-CAJÚA\Cajua\[CAJUA_CF_SEC_New_27-Feb-2024Rev3.xlsx]D-PDP'!</v>
      </c>
      <c r="G18" s="32" t="s">
        <v>59</v>
      </c>
      <c r="H18" s="33">
        <f t="shared" si="4"/>
        <v>28</v>
      </c>
      <c r="I18" s="33" t="str">
        <f t="shared" si="2"/>
        <v>='C:\Users\jaime.benazar\Quorum Business Solutions\Ecopetrol Prometeo - Documents\Planning Space Implementation\3. Analysis &amp; Design\Design\FC22\DRR Jaime\QUIFA-CAJÚA\Cajua\[CAJUA_CF_SEC_New_27-Feb-2024Rev3.xlsx]D-PDP'!$BB$28</v>
      </c>
      <c r="J18" s="37" t="s">
        <v>2016</v>
      </c>
    </row>
    <row r="19" spans="1:10" x14ac:dyDescent="0.2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Jaime\QUIFA-CAJÚA\Cajua\[CAJUA_CF_SEC_New_27-Feb-2024Rev3.xlsx]D-PDP'!</v>
      </c>
      <c r="G19" s="32" t="s">
        <v>59</v>
      </c>
      <c r="H19" s="33">
        <f t="shared" si="4"/>
        <v>29</v>
      </c>
      <c r="I19" s="33" t="str">
        <f t="shared" si="2"/>
        <v>='C:\Users\jaime.benazar\Quorum Business Solutions\Ecopetrol Prometeo - Documents\Planning Space Implementation\3. Analysis &amp; Design\Design\FC22\DRR Jaime\QUIFA-CAJÚA\Cajua\[CAJUA_CF_SEC_New_27-Feb-2024Rev3.xlsx]D-PDP'!$BB$29</v>
      </c>
      <c r="J19" s="37" t="s">
        <v>2017</v>
      </c>
    </row>
    <row r="20" spans="1:10" x14ac:dyDescent="0.2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Jaime\QUIFA-CAJÚA\Cajua\[CAJUA_CF_SEC_New_27-Feb-2024Rev3.xlsx]D-PDP'!</v>
      </c>
      <c r="G20" s="32" t="s">
        <v>59</v>
      </c>
      <c r="H20" s="33">
        <f t="shared" si="4"/>
        <v>30</v>
      </c>
      <c r="I20" s="33" t="str">
        <f t="shared" si="2"/>
        <v>='C:\Users\jaime.benazar\Quorum Business Solutions\Ecopetrol Prometeo - Documents\Planning Space Implementation\3. Analysis &amp; Design\Design\FC22\DRR Jaime\QUIFA-CAJÚA\Cajua\[CAJUA_CF_SEC_New_27-Feb-2024Rev3.xlsx]D-PDP'!$BB$30</v>
      </c>
      <c r="J20" s="37" t="s">
        <v>2018</v>
      </c>
    </row>
    <row r="21" spans="1:10" x14ac:dyDescent="0.2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Jaime\QUIFA-CAJÚA\Cajua\[CAJUA_CF_SEC_New_27-Feb-2024Rev3.xlsx]D-PDP'!</v>
      </c>
      <c r="G21" s="32" t="s">
        <v>59</v>
      </c>
      <c r="H21" s="33">
        <f t="shared" si="4"/>
        <v>31</v>
      </c>
      <c r="I21" s="33" t="str">
        <f t="shared" si="2"/>
        <v>='C:\Users\jaime.benazar\Quorum Business Solutions\Ecopetrol Prometeo - Documents\Planning Space Implementation\3. Analysis &amp; Design\Design\FC22\DRR Jaime\QUIFA-CAJÚA\Cajua\[CAJUA_CF_SEC_New_27-Feb-2024Rev3.xlsx]D-PDP'!$BB$31</v>
      </c>
      <c r="J21" s="37" t="s">
        <v>2019</v>
      </c>
    </row>
    <row r="22" spans="1:10" x14ac:dyDescent="0.2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Jaime\QUIFA-CAJÚA\Cajua\[CAJUA_CF_SEC_New_27-Feb-2024Rev3.xlsx]D-PDP'!</v>
      </c>
      <c r="G22" s="32" t="s">
        <v>59</v>
      </c>
      <c r="H22" s="33">
        <f t="shared" si="4"/>
        <v>32</v>
      </c>
      <c r="I22" s="33" t="str">
        <f t="shared" si="2"/>
        <v>='C:\Users\jaime.benazar\Quorum Business Solutions\Ecopetrol Prometeo - Documents\Planning Space Implementation\3. Analysis &amp; Design\Design\FC22\DRR Jaime\QUIFA-CAJÚA\Cajua\[CAJUA_CF_SEC_New_27-Feb-2024Rev3.xlsx]D-PDP'!$BB$32</v>
      </c>
      <c r="J22" s="37" t="s">
        <v>2020</v>
      </c>
    </row>
    <row r="23" spans="1:10" x14ac:dyDescent="0.2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Jaime\QUIFA-CAJÚA\Cajua\[CAJUA_CF_SEC_New_27-Feb-2024Rev3.xlsx]D-PDP'!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Jaime\QUIFA-CAJÚA\Cajua\[CAJUA_CF_SEC_New_27-Feb-2024Rev3.xlsx]D-PDP'!$BB$33</v>
      </c>
      <c r="J23" s="37" t="s">
        <v>2021</v>
      </c>
    </row>
    <row r="24" spans="1:10" x14ac:dyDescent="0.2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Jaime\QUIFA-CAJÚA\Cajua\[CAJUA_CF_SEC_New_27-Feb-2024Rev3.xlsx]D-PDP'!</v>
      </c>
      <c r="G24" s="32" t="s">
        <v>59</v>
      </c>
      <c r="H24" s="33">
        <f t="shared" si="9"/>
        <v>34</v>
      </c>
      <c r="I24" s="33" t="str">
        <f t="shared" si="10"/>
        <v>='C:\Users\jaime.benazar\Quorum Business Solutions\Ecopetrol Prometeo - Documents\Planning Space Implementation\3. Analysis &amp; Design\Design\FC22\DRR Jaime\QUIFA-CAJÚA\Cajua\[CAJUA_CF_SEC_New_27-Feb-2024Rev3.xlsx]D-PDP'!$BB$34</v>
      </c>
      <c r="J24" s="37" t="s">
        <v>2022</v>
      </c>
    </row>
    <row r="25" spans="1:10" x14ac:dyDescent="0.2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Jaime\QUIFA-CAJÚA\Cajua\[CAJUA_CF_SEC_New_27-Feb-2024Rev3.xlsx]D-PDP'!</v>
      </c>
      <c r="G25" s="32" t="s">
        <v>59</v>
      </c>
      <c r="H25" s="33">
        <f t="shared" si="9"/>
        <v>35</v>
      </c>
      <c r="I25" s="33" t="str">
        <f t="shared" si="10"/>
        <v>='C:\Users\jaime.benazar\Quorum Business Solutions\Ecopetrol Prometeo - Documents\Planning Space Implementation\3. Analysis &amp; Design\Design\FC22\DRR Jaime\QUIFA-CAJÚA\Cajua\[CAJUA_CF_SEC_New_27-Feb-2024Rev3.xlsx]D-PDP'!$BB$35</v>
      </c>
      <c r="J25" s="37" t="s">
        <v>2023</v>
      </c>
    </row>
    <row r="26" spans="1:10" x14ac:dyDescent="0.2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Jaime\QUIFA-CAJÚA\Cajua\[CAJUA_CF_SEC_New_27-Feb-2024Rev3.xlsx]D-PDP'!</v>
      </c>
      <c r="G26" s="32" t="s">
        <v>59</v>
      </c>
      <c r="H26" s="33">
        <f t="shared" si="9"/>
        <v>36</v>
      </c>
      <c r="I26" s="33" t="str">
        <f t="shared" si="10"/>
        <v>='C:\Users\jaime.benazar\Quorum Business Solutions\Ecopetrol Prometeo - Documents\Planning Space Implementation\3. Analysis &amp; Design\Design\FC22\DRR Jaime\QUIFA-CAJÚA\Cajua\[CAJUA_CF_SEC_New_27-Feb-2024Rev3.xlsx]D-PDP'!$BB$36</v>
      </c>
      <c r="J26" s="37" t="s">
        <v>2024</v>
      </c>
    </row>
    <row r="27" spans="1:10" x14ac:dyDescent="0.2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Jaime\QUIFA-CAJÚA\Cajua\[CAJUA_CF_SEC_New_27-Feb-2024Rev3.xlsx]D-PDP'!</v>
      </c>
      <c r="G27" s="32" t="s">
        <v>59</v>
      </c>
      <c r="H27" s="33">
        <f t="shared" si="9"/>
        <v>37</v>
      </c>
      <c r="I27" s="33" t="str">
        <f t="shared" si="10"/>
        <v>='C:\Users\jaime.benazar\Quorum Business Solutions\Ecopetrol Prometeo - Documents\Planning Space Implementation\3. Analysis &amp; Design\Design\FC22\DRR Jaime\QUIFA-CAJÚA\Cajua\[CAJUA_CF_SEC_New_27-Feb-2024Rev3.xlsx]D-PDP'!$BB$37</v>
      </c>
      <c r="J27" s="37" t="s">
        <v>2025</v>
      </c>
    </row>
    <row r="28" spans="1:10" x14ac:dyDescent="0.2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Jaime\QUIFA-CAJÚA\Cajua\[CAJUA_CF_SEC_New_27-Feb-2024Rev3.xlsx]D-PDP'!</v>
      </c>
      <c r="G28" s="32" t="s">
        <v>59</v>
      </c>
      <c r="H28" s="33">
        <f t="shared" si="9"/>
        <v>38</v>
      </c>
      <c r="I28" s="33" t="str">
        <f t="shared" si="10"/>
        <v>='C:\Users\jaime.benazar\Quorum Business Solutions\Ecopetrol Prometeo - Documents\Planning Space Implementation\3. Analysis &amp; Design\Design\FC22\DRR Jaime\QUIFA-CAJÚA\Cajua\[CAJUA_CF_SEC_New_27-Feb-2024Rev3.xlsx]D-PDP'!$BB$38</v>
      </c>
      <c r="J28" s="37" t="s">
        <v>2026</v>
      </c>
    </row>
    <row r="29" spans="1:10" x14ac:dyDescent="0.2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Jaime\QUIFA-CAJÚA\Cajua\[CAJUA_CF_SEC_New_27-Feb-2024Rev3.xlsx]D-PDP'!</v>
      </c>
      <c r="G29" s="32" t="s">
        <v>59</v>
      </c>
      <c r="H29" s="33">
        <f t="shared" si="9"/>
        <v>39</v>
      </c>
      <c r="I29" s="33" t="str">
        <f t="shared" si="10"/>
        <v>='C:\Users\jaime.benazar\Quorum Business Solutions\Ecopetrol Prometeo - Documents\Planning Space Implementation\3. Analysis &amp; Design\Design\FC22\DRR Jaime\QUIFA-CAJÚA\Cajua\[CAJUA_CF_SEC_New_27-Feb-2024Rev3.xlsx]D-PDP'!$BB$39</v>
      </c>
      <c r="J29" s="37" t="s">
        <v>2027</v>
      </c>
    </row>
    <row r="30" spans="1:10" x14ac:dyDescent="0.2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Jaime\QUIFA-CAJÚA\Cajua\[CAJUA_CF_SEC_New_27-Feb-2024Rev3.xlsx]D-PDP'!</v>
      </c>
      <c r="G30" s="32" t="s">
        <v>59</v>
      </c>
      <c r="H30" s="33">
        <f t="shared" si="9"/>
        <v>40</v>
      </c>
      <c r="I30" s="33" t="str">
        <f t="shared" si="10"/>
        <v>='C:\Users\jaime.benazar\Quorum Business Solutions\Ecopetrol Prometeo - Documents\Planning Space Implementation\3. Analysis &amp; Design\Design\FC22\DRR Jaime\QUIFA-CAJÚA\Cajua\[CAJUA_CF_SEC_New_27-Feb-2024Rev3.xlsx]D-PDP'!$BB$40</v>
      </c>
      <c r="J30" s="37" t="s">
        <v>2028</v>
      </c>
    </row>
    <row r="31" spans="1:10" x14ac:dyDescent="0.2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Jaime\QUIFA-CAJÚA\Cajua\[CAJUA_CF_SEC_New_27-Feb-2024Rev3.xlsx]D-PDP'!</v>
      </c>
      <c r="G31" s="32" t="s">
        <v>59</v>
      </c>
      <c r="H31" s="33">
        <f t="shared" si="9"/>
        <v>41</v>
      </c>
      <c r="I31" s="33" t="str">
        <f t="shared" si="10"/>
        <v>='C:\Users\jaime.benazar\Quorum Business Solutions\Ecopetrol Prometeo - Documents\Planning Space Implementation\3. Analysis &amp; Design\Design\FC22\DRR Jaime\QUIFA-CAJÚA\Cajua\[CAJUA_CF_SEC_New_27-Feb-2024Rev3.xlsx]D-PDP'!$BB$41</v>
      </c>
      <c r="J31" s="37" t="s">
        <v>2029</v>
      </c>
    </row>
    <row r="32" spans="1:10" x14ac:dyDescent="0.2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Jaime\QUIFA-CAJÚA\Cajua\[CAJUA_CF_SEC_New_27-Feb-2024Rev3.xlsx]D-PDP'!</v>
      </c>
      <c r="G32" s="32" t="s">
        <v>59</v>
      </c>
      <c r="H32" s="33">
        <f t="shared" si="9"/>
        <v>42</v>
      </c>
      <c r="I32" s="33" t="str">
        <f t="shared" si="10"/>
        <v>='C:\Users\jaime.benazar\Quorum Business Solutions\Ecopetrol Prometeo - Documents\Planning Space Implementation\3. Analysis &amp; Design\Design\FC22\DRR Jaime\QUIFA-CAJÚA\Cajua\[CAJUA_CF_SEC_New_27-Feb-2024Rev3.xlsx]D-PDP'!$BB$42</v>
      </c>
      <c r="J32" s="37" t="s">
        <v>2030</v>
      </c>
    </row>
    <row r="33" spans="1:25" x14ac:dyDescent="0.2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Jaime\QUIFA-CAJÚA\Cajua\[CAJUA_CF_SEC_New_27-Feb-2024Rev3.xlsx]D-PDP'!</v>
      </c>
      <c r="G33" s="32" t="s">
        <v>59</v>
      </c>
      <c r="H33" s="33">
        <f t="shared" si="9"/>
        <v>43</v>
      </c>
      <c r="I33" s="33" t="str">
        <f t="shared" si="10"/>
        <v>='C:\Users\jaime.benazar\Quorum Business Solutions\Ecopetrol Prometeo - Documents\Planning Space Implementation\3. Analysis &amp; Design\Design\FC22\DRR Jaime\QUIFA-CAJÚA\Cajua\[CAJUA_CF_SEC_New_27-Feb-2024Rev3.xlsx]D-PDP'!$BB$43</v>
      </c>
      <c r="J33" s="37" t="s">
        <v>2031</v>
      </c>
    </row>
    <row r="34" spans="1:25" x14ac:dyDescent="0.2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Jaime\QUIFA-CAJÚA\Cajua\[CAJUA_CF_SEC_New_27-Feb-2024Rev3.xlsx]D-PDP'!</v>
      </c>
      <c r="G34" s="32" t="s">
        <v>59</v>
      </c>
      <c r="H34" s="33">
        <f t="shared" si="9"/>
        <v>44</v>
      </c>
      <c r="I34" s="33" t="str">
        <f t="shared" si="10"/>
        <v>='C:\Users\jaime.benazar\Quorum Business Solutions\Ecopetrol Prometeo - Documents\Planning Space Implementation\3. Analysis &amp; Design\Design\FC22\DRR Jaime\QUIFA-CAJÚA\Cajua\[CAJUA_CF_SEC_New_27-Feb-2024Rev3.xlsx]D-PDP'!$BB$44</v>
      </c>
      <c r="J34" s="37" t="s">
        <v>2032</v>
      </c>
    </row>
    <row r="35" spans="1:25" x14ac:dyDescent="0.2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Jaime\QUIFA-CAJÚA\Cajua\[CAJUA_CF_SEC_New_27-Feb-2024Rev3.xlsx]D-PDP'!</v>
      </c>
      <c r="G35" s="32" t="s">
        <v>59</v>
      </c>
      <c r="H35" s="33">
        <f t="shared" si="9"/>
        <v>45</v>
      </c>
      <c r="I35" s="33" t="str">
        <f t="shared" si="10"/>
        <v>='C:\Users\jaime.benazar\Quorum Business Solutions\Ecopetrol Prometeo - Documents\Planning Space Implementation\3. Analysis &amp; Design\Design\FC22\DRR Jaime\QUIFA-CAJÚA\Cajua\[CAJUA_CF_SEC_New_27-Feb-2024Rev3.xlsx]D-PDP'!$BB$45</v>
      </c>
      <c r="J35" s="37" t="s">
        <v>2033</v>
      </c>
    </row>
    <row r="36" spans="1:25" x14ac:dyDescent="0.2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Jaime\QUIFA-CAJÚA\Cajua\[CAJUA_CF_SEC_New_27-Feb-2024Rev3.xlsx]D-PDP'!</v>
      </c>
      <c r="G36" s="32" t="s">
        <v>59</v>
      </c>
      <c r="H36" s="33">
        <f t="shared" si="9"/>
        <v>46</v>
      </c>
      <c r="I36" s="33" t="str">
        <f t="shared" si="10"/>
        <v>='C:\Users\jaime.benazar\Quorum Business Solutions\Ecopetrol Prometeo - Documents\Planning Space Implementation\3. Analysis &amp; Design\Design\FC22\DRR Jaime\QUIFA-CAJÚA\Cajua\[CAJUA_CF_SEC_New_27-Feb-2024Rev3.xlsx]D-PDP'!$BB$46</v>
      </c>
      <c r="J36" s="37" t="s">
        <v>2034</v>
      </c>
    </row>
    <row r="37" spans="1:25" x14ac:dyDescent="0.2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Jaime\QUIFA-CAJÚA\Cajua\[CAJUA_CF_SEC_New_27-Feb-2024Rev3.xlsx]D-PDP'!</v>
      </c>
      <c r="G37" s="32" t="s">
        <v>59</v>
      </c>
      <c r="H37" s="33">
        <f t="shared" si="9"/>
        <v>47</v>
      </c>
      <c r="I37" s="33" t="str">
        <f t="shared" si="10"/>
        <v>='C:\Users\jaime.benazar\Quorum Business Solutions\Ecopetrol Prometeo - Documents\Planning Space Implementation\3. Analysis &amp; Design\Design\FC22\DRR Jaime\QUIFA-CAJÚA\Cajua\[CAJUA_CF_SEC_New_27-Feb-2024Rev3.xlsx]D-PDP'!$BB$47</v>
      </c>
      <c r="J37" s="37" t="s">
        <v>2035</v>
      </c>
    </row>
    <row r="38" spans="1:25" x14ac:dyDescent="0.2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Jaime\QUIFA-CAJÚA\Cajua\[CAJUA_CF_SEC_New_27-Feb-2024Rev3.xlsx]D-PDP'!</v>
      </c>
      <c r="G38" s="32" t="s">
        <v>59</v>
      </c>
      <c r="H38" s="33">
        <f t="shared" si="9"/>
        <v>48</v>
      </c>
      <c r="I38" s="33" t="str">
        <f t="shared" si="10"/>
        <v>='C:\Users\jaime.benazar\Quorum Business Solutions\Ecopetrol Prometeo - Documents\Planning Space Implementation\3. Analysis &amp; Design\Design\FC22\DRR Jaime\QUIFA-CAJÚA\Cajua\[CAJUA_CF_SEC_New_27-Feb-2024Rev3.xlsx]D-PDP'!$BB$48</v>
      </c>
      <c r="J38" s="37" t="s">
        <v>2036</v>
      </c>
    </row>
    <row r="39" spans="1:25" x14ac:dyDescent="0.25">
      <c r="A39" s="32" t="s">
        <v>28</v>
      </c>
      <c r="B39" s="32"/>
      <c r="C39" s="33" t="s">
        <v>51</v>
      </c>
      <c r="D39" s="34"/>
      <c r="E39" s="35"/>
      <c r="F39" s="34"/>
      <c r="G39" s="32"/>
      <c r="H39" s="33"/>
      <c r="I39" s="33"/>
      <c r="J39" s="33"/>
    </row>
    <row r="40" spans="1:25" x14ac:dyDescent="0.2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Jaime\QUIFA-CAJÚA\Cajua\[CAJUA_CF_SEC_New_27-Feb-2024Rev3.xlsx]D-PNP'!</v>
      </c>
      <c r="G40" s="32" t="s">
        <v>59</v>
      </c>
      <c r="H40" s="33">
        <v>12</v>
      </c>
      <c r="I40" s="33" t="str">
        <f t="shared" si="2"/>
        <v>='C:\Users\jaime.benazar\Quorum Business Solutions\Ecopetrol Prometeo - Documents\Planning Space Implementation\3. Analysis &amp; Design\Design\FC22\DRR Jaime\QUIFA-CAJÚA\Cajua\[CAJUA_CF_SEC_New_27-Feb-2024Rev3.xlsx]D-PNP'!$BB$12</v>
      </c>
      <c r="J40" s="37" t="s">
        <v>2037</v>
      </c>
    </row>
    <row r="41" spans="1:25" x14ac:dyDescent="0.2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Jaime\QUIFA-CAJÚA\Cajua\[CAJUA_CF_SEC_New_27-Feb-2024Rev3.xlsx]D-PNP'!</v>
      </c>
      <c r="G41" s="32" t="s">
        <v>59</v>
      </c>
      <c r="H41" s="33">
        <f>IF(A41&lt;&gt;A40,12,H40+1)</f>
        <v>13</v>
      </c>
      <c r="I41" s="33" t="str">
        <f t="shared" si="2"/>
        <v>='C:\Users\jaime.benazar\Quorum Business Solutions\Ecopetrol Prometeo - Documents\Planning Space Implementation\3. Analysis &amp; Design\Design\FC22\DRR Jaime\QUIFA-CAJÚA\Cajua\[CAJUA_CF_SEC_New_27-Feb-2024Rev3.xlsx]D-PNP'!$BB$13</v>
      </c>
      <c r="J41" s="37" t="s">
        <v>2038</v>
      </c>
    </row>
    <row r="42" spans="1:25" x14ac:dyDescent="0.2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Jaime\QUIFA-CAJÚA\Cajua\[CAJUA_CF_SEC_New_27-Feb-2024Rev3.xlsx]D-PNP'!</v>
      </c>
      <c r="G42" s="32" t="s">
        <v>59</v>
      </c>
      <c r="H42" s="33">
        <f t="shared" ref="H42:H60" si="13">IF(A42&lt;&gt;A41,12,H41+1)</f>
        <v>14</v>
      </c>
      <c r="I42" s="33" t="str">
        <f t="shared" si="2"/>
        <v>='C:\Users\jaime.benazar\Quorum Business Solutions\Ecopetrol Prometeo - Documents\Planning Space Implementation\3. Analysis &amp; Design\Design\FC22\DRR Jaime\QUIFA-CAJÚA\Cajua\[CAJUA_CF_SEC_New_27-Feb-2024Rev3.xlsx]D-PNP'!$BB$14</v>
      </c>
      <c r="J42" s="37" t="s">
        <v>2039</v>
      </c>
    </row>
    <row r="43" spans="1:25" x14ac:dyDescent="0.2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Jaime\QUIFA-CAJÚA\Cajua\[CAJUA_CF_SEC_New_27-Feb-2024Rev3.xlsx]D-PNP'!</v>
      </c>
      <c r="G43" s="32" t="s">
        <v>59</v>
      </c>
      <c r="H43" s="33">
        <f t="shared" si="13"/>
        <v>15</v>
      </c>
      <c r="I43" s="33" t="str">
        <f t="shared" si="2"/>
        <v>='C:\Users\jaime.benazar\Quorum Business Solutions\Ecopetrol Prometeo - Documents\Planning Space Implementation\3. Analysis &amp; Design\Design\FC22\DRR Jaime\QUIFA-CAJÚA\Cajua\[CAJUA_CF_SEC_New_27-Feb-2024Rev3.xlsx]D-PNP'!$BB$15</v>
      </c>
      <c r="J43" s="37" t="s">
        <v>2040</v>
      </c>
    </row>
    <row r="44" spans="1:25" x14ac:dyDescent="0.2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Jaime\QUIFA-CAJÚA\Cajua\[CAJUA_CF_SEC_New_27-Feb-2024Rev3.xlsx]D-PNP'!</v>
      </c>
      <c r="G44" s="32" t="s">
        <v>59</v>
      </c>
      <c r="H44" s="33">
        <f t="shared" si="13"/>
        <v>16</v>
      </c>
      <c r="I44" s="33" t="str">
        <f t="shared" si="2"/>
        <v>='C:\Users\jaime.benazar\Quorum Business Solutions\Ecopetrol Prometeo - Documents\Planning Space Implementation\3. Analysis &amp; Design\Design\FC22\DRR Jaime\QUIFA-CAJÚA\Cajua\[CAJUA_CF_SEC_New_27-Feb-2024Rev3.xlsx]D-PNP'!$BB$16</v>
      </c>
      <c r="J44" s="37" t="s">
        <v>2041</v>
      </c>
    </row>
    <row r="45" spans="1:25" x14ac:dyDescent="0.2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Jaime\QUIFA-CAJÚA\Cajua\[CAJUA_CF_SEC_New_27-Feb-2024Rev3.xlsx]D-PNP'!</v>
      </c>
      <c r="G45" s="32" t="s">
        <v>59</v>
      </c>
      <c r="H45" s="33">
        <f t="shared" si="13"/>
        <v>17</v>
      </c>
      <c r="I45" s="33" t="str">
        <f t="shared" si="2"/>
        <v>='C:\Users\jaime.benazar\Quorum Business Solutions\Ecopetrol Prometeo - Documents\Planning Space Implementation\3. Analysis &amp; Design\Design\FC22\DRR Jaime\QUIFA-CAJÚA\Cajua\[CAJUA_CF_SEC_New_27-Feb-2024Rev3.xlsx]D-PNP'!$BB$17</v>
      </c>
      <c r="J45" s="37" t="s">
        <v>2042</v>
      </c>
    </row>
    <row r="46" spans="1:25" x14ac:dyDescent="0.2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Jaime\QUIFA-CAJÚA\Cajua\[CAJUA_CF_SEC_New_27-Feb-2024Rev3.xlsx]D-PNP'!</v>
      </c>
      <c r="G46" s="32" t="s">
        <v>59</v>
      </c>
      <c r="H46" s="33">
        <f t="shared" si="13"/>
        <v>18</v>
      </c>
      <c r="I46" s="33" t="str">
        <f t="shared" si="2"/>
        <v>='C:\Users\jaime.benazar\Quorum Business Solutions\Ecopetrol Prometeo - Documents\Planning Space Implementation\3. Analysis &amp; Design\Design\FC22\DRR Jaime\QUIFA-CAJÚA\Cajua\[CAJUA_CF_SEC_New_27-Feb-2024Rev3.xlsx]D-PNP'!$BB$18</v>
      </c>
      <c r="J46" s="37" t="s">
        <v>2043</v>
      </c>
    </row>
    <row r="47" spans="1:25" x14ac:dyDescent="0.2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Jaime\QUIFA-CAJÚA\Cajua\[CAJUA_CF_SEC_New_27-Feb-2024Rev3.xlsx]D-PNP'!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Jaime\QUIFA-CAJÚA\Cajua\[CAJUA_CF_SEC_New_27-Feb-2024Rev3.xlsx]D-PNP'!$BB$19</v>
      </c>
      <c r="J47" s="37" t="s">
        <v>2044</v>
      </c>
      <c r="K47" s="33"/>
      <c r="L47" s="33"/>
      <c r="M47" s="33"/>
      <c r="N47" s="33"/>
      <c r="O47" s="33"/>
      <c r="P47" s="33"/>
      <c r="Q47" s="33"/>
      <c r="R47" s="33"/>
      <c r="S47" s="33"/>
      <c r="T47" s="33"/>
      <c r="U47" s="33"/>
      <c r="V47" s="33"/>
      <c r="W47" s="33"/>
      <c r="X47" s="33"/>
      <c r="Y47" s="33"/>
    </row>
    <row r="48" spans="1:25" x14ac:dyDescent="0.2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Jaime\QUIFA-CAJÚA\Cajua\[CAJUA_CF_SEC_New_27-Feb-2024Rev3.xlsx]D-PNP'!</v>
      </c>
      <c r="G48" s="32" t="s">
        <v>59</v>
      </c>
      <c r="H48" s="33">
        <f t="shared" si="13"/>
        <v>20</v>
      </c>
      <c r="I48" s="33" t="str">
        <f t="shared" si="2"/>
        <v>='C:\Users\jaime.benazar\Quorum Business Solutions\Ecopetrol Prometeo - Documents\Planning Space Implementation\3. Analysis &amp; Design\Design\FC22\DRR Jaime\QUIFA-CAJÚA\Cajua\[CAJUA_CF_SEC_New_27-Feb-2024Rev3.xlsx]D-PNP'!$BB$20</v>
      </c>
      <c r="J48" s="37" t="s">
        <v>2045</v>
      </c>
    </row>
    <row r="49" spans="1:10" x14ac:dyDescent="0.2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Jaime\QUIFA-CAJÚA\Cajua\[CAJUA_CF_SEC_New_27-Feb-2024Rev3.xlsx]D-PNP'!</v>
      </c>
      <c r="G49" s="32" t="s">
        <v>59</v>
      </c>
      <c r="H49" s="33">
        <f t="shared" si="13"/>
        <v>21</v>
      </c>
      <c r="I49" s="33" t="str">
        <f t="shared" si="2"/>
        <v>='C:\Users\jaime.benazar\Quorum Business Solutions\Ecopetrol Prometeo - Documents\Planning Space Implementation\3. Analysis &amp; Design\Design\FC22\DRR Jaime\QUIFA-CAJÚA\Cajua\[CAJUA_CF_SEC_New_27-Feb-2024Rev3.xlsx]D-PNP'!$BB$21</v>
      </c>
      <c r="J49" s="37" t="s">
        <v>2046</v>
      </c>
    </row>
    <row r="50" spans="1:10" x14ac:dyDescent="0.2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Jaime\QUIFA-CAJÚA\Cajua\[CAJUA_CF_SEC_New_27-Feb-2024Rev3.xlsx]D-PNP'!</v>
      </c>
      <c r="G50" s="32" t="s">
        <v>59</v>
      </c>
      <c r="H50" s="33">
        <f t="shared" si="13"/>
        <v>22</v>
      </c>
      <c r="I50" s="33" t="str">
        <f t="shared" si="2"/>
        <v>='C:\Users\jaime.benazar\Quorum Business Solutions\Ecopetrol Prometeo - Documents\Planning Space Implementation\3. Analysis &amp; Design\Design\FC22\DRR Jaime\QUIFA-CAJÚA\Cajua\[CAJUA_CF_SEC_New_27-Feb-2024Rev3.xlsx]D-PNP'!$BB$22</v>
      </c>
      <c r="J50" s="37" t="s">
        <v>2047</v>
      </c>
    </row>
    <row r="51" spans="1:10" x14ac:dyDescent="0.2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Jaime\QUIFA-CAJÚA\Cajua\[CAJUA_CF_SEC_New_27-Feb-2024Rev3.xlsx]D-PNP'!</v>
      </c>
      <c r="G51" s="32" t="s">
        <v>59</v>
      </c>
      <c r="H51" s="33">
        <f t="shared" si="13"/>
        <v>23</v>
      </c>
      <c r="I51" s="33" t="str">
        <f t="shared" si="2"/>
        <v>='C:\Users\jaime.benazar\Quorum Business Solutions\Ecopetrol Prometeo - Documents\Planning Space Implementation\3. Analysis &amp; Design\Design\FC22\DRR Jaime\QUIFA-CAJÚA\Cajua\[CAJUA_CF_SEC_New_27-Feb-2024Rev3.xlsx]D-PNP'!$BB$23</v>
      </c>
      <c r="J51" s="37" t="s">
        <v>2048</v>
      </c>
    </row>
    <row r="52" spans="1:10" x14ac:dyDescent="0.2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Jaime\QUIFA-CAJÚA\Cajua\[CAJUA_CF_SEC_New_27-Feb-2024Rev3.xlsx]D-PNP'!</v>
      </c>
      <c r="G52" s="32" t="s">
        <v>59</v>
      </c>
      <c r="H52" s="33">
        <f t="shared" si="13"/>
        <v>24</v>
      </c>
      <c r="I52" s="33" t="str">
        <f t="shared" si="2"/>
        <v>='C:\Users\jaime.benazar\Quorum Business Solutions\Ecopetrol Prometeo - Documents\Planning Space Implementation\3. Analysis &amp; Design\Design\FC22\DRR Jaime\QUIFA-CAJÚA\Cajua\[CAJUA_CF_SEC_New_27-Feb-2024Rev3.xlsx]D-PNP'!$BB$24</v>
      </c>
      <c r="J52" s="37" t="s">
        <v>2049</v>
      </c>
    </row>
    <row r="53" spans="1:10" x14ac:dyDescent="0.2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Jaime\QUIFA-CAJÚA\Cajua\[CAJUA_CF_SEC_New_27-Feb-2024Rev3.xlsx]D-PNP'!</v>
      </c>
      <c r="G53" s="32" t="s">
        <v>59</v>
      </c>
      <c r="H53" s="33">
        <f t="shared" si="13"/>
        <v>25</v>
      </c>
      <c r="I53" s="33" t="str">
        <f t="shared" si="2"/>
        <v>='C:\Users\jaime.benazar\Quorum Business Solutions\Ecopetrol Prometeo - Documents\Planning Space Implementation\3. Analysis &amp; Design\Design\FC22\DRR Jaime\QUIFA-CAJÚA\Cajua\[CAJUA_CF_SEC_New_27-Feb-2024Rev3.xlsx]D-PNP'!$BB$25</v>
      </c>
      <c r="J53" s="37" t="s">
        <v>2050</v>
      </c>
    </row>
    <row r="54" spans="1:10" x14ac:dyDescent="0.2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Jaime\QUIFA-CAJÚA\Cajua\[CAJUA_CF_SEC_New_27-Feb-2024Rev3.xlsx]D-PNP'!</v>
      </c>
      <c r="G54" s="32" t="s">
        <v>59</v>
      </c>
      <c r="H54" s="33">
        <f t="shared" si="13"/>
        <v>26</v>
      </c>
      <c r="I54" s="33" t="str">
        <f t="shared" si="2"/>
        <v>='C:\Users\jaime.benazar\Quorum Business Solutions\Ecopetrol Prometeo - Documents\Planning Space Implementation\3. Analysis &amp; Design\Design\FC22\DRR Jaime\QUIFA-CAJÚA\Cajua\[CAJUA_CF_SEC_New_27-Feb-2024Rev3.xlsx]D-PNP'!$BB$26</v>
      </c>
      <c r="J54" s="37" t="s">
        <v>2051</v>
      </c>
    </row>
    <row r="55" spans="1:10" x14ac:dyDescent="0.2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Jaime\QUIFA-CAJÚA\Cajua\[CAJUA_CF_SEC_New_27-Feb-2024Rev3.xlsx]D-PNP'!</v>
      </c>
      <c r="G55" s="32" t="s">
        <v>59</v>
      </c>
      <c r="H55" s="33">
        <f t="shared" si="13"/>
        <v>27</v>
      </c>
      <c r="I55" s="33" t="str">
        <f t="shared" si="2"/>
        <v>='C:\Users\jaime.benazar\Quorum Business Solutions\Ecopetrol Prometeo - Documents\Planning Space Implementation\3. Analysis &amp; Design\Design\FC22\DRR Jaime\QUIFA-CAJÚA\Cajua\[CAJUA_CF_SEC_New_27-Feb-2024Rev3.xlsx]D-PNP'!$BB$27</v>
      </c>
      <c r="J55" s="37" t="s">
        <v>2052</v>
      </c>
    </row>
    <row r="56" spans="1:10" x14ac:dyDescent="0.2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Jaime\QUIFA-CAJÚA\Cajua\[CAJUA_CF_SEC_New_27-Feb-2024Rev3.xlsx]D-PNP'!</v>
      </c>
      <c r="G56" s="32" t="s">
        <v>59</v>
      </c>
      <c r="H56" s="33">
        <f t="shared" si="13"/>
        <v>28</v>
      </c>
      <c r="I56" s="33" t="str">
        <f t="shared" si="2"/>
        <v>='C:\Users\jaime.benazar\Quorum Business Solutions\Ecopetrol Prometeo - Documents\Planning Space Implementation\3. Analysis &amp; Design\Design\FC22\DRR Jaime\QUIFA-CAJÚA\Cajua\[CAJUA_CF_SEC_New_27-Feb-2024Rev3.xlsx]D-PNP'!$BB$28</v>
      </c>
      <c r="J56" s="37" t="s">
        <v>2053</v>
      </c>
    </row>
    <row r="57" spans="1:10" x14ac:dyDescent="0.2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Jaime\QUIFA-CAJÚA\Cajua\[CAJUA_CF_SEC_New_27-Feb-2024Rev3.xlsx]D-PNP'!</v>
      </c>
      <c r="G57" s="32" t="s">
        <v>59</v>
      </c>
      <c r="H57" s="33">
        <f t="shared" si="13"/>
        <v>29</v>
      </c>
      <c r="I57" s="33" t="str">
        <f t="shared" si="2"/>
        <v>='C:\Users\jaime.benazar\Quorum Business Solutions\Ecopetrol Prometeo - Documents\Planning Space Implementation\3. Analysis &amp; Design\Design\FC22\DRR Jaime\QUIFA-CAJÚA\Cajua\[CAJUA_CF_SEC_New_27-Feb-2024Rev3.xlsx]D-PNP'!$BB$29</v>
      </c>
      <c r="J57" s="37" t="s">
        <v>2054</v>
      </c>
    </row>
    <row r="58" spans="1:10" x14ac:dyDescent="0.2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Jaime\QUIFA-CAJÚA\Cajua\[CAJUA_CF_SEC_New_27-Feb-2024Rev3.xlsx]D-PNP'!</v>
      </c>
      <c r="G58" s="32" t="s">
        <v>59</v>
      </c>
      <c r="H58" s="33">
        <f t="shared" si="13"/>
        <v>30</v>
      </c>
      <c r="I58" s="33" t="str">
        <f t="shared" si="2"/>
        <v>='C:\Users\jaime.benazar\Quorum Business Solutions\Ecopetrol Prometeo - Documents\Planning Space Implementation\3. Analysis &amp; Design\Design\FC22\DRR Jaime\QUIFA-CAJÚA\Cajua\[CAJUA_CF_SEC_New_27-Feb-2024Rev3.xlsx]D-PNP'!$BB$30</v>
      </c>
      <c r="J58" s="37" t="s">
        <v>2055</v>
      </c>
    </row>
    <row r="59" spans="1:10" x14ac:dyDescent="0.2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Jaime\QUIFA-CAJÚA\Cajua\[CAJUA_CF_SEC_New_27-Feb-2024Rev3.xlsx]D-PNP'!</v>
      </c>
      <c r="G59" s="32" t="s">
        <v>59</v>
      </c>
      <c r="H59" s="33">
        <f t="shared" si="13"/>
        <v>31</v>
      </c>
      <c r="I59" s="33" t="str">
        <f t="shared" si="2"/>
        <v>='C:\Users\jaime.benazar\Quorum Business Solutions\Ecopetrol Prometeo - Documents\Planning Space Implementation\3. Analysis &amp; Design\Design\FC22\DRR Jaime\QUIFA-CAJÚA\Cajua\[CAJUA_CF_SEC_New_27-Feb-2024Rev3.xlsx]D-PNP'!$BB$31</v>
      </c>
      <c r="J59" s="37" t="s">
        <v>2056</v>
      </c>
    </row>
    <row r="60" spans="1:10" x14ac:dyDescent="0.2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Jaime\QUIFA-CAJÚA\Cajua\[CAJUA_CF_SEC_New_27-Feb-2024Rev3.xlsx]D-PNP'!</v>
      </c>
      <c r="G60" s="32" t="s">
        <v>59</v>
      </c>
      <c r="H60" s="33">
        <f t="shared" si="13"/>
        <v>32</v>
      </c>
      <c r="I60" s="33" t="str">
        <f t="shared" si="2"/>
        <v>='C:\Users\jaime.benazar\Quorum Business Solutions\Ecopetrol Prometeo - Documents\Planning Space Implementation\3. Analysis &amp; Design\Design\FC22\DRR Jaime\QUIFA-CAJÚA\Cajua\[CAJUA_CF_SEC_New_27-Feb-2024Rev3.xlsx]D-PNP'!$BB$32</v>
      </c>
      <c r="J60" s="37" t="s">
        <v>2057</v>
      </c>
    </row>
    <row r="61" spans="1:10" x14ac:dyDescent="0.2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Jaime\QUIFA-CAJÚA\Cajua\[CAJUA_CF_SEC_New_27-Feb-2024Rev3.xlsx]D-PNP'!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Jaime\QUIFA-CAJÚA\Cajua\[CAJUA_CF_SEC_New_27-Feb-2024Rev3.xlsx]D-PNP'!$BB$33</v>
      </c>
      <c r="J61" s="37" t="s">
        <v>2058</v>
      </c>
    </row>
    <row r="62" spans="1:10" x14ac:dyDescent="0.2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Jaime\QUIFA-CAJÚA\Cajua\[CAJUA_CF_SEC_New_27-Feb-2024Rev3.xlsx]D-PNP'!</v>
      </c>
      <c r="G62" s="32" t="s">
        <v>59</v>
      </c>
      <c r="H62" s="33">
        <f t="shared" si="22"/>
        <v>34</v>
      </c>
      <c r="I62" s="33" t="str">
        <f t="shared" si="23"/>
        <v>='C:\Users\jaime.benazar\Quorum Business Solutions\Ecopetrol Prometeo - Documents\Planning Space Implementation\3. Analysis &amp; Design\Design\FC22\DRR Jaime\QUIFA-CAJÚA\Cajua\[CAJUA_CF_SEC_New_27-Feb-2024Rev3.xlsx]D-PNP'!$BB$34</v>
      </c>
      <c r="J62" s="37" t="s">
        <v>2059</v>
      </c>
    </row>
    <row r="63" spans="1:10" x14ac:dyDescent="0.2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Jaime\QUIFA-CAJÚA\Cajua\[CAJUA_CF_SEC_New_27-Feb-2024Rev3.xlsx]D-PNP'!</v>
      </c>
      <c r="G63" s="32" t="s">
        <v>59</v>
      </c>
      <c r="H63" s="33">
        <f t="shared" si="22"/>
        <v>35</v>
      </c>
      <c r="I63" s="33" t="str">
        <f t="shared" si="23"/>
        <v>='C:\Users\jaime.benazar\Quorum Business Solutions\Ecopetrol Prometeo - Documents\Planning Space Implementation\3. Analysis &amp; Design\Design\FC22\DRR Jaime\QUIFA-CAJÚA\Cajua\[CAJUA_CF_SEC_New_27-Feb-2024Rev3.xlsx]D-PNP'!$BB$35</v>
      </c>
      <c r="J63" s="37" t="s">
        <v>2060</v>
      </c>
    </row>
    <row r="64" spans="1:10" x14ac:dyDescent="0.2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Jaime\QUIFA-CAJÚA\Cajua\[CAJUA_CF_SEC_New_27-Feb-2024Rev3.xlsx]D-PNP'!</v>
      </c>
      <c r="G64" s="32" t="s">
        <v>59</v>
      </c>
      <c r="H64" s="33">
        <f t="shared" si="22"/>
        <v>36</v>
      </c>
      <c r="I64" s="33" t="str">
        <f t="shared" si="23"/>
        <v>='C:\Users\jaime.benazar\Quorum Business Solutions\Ecopetrol Prometeo - Documents\Planning Space Implementation\3. Analysis &amp; Design\Design\FC22\DRR Jaime\QUIFA-CAJÚA\Cajua\[CAJUA_CF_SEC_New_27-Feb-2024Rev3.xlsx]D-PNP'!$BB$36</v>
      </c>
      <c r="J64" s="37" t="s">
        <v>2061</v>
      </c>
    </row>
    <row r="65" spans="1:10" x14ac:dyDescent="0.2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Jaime\QUIFA-CAJÚA\Cajua\[CAJUA_CF_SEC_New_27-Feb-2024Rev3.xlsx]D-PNP'!</v>
      </c>
      <c r="G65" s="32" t="s">
        <v>59</v>
      </c>
      <c r="H65" s="33">
        <f t="shared" si="22"/>
        <v>37</v>
      </c>
      <c r="I65" s="33" t="str">
        <f t="shared" si="23"/>
        <v>='C:\Users\jaime.benazar\Quorum Business Solutions\Ecopetrol Prometeo - Documents\Planning Space Implementation\3. Analysis &amp; Design\Design\FC22\DRR Jaime\QUIFA-CAJÚA\Cajua\[CAJUA_CF_SEC_New_27-Feb-2024Rev3.xlsx]D-PNP'!$BB$37</v>
      </c>
      <c r="J65" s="37" t="s">
        <v>2062</v>
      </c>
    </row>
    <row r="66" spans="1:10" x14ac:dyDescent="0.2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Jaime\QUIFA-CAJÚA\Cajua\[CAJUA_CF_SEC_New_27-Feb-2024Rev3.xlsx]D-PNP'!</v>
      </c>
      <c r="G66" s="32" t="s">
        <v>59</v>
      </c>
      <c r="H66" s="33">
        <f t="shared" si="22"/>
        <v>38</v>
      </c>
      <c r="I66" s="33" t="str">
        <f t="shared" si="23"/>
        <v>='C:\Users\jaime.benazar\Quorum Business Solutions\Ecopetrol Prometeo - Documents\Planning Space Implementation\3. Analysis &amp; Design\Design\FC22\DRR Jaime\QUIFA-CAJÚA\Cajua\[CAJUA_CF_SEC_New_27-Feb-2024Rev3.xlsx]D-PNP'!$BB$38</v>
      </c>
      <c r="J66" s="37" t="s">
        <v>2063</v>
      </c>
    </row>
    <row r="67" spans="1:10" x14ac:dyDescent="0.2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Jaime\QUIFA-CAJÚA\Cajua\[CAJUA_CF_SEC_New_27-Feb-2024Rev3.xlsx]D-PNP'!</v>
      </c>
      <c r="G67" s="32" t="s">
        <v>59</v>
      </c>
      <c r="H67" s="33">
        <f t="shared" si="22"/>
        <v>39</v>
      </c>
      <c r="I67" s="33" t="str">
        <f t="shared" si="23"/>
        <v>='C:\Users\jaime.benazar\Quorum Business Solutions\Ecopetrol Prometeo - Documents\Planning Space Implementation\3. Analysis &amp; Design\Design\FC22\DRR Jaime\QUIFA-CAJÚA\Cajua\[CAJUA_CF_SEC_New_27-Feb-2024Rev3.xlsx]D-PNP'!$BB$39</v>
      </c>
      <c r="J67" s="37" t="s">
        <v>2064</v>
      </c>
    </row>
    <row r="68" spans="1:10" x14ac:dyDescent="0.2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Jaime\QUIFA-CAJÚA\Cajua\[CAJUA_CF_SEC_New_27-Feb-2024Rev3.xlsx]D-PNP'!</v>
      </c>
      <c r="G68" s="32" t="s">
        <v>59</v>
      </c>
      <c r="H68" s="33">
        <f t="shared" si="22"/>
        <v>40</v>
      </c>
      <c r="I68" s="33" t="str">
        <f t="shared" si="23"/>
        <v>='C:\Users\jaime.benazar\Quorum Business Solutions\Ecopetrol Prometeo - Documents\Planning Space Implementation\3. Analysis &amp; Design\Design\FC22\DRR Jaime\QUIFA-CAJÚA\Cajua\[CAJUA_CF_SEC_New_27-Feb-2024Rev3.xlsx]D-PNP'!$BB$40</v>
      </c>
      <c r="J68" s="37" t="s">
        <v>2065</v>
      </c>
    </row>
    <row r="69" spans="1:10" x14ac:dyDescent="0.2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Jaime\QUIFA-CAJÚA\Cajua\[CAJUA_CF_SEC_New_27-Feb-2024Rev3.xlsx]D-PNP'!</v>
      </c>
      <c r="G69" s="32" t="s">
        <v>59</v>
      </c>
      <c r="H69" s="33">
        <f t="shared" si="22"/>
        <v>41</v>
      </c>
      <c r="I69" s="33" t="str">
        <f t="shared" si="23"/>
        <v>='C:\Users\jaime.benazar\Quorum Business Solutions\Ecopetrol Prometeo - Documents\Planning Space Implementation\3. Analysis &amp; Design\Design\FC22\DRR Jaime\QUIFA-CAJÚA\Cajua\[CAJUA_CF_SEC_New_27-Feb-2024Rev3.xlsx]D-PNP'!$BB$41</v>
      </c>
      <c r="J69" s="37" t="s">
        <v>2066</v>
      </c>
    </row>
    <row r="70" spans="1:10" x14ac:dyDescent="0.2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Jaime\QUIFA-CAJÚA\Cajua\[CAJUA_CF_SEC_New_27-Feb-2024Rev3.xlsx]D-PNP'!</v>
      </c>
      <c r="G70" s="32" t="s">
        <v>59</v>
      </c>
      <c r="H70" s="33">
        <f t="shared" si="22"/>
        <v>42</v>
      </c>
      <c r="I70" s="33" t="str">
        <f t="shared" si="23"/>
        <v>='C:\Users\jaime.benazar\Quorum Business Solutions\Ecopetrol Prometeo - Documents\Planning Space Implementation\3. Analysis &amp; Design\Design\FC22\DRR Jaime\QUIFA-CAJÚA\Cajua\[CAJUA_CF_SEC_New_27-Feb-2024Rev3.xlsx]D-PNP'!$BB$42</v>
      </c>
      <c r="J70" s="37" t="s">
        <v>2067</v>
      </c>
    </row>
    <row r="71" spans="1:10" x14ac:dyDescent="0.2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Jaime\QUIFA-CAJÚA\Cajua\[CAJUA_CF_SEC_New_27-Feb-2024Rev3.xlsx]D-PNP'!</v>
      </c>
      <c r="G71" s="32" t="s">
        <v>59</v>
      </c>
      <c r="H71" s="33">
        <f t="shared" si="22"/>
        <v>43</v>
      </c>
      <c r="I71" s="33" t="str">
        <f t="shared" si="23"/>
        <v>='C:\Users\jaime.benazar\Quorum Business Solutions\Ecopetrol Prometeo - Documents\Planning Space Implementation\3. Analysis &amp; Design\Design\FC22\DRR Jaime\QUIFA-CAJÚA\Cajua\[CAJUA_CF_SEC_New_27-Feb-2024Rev3.xlsx]D-PNP'!$BB$43</v>
      </c>
      <c r="J71" s="37" t="s">
        <v>2068</v>
      </c>
    </row>
    <row r="72" spans="1:10" x14ac:dyDescent="0.2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Jaime\QUIFA-CAJÚA\Cajua\[CAJUA_CF_SEC_New_27-Feb-2024Rev3.xlsx]D-PNP'!</v>
      </c>
      <c r="G72" s="32" t="s">
        <v>59</v>
      </c>
      <c r="H72" s="33">
        <f t="shared" si="22"/>
        <v>44</v>
      </c>
      <c r="I72" s="33" t="str">
        <f t="shared" si="23"/>
        <v>='C:\Users\jaime.benazar\Quorum Business Solutions\Ecopetrol Prometeo - Documents\Planning Space Implementation\3. Analysis &amp; Design\Design\FC22\DRR Jaime\QUIFA-CAJÚA\Cajua\[CAJUA_CF_SEC_New_27-Feb-2024Rev3.xlsx]D-PNP'!$BB$44</v>
      </c>
      <c r="J72" s="37" t="s">
        <v>2069</v>
      </c>
    </row>
    <row r="73" spans="1:10" x14ac:dyDescent="0.2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Jaime\QUIFA-CAJÚA\Cajua\[CAJUA_CF_SEC_New_27-Feb-2024Rev3.xlsx]D-PNP'!</v>
      </c>
      <c r="G73" s="32" t="s">
        <v>59</v>
      </c>
      <c r="H73" s="33">
        <f t="shared" si="22"/>
        <v>45</v>
      </c>
      <c r="I73" s="33" t="str">
        <f t="shared" si="23"/>
        <v>='C:\Users\jaime.benazar\Quorum Business Solutions\Ecopetrol Prometeo - Documents\Planning Space Implementation\3. Analysis &amp; Design\Design\FC22\DRR Jaime\QUIFA-CAJÚA\Cajua\[CAJUA_CF_SEC_New_27-Feb-2024Rev3.xlsx]D-PNP'!$BB$45</v>
      </c>
      <c r="J73" s="37" t="s">
        <v>2070</v>
      </c>
    </row>
    <row r="74" spans="1:10" x14ac:dyDescent="0.2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Jaime\QUIFA-CAJÚA\Cajua\[CAJUA_CF_SEC_New_27-Feb-2024Rev3.xlsx]D-PNP'!</v>
      </c>
      <c r="G74" s="32" t="s">
        <v>59</v>
      </c>
      <c r="H74" s="33">
        <f t="shared" si="22"/>
        <v>46</v>
      </c>
      <c r="I74" s="33" t="str">
        <f t="shared" si="23"/>
        <v>='C:\Users\jaime.benazar\Quorum Business Solutions\Ecopetrol Prometeo - Documents\Planning Space Implementation\3. Analysis &amp; Design\Design\FC22\DRR Jaime\QUIFA-CAJÚA\Cajua\[CAJUA_CF_SEC_New_27-Feb-2024Rev3.xlsx]D-PNP'!$BB$46</v>
      </c>
      <c r="J74" s="37" t="s">
        <v>2071</v>
      </c>
    </row>
    <row r="75" spans="1:10" x14ac:dyDescent="0.2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Jaime\QUIFA-CAJÚA\Cajua\[CAJUA_CF_SEC_New_27-Feb-2024Rev3.xlsx]D-PNP'!</v>
      </c>
      <c r="G75" s="32" t="s">
        <v>59</v>
      </c>
      <c r="H75" s="33">
        <f t="shared" si="22"/>
        <v>47</v>
      </c>
      <c r="I75" s="33" t="str">
        <f t="shared" si="23"/>
        <v>='C:\Users\jaime.benazar\Quorum Business Solutions\Ecopetrol Prometeo - Documents\Planning Space Implementation\3. Analysis &amp; Design\Design\FC22\DRR Jaime\QUIFA-CAJÚA\Cajua\[CAJUA_CF_SEC_New_27-Feb-2024Rev3.xlsx]D-PNP'!$BB$47</v>
      </c>
      <c r="J75" s="37" t="s">
        <v>2072</v>
      </c>
    </row>
    <row r="76" spans="1:10" x14ac:dyDescent="0.2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Jaime\QUIFA-CAJÚA\Cajua\[CAJUA_CF_SEC_New_27-Feb-2024Rev3.xlsx]D-PNP'!</v>
      </c>
      <c r="G76" s="32" t="s">
        <v>59</v>
      </c>
      <c r="H76" s="33">
        <f t="shared" si="22"/>
        <v>48</v>
      </c>
      <c r="I76" s="33" t="str">
        <f t="shared" si="23"/>
        <v>='C:\Users\jaime.benazar\Quorum Business Solutions\Ecopetrol Prometeo - Documents\Planning Space Implementation\3. Analysis &amp; Design\Design\FC22\DRR Jaime\QUIFA-CAJÚA\Cajua\[CAJUA_CF_SEC_New_27-Feb-2024Rev3.xlsx]D-PNP'!$BB$48</v>
      </c>
      <c r="J76" s="37" t="s">
        <v>2073</v>
      </c>
    </row>
    <row r="77" spans="1:10" x14ac:dyDescent="0.25">
      <c r="A77" s="32" t="s">
        <v>28</v>
      </c>
      <c r="B77" s="32"/>
      <c r="C77" s="33" t="s">
        <v>51</v>
      </c>
      <c r="D77" s="34"/>
      <c r="E77" s="35"/>
      <c r="F77" s="34"/>
      <c r="G77" s="32"/>
      <c r="H77" s="33"/>
      <c r="I77" s="33"/>
      <c r="J77" s="33"/>
    </row>
    <row r="78" spans="1:10" x14ac:dyDescent="0.2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Jaime\QUIFA-CAJÚA\Cajua\[CAJUA_CF_SEC_New_27-Feb-2024Rev3.xlsx]D-PND'!</v>
      </c>
      <c r="G78" s="32" t="s">
        <v>59</v>
      </c>
      <c r="H78" s="33">
        <v>12</v>
      </c>
      <c r="I78" s="33" t="str">
        <f t="shared" si="2"/>
        <v>='C:\Users\jaime.benazar\Quorum Business Solutions\Ecopetrol Prometeo - Documents\Planning Space Implementation\3. Analysis &amp; Design\Design\FC22\DRR Jaime\QUIFA-CAJÚA\Cajua\[CAJUA_CF_SEC_New_27-Feb-2024Rev3.xlsx]D-PND'!$BB$12</v>
      </c>
      <c r="J78" s="37" t="s">
        <v>2074</v>
      </c>
    </row>
    <row r="79" spans="1:10" x14ac:dyDescent="0.2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Jaime\QUIFA-CAJÚA\Cajua\[CAJUA_CF_SEC_New_27-Feb-2024Rev3.xlsx]D-PND'!</v>
      </c>
      <c r="G79" s="32" t="s">
        <v>59</v>
      </c>
      <c r="H79" s="33">
        <f>IF(A79&lt;&gt;A78,12,H78+1)</f>
        <v>13</v>
      </c>
      <c r="I79" s="33" t="str">
        <f t="shared" si="2"/>
        <v>='C:\Users\jaime.benazar\Quorum Business Solutions\Ecopetrol Prometeo - Documents\Planning Space Implementation\3. Analysis &amp; Design\Design\FC22\DRR Jaime\QUIFA-CAJÚA\Cajua\[CAJUA_CF_SEC_New_27-Feb-2024Rev3.xlsx]D-PND'!$BB$13</v>
      </c>
      <c r="J79" s="37" t="s">
        <v>2075</v>
      </c>
    </row>
    <row r="80" spans="1:10" x14ac:dyDescent="0.2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Jaime\QUIFA-CAJÚA\Cajua\[CAJUA_CF_SEC_New_27-Feb-2024Rev3.xlsx]D-PND'!</v>
      </c>
      <c r="G80" s="32" t="s">
        <v>59</v>
      </c>
      <c r="H80" s="33">
        <f t="shared" ref="H80:H98" si="26">IF(A80&lt;&gt;A79,12,H79+1)</f>
        <v>14</v>
      </c>
      <c r="I80" s="33" t="str">
        <f t="shared" si="2"/>
        <v>='C:\Users\jaime.benazar\Quorum Business Solutions\Ecopetrol Prometeo - Documents\Planning Space Implementation\3. Analysis &amp; Design\Design\FC22\DRR Jaime\QUIFA-CAJÚA\Cajua\[CAJUA_CF_SEC_New_27-Feb-2024Rev3.xlsx]D-PND'!$BB$14</v>
      </c>
      <c r="J80" s="37" t="s">
        <v>2076</v>
      </c>
    </row>
    <row r="81" spans="1:10" x14ac:dyDescent="0.2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Jaime\QUIFA-CAJÚA\Cajua\[CAJUA_CF_SEC_New_27-Feb-2024Rev3.xlsx]D-PND'!</v>
      </c>
      <c r="G81" s="32" t="s">
        <v>59</v>
      </c>
      <c r="H81" s="33">
        <f t="shared" si="26"/>
        <v>15</v>
      </c>
      <c r="I81" s="33" t="str">
        <f t="shared" si="2"/>
        <v>='C:\Users\jaime.benazar\Quorum Business Solutions\Ecopetrol Prometeo - Documents\Planning Space Implementation\3. Analysis &amp; Design\Design\FC22\DRR Jaime\QUIFA-CAJÚA\Cajua\[CAJUA_CF_SEC_New_27-Feb-2024Rev3.xlsx]D-PND'!$BB$15</v>
      </c>
      <c r="J81" s="37" t="s">
        <v>2077</v>
      </c>
    </row>
    <row r="82" spans="1:10" x14ac:dyDescent="0.2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Jaime\QUIFA-CAJÚA\Cajua\[CAJUA_CF_SEC_New_27-Feb-2024Rev3.xlsx]D-PND'!</v>
      </c>
      <c r="G82" s="32" t="s">
        <v>59</v>
      </c>
      <c r="H82" s="33">
        <f t="shared" si="26"/>
        <v>16</v>
      </c>
      <c r="I82" s="33" t="str">
        <f t="shared" si="2"/>
        <v>='C:\Users\jaime.benazar\Quorum Business Solutions\Ecopetrol Prometeo - Documents\Planning Space Implementation\3. Analysis &amp; Design\Design\FC22\DRR Jaime\QUIFA-CAJÚA\Cajua\[CAJUA_CF_SEC_New_27-Feb-2024Rev3.xlsx]D-PND'!$BB$16</v>
      </c>
      <c r="J82" s="37" t="s">
        <v>2078</v>
      </c>
    </row>
    <row r="83" spans="1:10" x14ac:dyDescent="0.2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Jaime\QUIFA-CAJÚA\Cajua\[CAJUA_CF_SEC_New_27-Feb-2024Rev3.xlsx]D-PND'!</v>
      </c>
      <c r="G83" s="32" t="s">
        <v>59</v>
      </c>
      <c r="H83" s="33">
        <f t="shared" si="26"/>
        <v>17</v>
      </c>
      <c r="I83" s="33" t="str">
        <f t="shared" si="2"/>
        <v>='C:\Users\jaime.benazar\Quorum Business Solutions\Ecopetrol Prometeo - Documents\Planning Space Implementation\3. Analysis &amp; Design\Design\FC22\DRR Jaime\QUIFA-CAJÚA\Cajua\[CAJUA_CF_SEC_New_27-Feb-2024Rev3.xlsx]D-PND'!$BB$17</v>
      </c>
      <c r="J83" s="37" t="s">
        <v>2079</v>
      </c>
    </row>
    <row r="84" spans="1:10" x14ac:dyDescent="0.2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Jaime\QUIFA-CAJÚA\Cajua\[CAJUA_CF_SEC_New_27-Feb-2024Rev3.xlsx]D-PND'!</v>
      </c>
      <c r="G84" s="32" t="s">
        <v>59</v>
      </c>
      <c r="H84" s="33">
        <f t="shared" si="26"/>
        <v>18</v>
      </c>
      <c r="I84" s="33" t="str">
        <f t="shared" si="2"/>
        <v>='C:\Users\jaime.benazar\Quorum Business Solutions\Ecopetrol Prometeo - Documents\Planning Space Implementation\3. Analysis &amp; Design\Design\FC22\DRR Jaime\QUIFA-CAJÚA\Cajua\[CAJUA_CF_SEC_New_27-Feb-2024Rev3.xlsx]D-PND'!$BB$18</v>
      </c>
      <c r="J84" s="37" t="s">
        <v>2080</v>
      </c>
    </row>
    <row r="85" spans="1:10" x14ac:dyDescent="0.2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Jaime\QUIFA-CAJÚA\Cajua\[CAJUA_CF_SEC_New_27-Feb-2024Rev3.xlsx]D-PND'!</v>
      </c>
      <c r="G85" s="32" t="s">
        <v>59</v>
      </c>
      <c r="H85" s="33">
        <f t="shared" si="26"/>
        <v>19</v>
      </c>
      <c r="I85" s="33" t="str">
        <f t="shared" si="2"/>
        <v>='C:\Users\jaime.benazar\Quorum Business Solutions\Ecopetrol Prometeo - Documents\Planning Space Implementation\3. Analysis &amp; Design\Design\FC22\DRR Jaime\QUIFA-CAJÚA\Cajua\[CAJUA_CF_SEC_New_27-Feb-2024Rev3.xlsx]D-PND'!$BB$19</v>
      </c>
      <c r="J85" s="37" t="s">
        <v>2081</v>
      </c>
    </row>
    <row r="86" spans="1:10" x14ac:dyDescent="0.2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Jaime\QUIFA-CAJÚA\Cajua\[CAJUA_CF_SEC_New_27-Feb-2024Rev3.xlsx]D-PND'!</v>
      </c>
      <c r="G86" s="32" t="s">
        <v>59</v>
      </c>
      <c r="H86" s="33">
        <f t="shared" si="26"/>
        <v>20</v>
      </c>
      <c r="I86" s="33" t="str">
        <f t="shared" si="2"/>
        <v>='C:\Users\jaime.benazar\Quorum Business Solutions\Ecopetrol Prometeo - Documents\Planning Space Implementation\3. Analysis &amp; Design\Design\FC22\DRR Jaime\QUIFA-CAJÚA\Cajua\[CAJUA_CF_SEC_New_27-Feb-2024Rev3.xlsx]D-PND'!$BB$20</v>
      </c>
      <c r="J86" s="37" t="s">
        <v>2082</v>
      </c>
    </row>
    <row r="87" spans="1:10" x14ac:dyDescent="0.2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Jaime\QUIFA-CAJÚA\Cajua\[CAJUA_CF_SEC_New_27-Feb-2024Rev3.xlsx]D-PND'!</v>
      </c>
      <c r="G87" s="32" t="s">
        <v>59</v>
      </c>
      <c r="H87" s="33">
        <f t="shared" si="26"/>
        <v>21</v>
      </c>
      <c r="I87" s="33" t="str">
        <f t="shared" si="2"/>
        <v>='C:\Users\jaime.benazar\Quorum Business Solutions\Ecopetrol Prometeo - Documents\Planning Space Implementation\3. Analysis &amp; Design\Design\FC22\DRR Jaime\QUIFA-CAJÚA\Cajua\[CAJUA_CF_SEC_New_27-Feb-2024Rev3.xlsx]D-PND'!$BB$21</v>
      </c>
      <c r="J87" s="37" t="s">
        <v>2083</v>
      </c>
    </row>
    <row r="88" spans="1:10" x14ac:dyDescent="0.2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Jaime\QUIFA-CAJÚA\Cajua\[CAJUA_CF_SEC_New_27-Feb-2024Rev3.xlsx]D-PND'!</v>
      </c>
      <c r="G88" s="32" t="s">
        <v>59</v>
      </c>
      <c r="H88" s="33">
        <f t="shared" si="26"/>
        <v>22</v>
      </c>
      <c r="I88" s="33" t="str">
        <f t="shared" si="2"/>
        <v>='C:\Users\jaime.benazar\Quorum Business Solutions\Ecopetrol Prometeo - Documents\Planning Space Implementation\3. Analysis &amp; Design\Design\FC22\DRR Jaime\QUIFA-CAJÚA\Cajua\[CAJUA_CF_SEC_New_27-Feb-2024Rev3.xlsx]D-PND'!$BB$22</v>
      </c>
      <c r="J88" s="37" t="s">
        <v>2084</v>
      </c>
    </row>
    <row r="89" spans="1:10" x14ac:dyDescent="0.2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Jaime\QUIFA-CAJÚA\Cajua\[CAJUA_CF_SEC_New_27-Feb-2024Rev3.xlsx]D-PND'!</v>
      </c>
      <c r="G89" s="32" t="s">
        <v>59</v>
      </c>
      <c r="H89" s="33">
        <f t="shared" si="26"/>
        <v>23</v>
      </c>
      <c r="I89" s="33" t="str">
        <f t="shared" si="2"/>
        <v>='C:\Users\jaime.benazar\Quorum Business Solutions\Ecopetrol Prometeo - Documents\Planning Space Implementation\3. Analysis &amp; Design\Design\FC22\DRR Jaime\QUIFA-CAJÚA\Cajua\[CAJUA_CF_SEC_New_27-Feb-2024Rev3.xlsx]D-PND'!$BB$23</v>
      </c>
      <c r="J89" s="37" t="s">
        <v>2085</v>
      </c>
    </row>
    <row r="90" spans="1:10" x14ac:dyDescent="0.2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Jaime\QUIFA-CAJÚA\Cajua\[CAJUA_CF_SEC_New_27-Feb-2024Rev3.xlsx]D-PND'!</v>
      </c>
      <c r="G90" s="32" t="s">
        <v>59</v>
      </c>
      <c r="H90" s="33">
        <f t="shared" si="26"/>
        <v>24</v>
      </c>
      <c r="I90" s="33" t="str">
        <f t="shared" si="2"/>
        <v>='C:\Users\jaime.benazar\Quorum Business Solutions\Ecopetrol Prometeo - Documents\Planning Space Implementation\3. Analysis &amp; Design\Design\FC22\DRR Jaime\QUIFA-CAJÚA\Cajua\[CAJUA_CF_SEC_New_27-Feb-2024Rev3.xlsx]D-PND'!$BB$24</v>
      </c>
      <c r="J90" s="37" t="s">
        <v>2086</v>
      </c>
    </row>
    <row r="91" spans="1:10" x14ac:dyDescent="0.2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Jaime\QUIFA-CAJÚA\Cajua\[CAJUA_CF_SEC_New_27-Feb-2024Rev3.xlsx]D-PND'!</v>
      </c>
      <c r="G91" s="32" t="s">
        <v>59</v>
      </c>
      <c r="H91" s="33">
        <f t="shared" si="26"/>
        <v>25</v>
      </c>
      <c r="I91" s="33" t="str">
        <f t="shared" si="2"/>
        <v>='C:\Users\jaime.benazar\Quorum Business Solutions\Ecopetrol Prometeo - Documents\Planning Space Implementation\3. Analysis &amp; Design\Design\FC22\DRR Jaime\QUIFA-CAJÚA\Cajua\[CAJUA_CF_SEC_New_27-Feb-2024Rev3.xlsx]D-PND'!$BB$25</v>
      </c>
      <c r="J91" s="37" t="s">
        <v>2087</v>
      </c>
    </row>
    <row r="92" spans="1:10" x14ac:dyDescent="0.2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Jaime\QUIFA-CAJÚA\Cajua\[CAJUA_CF_SEC_New_27-Feb-2024Rev3.xlsx]D-PND'!</v>
      </c>
      <c r="G92" s="32" t="s">
        <v>59</v>
      </c>
      <c r="H92" s="33">
        <f t="shared" si="26"/>
        <v>26</v>
      </c>
      <c r="I92" s="33" t="str">
        <f t="shared" si="2"/>
        <v>='C:\Users\jaime.benazar\Quorum Business Solutions\Ecopetrol Prometeo - Documents\Planning Space Implementation\3. Analysis &amp; Design\Design\FC22\DRR Jaime\QUIFA-CAJÚA\Cajua\[CAJUA_CF_SEC_New_27-Feb-2024Rev3.xlsx]D-PND'!$BB$26</v>
      </c>
      <c r="J92" s="37" t="s">
        <v>2088</v>
      </c>
    </row>
    <row r="93" spans="1:10" x14ac:dyDescent="0.2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Jaime\QUIFA-CAJÚA\Cajua\[CAJUA_CF_SEC_New_27-Feb-2024Rev3.xlsx]D-PND'!</v>
      </c>
      <c r="G93" s="32" t="s">
        <v>59</v>
      </c>
      <c r="H93" s="33">
        <f t="shared" si="26"/>
        <v>27</v>
      </c>
      <c r="I93" s="33" t="str">
        <f t="shared" si="2"/>
        <v>='C:\Users\jaime.benazar\Quorum Business Solutions\Ecopetrol Prometeo - Documents\Planning Space Implementation\3. Analysis &amp; Design\Design\FC22\DRR Jaime\QUIFA-CAJÚA\Cajua\[CAJUA_CF_SEC_New_27-Feb-2024Rev3.xlsx]D-PND'!$BB$27</v>
      </c>
      <c r="J93" s="37" t="s">
        <v>2089</v>
      </c>
    </row>
    <row r="94" spans="1:10" x14ac:dyDescent="0.2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Jaime\QUIFA-CAJÚA\Cajua\[CAJUA_CF_SEC_New_27-Feb-2024Rev3.xlsx]D-PND'!</v>
      </c>
      <c r="G94" s="32" t="s">
        <v>59</v>
      </c>
      <c r="H94" s="33">
        <f t="shared" si="26"/>
        <v>28</v>
      </c>
      <c r="I94" s="33" t="str">
        <f t="shared" si="2"/>
        <v>='C:\Users\jaime.benazar\Quorum Business Solutions\Ecopetrol Prometeo - Documents\Planning Space Implementation\3. Analysis &amp; Design\Design\FC22\DRR Jaime\QUIFA-CAJÚA\Cajua\[CAJUA_CF_SEC_New_27-Feb-2024Rev3.xlsx]D-PND'!$BB$28</v>
      </c>
      <c r="J94" s="37" t="s">
        <v>2090</v>
      </c>
    </row>
    <row r="95" spans="1:10" x14ac:dyDescent="0.2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Jaime\QUIFA-CAJÚA\Cajua\[CAJUA_CF_SEC_New_27-Feb-2024Rev3.xlsx]D-PND'!</v>
      </c>
      <c r="G95" s="32" t="s">
        <v>59</v>
      </c>
      <c r="H95" s="33">
        <f t="shared" si="26"/>
        <v>29</v>
      </c>
      <c r="I95" s="33" t="str">
        <f t="shared" si="2"/>
        <v>='C:\Users\jaime.benazar\Quorum Business Solutions\Ecopetrol Prometeo - Documents\Planning Space Implementation\3. Analysis &amp; Design\Design\FC22\DRR Jaime\QUIFA-CAJÚA\Cajua\[CAJUA_CF_SEC_New_27-Feb-2024Rev3.xlsx]D-PND'!$BB$29</v>
      </c>
      <c r="J95" s="37" t="s">
        <v>2091</v>
      </c>
    </row>
    <row r="96" spans="1:10" x14ac:dyDescent="0.2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Jaime\QUIFA-CAJÚA\Cajua\[CAJUA_CF_SEC_New_27-Feb-2024Rev3.xlsx]D-PND'!</v>
      </c>
      <c r="G96" s="32" t="s">
        <v>59</v>
      </c>
      <c r="H96" s="33">
        <f t="shared" si="26"/>
        <v>30</v>
      </c>
      <c r="I96" s="33" t="str">
        <f t="shared" si="2"/>
        <v>='C:\Users\jaime.benazar\Quorum Business Solutions\Ecopetrol Prometeo - Documents\Planning Space Implementation\3. Analysis &amp; Design\Design\FC22\DRR Jaime\QUIFA-CAJÚA\Cajua\[CAJUA_CF_SEC_New_27-Feb-2024Rev3.xlsx]D-PND'!$BB$30</v>
      </c>
      <c r="J96" s="37" t="s">
        <v>2092</v>
      </c>
    </row>
    <row r="97" spans="1:10" x14ac:dyDescent="0.2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Jaime\QUIFA-CAJÚA\Cajua\[CAJUA_CF_SEC_New_27-Feb-2024Rev3.xlsx]D-PND'!</v>
      </c>
      <c r="G97" s="32" t="s">
        <v>59</v>
      </c>
      <c r="H97" s="33">
        <f t="shared" si="26"/>
        <v>31</v>
      </c>
      <c r="I97" s="33" t="str">
        <f t="shared" ref="I97:I402" si="31">_xlfn.CONCAT("='",F97:H97)</f>
        <v>='C:\Users\jaime.benazar\Quorum Business Solutions\Ecopetrol Prometeo - Documents\Planning Space Implementation\3. Analysis &amp; Design\Design\FC22\DRR Jaime\QUIFA-CAJÚA\Cajua\[CAJUA_CF_SEC_New_27-Feb-2024Rev3.xlsx]D-PND'!$BB$31</v>
      </c>
      <c r="J97" s="37" t="s">
        <v>2093</v>
      </c>
    </row>
    <row r="98" spans="1:10" x14ac:dyDescent="0.2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Jaime\QUIFA-CAJÚA\Cajua\[CAJUA_CF_SEC_New_27-Feb-2024Rev3.xlsx]D-PND'!</v>
      </c>
      <c r="G98" s="32" t="s">
        <v>59</v>
      </c>
      <c r="H98" s="33">
        <f t="shared" si="26"/>
        <v>32</v>
      </c>
      <c r="I98" s="33" t="str">
        <f t="shared" si="31"/>
        <v>='C:\Users\jaime.benazar\Quorum Business Solutions\Ecopetrol Prometeo - Documents\Planning Space Implementation\3. Analysis &amp; Design\Design\FC22\DRR Jaime\QUIFA-CAJÚA\Cajua\[CAJUA_CF_SEC_New_27-Feb-2024Rev3.xlsx]D-PND'!$BB$32</v>
      </c>
      <c r="J98" s="37" t="s">
        <v>2094</v>
      </c>
    </row>
    <row r="99" spans="1:10" x14ac:dyDescent="0.2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Jaime\QUIFA-CAJÚA\Cajua\[CAJUA_CF_SEC_New_27-Feb-2024Rev3.xlsx]D-PND'!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Jaime\QUIFA-CAJÚA\Cajua\[CAJUA_CF_SEC_New_27-Feb-2024Rev3.xlsx]D-PND'!$BB$33</v>
      </c>
      <c r="J99" s="37" t="s">
        <v>2095</v>
      </c>
    </row>
    <row r="100" spans="1:10" x14ac:dyDescent="0.2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Jaime\QUIFA-CAJÚA\Cajua\[CAJUA_CF_SEC_New_27-Feb-2024Rev3.xlsx]D-PND'!</v>
      </c>
      <c r="G100" s="32" t="s">
        <v>59</v>
      </c>
      <c r="H100" s="33">
        <f t="shared" si="34"/>
        <v>34</v>
      </c>
      <c r="I100" s="33" t="str">
        <f t="shared" si="35"/>
        <v>='C:\Users\jaime.benazar\Quorum Business Solutions\Ecopetrol Prometeo - Documents\Planning Space Implementation\3. Analysis &amp; Design\Design\FC22\DRR Jaime\QUIFA-CAJÚA\Cajua\[CAJUA_CF_SEC_New_27-Feb-2024Rev3.xlsx]D-PND'!$BB$34</v>
      </c>
      <c r="J100" s="37" t="s">
        <v>2096</v>
      </c>
    </row>
    <row r="101" spans="1:10" x14ac:dyDescent="0.2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Jaime\QUIFA-CAJÚA\Cajua\[CAJUA_CF_SEC_New_27-Feb-2024Rev3.xlsx]D-PND'!</v>
      </c>
      <c r="G101" s="32" t="s">
        <v>59</v>
      </c>
      <c r="H101" s="33">
        <f t="shared" si="34"/>
        <v>35</v>
      </c>
      <c r="I101" s="33" t="str">
        <f t="shared" si="35"/>
        <v>='C:\Users\jaime.benazar\Quorum Business Solutions\Ecopetrol Prometeo - Documents\Planning Space Implementation\3. Analysis &amp; Design\Design\FC22\DRR Jaime\QUIFA-CAJÚA\Cajua\[CAJUA_CF_SEC_New_27-Feb-2024Rev3.xlsx]D-PND'!$BB$35</v>
      </c>
      <c r="J101" s="37" t="s">
        <v>2097</v>
      </c>
    </row>
    <row r="102" spans="1:10" x14ac:dyDescent="0.2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Jaime\QUIFA-CAJÚA\Cajua\[CAJUA_CF_SEC_New_27-Feb-2024Rev3.xlsx]D-PND'!</v>
      </c>
      <c r="G102" s="32" t="s">
        <v>59</v>
      </c>
      <c r="H102" s="33">
        <f t="shared" si="34"/>
        <v>36</v>
      </c>
      <c r="I102" s="33" t="str">
        <f t="shared" si="35"/>
        <v>='C:\Users\jaime.benazar\Quorum Business Solutions\Ecopetrol Prometeo - Documents\Planning Space Implementation\3. Analysis &amp; Design\Design\FC22\DRR Jaime\QUIFA-CAJÚA\Cajua\[CAJUA_CF_SEC_New_27-Feb-2024Rev3.xlsx]D-PND'!$BB$36</v>
      </c>
      <c r="J102" s="37" t="s">
        <v>2098</v>
      </c>
    </row>
    <row r="103" spans="1:10" x14ac:dyDescent="0.2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Jaime\QUIFA-CAJÚA\Cajua\[CAJUA_CF_SEC_New_27-Feb-2024Rev3.xlsx]D-PND'!</v>
      </c>
      <c r="G103" s="32" t="s">
        <v>59</v>
      </c>
      <c r="H103" s="33">
        <f t="shared" si="34"/>
        <v>37</v>
      </c>
      <c r="I103" s="33" t="str">
        <f t="shared" si="35"/>
        <v>='C:\Users\jaime.benazar\Quorum Business Solutions\Ecopetrol Prometeo - Documents\Planning Space Implementation\3. Analysis &amp; Design\Design\FC22\DRR Jaime\QUIFA-CAJÚA\Cajua\[CAJUA_CF_SEC_New_27-Feb-2024Rev3.xlsx]D-PND'!$BB$37</v>
      </c>
      <c r="J103" s="37" t="s">
        <v>2099</v>
      </c>
    </row>
    <row r="104" spans="1:10" x14ac:dyDescent="0.2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Jaime\QUIFA-CAJÚA\Cajua\[CAJUA_CF_SEC_New_27-Feb-2024Rev3.xlsx]D-PND'!</v>
      </c>
      <c r="G104" s="32" t="s">
        <v>59</v>
      </c>
      <c r="H104" s="33">
        <f t="shared" si="34"/>
        <v>38</v>
      </c>
      <c r="I104" s="33" t="str">
        <f t="shared" si="35"/>
        <v>='C:\Users\jaime.benazar\Quorum Business Solutions\Ecopetrol Prometeo - Documents\Planning Space Implementation\3. Analysis &amp; Design\Design\FC22\DRR Jaime\QUIFA-CAJÚA\Cajua\[CAJUA_CF_SEC_New_27-Feb-2024Rev3.xlsx]D-PND'!$BB$38</v>
      </c>
      <c r="J104" s="37" t="s">
        <v>2100</v>
      </c>
    </row>
    <row r="105" spans="1:10" x14ac:dyDescent="0.2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Jaime\QUIFA-CAJÚA\Cajua\[CAJUA_CF_SEC_New_27-Feb-2024Rev3.xlsx]D-PND'!</v>
      </c>
      <c r="G105" s="32" t="s">
        <v>59</v>
      </c>
      <c r="H105" s="33">
        <f t="shared" si="34"/>
        <v>39</v>
      </c>
      <c r="I105" s="33" t="str">
        <f t="shared" si="35"/>
        <v>='C:\Users\jaime.benazar\Quorum Business Solutions\Ecopetrol Prometeo - Documents\Planning Space Implementation\3. Analysis &amp; Design\Design\FC22\DRR Jaime\QUIFA-CAJÚA\Cajua\[CAJUA_CF_SEC_New_27-Feb-2024Rev3.xlsx]D-PND'!$BB$39</v>
      </c>
      <c r="J105" s="37" t="s">
        <v>2101</v>
      </c>
    </row>
    <row r="106" spans="1:10" x14ac:dyDescent="0.2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Jaime\QUIFA-CAJÚA\Cajua\[CAJUA_CF_SEC_New_27-Feb-2024Rev3.xlsx]D-PND'!</v>
      </c>
      <c r="G106" s="32" t="s">
        <v>59</v>
      </c>
      <c r="H106" s="33">
        <f t="shared" si="34"/>
        <v>40</v>
      </c>
      <c r="I106" s="33" t="str">
        <f t="shared" si="35"/>
        <v>='C:\Users\jaime.benazar\Quorum Business Solutions\Ecopetrol Prometeo - Documents\Planning Space Implementation\3. Analysis &amp; Design\Design\FC22\DRR Jaime\QUIFA-CAJÚA\Cajua\[CAJUA_CF_SEC_New_27-Feb-2024Rev3.xlsx]D-PND'!$BB$40</v>
      </c>
      <c r="J106" s="37" t="s">
        <v>2102</v>
      </c>
    </row>
    <row r="107" spans="1:10" x14ac:dyDescent="0.2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Jaime\QUIFA-CAJÚA\Cajua\[CAJUA_CF_SEC_New_27-Feb-2024Rev3.xlsx]D-PND'!</v>
      </c>
      <c r="G107" s="32" t="s">
        <v>59</v>
      </c>
      <c r="H107" s="33">
        <f t="shared" si="34"/>
        <v>41</v>
      </c>
      <c r="I107" s="33" t="str">
        <f t="shared" si="35"/>
        <v>='C:\Users\jaime.benazar\Quorum Business Solutions\Ecopetrol Prometeo - Documents\Planning Space Implementation\3. Analysis &amp; Design\Design\FC22\DRR Jaime\QUIFA-CAJÚA\Cajua\[CAJUA_CF_SEC_New_27-Feb-2024Rev3.xlsx]D-PND'!$BB$41</v>
      </c>
      <c r="J107" s="37" t="s">
        <v>2103</v>
      </c>
    </row>
    <row r="108" spans="1:10" x14ac:dyDescent="0.2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Jaime\QUIFA-CAJÚA\Cajua\[CAJUA_CF_SEC_New_27-Feb-2024Rev3.xlsx]D-PND'!</v>
      </c>
      <c r="G108" s="32" t="s">
        <v>59</v>
      </c>
      <c r="H108" s="33">
        <f t="shared" si="34"/>
        <v>42</v>
      </c>
      <c r="I108" s="33" t="str">
        <f t="shared" si="35"/>
        <v>='C:\Users\jaime.benazar\Quorum Business Solutions\Ecopetrol Prometeo - Documents\Planning Space Implementation\3. Analysis &amp; Design\Design\FC22\DRR Jaime\QUIFA-CAJÚA\Cajua\[CAJUA_CF_SEC_New_27-Feb-2024Rev3.xlsx]D-PND'!$BB$42</v>
      </c>
      <c r="J108" s="37" t="s">
        <v>2104</v>
      </c>
    </row>
    <row r="109" spans="1:10" x14ac:dyDescent="0.2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Jaime\QUIFA-CAJÚA\Cajua\[CAJUA_CF_SEC_New_27-Feb-2024Rev3.xlsx]D-PND'!</v>
      </c>
      <c r="G109" s="32" t="s">
        <v>59</v>
      </c>
      <c r="H109" s="33">
        <f t="shared" si="34"/>
        <v>43</v>
      </c>
      <c r="I109" s="33" t="str">
        <f t="shared" si="35"/>
        <v>='C:\Users\jaime.benazar\Quorum Business Solutions\Ecopetrol Prometeo - Documents\Planning Space Implementation\3. Analysis &amp; Design\Design\FC22\DRR Jaime\QUIFA-CAJÚA\Cajua\[CAJUA_CF_SEC_New_27-Feb-2024Rev3.xlsx]D-PND'!$BB$43</v>
      </c>
      <c r="J109" s="37" t="s">
        <v>2105</v>
      </c>
    </row>
    <row r="110" spans="1:10" x14ac:dyDescent="0.2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Jaime\QUIFA-CAJÚA\Cajua\[CAJUA_CF_SEC_New_27-Feb-2024Rev3.xlsx]D-PND'!</v>
      </c>
      <c r="G110" s="32" t="s">
        <v>59</v>
      </c>
      <c r="H110" s="33">
        <f t="shared" si="34"/>
        <v>44</v>
      </c>
      <c r="I110" s="33" t="str">
        <f t="shared" si="35"/>
        <v>='C:\Users\jaime.benazar\Quorum Business Solutions\Ecopetrol Prometeo - Documents\Planning Space Implementation\3. Analysis &amp; Design\Design\FC22\DRR Jaime\QUIFA-CAJÚA\Cajua\[CAJUA_CF_SEC_New_27-Feb-2024Rev3.xlsx]D-PND'!$BB$44</v>
      </c>
      <c r="J110" s="37" t="s">
        <v>2106</v>
      </c>
    </row>
    <row r="111" spans="1:10" x14ac:dyDescent="0.2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Jaime\QUIFA-CAJÚA\Cajua\[CAJUA_CF_SEC_New_27-Feb-2024Rev3.xlsx]D-PND'!</v>
      </c>
      <c r="G111" s="32" t="s">
        <v>59</v>
      </c>
      <c r="H111" s="33">
        <f t="shared" si="34"/>
        <v>45</v>
      </c>
      <c r="I111" s="33" t="str">
        <f t="shared" si="35"/>
        <v>='C:\Users\jaime.benazar\Quorum Business Solutions\Ecopetrol Prometeo - Documents\Planning Space Implementation\3. Analysis &amp; Design\Design\FC22\DRR Jaime\QUIFA-CAJÚA\Cajua\[CAJUA_CF_SEC_New_27-Feb-2024Rev3.xlsx]D-PND'!$BB$45</v>
      </c>
      <c r="J111" s="37" t="s">
        <v>2107</v>
      </c>
    </row>
    <row r="112" spans="1:10" x14ac:dyDescent="0.2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Jaime\QUIFA-CAJÚA\Cajua\[CAJUA_CF_SEC_New_27-Feb-2024Rev3.xlsx]D-PND'!</v>
      </c>
      <c r="G112" s="32" t="s">
        <v>59</v>
      </c>
      <c r="H112" s="33">
        <f t="shared" si="34"/>
        <v>46</v>
      </c>
      <c r="I112" s="33" t="str">
        <f t="shared" si="35"/>
        <v>='C:\Users\jaime.benazar\Quorum Business Solutions\Ecopetrol Prometeo - Documents\Planning Space Implementation\3. Analysis &amp; Design\Design\FC22\DRR Jaime\QUIFA-CAJÚA\Cajua\[CAJUA_CF_SEC_New_27-Feb-2024Rev3.xlsx]D-PND'!$BB$46</v>
      </c>
      <c r="J112" s="37" t="s">
        <v>2108</v>
      </c>
    </row>
    <row r="113" spans="1:10" x14ac:dyDescent="0.2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Jaime\QUIFA-CAJÚA\Cajua\[CAJUA_CF_SEC_New_27-Feb-2024Rev3.xlsx]D-PND'!</v>
      </c>
      <c r="G113" s="32" t="s">
        <v>59</v>
      </c>
      <c r="H113" s="33">
        <f t="shared" si="34"/>
        <v>47</v>
      </c>
      <c r="I113" s="33" t="str">
        <f t="shared" si="35"/>
        <v>='C:\Users\jaime.benazar\Quorum Business Solutions\Ecopetrol Prometeo - Documents\Planning Space Implementation\3. Analysis &amp; Design\Design\FC22\DRR Jaime\QUIFA-CAJÚA\Cajua\[CAJUA_CF_SEC_New_27-Feb-2024Rev3.xlsx]D-PND'!$BB$47</v>
      </c>
      <c r="J113" s="37" t="s">
        <v>2109</v>
      </c>
    </row>
    <row r="114" spans="1:10" x14ac:dyDescent="0.2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Jaime\QUIFA-CAJÚA\Cajua\[CAJUA_CF_SEC_New_27-Feb-2024Rev3.xlsx]D-PND'!</v>
      </c>
      <c r="G114" s="32" t="s">
        <v>59</v>
      </c>
      <c r="H114" s="33">
        <f t="shared" si="34"/>
        <v>48</v>
      </c>
      <c r="I114" s="33" t="str">
        <f t="shared" si="35"/>
        <v>='C:\Users\jaime.benazar\Quorum Business Solutions\Ecopetrol Prometeo - Documents\Planning Space Implementation\3. Analysis &amp; Design\Design\FC22\DRR Jaime\QUIFA-CAJÚA\Cajua\[CAJUA_CF_SEC_New_27-Feb-2024Rev3.xlsx]D-PND'!$BB$48</v>
      </c>
      <c r="J114" s="37" t="s">
        <v>2110</v>
      </c>
    </row>
    <row r="115" spans="1:10" x14ac:dyDescent="0.25">
      <c r="A115" s="32" t="s">
        <v>28</v>
      </c>
      <c r="B115" s="32"/>
      <c r="C115" s="33" t="s">
        <v>51</v>
      </c>
      <c r="D115" s="34"/>
      <c r="E115" s="35"/>
      <c r="F115" s="34"/>
      <c r="G115" s="32"/>
      <c r="H115" s="33"/>
      <c r="I115" s="33"/>
      <c r="J115" s="33"/>
    </row>
    <row r="116" spans="1:10" x14ac:dyDescent="0.2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Jaime\QUIFA-CAJÚA\Cajua\[CAJUA_CF_SEC_New_27-Feb-2024Rev3.xlsx]D-PRBDP'!</v>
      </c>
      <c r="G116" s="32" t="s">
        <v>59</v>
      </c>
      <c r="H116" s="33"/>
      <c r="I116" s="33"/>
      <c r="J116" s="37"/>
    </row>
    <row r="117" spans="1:10" x14ac:dyDescent="0.2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Jaime\QUIFA-CAJÚA\Cajua\[CAJUA_CF_SEC_New_27-Feb-2024Rev3.xlsx]D-PRBDP'!</v>
      </c>
      <c r="G117" s="32" t="s">
        <v>59</v>
      </c>
      <c r="H117" s="33"/>
      <c r="I117" s="33"/>
      <c r="J117" s="37"/>
    </row>
    <row r="118" spans="1:10" x14ac:dyDescent="0.25">
      <c r="A118" s="32" t="s">
        <v>99</v>
      </c>
      <c r="B118" s="32">
        <f t="shared" ref="B118:B129" si="39">+B117+1</f>
        <v>2025</v>
      </c>
      <c r="C118" s="33" t="s">
        <v>51</v>
      </c>
      <c r="D118" s="34" t="s">
        <v>1999</v>
      </c>
      <c r="E118" s="35" t="str">
        <f t="shared" si="37"/>
        <v>PRBDP'!</v>
      </c>
      <c r="F118" s="34" t="str">
        <f t="shared" si="38"/>
        <v>C:\Users\jaime.benazar\Quorum Business Solutions\Ecopetrol Prometeo - Documents\Planning Space Implementation\3. Analysis &amp; Design\Design\FC22\DRR Jaime\QUIFA-CAJÚA\Cajua\[CAJUA_CF_SEC_New_27-Feb-2024Rev3.xlsx]D-PRBDP'!</v>
      </c>
      <c r="G118" s="32" t="s">
        <v>59</v>
      </c>
      <c r="H118" s="33"/>
      <c r="I118" s="33"/>
      <c r="J118" s="37"/>
    </row>
    <row r="119" spans="1:10" x14ac:dyDescent="0.25">
      <c r="A119" s="32" t="s">
        <v>99</v>
      </c>
      <c r="B119" s="32">
        <f t="shared" si="39"/>
        <v>2026</v>
      </c>
      <c r="C119" s="33" t="s">
        <v>51</v>
      </c>
      <c r="D119" s="34" t="s">
        <v>1999</v>
      </c>
      <c r="E119" s="35" t="str">
        <f t="shared" si="37"/>
        <v>PRBDP'!</v>
      </c>
      <c r="F119" s="34" t="str">
        <f t="shared" si="38"/>
        <v>C:\Users\jaime.benazar\Quorum Business Solutions\Ecopetrol Prometeo - Documents\Planning Space Implementation\3. Analysis &amp; Design\Design\FC22\DRR Jaime\QUIFA-CAJÚA\Cajua\[CAJUA_CF_SEC_New_27-Feb-2024Rev3.xlsx]D-PRBDP'!</v>
      </c>
      <c r="G119" s="32" t="s">
        <v>59</v>
      </c>
      <c r="H119" s="33"/>
      <c r="I119" s="33"/>
      <c r="J119" s="37"/>
    </row>
    <row r="120" spans="1:10" x14ac:dyDescent="0.25">
      <c r="A120" s="32" t="s">
        <v>99</v>
      </c>
      <c r="B120" s="32">
        <f t="shared" si="39"/>
        <v>2027</v>
      </c>
      <c r="C120" s="33" t="s">
        <v>51</v>
      </c>
      <c r="D120" s="34" t="s">
        <v>1999</v>
      </c>
      <c r="E120" s="35" t="str">
        <f t="shared" si="37"/>
        <v>PRBDP'!</v>
      </c>
      <c r="F120" s="34" t="str">
        <f t="shared" si="38"/>
        <v>C:\Users\jaime.benazar\Quorum Business Solutions\Ecopetrol Prometeo - Documents\Planning Space Implementation\3. Analysis &amp; Design\Design\FC22\DRR Jaime\QUIFA-CAJÚA\Cajua\[CAJUA_CF_SEC_New_27-Feb-2024Rev3.xlsx]D-PRBDP'!</v>
      </c>
      <c r="G120" s="32" t="s">
        <v>59</v>
      </c>
      <c r="H120" s="33"/>
      <c r="I120" s="33"/>
      <c r="J120" s="37"/>
    </row>
    <row r="121" spans="1:10" x14ac:dyDescent="0.25">
      <c r="A121" s="32" t="s">
        <v>99</v>
      </c>
      <c r="B121" s="32">
        <f t="shared" si="39"/>
        <v>2028</v>
      </c>
      <c r="C121" s="33" t="s">
        <v>51</v>
      </c>
      <c r="D121" s="34" t="s">
        <v>1999</v>
      </c>
      <c r="E121" s="35" t="str">
        <f t="shared" si="37"/>
        <v>PRBDP'!</v>
      </c>
      <c r="F121" s="34" t="str">
        <f t="shared" si="38"/>
        <v>C:\Users\jaime.benazar\Quorum Business Solutions\Ecopetrol Prometeo - Documents\Planning Space Implementation\3. Analysis &amp; Design\Design\FC22\DRR Jaime\QUIFA-CAJÚA\Cajua\[CAJUA_CF_SEC_New_27-Feb-2024Rev3.xlsx]D-PRBDP'!</v>
      </c>
      <c r="G121" s="32" t="s">
        <v>59</v>
      </c>
      <c r="H121" s="33"/>
      <c r="I121" s="33"/>
      <c r="J121" s="37"/>
    </row>
    <row r="122" spans="1:10" x14ac:dyDescent="0.25">
      <c r="A122" s="32" t="s">
        <v>99</v>
      </c>
      <c r="B122" s="32">
        <f t="shared" si="39"/>
        <v>2029</v>
      </c>
      <c r="C122" s="33" t="s">
        <v>51</v>
      </c>
      <c r="D122" s="34" t="s">
        <v>1999</v>
      </c>
      <c r="E122" s="35" t="str">
        <f t="shared" si="37"/>
        <v>PRBDP'!</v>
      </c>
      <c r="F122" s="34" t="str">
        <f t="shared" si="38"/>
        <v>C:\Users\jaime.benazar\Quorum Business Solutions\Ecopetrol Prometeo - Documents\Planning Space Implementation\3. Analysis &amp; Design\Design\FC22\DRR Jaime\QUIFA-CAJÚA\Cajua\[CAJUA_CF_SEC_New_27-Feb-2024Rev3.xlsx]D-PRBDP'!</v>
      </c>
      <c r="G122" s="32" t="s">
        <v>59</v>
      </c>
      <c r="H122" s="33"/>
      <c r="I122" s="33"/>
      <c r="J122" s="37"/>
    </row>
    <row r="123" spans="1:10" x14ac:dyDescent="0.25">
      <c r="A123" s="32" t="s">
        <v>99</v>
      </c>
      <c r="B123" s="32">
        <f t="shared" si="39"/>
        <v>2030</v>
      </c>
      <c r="C123" s="33" t="s">
        <v>51</v>
      </c>
      <c r="D123" s="34" t="s">
        <v>1999</v>
      </c>
      <c r="E123" s="35" t="str">
        <f t="shared" si="37"/>
        <v>PRBDP'!</v>
      </c>
      <c r="F123" s="34" t="str">
        <f t="shared" si="38"/>
        <v>C:\Users\jaime.benazar\Quorum Business Solutions\Ecopetrol Prometeo - Documents\Planning Space Implementation\3. Analysis &amp; Design\Design\FC22\DRR Jaime\QUIFA-CAJÚA\Cajua\[CAJUA_CF_SEC_New_27-Feb-2024Rev3.xlsx]D-PRBDP'!</v>
      </c>
      <c r="G123" s="32" t="s">
        <v>59</v>
      </c>
      <c r="H123" s="33"/>
      <c r="I123" s="33"/>
      <c r="J123" s="37"/>
    </row>
    <row r="124" spans="1:10" x14ac:dyDescent="0.25">
      <c r="A124" s="32" t="s">
        <v>99</v>
      </c>
      <c r="B124" s="32">
        <f t="shared" si="39"/>
        <v>2031</v>
      </c>
      <c r="C124" s="33" t="s">
        <v>51</v>
      </c>
      <c r="D124" s="34" t="s">
        <v>1999</v>
      </c>
      <c r="E124" s="35" t="str">
        <f t="shared" si="37"/>
        <v>PRBDP'!</v>
      </c>
      <c r="F124" s="34" t="str">
        <f t="shared" si="38"/>
        <v>C:\Users\jaime.benazar\Quorum Business Solutions\Ecopetrol Prometeo - Documents\Planning Space Implementation\3. Analysis &amp; Design\Design\FC22\DRR Jaime\QUIFA-CAJÚA\Cajua\[CAJUA_CF_SEC_New_27-Feb-2024Rev3.xlsx]D-PRBDP'!</v>
      </c>
      <c r="G124" s="32" t="s">
        <v>59</v>
      </c>
      <c r="H124" s="33"/>
      <c r="I124" s="33"/>
      <c r="J124" s="37"/>
    </row>
    <row r="125" spans="1:10" x14ac:dyDescent="0.25">
      <c r="A125" s="32" t="s">
        <v>99</v>
      </c>
      <c r="B125" s="32">
        <f t="shared" si="39"/>
        <v>2032</v>
      </c>
      <c r="C125" s="33" t="s">
        <v>51</v>
      </c>
      <c r="D125" s="34" t="s">
        <v>1999</v>
      </c>
      <c r="E125" s="35" t="str">
        <f t="shared" si="37"/>
        <v>PRBDP'!</v>
      </c>
      <c r="F125" s="34" t="str">
        <f t="shared" si="38"/>
        <v>C:\Users\jaime.benazar\Quorum Business Solutions\Ecopetrol Prometeo - Documents\Planning Space Implementation\3. Analysis &amp; Design\Design\FC22\DRR Jaime\QUIFA-CAJÚA\Cajua\[CAJUA_CF_SEC_New_27-Feb-2024Rev3.xlsx]D-PRBDP'!</v>
      </c>
      <c r="G125" s="32" t="s">
        <v>59</v>
      </c>
      <c r="H125" s="33"/>
      <c r="I125" s="33"/>
      <c r="J125" s="37"/>
    </row>
    <row r="126" spans="1:10" x14ac:dyDescent="0.25">
      <c r="A126" s="32" t="s">
        <v>99</v>
      </c>
      <c r="B126" s="32">
        <f t="shared" si="39"/>
        <v>2033</v>
      </c>
      <c r="C126" s="33" t="s">
        <v>51</v>
      </c>
      <c r="D126" s="34" t="s">
        <v>1999</v>
      </c>
      <c r="E126" s="35" t="str">
        <f t="shared" si="37"/>
        <v>PRBDP'!</v>
      </c>
      <c r="F126" s="34" t="str">
        <f t="shared" si="38"/>
        <v>C:\Users\jaime.benazar\Quorum Business Solutions\Ecopetrol Prometeo - Documents\Planning Space Implementation\3. Analysis &amp; Design\Design\FC22\DRR Jaime\QUIFA-CAJÚA\Cajua\[CAJUA_CF_SEC_New_27-Feb-2024Rev3.xlsx]D-PRBDP'!</v>
      </c>
      <c r="G126" s="32" t="s">
        <v>59</v>
      </c>
      <c r="H126" s="33"/>
      <c r="I126" s="33"/>
      <c r="J126" s="37"/>
    </row>
    <row r="127" spans="1:10" x14ac:dyDescent="0.25">
      <c r="A127" s="32" t="s">
        <v>99</v>
      </c>
      <c r="B127" s="32">
        <f t="shared" si="39"/>
        <v>2034</v>
      </c>
      <c r="C127" s="33" t="s">
        <v>51</v>
      </c>
      <c r="D127" s="34" t="s">
        <v>1999</v>
      </c>
      <c r="E127" s="35" t="str">
        <f t="shared" si="37"/>
        <v>PRBDP'!</v>
      </c>
      <c r="F127" s="34" t="str">
        <f t="shared" si="38"/>
        <v>C:\Users\jaime.benazar\Quorum Business Solutions\Ecopetrol Prometeo - Documents\Planning Space Implementation\3. Analysis &amp; Design\Design\FC22\DRR Jaime\QUIFA-CAJÚA\Cajua\[CAJUA_CF_SEC_New_27-Feb-2024Rev3.xlsx]D-PRBDP'!</v>
      </c>
      <c r="G127" s="32" t="s">
        <v>59</v>
      </c>
      <c r="H127" s="33"/>
      <c r="I127" s="33"/>
      <c r="J127" s="37"/>
    </row>
    <row r="128" spans="1:10" x14ac:dyDescent="0.25">
      <c r="A128" s="32" t="s">
        <v>99</v>
      </c>
      <c r="B128" s="32">
        <f t="shared" si="39"/>
        <v>2035</v>
      </c>
      <c r="C128" s="33" t="s">
        <v>51</v>
      </c>
      <c r="D128" s="34" t="s">
        <v>1999</v>
      </c>
      <c r="E128" s="35" t="str">
        <f t="shared" si="37"/>
        <v>PRBDP'!</v>
      </c>
      <c r="F128" s="34" t="str">
        <f t="shared" si="38"/>
        <v>C:\Users\jaime.benazar\Quorum Business Solutions\Ecopetrol Prometeo - Documents\Planning Space Implementation\3. Analysis &amp; Design\Design\FC22\DRR Jaime\QUIFA-CAJÚA\Cajua\[CAJUA_CF_SEC_New_27-Feb-2024Rev3.xlsx]D-PRBDP'!</v>
      </c>
      <c r="G128" s="32" t="s">
        <v>59</v>
      </c>
      <c r="H128" s="33"/>
      <c r="I128" s="33"/>
      <c r="J128" s="37"/>
    </row>
    <row r="129" spans="1:10" x14ac:dyDescent="0.25">
      <c r="A129" s="32" t="s">
        <v>99</v>
      </c>
      <c r="B129" s="32">
        <f t="shared" si="39"/>
        <v>2036</v>
      </c>
      <c r="C129" s="33" t="s">
        <v>51</v>
      </c>
      <c r="D129" s="34" t="s">
        <v>1999</v>
      </c>
      <c r="E129" s="35" t="str">
        <f t="shared" si="37"/>
        <v>PRBDP'!</v>
      </c>
      <c r="F129" s="34" t="str">
        <f t="shared" si="38"/>
        <v>C:\Users\jaime.benazar\Quorum Business Solutions\Ecopetrol Prometeo - Documents\Planning Space Implementation\3. Analysis &amp; Design\Design\FC22\DRR Jaime\QUIFA-CAJÚA\Cajua\[CAJUA_CF_SEC_New_27-Feb-2024Rev3.xlsx]D-PRBDP'!</v>
      </c>
      <c r="G129" s="32" t="s">
        <v>59</v>
      </c>
      <c r="H129" s="33"/>
      <c r="I129" s="33"/>
      <c r="J129" s="37"/>
    </row>
    <row r="130" spans="1:10" x14ac:dyDescent="0.2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Jaime\QUIFA-CAJÚA\Cajua\[CAJUA_CF_SEC_New_27-Feb-2024Rev3.xlsx]D-PRBDP'!</v>
      </c>
      <c r="G130" s="32" t="s">
        <v>59</v>
      </c>
      <c r="H130" s="33"/>
      <c r="I130" s="33"/>
      <c r="J130" s="37"/>
    </row>
    <row r="131" spans="1:10" x14ac:dyDescent="0.25">
      <c r="A131" s="32" t="s">
        <v>99</v>
      </c>
      <c r="B131" s="32">
        <f t="shared" ref="B131:B133" si="40">+B130+1</f>
        <v>2038</v>
      </c>
      <c r="C131" s="33" t="s">
        <v>51</v>
      </c>
      <c r="D131" s="34" t="s">
        <v>1999</v>
      </c>
      <c r="E131" s="35" t="str">
        <f t="shared" si="37"/>
        <v>PRBDP'!</v>
      </c>
      <c r="F131" s="34" t="str">
        <f t="shared" si="38"/>
        <v>C:\Users\jaime.benazar\Quorum Business Solutions\Ecopetrol Prometeo - Documents\Planning Space Implementation\3. Analysis &amp; Design\Design\FC22\DRR Jaime\QUIFA-CAJÚA\Cajua\[CAJUA_CF_SEC_New_27-Feb-2024Rev3.xlsx]D-PRBDP'!</v>
      </c>
      <c r="G131" s="32" t="s">
        <v>59</v>
      </c>
      <c r="H131" s="33"/>
      <c r="I131" s="33"/>
      <c r="J131" s="37"/>
    </row>
    <row r="132" spans="1:10" x14ac:dyDescent="0.25">
      <c r="A132" s="32" t="s">
        <v>99</v>
      </c>
      <c r="B132" s="32">
        <f t="shared" si="40"/>
        <v>2039</v>
      </c>
      <c r="C132" s="33" t="s">
        <v>51</v>
      </c>
      <c r="D132" s="34" t="s">
        <v>1999</v>
      </c>
      <c r="E132" s="35" t="str">
        <f t="shared" si="37"/>
        <v>PRBDP'!</v>
      </c>
      <c r="F132" s="34" t="str">
        <f t="shared" si="38"/>
        <v>C:\Users\jaime.benazar\Quorum Business Solutions\Ecopetrol Prometeo - Documents\Planning Space Implementation\3. Analysis &amp; Design\Design\FC22\DRR Jaime\QUIFA-CAJÚA\Cajua\[CAJUA_CF_SEC_New_27-Feb-2024Rev3.xlsx]D-PRBDP'!</v>
      </c>
      <c r="G132" s="32" t="s">
        <v>59</v>
      </c>
      <c r="H132" s="33"/>
      <c r="I132" s="33"/>
      <c r="J132" s="37"/>
    </row>
    <row r="133" spans="1:10" x14ac:dyDescent="0.25">
      <c r="A133" s="32" t="s">
        <v>99</v>
      </c>
      <c r="B133" s="32">
        <f t="shared" si="40"/>
        <v>2040</v>
      </c>
      <c r="C133" s="33" t="s">
        <v>51</v>
      </c>
      <c r="D133" s="34" t="s">
        <v>1999</v>
      </c>
      <c r="E133" s="35" t="str">
        <f t="shared" si="37"/>
        <v>PRBDP'!</v>
      </c>
      <c r="F133" s="34" t="str">
        <f t="shared" si="38"/>
        <v>C:\Users\jaime.benazar\Quorum Business Solutions\Ecopetrol Prometeo - Documents\Planning Space Implementation\3. Analysis &amp; Design\Design\FC22\DRR Jaime\QUIFA-CAJÚA\Cajua\[CAJUA_CF_SEC_New_27-Feb-2024Rev3.xlsx]D-PRBDP'!</v>
      </c>
      <c r="G133" s="32" t="s">
        <v>59</v>
      </c>
      <c r="H133" s="33"/>
      <c r="I133" s="33"/>
      <c r="J133" s="37"/>
    </row>
    <row r="134" spans="1:10" x14ac:dyDescent="0.2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Jaime\QUIFA-CAJÚA\Cajua\[CAJUA_CF_SEC_New_27-Feb-2024Rev3.xlsx]D-PRBDP'!</v>
      </c>
      <c r="G134" s="32" t="s">
        <v>59</v>
      </c>
      <c r="H134" s="33"/>
      <c r="I134" s="33"/>
      <c r="J134" s="37"/>
    </row>
    <row r="135" spans="1:10" x14ac:dyDescent="0.25">
      <c r="A135" s="32" t="s">
        <v>99</v>
      </c>
      <c r="B135" s="32">
        <f t="shared" ref="B135:B136" si="41">+B134+1</f>
        <v>2042</v>
      </c>
      <c r="C135" s="33" t="s">
        <v>51</v>
      </c>
      <c r="D135" s="34" t="s">
        <v>1999</v>
      </c>
      <c r="E135" s="35" t="str">
        <f t="shared" si="37"/>
        <v>PRBDP'!</v>
      </c>
      <c r="F135" s="34" t="str">
        <f t="shared" si="38"/>
        <v>C:\Users\jaime.benazar\Quorum Business Solutions\Ecopetrol Prometeo - Documents\Planning Space Implementation\3. Analysis &amp; Design\Design\FC22\DRR Jaime\QUIFA-CAJÚA\Cajua\[CAJUA_CF_SEC_New_27-Feb-2024Rev3.xlsx]D-PRBDP'!</v>
      </c>
      <c r="G135" s="32" t="s">
        <v>59</v>
      </c>
      <c r="H135" s="33"/>
      <c r="I135" s="33"/>
      <c r="J135" s="37"/>
    </row>
    <row r="136" spans="1:10" x14ac:dyDescent="0.25">
      <c r="A136" s="32" t="s">
        <v>99</v>
      </c>
      <c r="B136" s="32">
        <f t="shared" si="41"/>
        <v>2043</v>
      </c>
      <c r="C136" s="33" t="s">
        <v>51</v>
      </c>
      <c r="D136" s="34" t="s">
        <v>1999</v>
      </c>
      <c r="E136" s="35" t="str">
        <f t="shared" si="37"/>
        <v>PRBDP'!</v>
      </c>
      <c r="F136" s="34" t="str">
        <f t="shared" si="38"/>
        <v>C:\Users\jaime.benazar\Quorum Business Solutions\Ecopetrol Prometeo - Documents\Planning Space Implementation\3. Analysis &amp; Design\Design\FC22\DRR Jaime\QUIFA-CAJÚA\Cajua\[CAJUA_CF_SEC_New_27-Feb-2024Rev3.xlsx]D-PRBDP'!</v>
      </c>
      <c r="G136" s="32" t="s">
        <v>59</v>
      </c>
      <c r="H136" s="33"/>
      <c r="I136" s="33"/>
      <c r="J136" s="37"/>
    </row>
    <row r="137" spans="1:10" x14ac:dyDescent="0.25">
      <c r="A137" s="32" t="s">
        <v>99</v>
      </c>
      <c r="B137" s="32">
        <f>+B136+1</f>
        <v>2044</v>
      </c>
      <c r="C137" s="33" t="s">
        <v>51</v>
      </c>
      <c r="D137" s="34" t="s">
        <v>1999</v>
      </c>
      <c r="E137" s="35" t="str">
        <f t="shared" ref="E137:E152" si="42">_xlfn.CONCAT(A137,"'!")</f>
        <v>PRBDP'!</v>
      </c>
      <c r="F137" s="34" t="str">
        <f t="shared" ref="F137:F152" si="43">_xlfn.CONCAT(D137:E137)</f>
        <v>C:\Users\jaime.benazar\Quorum Business Solutions\Ecopetrol Prometeo - Documents\Planning Space Implementation\3. Analysis &amp; Design\Design\FC22\DRR Jaime\QUIFA-CAJÚA\Cajua\[CAJUA_CF_SEC_New_27-Feb-2024Rev3.xlsx]D-PRBDP'!</v>
      </c>
      <c r="G137" s="32" t="s">
        <v>59</v>
      </c>
      <c r="H137" s="33"/>
      <c r="I137" s="33"/>
      <c r="J137" s="37"/>
    </row>
    <row r="138" spans="1:10" x14ac:dyDescent="0.25">
      <c r="A138" s="32" t="s">
        <v>99</v>
      </c>
      <c r="B138" s="32">
        <f t="shared" ref="B138:B152" si="44">+B137+1</f>
        <v>2045</v>
      </c>
      <c r="C138" s="33" t="s">
        <v>51</v>
      </c>
      <c r="D138" s="34" t="s">
        <v>1999</v>
      </c>
      <c r="E138" s="35" t="str">
        <f t="shared" si="42"/>
        <v>PRBDP'!</v>
      </c>
      <c r="F138" s="34" t="str">
        <f t="shared" si="43"/>
        <v>C:\Users\jaime.benazar\Quorum Business Solutions\Ecopetrol Prometeo - Documents\Planning Space Implementation\3. Analysis &amp; Design\Design\FC22\DRR Jaime\QUIFA-CAJÚA\Cajua\[CAJUA_CF_SEC_New_27-Feb-2024Rev3.xlsx]D-PRBDP'!</v>
      </c>
      <c r="G138" s="32" t="s">
        <v>59</v>
      </c>
      <c r="H138" s="33"/>
      <c r="I138" s="33"/>
      <c r="J138" s="37"/>
    </row>
    <row r="139" spans="1:10" x14ac:dyDescent="0.25">
      <c r="A139" s="32" t="s">
        <v>99</v>
      </c>
      <c r="B139" s="32">
        <f t="shared" si="44"/>
        <v>2046</v>
      </c>
      <c r="C139" s="33" t="s">
        <v>51</v>
      </c>
      <c r="D139" s="34" t="s">
        <v>1999</v>
      </c>
      <c r="E139" s="35" t="str">
        <f t="shared" si="42"/>
        <v>PRBDP'!</v>
      </c>
      <c r="F139" s="34" t="str">
        <f t="shared" si="43"/>
        <v>C:\Users\jaime.benazar\Quorum Business Solutions\Ecopetrol Prometeo - Documents\Planning Space Implementation\3. Analysis &amp; Design\Design\FC22\DRR Jaime\QUIFA-CAJÚA\Cajua\[CAJUA_CF_SEC_New_27-Feb-2024Rev3.xlsx]D-PRBDP'!</v>
      </c>
      <c r="G139" s="32" t="s">
        <v>59</v>
      </c>
      <c r="H139" s="33"/>
      <c r="I139" s="33"/>
      <c r="J139" s="37"/>
    </row>
    <row r="140" spans="1:10" x14ac:dyDescent="0.25">
      <c r="A140" s="32" t="s">
        <v>99</v>
      </c>
      <c r="B140" s="32">
        <f t="shared" si="44"/>
        <v>2047</v>
      </c>
      <c r="C140" s="33" t="s">
        <v>51</v>
      </c>
      <c r="D140" s="34" t="s">
        <v>1999</v>
      </c>
      <c r="E140" s="35" t="str">
        <f t="shared" si="42"/>
        <v>PRBDP'!</v>
      </c>
      <c r="F140" s="34" t="str">
        <f t="shared" si="43"/>
        <v>C:\Users\jaime.benazar\Quorum Business Solutions\Ecopetrol Prometeo - Documents\Planning Space Implementation\3. Analysis &amp; Design\Design\FC22\DRR Jaime\QUIFA-CAJÚA\Cajua\[CAJUA_CF_SEC_New_27-Feb-2024Rev3.xlsx]D-PRBDP'!</v>
      </c>
      <c r="G140" s="32" t="s">
        <v>59</v>
      </c>
      <c r="H140" s="33"/>
      <c r="I140" s="33"/>
      <c r="J140" s="37"/>
    </row>
    <row r="141" spans="1:10" x14ac:dyDescent="0.25">
      <c r="A141" s="32" t="s">
        <v>99</v>
      </c>
      <c r="B141" s="32">
        <f t="shared" si="44"/>
        <v>2048</v>
      </c>
      <c r="C141" s="33" t="s">
        <v>51</v>
      </c>
      <c r="D141" s="34" t="s">
        <v>1999</v>
      </c>
      <c r="E141" s="35" t="str">
        <f t="shared" si="42"/>
        <v>PRBDP'!</v>
      </c>
      <c r="F141" s="34" t="str">
        <f t="shared" si="43"/>
        <v>C:\Users\jaime.benazar\Quorum Business Solutions\Ecopetrol Prometeo - Documents\Planning Space Implementation\3. Analysis &amp; Design\Design\FC22\DRR Jaime\QUIFA-CAJÚA\Cajua\[CAJUA_CF_SEC_New_27-Feb-2024Rev3.xlsx]D-PRBDP'!</v>
      </c>
      <c r="G141" s="32" t="s">
        <v>59</v>
      </c>
      <c r="H141" s="33"/>
      <c r="I141" s="33"/>
      <c r="J141" s="37"/>
    </row>
    <row r="142" spans="1:10" x14ac:dyDescent="0.25">
      <c r="A142" s="32" t="s">
        <v>99</v>
      </c>
      <c r="B142" s="32">
        <f t="shared" si="44"/>
        <v>2049</v>
      </c>
      <c r="C142" s="33" t="s">
        <v>51</v>
      </c>
      <c r="D142" s="34" t="s">
        <v>1999</v>
      </c>
      <c r="E142" s="35" t="str">
        <f t="shared" si="42"/>
        <v>PRBDP'!</v>
      </c>
      <c r="F142" s="34" t="str">
        <f t="shared" si="43"/>
        <v>C:\Users\jaime.benazar\Quorum Business Solutions\Ecopetrol Prometeo - Documents\Planning Space Implementation\3. Analysis &amp; Design\Design\FC22\DRR Jaime\QUIFA-CAJÚA\Cajua\[CAJUA_CF_SEC_New_27-Feb-2024Rev3.xlsx]D-PRBDP'!</v>
      </c>
      <c r="G142" s="32" t="s">
        <v>59</v>
      </c>
      <c r="H142" s="33"/>
      <c r="I142" s="33"/>
      <c r="J142" s="37"/>
    </row>
    <row r="143" spans="1:10" x14ac:dyDescent="0.25">
      <c r="A143" s="32" t="s">
        <v>99</v>
      </c>
      <c r="B143" s="32">
        <f t="shared" si="44"/>
        <v>2050</v>
      </c>
      <c r="C143" s="33" t="s">
        <v>51</v>
      </c>
      <c r="D143" s="34" t="s">
        <v>1999</v>
      </c>
      <c r="E143" s="35" t="str">
        <f t="shared" si="42"/>
        <v>PRBDP'!</v>
      </c>
      <c r="F143" s="34" t="str">
        <f t="shared" si="43"/>
        <v>C:\Users\jaime.benazar\Quorum Business Solutions\Ecopetrol Prometeo - Documents\Planning Space Implementation\3. Analysis &amp; Design\Design\FC22\DRR Jaime\QUIFA-CAJÚA\Cajua\[CAJUA_CF_SEC_New_27-Feb-2024Rev3.xlsx]D-PRBDP'!</v>
      </c>
      <c r="G143" s="32" t="s">
        <v>59</v>
      </c>
      <c r="H143" s="33"/>
      <c r="I143" s="33"/>
      <c r="J143" s="37"/>
    </row>
    <row r="144" spans="1:10" x14ac:dyDescent="0.25">
      <c r="A144" s="32" t="s">
        <v>99</v>
      </c>
      <c r="B144" s="32">
        <f t="shared" si="44"/>
        <v>2051</v>
      </c>
      <c r="C144" s="33" t="s">
        <v>51</v>
      </c>
      <c r="D144" s="34" t="s">
        <v>1999</v>
      </c>
      <c r="E144" s="35" t="str">
        <f t="shared" si="42"/>
        <v>PRBDP'!</v>
      </c>
      <c r="F144" s="34" t="str">
        <f t="shared" si="43"/>
        <v>C:\Users\jaime.benazar\Quorum Business Solutions\Ecopetrol Prometeo - Documents\Planning Space Implementation\3. Analysis &amp; Design\Design\FC22\DRR Jaime\QUIFA-CAJÚA\Cajua\[CAJUA_CF_SEC_New_27-Feb-2024Rev3.xlsx]D-PRBDP'!</v>
      </c>
      <c r="G144" s="32" t="s">
        <v>59</v>
      </c>
      <c r="H144" s="33"/>
      <c r="I144" s="33"/>
      <c r="J144" s="37"/>
    </row>
    <row r="145" spans="1:10" x14ac:dyDescent="0.25">
      <c r="A145" s="32" t="s">
        <v>99</v>
      </c>
      <c r="B145" s="32">
        <f t="shared" si="44"/>
        <v>2052</v>
      </c>
      <c r="C145" s="33" t="s">
        <v>51</v>
      </c>
      <c r="D145" s="34" t="s">
        <v>1999</v>
      </c>
      <c r="E145" s="35" t="str">
        <f t="shared" si="42"/>
        <v>PRBDP'!</v>
      </c>
      <c r="F145" s="34" t="str">
        <f t="shared" si="43"/>
        <v>C:\Users\jaime.benazar\Quorum Business Solutions\Ecopetrol Prometeo - Documents\Planning Space Implementation\3. Analysis &amp; Design\Design\FC22\DRR Jaime\QUIFA-CAJÚA\Cajua\[CAJUA_CF_SEC_New_27-Feb-2024Rev3.xlsx]D-PRBDP'!</v>
      </c>
      <c r="G145" s="32" t="s">
        <v>59</v>
      </c>
      <c r="H145" s="33"/>
      <c r="I145" s="33"/>
      <c r="J145" s="37"/>
    </row>
    <row r="146" spans="1:10" x14ac:dyDescent="0.25">
      <c r="A146" s="32" t="s">
        <v>99</v>
      </c>
      <c r="B146" s="32">
        <f t="shared" si="44"/>
        <v>2053</v>
      </c>
      <c r="C146" s="33" t="s">
        <v>51</v>
      </c>
      <c r="D146" s="34" t="s">
        <v>1999</v>
      </c>
      <c r="E146" s="35" t="str">
        <f t="shared" si="42"/>
        <v>PRBDP'!</v>
      </c>
      <c r="F146" s="34" t="str">
        <f t="shared" si="43"/>
        <v>C:\Users\jaime.benazar\Quorum Business Solutions\Ecopetrol Prometeo - Documents\Planning Space Implementation\3. Analysis &amp; Design\Design\FC22\DRR Jaime\QUIFA-CAJÚA\Cajua\[CAJUA_CF_SEC_New_27-Feb-2024Rev3.xlsx]D-PRBDP'!</v>
      </c>
      <c r="G146" s="32" t="s">
        <v>59</v>
      </c>
      <c r="H146" s="33"/>
      <c r="I146" s="33"/>
      <c r="J146" s="37"/>
    </row>
    <row r="147" spans="1:10" x14ac:dyDescent="0.25">
      <c r="A147" s="32" t="s">
        <v>99</v>
      </c>
      <c r="B147" s="32">
        <f t="shared" si="44"/>
        <v>2054</v>
      </c>
      <c r="C147" s="33" t="s">
        <v>51</v>
      </c>
      <c r="D147" s="34" t="s">
        <v>1999</v>
      </c>
      <c r="E147" s="35" t="str">
        <f t="shared" si="42"/>
        <v>PRBDP'!</v>
      </c>
      <c r="F147" s="34" t="str">
        <f t="shared" si="43"/>
        <v>C:\Users\jaime.benazar\Quorum Business Solutions\Ecopetrol Prometeo - Documents\Planning Space Implementation\3. Analysis &amp; Design\Design\FC22\DRR Jaime\QUIFA-CAJÚA\Cajua\[CAJUA_CF_SEC_New_27-Feb-2024Rev3.xlsx]D-PRBDP'!</v>
      </c>
      <c r="G147" s="32" t="s">
        <v>59</v>
      </c>
      <c r="H147" s="33"/>
      <c r="I147" s="33"/>
      <c r="J147" s="37"/>
    </row>
    <row r="148" spans="1:10" x14ac:dyDescent="0.25">
      <c r="A148" s="32" t="s">
        <v>99</v>
      </c>
      <c r="B148" s="32">
        <f t="shared" si="44"/>
        <v>2055</v>
      </c>
      <c r="C148" s="33" t="s">
        <v>51</v>
      </c>
      <c r="D148" s="34" t="s">
        <v>1999</v>
      </c>
      <c r="E148" s="35" t="str">
        <f t="shared" si="42"/>
        <v>PRBDP'!</v>
      </c>
      <c r="F148" s="34" t="str">
        <f t="shared" si="43"/>
        <v>C:\Users\jaime.benazar\Quorum Business Solutions\Ecopetrol Prometeo - Documents\Planning Space Implementation\3. Analysis &amp; Design\Design\FC22\DRR Jaime\QUIFA-CAJÚA\Cajua\[CAJUA_CF_SEC_New_27-Feb-2024Rev3.xlsx]D-PRBDP'!</v>
      </c>
      <c r="G148" s="32" t="s">
        <v>59</v>
      </c>
      <c r="H148" s="33"/>
      <c r="I148" s="33"/>
      <c r="J148" s="37"/>
    </row>
    <row r="149" spans="1:10" x14ac:dyDescent="0.25">
      <c r="A149" s="32" t="s">
        <v>99</v>
      </c>
      <c r="B149" s="32">
        <f t="shared" si="44"/>
        <v>2056</v>
      </c>
      <c r="C149" s="33" t="s">
        <v>51</v>
      </c>
      <c r="D149" s="34" t="s">
        <v>1999</v>
      </c>
      <c r="E149" s="35" t="str">
        <f t="shared" si="42"/>
        <v>PRBDP'!</v>
      </c>
      <c r="F149" s="34" t="str">
        <f t="shared" si="43"/>
        <v>C:\Users\jaime.benazar\Quorum Business Solutions\Ecopetrol Prometeo - Documents\Planning Space Implementation\3. Analysis &amp; Design\Design\FC22\DRR Jaime\QUIFA-CAJÚA\Cajua\[CAJUA_CF_SEC_New_27-Feb-2024Rev3.xlsx]D-PRBDP'!</v>
      </c>
      <c r="G149" s="32" t="s">
        <v>59</v>
      </c>
      <c r="H149" s="33"/>
      <c r="I149" s="33"/>
      <c r="J149" s="37"/>
    </row>
    <row r="150" spans="1:10" x14ac:dyDescent="0.25">
      <c r="A150" s="32" t="s">
        <v>99</v>
      </c>
      <c r="B150" s="32">
        <f t="shared" si="44"/>
        <v>2057</v>
      </c>
      <c r="C150" s="33" t="s">
        <v>51</v>
      </c>
      <c r="D150" s="34" t="s">
        <v>1999</v>
      </c>
      <c r="E150" s="35" t="str">
        <f t="shared" si="42"/>
        <v>PRBDP'!</v>
      </c>
      <c r="F150" s="34" t="str">
        <f t="shared" si="43"/>
        <v>C:\Users\jaime.benazar\Quorum Business Solutions\Ecopetrol Prometeo - Documents\Planning Space Implementation\3. Analysis &amp; Design\Design\FC22\DRR Jaime\QUIFA-CAJÚA\Cajua\[CAJUA_CF_SEC_New_27-Feb-2024Rev3.xlsx]D-PRBDP'!</v>
      </c>
      <c r="G150" s="32" t="s">
        <v>59</v>
      </c>
      <c r="H150" s="33"/>
      <c r="I150" s="33"/>
      <c r="J150" s="37"/>
    </row>
    <row r="151" spans="1:10" x14ac:dyDescent="0.25">
      <c r="A151" s="32" t="s">
        <v>99</v>
      </c>
      <c r="B151" s="32">
        <f t="shared" si="44"/>
        <v>2058</v>
      </c>
      <c r="C151" s="33" t="s">
        <v>51</v>
      </c>
      <c r="D151" s="34" t="s">
        <v>1999</v>
      </c>
      <c r="E151" s="35" t="str">
        <f t="shared" si="42"/>
        <v>PRBDP'!</v>
      </c>
      <c r="F151" s="34" t="str">
        <f t="shared" si="43"/>
        <v>C:\Users\jaime.benazar\Quorum Business Solutions\Ecopetrol Prometeo - Documents\Planning Space Implementation\3. Analysis &amp; Design\Design\FC22\DRR Jaime\QUIFA-CAJÚA\Cajua\[CAJUA_CF_SEC_New_27-Feb-2024Rev3.xlsx]D-PRBDP'!</v>
      </c>
      <c r="G151" s="32" t="s">
        <v>59</v>
      </c>
      <c r="H151" s="33"/>
      <c r="I151" s="33"/>
      <c r="J151" s="37"/>
    </row>
    <row r="152" spans="1:10" x14ac:dyDescent="0.25">
      <c r="A152" s="32" t="s">
        <v>99</v>
      </c>
      <c r="B152" s="32">
        <f t="shared" si="44"/>
        <v>2059</v>
      </c>
      <c r="C152" s="33" t="s">
        <v>51</v>
      </c>
      <c r="D152" s="34" t="s">
        <v>1999</v>
      </c>
      <c r="E152" s="35" t="str">
        <f t="shared" si="42"/>
        <v>PRBDP'!</v>
      </c>
      <c r="F152" s="34" t="str">
        <f t="shared" si="43"/>
        <v>C:\Users\jaime.benazar\Quorum Business Solutions\Ecopetrol Prometeo - Documents\Planning Space Implementation\3. Analysis &amp; Design\Design\FC22\DRR Jaime\QUIFA-CAJÚA\Cajua\[CAJUA_CF_SEC_New_27-Feb-2024Rev3.xlsx]D-PRBDP'!</v>
      </c>
      <c r="G152" s="32" t="s">
        <v>59</v>
      </c>
      <c r="H152" s="33"/>
      <c r="I152" s="33"/>
      <c r="J152" s="37"/>
    </row>
    <row r="153" spans="1:10" x14ac:dyDescent="0.25">
      <c r="A153" s="32" t="s">
        <v>28</v>
      </c>
      <c r="B153" s="32"/>
      <c r="C153" s="33" t="s">
        <v>51</v>
      </c>
      <c r="D153" s="34"/>
      <c r="E153" s="35"/>
      <c r="F153" s="34"/>
      <c r="G153" s="32"/>
      <c r="H153" s="33"/>
      <c r="I153" s="33"/>
      <c r="J153" s="33"/>
    </row>
    <row r="154" spans="1:10" x14ac:dyDescent="0.25">
      <c r="A154" s="32" t="s">
        <v>100</v>
      </c>
      <c r="B154" s="32">
        <v>2023</v>
      </c>
      <c r="C154" s="33" t="s">
        <v>51</v>
      </c>
      <c r="D154" s="34" t="s">
        <v>1999</v>
      </c>
      <c r="E154" s="35" t="str">
        <f t="shared" ref="E154:E174" si="45">_xlfn.CONCAT(A154,"'!")</f>
        <v>PRBNP'!</v>
      </c>
      <c r="F154" s="34" t="str">
        <f t="shared" ref="F154:F174" si="46">_xlfn.CONCAT(D154:E154)</f>
        <v>C:\Users\jaime.benazar\Quorum Business Solutions\Ecopetrol Prometeo - Documents\Planning Space Implementation\3. Analysis &amp; Design\Design\FC22\DRR Jaime\QUIFA-CAJÚA\Cajua\[CAJUA_CF_SEC_New_27-Feb-2024Rev3.xlsx]D-PRBNP'!</v>
      </c>
      <c r="G154" s="32" t="s">
        <v>59</v>
      </c>
      <c r="H154" s="33"/>
      <c r="I154" s="33"/>
      <c r="J154" s="37"/>
    </row>
    <row r="155" spans="1:10" x14ac:dyDescent="0.25">
      <c r="A155" s="32" t="s">
        <v>100</v>
      </c>
      <c r="B155" s="32">
        <f>+B154+1</f>
        <v>2024</v>
      </c>
      <c r="C155" s="33" t="s">
        <v>51</v>
      </c>
      <c r="D155" s="34" t="s">
        <v>1999</v>
      </c>
      <c r="E155" s="35" t="str">
        <f t="shared" si="45"/>
        <v>PRBNP'!</v>
      </c>
      <c r="F155" s="34" t="str">
        <f t="shared" si="46"/>
        <v>C:\Users\jaime.benazar\Quorum Business Solutions\Ecopetrol Prometeo - Documents\Planning Space Implementation\3. Analysis &amp; Design\Design\FC22\DRR Jaime\QUIFA-CAJÚA\Cajua\[CAJUA_CF_SEC_New_27-Feb-2024Rev3.xlsx]D-PRBNP'!</v>
      </c>
      <c r="G155" s="32" t="s">
        <v>59</v>
      </c>
      <c r="H155" s="33"/>
      <c r="I155" s="33"/>
      <c r="J155" s="37"/>
    </row>
    <row r="156" spans="1:10" x14ac:dyDescent="0.25">
      <c r="A156" s="32" t="s">
        <v>100</v>
      </c>
      <c r="B156" s="32">
        <f t="shared" ref="B156:B167" si="47">+B155+1</f>
        <v>2025</v>
      </c>
      <c r="C156" s="33" t="s">
        <v>51</v>
      </c>
      <c r="D156" s="34" t="s">
        <v>1999</v>
      </c>
      <c r="E156" s="35" t="str">
        <f t="shared" si="45"/>
        <v>PRBNP'!</v>
      </c>
      <c r="F156" s="34" t="str">
        <f t="shared" si="46"/>
        <v>C:\Users\jaime.benazar\Quorum Business Solutions\Ecopetrol Prometeo - Documents\Planning Space Implementation\3. Analysis &amp; Design\Design\FC22\DRR Jaime\QUIFA-CAJÚA\Cajua\[CAJUA_CF_SEC_New_27-Feb-2024Rev3.xlsx]D-PRBNP'!</v>
      </c>
      <c r="G156" s="32" t="s">
        <v>59</v>
      </c>
      <c r="H156" s="33"/>
      <c r="I156" s="33"/>
      <c r="J156" s="37"/>
    </row>
    <row r="157" spans="1:10" x14ac:dyDescent="0.25">
      <c r="A157" s="32" t="s">
        <v>100</v>
      </c>
      <c r="B157" s="32">
        <f t="shared" si="47"/>
        <v>2026</v>
      </c>
      <c r="C157" s="33" t="s">
        <v>51</v>
      </c>
      <c r="D157" s="34" t="s">
        <v>1999</v>
      </c>
      <c r="E157" s="35" t="str">
        <f t="shared" si="45"/>
        <v>PRBNP'!</v>
      </c>
      <c r="F157" s="34" t="str">
        <f t="shared" si="46"/>
        <v>C:\Users\jaime.benazar\Quorum Business Solutions\Ecopetrol Prometeo - Documents\Planning Space Implementation\3. Analysis &amp; Design\Design\FC22\DRR Jaime\QUIFA-CAJÚA\Cajua\[CAJUA_CF_SEC_New_27-Feb-2024Rev3.xlsx]D-PRBNP'!</v>
      </c>
      <c r="G157" s="32" t="s">
        <v>59</v>
      </c>
      <c r="H157" s="33"/>
      <c r="I157" s="33"/>
      <c r="J157" s="37"/>
    </row>
    <row r="158" spans="1:10" x14ac:dyDescent="0.25">
      <c r="A158" s="32" t="s">
        <v>100</v>
      </c>
      <c r="B158" s="32">
        <f t="shared" si="47"/>
        <v>2027</v>
      </c>
      <c r="C158" s="33" t="s">
        <v>51</v>
      </c>
      <c r="D158" s="34" t="s">
        <v>1999</v>
      </c>
      <c r="E158" s="35" t="str">
        <f t="shared" si="45"/>
        <v>PRBNP'!</v>
      </c>
      <c r="F158" s="34" t="str">
        <f t="shared" si="46"/>
        <v>C:\Users\jaime.benazar\Quorum Business Solutions\Ecopetrol Prometeo - Documents\Planning Space Implementation\3. Analysis &amp; Design\Design\FC22\DRR Jaime\QUIFA-CAJÚA\Cajua\[CAJUA_CF_SEC_New_27-Feb-2024Rev3.xlsx]D-PRBNP'!</v>
      </c>
      <c r="G158" s="32" t="s">
        <v>59</v>
      </c>
      <c r="H158" s="33"/>
      <c r="I158" s="33"/>
      <c r="J158" s="37"/>
    </row>
    <row r="159" spans="1:10" x14ac:dyDescent="0.25">
      <c r="A159" s="32" t="s">
        <v>100</v>
      </c>
      <c r="B159" s="32">
        <f t="shared" si="47"/>
        <v>2028</v>
      </c>
      <c r="C159" s="33" t="s">
        <v>51</v>
      </c>
      <c r="D159" s="34" t="s">
        <v>1999</v>
      </c>
      <c r="E159" s="35" t="str">
        <f t="shared" si="45"/>
        <v>PRBNP'!</v>
      </c>
      <c r="F159" s="34" t="str">
        <f t="shared" si="46"/>
        <v>C:\Users\jaime.benazar\Quorum Business Solutions\Ecopetrol Prometeo - Documents\Planning Space Implementation\3. Analysis &amp; Design\Design\FC22\DRR Jaime\QUIFA-CAJÚA\Cajua\[CAJUA_CF_SEC_New_27-Feb-2024Rev3.xlsx]D-PRBNP'!</v>
      </c>
      <c r="G159" s="32" t="s">
        <v>59</v>
      </c>
      <c r="H159" s="33"/>
      <c r="I159" s="33"/>
      <c r="J159" s="37"/>
    </row>
    <row r="160" spans="1:10" x14ac:dyDescent="0.25">
      <c r="A160" s="32" t="s">
        <v>100</v>
      </c>
      <c r="B160" s="32">
        <f t="shared" si="47"/>
        <v>2029</v>
      </c>
      <c r="C160" s="33" t="s">
        <v>51</v>
      </c>
      <c r="D160" s="34" t="s">
        <v>1999</v>
      </c>
      <c r="E160" s="35" t="str">
        <f t="shared" si="45"/>
        <v>PRBNP'!</v>
      </c>
      <c r="F160" s="34" t="str">
        <f t="shared" si="46"/>
        <v>C:\Users\jaime.benazar\Quorum Business Solutions\Ecopetrol Prometeo - Documents\Planning Space Implementation\3. Analysis &amp; Design\Design\FC22\DRR Jaime\QUIFA-CAJÚA\Cajua\[CAJUA_CF_SEC_New_27-Feb-2024Rev3.xlsx]D-PRBNP'!</v>
      </c>
      <c r="G160" s="32" t="s">
        <v>59</v>
      </c>
      <c r="H160" s="33"/>
      <c r="I160" s="33"/>
      <c r="J160" s="37"/>
    </row>
    <row r="161" spans="1:10" x14ac:dyDescent="0.25">
      <c r="A161" s="32" t="s">
        <v>100</v>
      </c>
      <c r="B161" s="32">
        <f t="shared" si="47"/>
        <v>2030</v>
      </c>
      <c r="C161" s="33" t="s">
        <v>51</v>
      </c>
      <c r="D161" s="34" t="s">
        <v>1999</v>
      </c>
      <c r="E161" s="35" t="str">
        <f t="shared" si="45"/>
        <v>PRBNP'!</v>
      </c>
      <c r="F161" s="34" t="str">
        <f t="shared" si="46"/>
        <v>C:\Users\jaime.benazar\Quorum Business Solutions\Ecopetrol Prometeo - Documents\Planning Space Implementation\3. Analysis &amp; Design\Design\FC22\DRR Jaime\QUIFA-CAJÚA\Cajua\[CAJUA_CF_SEC_New_27-Feb-2024Rev3.xlsx]D-PRBNP'!</v>
      </c>
      <c r="G161" s="32" t="s">
        <v>59</v>
      </c>
      <c r="H161" s="33"/>
      <c r="I161" s="33"/>
      <c r="J161" s="37"/>
    </row>
    <row r="162" spans="1:10" x14ac:dyDescent="0.25">
      <c r="A162" s="32" t="s">
        <v>100</v>
      </c>
      <c r="B162" s="32">
        <f t="shared" si="47"/>
        <v>2031</v>
      </c>
      <c r="C162" s="33" t="s">
        <v>51</v>
      </c>
      <c r="D162" s="34" t="s">
        <v>1999</v>
      </c>
      <c r="E162" s="35" t="str">
        <f t="shared" si="45"/>
        <v>PRBNP'!</v>
      </c>
      <c r="F162" s="34" t="str">
        <f t="shared" si="46"/>
        <v>C:\Users\jaime.benazar\Quorum Business Solutions\Ecopetrol Prometeo - Documents\Planning Space Implementation\3. Analysis &amp; Design\Design\FC22\DRR Jaime\QUIFA-CAJÚA\Cajua\[CAJUA_CF_SEC_New_27-Feb-2024Rev3.xlsx]D-PRBNP'!</v>
      </c>
      <c r="G162" s="32" t="s">
        <v>59</v>
      </c>
      <c r="H162" s="33"/>
      <c r="I162" s="33"/>
      <c r="J162" s="37"/>
    </row>
    <row r="163" spans="1:10" x14ac:dyDescent="0.25">
      <c r="A163" s="32" t="s">
        <v>100</v>
      </c>
      <c r="B163" s="32">
        <f t="shared" si="47"/>
        <v>2032</v>
      </c>
      <c r="C163" s="33" t="s">
        <v>51</v>
      </c>
      <c r="D163" s="34" t="s">
        <v>1999</v>
      </c>
      <c r="E163" s="35" t="str">
        <f t="shared" si="45"/>
        <v>PRBNP'!</v>
      </c>
      <c r="F163" s="34" t="str">
        <f t="shared" si="46"/>
        <v>C:\Users\jaime.benazar\Quorum Business Solutions\Ecopetrol Prometeo - Documents\Planning Space Implementation\3. Analysis &amp; Design\Design\FC22\DRR Jaime\QUIFA-CAJÚA\Cajua\[CAJUA_CF_SEC_New_27-Feb-2024Rev3.xlsx]D-PRBNP'!</v>
      </c>
      <c r="G163" s="32" t="s">
        <v>59</v>
      </c>
      <c r="H163" s="33"/>
      <c r="I163" s="33"/>
      <c r="J163" s="37"/>
    </row>
    <row r="164" spans="1:10" x14ac:dyDescent="0.25">
      <c r="A164" s="32" t="s">
        <v>100</v>
      </c>
      <c r="B164" s="32">
        <f t="shared" si="47"/>
        <v>2033</v>
      </c>
      <c r="C164" s="33" t="s">
        <v>51</v>
      </c>
      <c r="D164" s="34" t="s">
        <v>1999</v>
      </c>
      <c r="E164" s="35" t="str">
        <f t="shared" si="45"/>
        <v>PRBNP'!</v>
      </c>
      <c r="F164" s="34" t="str">
        <f t="shared" si="46"/>
        <v>C:\Users\jaime.benazar\Quorum Business Solutions\Ecopetrol Prometeo - Documents\Planning Space Implementation\3. Analysis &amp; Design\Design\FC22\DRR Jaime\QUIFA-CAJÚA\Cajua\[CAJUA_CF_SEC_New_27-Feb-2024Rev3.xlsx]D-PRBNP'!</v>
      </c>
      <c r="G164" s="32" t="s">
        <v>59</v>
      </c>
      <c r="H164" s="33"/>
      <c r="I164" s="33"/>
      <c r="J164" s="37"/>
    </row>
    <row r="165" spans="1:10" x14ac:dyDescent="0.25">
      <c r="A165" s="32" t="s">
        <v>100</v>
      </c>
      <c r="B165" s="32">
        <f t="shared" si="47"/>
        <v>2034</v>
      </c>
      <c r="C165" s="33" t="s">
        <v>51</v>
      </c>
      <c r="D165" s="34" t="s">
        <v>1999</v>
      </c>
      <c r="E165" s="35" t="str">
        <f t="shared" si="45"/>
        <v>PRBNP'!</v>
      </c>
      <c r="F165" s="34" t="str">
        <f t="shared" si="46"/>
        <v>C:\Users\jaime.benazar\Quorum Business Solutions\Ecopetrol Prometeo - Documents\Planning Space Implementation\3. Analysis &amp; Design\Design\FC22\DRR Jaime\QUIFA-CAJÚA\Cajua\[CAJUA_CF_SEC_New_27-Feb-2024Rev3.xlsx]D-PRBNP'!</v>
      </c>
      <c r="G165" s="32" t="s">
        <v>59</v>
      </c>
      <c r="H165" s="33"/>
      <c r="I165" s="33"/>
      <c r="J165" s="37"/>
    </row>
    <row r="166" spans="1:10" x14ac:dyDescent="0.25">
      <c r="A166" s="32" t="s">
        <v>100</v>
      </c>
      <c r="B166" s="32">
        <f t="shared" si="47"/>
        <v>2035</v>
      </c>
      <c r="C166" s="33" t="s">
        <v>51</v>
      </c>
      <c r="D166" s="34" t="s">
        <v>1999</v>
      </c>
      <c r="E166" s="35" t="str">
        <f t="shared" si="45"/>
        <v>PRBNP'!</v>
      </c>
      <c r="F166" s="34" t="str">
        <f t="shared" si="46"/>
        <v>C:\Users\jaime.benazar\Quorum Business Solutions\Ecopetrol Prometeo - Documents\Planning Space Implementation\3. Analysis &amp; Design\Design\FC22\DRR Jaime\QUIFA-CAJÚA\Cajua\[CAJUA_CF_SEC_New_27-Feb-2024Rev3.xlsx]D-PRBNP'!</v>
      </c>
      <c r="G166" s="32" t="s">
        <v>59</v>
      </c>
      <c r="H166" s="33"/>
      <c r="I166" s="33"/>
      <c r="J166" s="37"/>
    </row>
    <row r="167" spans="1:10" x14ac:dyDescent="0.25">
      <c r="A167" s="32" t="s">
        <v>100</v>
      </c>
      <c r="B167" s="32">
        <f t="shared" si="47"/>
        <v>2036</v>
      </c>
      <c r="C167" s="33" t="s">
        <v>51</v>
      </c>
      <c r="D167" s="34" t="s">
        <v>1999</v>
      </c>
      <c r="E167" s="35" t="str">
        <f t="shared" si="45"/>
        <v>PRBNP'!</v>
      </c>
      <c r="F167" s="34" t="str">
        <f t="shared" si="46"/>
        <v>C:\Users\jaime.benazar\Quorum Business Solutions\Ecopetrol Prometeo - Documents\Planning Space Implementation\3. Analysis &amp; Design\Design\FC22\DRR Jaime\QUIFA-CAJÚA\Cajua\[CAJUA_CF_SEC_New_27-Feb-2024Rev3.xlsx]D-PRBNP'!</v>
      </c>
      <c r="G167" s="32" t="s">
        <v>59</v>
      </c>
      <c r="H167" s="33"/>
      <c r="I167" s="33"/>
      <c r="J167" s="37"/>
    </row>
    <row r="168" spans="1:10" x14ac:dyDescent="0.25">
      <c r="A168" s="32" t="s">
        <v>100</v>
      </c>
      <c r="B168" s="32">
        <f>+B167+1</f>
        <v>2037</v>
      </c>
      <c r="C168" s="33" t="s">
        <v>51</v>
      </c>
      <c r="D168" s="34" t="s">
        <v>1999</v>
      </c>
      <c r="E168" s="35" t="str">
        <f t="shared" si="45"/>
        <v>PRBNP'!</v>
      </c>
      <c r="F168" s="34" t="str">
        <f t="shared" si="46"/>
        <v>C:\Users\jaime.benazar\Quorum Business Solutions\Ecopetrol Prometeo - Documents\Planning Space Implementation\3. Analysis &amp; Design\Design\FC22\DRR Jaime\QUIFA-CAJÚA\Cajua\[CAJUA_CF_SEC_New_27-Feb-2024Rev3.xlsx]D-PRBNP'!</v>
      </c>
      <c r="G168" s="32" t="s">
        <v>59</v>
      </c>
      <c r="H168" s="33"/>
      <c r="I168" s="33"/>
      <c r="J168" s="37"/>
    </row>
    <row r="169" spans="1:10" x14ac:dyDescent="0.25">
      <c r="A169" s="32" t="s">
        <v>100</v>
      </c>
      <c r="B169" s="32">
        <f t="shared" ref="B169:B171" si="48">+B168+1</f>
        <v>2038</v>
      </c>
      <c r="C169" s="33" t="s">
        <v>51</v>
      </c>
      <c r="D169" s="34" t="s">
        <v>1999</v>
      </c>
      <c r="E169" s="35" t="str">
        <f t="shared" si="45"/>
        <v>PRBNP'!</v>
      </c>
      <c r="F169" s="34" t="str">
        <f t="shared" si="46"/>
        <v>C:\Users\jaime.benazar\Quorum Business Solutions\Ecopetrol Prometeo - Documents\Planning Space Implementation\3. Analysis &amp; Design\Design\FC22\DRR Jaime\QUIFA-CAJÚA\Cajua\[CAJUA_CF_SEC_New_27-Feb-2024Rev3.xlsx]D-PRBNP'!</v>
      </c>
      <c r="G169" s="32" t="s">
        <v>59</v>
      </c>
      <c r="H169" s="33"/>
      <c r="I169" s="33"/>
      <c r="J169" s="37"/>
    </row>
    <row r="170" spans="1:10" x14ac:dyDescent="0.25">
      <c r="A170" s="32" t="s">
        <v>100</v>
      </c>
      <c r="B170" s="32">
        <f t="shared" si="48"/>
        <v>2039</v>
      </c>
      <c r="C170" s="33" t="s">
        <v>51</v>
      </c>
      <c r="D170" s="34" t="s">
        <v>1999</v>
      </c>
      <c r="E170" s="35" t="str">
        <f t="shared" si="45"/>
        <v>PRBNP'!</v>
      </c>
      <c r="F170" s="34" t="str">
        <f t="shared" si="46"/>
        <v>C:\Users\jaime.benazar\Quorum Business Solutions\Ecopetrol Prometeo - Documents\Planning Space Implementation\3. Analysis &amp; Design\Design\FC22\DRR Jaime\QUIFA-CAJÚA\Cajua\[CAJUA_CF_SEC_New_27-Feb-2024Rev3.xlsx]D-PRBNP'!</v>
      </c>
      <c r="G170" s="32" t="s">
        <v>59</v>
      </c>
      <c r="H170" s="33"/>
      <c r="I170" s="33"/>
      <c r="J170" s="37"/>
    </row>
    <row r="171" spans="1:10" x14ac:dyDescent="0.25">
      <c r="A171" s="32" t="s">
        <v>100</v>
      </c>
      <c r="B171" s="32">
        <f t="shared" si="48"/>
        <v>2040</v>
      </c>
      <c r="C171" s="33" t="s">
        <v>51</v>
      </c>
      <c r="D171" s="34" t="s">
        <v>1999</v>
      </c>
      <c r="E171" s="35" t="str">
        <f t="shared" si="45"/>
        <v>PRBNP'!</v>
      </c>
      <c r="F171" s="34" t="str">
        <f t="shared" si="46"/>
        <v>C:\Users\jaime.benazar\Quorum Business Solutions\Ecopetrol Prometeo - Documents\Planning Space Implementation\3. Analysis &amp; Design\Design\FC22\DRR Jaime\QUIFA-CAJÚA\Cajua\[CAJUA_CF_SEC_New_27-Feb-2024Rev3.xlsx]D-PRBNP'!</v>
      </c>
      <c r="G171" s="32" t="s">
        <v>59</v>
      </c>
      <c r="H171" s="33"/>
      <c r="I171" s="33"/>
      <c r="J171" s="37"/>
    </row>
    <row r="172" spans="1:10" x14ac:dyDescent="0.25">
      <c r="A172" s="32" t="s">
        <v>100</v>
      </c>
      <c r="B172" s="32">
        <f>+B171+1</f>
        <v>2041</v>
      </c>
      <c r="C172" s="33" t="s">
        <v>51</v>
      </c>
      <c r="D172" s="34" t="s">
        <v>1999</v>
      </c>
      <c r="E172" s="35" t="str">
        <f t="shared" si="45"/>
        <v>PRBNP'!</v>
      </c>
      <c r="F172" s="34" t="str">
        <f t="shared" si="46"/>
        <v>C:\Users\jaime.benazar\Quorum Business Solutions\Ecopetrol Prometeo - Documents\Planning Space Implementation\3. Analysis &amp; Design\Design\FC22\DRR Jaime\QUIFA-CAJÚA\Cajua\[CAJUA_CF_SEC_New_27-Feb-2024Rev3.xlsx]D-PRBNP'!</v>
      </c>
      <c r="G172" s="32" t="s">
        <v>59</v>
      </c>
      <c r="H172" s="33"/>
      <c r="I172" s="33"/>
      <c r="J172" s="37"/>
    </row>
    <row r="173" spans="1:10" x14ac:dyDescent="0.25">
      <c r="A173" s="32" t="s">
        <v>100</v>
      </c>
      <c r="B173" s="32">
        <f t="shared" ref="B173:B174" si="49">+B172+1</f>
        <v>2042</v>
      </c>
      <c r="C173" s="33" t="s">
        <v>51</v>
      </c>
      <c r="D173" s="34" t="s">
        <v>1999</v>
      </c>
      <c r="E173" s="35" t="str">
        <f t="shared" si="45"/>
        <v>PRBNP'!</v>
      </c>
      <c r="F173" s="34" t="str">
        <f t="shared" si="46"/>
        <v>C:\Users\jaime.benazar\Quorum Business Solutions\Ecopetrol Prometeo - Documents\Planning Space Implementation\3. Analysis &amp; Design\Design\FC22\DRR Jaime\QUIFA-CAJÚA\Cajua\[CAJUA_CF_SEC_New_27-Feb-2024Rev3.xlsx]D-PRBNP'!</v>
      </c>
      <c r="G173" s="32" t="s">
        <v>59</v>
      </c>
      <c r="H173" s="33"/>
      <c r="I173" s="33"/>
      <c r="J173" s="37"/>
    </row>
    <row r="174" spans="1:10" x14ac:dyDescent="0.25">
      <c r="A174" s="32" t="s">
        <v>100</v>
      </c>
      <c r="B174" s="32">
        <f t="shared" si="49"/>
        <v>2043</v>
      </c>
      <c r="C174" s="33" t="s">
        <v>51</v>
      </c>
      <c r="D174" s="34" t="s">
        <v>1999</v>
      </c>
      <c r="E174" s="35" t="str">
        <f t="shared" si="45"/>
        <v>PRBNP'!</v>
      </c>
      <c r="F174" s="34" t="str">
        <f t="shared" si="46"/>
        <v>C:\Users\jaime.benazar\Quorum Business Solutions\Ecopetrol Prometeo - Documents\Planning Space Implementation\3. Analysis &amp; Design\Design\FC22\DRR Jaime\QUIFA-CAJÚA\Cajua\[CAJUA_CF_SEC_New_27-Feb-2024Rev3.xlsx]D-PRBNP'!</v>
      </c>
      <c r="G174" s="32" t="s">
        <v>59</v>
      </c>
      <c r="H174" s="33"/>
      <c r="I174" s="33"/>
      <c r="J174" s="37"/>
    </row>
    <row r="175" spans="1:10" x14ac:dyDescent="0.25">
      <c r="A175" s="32" t="s">
        <v>100</v>
      </c>
      <c r="B175" s="32">
        <f>+B174+1</f>
        <v>2044</v>
      </c>
      <c r="C175" s="33" t="s">
        <v>51</v>
      </c>
      <c r="D175" s="34" t="s">
        <v>1999</v>
      </c>
      <c r="E175" s="35" t="str">
        <f t="shared" ref="E175:E190" si="50">_xlfn.CONCAT(A175,"'!")</f>
        <v>PRBNP'!</v>
      </c>
      <c r="F175" s="34" t="str">
        <f t="shared" ref="F175:F190" si="51">_xlfn.CONCAT(D175:E175)</f>
        <v>C:\Users\jaime.benazar\Quorum Business Solutions\Ecopetrol Prometeo - Documents\Planning Space Implementation\3. Analysis &amp; Design\Design\FC22\DRR Jaime\QUIFA-CAJÚA\Cajua\[CAJUA_CF_SEC_New_27-Feb-2024Rev3.xlsx]D-PRBNP'!</v>
      </c>
      <c r="G175" s="32" t="s">
        <v>59</v>
      </c>
      <c r="H175" s="33"/>
      <c r="I175" s="33"/>
      <c r="J175" s="37"/>
    </row>
    <row r="176" spans="1:10" x14ac:dyDescent="0.25">
      <c r="A176" s="32" t="s">
        <v>100</v>
      </c>
      <c r="B176" s="32">
        <f t="shared" ref="B176:B190" si="52">+B175+1</f>
        <v>2045</v>
      </c>
      <c r="C176" s="33" t="s">
        <v>51</v>
      </c>
      <c r="D176" s="34" t="s">
        <v>1999</v>
      </c>
      <c r="E176" s="35" t="str">
        <f t="shared" si="50"/>
        <v>PRBNP'!</v>
      </c>
      <c r="F176" s="34" t="str">
        <f t="shared" si="51"/>
        <v>C:\Users\jaime.benazar\Quorum Business Solutions\Ecopetrol Prometeo - Documents\Planning Space Implementation\3. Analysis &amp; Design\Design\FC22\DRR Jaime\QUIFA-CAJÚA\Cajua\[CAJUA_CF_SEC_New_27-Feb-2024Rev3.xlsx]D-PRBNP'!</v>
      </c>
      <c r="G176" s="32" t="s">
        <v>59</v>
      </c>
      <c r="H176" s="33"/>
      <c r="I176" s="33"/>
      <c r="J176" s="37"/>
    </row>
    <row r="177" spans="1:10" x14ac:dyDescent="0.25">
      <c r="A177" s="32" t="s">
        <v>100</v>
      </c>
      <c r="B177" s="32">
        <f t="shared" si="52"/>
        <v>2046</v>
      </c>
      <c r="C177" s="33" t="s">
        <v>51</v>
      </c>
      <c r="D177" s="34" t="s">
        <v>1999</v>
      </c>
      <c r="E177" s="35" t="str">
        <f t="shared" si="50"/>
        <v>PRBNP'!</v>
      </c>
      <c r="F177" s="34" t="str">
        <f t="shared" si="51"/>
        <v>C:\Users\jaime.benazar\Quorum Business Solutions\Ecopetrol Prometeo - Documents\Planning Space Implementation\3. Analysis &amp; Design\Design\FC22\DRR Jaime\QUIFA-CAJÚA\Cajua\[CAJUA_CF_SEC_New_27-Feb-2024Rev3.xlsx]D-PRBNP'!</v>
      </c>
      <c r="G177" s="32" t="s">
        <v>59</v>
      </c>
      <c r="H177" s="33"/>
      <c r="I177" s="33"/>
      <c r="J177" s="37"/>
    </row>
    <row r="178" spans="1:10" x14ac:dyDescent="0.25">
      <c r="A178" s="32" t="s">
        <v>100</v>
      </c>
      <c r="B178" s="32">
        <f t="shared" si="52"/>
        <v>2047</v>
      </c>
      <c r="C178" s="33" t="s">
        <v>51</v>
      </c>
      <c r="D178" s="34" t="s">
        <v>1999</v>
      </c>
      <c r="E178" s="35" t="str">
        <f t="shared" si="50"/>
        <v>PRBNP'!</v>
      </c>
      <c r="F178" s="34" t="str">
        <f t="shared" si="51"/>
        <v>C:\Users\jaime.benazar\Quorum Business Solutions\Ecopetrol Prometeo - Documents\Planning Space Implementation\3. Analysis &amp; Design\Design\FC22\DRR Jaime\QUIFA-CAJÚA\Cajua\[CAJUA_CF_SEC_New_27-Feb-2024Rev3.xlsx]D-PRBNP'!</v>
      </c>
      <c r="G178" s="32" t="s">
        <v>59</v>
      </c>
      <c r="H178" s="33"/>
      <c r="I178" s="33"/>
      <c r="J178" s="37"/>
    </row>
    <row r="179" spans="1:10" x14ac:dyDescent="0.25">
      <c r="A179" s="32" t="s">
        <v>100</v>
      </c>
      <c r="B179" s="32">
        <f t="shared" si="52"/>
        <v>2048</v>
      </c>
      <c r="C179" s="33" t="s">
        <v>51</v>
      </c>
      <c r="D179" s="34" t="s">
        <v>1999</v>
      </c>
      <c r="E179" s="35" t="str">
        <f t="shared" si="50"/>
        <v>PRBNP'!</v>
      </c>
      <c r="F179" s="34" t="str">
        <f t="shared" si="51"/>
        <v>C:\Users\jaime.benazar\Quorum Business Solutions\Ecopetrol Prometeo - Documents\Planning Space Implementation\3. Analysis &amp; Design\Design\FC22\DRR Jaime\QUIFA-CAJÚA\Cajua\[CAJUA_CF_SEC_New_27-Feb-2024Rev3.xlsx]D-PRBNP'!</v>
      </c>
      <c r="G179" s="32" t="s">
        <v>59</v>
      </c>
      <c r="H179" s="33"/>
      <c r="I179" s="33"/>
      <c r="J179" s="37"/>
    </row>
    <row r="180" spans="1:10" x14ac:dyDescent="0.25">
      <c r="A180" s="32" t="s">
        <v>100</v>
      </c>
      <c r="B180" s="32">
        <f t="shared" si="52"/>
        <v>2049</v>
      </c>
      <c r="C180" s="33" t="s">
        <v>51</v>
      </c>
      <c r="D180" s="34" t="s">
        <v>1999</v>
      </c>
      <c r="E180" s="35" t="str">
        <f t="shared" si="50"/>
        <v>PRBNP'!</v>
      </c>
      <c r="F180" s="34" t="str">
        <f t="shared" si="51"/>
        <v>C:\Users\jaime.benazar\Quorum Business Solutions\Ecopetrol Prometeo - Documents\Planning Space Implementation\3. Analysis &amp; Design\Design\FC22\DRR Jaime\QUIFA-CAJÚA\Cajua\[CAJUA_CF_SEC_New_27-Feb-2024Rev3.xlsx]D-PRBNP'!</v>
      </c>
      <c r="G180" s="32" t="s">
        <v>59</v>
      </c>
      <c r="H180" s="33"/>
      <c r="I180" s="33"/>
      <c r="J180" s="37"/>
    </row>
    <row r="181" spans="1:10" x14ac:dyDescent="0.25">
      <c r="A181" s="32" t="s">
        <v>100</v>
      </c>
      <c r="B181" s="32">
        <f t="shared" si="52"/>
        <v>2050</v>
      </c>
      <c r="C181" s="33" t="s">
        <v>51</v>
      </c>
      <c r="D181" s="34" t="s">
        <v>1999</v>
      </c>
      <c r="E181" s="35" t="str">
        <f t="shared" si="50"/>
        <v>PRBNP'!</v>
      </c>
      <c r="F181" s="34" t="str">
        <f t="shared" si="51"/>
        <v>C:\Users\jaime.benazar\Quorum Business Solutions\Ecopetrol Prometeo - Documents\Planning Space Implementation\3. Analysis &amp; Design\Design\FC22\DRR Jaime\QUIFA-CAJÚA\Cajua\[CAJUA_CF_SEC_New_27-Feb-2024Rev3.xlsx]D-PRBNP'!</v>
      </c>
      <c r="G181" s="32" t="s">
        <v>59</v>
      </c>
      <c r="H181" s="33"/>
      <c r="I181" s="33"/>
      <c r="J181" s="37"/>
    </row>
    <row r="182" spans="1:10" x14ac:dyDescent="0.25">
      <c r="A182" s="32" t="s">
        <v>100</v>
      </c>
      <c r="B182" s="32">
        <f t="shared" si="52"/>
        <v>2051</v>
      </c>
      <c r="C182" s="33" t="s">
        <v>51</v>
      </c>
      <c r="D182" s="34" t="s">
        <v>1999</v>
      </c>
      <c r="E182" s="35" t="str">
        <f t="shared" si="50"/>
        <v>PRBNP'!</v>
      </c>
      <c r="F182" s="34" t="str">
        <f t="shared" si="51"/>
        <v>C:\Users\jaime.benazar\Quorum Business Solutions\Ecopetrol Prometeo - Documents\Planning Space Implementation\3. Analysis &amp; Design\Design\FC22\DRR Jaime\QUIFA-CAJÚA\Cajua\[CAJUA_CF_SEC_New_27-Feb-2024Rev3.xlsx]D-PRBNP'!</v>
      </c>
      <c r="G182" s="32" t="s">
        <v>59</v>
      </c>
      <c r="H182" s="33"/>
      <c r="I182" s="33"/>
      <c r="J182" s="37"/>
    </row>
    <row r="183" spans="1:10" x14ac:dyDescent="0.25">
      <c r="A183" s="32" t="s">
        <v>100</v>
      </c>
      <c r="B183" s="32">
        <f t="shared" si="52"/>
        <v>2052</v>
      </c>
      <c r="C183" s="33" t="s">
        <v>51</v>
      </c>
      <c r="D183" s="34" t="s">
        <v>1999</v>
      </c>
      <c r="E183" s="35" t="str">
        <f t="shared" si="50"/>
        <v>PRBNP'!</v>
      </c>
      <c r="F183" s="34" t="str">
        <f t="shared" si="51"/>
        <v>C:\Users\jaime.benazar\Quorum Business Solutions\Ecopetrol Prometeo - Documents\Planning Space Implementation\3. Analysis &amp; Design\Design\FC22\DRR Jaime\QUIFA-CAJÚA\Cajua\[CAJUA_CF_SEC_New_27-Feb-2024Rev3.xlsx]D-PRBNP'!</v>
      </c>
      <c r="G183" s="32" t="s">
        <v>59</v>
      </c>
      <c r="H183" s="33"/>
      <c r="I183" s="33"/>
      <c r="J183" s="37"/>
    </row>
    <row r="184" spans="1:10" x14ac:dyDescent="0.25">
      <c r="A184" s="32" t="s">
        <v>100</v>
      </c>
      <c r="B184" s="32">
        <f t="shared" si="52"/>
        <v>2053</v>
      </c>
      <c r="C184" s="33" t="s">
        <v>51</v>
      </c>
      <c r="D184" s="34" t="s">
        <v>1999</v>
      </c>
      <c r="E184" s="35" t="str">
        <f t="shared" si="50"/>
        <v>PRBNP'!</v>
      </c>
      <c r="F184" s="34" t="str">
        <f t="shared" si="51"/>
        <v>C:\Users\jaime.benazar\Quorum Business Solutions\Ecopetrol Prometeo - Documents\Planning Space Implementation\3. Analysis &amp; Design\Design\FC22\DRR Jaime\QUIFA-CAJÚA\Cajua\[CAJUA_CF_SEC_New_27-Feb-2024Rev3.xlsx]D-PRBNP'!</v>
      </c>
      <c r="G184" s="32" t="s">
        <v>59</v>
      </c>
      <c r="H184" s="33"/>
      <c r="I184" s="33"/>
      <c r="J184" s="37"/>
    </row>
    <row r="185" spans="1:10" x14ac:dyDescent="0.25">
      <c r="A185" s="32" t="s">
        <v>100</v>
      </c>
      <c r="B185" s="32">
        <f t="shared" si="52"/>
        <v>2054</v>
      </c>
      <c r="C185" s="33" t="s">
        <v>51</v>
      </c>
      <c r="D185" s="34" t="s">
        <v>1999</v>
      </c>
      <c r="E185" s="35" t="str">
        <f t="shared" si="50"/>
        <v>PRBNP'!</v>
      </c>
      <c r="F185" s="34" t="str">
        <f t="shared" si="51"/>
        <v>C:\Users\jaime.benazar\Quorum Business Solutions\Ecopetrol Prometeo - Documents\Planning Space Implementation\3. Analysis &amp; Design\Design\FC22\DRR Jaime\QUIFA-CAJÚA\Cajua\[CAJUA_CF_SEC_New_27-Feb-2024Rev3.xlsx]D-PRBNP'!</v>
      </c>
      <c r="G185" s="32" t="s">
        <v>59</v>
      </c>
      <c r="H185" s="33"/>
      <c r="I185" s="33"/>
      <c r="J185" s="37"/>
    </row>
    <row r="186" spans="1:10" x14ac:dyDescent="0.25">
      <c r="A186" s="32" t="s">
        <v>100</v>
      </c>
      <c r="B186" s="32">
        <f t="shared" si="52"/>
        <v>2055</v>
      </c>
      <c r="C186" s="33" t="s">
        <v>51</v>
      </c>
      <c r="D186" s="34" t="s">
        <v>1999</v>
      </c>
      <c r="E186" s="35" t="str">
        <f t="shared" si="50"/>
        <v>PRBNP'!</v>
      </c>
      <c r="F186" s="34" t="str">
        <f t="shared" si="51"/>
        <v>C:\Users\jaime.benazar\Quorum Business Solutions\Ecopetrol Prometeo - Documents\Planning Space Implementation\3. Analysis &amp; Design\Design\FC22\DRR Jaime\QUIFA-CAJÚA\Cajua\[CAJUA_CF_SEC_New_27-Feb-2024Rev3.xlsx]D-PRBNP'!</v>
      </c>
      <c r="G186" s="32" t="s">
        <v>59</v>
      </c>
      <c r="H186" s="33"/>
      <c r="I186" s="33"/>
      <c r="J186" s="37"/>
    </row>
    <row r="187" spans="1:10" x14ac:dyDescent="0.25">
      <c r="A187" s="32" t="s">
        <v>100</v>
      </c>
      <c r="B187" s="32">
        <f t="shared" si="52"/>
        <v>2056</v>
      </c>
      <c r="C187" s="33" t="s">
        <v>51</v>
      </c>
      <c r="D187" s="34" t="s">
        <v>1999</v>
      </c>
      <c r="E187" s="35" t="str">
        <f t="shared" si="50"/>
        <v>PRBNP'!</v>
      </c>
      <c r="F187" s="34" t="str">
        <f t="shared" si="51"/>
        <v>C:\Users\jaime.benazar\Quorum Business Solutions\Ecopetrol Prometeo - Documents\Planning Space Implementation\3. Analysis &amp; Design\Design\FC22\DRR Jaime\QUIFA-CAJÚA\Cajua\[CAJUA_CF_SEC_New_27-Feb-2024Rev3.xlsx]D-PRBNP'!</v>
      </c>
      <c r="G187" s="32" t="s">
        <v>59</v>
      </c>
      <c r="H187" s="33"/>
      <c r="I187" s="33"/>
      <c r="J187" s="37"/>
    </row>
    <row r="188" spans="1:10" x14ac:dyDescent="0.25">
      <c r="A188" s="32" t="s">
        <v>100</v>
      </c>
      <c r="B188" s="32">
        <f t="shared" si="52"/>
        <v>2057</v>
      </c>
      <c r="C188" s="33" t="s">
        <v>51</v>
      </c>
      <c r="D188" s="34" t="s">
        <v>1999</v>
      </c>
      <c r="E188" s="35" t="str">
        <f t="shared" si="50"/>
        <v>PRBNP'!</v>
      </c>
      <c r="F188" s="34" t="str">
        <f t="shared" si="51"/>
        <v>C:\Users\jaime.benazar\Quorum Business Solutions\Ecopetrol Prometeo - Documents\Planning Space Implementation\3. Analysis &amp; Design\Design\FC22\DRR Jaime\QUIFA-CAJÚA\Cajua\[CAJUA_CF_SEC_New_27-Feb-2024Rev3.xlsx]D-PRBNP'!</v>
      </c>
      <c r="G188" s="32" t="s">
        <v>59</v>
      </c>
      <c r="H188" s="33"/>
      <c r="I188" s="33"/>
      <c r="J188" s="37"/>
    </row>
    <row r="189" spans="1:10" x14ac:dyDescent="0.25">
      <c r="A189" s="32" t="s">
        <v>100</v>
      </c>
      <c r="B189" s="32">
        <f t="shared" si="52"/>
        <v>2058</v>
      </c>
      <c r="C189" s="33" t="s">
        <v>51</v>
      </c>
      <c r="D189" s="34" t="s">
        <v>1999</v>
      </c>
      <c r="E189" s="35" t="str">
        <f t="shared" si="50"/>
        <v>PRBNP'!</v>
      </c>
      <c r="F189" s="34" t="str">
        <f t="shared" si="51"/>
        <v>C:\Users\jaime.benazar\Quorum Business Solutions\Ecopetrol Prometeo - Documents\Planning Space Implementation\3. Analysis &amp; Design\Design\FC22\DRR Jaime\QUIFA-CAJÚA\Cajua\[CAJUA_CF_SEC_New_27-Feb-2024Rev3.xlsx]D-PRBNP'!</v>
      </c>
      <c r="G189" s="32" t="s">
        <v>59</v>
      </c>
      <c r="H189" s="33"/>
      <c r="I189" s="33"/>
      <c r="J189" s="37"/>
    </row>
    <row r="190" spans="1:10" x14ac:dyDescent="0.25">
      <c r="A190" s="32" t="s">
        <v>100</v>
      </c>
      <c r="B190" s="32">
        <f t="shared" si="52"/>
        <v>2059</v>
      </c>
      <c r="C190" s="33" t="s">
        <v>51</v>
      </c>
      <c r="D190" s="34" t="s">
        <v>1999</v>
      </c>
      <c r="E190" s="35" t="str">
        <f t="shared" si="50"/>
        <v>PRBNP'!</v>
      </c>
      <c r="F190" s="34" t="str">
        <f t="shared" si="51"/>
        <v>C:\Users\jaime.benazar\Quorum Business Solutions\Ecopetrol Prometeo - Documents\Planning Space Implementation\3. Analysis &amp; Design\Design\FC22\DRR Jaime\QUIFA-CAJÚA\Cajua\[CAJUA_CF_SEC_New_27-Feb-2024Rev3.xlsx]D-PRBNP'!</v>
      </c>
      <c r="G190" s="32" t="s">
        <v>59</v>
      </c>
      <c r="H190" s="33"/>
      <c r="I190" s="33"/>
      <c r="J190" s="37"/>
    </row>
    <row r="191" spans="1:10" x14ac:dyDescent="0.25">
      <c r="A191" s="32" t="s">
        <v>28</v>
      </c>
      <c r="B191" s="32"/>
      <c r="C191" s="33" t="s">
        <v>51</v>
      </c>
      <c r="D191" s="34"/>
      <c r="E191" s="35"/>
      <c r="F191" s="34"/>
      <c r="G191" s="32"/>
      <c r="H191" s="33"/>
      <c r="I191" s="33"/>
      <c r="J191" s="33"/>
    </row>
    <row r="192" spans="1:10" x14ac:dyDescent="0.25">
      <c r="A192" s="32" t="s">
        <v>101</v>
      </c>
      <c r="B192" s="32">
        <v>2023</v>
      </c>
      <c r="C192" s="33" t="s">
        <v>51</v>
      </c>
      <c r="D192" s="34" t="s">
        <v>1999</v>
      </c>
      <c r="E192" s="35" t="str">
        <f t="shared" ref="E192:E212" si="53">_xlfn.CONCAT(A192,"'!")</f>
        <v>PRBND'!</v>
      </c>
      <c r="F192" s="34" t="str">
        <f t="shared" ref="F192:F212" si="54">_xlfn.CONCAT(D192:E192)</f>
        <v>C:\Users\jaime.benazar\Quorum Business Solutions\Ecopetrol Prometeo - Documents\Planning Space Implementation\3. Analysis &amp; Design\Design\FC22\DRR Jaime\QUIFA-CAJÚA\Cajua\[CAJUA_CF_SEC_New_27-Feb-2024Rev3.xlsx]D-PRBND'!</v>
      </c>
      <c r="G192" s="32" t="s">
        <v>59</v>
      </c>
      <c r="H192" s="33"/>
      <c r="I192" s="33"/>
      <c r="J192" s="37"/>
    </row>
    <row r="193" spans="1:10" x14ac:dyDescent="0.25">
      <c r="A193" s="32" t="s">
        <v>101</v>
      </c>
      <c r="B193" s="32">
        <f>+B192+1</f>
        <v>2024</v>
      </c>
      <c r="C193" s="33" t="s">
        <v>51</v>
      </c>
      <c r="D193" s="34" t="s">
        <v>1999</v>
      </c>
      <c r="E193" s="35" t="str">
        <f t="shared" si="53"/>
        <v>PRBND'!</v>
      </c>
      <c r="F193" s="34" t="str">
        <f t="shared" si="54"/>
        <v>C:\Users\jaime.benazar\Quorum Business Solutions\Ecopetrol Prometeo - Documents\Planning Space Implementation\3. Analysis &amp; Design\Design\FC22\DRR Jaime\QUIFA-CAJÚA\Cajua\[CAJUA_CF_SEC_New_27-Feb-2024Rev3.xlsx]D-PRBND'!</v>
      </c>
      <c r="G193" s="32" t="s">
        <v>59</v>
      </c>
      <c r="H193" s="33"/>
      <c r="I193" s="33"/>
      <c r="J193" s="37"/>
    </row>
    <row r="194" spans="1:10" x14ac:dyDescent="0.25">
      <c r="A194" s="32" t="s">
        <v>101</v>
      </c>
      <c r="B194" s="32">
        <f t="shared" ref="B194:B205" si="55">+B193+1</f>
        <v>2025</v>
      </c>
      <c r="C194" s="33" t="s">
        <v>51</v>
      </c>
      <c r="D194" s="34" t="s">
        <v>1999</v>
      </c>
      <c r="E194" s="35" t="str">
        <f t="shared" si="53"/>
        <v>PRBND'!</v>
      </c>
      <c r="F194" s="34" t="str">
        <f t="shared" si="54"/>
        <v>C:\Users\jaime.benazar\Quorum Business Solutions\Ecopetrol Prometeo - Documents\Planning Space Implementation\3. Analysis &amp; Design\Design\FC22\DRR Jaime\QUIFA-CAJÚA\Cajua\[CAJUA_CF_SEC_New_27-Feb-2024Rev3.xlsx]D-PRBND'!</v>
      </c>
      <c r="G194" s="32" t="s">
        <v>59</v>
      </c>
      <c r="H194" s="33"/>
      <c r="I194" s="33"/>
      <c r="J194" s="37"/>
    </row>
    <row r="195" spans="1:10" x14ac:dyDescent="0.25">
      <c r="A195" s="32" t="s">
        <v>101</v>
      </c>
      <c r="B195" s="32">
        <f t="shared" si="55"/>
        <v>2026</v>
      </c>
      <c r="C195" s="33" t="s">
        <v>51</v>
      </c>
      <c r="D195" s="34" t="s">
        <v>1999</v>
      </c>
      <c r="E195" s="35" t="str">
        <f t="shared" si="53"/>
        <v>PRBND'!</v>
      </c>
      <c r="F195" s="34" t="str">
        <f t="shared" si="54"/>
        <v>C:\Users\jaime.benazar\Quorum Business Solutions\Ecopetrol Prometeo - Documents\Planning Space Implementation\3. Analysis &amp; Design\Design\FC22\DRR Jaime\QUIFA-CAJÚA\Cajua\[CAJUA_CF_SEC_New_27-Feb-2024Rev3.xlsx]D-PRBND'!</v>
      </c>
      <c r="G195" s="32" t="s">
        <v>59</v>
      </c>
      <c r="H195" s="33"/>
      <c r="I195" s="33"/>
      <c r="J195" s="37"/>
    </row>
    <row r="196" spans="1:10" x14ac:dyDescent="0.25">
      <c r="A196" s="32" t="s">
        <v>101</v>
      </c>
      <c r="B196" s="32">
        <f t="shared" si="55"/>
        <v>2027</v>
      </c>
      <c r="C196" s="33" t="s">
        <v>51</v>
      </c>
      <c r="D196" s="34" t="s">
        <v>1999</v>
      </c>
      <c r="E196" s="35" t="str">
        <f t="shared" si="53"/>
        <v>PRBND'!</v>
      </c>
      <c r="F196" s="34" t="str">
        <f t="shared" si="54"/>
        <v>C:\Users\jaime.benazar\Quorum Business Solutions\Ecopetrol Prometeo - Documents\Planning Space Implementation\3. Analysis &amp; Design\Design\FC22\DRR Jaime\QUIFA-CAJÚA\Cajua\[CAJUA_CF_SEC_New_27-Feb-2024Rev3.xlsx]D-PRBND'!</v>
      </c>
      <c r="G196" s="32" t="s">
        <v>59</v>
      </c>
      <c r="H196" s="33"/>
      <c r="I196" s="33"/>
      <c r="J196" s="37"/>
    </row>
    <row r="197" spans="1:10" x14ac:dyDescent="0.25">
      <c r="A197" s="32" t="s">
        <v>101</v>
      </c>
      <c r="B197" s="32">
        <f t="shared" si="55"/>
        <v>2028</v>
      </c>
      <c r="C197" s="33" t="s">
        <v>51</v>
      </c>
      <c r="D197" s="34" t="s">
        <v>1999</v>
      </c>
      <c r="E197" s="35" t="str">
        <f t="shared" si="53"/>
        <v>PRBND'!</v>
      </c>
      <c r="F197" s="34" t="str">
        <f t="shared" si="54"/>
        <v>C:\Users\jaime.benazar\Quorum Business Solutions\Ecopetrol Prometeo - Documents\Planning Space Implementation\3. Analysis &amp; Design\Design\FC22\DRR Jaime\QUIFA-CAJÚA\Cajua\[CAJUA_CF_SEC_New_27-Feb-2024Rev3.xlsx]D-PRBND'!</v>
      </c>
      <c r="G197" s="32" t="s">
        <v>59</v>
      </c>
      <c r="H197" s="33"/>
      <c r="I197" s="33"/>
      <c r="J197" s="37"/>
    </row>
    <row r="198" spans="1:10" x14ac:dyDescent="0.25">
      <c r="A198" s="32" t="s">
        <v>101</v>
      </c>
      <c r="B198" s="32">
        <f t="shared" si="55"/>
        <v>2029</v>
      </c>
      <c r="C198" s="33" t="s">
        <v>51</v>
      </c>
      <c r="D198" s="34" t="s">
        <v>1999</v>
      </c>
      <c r="E198" s="35" t="str">
        <f t="shared" si="53"/>
        <v>PRBND'!</v>
      </c>
      <c r="F198" s="34" t="str">
        <f t="shared" si="54"/>
        <v>C:\Users\jaime.benazar\Quorum Business Solutions\Ecopetrol Prometeo - Documents\Planning Space Implementation\3. Analysis &amp; Design\Design\FC22\DRR Jaime\QUIFA-CAJÚA\Cajua\[CAJUA_CF_SEC_New_27-Feb-2024Rev3.xlsx]D-PRBND'!</v>
      </c>
      <c r="G198" s="32" t="s">
        <v>59</v>
      </c>
      <c r="H198" s="33"/>
      <c r="I198" s="33"/>
      <c r="J198" s="37"/>
    </row>
    <row r="199" spans="1:10" x14ac:dyDescent="0.25">
      <c r="A199" s="32" t="s">
        <v>101</v>
      </c>
      <c r="B199" s="32">
        <f t="shared" si="55"/>
        <v>2030</v>
      </c>
      <c r="C199" s="33" t="s">
        <v>51</v>
      </c>
      <c r="D199" s="34" t="s">
        <v>1999</v>
      </c>
      <c r="E199" s="35" t="str">
        <f t="shared" si="53"/>
        <v>PRBND'!</v>
      </c>
      <c r="F199" s="34" t="str">
        <f t="shared" si="54"/>
        <v>C:\Users\jaime.benazar\Quorum Business Solutions\Ecopetrol Prometeo - Documents\Planning Space Implementation\3. Analysis &amp; Design\Design\FC22\DRR Jaime\QUIFA-CAJÚA\Cajua\[CAJUA_CF_SEC_New_27-Feb-2024Rev3.xlsx]D-PRBND'!</v>
      </c>
      <c r="G199" s="32" t="s">
        <v>59</v>
      </c>
      <c r="H199" s="33"/>
      <c r="I199" s="33"/>
      <c r="J199" s="37"/>
    </row>
    <row r="200" spans="1:10" x14ac:dyDescent="0.25">
      <c r="A200" s="32" t="s">
        <v>101</v>
      </c>
      <c r="B200" s="32">
        <f t="shared" si="55"/>
        <v>2031</v>
      </c>
      <c r="C200" s="33" t="s">
        <v>51</v>
      </c>
      <c r="D200" s="34" t="s">
        <v>1999</v>
      </c>
      <c r="E200" s="35" t="str">
        <f t="shared" si="53"/>
        <v>PRBND'!</v>
      </c>
      <c r="F200" s="34" t="str">
        <f t="shared" si="54"/>
        <v>C:\Users\jaime.benazar\Quorum Business Solutions\Ecopetrol Prometeo - Documents\Planning Space Implementation\3. Analysis &amp; Design\Design\FC22\DRR Jaime\QUIFA-CAJÚA\Cajua\[CAJUA_CF_SEC_New_27-Feb-2024Rev3.xlsx]D-PRBND'!</v>
      </c>
      <c r="G200" s="32" t="s">
        <v>59</v>
      </c>
      <c r="H200" s="33"/>
      <c r="I200" s="33"/>
      <c r="J200" s="37"/>
    </row>
    <row r="201" spans="1:10" x14ac:dyDescent="0.25">
      <c r="A201" s="32" t="s">
        <v>101</v>
      </c>
      <c r="B201" s="32">
        <f t="shared" si="55"/>
        <v>2032</v>
      </c>
      <c r="C201" s="33" t="s">
        <v>51</v>
      </c>
      <c r="D201" s="34" t="s">
        <v>1999</v>
      </c>
      <c r="E201" s="35" t="str">
        <f t="shared" si="53"/>
        <v>PRBND'!</v>
      </c>
      <c r="F201" s="34" t="str">
        <f t="shared" si="54"/>
        <v>C:\Users\jaime.benazar\Quorum Business Solutions\Ecopetrol Prometeo - Documents\Planning Space Implementation\3. Analysis &amp; Design\Design\FC22\DRR Jaime\QUIFA-CAJÚA\Cajua\[CAJUA_CF_SEC_New_27-Feb-2024Rev3.xlsx]D-PRBND'!</v>
      </c>
      <c r="G201" s="32" t="s">
        <v>59</v>
      </c>
      <c r="H201" s="33"/>
      <c r="I201" s="33"/>
      <c r="J201" s="37"/>
    </row>
    <row r="202" spans="1:10" x14ac:dyDescent="0.25">
      <c r="A202" s="32" t="s">
        <v>101</v>
      </c>
      <c r="B202" s="32">
        <f t="shared" si="55"/>
        <v>2033</v>
      </c>
      <c r="C202" s="33" t="s">
        <v>51</v>
      </c>
      <c r="D202" s="34" t="s">
        <v>1999</v>
      </c>
      <c r="E202" s="35" t="str">
        <f t="shared" si="53"/>
        <v>PRBND'!</v>
      </c>
      <c r="F202" s="34" t="str">
        <f t="shared" si="54"/>
        <v>C:\Users\jaime.benazar\Quorum Business Solutions\Ecopetrol Prometeo - Documents\Planning Space Implementation\3. Analysis &amp; Design\Design\FC22\DRR Jaime\QUIFA-CAJÚA\Cajua\[CAJUA_CF_SEC_New_27-Feb-2024Rev3.xlsx]D-PRBND'!</v>
      </c>
      <c r="G202" s="32" t="s">
        <v>59</v>
      </c>
      <c r="H202" s="33"/>
      <c r="I202" s="33"/>
      <c r="J202" s="37"/>
    </row>
    <row r="203" spans="1:10" x14ac:dyDescent="0.25">
      <c r="A203" s="32" t="s">
        <v>101</v>
      </c>
      <c r="B203" s="32">
        <f t="shared" si="55"/>
        <v>2034</v>
      </c>
      <c r="C203" s="33" t="s">
        <v>51</v>
      </c>
      <c r="D203" s="34" t="s">
        <v>1999</v>
      </c>
      <c r="E203" s="35" t="str">
        <f t="shared" si="53"/>
        <v>PRBND'!</v>
      </c>
      <c r="F203" s="34" t="str">
        <f t="shared" si="54"/>
        <v>C:\Users\jaime.benazar\Quorum Business Solutions\Ecopetrol Prometeo - Documents\Planning Space Implementation\3. Analysis &amp; Design\Design\FC22\DRR Jaime\QUIFA-CAJÚA\Cajua\[CAJUA_CF_SEC_New_27-Feb-2024Rev3.xlsx]D-PRBND'!</v>
      </c>
      <c r="G203" s="32" t="s">
        <v>59</v>
      </c>
      <c r="H203" s="33"/>
      <c r="I203" s="33"/>
      <c r="J203" s="37"/>
    </row>
    <row r="204" spans="1:10" x14ac:dyDescent="0.25">
      <c r="A204" s="32" t="s">
        <v>101</v>
      </c>
      <c r="B204" s="32">
        <f t="shared" si="55"/>
        <v>2035</v>
      </c>
      <c r="C204" s="33" t="s">
        <v>51</v>
      </c>
      <c r="D204" s="34" t="s">
        <v>1999</v>
      </c>
      <c r="E204" s="35" t="str">
        <f t="shared" si="53"/>
        <v>PRBND'!</v>
      </c>
      <c r="F204" s="34" t="str">
        <f t="shared" si="54"/>
        <v>C:\Users\jaime.benazar\Quorum Business Solutions\Ecopetrol Prometeo - Documents\Planning Space Implementation\3. Analysis &amp; Design\Design\FC22\DRR Jaime\QUIFA-CAJÚA\Cajua\[CAJUA_CF_SEC_New_27-Feb-2024Rev3.xlsx]D-PRBND'!</v>
      </c>
      <c r="G204" s="32" t="s">
        <v>59</v>
      </c>
      <c r="H204" s="33"/>
      <c r="I204" s="33"/>
      <c r="J204" s="37"/>
    </row>
    <row r="205" spans="1:10" x14ac:dyDescent="0.25">
      <c r="A205" s="32" t="s">
        <v>101</v>
      </c>
      <c r="B205" s="32">
        <f t="shared" si="55"/>
        <v>2036</v>
      </c>
      <c r="C205" s="33" t="s">
        <v>51</v>
      </c>
      <c r="D205" s="34" t="s">
        <v>1999</v>
      </c>
      <c r="E205" s="35" t="str">
        <f t="shared" si="53"/>
        <v>PRBND'!</v>
      </c>
      <c r="F205" s="34" t="str">
        <f t="shared" si="54"/>
        <v>C:\Users\jaime.benazar\Quorum Business Solutions\Ecopetrol Prometeo - Documents\Planning Space Implementation\3. Analysis &amp; Design\Design\FC22\DRR Jaime\QUIFA-CAJÚA\Cajua\[CAJUA_CF_SEC_New_27-Feb-2024Rev3.xlsx]D-PRBND'!</v>
      </c>
      <c r="G205" s="32" t="s">
        <v>59</v>
      </c>
      <c r="H205" s="33"/>
      <c r="I205" s="33"/>
      <c r="J205" s="37"/>
    </row>
    <row r="206" spans="1:10" x14ac:dyDescent="0.25">
      <c r="A206" s="32" t="s">
        <v>101</v>
      </c>
      <c r="B206" s="32">
        <f>+B205+1</f>
        <v>2037</v>
      </c>
      <c r="C206" s="33" t="s">
        <v>51</v>
      </c>
      <c r="D206" s="34" t="s">
        <v>1999</v>
      </c>
      <c r="E206" s="35" t="str">
        <f t="shared" si="53"/>
        <v>PRBND'!</v>
      </c>
      <c r="F206" s="34" t="str">
        <f t="shared" si="54"/>
        <v>C:\Users\jaime.benazar\Quorum Business Solutions\Ecopetrol Prometeo - Documents\Planning Space Implementation\3. Analysis &amp; Design\Design\FC22\DRR Jaime\QUIFA-CAJÚA\Cajua\[CAJUA_CF_SEC_New_27-Feb-2024Rev3.xlsx]D-PRBND'!</v>
      </c>
      <c r="G206" s="32" t="s">
        <v>59</v>
      </c>
      <c r="H206" s="33"/>
      <c r="I206" s="33"/>
      <c r="J206" s="37"/>
    </row>
    <row r="207" spans="1:10" x14ac:dyDescent="0.25">
      <c r="A207" s="32" t="s">
        <v>101</v>
      </c>
      <c r="B207" s="32">
        <f t="shared" ref="B207:B209" si="56">+B206+1</f>
        <v>2038</v>
      </c>
      <c r="C207" s="33" t="s">
        <v>51</v>
      </c>
      <c r="D207" s="34" t="s">
        <v>1999</v>
      </c>
      <c r="E207" s="35" t="str">
        <f t="shared" si="53"/>
        <v>PRBND'!</v>
      </c>
      <c r="F207" s="34" t="str">
        <f t="shared" si="54"/>
        <v>C:\Users\jaime.benazar\Quorum Business Solutions\Ecopetrol Prometeo - Documents\Planning Space Implementation\3. Analysis &amp; Design\Design\FC22\DRR Jaime\QUIFA-CAJÚA\Cajua\[CAJUA_CF_SEC_New_27-Feb-2024Rev3.xlsx]D-PRBND'!</v>
      </c>
      <c r="G207" s="32" t="s">
        <v>59</v>
      </c>
      <c r="H207" s="33"/>
      <c r="I207" s="33"/>
      <c r="J207" s="37"/>
    </row>
    <row r="208" spans="1:10" x14ac:dyDescent="0.25">
      <c r="A208" s="32" t="s">
        <v>101</v>
      </c>
      <c r="B208" s="32">
        <f t="shared" si="56"/>
        <v>2039</v>
      </c>
      <c r="C208" s="33" t="s">
        <v>51</v>
      </c>
      <c r="D208" s="34" t="s">
        <v>1999</v>
      </c>
      <c r="E208" s="35" t="str">
        <f t="shared" si="53"/>
        <v>PRBND'!</v>
      </c>
      <c r="F208" s="34" t="str">
        <f t="shared" si="54"/>
        <v>C:\Users\jaime.benazar\Quorum Business Solutions\Ecopetrol Prometeo - Documents\Planning Space Implementation\3. Analysis &amp; Design\Design\FC22\DRR Jaime\QUIFA-CAJÚA\Cajua\[CAJUA_CF_SEC_New_27-Feb-2024Rev3.xlsx]D-PRBND'!</v>
      </c>
      <c r="G208" s="32" t="s">
        <v>59</v>
      </c>
      <c r="H208" s="33"/>
      <c r="I208" s="33"/>
      <c r="J208" s="37"/>
    </row>
    <row r="209" spans="1:10" x14ac:dyDescent="0.25">
      <c r="A209" s="32" t="s">
        <v>101</v>
      </c>
      <c r="B209" s="32">
        <f t="shared" si="56"/>
        <v>2040</v>
      </c>
      <c r="C209" s="33" t="s">
        <v>51</v>
      </c>
      <c r="D209" s="34" t="s">
        <v>1999</v>
      </c>
      <c r="E209" s="35" t="str">
        <f t="shared" si="53"/>
        <v>PRBND'!</v>
      </c>
      <c r="F209" s="34" t="str">
        <f t="shared" si="54"/>
        <v>C:\Users\jaime.benazar\Quorum Business Solutions\Ecopetrol Prometeo - Documents\Planning Space Implementation\3. Analysis &amp; Design\Design\FC22\DRR Jaime\QUIFA-CAJÚA\Cajua\[CAJUA_CF_SEC_New_27-Feb-2024Rev3.xlsx]D-PRBND'!</v>
      </c>
      <c r="G209" s="32" t="s">
        <v>59</v>
      </c>
      <c r="H209" s="33"/>
      <c r="I209" s="33"/>
      <c r="J209" s="37"/>
    </row>
    <row r="210" spans="1:10" x14ac:dyDescent="0.25">
      <c r="A210" s="32" t="s">
        <v>101</v>
      </c>
      <c r="B210" s="32">
        <f>+B209+1</f>
        <v>2041</v>
      </c>
      <c r="C210" s="33" t="s">
        <v>51</v>
      </c>
      <c r="D210" s="34" t="s">
        <v>1999</v>
      </c>
      <c r="E210" s="35" t="str">
        <f t="shared" si="53"/>
        <v>PRBND'!</v>
      </c>
      <c r="F210" s="34" t="str">
        <f t="shared" si="54"/>
        <v>C:\Users\jaime.benazar\Quorum Business Solutions\Ecopetrol Prometeo - Documents\Planning Space Implementation\3. Analysis &amp; Design\Design\FC22\DRR Jaime\QUIFA-CAJÚA\Cajua\[CAJUA_CF_SEC_New_27-Feb-2024Rev3.xlsx]D-PRBND'!</v>
      </c>
      <c r="G210" s="32" t="s">
        <v>59</v>
      </c>
      <c r="H210" s="33"/>
      <c r="I210" s="33"/>
      <c r="J210" s="37"/>
    </row>
    <row r="211" spans="1:10" x14ac:dyDescent="0.25">
      <c r="A211" s="32" t="s">
        <v>101</v>
      </c>
      <c r="B211" s="32">
        <f t="shared" ref="B211:B212" si="57">+B210+1</f>
        <v>2042</v>
      </c>
      <c r="C211" s="33" t="s">
        <v>51</v>
      </c>
      <c r="D211" s="34" t="s">
        <v>1999</v>
      </c>
      <c r="E211" s="35" t="str">
        <f t="shared" si="53"/>
        <v>PRBND'!</v>
      </c>
      <c r="F211" s="34" t="str">
        <f t="shared" si="54"/>
        <v>C:\Users\jaime.benazar\Quorum Business Solutions\Ecopetrol Prometeo - Documents\Planning Space Implementation\3. Analysis &amp; Design\Design\FC22\DRR Jaime\QUIFA-CAJÚA\Cajua\[CAJUA_CF_SEC_New_27-Feb-2024Rev3.xlsx]D-PRBND'!</v>
      </c>
      <c r="G211" s="32" t="s">
        <v>59</v>
      </c>
      <c r="H211" s="33"/>
      <c r="I211" s="33"/>
      <c r="J211" s="37"/>
    </row>
    <row r="212" spans="1:10" x14ac:dyDescent="0.25">
      <c r="A212" s="32" t="s">
        <v>101</v>
      </c>
      <c r="B212" s="32">
        <f t="shared" si="57"/>
        <v>2043</v>
      </c>
      <c r="C212" s="33" t="s">
        <v>51</v>
      </c>
      <c r="D212" s="34" t="s">
        <v>1999</v>
      </c>
      <c r="E212" s="35" t="str">
        <f t="shared" si="53"/>
        <v>PRBND'!</v>
      </c>
      <c r="F212" s="34" t="str">
        <f t="shared" si="54"/>
        <v>C:\Users\jaime.benazar\Quorum Business Solutions\Ecopetrol Prometeo - Documents\Planning Space Implementation\3. Analysis &amp; Design\Design\FC22\DRR Jaime\QUIFA-CAJÚA\Cajua\[CAJUA_CF_SEC_New_27-Feb-2024Rev3.xlsx]D-PRBND'!</v>
      </c>
      <c r="G212" s="32" t="s">
        <v>59</v>
      </c>
      <c r="H212" s="33"/>
      <c r="I212" s="33"/>
      <c r="J212" s="37"/>
    </row>
    <row r="213" spans="1:10" x14ac:dyDescent="0.25">
      <c r="A213" s="32" t="s">
        <v>101</v>
      </c>
      <c r="B213" s="32">
        <f>+B212+1</f>
        <v>2044</v>
      </c>
      <c r="C213" s="33" t="s">
        <v>51</v>
      </c>
      <c r="D213" s="34" t="s">
        <v>1999</v>
      </c>
      <c r="E213" s="35" t="str">
        <f t="shared" ref="E213:E228" si="58">_xlfn.CONCAT(A213,"'!")</f>
        <v>PRBND'!</v>
      </c>
      <c r="F213" s="34" t="str">
        <f t="shared" ref="F213:F228" si="59">_xlfn.CONCAT(D213:E213)</f>
        <v>C:\Users\jaime.benazar\Quorum Business Solutions\Ecopetrol Prometeo - Documents\Planning Space Implementation\3. Analysis &amp; Design\Design\FC22\DRR Jaime\QUIFA-CAJÚA\Cajua\[CAJUA_CF_SEC_New_27-Feb-2024Rev3.xlsx]D-PRBND'!</v>
      </c>
      <c r="G213" s="32" t="s">
        <v>59</v>
      </c>
      <c r="H213" s="33"/>
      <c r="I213" s="33"/>
      <c r="J213" s="37"/>
    </row>
    <row r="214" spans="1:10" x14ac:dyDescent="0.25">
      <c r="A214" s="32" t="s">
        <v>101</v>
      </c>
      <c r="B214" s="32">
        <f t="shared" ref="B214:B228" si="60">+B213+1</f>
        <v>2045</v>
      </c>
      <c r="C214" s="33" t="s">
        <v>51</v>
      </c>
      <c r="D214" s="34" t="s">
        <v>1999</v>
      </c>
      <c r="E214" s="35" t="str">
        <f t="shared" si="58"/>
        <v>PRBND'!</v>
      </c>
      <c r="F214" s="34" t="str">
        <f t="shared" si="59"/>
        <v>C:\Users\jaime.benazar\Quorum Business Solutions\Ecopetrol Prometeo - Documents\Planning Space Implementation\3. Analysis &amp; Design\Design\FC22\DRR Jaime\QUIFA-CAJÚA\Cajua\[CAJUA_CF_SEC_New_27-Feb-2024Rev3.xlsx]D-PRBND'!</v>
      </c>
      <c r="G214" s="32" t="s">
        <v>59</v>
      </c>
      <c r="H214" s="33"/>
      <c r="I214" s="33"/>
      <c r="J214" s="37"/>
    </row>
    <row r="215" spans="1:10" x14ac:dyDescent="0.25">
      <c r="A215" s="32" t="s">
        <v>101</v>
      </c>
      <c r="B215" s="32">
        <f t="shared" si="60"/>
        <v>2046</v>
      </c>
      <c r="C215" s="33" t="s">
        <v>51</v>
      </c>
      <c r="D215" s="34" t="s">
        <v>1999</v>
      </c>
      <c r="E215" s="35" t="str">
        <f t="shared" si="58"/>
        <v>PRBND'!</v>
      </c>
      <c r="F215" s="34" t="str">
        <f t="shared" si="59"/>
        <v>C:\Users\jaime.benazar\Quorum Business Solutions\Ecopetrol Prometeo - Documents\Planning Space Implementation\3. Analysis &amp; Design\Design\FC22\DRR Jaime\QUIFA-CAJÚA\Cajua\[CAJUA_CF_SEC_New_27-Feb-2024Rev3.xlsx]D-PRBND'!</v>
      </c>
      <c r="G215" s="32" t="s">
        <v>59</v>
      </c>
      <c r="H215" s="33"/>
      <c r="I215" s="33"/>
      <c r="J215" s="37"/>
    </row>
    <row r="216" spans="1:10" x14ac:dyDescent="0.25">
      <c r="A216" s="32" t="s">
        <v>101</v>
      </c>
      <c r="B216" s="32">
        <f t="shared" si="60"/>
        <v>2047</v>
      </c>
      <c r="C216" s="33" t="s">
        <v>51</v>
      </c>
      <c r="D216" s="34" t="s">
        <v>1999</v>
      </c>
      <c r="E216" s="35" t="str">
        <f t="shared" si="58"/>
        <v>PRBND'!</v>
      </c>
      <c r="F216" s="34" t="str">
        <f t="shared" si="59"/>
        <v>C:\Users\jaime.benazar\Quorum Business Solutions\Ecopetrol Prometeo - Documents\Planning Space Implementation\3. Analysis &amp; Design\Design\FC22\DRR Jaime\QUIFA-CAJÚA\Cajua\[CAJUA_CF_SEC_New_27-Feb-2024Rev3.xlsx]D-PRBND'!</v>
      </c>
      <c r="G216" s="32" t="s">
        <v>59</v>
      </c>
      <c r="H216" s="33"/>
      <c r="I216" s="33"/>
      <c r="J216" s="37"/>
    </row>
    <row r="217" spans="1:10" x14ac:dyDescent="0.25">
      <c r="A217" s="32" t="s">
        <v>101</v>
      </c>
      <c r="B217" s="32">
        <f t="shared" si="60"/>
        <v>2048</v>
      </c>
      <c r="C217" s="33" t="s">
        <v>51</v>
      </c>
      <c r="D217" s="34" t="s">
        <v>1999</v>
      </c>
      <c r="E217" s="35" t="str">
        <f t="shared" si="58"/>
        <v>PRBND'!</v>
      </c>
      <c r="F217" s="34" t="str">
        <f t="shared" si="59"/>
        <v>C:\Users\jaime.benazar\Quorum Business Solutions\Ecopetrol Prometeo - Documents\Planning Space Implementation\3. Analysis &amp; Design\Design\FC22\DRR Jaime\QUIFA-CAJÚA\Cajua\[CAJUA_CF_SEC_New_27-Feb-2024Rev3.xlsx]D-PRBND'!</v>
      </c>
      <c r="G217" s="32" t="s">
        <v>59</v>
      </c>
      <c r="H217" s="33"/>
      <c r="I217" s="33"/>
      <c r="J217" s="37"/>
    </row>
    <row r="218" spans="1:10" x14ac:dyDescent="0.25">
      <c r="A218" s="32" t="s">
        <v>101</v>
      </c>
      <c r="B218" s="32">
        <f t="shared" si="60"/>
        <v>2049</v>
      </c>
      <c r="C218" s="33" t="s">
        <v>51</v>
      </c>
      <c r="D218" s="34" t="s">
        <v>1999</v>
      </c>
      <c r="E218" s="35" t="str">
        <f t="shared" si="58"/>
        <v>PRBND'!</v>
      </c>
      <c r="F218" s="34" t="str">
        <f t="shared" si="59"/>
        <v>C:\Users\jaime.benazar\Quorum Business Solutions\Ecopetrol Prometeo - Documents\Planning Space Implementation\3. Analysis &amp; Design\Design\FC22\DRR Jaime\QUIFA-CAJÚA\Cajua\[CAJUA_CF_SEC_New_27-Feb-2024Rev3.xlsx]D-PRBND'!</v>
      </c>
      <c r="G218" s="32" t="s">
        <v>59</v>
      </c>
      <c r="H218" s="33"/>
      <c r="I218" s="33"/>
      <c r="J218" s="37"/>
    </row>
    <row r="219" spans="1:10" x14ac:dyDescent="0.25">
      <c r="A219" s="32" t="s">
        <v>101</v>
      </c>
      <c r="B219" s="32">
        <f t="shared" si="60"/>
        <v>2050</v>
      </c>
      <c r="C219" s="33" t="s">
        <v>51</v>
      </c>
      <c r="D219" s="34" t="s">
        <v>1999</v>
      </c>
      <c r="E219" s="35" t="str">
        <f t="shared" si="58"/>
        <v>PRBND'!</v>
      </c>
      <c r="F219" s="34" t="str">
        <f t="shared" si="59"/>
        <v>C:\Users\jaime.benazar\Quorum Business Solutions\Ecopetrol Prometeo - Documents\Planning Space Implementation\3. Analysis &amp; Design\Design\FC22\DRR Jaime\QUIFA-CAJÚA\Cajua\[CAJUA_CF_SEC_New_27-Feb-2024Rev3.xlsx]D-PRBND'!</v>
      </c>
      <c r="G219" s="32" t="s">
        <v>59</v>
      </c>
      <c r="H219" s="33"/>
      <c r="I219" s="33"/>
      <c r="J219" s="37"/>
    </row>
    <row r="220" spans="1:10" x14ac:dyDescent="0.25">
      <c r="A220" s="32" t="s">
        <v>101</v>
      </c>
      <c r="B220" s="32">
        <f t="shared" si="60"/>
        <v>2051</v>
      </c>
      <c r="C220" s="33" t="s">
        <v>51</v>
      </c>
      <c r="D220" s="34" t="s">
        <v>1999</v>
      </c>
      <c r="E220" s="35" t="str">
        <f t="shared" si="58"/>
        <v>PRBND'!</v>
      </c>
      <c r="F220" s="34" t="str">
        <f t="shared" si="59"/>
        <v>C:\Users\jaime.benazar\Quorum Business Solutions\Ecopetrol Prometeo - Documents\Planning Space Implementation\3. Analysis &amp; Design\Design\FC22\DRR Jaime\QUIFA-CAJÚA\Cajua\[CAJUA_CF_SEC_New_27-Feb-2024Rev3.xlsx]D-PRBND'!</v>
      </c>
      <c r="G220" s="32" t="s">
        <v>59</v>
      </c>
      <c r="H220" s="33"/>
      <c r="I220" s="33"/>
      <c r="J220" s="37"/>
    </row>
    <row r="221" spans="1:10" x14ac:dyDescent="0.25">
      <c r="A221" s="32" t="s">
        <v>101</v>
      </c>
      <c r="B221" s="32">
        <f t="shared" si="60"/>
        <v>2052</v>
      </c>
      <c r="C221" s="33" t="s">
        <v>51</v>
      </c>
      <c r="D221" s="34" t="s">
        <v>1999</v>
      </c>
      <c r="E221" s="35" t="str">
        <f t="shared" si="58"/>
        <v>PRBND'!</v>
      </c>
      <c r="F221" s="34" t="str">
        <f t="shared" si="59"/>
        <v>C:\Users\jaime.benazar\Quorum Business Solutions\Ecopetrol Prometeo - Documents\Planning Space Implementation\3. Analysis &amp; Design\Design\FC22\DRR Jaime\QUIFA-CAJÚA\Cajua\[CAJUA_CF_SEC_New_27-Feb-2024Rev3.xlsx]D-PRBND'!</v>
      </c>
      <c r="G221" s="32" t="s">
        <v>59</v>
      </c>
      <c r="H221" s="33"/>
      <c r="I221" s="33"/>
      <c r="J221" s="37"/>
    </row>
    <row r="222" spans="1:10" x14ac:dyDescent="0.25">
      <c r="A222" s="32" t="s">
        <v>101</v>
      </c>
      <c r="B222" s="32">
        <f t="shared" si="60"/>
        <v>2053</v>
      </c>
      <c r="C222" s="33" t="s">
        <v>51</v>
      </c>
      <c r="D222" s="34" t="s">
        <v>1999</v>
      </c>
      <c r="E222" s="35" t="str">
        <f t="shared" si="58"/>
        <v>PRBND'!</v>
      </c>
      <c r="F222" s="34" t="str">
        <f t="shared" si="59"/>
        <v>C:\Users\jaime.benazar\Quorum Business Solutions\Ecopetrol Prometeo - Documents\Planning Space Implementation\3. Analysis &amp; Design\Design\FC22\DRR Jaime\QUIFA-CAJÚA\Cajua\[CAJUA_CF_SEC_New_27-Feb-2024Rev3.xlsx]D-PRBND'!</v>
      </c>
      <c r="G222" s="32" t="s">
        <v>59</v>
      </c>
      <c r="H222" s="33"/>
      <c r="I222" s="33"/>
      <c r="J222" s="37"/>
    </row>
    <row r="223" spans="1:10" x14ac:dyDescent="0.25">
      <c r="A223" s="32" t="s">
        <v>101</v>
      </c>
      <c r="B223" s="32">
        <f t="shared" si="60"/>
        <v>2054</v>
      </c>
      <c r="C223" s="33" t="s">
        <v>51</v>
      </c>
      <c r="D223" s="34" t="s">
        <v>1999</v>
      </c>
      <c r="E223" s="35" t="str">
        <f t="shared" si="58"/>
        <v>PRBND'!</v>
      </c>
      <c r="F223" s="34" t="str">
        <f t="shared" si="59"/>
        <v>C:\Users\jaime.benazar\Quorum Business Solutions\Ecopetrol Prometeo - Documents\Planning Space Implementation\3. Analysis &amp; Design\Design\FC22\DRR Jaime\QUIFA-CAJÚA\Cajua\[CAJUA_CF_SEC_New_27-Feb-2024Rev3.xlsx]D-PRBND'!</v>
      </c>
      <c r="G223" s="32" t="s">
        <v>59</v>
      </c>
      <c r="H223" s="33"/>
      <c r="I223" s="33"/>
      <c r="J223" s="37"/>
    </row>
    <row r="224" spans="1:10" x14ac:dyDescent="0.25">
      <c r="A224" s="32" t="s">
        <v>101</v>
      </c>
      <c r="B224" s="32">
        <f t="shared" si="60"/>
        <v>2055</v>
      </c>
      <c r="C224" s="33" t="s">
        <v>51</v>
      </c>
      <c r="D224" s="34" t="s">
        <v>1999</v>
      </c>
      <c r="E224" s="35" t="str">
        <f t="shared" si="58"/>
        <v>PRBND'!</v>
      </c>
      <c r="F224" s="34" t="str">
        <f t="shared" si="59"/>
        <v>C:\Users\jaime.benazar\Quorum Business Solutions\Ecopetrol Prometeo - Documents\Planning Space Implementation\3. Analysis &amp; Design\Design\FC22\DRR Jaime\QUIFA-CAJÚA\Cajua\[CAJUA_CF_SEC_New_27-Feb-2024Rev3.xlsx]D-PRBND'!</v>
      </c>
      <c r="G224" s="32" t="s">
        <v>59</v>
      </c>
      <c r="H224" s="33"/>
      <c r="I224" s="33"/>
      <c r="J224" s="37"/>
    </row>
    <row r="225" spans="1:10" x14ac:dyDescent="0.25">
      <c r="A225" s="32" t="s">
        <v>101</v>
      </c>
      <c r="B225" s="32">
        <f t="shared" si="60"/>
        <v>2056</v>
      </c>
      <c r="C225" s="33" t="s">
        <v>51</v>
      </c>
      <c r="D225" s="34" t="s">
        <v>1999</v>
      </c>
      <c r="E225" s="35" t="str">
        <f t="shared" si="58"/>
        <v>PRBND'!</v>
      </c>
      <c r="F225" s="34" t="str">
        <f t="shared" si="59"/>
        <v>C:\Users\jaime.benazar\Quorum Business Solutions\Ecopetrol Prometeo - Documents\Planning Space Implementation\3. Analysis &amp; Design\Design\FC22\DRR Jaime\QUIFA-CAJÚA\Cajua\[CAJUA_CF_SEC_New_27-Feb-2024Rev3.xlsx]D-PRBND'!</v>
      </c>
      <c r="G225" s="32" t="s">
        <v>59</v>
      </c>
      <c r="H225" s="33"/>
      <c r="I225" s="33"/>
      <c r="J225" s="37"/>
    </row>
    <row r="226" spans="1:10" x14ac:dyDescent="0.25">
      <c r="A226" s="32" t="s">
        <v>101</v>
      </c>
      <c r="B226" s="32">
        <f t="shared" si="60"/>
        <v>2057</v>
      </c>
      <c r="C226" s="33" t="s">
        <v>51</v>
      </c>
      <c r="D226" s="34" t="s">
        <v>1999</v>
      </c>
      <c r="E226" s="35" t="str">
        <f t="shared" si="58"/>
        <v>PRBND'!</v>
      </c>
      <c r="F226" s="34" t="str">
        <f t="shared" si="59"/>
        <v>C:\Users\jaime.benazar\Quorum Business Solutions\Ecopetrol Prometeo - Documents\Planning Space Implementation\3. Analysis &amp; Design\Design\FC22\DRR Jaime\QUIFA-CAJÚA\Cajua\[CAJUA_CF_SEC_New_27-Feb-2024Rev3.xlsx]D-PRBND'!</v>
      </c>
      <c r="G226" s="32" t="s">
        <v>59</v>
      </c>
      <c r="H226" s="33"/>
      <c r="I226" s="33"/>
      <c r="J226" s="37"/>
    </row>
    <row r="227" spans="1:10" x14ac:dyDescent="0.25">
      <c r="A227" s="32" t="s">
        <v>101</v>
      </c>
      <c r="B227" s="32">
        <f t="shared" si="60"/>
        <v>2058</v>
      </c>
      <c r="C227" s="33" t="s">
        <v>51</v>
      </c>
      <c r="D227" s="34" t="s">
        <v>1999</v>
      </c>
      <c r="E227" s="35" t="str">
        <f t="shared" si="58"/>
        <v>PRBND'!</v>
      </c>
      <c r="F227" s="34" t="str">
        <f t="shared" si="59"/>
        <v>C:\Users\jaime.benazar\Quorum Business Solutions\Ecopetrol Prometeo - Documents\Planning Space Implementation\3. Analysis &amp; Design\Design\FC22\DRR Jaime\QUIFA-CAJÚA\Cajua\[CAJUA_CF_SEC_New_27-Feb-2024Rev3.xlsx]D-PRBND'!</v>
      </c>
      <c r="G227" s="32" t="s">
        <v>59</v>
      </c>
      <c r="H227" s="33"/>
      <c r="I227" s="33"/>
      <c r="J227" s="37"/>
    </row>
    <row r="228" spans="1:10" x14ac:dyDescent="0.25">
      <c r="A228" s="32" t="s">
        <v>101</v>
      </c>
      <c r="B228" s="32">
        <f t="shared" si="60"/>
        <v>2059</v>
      </c>
      <c r="C228" s="33" t="s">
        <v>51</v>
      </c>
      <c r="D228" s="34" t="s">
        <v>1999</v>
      </c>
      <c r="E228" s="35" t="str">
        <f t="shared" si="58"/>
        <v>PRBND'!</v>
      </c>
      <c r="F228" s="34" t="str">
        <f t="shared" si="59"/>
        <v>C:\Users\jaime.benazar\Quorum Business Solutions\Ecopetrol Prometeo - Documents\Planning Space Implementation\3. Analysis &amp; Design\Design\FC22\DRR Jaime\QUIFA-CAJÚA\Cajua\[CAJUA_CF_SEC_New_27-Feb-2024Rev3.xlsx]D-PRBND'!</v>
      </c>
      <c r="G228" s="32" t="s">
        <v>59</v>
      </c>
      <c r="H228" s="33"/>
      <c r="I228" s="33"/>
      <c r="J228" s="37"/>
    </row>
    <row r="229" spans="1:10" x14ac:dyDescent="0.25">
      <c r="A229" s="32" t="s">
        <v>28</v>
      </c>
      <c r="B229" s="32"/>
      <c r="C229" s="33" t="s">
        <v>51</v>
      </c>
      <c r="D229" s="34"/>
      <c r="E229" s="35"/>
      <c r="F229" s="34"/>
      <c r="G229" s="32"/>
      <c r="H229" s="33"/>
      <c r="I229" s="33"/>
      <c r="J229" s="33"/>
    </row>
    <row r="230" spans="1:10" x14ac:dyDescent="0.2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Jaime\QUIFA-CAJÚA\Cajua\[CAJUA_CF_SEC_New_27-Feb-2024Rev3.xlsx]D-PRB'!</v>
      </c>
      <c r="G230" s="32" t="s">
        <v>59</v>
      </c>
      <c r="H230" s="33">
        <v>12</v>
      </c>
      <c r="I230" s="33" t="str">
        <f t="shared" si="31"/>
        <v>='C:\Users\jaime.benazar\Quorum Business Solutions\Ecopetrol Prometeo - Documents\Planning Space Implementation\3. Analysis &amp; Design\Design\FC22\DRR Jaime\QUIFA-CAJÚA\Cajua\[CAJUA_CF_SEC_New_27-Feb-2024Rev3.xlsx]D-PRB'!$BB$12</v>
      </c>
      <c r="J230" s="37" t="s">
        <v>2111</v>
      </c>
    </row>
    <row r="231" spans="1:10" x14ac:dyDescent="0.2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Jaime\QUIFA-CAJÚA\Cajua\[CAJUA_CF_SEC_New_27-Feb-2024Rev3.xlsx]D-PRB'!</v>
      </c>
      <c r="G231" s="32" t="s">
        <v>59</v>
      </c>
      <c r="H231" s="33">
        <f t="shared" ref="H231:H250" si="61">IF(A231&lt;&gt;A230,12,H230+1)</f>
        <v>13</v>
      </c>
      <c r="I231" s="33" t="str">
        <f t="shared" si="31"/>
        <v>='C:\Users\jaime.benazar\Quorum Business Solutions\Ecopetrol Prometeo - Documents\Planning Space Implementation\3. Analysis &amp; Design\Design\FC22\DRR Jaime\QUIFA-CAJÚA\Cajua\[CAJUA_CF_SEC_New_27-Feb-2024Rev3.xlsx]D-PRB'!$BB$13</v>
      </c>
      <c r="J231" s="37" t="s">
        <v>2112</v>
      </c>
    </row>
    <row r="232" spans="1:10" x14ac:dyDescent="0.25">
      <c r="A232" s="32" t="s">
        <v>4</v>
      </c>
      <c r="B232" s="32">
        <f t="shared" ref="B232:B243" si="62">+B231+1</f>
        <v>2025</v>
      </c>
      <c r="C232" s="33" t="s">
        <v>51</v>
      </c>
      <c r="D232" s="34" t="s">
        <v>1999</v>
      </c>
      <c r="E232" s="35" t="str">
        <f t="shared" si="29"/>
        <v>PRB'!</v>
      </c>
      <c r="F232" s="34" t="str">
        <f t="shared" si="30"/>
        <v>C:\Users\jaime.benazar\Quorum Business Solutions\Ecopetrol Prometeo - Documents\Planning Space Implementation\3. Analysis &amp; Design\Design\FC22\DRR Jaime\QUIFA-CAJÚA\Cajua\[CAJUA_CF_SEC_New_27-Feb-2024Rev3.xlsx]D-PRB'!</v>
      </c>
      <c r="G232" s="32" t="s">
        <v>59</v>
      </c>
      <c r="H232" s="33">
        <f t="shared" si="61"/>
        <v>14</v>
      </c>
      <c r="I232" s="33" t="str">
        <f t="shared" si="31"/>
        <v>='C:\Users\jaime.benazar\Quorum Business Solutions\Ecopetrol Prometeo - Documents\Planning Space Implementation\3. Analysis &amp; Design\Design\FC22\DRR Jaime\QUIFA-CAJÚA\Cajua\[CAJUA_CF_SEC_New_27-Feb-2024Rev3.xlsx]D-PRB'!$BB$14</v>
      </c>
      <c r="J232" s="37" t="s">
        <v>2113</v>
      </c>
    </row>
    <row r="233" spans="1:10" x14ac:dyDescent="0.25">
      <c r="A233" s="32" t="s">
        <v>4</v>
      </c>
      <c r="B233" s="32">
        <f t="shared" si="62"/>
        <v>2026</v>
      </c>
      <c r="C233" s="33" t="s">
        <v>51</v>
      </c>
      <c r="D233" s="34" t="s">
        <v>1999</v>
      </c>
      <c r="E233" s="35" t="str">
        <f t="shared" si="29"/>
        <v>PRB'!</v>
      </c>
      <c r="F233" s="34" t="str">
        <f t="shared" si="30"/>
        <v>C:\Users\jaime.benazar\Quorum Business Solutions\Ecopetrol Prometeo - Documents\Planning Space Implementation\3. Analysis &amp; Design\Design\FC22\DRR Jaime\QUIFA-CAJÚA\Cajua\[CAJUA_CF_SEC_New_27-Feb-2024Rev3.xlsx]D-PRB'!</v>
      </c>
      <c r="G233" s="32" t="s">
        <v>59</v>
      </c>
      <c r="H233" s="33">
        <f t="shared" si="61"/>
        <v>15</v>
      </c>
      <c r="I233" s="33" t="str">
        <f t="shared" si="31"/>
        <v>='C:\Users\jaime.benazar\Quorum Business Solutions\Ecopetrol Prometeo - Documents\Planning Space Implementation\3. Analysis &amp; Design\Design\FC22\DRR Jaime\QUIFA-CAJÚA\Cajua\[CAJUA_CF_SEC_New_27-Feb-2024Rev3.xlsx]D-PRB'!$BB$15</v>
      </c>
      <c r="J233" s="37" t="s">
        <v>2114</v>
      </c>
    </row>
    <row r="234" spans="1:10" x14ac:dyDescent="0.25">
      <c r="A234" s="32" t="s">
        <v>4</v>
      </c>
      <c r="B234" s="32">
        <f t="shared" si="62"/>
        <v>2027</v>
      </c>
      <c r="C234" s="33" t="s">
        <v>51</v>
      </c>
      <c r="D234" s="34" t="s">
        <v>1999</v>
      </c>
      <c r="E234" s="35" t="str">
        <f t="shared" si="29"/>
        <v>PRB'!</v>
      </c>
      <c r="F234" s="34" t="str">
        <f t="shared" si="30"/>
        <v>C:\Users\jaime.benazar\Quorum Business Solutions\Ecopetrol Prometeo - Documents\Planning Space Implementation\3. Analysis &amp; Design\Design\FC22\DRR Jaime\QUIFA-CAJÚA\Cajua\[CAJUA_CF_SEC_New_27-Feb-2024Rev3.xlsx]D-PRB'!</v>
      </c>
      <c r="G234" s="32" t="s">
        <v>59</v>
      </c>
      <c r="H234" s="33">
        <f t="shared" si="61"/>
        <v>16</v>
      </c>
      <c r="I234" s="33" t="str">
        <f t="shared" si="31"/>
        <v>='C:\Users\jaime.benazar\Quorum Business Solutions\Ecopetrol Prometeo - Documents\Planning Space Implementation\3. Analysis &amp; Design\Design\FC22\DRR Jaime\QUIFA-CAJÚA\Cajua\[CAJUA_CF_SEC_New_27-Feb-2024Rev3.xlsx]D-PRB'!$BB$16</v>
      </c>
      <c r="J234" s="37" t="s">
        <v>2115</v>
      </c>
    </row>
    <row r="235" spans="1:10" x14ac:dyDescent="0.25">
      <c r="A235" s="32" t="s">
        <v>4</v>
      </c>
      <c r="B235" s="32">
        <f t="shared" si="62"/>
        <v>2028</v>
      </c>
      <c r="C235" s="33" t="s">
        <v>51</v>
      </c>
      <c r="D235" s="34" t="s">
        <v>1999</v>
      </c>
      <c r="E235" s="35" t="str">
        <f t="shared" si="29"/>
        <v>PRB'!</v>
      </c>
      <c r="F235" s="34" t="str">
        <f t="shared" si="30"/>
        <v>C:\Users\jaime.benazar\Quorum Business Solutions\Ecopetrol Prometeo - Documents\Planning Space Implementation\3. Analysis &amp; Design\Design\FC22\DRR Jaime\QUIFA-CAJÚA\Cajua\[CAJUA_CF_SEC_New_27-Feb-2024Rev3.xlsx]D-PRB'!</v>
      </c>
      <c r="G235" s="32" t="s">
        <v>59</v>
      </c>
      <c r="H235" s="33">
        <f t="shared" si="61"/>
        <v>17</v>
      </c>
      <c r="I235" s="33" t="str">
        <f t="shared" si="31"/>
        <v>='C:\Users\jaime.benazar\Quorum Business Solutions\Ecopetrol Prometeo - Documents\Planning Space Implementation\3. Analysis &amp; Design\Design\FC22\DRR Jaime\QUIFA-CAJÚA\Cajua\[CAJUA_CF_SEC_New_27-Feb-2024Rev3.xlsx]D-PRB'!$BB$17</v>
      </c>
      <c r="J235" s="37" t="s">
        <v>2116</v>
      </c>
    </row>
    <row r="236" spans="1:10" x14ac:dyDescent="0.25">
      <c r="A236" s="32" t="s">
        <v>4</v>
      </c>
      <c r="B236" s="32">
        <f t="shared" si="62"/>
        <v>2029</v>
      </c>
      <c r="C236" s="33" t="s">
        <v>51</v>
      </c>
      <c r="D236" s="34" t="s">
        <v>1999</v>
      </c>
      <c r="E236" s="35" t="str">
        <f t="shared" si="29"/>
        <v>PRB'!</v>
      </c>
      <c r="F236" s="34" t="str">
        <f t="shared" si="30"/>
        <v>C:\Users\jaime.benazar\Quorum Business Solutions\Ecopetrol Prometeo - Documents\Planning Space Implementation\3. Analysis &amp; Design\Design\FC22\DRR Jaime\QUIFA-CAJÚA\Cajua\[CAJUA_CF_SEC_New_27-Feb-2024Rev3.xlsx]D-PRB'!</v>
      </c>
      <c r="G236" s="32" t="s">
        <v>59</v>
      </c>
      <c r="H236" s="33">
        <f t="shared" si="61"/>
        <v>18</v>
      </c>
      <c r="I236" s="33" t="str">
        <f t="shared" si="31"/>
        <v>='C:\Users\jaime.benazar\Quorum Business Solutions\Ecopetrol Prometeo - Documents\Planning Space Implementation\3. Analysis &amp; Design\Design\FC22\DRR Jaime\QUIFA-CAJÚA\Cajua\[CAJUA_CF_SEC_New_27-Feb-2024Rev3.xlsx]D-PRB'!$BB$18</v>
      </c>
      <c r="J236" s="37" t="s">
        <v>2117</v>
      </c>
    </row>
    <row r="237" spans="1:10" x14ac:dyDescent="0.25">
      <c r="A237" s="32" t="s">
        <v>4</v>
      </c>
      <c r="B237" s="32">
        <f t="shared" si="62"/>
        <v>2030</v>
      </c>
      <c r="C237" s="33" t="s">
        <v>51</v>
      </c>
      <c r="D237" s="34" t="s">
        <v>1999</v>
      </c>
      <c r="E237" s="35" t="str">
        <f t="shared" si="29"/>
        <v>PRB'!</v>
      </c>
      <c r="F237" s="34" t="str">
        <f t="shared" si="30"/>
        <v>C:\Users\jaime.benazar\Quorum Business Solutions\Ecopetrol Prometeo - Documents\Planning Space Implementation\3. Analysis &amp; Design\Design\FC22\DRR Jaime\QUIFA-CAJÚA\Cajua\[CAJUA_CF_SEC_New_27-Feb-2024Rev3.xlsx]D-PRB'!</v>
      </c>
      <c r="G237" s="32" t="s">
        <v>59</v>
      </c>
      <c r="H237" s="33">
        <f t="shared" si="61"/>
        <v>19</v>
      </c>
      <c r="I237" s="33" t="str">
        <f t="shared" si="31"/>
        <v>='C:\Users\jaime.benazar\Quorum Business Solutions\Ecopetrol Prometeo - Documents\Planning Space Implementation\3. Analysis &amp; Design\Design\FC22\DRR Jaime\QUIFA-CAJÚA\Cajua\[CAJUA_CF_SEC_New_27-Feb-2024Rev3.xlsx]D-PRB'!$BB$19</v>
      </c>
      <c r="J237" s="37" t="s">
        <v>2118</v>
      </c>
    </row>
    <row r="238" spans="1:10" x14ac:dyDescent="0.25">
      <c r="A238" s="32" t="s">
        <v>4</v>
      </c>
      <c r="B238" s="32">
        <f t="shared" si="62"/>
        <v>2031</v>
      </c>
      <c r="C238" s="33" t="s">
        <v>51</v>
      </c>
      <c r="D238" s="34" t="s">
        <v>1999</v>
      </c>
      <c r="E238" s="35" t="str">
        <f t="shared" si="29"/>
        <v>PRB'!</v>
      </c>
      <c r="F238" s="34" t="str">
        <f t="shared" si="30"/>
        <v>C:\Users\jaime.benazar\Quorum Business Solutions\Ecopetrol Prometeo - Documents\Planning Space Implementation\3. Analysis &amp; Design\Design\FC22\DRR Jaime\QUIFA-CAJÚA\Cajua\[CAJUA_CF_SEC_New_27-Feb-2024Rev3.xlsx]D-PRB'!</v>
      </c>
      <c r="G238" s="32" t="s">
        <v>59</v>
      </c>
      <c r="H238" s="33">
        <f t="shared" si="61"/>
        <v>20</v>
      </c>
      <c r="I238" s="33" t="str">
        <f t="shared" si="31"/>
        <v>='C:\Users\jaime.benazar\Quorum Business Solutions\Ecopetrol Prometeo - Documents\Planning Space Implementation\3. Analysis &amp; Design\Design\FC22\DRR Jaime\QUIFA-CAJÚA\Cajua\[CAJUA_CF_SEC_New_27-Feb-2024Rev3.xlsx]D-PRB'!$BB$20</v>
      </c>
      <c r="J238" s="37" t="s">
        <v>2119</v>
      </c>
    </row>
    <row r="239" spans="1:10" x14ac:dyDescent="0.25">
      <c r="A239" s="32" t="s">
        <v>4</v>
      </c>
      <c r="B239" s="32">
        <f t="shared" si="62"/>
        <v>2032</v>
      </c>
      <c r="C239" s="33" t="s">
        <v>51</v>
      </c>
      <c r="D239" s="34" t="s">
        <v>1999</v>
      </c>
      <c r="E239" s="35" t="str">
        <f t="shared" si="29"/>
        <v>PRB'!</v>
      </c>
      <c r="F239" s="34" t="str">
        <f t="shared" si="30"/>
        <v>C:\Users\jaime.benazar\Quorum Business Solutions\Ecopetrol Prometeo - Documents\Planning Space Implementation\3. Analysis &amp; Design\Design\FC22\DRR Jaime\QUIFA-CAJÚA\Cajua\[CAJUA_CF_SEC_New_27-Feb-2024Rev3.xlsx]D-PRB'!</v>
      </c>
      <c r="G239" s="32" t="s">
        <v>59</v>
      </c>
      <c r="H239" s="33">
        <f t="shared" si="61"/>
        <v>21</v>
      </c>
      <c r="I239" s="33" t="str">
        <f t="shared" si="31"/>
        <v>='C:\Users\jaime.benazar\Quorum Business Solutions\Ecopetrol Prometeo - Documents\Planning Space Implementation\3. Analysis &amp; Design\Design\FC22\DRR Jaime\QUIFA-CAJÚA\Cajua\[CAJUA_CF_SEC_New_27-Feb-2024Rev3.xlsx]D-PRB'!$BB$21</v>
      </c>
      <c r="J239" s="37" t="s">
        <v>2120</v>
      </c>
    </row>
    <row r="240" spans="1:10" x14ac:dyDescent="0.25">
      <c r="A240" s="32" t="s">
        <v>4</v>
      </c>
      <c r="B240" s="32">
        <f t="shared" si="62"/>
        <v>2033</v>
      </c>
      <c r="C240" s="33" t="s">
        <v>51</v>
      </c>
      <c r="D240" s="34" t="s">
        <v>1999</v>
      </c>
      <c r="E240" s="35" t="str">
        <f t="shared" si="29"/>
        <v>PRB'!</v>
      </c>
      <c r="F240" s="34" t="str">
        <f t="shared" si="30"/>
        <v>C:\Users\jaime.benazar\Quorum Business Solutions\Ecopetrol Prometeo - Documents\Planning Space Implementation\3. Analysis &amp; Design\Design\FC22\DRR Jaime\QUIFA-CAJÚA\Cajua\[CAJUA_CF_SEC_New_27-Feb-2024Rev3.xlsx]D-PRB'!</v>
      </c>
      <c r="G240" s="32" t="s">
        <v>59</v>
      </c>
      <c r="H240" s="33">
        <f t="shared" si="61"/>
        <v>22</v>
      </c>
      <c r="I240" s="33" t="str">
        <f t="shared" si="31"/>
        <v>='C:\Users\jaime.benazar\Quorum Business Solutions\Ecopetrol Prometeo - Documents\Planning Space Implementation\3. Analysis &amp; Design\Design\FC22\DRR Jaime\QUIFA-CAJÚA\Cajua\[CAJUA_CF_SEC_New_27-Feb-2024Rev3.xlsx]D-PRB'!$BB$22</v>
      </c>
      <c r="J240" s="37" t="s">
        <v>2121</v>
      </c>
    </row>
    <row r="241" spans="1:10" x14ac:dyDescent="0.25">
      <c r="A241" s="32" t="s">
        <v>4</v>
      </c>
      <c r="B241" s="32">
        <f t="shared" si="62"/>
        <v>2034</v>
      </c>
      <c r="C241" s="33" t="s">
        <v>51</v>
      </c>
      <c r="D241" s="34" t="s">
        <v>1999</v>
      </c>
      <c r="E241" s="35" t="str">
        <f t="shared" si="29"/>
        <v>PRB'!</v>
      </c>
      <c r="F241" s="34" t="str">
        <f t="shared" si="30"/>
        <v>C:\Users\jaime.benazar\Quorum Business Solutions\Ecopetrol Prometeo - Documents\Planning Space Implementation\3. Analysis &amp; Design\Design\FC22\DRR Jaime\QUIFA-CAJÚA\Cajua\[CAJUA_CF_SEC_New_27-Feb-2024Rev3.xlsx]D-PRB'!</v>
      </c>
      <c r="G241" s="32" t="s">
        <v>59</v>
      </c>
      <c r="H241" s="33">
        <f t="shared" si="61"/>
        <v>23</v>
      </c>
      <c r="I241" s="33" t="str">
        <f t="shared" si="31"/>
        <v>='C:\Users\jaime.benazar\Quorum Business Solutions\Ecopetrol Prometeo - Documents\Planning Space Implementation\3. Analysis &amp; Design\Design\FC22\DRR Jaime\QUIFA-CAJÚA\Cajua\[CAJUA_CF_SEC_New_27-Feb-2024Rev3.xlsx]D-PRB'!$BB$23</v>
      </c>
      <c r="J241" s="37" t="s">
        <v>2122</v>
      </c>
    </row>
    <row r="242" spans="1:10" x14ac:dyDescent="0.25">
      <c r="A242" s="32" t="s">
        <v>4</v>
      </c>
      <c r="B242" s="32">
        <f t="shared" si="62"/>
        <v>2035</v>
      </c>
      <c r="C242" s="33" t="s">
        <v>51</v>
      </c>
      <c r="D242" s="34" t="s">
        <v>1999</v>
      </c>
      <c r="E242" s="35" t="str">
        <f t="shared" si="29"/>
        <v>PRB'!</v>
      </c>
      <c r="F242" s="34" t="str">
        <f t="shared" si="30"/>
        <v>C:\Users\jaime.benazar\Quorum Business Solutions\Ecopetrol Prometeo - Documents\Planning Space Implementation\3. Analysis &amp; Design\Design\FC22\DRR Jaime\QUIFA-CAJÚA\Cajua\[CAJUA_CF_SEC_New_27-Feb-2024Rev3.xlsx]D-PRB'!</v>
      </c>
      <c r="G242" s="32" t="s">
        <v>59</v>
      </c>
      <c r="H242" s="33">
        <f t="shared" si="61"/>
        <v>24</v>
      </c>
      <c r="I242" s="33" t="str">
        <f t="shared" si="31"/>
        <v>='C:\Users\jaime.benazar\Quorum Business Solutions\Ecopetrol Prometeo - Documents\Planning Space Implementation\3. Analysis &amp; Design\Design\FC22\DRR Jaime\QUIFA-CAJÚA\Cajua\[CAJUA_CF_SEC_New_27-Feb-2024Rev3.xlsx]D-PRB'!$BB$24</v>
      </c>
      <c r="J242" s="37" t="s">
        <v>2123</v>
      </c>
    </row>
    <row r="243" spans="1:10" x14ac:dyDescent="0.25">
      <c r="A243" s="32" t="s">
        <v>4</v>
      </c>
      <c r="B243" s="32">
        <f t="shared" si="62"/>
        <v>2036</v>
      </c>
      <c r="C243" s="33" t="s">
        <v>51</v>
      </c>
      <c r="D243" s="34" t="s">
        <v>1999</v>
      </c>
      <c r="E243" s="35" t="str">
        <f t="shared" si="29"/>
        <v>PRB'!</v>
      </c>
      <c r="F243" s="34" t="str">
        <f t="shared" si="30"/>
        <v>C:\Users\jaime.benazar\Quorum Business Solutions\Ecopetrol Prometeo - Documents\Planning Space Implementation\3. Analysis &amp; Design\Design\FC22\DRR Jaime\QUIFA-CAJÚA\Cajua\[CAJUA_CF_SEC_New_27-Feb-2024Rev3.xlsx]D-PRB'!</v>
      </c>
      <c r="G243" s="32" t="s">
        <v>59</v>
      </c>
      <c r="H243" s="33">
        <f t="shared" si="61"/>
        <v>25</v>
      </c>
      <c r="I243" s="33" t="str">
        <f t="shared" si="31"/>
        <v>='C:\Users\jaime.benazar\Quorum Business Solutions\Ecopetrol Prometeo - Documents\Planning Space Implementation\3. Analysis &amp; Design\Design\FC22\DRR Jaime\QUIFA-CAJÚA\Cajua\[CAJUA_CF_SEC_New_27-Feb-2024Rev3.xlsx]D-PRB'!$BB$25</v>
      </c>
      <c r="J243" s="37" t="s">
        <v>2124</v>
      </c>
    </row>
    <row r="244" spans="1:10" x14ac:dyDescent="0.2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Jaime\QUIFA-CAJÚA\Cajua\[CAJUA_CF_SEC_New_27-Feb-2024Rev3.xlsx]D-PRB'!</v>
      </c>
      <c r="G244" s="32" t="s">
        <v>59</v>
      </c>
      <c r="H244" s="33">
        <f t="shared" si="61"/>
        <v>26</v>
      </c>
      <c r="I244" s="33" t="str">
        <f t="shared" si="31"/>
        <v>='C:\Users\jaime.benazar\Quorum Business Solutions\Ecopetrol Prometeo - Documents\Planning Space Implementation\3. Analysis &amp; Design\Design\FC22\DRR Jaime\QUIFA-CAJÚA\Cajua\[CAJUA_CF_SEC_New_27-Feb-2024Rev3.xlsx]D-PRB'!$BB$26</v>
      </c>
      <c r="J244" s="37" t="s">
        <v>2125</v>
      </c>
    </row>
    <row r="245" spans="1:10" x14ac:dyDescent="0.25">
      <c r="A245" s="32" t="s">
        <v>4</v>
      </c>
      <c r="B245" s="32">
        <f t="shared" ref="B245:B247" si="63">+B244+1</f>
        <v>2038</v>
      </c>
      <c r="C245" s="33" t="s">
        <v>51</v>
      </c>
      <c r="D245" s="34" t="s">
        <v>1999</v>
      </c>
      <c r="E245" s="35" t="str">
        <f t="shared" si="29"/>
        <v>PRB'!</v>
      </c>
      <c r="F245" s="34" t="str">
        <f t="shared" si="30"/>
        <v>C:\Users\jaime.benazar\Quorum Business Solutions\Ecopetrol Prometeo - Documents\Planning Space Implementation\3. Analysis &amp; Design\Design\FC22\DRR Jaime\QUIFA-CAJÚA\Cajua\[CAJUA_CF_SEC_New_27-Feb-2024Rev3.xlsx]D-PRB'!</v>
      </c>
      <c r="G245" s="32" t="s">
        <v>59</v>
      </c>
      <c r="H245" s="33">
        <f t="shared" si="61"/>
        <v>27</v>
      </c>
      <c r="I245" s="33" t="str">
        <f t="shared" si="31"/>
        <v>='C:\Users\jaime.benazar\Quorum Business Solutions\Ecopetrol Prometeo - Documents\Planning Space Implementation\3. Analysis &amp; Design\Design\FC22\DRR Jaime\QUIFA-CAJÚA\Cajua\[CAJUA_CF_SEC_New_27-Feb-2024Rev3.xlsx]D-PRB'!$BB$27</v>
      </c>
      <c r="J245" s="37" t="s">
        <v>2126</v>
      </c>
    </row>
    <row r="246" spans="1:10" x14ac:dyDescent="0.25">
      <c r="A246" s="32" t="s">
        <v>4</v>
      </c>
      <c r="B246" s="32">
        <f t="shared" si="63"/>
        <v>2039</v>
      </c>
      <c r="C246" s="33" t="s">
        <v>51</v>
      </c>
      <c r="D246" s="34" t="s">
        <v>1999</v>
      </c>
      <c r="E246" s="35" t="str">
        <f t="shared" si="29"/>
        <v>PRB'!</v>
      </c>
      <c r="F246" s="34" t="str">
        <f t="shared" si="30"/>
        <v>C:\Users\jaime.benazar\Quorum Business Solutions\Ecopetrol Prometeo - Documents\Planning Space Implementation\3. Analysis &amp; Design\Design\FC22\DRR Jaime\QUIFA-CAJÚA\Cajua\[CAJUA_CF_SEC_New_27-Feb-2024Rev3.xlsx]D-PRB'!</v>
      </c>
      <c r="G246" s="32" t="s">
        <v>59</v>
      </c>
      <c r="H246" s="33">
        <f t="shared" si="61"/>
        <v>28</v>
      </c>
      <c r="I246" s="33" t="str">
        <f t="shared" si="31"/>
        <v>='C:\Users\jaime.benazar\Quorum Business Solutions\Ecopetrol Prometeo - Documents\Planning Space Implementation\3. Analysis &amp; Design\Design\FC22\DRR Jaime\QUIFA-CAJÚA\Cajua\[CAJUA_CF_SEC_New_27-Feb-2024Rev3.xlsx]D-PRB'!$BB$28</v>
      </c>
      <c r="J246" s="37" t="s">
        <v>2127</v>
      </c>
    </row>
    <row r="247" spans="1:10" x14ac:dyDescent="0.25">
      <c r="A247" s="32" t="s">
        <v>4</v>
      </c>
      <c r="B247" s="32">
        <f t="shared" si="63"/>
        <v>2040</v>
      </c>
      <c r="C247" s="33" t="s">
        <v>51</v>
      </c>
      <c r="D247" s="34" t="s">
        <v>1999</v>
      </c>
      <c r="E247" s="35" t="str">
        <f t="shared" si="29"/>
        <v>PRB'!</v>
      </c>
      <c r="F247" s="34" t="str">
        <f t="shared" si="30"/>
        <v>C:\Users\jaime.benazar\Quorum Business Solutions\Ecopetrol Prometeo - Documents\Planning Space Implementation\3. Analysis &amp; Design\Design\FC22\DRR Jaime\QUIFA-CAJÚA\Cajua\[CAJUA_CF_SEC_New_27-Feb-2024Rev3.xlsx]D-PRB'!</v>
      </c>
      <c r="G247" s="32" t="s">
        <v>59</v>
      </c>
      <c r="H247" s="33">
        <f t="shared" si="61"/>
        <v>29</v>
      </c>
      <c r="I247" s="33" t="str">
        <f t="shared" si="31"/>
        <v>='C:\Users\jaime.benazar\Quorum Business Solutions\Ecopetrol Prometeo - Documents\Planning Space Implementation\3. Analysis &amp; Design\Design\FC22\DRR Jaime\QUIFA-CAJÚA\Cajua\[CAJUA_CF_SEC_New_27-Feb-2024Rev3.xlsx]D-PRB'!$BB$29</v>
      </c>
      <c r="J247" s="37" t="s">
        <v>2128</v>
      </c>
    </row>
    <row r="248" spans="1:10" x14ac:dyDescent="0.2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Jaime\QUIFA-CAJÚA\Cajua\[CAJUA_CF_SEC_New_27-Feb-2024Rev3.xlsx]D-PRB'!</v>
      </c>
      <c r="G248" s="32" t="s">
        <v>59</v>
      </c>
      <c r="H248" s="33">
        <f t="shared" si="61"/>
        <v>30</v>
      </c>
      <c r="I248" s="33" t="str">
        <f t="shared" si="31"/>
        <v>='C:\Users\jaime.benazar\Quorum Business Solutions\Ecopetrol Prometeo - Documents\Planning Space Implementation\3. Analysis &amp; Design\Design\FC22\DRR Jaime\QUIFA-CAJÚA\Cajua\[CAJUA_CF_SEC_New_27-Feb-2024Rev3.xlsx]D-PRB'!$BB$30</v>
      </c>
      <c r="J248" s="37" t="s">
        <v>2129</v>
      </c>
    </row>
    <row r="249" spans="1:10" x14ac:dyDescent="0.25">
      <c r="A249" s="32" t="s">
        <v>4</v>
      </c>
      <c r="B249" s="32">
        <f t="shared" ref="B249:B250" si="64">+B248+1</f>
        <v>2042</v>
      </c>
      <c r="C249" s="33" t="s">
        <v>51</v>
      </c>
      <c r="D249" s="34" t="s">
        <v>1999</v>
      </c>
      <c r="E249" s="35" t="str">
        <f t="shared" si="29"/>
        <v>PRB'!</v>
      </c>
      <c r="F249" s="34" t="str">
        <f t="shared" si="30"/>
        <v>C:\Users\jaime.benazar\Quorum Business Solutions\Ecopetrol Prometeo - Documents\Planning Space Implementation\3. Analysis &amp; Design\Design\FC22\DRR Jaime\QUIFA-CAJÚA\Cajua\[CAJUA_CF_SEC_New_27-Feb-2024Rev3.xlsx]D-PRB'!</v>
      </c>
      <c r="G249" s="32" t="s">
        <v>59</v>
      </c>
      <c r="H249" s="33">
        <f t="shared" si="61"/>
        <v>31</v>
      </c>
      <c r="I249" s="33" t="str">
        <f t="shared" si="31"/>
        <v>='C:\Users\jaime.benazar\Quorum Business Solutions\Ecopetrol Prometeo - Documents\Planning Space Implementation\3. Analysis &amp; Design\Design\FC22\DRR Jaime\QUIFA-CAJÚA\Cajua\[CAJUA_CF_SEC_New_27-Feb-2024Rev3.xlsx]D-PRB'!$BB$31</v>
      </c>
      <c r="J249" s="37" t="s">
        <v>2130</v>
      </c>
    </row>
    <row r="250" spans="1:10" x14ac:dyDescent="0.25">
      <c r="A250" s="32" t="s">
        <v>4</v>
      </c>
      <c r="B250" s="32">
        <f t="shared" si="64"/>
        <v>2043</v>
      </c>
      <c r="C250" s="33" t="s">
        <v>51</v>
      </c>
      <c r="D250" s="34" t="s">
        <v>1999</v>
      </c>
      <c r="E250" s="35" t="str">
        <f t="shared" si="29"/>
        <v>PRB'!</v>
      </c>
      <c r="F250" s="34" t="str">
        <f t="shared" si="30"/>
        <v>C:\Users\jaime.benazar\Quorum Business Solutions\Ecopetrol Prometeo - Documents\Planning Space Implementation\3. Analysis &amp; Design\Design\FC22\DRR Jaime\QUIFA-CAJÚA\Cajua\[CAJUA_CF_SEC_New_27-Feb-2024Rev3.xlsx]D-PRB'!</v>
      </c>
      <c r="G250" s="32" t="s">
        <v>59</v>
      </c>
      <c r="H250" s="33">
        <f t="shared" si="61"/>
        <v>32</v>
      </c>
      <c r="I250" s="33" t="str">
        <f t="shared" si="31"/>
        <v>='C:\Users\jaime.benazar\Quorum Business Solutions\Ecopetrol Prometeo - Documents\Planning Space Implementation\3. Analysis &amp; Design\Design\FC22\DRR Jaime\QUIFA-CAJÚA\Cajua\[CAJUA_CF_SEC_New_27-Feb-2024Rev3.xlsx]D-PRB'!$BB$32</v>
      </c>
      <c r="J250" s="37" t="s">
        <v>2131</v>
      </c>
    </row>
    <row r="251" spans="1:10" x14ac:dyDescent="0.25">
      <c r="A251" s="32" t="s">
        <v>4</v>
      </c>
      <c r="B251" s="32">
        <f>+B250+1</f>
        <v>2044</v>
      </c>
      <c r="C251" s="33" t="s">
        <v>51</v>
      </c>
      <c r="D251" s="34" t="s">
        <v>1999</v>
      </c>
      <c r="E251" s="35" t="str">
        <f t="shared" ref="E251:E266" si="65">_xlfn.CONCAT(A251,"'!")</f>
        <v>PRB'!</v>
      </c>
      <c r="F251" s="34" t="str">
        <f t="shared" ref="F251:F266" si="66">_xlfn.CONCAT(D251:E251)</f>
        <v>C:\Users\jaime.benazar\Quorum Business Solutions\Ecopetrol Prometeo - Documents\Planning Space Implementation\3. Analysis &amp; Design\Design\FC22\DRR Jaime\QUIFA-CAJÚA\Cajua\[CAJUA_CF_SEC_New_27-Feb-2024Rev3.xlsx]D-PRB'!</v>
      </c>
      <c r="G251" s="32" t="s">
        <v>59</v>
      </c>
      <c r="H251" s="33">
        <f t="shared" ref="H251:H266" si="67">IF(A251&lt;&gt;A250,12,H250+1)</f>
        <v>33</v>
      </c>
      <c r="I251" s="33" t="str">
        <f t="shared" ref="I251:I266" si="68">_xlfn.CONCAT("='",F251:H251)</f>
        <v>='C:\Users\jaime.benazar\Quorum Business Solutions\Ecopetrol Prometeo - Documents\Planning Space Implementation\3. Analysis &amp; Design\Design\FC22\DRR Jaime\QUIFA-CAJÚA\Cajua\[CAJUA_CF_SEC_New_27-Feb-2024Rev3.xlsx]D-PRB'!$BB$33</v>
      </c>
      <c r="J251" s="37" t="s">
        <v>2132</v>
      </c>
    </row>
    <row r="252" spans="1:10" x14ac:dyDescent="0.25">
      <c r="A252" s="32" t="s">
        <v>4</v>
      </c>
      <c r="B252" s="32">
        <f t="shared" ref="B252:B266" si="69">+B251+1</f>
        <v>2045</v>
      </c>
      <c r="C252" s="33" t="s">
        <v>51</v>
      </c>
      <c r="D252" s="34" t="s">
        <v>1999</v>
      </c>
      <c r="E252" s="35" t="str">
        <f t="shared" si="65"/>
        <v>PRB'!</v>
      </c>
      <c r="F252" s="34" t="str">
        <f t="shared" si="66"/>
        <v>C:\Users\jaime.benazar\Quorum Business Solutions\Ecopetrol Prometeo - Documents\Planning Space Implementation\3. Analysis &amp; Design\Design\FC22\DRR Jaime\QUIFA-CAJÚA\Cajua\[CAJUA_CF_SEC_New_27-Feb-2024Rev3.xlsx]D-PRB'!</v>
      </c>
      <c r="G252" s="32" t="s">
        <v>59</v>
      </c>
      <c r="H252" s="33">
        <f t="shared" si="67"/>
        <v>34</v>
      </c>
      <c r="I252" s="33" t="str">
        <f t="shared" si="68"/>
        <v>='C:\Users\jaime.benazar\Quorum Business Solutions\Ecopetrol Prometeo - Documents\Planning Space Implementation\3. Analysis &amp; Design\Design\FC22\DRR Jaime\QUIFA-CAJÚA\Cajua\[CAJUA_CF_SEC_New_27-Feb-2024Rev3.xlsx]D-PRB'!$BB$34</v>
      </c>
      <c r="J252" s="37" t="s">
        <v>2133</v>
      </c>
    </row>
    <row r="253" spans="1:10" x14ac:dyDescent="0.25">
      <c r="A253" s="32" t="s">
        <v>4</v>
      </c>
      <c r="B253" s="32">
        <f t="shared" si="69"/>
        <v>2046</v>
      </c>
      <c r="C253" s="33" t="s">
        <v>51</v>
      </c>
      <c r="D253" s="34" t="s">
        <v>1999</v>
      </c>
      <c r="E253" s="35" t="str">
        <f t="shared" si="65"/>
        <v>PRB'!</v>
      </c>
      <c r="F253" s="34" t="str">
        <f t="shared" si="66"/>
        <v>C:\Users\jaime.benazar\Quorum Business Solutions\Ecopetrol Prometeo - Documents\Planning Space Implementation\3. Analysis &amp; Design\Design\FC22\DRR Jaime\QUIFA-CAJÚA\Cajua\[CAJUA_CF_SEC_New_27-Feb-2024Rev3.xlsx]D-PRB'!</v>
      </c>
      <c r="G253" s="32" t="s">
        <v>59</v>
      </c>
      <c r="H253" s="33">
        <f t="shared" si="67"/>
        <v>35</v>
      </c>
      <c r="I253" s="33" t="str">
        <f t="shared" si="68"/>
        <v>='C:\Users\jaime.benazar\Quorum Business Solutions\Ecopetrol Prometeo - Documents\Planning Space Implementation\3. Analysis &amp; Design\Design\FC22\DRR Jaime\QUIFA-CAJÚA\Cajua\[CAJUA_CF_SEC_New_27-Feb-2024Rev3.xlsx]D-PRB'!$BB$35</v>
      </c>
      <c r="J253" s="37" t="s">
        <v>2134</v>
      </c>
    </row>
    <row r="254" spans="1:10" x14ac:dyDescent="0.25">
      <c r="A254" s="32" t="s">
        <v>4</v>
      </c>
      <c r="B254" s="32">
        <f t="shared" si="69"/>
        <v>2047</v>
      </c>
      <c r="C254" s="33" t="s">
        <v>51</v>
      </c>
      <c r="D254" s="34" t="s">
        <v>1999</v>
      </c>
      <c r="E254" s="35" t="str">
        <f t="shared" si="65"/>
        <v>PRB'!</v>
      </c>
      <c r="F254" s="34" t="str">
        <f t="shared" si="66"/>
        <v>C:\Users\jaime.benazar\Quorum Business Solutions\Ecopetrol Prometeo - Documents\Planning Space Implementation\3. Analysis &amp; Design\Design\FC22\DRR Jaime\QUIFA-CAJÚA\Cajua\[CAJUA_CF_SEC_New_27-Feb-2024Rev3.xlsx]D-PRB'!</v>
      </c>
      <c r="G254" s="32" t="s">
        <v>59</v>
      </c>
      <c r="H254" s="33">
        <f t="shared" si="67"/>
        <v>36</v>
      </c>
      <c r="I254" s="33" t="str">
        <f t="shared" si="68"/>
        <v>='C:\Users\jaime.benazar\Quorum Business Solutions\Ecopetrol Prometeo - Documents\Planning Space Implementation\3. Analysis &amp; Design\Design\FC22\DRR Jaime\QUIFA-CAJÚA\Cajua\[CAJUA_CF_SEC_New_27-Feb-2024Rev3.xlsx]D-PRB'!$BB$36</v>
      </c>
      <c r="J254" s="37" t="s">
        <v>2135</v>
      </c>
    </row>
    <row r="255" spans="1:10" x14ac:dyDescent="0.25">
      <c r="A255" s="32" t="s">
        <v>4</v>
      </c>
      <c r="B255" s="32">
        <f t="shared" si="69"/>
        <v>2048</v>
      </c>
      <c r="C255" s="33" t="s">
        <v>51</v>
      </c>
      <c r="D255" s="34" t="s">
        <v>1999</v>
      </c>
      <c r="E255" s="35" t="str">
        <f t="shared" si="65"/>
        <v>PRB'!</v>
      </c>
      <c r="F255" s="34" t="str">
        <f t="shared" si="66"/>
        <v>C:\Users\jaime.benazar\Quorum Business Solutions\Ecopetrol Prometeo - Documents\Planning Space Implementation\3. Analysis &amp; Design\Design\FC22\DRR Jaime\QUIFA-CAJÚA\Cajua\[CAJUA_CF_SEC_New_27-Feb-2024Rev3.xlsx]D-PRB'!</v>
      </c>
      <c r="G255" s="32" t="s">
        <v>59</v>
      </c>
      <c r="H255" s="33">
        <f t="shared" si="67"/>
        <v>37</v>
      </c>
      <c r="I255" s="33" t="str">
        <f t="shared" si="68"/>
        <v>='C:\Users\jaime.benazar\Quorum Business Solutions\Ecopetrol Prometeo - Documents\Planning Space Implementation\3. Analysis &amp; Design\Design\FC22\DRR Jaime\QUIFA-CAJÚA\Cajua\[CAJUA_CF_SEC_New_27-Feb-2024Rev3.xlsx]D-PRB'!$BB$37</v>
      </c>
      <c r="J255" s="37" t="s">
        <v>2136</v>
      </c>
    </row>
    <row r="256" spans="1:10" x14ac:dyDescent="0.25">
      <c r="A256" s="32" t="s">
        <v>4</v>
      </c>
      <c r="B256" s="32">
        <f t="shared" si="69"/>
        <v>2049</v>
      </c>
      <c r="C256" s="33" t="s">
        <v>51</v>
      </c>
      <c r="D256" s="34" t="s">
        <v>1999</v>
      </c>
      <c r="E256" s="35" t="str">
        <f t="shared" si="65"/>
        <v>PRB'!</v>
      </c>
      <c r="F256" s="34" t="str">
        <f t="shared" si="66"/>
        <v>C:\Users\jaime.benazar\Quorum Business Solutions\Ecopetrol Prometeo - Documents\Planning Space Implementation\3. Analysis &amp; Design\Design\FC22\DRR Jaime\QUIFA-CAJÚA\Cajua\[CAJUA_CF_SEC_New_27-Feb-2024Rev3.xlsx]D-PRB'!</v>
      </c>
      <c r="G256" s="32" t="s">
        <v>59</v>
      </c>
      <c r="H256" s="33">
        <f t="shared" si="67"/>
        <v>38</v>
      </c>
      <c r="I256" s="33" t="str">
        <f t="shared" si="68"/>
        <v>='C:\Users\jaime.benazar\Quorum Business Solutions\Ecopetrol Prometeo - Documents\Planning Space Implementation\3. Analysis &amp; Design\Design\FC22\DRR Jaime\QUIFA-CAJÚA\Cajua\[CAJUA_CF_SEC_New_27-Feb-2024Rev3.xlsx]D-PRB'!$BB$38</v>
      </c>
      <c r="J256" s="37" t="s">
        <v>2137</v>
      </c>
    </row>
    <row r="257" spans="1:10" x14ac:dyDescent="0.25">
      <c r="A257" s="32" t="s">
        <v>4</v>
      </c>
      <c r="B257" s="32">
        <f t="shared" si="69"/>
        <v>2050</v>
      </c>
      <c r="C257" s="33" t="s">
        <v>51</v>
      </c>
      <c r="D257" s="34" t="s">
        <v>1999</v>
      </c>
      <c r="E257" s="35" t="str">
        <f t="shared" si="65"/>
        <v>PRB'!</v>
      </c>
      <c r="F257" s="34" t="str">
        <f t="shared" si="66"/>
        <v>C:\Users\jaime.benazar\Quorum Business Solutions\Ecopetrol Prometeo - Documents\Planning Space Implementation\3. Analysis &amp; Design\Design\FC22\DRR Jaime\QUIFA-CAJÚA\Cajua\[CAJUA_CF_SEC_New_27-Feb-2024Rev3.xlsx]D-PRB'!</v>
      </c>
      <c r="G257" s="32" t="s">
        <v>59</v>
      </c>
      <c r="H257" s="33">
        <f t="shared" si="67"/>
        <v>39</v>
      </c>
      <c r="I257" s="33" t="str">
        <f t="shared" si="68"/>
        <v>='C:\Users\jaime.benazar\Quorum Business Solutions\Ecopetrol Prometeo - Documents\Planning Space Implementation\3. Analysis &amp; Design\Design\FC22\DRR Jaime\QUIFA-CAJÚA\Cajua\[CAJUA_CF_SEC_New_27-Feb-2024Rev3.xlsx]D-PRB'!$BB$39</v>
      </c>
      <c r="J257" s="37" t="s">
        <v>2138</v>
      </c>
    </row>
    <row r="258" spans="1:10" x14ac:dyDescent="0.25">
      <c r="A258" s="32" t="s">
        <v>4</v>
      </c>
      <c r="B258" s="32">
        <f t="shared" si="69"/>
        <v>2051</v>
      </c>
      <c r="C258" s="33" t="s">
        <v>51</v>
      </c>
      <c r="D258" s="34" t="s">
        <v>1999</v>
      </c>
      <c r="E258" s="35" t="str">
        <f t="shared" si="65"/>
        <v>PRB'!</v>
      </c>
      <c r="F258" s="34" t="str">
        <f t="shared" si="66"/>
        <v>C:\Users\jaime.benazar\Quorum Business Solutions\Ecopetrol Prometeo - Documents\Planning Space Implementation\3. Analysis &amp; Design\Design\FC22\DRR Jaime\QUIFA-CAJÚA\Cajua\[CAJUA_CF_SEC_New_27-Feb-2024Rev3.xlsx]D-PRB'!</v>
      </c>
      <c r="G258" s="32" t="s">
        <v>59</v>
      </c>
      <c r="H258" s="33">
        <f t="shared" si="67"/>
        <v>40</v>
      </c>
      <c r="I258" s="33" t="str">
        <f t="shared" si="68"/>
        <v>='C:\Users\jaime.benazar\Quorum Business Solutions\Ecopetrol Prometeo - Documents\Planning Space Implementation\3. Analysis &amp; Design\Design\FC22\DRR Jaime\QUIFA-CAJÚA\Cajua\[CAJUA_CF_SEC_New_27-Feb-2024Rev3.xlsx]D-PRB'!$BB$40</v>
      </c>
      <c r="J258" s="37" t="s">
        <v>2139</v>
      </c>
    </row>
    <row r="259" spans="1:10" x14ac:dyDescent="0.25">
      <c r="A259" s="32" t="s">
        <v>4</v>
      </c>
      <c r="B259" s="32">
        <f t="shared" si="69"/>
        <v>2052</v>
      </c>
      <c r="C259" s="33" t="s">
        <v>51</v>
      </c>
      <c r="D259" s="34" t="s">
        <v>1999</v>
      </c>
      <c r="E259" s="35" t="str">
        <f t="shared" si="65"/>
        <v>PRB'!</v>
      </c>
      <c r="F259" s="34" t="str">
        <f t="shared" si="66"/>
        <v>C:\Users\jaime.benazar\Quorum Business Solutions\Ecopetrol Prometeo - Documents\Planning Space Implementation\3. Analysis &amp; Design\Design\FC22\DRR Jaime\QUIFA-CAJÚA\Cajua\[CAJUA_CF_SEC_New_27-Feb-2024Rev3.xlsx]D-PRB'!</v>
      </c>
      <c r="G259" s="32" t="s">
        <v>59</v>
      </c>
      <c r="H259" s="33">
        <f t="shared" si="67"/>
        <v>41</v>
      </c>
      <c r="I259" s="33" t="str">
        <f t="shared" si="68"/>
        <v>='C:\Users\jaime.benazar\Quorum Business Solutions\Ecopetrol Prometeo - Documents\Planning Space Implementation\3. Analysis &amp; Design\Design\FC22\DRR Jaime\QUIFA-CAJÚA\Cajua\[CAJUA_CF_SEC_New_27-Feb-2024Rev3.xlsx]D-PRB'!$BB$41</v>
      </c>
      <c r="J259" s="37" t="s">
        <v>2140</v>
      </c>
    </row>
    <row r="260" spans="1:10" x14ac:dyDescent="0.25">
      <c r="A260" s="32" t="s">
        <v>4</v>
      </c>
      <c r="B260" s="32">
        <f t="shared" si="69"/>
        <v>2053</v>
      </c>
      <c r="C260" s="33" t="s">
        <v>51</v>
      </c>
      <c r="D260" s="34" t="s">
        <v>1999</v>
      </c>
      <c r="E260" s="35" t="str">
        <f t="shared" si="65"/>
        <v>PRB'!</v>
      </c>
      <c r="F260" s="34" t="str">
        <f t="shared" si="66"/>
        <v>C:\Users\jaime.benazar\Quorum Business Solutions\Ecopetrol Prometeo - Documents\Planning Space Implementation\3. Analysis &amp; Design\Design\FC22\DRR Jaime\QUIFA-CAJÚA\Cajua\[CAJUA_CF_SEC_New_27-Feb-2024Rev3.xlsx]D-PRB'!</v>
      </c>
      <c r="G260" s="32" t="s">
        <v>59</v>
      </c>
      <c r="H260" s="33">
        <f t="shared" si="67"/>
        <v>42</v>
      </c>
      <c r="I260" s="33" t="str">
        <f t="shared" si="68"/>
        <v>='C:\Users\jaime.benazar\Quorum Business Solutions\Ecopetrol Prometeo - Documents\Planning Space Implementation\3. Analysis &amp; Design\Design\FC22\DRR Jaime\QUIFA-CAJÚA\Cajua\[CAJUA_CF_SEC_New_27-Feb-2024Rev3.xlsx]D-PRB'!$BB$42</v>
      </c>
      <c r="J260" s="37" t="s">
        <v>2141</v>
      </c>
    </row>
    <row r="261" spans="1:10" x14ac:dyDescent="0.25">
      <c r="A261" s="32" t="s">
        <v>4</v>
      </c>
      <c r="B261" s="32">
        <f t="shared" si="69"/>
        <v>2054</v>
      </c>
      <c r="C261" s="33" t="s">
        <v>51</v>
      </c>
      <c r="D261" s="34" t="s">
        <v>1999</v>
      </c>
      <c r="E261" s="35" t="str">
        <f t="shared" si="65"/>
        <v>PRB'!</v>
      </c>
      <c r="F261" s="34" t="str">
        <f t="shared" si="66"/>
        <v>C:\Users\jaime.benazar\Quorum Business Solutions\Ecopetrol Prometeo - Documents\Planning Space Implementation\3. Analysis &amp; Design\Design\FC22\DRR Jaime\QUIFA-CAJÚA\Cajua\[CAJUA_CF_SEC_New_27-Feb-2024Rev3.xlsx]D-PRB'!</v>
      </c>
      <c r="G261" s="32" t="s">
        <v>59</v>
      </c>
      <c r="H261" s="33">
        <f t="shared" si="67"/>
        <v>43</v>
      </c>
      <c r="I261" s="33" t="str">
        <f t="shared" si="68"/>
        <v>='C:\Users\jaime.benazar\Quorum Business Solutions\Ecopetrol Prometeo - Documents\Planning Space Implementation\3. Analysis &amp; Design\Design\FC22\DRR Jaime\QUIFA-CAJÚA\Cajua\[CAJUA_CF_SEC_New_27-Feb-2024Rev3.xlsx]D-PRB'!$BB$43</v>
      </c>
      <c r="J261" s="37" t="s">
        <v>2142</v>
      </c>
    </row>
    <row r="262" spans="1:10" x14ac:dyDescent="0.25">
      <c r="A262" s="32" t="s">
        <v>4</v>
      </c>
      <c r="B262" s="32">
        <f t="shared" si="69"/>
        <v>2055</v>
      </c>
      <c r="C262" s="33" t="s">
        <v>51</v>
      </c>
      <c r="D262" s="34" t="s">
        <v>1999</v>
      </c>
      <c r="E262" s="35" t="str">
        <f t="shared" si="65"/>
        <v>PRB'!</v>
      </c>
      <c r="F262" s="34" t="str">
        <f t="shared" si="66"/>
        <v>C:\Users\jaime.benazar\Quorum Business Solutions\Ecopetrol Prometeo - Documents\Planning Space Implementation\3. Analysis &amp; Design\Design\FC22\DRR Jaime\QUIFA-CAJÚA\Cajua\[CAJUA_CF_SEC_New_27-Feb-2024Rev3.xlsx]D-PRB'!</v>
      </c>
      <c r="G262" s="32" t="s">
        <v>59</v>
      </c>
      <c r="H262" s="33">
        <f t="shared" si="67"/>
        <v>44</v>
      </c>
      <c r="I262" s="33" t="str">
        <f t="shared" si="68"/>
        <v>='C:\Users\jaime.benazar\Quorum Business Solutions\Ecopetrol Prometeo - Documents\Planning Space Implementation\3. Analysis &amp; Design\Design\FC22\DRR Jaime\QUIFA-CAJÚA\Cajua\[CAJUA_CF_SEC_New_27-Feb-2024Rev3.xlsx]D-PRB'!$BB$44</v>
      </c>
      <c r="J262" s="37" t="s">
        <v>2143</v>
      </c>
    </row>
    <row r="263" spans="1:10" x14ac:dyDescent="0.25">
      <c r="A263" s="32" t="s">
        <v>4</v>
      </c>
      <c r="B263" s="32">
        <f t="shared" si="69"/>
        <v>2056</v>
      </c>
      <c r="C263" s="33" t="s">
        <v>51</v>
      </c>
      <c r="D263" s="34" t="s">
        <v>1999</v>
      </c>
      <c r="E263" s="35" t="str">
        <f t="shared" si="65"/>
        <v>PRB'!</v>
      </c>
      <c r="F263" s="34" t="str">
        <f t="shared" si="66"/>
        <v>C:\Users\jaime.benazar\Quorum Business Solutions\Ecopetrol Prometeo - Documents\Planning Space Implementation\3. Analysis &amp; Design\Design\FC22\DRR Jaime\QUIFA-CAJÚA\Cajua\[CAJUA_CF_SEC_New_27-Feb-2024Rev3.xlsx]D-PRB'!</v>
      </c>
      <c r="G263" s="32" t="s">
        <v>59</v>
      </c>
      <c r="H263" s="33">
        <f t="shared" si="67"/>
        <v>45</v>
      </c>
      <c r="I263" s="33" t="str">
        <f t="shared" si="68"/>
        <v>='C:\Users\jaime.benazar\Quorum Business Solutions\Ecopetrol Prometeo - Documents\Planning Space Implementation\3. Analysis &amp; Design\Design\FC22\DRR Jaime\QUIFA-CAJÚA\Cajua\[CAJUA_CF_SEC_New_27-Feb-2024Rev3.xlsx]D-PRB'!$BB$45</v>
      </c>
      <c r="J263" s="37" t="s">
        <v>2144</v>
      </c>
    </row>
    <row r="264" spans="1:10" x14ac:dyDescent="0.25">
      <c r="A264" s="32" t="s">
        <v>4</v>
      </c>
      <c r="B264" s="32">
        <f t="shared" si="69"/>
        <v>2057</v>
      </c>
      <c r="C264" s="33" t="s">
        <v>51</v>
      </c>
      <c r="D264" s="34" t="s">
        <v>1999</v>
      </c>
      <c r="E264" s="35" t="str">
        <f t="shared" si="65"/>
        <v>PRB'!</v>
      </c>
      <c r="F264" s="34" t="str">
        <f t="shared" si="66"/>
        <v>C:\Users\jaime.benazar\Quorum Business Solutions\Ecopetrol Prometeo - Documents\Planning Space Implementation\3. Analysis &amp; Design\Design\FC22\DRR Jaime\QUIFA-CAJÚA\Cajua\[CAJUA_CF_SEC_New_27-Feb-2024Rev3.xlsx]D-PRB'!</v>
      </c>
      <c r="G264" s="32" t="s">
        <v>59</v>
      </c>
      <c r="H264" s="33">
        <f t="shared" si="67"/>
        <v>46</v>
      </c>
      <c r="I264" s="33" t="str">
        <f t="shared" si="68"/>
        <v>='C:\Users\jaime.benazar\Quorum Business Solutions\Ecopetrol Prometeo - Documents\Planning Space Implementation\3. Analysis &amp; Design\Design\FC22\DRR Jaime\QUIFA-CAJÚA\Cajua\[CAJUA_CF_SEC_New_27-Feb-2024Rev3.xlsx]D-PRB'!$BB$46</v>
      </c>
      <c r="J264" s="37" t="s">
        <v>2145</v>
      </c>
    </row>
    <row r="265" spans="1:10" x14ac:dyDescent="0.25">
      <c r="A265" s="32" t="s">
        <v>4</v>
      </c>
      <c r="B265" s="32">
        <f t="shared" si="69"/>
        <v>2058</v>
      </c>
      <c r="C265" s="33" t="s">
        <v>51</v>
      </c>
      <c r="D265" s="34" t="s">
        <v>1999</v>
      </c>
      <c r="E265" s="35" t="str">
        <f t="shared" si="65"/>
        <v>PRB'!</v>
      </c>
      <c r="F265" s="34" t="str">
        <f t="shared" si="66"/>
        <v>C:\Users\jaime.benazar\Quorum Business Solutions\Ecopetrol Prometeo - Documents\Planning Space Implementation\3. Analysis &amp; Design\Design\FC22\DRR Jaime\QUIFA-CAJÚA\Cajua\[CAJUA_CF_SEC_New_27-Feb-2024Rev3.xlsx]D-PRB'!</v>
      </c>
      <c r="G265" s="32" t="s">
        <v>59</v>
      </c>
      <c r="H265" s="33">
        <f t="shared" si="67"/>
        <v>47</v>
      </c>
      <c r="I265" s="33" t="str">
        <f t="shared" si="68"/>
        <v>='C:\Users\jaime.benazar\Quorum Business Solutions\Ecopetrol Prometeo - Documents\Planning Space Implementation\3. Analysis &amp; Design\Design\FC22\DRR Jaime\QUIFA-CAJÚA\Cajua\[CAJUA_CF_SEC_New_27-Feb-2024Rev3.xlsx]D-PRB'!$BB$47</v>
      </c>
      <c r="J265" s="37" t="s">
        <v>2146</v>
      </c>
    </row>
    <row r="266" spans="1:10" x14ac:dyDescent="0.25">
      <c r="A266" s="32" t="s">
        <v>4</v>
      </c>
      <c r="B266" s="32">
        <f t="shared" si="69"/>
        <v>2059</v>
      </c>
      <c r="C266" s="33" t="s">
        <v>51</v>
      </c>
      <c r="D266" s="34" t="s">
        <v>1999</v>
      </c>
      <c r="E266" s="35" t="str">
        <f t="shared" si="65"/>
        <v>PRB'!</v>
      </c>
      <c r="F266" s="34" t="str">
        <f t="shared" si="66"/>
        <v>C:\Users\jaime.benazar\Quorum Business Solutions\Ecopetrol Prometeo - Documents\Planning Space Implementation\3. Analysis &amp; Design\Design\FC22\DRR Jaime\QUIFA-CAJÚA\Cajua\[CAJUA_CF_SEC_New_27-Feb-2024Rev3.xlsx]D-PRB'!</v>
      </c>
      <c r="G266" s="32" t="s">
        <v>59</v>
      </c>
      <c r="H266" s="33">
        <f t="shared" si="67"/>
        <v>48</v>
      </c>
      <c r="I266" s="33" t="str">
        <f t="shared" si="68"/>
        <v>='C:\Users\jaime.benazar\Quorum Business Solutions\Ecopetrol Prometeo - Documents\Planning Space Implementation\3. Analysis &amp; Design\Design\FC22\DRR Jaime\QUIFA-CAJÚA\Cajua\[CAJUA_CF_SEC_New_27-Feb-2024Rev3.xlsx]D-PRB'!$BB$48</v>
      </c>
      <c r="J266" s="37" t="s">
        <v>2147</v>
      </c>
    </row>
    <row r="267" spans="1:10" x14ac:dyDescent="0.25">
      <c r="A267" s="32" t="s">
        <v>28</v>
      </c>
      <c r="B267" s="32"/>
      <c r="C267" s="33" t="s">
        <v>51</v>
      </c>
      <c r="D267" s="34"/>
      <c r="E267" s="35"/>
      <c r="F267" s="34"/>
      <c r="G267" s="32"/>
      <c r="H267" s="33"/>
      <c r="I267" s="33"/>
      <c r="J267" s="33"/>
    </row>
    <row r="268" spans="1:10" x14ac:dyDescent="0.25">
      <c r="A268" s="32" t="s">
        <v>102</v>
      </c>
      <c r="B268" s="32">
        <v>2023</v>
      </c>
      <c r="C268" s="33" t="s">
        <v>51</v>
      </c>
      <c r="D268" s="34" t="s">
        <v>1999</v>
      </c>
      <c r="E268" s="35" t="str">
        <f t="shared" ref="E268:E288" si="70">_xlfn.CONCAT(A268,"'!")</f>
        <v>PSDP'!</v>
      </c>
      <c r="F268" s="34" t="str">
        <f t="shared" ref="F268:F288" si="71">_xlfn.CONCAT(D268:E268)</f>
        <v>C:\Users\jaime.benazar\Quorum Business Solutions\Ecopetrol Prometeo - Documents\Planning Space Implementation\3. Analysis &amp; Design\Design\FC22\DRR Jaime\QUIFA-CAJÚA\Cajua\[CAJUA_CF_SEC_New_27-Feb-2024Rev3.xlsx]D-PSDP'!</v>
      </c>
      <c r="G268" s="32" t="s">
        <v>59</v>
      </c>
      <c r="H268" s="33"/>
      <c r="I268" s="33"/>
      <c r="J268" s="37"/>
    </row>
    <row r="269" spans="1:10" x14ac:dyDescent="0.25">
      <c r="A269" s="32" t="s">
        <v>102</v>
      </c>
      <c r="B269" s="32">
        <f>+B268+1</f>
        <v>2024</v>
      </c>
      <c r="C269" s="33" t="s">
        <v>51</v>
      </c>
      <c r="D269" s="34" t="s">
        <v>1999</v>
      </c>
      <c r="E269" s="35" t="str">
        <f t="shared" si="70"/>
        <v>PSDP'!</v>
      </c>
      <c r="F269" s="34" t="str">
        <f t="shared" si="71"/>
        <v>C:\Users\jaime.benazar\Quorum Business Solutions\Ecopetrol Prometeo - Documents\Planning Space Implementation\3. Analysis &amp; Design\Design\FC22\DRR Jaime\QUIFA-CAJÚA\Cajua\[CAJUA_CF_SEC_New_27-Feb-2024Rev3.xlsx]D-PSDP'!</v>
      </c>
      <c r="G269" s="32" t="s">
        <v>59</v>
      </c>
      <c r="H269" s="33"/>
      <c r="I269" s="33"/>
      <c r="J269" s="37"/>
    </row>
    <row r="270" spans="1:10" x14ac:dyDescent="0.25">
      <c r="A270" s="32" t="s">
        <v>102</v>
      </c>
      <c r="B270" s="32">
        <f t="shared" ref="B270:B281" si="72">+B269+1</f>
        <v>2025</v>
      </c>
      <c r="C270" s="33" t="s">
        <v>51</v>
      </c>
      <c r="D270" s="34" t="s">
        <v>1999</v>
      </c>
      <c r="E270" s="35" t="str">
        <f t="shared" si="70"/>
        <v>PSDP'!</v>
      </c>
      <c r="F270" s="34" t="str">
        <f t="shared" si="71"/>
        <v>C:\Users\jaime.benazar\Quorum Business Solutions\Ecopetrol Prometeo - Documents\Planning Space Implementation\3. Analysis &amp; Design\Design\FC22\DRR Jaime\QUIFA-CAJÚA\Cajua\[CAJUA_CF_SEC_New_27-Feb-2024Rev3.xlsx]D-PSDP'!</v>
      </c>
      <c r="G270" s="32" t="s">
        <v>59</v>
      </c>
      <c r="H270" s="33"/>
      <c r="I270" s="33"/>
      <c r="J270" s="37"/>
    </row>
    <row r="271" spans="1:10" x14ac:dyDescent="0.25">
      <c r="A271" s="32" t="s">
        <v>102</v>
      </c>
      <c r="B271" s="32">
        <f t="shared" si="72"/>
        <v>2026</v>
      </c>
      <c r="C271" s="33" t="s">
        <v>51</v>
      </c>
      <c r="D271" s="34" t="s">
        <v>1999</v>
      </c>
      <c r="E271" s="35" t="str">
        <f t="shared" si="70"/>
        <v>PSDP'!</v>
      </c>
      <c r="F271" s="34" t="str">
        <f t="shared" si="71"/>
        <v>C:\Users\jaime.benazar\Quorum Business Solutions\Ecopetrol Prometeo - Documents\Planning Space Implementation\3. Analysis &amp; Design\Design\FC22\DRR Jaime\QUIFA-CAJÚA\Cajua\[CAJUA_CF_SEC_New_27-Feb-2024Rev3.xlsx]D-PSDP'!</v>
      </c>
      <c r="G271" s="32" t="s">
        <v>59</v>
      </c>
      <c r="H271" s="33"/>
      <c r="I271" s="33"/>
      <c r="J271" s="37"/>
    </row>
    <row r="272" spans="1:10" x14ac:dyDescent="0.25">
      <c r="A272" s="32" t="s">
        <v>102</v>
      </c>
      <c r="B272" s="32">
        <f t="shared" si="72"/>
        <v>2027</v>
      </c>
      <c r="C272" s="33" t="s">
        <v>51</v>
      </c>
      <c r="D272" s="34" t="s">
        <v>1999</v>
      </c>
      <c r="E272" s="35" t="str">
        <f t="shared" si="70"/>
        <v>PSDP'!</v>
      </c>
      <c r="F272" s="34" t="str">
        <f t="shared" si="71"/>
        <v>C:\Users\jaime.benazar\Quorum Business Solutions\Ecopetrol Prometeo - Documents\Planning Space Implementation\3. Analysis &amp; Design\Design\FC22\DRR Jaime\QUIFA-CAJÚA\Cajua\[CAJUA_CF_SEC_New_27-Feb-2024Rev3.xlsx]D-PSDP'!</v>
      </c>
      <c r="G272" s="32" t="s">
        <v>59</v>
      </c>
      <c r="H272" s="33"/>
      <c r="I272" s="33"/>
      <c r="J272" s="37"/>
    </row>
    <row r="273" spans="1:10" x14ac:dyDescent="0.25">
      <c r="A273" s="32" t="s">
        <v>102</v>
      </c>
      <c r="B273" s="32">
        <f t="shared" si="72"/>
        <v>2028</v>
      </c>
      <c r="C273" s="33" t="s">
        <v>51</v>
      </c>
      <c r="D273" s="34" t="s">
        <v>1999</v>
      </c>
      <c r="E273" s="35" t="str">
        <f t="shared" si="70"/>
        <v>PSDP'!</v>
      </c>
      <c r="F273" s="34" t="str">
        <f t="shared" si="71"/>
        <v>C:\Users\jaime.benazar\Quorum Business Solutions\Ecopetrol Prometeo - Documents\Planning Space Implementation\3. Analysis &amp; Design\Design\FC22\DRR Jaime\QUIFA-CAJÚA\Cajua\[CAJUA_CF_SEC_New_27-Feb-2024Rev3.xlsx]D-PSDP'!</v>
      </c>
      <c r="G273" s="32" t="s">
        <v>59</v>
      </c>
      <c r="H273" s="33"/>
      <c r="I273" s="33"/>
      <c r="J273" s="37"/>
    </row>
    <row r="274" spans="1:10" x14ac:dyDescent="0.25">
      <c r="A274" s="32" t="s">
        <v>102</v>
      </c>
      <c r="B274" s="32">
        <f t="shared" si="72"/>
        <v>2029</v>
      </c>
      <c r="C274" s="33" t="s">
        <v>51</v>
      </c>
      <c r="D274" s="34" t="s">
        <v>1999</v>
      </c>
      <c r="E274" s="35" t="str">
        <f t="shared" si="70"/>
        <v>PSDP'!</v>
      </c>
      <c r="F274" s="34" t="str">
        <f t="shared" si="71"/>
        <v>C:\Users\jaime.benazar\Quorum Business Solutions\Ecopetrol Prometeo - Documents\Planning Space Implementation\3. Analysis &amp; Design\Design\FC22\DRR Jaime\QUIFA-CAJÚA\Cajua\[CAJUA_CF_SEC_New_27-Feb-2024Rev3.xlsx]D-PSDP'!</v>
      </c>
      <c r="G274" s="32" t="s">
        <v>59</v>
      </c>
      <c r="H274" s="33"/>
      <c r="I274" s="33"/>
      <c r="J274" s="37"/>
    </row>
    <row r="275" spans="1:10" x14ac:dyDescent="0.25">
      <c r="A275" s="32" t="s">
        <v>102</v>
      </c>
      <c r="B275" s="32">
        <f t="shared" si="72"/>
        <v>2030</v>
      </c>
      <c r="C275" s="33" t="s">
        <v>51</v>
      </c>
      <c r="D275" s="34" t="s">
        <v>1999</v>
      </c>
      <c r="E275" s="35" t="str">
        <f t="shared" si="70"/>
        <v>PSDP'!</v>
      </c>
      <c r="F275" s="34" t="str">
        <f t="shared" si="71"/>
        <v>C:\Users\jaime.benazar\Quorum Business Solutions\Ecopetrol Prometeo - Documents\Planning Space Implementation\3. Analysis &amp; Design\Design\FC22\DRR Jaime\QUIFA-CAJÚA\Cajua\[CAJUA_CF_SEC_New_27-Feb-2024Rev3.xlsx]D-PSDP'!</v>
      </c>
      <c r="G275" s="32" t="s">
        <v>59</v>
      </c>
      <c r="H275" s="33"/>
      <c r="I275" s="33"/>
      <c r="J275" s="37"/>
    </row>
    <row r="276" spans="1:10" x14ac:dyDescent="0.25">
      <c r="A276" s="32" t="s">
        <v>102</v>
      </c>
      <c r="B276" s="32">
        <f t="shared" si="72"/>
        <v>2031</v>
      </c>
      <c r="C276" s="33" t="s">
        <v>51</v>
      </c>
      <c r="D276" s="34" t="s">
        <v>1999</v>
      </c>
      <c r="E276" s="35" t="str">
        <f t="shared" si="70"/>
        <v>PSDP'!</v>
      </c>
      <c r="F276" s="34" t="str">
        <f t="shared" si="71"/>
        <v>C:\Users\jaime.benazar\Quorum Business Solutions\Ecopetrol Prometeo - Documents\Planning Space Implementation\3. Analysis &amp; Design\Design\FC22\DRR Jaime\QUIFA-CAJÚA\Cajua\[CAJUA_CF_SEC_New_27-Feb-2024Rev3.xlsx]D-PSDP'!</v>
      </c>
      <c r="G276" s="32" t="s">
        <v>59</v>
      </c>
      <c r="H276" s="33"/>
      <c r="I276" s="33"/>
      <c r="J276" s="37"/>
    </row>
    <row r="277" spans="1:10" x14ac:dyDescent="0.25">
      <c r="A277" s="32" t="s">
        <v>102</v>
      </c>
      <c r="B277" s="32">
        <f t="shared" si="72"/>
        <v>2032</v>
      </c>
      <c r="C277" s="33" t="s">
        <v>51</v>
      </c>
      <c r="D277" s="34" t="s">
        <v>1999</v>
      </c>
      <c r="E277" s="35" t="str">
        <f t="shared" si="70"/>
        <v>PSDP'!</v>
      </c>
      <c r="F277" s="34" t="str">
        <f t="shared" si="71"/>
        <v>C:\Users\jaime.benazar\Quorum Business Solutions\Ecopetrol Prometeo - Documents\Planning Space Implementation\3. Analysis &amp; Design\Design\FC22\DRR Jaime\QUIFA-CAJÚA\Cajua\[CAJUA_CF_SEC_New_27-Feb-2024Rev3.xlsx]D-PSDP'!</v>
      </c>
      <c r="G277" s="32" t="s">
        <v>59</v>
      </c>
      <c r="H277" s="33"/>
      <c r="I277" s="33"/>
      <c r="J277" s="37"/>
    </row>
    <row r="278" spans="1:10" x14ac:dyDescent="0.25">
      <c r="A278" s="32" t="s">
        <v>102</v>
      </c>
      <c r="B278" s="32">
        <f t="shared" si="72"/>
        <v>2033</v>
      </c>
      <c r="C278" s="33" t="s">
        <v>51</v>
      </c>
      <c r="D278" s="34" t="s">
        <v>1999</v>
      </c>
      <c r="E278" s="35" t="str">
        <f t="shared" si="70"/>
        <v>PSDP'!</v>
      </c>
      <c r="F278" s="34" t="str">
        <f t="shared" si="71"/>
        <v>C:\Users\jaime.benazar\Quorum Business Solutions\Ecopetrol Prometeo - Documents\Planning Space Implementation\3. Analysis &amp; Design\Design\FC22\DRR Jaime\QUIFA-CAJÚA\Cajua\[CAJUA_CF_SEC_New_27-Feb-2024Rev3.xlsx]D-PSDP'!</v>
      </c>
      <c r="G278" s="32" t="s">
        <v>59</v>
      </c>
      <c r="H278" s="33"/>
      <c r="I278" s="33"/>
      <c r="J278" s="37"/>
    </row>
    <row r="279" spans="1:10" x14ac:dyDescent="0.25">
      <c r="A279" s="32" t="s">
        <v>102</v>
      </c>
      <c r="B279" s="32">
        <f t="shared" si="72"/>
        <v>2034</v>
      </c>
      <c r="C279" s="33" t="s">
        <v>51</v>
      </c>
      <c r="D279" s="34" t="s">
        <v>1999</v>
      </c>
      <c r="E279" s="35" t="str">
        <f t="shared" si="70"/>
        <v>PSDP'!</v>
      </c>
      <c r="F279" s="34" t="str">
        <f t="shared" si="71"/>
        <v>C:\Users\jaime.benazar\Quorum Business Solutions\Ecopetrol Prometeo - Documents\Planning Space Implementation\3. Analysis &amp; Design\Design\FC22\DRR Jaime\QUIFA-CAJÚA\Cajua\[CAJUA_CF_SEC_New_27-Feb-2024Rev3.xlsx]D-PSDP'!</v>
      </c>
      <c r="G279" s="32" t="s">
        <v>59</v>
      </c>
      <c r="H279" s="33"/>
      <c r="I279" s="33"/>
      <c r="J279" s="37"/>
    </row>
    <row r="280" spans="1:10" x14ac:dyDescent="0.25">
      <c r="A280" s="32" t="s">
        <v>102</v>
      </c>
      <c r="B280" s="32">
        <f t="shared" si="72"/>
        <v>2035</v>
      </c>
      <c r="C280" s="33" t="s">
        <v>51</v>
      </c>
      <c r="D280" s="34" t="s">
        <v>1999</v>
      </c>
      <c r="E280" s="35" t="str">
        <f t="shared" si="70"/>
        <v>PSDP'!</v>
      </c>
      <c r="F280" s="34" t="str">
        <f t="shared" si="71"/>
        <v>C:\Users\jaime.benazar\Quorum Business Solutions\Ecopetrol Prometeo - Documents\Planning Space Implementation\3. Analysis &amp; Design\Design\FC22\DRR Jaime\QUIFA-CAJÚA\Cajua\[CAJUA_CF_SEC_New_27-Feb-2024Rev3.xlsx]D-PSDP'!</v>
      </c>
      <c r="G280" s="32" t="s">
        <v>59</v>
      </c>
      <c r="H280" s="33"/>
      <c r="I280" s="33"/>
      <c r="J280" s="37"/>
    </row>
    <row r="281" spans="1:10" x14ac:dyDescent="0.25">
      <c r="A281" s="32" t="s">
        <v>102</v>
      </c>
      <c r="B281" s="32">
        <f t="shared" si="72"/>
        <v>2036</v>
      </c>
      <c r="C281" s="33" t="s">
        <v>51</v>
      </c>
      <c r="D281" s="34" t="s">
        <v>1999</v>
      </c>
      <c r="E281" s="35" t="str">
        <f t="shared" si="70"/>
        <v>PSDP'!</v>
      </c>
      <c r="F281" s="34" t="str">
        <f t="shared" si="71"/>
        <v>C:\Users\jaime.benazar\Quorum Business Solutions\Ecopetrol Prometeo - Documents\Planning Space Implementation\3. Analysis &amp; Design\Design\FC22\DRR Jaime\QUIFA-CAJÚA\Cajua\[CAJUA_CF_SEC_New_27-Feb-2024Rev3.xlsx]D-PSDP'!</v>
      </c>
      <c r="G281" s="32" t="s">
        <v>59</v>
      </c>
      <c r="H281" s="33"/>
      <c r="I281" s="33"/>
      <c r="J281" s="37"/>
    </row>
    <row r="282" spans="1:10" x14ac:dyDescent="0.25">
      <c r="A282" s="32" t="s">
        <v>102</v>
      </c>
      <c r="B282" s="32">
        <f>+B281+1</f>
        <v>2037</v>
      </c>
      <c r="C282" s="33" t="s">
        <v>51</v>
      </c>
      <c r="D282" s="34" t="s">
        <v>1999</v>
      </c>
      <c r="E282" s="35" t="str">
        <f t="shared" si="70"/>
        <v>PSDP'!</v>
      </c>
      <c r="F282" s="34" t="str">
        <f t="shared" si="71"/>
        <v>C:\Users\jaime.benazar\Quorum Business Solutions\Ecopetrol Prometeo - Documents\Planning Space Implementation\3. Analysis &amp; Design\Design\FC22\DRR Jaime\QUIFA-CAJÚA\Cajua\[CAJUA_CF_SEC_New_27-Feb-2024Rev3.xlsx]D-PSDP'!</v>
      </c>
      <c r="G282" s="32" t="s">
        <v>59</v>
      </c>
      <c r="H282" s="33"/>
      <c r="I282" s="33"/>
      <c r="J282" s="37"/>
    </row>
    <row r="283" spans="1:10" x14ac:dyDescent="0.25">
      <c r="A283" s="32" t="s">
        <v>102</v>
      </c>
      <c r="B283" s="32">
        <f t="shared" ref="B283:B285" si="73">+B282+1</f>
        <v>2038</v>
      </c>
      <c r="C283" s="33" t="s">
        <v>51</v>
      </c>
      <c r="D283" s="34" t="s">
        <v>1999</v>
      </c>
      <c r="E283" s="35" t="str">
        <f t="shared" si="70"/>
        <v>PSDP'!</v>
      </c>
      <c r="F283" s="34" t="str">
        <f t="shared" si="71"/>
        <v>C:\Users\jaime.benazar\Quorum Business Solutions\Ecopetrol Prometeo - Documents\Planning Space Implementation\3. Analysis &amp; Design\Design\FC22\DRR Jaime\QUIFA-CAJÚA\Cajua\[CAJUA_CF_SEC_New_27-Feb-2024Rev3.xlsx]D-PSDP'!</v>
      </c>
      <c r="G283" s="32" t="s">
        <v>59</v>
      </c>
      <c r="H283" s="33"/>
      <c r="I283" s="33"/>
      <c r="J283" s="37"/>
    </row>
    <row r="284" spans="1:10" x14ac:dyDescent="0.25">
      <c r="A284" s="32" t="s">
        <v>102</v>
      </c>
      <c r="B284" s="32">
        <f t="shared" si="73"/>
        <v>2039</v>
      </c>
      <c r="C284" s="33" t="s">
        <v>51</v>
      </c>
      <c r="D284" s="34" t="s">
        <v>1999</v>
      </c>
      <c r="E284" s="35" t="str">
        <f t="shared" si="70"/>
        <v>PSDP'!</v>
      </c>
      <c r="F284" s="34" t="str">
        <f t="shared" si="71"/>
        <v>C:\Users\jaime.benazar\Quorum Business Solutions\Ecopetrol Prometeo - Documents\Planning Space Implementation\3. Analysis &amp; Design\Design\FC22\DRR Jaime\QUIFA-CAJÚA\Cajua\[CAJUA_CF_SEC_New_27-Feb-2024Rev3.xlsx]D-PSDP'!</v>
      </c>
      <c r="G284" s="32" t="s">
        <v>59</v>
      </c>
      <c r="H284" s="33"/>
      <c r="I284" s="33"/>
      <c r="J284" s="37"/>
    </row>
    <row r="285" spans="1:10" x14ac:dyDescent="0.25">
      <c r="A285" s="32" t="s">
        <v>102</v>
      </c>
      <c r="B285" s="32">
        <f t="shared" si="73"/>
        <v>2040</v>
      </c>
      <c r="C285" s="33" t="s">
        <v>51</v>
      </c>
      <c r="D285" s="34" t="s">
        <v>1999</v>
      </c>
      <c r="E285" s="35" t="str">
        <f t="shared" si="70"/>
        <v>PSDP'!</v>
      </c>
      <c r="F285" s="34" t="str">
        <f t="shared" si="71"/>
        <v>C:\Users\jaime.benazar\Quorum Business Solutions\Ecopetrol Prometeo - Documents\Planning Space Implementation\3. Analysis &amp; Design\Design\FC22\DRR Jaime\QUIFA-CAJÚA\Cajua\[CAJUA_CF_SEC_New_27-Feb-2024Rev3.xlsx]D-PSDP'!</v>
      </c>
      <c r="G285" s="32" t="s">
        <v>59</v>
      </c>
      <c r="H285" s="33"/>
      <c r="I285" s="33"/>
      <c r="J285" s="37"/>
    </row>
    <row r="286" spans="1:10" x14ac:dyDescent="0.25">
      <c r="A286" s="32" t="s">
        <v>102</v>
      </c>
      <c r="B286" s="32">
        <f>+B285+1</f>
        <v>2041</v>
      </c>
      <c r="C286" s="33" t="s">
        <v>51</v>
      </c>
      <c r="D286" s="34" t="s">
        <v>1999</v>
      </c>
      <c r="E286" s="35" t="str">
        <f t="shared" si="70"/>
        <v>PSDP'!</v>
      </c>
      <c r="F286" s="34" t="str">
        <f t="shared" si="71"/>
        <v>C:\Users\jaime.benazar\Quorum Business Solutions\Ecopetrol Prometeo - Documents\Planning Space Implementation\3. Analysis &amp; Design\Design\FC22\DRR Jaime\QUIFA-CAJÚA\Cajua\[CAJUA_CF_SEC_New_27-Feb-2024Rev3.xlsx]D-PSDP'!</v>
      </c>
      <c r="G286" s="32" t="s">
        <v>59</v>
      </c>
      <c r="H286" s="33"/>
      <c r="I286" s="33"/>
      <c r="J286" s="37"/>
    </row>
    <row r="287" spans="1:10" x14ac:dyDescent="0.25">
      <c r="A287" s="32" t="s">
        <v>102</v>
      </c>
      <c r="B287" s="32">
        <f t="shared" ref="B287:B288" si="74">+B286+1</f>
        <v>2042</v>
      </c>
      <c r="C287" s="33" t="s">
        <v>51</v>
      </c>
      <c r="D287" s="34" t="s">
        <v>1999</v>
      </c>
      <c r="E287" s="35" t="str">
        <f t="shared" si="70"/>
        <v>PSDP'!</v>
      </c>
      <c r="F287" s="34" t="str">
        <f t="shared" si="71"/>
        <v>C:\Users\jaime.benazar\Quorum Business Solutions\Ecopetrol Prometeo - Documents\Planning Space Implementation\3. Analysis &amp; Design\Design\FC22\DRR Jaime\QUIFA-CAJÚA\Cajua\[CAJUA_CF_SEC_New_27-Feb-2024Rev3.xlsx]D-PSDP'!</v>
      </c>
      <c r="G287" s="32" t="s">
        <v>59</v>
      </c>
      <c r="H287" s="33"/>
      <c r="I287" s="33"/>
      <c r="J287" s="37"/>
    </row>
    <row r="288" spans="1:10" x14ac:dyDescent="0.25">
      <c r="A288" s="32" t="s">
        <v>102</v>
      </c>
      <c r="B288" s="32">
        <f t="shared" si="74"/>
        <v>2043</v>
      </c>
      <c r="C288" s="33" t="s">
        <v>51</v>
      </c>
      <c r="D288" s="34" t="s">
        <v>1999</v>
      </c>
      <c r="E288" s="35" t="str">
        <f t="shared" si="70"/>
        <v>PSDP'!</v>
      </c>
      <c r="F288" s="34" t="str">
        <f t="shared" si="71"/>
        <v>C:\Users\jaime.benazar\Quorum Business Solutions\Ecopetrol Prometeo - Documents\Planning Space Implementation\3. Analysis &amp; Design\Design\FC22\DRR Jaime\QUIFA-CAJÚA\Cajua\[CAJUA_CF_SEC_New_27-Feb-2024Rev3.xlsx]D-PSDP'!</v>
      </c>
      <c r="G288" s="32" t="s">
        <v>59</v>
      </c>
      <c r="H288" s="33"/>
      <c r="I288" s="33"/>
      <c r="J288" s="37"/>
    </row>
    <row r="289" spans="1:10" x14ac:dyDescent="0.25">
      <c r="A289" s="32" t="s">
        <v>102</v>
      </c>
      <c r="B289" s="32">
        <f>+B288+1</f>
        <v>2044</v>
      </c>
      <c r="C289" s="33" t="s">
        <v>51</v>
      </c>
      <c r="D289" s="34" t="s">
        <v>1999</v>
      </c>
      <c r="E289" s="35" t="str">
        <f t="shared" ref="E289:E304" si="75">_xlfn.CONCAT(A289,"'!")</f>
        <v>PSDP'!</v>
      </c>
      <c r="F289" s="34" t="str">
        <f t="shared" ref="F289:F304" si="76">_xlfn.CONCAT(D289:E289)</f>
        <v>C:\Users\jaime.benazar\Quorum Business Solutions\Ecopetrol Prometeo - Documents\Planning Space Implementation\3. Analysis &amp; Design\Design\FC22\DRR Jaime\QUIFA-CAJÚA\Cajua\[CAJUA_CF_SEC_New_27-Feb-2024Rev3.xlsx]D-PSDP'!</v>
      </c>
      <c r="G289" s="32" t="s">
        <v>59</v>
      </c>
      <c r="H289" s="33"/>
      <c r="I289" s="33"/>
      <c r="J289" s="37"/>
    </row>
    <row r="290" spans="1:10" x14ac:dyDescent="0.25">
      <c r="A290" s="32" t="s">
        <v>102</v>
      </c>
      <c r="B290" s="32">
        <f t="shared" ref="B290:B304" si="77">+B289+1</f>
        <v>2045</v>
      </c>
      <c r="C290" s="33" t="s">
        <v>51</v>
      </c>
      <c r="D290" s="34" t="s">
        <v>1999</v>
      </c>
      <c r="E290" s="35" t="str">
        <f t="shared" si="75"/>
        <v>PSDP'!</v>
      </c>
      <c r="F290" s="34" t="str">
        <f t="shared" si="76"/>
        <v>C:\Users\jaime.benazar\Quorum Business Solutions\Ecopetrol Prometeo - Documents\Planning Space Implementation\3. Analysis &amp; Design\Design\FC22\DRR Jaime\QUIFA-CAJÚA\Cajua\[CAJUA_CF_SEC_New_27-Feb-2024Rev3.xlsx]D-PSDP'!</v>
      </c>
      <c r="G290" s="32" t="s">
        <v>59</v>
      </c>
      <c r="H290" s="33"/>
      <c r="I290" s="33"/>
      <c r="J290" s="37"/>
    </row>
    <row r="291" spans="1:10" x14ac:dyDescent="0.25">
      <c r="A291" s="32" t="s">
        <v>102</v>
      </c>
      <c r="B291" s="32">
        <f t="shared" si="77"/>
        <v>2046</v>
      </c>
      <c r="C291" s="33" t="s">
        <v>51</v>
      </c>
      <c r="D291" s="34" t="s">
        <v>1999</v>
      </c>
      <c r="E291" s="35" t="str">
        <f t="shared" si="75"/>
        <v>PSDP'!</v>
      </c>
      <c r="F291" s="34" t="str">
        <f t="shared" si="76"/>
        <v>C:\Users\jaime.benazar\Quorum Business Solutions\Ecopetrol Prometeo - Documents\Planning Space Implementation\3. Analysis &amp; Design\Design\FC22\DRR Jaime\QUIFA-CAJÚA\Cajua\[CAJUA_CF_SEC_New_27-Feb-2024Rev3.xlsx]D-PSDP'!</v>
      </c>
      <c r="G291" s="32" t="s">
        <v>59</v>
      </c>
      <c r="H291" s="33"/>
      <c r="I291" s="33"/>
      <c r="J291" s="37"/>
    </row>
    <row r="292" spans="1:10" x14ac:dyDescent="0.25">
      <c r="A292" s="32" t="s">
        <v>102</v>
      </c>
      <c r="B292" s="32">
        <f t="shared" si="77"/>
        <v>2047</v>
      </c>
      <c r="C292" s="33" t="s">
        <v>51</v>
      </c>
      <c r="D292" s="34" t="s">
        <v>1999</v>
      </c>
      <c r="E292" s="35" t="str">
        <f t="shared" si="75"/>
        <v>PSDP'!</v>
      </c>
      <c r="F292" s="34" t="str">
        <f t="shared" si="76"/>
        <v>C:\Users\jaime.benazar\Quorum Business Solutions\Ecopetrol Prometeo - Documents\Planning Space Implementation\3. Analysis &amp; Design\Design\FC22\DRR Jaime\QUIFA-CAJÚA\Cajua\[CAJUA_CF_SEC_New_27-Feb-2024Rev3.xlsx]D-PSDP'!</v>
      </c>
      <c r="G292" s="32" t="s">
        <v>59</v>
      </c>
      <c r="H292" s="33"/>
      <c r="I292" s="33"/>
      <c r="J292" s="37"/>
    </row>
    <row r="293" spans="1:10" x14ac:dyDescent="0.25">
      <c r="A293" s="32" t="s">
        <v>102</v>
      </c>
      <c r="B293" s="32">
        <f t="shared" si="77"/>
        <v>2048</v>
      </c>
      <c r="C293" s="33" t="s">
        <v>51</v>
      </c>
      <c r="D293" s="34" t="s">
        <v>1999</v>
      </c>
      <c r="E293" s="35" t="str">
        <f t="shared" si="75"/>
        <v>PSDP'!</v>
      </c>
      <c r="F293" s="34" t="str">
        <f t="shared" si="76"/>
        <v>C:\Users\jaime.benazar\Quorum Business Solutions\Ecopetrol Prometeo - Documents\Planning Space Implementation\3. Analysis &amp; Design\Design\FC22\DRR Jaime\QUIFA-CAJÚA\Cajua\[CAJUA_CF_SEC_New_27-Feb-2024Rev3.xlsx]D-PSDP'!</v>
      </c>
      <c r="G293" s="32" t="s">
        <v>59</v>
      </c>
      <c r="H293" s="33"/>
      <c r="I293" s="33"/>
      <c r="J293" s="37"/>
    </row>
    <row r="294" spans="1:10" x14ac:dyDescent="0.25">
      <c r="A294" s="32" t="s">
        <v>102</v>
      </c>
      <c r="B294" s="32">
        <f t="shared" si="77"/>
        <v>2049</v>
      </c>
      <c r="C294" s="33" t="s">
        <v>51</v>
      </c>
      <c r="D294" s="34" t="s">
        <v>1999</v>
      </c>
      <c r="E294" s="35" t="str">
        <f t="shared" si="75"/>
        <v>PSDP'!</v>
      </c>
      <c r="F294" s="34" t="str">
        <f t="shared" si="76"/>
        <v>C:\Users\jaime.benazar\Quorum Business Solutions\Ecopetrol Prometeo - Documents\Planning Space Implementation\3. Analysis &amp; Design\Design\FC22\DRR Jaime\QUIFA-CAJÚA\Cajua\[CAJUA_CF_SEC_New_27-Feb-2024Rev3.xlsx]D-PSDP'!</v>
      </c>
      <c r="G294" s="32" t="s">
        <v>59</v>
      </c>
      <c r="H294" s="33"/>
      <c r="I294" s="33"/>
      <c r="J294" s="37"/>
    </row>
    <row r="295" spans="1:10" x14ac:dyDescent="0.25">
      <c r="A295" s="32" t="s">
        <v>102</v>
      </c>
      <c r="B295" s="32">
        <f t="shared" si="77"/>
        <v>2050</v>
      </c>
      <c r="C295" s="33" t="s">
        <v>51</v>
      </c>
      <c r="D295" s="34" t="s">
        <v>1999</v>
      </c>
      <c r="E295" s="35" t="str">
        <f t="shared" si="75"/>
        <v>PSDP'!</v>
      </c>
      <c r="F295" s="34" t="str">
        <f t="shared" si="76"/>
        <v>C:\Users\jaime.benazar\Quorum Business Solutions\Ecopetrol Prometeo - Documents\Planning Space Implementation\3. Analysis &amp; Design\Design\FC22\DRR Jaime\QUIFA-CAJÚA\Cajua\[CAJUA_CF_SEC_New_27-Feb-2024Rev3.xlsx]D-PSDP'!</v>
      </c>
      <c r="G295" s="32" t="s">
        <v>59</v>
      </c>
      <c r="H295" s="33"/>
      <c r="I295" s="33"/>
      <c r="J295" s="37"/>
    </row>
    <row r="296" spans="1:10" x14ac:dyDescent="0.25">
      <c r="A296" s="32" t="s">
        <v>102</v>
      </c>
      <c r="B296" s="32">
        <f t="shared" si="77"/>
        <v>2051</v>
      </c>
      <c r="C296" s="33" t="s">
        <v>51</v>
      </c>
      <c r="D296" s="34" t="s">
        <v>1999</v>
      </c>
      <c r="E296" s="35" t="str">
        <f t="shared" si="75"/>
        <v>PSDP'!</v>
      </c>
      <c r="F296" s="34" t="str">
        <f t="shared" si="76"/>
        <v>C:\Users\jaime.benazar\Quorum Business Solutions\Ecopetrol Prometeo - Documents\Planning Space Implementation\3. Analysis &amp; Design\Design\FC22\DRR Jaime\QUIFA-CAJÚA\Cajua\[CAJUA_CF_SEC_New_27-Feb-2024Rev3.xlsx]D-PSDP'!</v>
      </c>
      <c r="G296" s="32" t="s">
        <v>59</v>
      </c>
      <c r="H296" s="33"/>
      <c r="I296" s="33"/>
      <c r="J296" s="37"/>
    </row>
    <row r="297" spans="1:10" x14ac:dyDescent="0.25">
      <c r="A297" s="32" t="s">
        <v>102</v>
      </c>
      <c r="B297" s="32">
        <f t="shared" si="77"/>
        <v>2052</v>
      </c>
      <c r="C297" s="33" t="s">
        <v>51</v>
      </c>
      <c r="D297" s="34" t="s">
        <v>1999</v>
      </c>
      <c r="E297" s="35" t="str">
        <f t="shared" si="75"/>
        <v>PSDP'!</v>
      </c>
      <c r="F297" s="34" t="str">
        <f t="shared" si="76"/>
        <v>C:\Users\jaime.benazar\Quorum Business Solutions\Ecopetrol Prometeo - Documents\Planning Space Implementation\3. Analysis &amp; Design\Design\FC22\DRR Jaime\QUIFA-CAJÚA\Cajua\[CAJUA_CF_SEC_New_27-Feb-2024Rev3.xlsx]D-PSDP'!</v>
      </c>
      <c r="G297" s="32" t="s">
        <v>59</v>
      </c>
      <c r="H297" s="33"/>
      <c r="I297" s="33"/>
      <c r="J297" s="37"/>
    </row>
    <row r="298" spans="1:10" x14ac:dyDescent="0.25">
      <c r="A298" s="32" t="s">
        <v>102</v>
      </c>
      <c r="B298" s="32">
        <f t="shared" si="77"/>
        <v>2053</v>
      </c>
      <c r="C298" s="33" t="s">
        <v>51</v>
      </c>
      <c r="D298" s="34" t="s">
        <v>1999</v>
      </c>
      <c r="E298" s="35" t="str">
        <f t="shared" si="75"/>
        <v>PSDP'!</v>
      </c>
      <c r="F298" s="34" t="str">
        <f t="shared" si="76"/>
        <v>C:\Users\jaime.benazar\Quorum Business Solutions\Ecopetrol Prometeo - Documents\Planning Space Implementation\3. Analysis &amp; Design\Design\FC22\DRR Jaime\QUIFA-CAJÚA\Cajua\[CAJUA_CF_SEC_New_27-Feb-2024Rev3.xlsx]D-PSDP'!</v>
      </c>
      <c r="G298" s="32" t="s">
        <v>59</v>
      </c>
      <c r="H298" s="33"/>
      <c r="I298" s="33"/>
      <c r="J298" s="37"/>
    </row>
    <row r="299" spans="1:10" x14ac:dyDescent="0.25">
      <c r="A299" s="32" t="s">
        <v>102</v>
      </c>
      <c r="B299" s="32">
        <f t="shared" si="77"/>
        <v>2054</v>
      </c>
      <c r="C299" s="33" t="s">
        <v>51</v>
      </c>
      <c r="D299" s="34" t="s">
        <v>1999</v>
      </c>
      <c r="E299" s="35" t="str">
        <f t="shared" si="75"/>
        <v>PSDP'!</v>
      </c>
      <c r="F299" s="34" t="str">
        <f t="shared" si="76"/>
        <v>C:\Users\jaime.benazar\Quorum Business Solutions\Ecopetrol Prometeo - Documents\Planning Space Implementation\3. Analysis &amp; Design\Design\FC22\DRR Jaime\QUIFA-CAJÚA\Cajua\[CAJUA_CF_SEC_New_27-Feb-2024Rev3.xlsx]D-PSDP'!</v>
      </c>
      <c r="G299" s="32" t="s">
        <v>59</v>
      </c>
      <c r="H299" s="33"/>
      <c r="I299" s="33"/>
      <c r="J299" s="37"/>
    </row>
    <row r="300" spans="1:10" x14ac:dyDescent="0.25">
      <c r="A300" s="32" t="s">
        <v>102</v>
      </c>
      <c r="B300" s="32">
        <f t="shared" si="77"/>
        <v>2055</v>
      </c>
      <c r="C300" s="33" t="s">
        <v>51</v>
      </c>
      <c r="D300" s="34" t="s">
        <v>1999</v>
      </c>
      <c r="E300" s="35" t="str">
        <f t="shared" si="75"/>
        <v>PSDP'!</v>
      </c>
      <c r="F300" s="34" t="str">
        <f t="shared" si="76"/>
        <v>C:\Users\jaime.benazar\Quorum Business Solutions\Ecopetrol Prometeo - Documents\Planning Space Implementation\3. Analysis &amp; Design\Design\FC22\DRR Jaime\QUIFA-CAJÚA\Cajua\[CAJUA_CF_SEC_New_27-Feb-2024Rev3.xlsx]D-PSDP'!</v>
      </c>
      <c r="G300" s="32" t="s">
        <v>59</v>
      </c>
      <c r="H300" s="33"/>
      <c r="I300" s="33"/>
      <c r="J300" s="37"/>
    </row>
    <row r="301" spans="1:10" x14ac:dyDescent="0.25">
      <c r="A301" s="32" t="s">
        <v>102</v>
      </c>
      <c r="B301" s="32">
        <f t="shared" si="77"/>
        <v>2056</v>
      </c>
      <c r="C301" s="33" t="s">
        <v>51</v>
      </c>
      <c r="D301" s="34" t="s">
        <v>1999</v>
      </c>
      <c r="E301" s="35" t="str">
        <f t="shared" si="75"/>
        <v>PSDP'!</v>
      </c>
      <c r="F301" s="34" t="str">
        <f t="shared" si="76"/>
        <v>C:\Users\jaime.benazar\Quorum Business Solutions\Ecopetrol Prometeo - Documents\Planning Space Implementation\3. Analysis &amp; Design\Design\FC22\DRR Jaime\QUIFA-CAJÚA\Cajua\[CAJUA_CF_SEC_New_27-Feb-2024Rev3.xlsx]D-PSDP'!</v>
      </c>
      <c r="G301" s="32" t="s">
        <v>59</v>
      </c>
      <c r="H301" s="33"/>
      <c r="I301" s="33"/>
      <c r="J301" s="37"/>
    </row>
    <row r="302" spans="1:10" x14ac:dyDescent="0.25">
      <c r="A302" s="32" t="s">
        <v>102</v>
      </c>
      <c r="B302" s="32">
        <f t="shared" si="77"/>
        <v>2057</v>
      </c>
      <c r="C302" s="33" t="s">
        <v>51</v>
      </c>
      <c r="D302" s="34" t="s">
        <v>1999</v>
      </c>
      <c r="E302" s="35" t="str">
        <f t="shared" si="75"/>
        <v>PSDP'!</v>
      </c>
      <c r="F302" s="34" t="str">
        <f t="shared" si="76"/>
        <v>C:\Users\jaime.benazar\Quorum Business Solutions\Ecopetrol Prometeo - Documents\Planning Space Implementation\3. Analysis &amp; Design\Design\FC22\DRR Jaime\QUIFA-CAJÚA\Cajua\[CAJUA_CF_SEC_New_27-Feb-2024Rev3.xlsx]D-PSDP'!</v>
      </c>
      <c r="G302" s="32" t="s">
        <v>59</v>
      </c>
      <c r="H302" s="33"/>
      <c r="I302" s="33"/>
      <c r="J302" s="37"/>
    </row>
    <row r="303" spans="1:10" x14ac:dyDescent="0.25">
      <c r="A303" s="32" t="s">
        <v>102</v>
      </c>
      <c r="B303" s="32">
        <f t="shared" si="77"/>
        <v>2058</v>
      </c>
      <c r="C303" s="33" t="s">
        <v>51</v>
      </c>
      <c r="D303" s="34" t="s">
        <v>1999</v>
      </c>
      <c r="E303" s="35" t="str">
        <f t="shared" si="75"/>
        <v>PSDP'!</v>
      </c>
      <c r="F303" s="34" t="str">
        <f t="shared" si="76"/>
        <v>C:\Users\jaime.benazar\Quorum Business Solutions\Ecopetrol Prometeo - Documents\Planning Space Implementation\3. Analysis &amp; Design\Design\FC22\DRR Jaime\QUIFA-CAJÚA\Cajua\[CAJUA_CF_SEC_New_27-Feb-2024Rev3.xlsx]D-PSDP'!</v>
      </c>
      <c r="G303" s="32" t="s">
        <v>59</v>
      </c>
      <c r="H303" s="33"/>
      <c r="I303" s="33"/>
      <c r="J303" s="37"/>
    </row>
    <row r="304" spans="1:10" x14ac:dyDescent="0.25">
      <c r="A304" s="32" t="s">
        <v>102</v>
      </c>
      <c r="B304" s="32">
        <f t="shared" si="77"/>
        <v>2059</v>
      </c>
      <c r="C304" s="33" t="s">
        <v>51</v>
      </c>
      <c r="D304" s="34" t="s">
        <v>1999</v>
      </c>
      <c r="E304" s="35" t="str">
        <f t="shared" si="75"/>
        <v>PSDP'!</v>
      </c>
      <c r="F304" s="34" t="str">
        <f t="shared" si="76"/>
        <v>C:\Users\jaime.benazar\Quorum Business Solutions\Ecopetrol Prometeo - Documents\Planning Space Implementation\3. Analysis &amp; Design\Design\FC22\DRR Jaime\QUIFA-CAJÚA\Cajua\[CAJUA_CF_SEC_New_27-Feb-2024Rev3.xlsx]D-PSDP'!</v>
      </c>
      <c r="G304" s="32" t="s">
        <v>59</v>
      </c>
      <c r="H304" s="33"/>
      <c r="I304" s="33"/>
      <c r="J304" s="37"/>
    </row>
    <row r="305" spans="1:10" x14ac:dyDescent="0.25">
      <c r="A305" s="32" t="s">
        <v>28</v>
      </c>
      <c r="B305" s="32"/>
      <c r="C305" s="33" t="s">
        <v>51</v>
      </c>
      <c r="D305" s="34"/>
      <c r="E305" s="35"/>
      <c r="F305" s="34"/>
      <c r="G305" s="32"/>
      <c r="H305" s="33"/>
      <c r="I305" s="33"/>
      <c r="J305" s="33"/>
    </row>
    <row r="306" spans="1:10" x14ac:dyDescent="0.25">
      <c r="A306" s="32" t="s">
        <v>103</v>
      </c>
      <c r="B306" s="32">
        <v>2023</v>
      </c>
      <c r="C306" s="33" t="s">
        <v>51</v>
      </c>
      <c r="D306" s="34" t="s">
        <v>1999</v>
      </c>
      <c r="E306" s="35" t="str">
        <f t="shared" ref="E306:E326" si="78">_xlfn.CONCAT(A306,"'!")</f>
        <v>PSNP'!</v>
      </c>
      <c r="F306" s="34" t="str">
        <f t="shared" ref="F306:F326" si="79">_xlfn.CONCAT(D306:E306)</f>
        <v>C:\Users\jaime.benazar\Quorum Business Solutions\Ecopetrol Prometeo - Documents\Planning Space Implementation\3. Analysis &amp; Design\Design\FC22\DRR Jaime\QUIFA-CAJÚA\Cajua\[CAJUA_CF_SEC_New_27-Feb-2024Rev3.xlsx]D-PSNP'!</v>
      </c>
      <c r="G306" s="32" t="s">
        <v>59</v>
      </c>
      <c r="H306" s="33"/>
      <c r="I306" s="33"/>
      <c r="J306" s="37"/>
    </row>
    <row r="307" spans="1:10" x14ac:dyDescent="0.25">
      <c r="A307" s="32" t="s">
        <v>103</v>
      </c>
      <c r="B307" s="32">
        <f>+B306+1</f>
        <v>2024</v>
      </c>
      <c r="C307" s="33" t="s">
        <v>51</v>
      </c>
      <c r="D307" s="34" t="s">
        <v>1999</v>
      </c>
      <c r="E307" s="35" t="str">
        <f t="shared" si="78"/>
        <v>PSNP'!</v>
      </c>
      <c r="F307" s="34" t="str">
        <f t="shared" si="79"/>
        <v>C:\Users\jaime.benazar\Quorum Business Solutions\Ecopetrol Prometeo - Documents\Planning Space Implementation\3. Analysis &amp; Design\Design\FC22\DRR Jaime\QUIFA-CAJÚA\Cajua\[CAJUA_CF_SEC_New_27-Feb-2024Rev3.xlsx]D-PSNP'!</v>
      </c>
      <c r="G307" s="32" t="s">
        <v>59</v>
      </c>
      <c r="H307" s="33"/>
      <c r="I307" s="33"/>
      <c r="J307" s="37"/>
    </row>
    <row r="308" spans="1:10" x14ac:dyDescent="0.25">
      <c r="A308" s="32" t="s">
        <v>103</v>
      </c>
      <c r="B308" s="32">
        <f t="shared" ref="B308:B319" si="80">+B307+1</f>
        <v>2025</v>
      </c>
      <c r="C308" s="33" t="s">
        <v>51</v>
      </c>
      <c r="D308" s="34" t="s">
        <v>1999</v>
      </c>
      <c r="E308" s="35" t="str">
        <f t="shared" si="78"/>
        <v>PSNP'!</v>
      </c>
      <c r="F308" s="34" t="str">
        <f t="shared" si="79"/>
        <v>C:\Users\jaime.benazar\Quorum Business Solutions\Ecopetrol Prometeo - Documents\Planning Space Implementation\3. Analysis &amp; Design\Design\FC22\DRR Jaime\QUIFA-CAJÚA\Cajua\[CAJUA_CF_SEC_New_27-Feb-2024Rev3.xlsx]D-PSNP'!</v>
      </c>
      <c r="G308" s="32" t="s">
        <v>59</v>
      </c>
      <c r="H308" s="33"/>
      <c r="I308" s="33"/>
      <c r="J308" s="37"/>
    </row>
    <row r="309" spans="1:10" x14ac:dyDescent="0.25">
      <c r="A309" s="32" t="s">
        <v>103</v>
      </c>
      <c r="B309" s="32">
        <f t="shared" si="80"/>
        <v>2026</v>
      </c>
      <c r="C309" s="33" t="s">
        <v>51</v>
      </c>
      <c r="D309" s="34" t="s">
        <v>1999</v>
      </c>
      <c r="E309" s="35" t="str">
        <f t="shared" si="78"/>
        <v>PSNP'!</v>
      </c>
      <c r="F309" s="34" t="str">
        <f t="shared" si="79"/>
        <v>C:\Users\jaime.benazar\Quorum Business Solutions\Ecopetrol Prometeo - Documents\Planning Space Implementation\3. Analysis &amp; Design\Design\FC22\DRR Jaime\QUIFA-CAJÚA\Cajua\[CAJUA_CF_SEC_New_27-Feb-2024Rev3.xlsx]D-PSNP'!</v>
      </c>
      <c r="G309" s="32" t="s">
        <v>59</v>
      </c>
      <c r="H309" s="33"/>
      <c r="I309" s="33"/>
      <c r="J309" s="37"/>
    </row>
    <row r="310" spans="1:10" x14ac:dyDescent="0.25">
      <c r="A310" s="32" t="s">
        <v>103</v>
      </c>
      <c r="B310" s="32">
        <f t="shared" si="80"/>
        <v>2027</v>
      </c>
      <c r="C310" s="33" t="s">
        <v>51</v>
      </c>
      <c r="D310" s="34" t="s">
        <v>1999</v>
      </c>
      <c r="E310" s="35" t="str">
        <f t="shared" si="78"/>
        <v>PSNP'!</v>
      </c>
      <c r="F310" s="34" t="str">
        <f t="shared" si="79"/>
        <v>C:\Users\jaime.benazar\Quorum Business Solutions\Ecopetrol Prometeo - Documents\Planning Space Implementation\3. Analysis &amp; Design\Design\FC22\DRR Jaime\QUIFA-CAJÚA\Cajua\[CAJUA_CF_SEC_New_27-Feb-2024Rev3.xlsx]D-PSNP'!</v>
      </c>
      <c r="G310" s="32" t="s">
        <v>59</v>
      </c>
      <c r="H310" s="33"/>
      <c r="I310" s="33"/>
      <c r="J310" s="37"/>
    </row>
    <row r="311" spans="1:10" x14ac:dyDescent="0.25">
      <c r="A311" s="32" t="s">
        <v>103</v>
      </c>
      <c r="B311" s="32">
        <f t="shared" si="80"/>
        <v>2028</v>
      </c>
      <c r="C311" s="33" t="s">
        <v>51</v>
      </c>
      <c r="D311" s="34" t="s">
        <v>1999</v>
      </c>
      <c r="E311" s="35" t="str">
        <f t="shared" si="78"/>
        <v>PSNP'!</v>
      </c>
      <c r="F311" s="34" t="str">
        <f t="shared" si="79"/>
        <v>C:\Users\jaime.benazar\Quorum Business Solutions\Ecopetrol Prometeo - Documents\Planning Space Implementation\3. Analysis &amp; Design\Design\FC22\DRR Jaime\QUIFA-CAJÚA\Cajua\[CAJUA_CF_SEC_New_27-Feb-2024Rev3.xlsx]D-PSNP'!</v>
      </c>
      <c r="G311" s="32" t="s">
        <v>59</v>
      </c>
      <c r="H311" s="33"/>
      <c r="I311" s="33"/>
      <c r="J311" s="37"/>
    </row>
    <row r="312" spans="1:10" x14ac:dyDescent="0.25">
      <c r="A312" s="32" t="s">
        <v>103</v>
      </c>
      <c r="B312" s="32">
        <f t="shared" si="80"/>
        <v>2029</v>
      </c>
      <c r="C312" s="33" t="s">
        <v>51</v>
      </c>
      <c r="D312" s="34" t="s">
        <v>1999</v>
      </c>
      <c r="E312" s="35" t="str">
        <f t="shared" si="78"/>
        <v>PSNP'!</v>
      </c>
      <c r="F312" s="34" t="str">
        <f t="shared" si="79"/>
        <v>C:\Users\jaime.benazar\Quorum Business Solutions\Ecopetrol Prometeo - Documents\Planning Space Implementation\3. Analysis &amp; Design\Design\FC22\DRR Jaime\QUIFA-CAJÚA\Cajua\[CAJUA_CF_SEC_New_27-Feb-2024Rev3.xlsx]D-PSNP'!</v>
      </c>
      <c r="G312" s="32" t="s">
        <v>59</v>
      </c>
      <c r="H312" s="33"/>
      <c r="I312" s="33"/>
      <c r="J312" s="37"/>
    </row>
    <row r="313" spans="1:10" x14ac:dyDescent="0.25">
      <c r="A313" s="32" t="s">
        <v>103</v>
      </c>
      <c r="B313" s="32">
        <f t="shared" si="80"/>
        <v>2030</v>
      </c>
      <c r="C313" s="33" t="s">
        <v>51</v>
      </c>
      <c r="D313" s="34" t="s">
        <v>1999</v>
      </c>
      <c r="E313" s="35" t="str">
        <f t="shared" si="78"/>
        <v>PSNP'!</v>
      </c>
      <c r="F313" s="34" t="str">
        <f t="shared" si="79"/>
        <v>C:\Users\jaime.benazar\Quorum Business Solutions\Ecopetrol Prometeo - Documents\Planning Space Implementation\3. Analysis &amp; Design\Design\FC22\DRR Jaime\QUIFA-CAJÚA\Cajua\[CAJUA_CF_SEC_New_27-Feb-2024Rev3.xlsx]D-PSNP'!</v>
      </c>
      <c r="G313" s="32" t="s">
        <v>59</v>
      </c>
      <c r="H313" s="33"/>
      <c r="I313" s="33"/>
      <c r="J313" s="37"/>
    </row>
    <row r="314" spans="1:10" x14ac:dyDescent="0.25">
      <c r="A314" s="32" t="s">
        <v>103</v>
      </c>
      <c r="B314" s="32">
        <f t="shared" si="80"/>
        <v>2031</v>
      </c>
      <c r="C314" s="33" t="s">
        <v>51</v>
      </c>
      <c r="D314" s="34" t="s">
        <v>1999</v>
      </c>
      <c r="E314" s="35" t="str">
        <f t="shared" si="78"/>
        <v>PSNP'!</v>
      </c>
      <c r="F314" s="34" t="str">
        <f t="shared" si="79"/>
        <v>C:\Users\jaime.benazar\Quorum Business Solutions\Ecopetrol Prometeo - Documents\Planning Space Implementation\3. Analysis &amp; Design\Design\FC22\DRR Jaime\QUIFA-CAJÚA\Cajua\[CAJUA_CF_SEC_New_27-Feb-2024Rev3.xlsx]D-PSNP'!</v>
      </c>
      <c r="G314" s="32" t="s">
        <v>59</v>
      </c>
      <c r="H314" s="33"/>
      <c r="I314" s="33"/>
      <c r="J314" s="37"/>
    </row>
    <row r="315" spans="1:10" x14ac:dyDescent="0.25">
      <c r="A315" s="32" t="s">
        <v>103</v>
      </c>
      <c r="B315" s="32">
        <f t="shared" si="80"/>
        <v>2032</v>
      </c>
      <c r="C315" s="33" t="s">
        <v>51</v>
      </c>
      <c r="D315" s="34" t="s">
        <v>1999</v>
      </c>
      <c r="E315" s="35" t="str">
        <f t="shared" si="78"/>
        <v>PSNP'!</v>
      </c>
      <c r="F315" s="34" t="str">
        <f t="shared" si="79"/>
        <v>C:\Users\jaime.benazar\Quorum Business Solutions\Ecopetrol Prometeo - Documents\Planning Space Implementation\3. Analysis &amp; Design\Design\FC22\DRR Jaime\QUIFA-CAJÚA\Cajua\[CAJUA_CF_SEC_New_27-Feb-2024Rev3.xlsx]D-PSNP'!</v>
      </c>
      <c r="G315" s="32" t="s">
        <v>59</v>
      </c>
      <c r="H315" s="33"/>
      <c r="I315" s="33"/>
      <c r="J315" s="37"/>
    </row>
    <row r="316" spans="1:10" x14ac:dyDescent="0.25">
      <c r="A316" s="32" t="s">
        <v>103</v>
      </c>
      <c r="B316" s="32">
        <f t="shared" si="80"/>
        <v>2033</v>
      </c>
      <c r="C316" s="33" t="s">
        <v>51</v>
      </c>
      <c r="D316" s="34" t="s">
        <v>1999</v>
      </c>
      <c r="E316" s="35" t="str">
        <f t="shared" si="78"/>
        <v>PSNP'!</v>
      </c>
      <c r="F316" s="34" t="str">
        <f t="shared" si="79"/>
        <v>C:\Users\jaime.benazar\Quorum Business Solutions\Ecopetrol Prometeo - Documents\Planning Space Implementation\3. Analysis &amp; Design\Design\FC22\DRR Jaime\QUIFA-CAJÚA\Cajua\[CAJUA_CF_SEC_New_27-Feb-2024Rev3.xlsx]D-PSNP'!</v>
      </c>
      <c r="G316" s="32" t="s">
        <v>59</v>
      </c>
      <c r="H316" s="33"/>
      <c r="I316" s="33"/>
      <c r="J316" s="37"/>
    </row>
    <row r="317" spans="1:10" x14ac:dyDescent="0.25">
      <c r="A317" s="32" t="s">
        <v>103</v>
      </c>
      <c r="B317" s="32">
        <f t="shared" si="80"/>
        <v>2034</v>
      </c>
      <c r="C317" s="33" t="s">
        <v>51</v>
      </c>
      <c r="D317" s="34" t="s">
        <v>1999</v>
      </c>
      <c r="E317" s="35" t="str">
        <f t="shared" si="78"/>
        <v>PSNP'!</v>
      </c>
      <c r="F317" s="34" t="str">
        <f t="shared" si="79"/>
        <v>C:\Users\jaime.benazar\Quorum Business Solutions\Ecopetrol Prometeo - Documents\Planning Space Implementation\3. Analysis &amp; Design\Design\FC22\DRR Jaime\QUIFA-CAJÚA\Cajua\[CAJUA_CF_SEC_New_27-Feb-2024Rev3.xlsx]D-PSNP'!</v>
      </c>
      <c r="G317" s="32" t="s">
        <v>59</v>
      </c>
      <c r="H317" s="33"/>
      <c r="I317" s="33"/>
      <c r="J317" s="37"/>
    </row>
    <row r="318" spans="1:10" x14ac:dyDescent="0.25">
      <c r="A318" s="32" t="s">
        <v>103</v>
      </c>
      <c r="B318" s="32">
        <f t="shared" si="80"/>
        <v>2035</v>
      </c>
      <c r="C318" s="33" t="s">
        <v>51</v>
      </c>
      <c r="D318" s="34" t="s">
        <v>1999</v>
      </c>
      <c r="E318" s="35" t="str">
        <f t="shared" si="78"/>
        <v>PSNP'!</v>
      </c>
      <c r="F318" s="34" t="str">
        <f t="shared" si="79"/>
        <v>C:\Users\jaime.benazar\Quorum Business Solutions\Ecopetrol Prometeo - Documents\Planning Space Implementation\3. Analysis &amp; Design\Design\FC22\DRR Jaime\QUIFA-CAJÚA\Cajua\[CAJUA_CF_SEC_New_27-Feb-2024Rev3.xlsx]D-PSNP'!</v>
      </c>
      <c r="G318" s="32" t="s">
        <v>59</v>
      </c>
      <c r="H318" s="33"/>
      <c r="I318" s="33"/>
      <c r="J318" s="37"/>
    </row>
    <row r="319" spans="1:10" x14ac:dyDescent="0.25">
      <c r="A319" s="32" t="s">
        <v>103</v>
      </c>
      <c r="B319" s="32">
        <f t="shared" si="80"/>
        <v>2036</v>
      </c>
      <c r="C319" s="33" t="s">
        <v>51</v>
      </c>
      <c r="D319" s="34" t="s">
        <v>1999</v>
      </c>
      <c r="E319" s="35" t="str">
        <f t="shared" si="78"/>
        <v>PSNP'!</v>
      </c>
      <c r="F319" s="34" t="str">
        <f t="shared" si="79"/>
        <v>C:\Users\jaime.benazar\Quorum Business Solutions\Ecopetrol Prometeo - Documents\Planning Space Implementation\3. Analysis &amp; Design\Design\FC22\DRR Jaime\QUIFA-CAJÚA\Cajua\[CAJUA_CF_SEC_New_27-Feb-2024Rev3.xlsx]D-PSNP'!</v>
      </c>
      <c r="G319" s="32" t="s">
        <v>59</v>
      </c>
      <c r="H319" s="33"/>
      <c r="I319" s="33"/>
      <c r="J319" s="37"/>
    </row>
    <row r="320" spans="1:10" x14ac:dyDescent="0.25">
      <c r="A320" s="32" t="s">
        <v>103</v>
      </c>
      <c r="B320" s="32">
        <f>+B319+1</f>
        <v>2037</v>
      </c>
      <c r="C320" s="33" t="s">
        <v>51</v>
      </c>
      <c r="D320" s="34" t="s">
        <v>1999</v>
      </c>
      <c r="E320" s="35" t="str">
        <f t="shared" si="78"/>
        <v>PSNP'!</v>
      </c>
      <c r="F320" s="34" t="str">
        <f t="shared" si="79"/>
        <v>C:\Users\jaime.benazar\Quorum Business Solutions\Ecopetrol Prometeo - Documents\Planning Space Implementation\3. Analysis &amp; Design\Design\FC22\DRR Jaime\QUIFA-CAJÚA\Cajua\[CAJUA_CF_SEC_New_27-Feb-2024Rev3.xlsx]D-PSNP'!</v>
      </c>
      <c r="G320" s="32" t="s">
        <v>59</v>
      </c>
      <c r="H320" s="33"/>
      <c r="I320" s="33"/>
      <c r="J320" s="37"/>
    </row>
    <row r="321" spans="1:10" x14ac:dyDescent="0.25">
      <c r="A321" s="32" t="s">
        <v>103</v>
      </c>
      <c r="B321" s="32">
        <f t="shared" ref="B321:B323" si="81">+B320+1</f>
        <v>2038</v>
      </c>
      <c r="C321" s="33" t="s">
        <v>51</v>
      </c>
      <c r="D321" s="34" t="s">
        <v>1999</v>
      </c>
      <c r="E321" s="35" t="str">
        <f t="shared" si="78"/>
        <v>PSNP'!</v>
      </c>
      <c r="F321" s="34" t="str">
        <f t="shared" si="79"/>
        <v>C:\Users\jaime.benazar\Quorum Business Solutions\Ecopetrol Prometeo - Documents\Planning Space Implementation\3. Analysis &amp; Design\Design\FC22\DRR Jaime\QUIFA-CAJÚA\Cajua\[CAJUA_CF_SEC_New_27-Feb-2024Rev3.xlsx]D-PSNP'!</v>
      </c>
      <c r="G321" s="32" t="s">
        <v>59</v>
      </c>
      <c r="H321" s="33"/>
      <c r="I321" s="33"/>
      <c r="J321" s="37"/>
    </row>
    <row r="322" spans="1:10" x14ac:dyDescent="0.25">
      <c r="A322" s="32" t="s">
        <v>103</v>
      </c>
      <c r="B322" s="32">
        <f t="shared" si="81"/>
        <v>2039</v>
      </c>
      <c r="C322" s="33" t="s">
        <v>51</v>
      </c>
      <c r="D322" s="34" t="s">
        <v>1999</v>
      </c>
      <c r="E322" s="35" t="str">
        <f t="shared" si="78"/>
        <v>PSNP'!</v>
      </c>
      <c r="F322" s="34" t="str">
        <f t="shared" si="79"/>
        <v>C:\Users\jaime.benazar\Quorum Business Solutions\Ecopetrol Prometeo - Documents\Planning Space Implementation\3. Analysis &amp; Design\Design\FC22\DRR Jaime\QUIFA-CAJÚA\Cajua\[CAJUA_CF_SEC_New_27-Feb-2024Rev3.xlsx]D-PSNP'!</v>
      </c>
      <c r="G322" s="32" t="s">
        <v>59</v>
      </c>
      <c r="H322" s="33"/>
      <c r="I322" s="33"/>
      <c r="J322" s="37"/>
    </row>
    <row r="323" spans="1:10" x14ac:dyDescent="0.25">
      <c r="A323" s="32" t="s">
        <v>103</v>
      </c>
      <c r="B323" s="32">
        <f t="shared" si="81"/>
        <v>2040</v>
      </c>
      <c r="C323" s="33" t="s">
        <v>51</v>
      </c>
      <c r="D323" s="34" t="s">
        <v>1999</v>
      </c>
      <c r="E323" s="35" t="str">
        <f t="shared" si="78"/>
        <v>PSNP'!</v>
      </c>
      <c r="F323" s="34" t="str">
        <f t="shared" si="79"/>
        <v>C:\Users\jaime.benazar\Quorum Business Solutions\Ecopetrol Prometeo - Documents\Planning Space Implementation\3. Analysis &amp; Design\Design\FC22\DRR Jaime\QUIFA-CAJÚA\Cajua\[CAJUA_CF_SEC_New_27-Feb-2024Rev3.xlsx]D-PSNP'!</v>
      </c>
      <c r="G323" s="32" t="s">
        <v>59</v>
      </c>
      <c r="H323" s="33"/>
      <c r="I323" s="33"/>
      <c r="J323" s="37"/>
    </row>
    <row r="324" spans="1:10" x14ac:dyDescent="0.25">
      <c r="A324" s="32" t="s">
        <v>103</v>
      </c>
      <c r="B324" s="32">
        <f>+B323+1</f>
        <v>2041</v>
      </c>
      <c r="C324" s="33" t="s">
        <v>51</v>
      </c>
      <c r="D324" s="34" t="s">
        <v>1999</v>
      </c>
      <c r="E324" s="35" t="str">
        <f t="shared" si="78"/>
        <v>PSNP'!</v>
      </c>
      <c r="F324" s="34" t="str">
        <f t="shared" si="79"/>
        <v>C:\Users\jaime.benazar\Quorum Business Solutions\Ecopetrol Prometeo - Documents\Planning Space Implementation\3. Analysis &amp; Design\Design\FC22\DRR Jaime\QUIFA-CAJÚA\Cajua\[CAJUA_CF_SEC_New_27-Feb-2024Rev3.xlsx]D-PSNP'!</v>
      </c>
      <c r="G324" s="32" t="s">
        <v>59</v>
      </c>
      <c r="H324" s="33"/>
      <c r="I324" s="33"/>
      <c r="J324" s="37"/>
    </row>
    <row r="325" spans="1:10" x14ac:dyDescent="0.25">
      <c r="A325" s="32" t="s">
        <v>103</v>
      </c>
      <c r="B325" s="32">
        <f t="shared" ref="B325:B326" si="82">+B324+1</f>
        <v>2042</v>
      </c>
      <c r="C325" s="33" t="s">
        <v>51</v>
      </c>
      <c r="D325" s="34" t="s">
        <v>1999</v>
      </c>
      <c r="E325" s="35" t="str">
        <f t="shared" si="78"/>
        <v>PSNP'!</v>
      </c>
      <c r="F325" s="34" t="str">
        <f t="shared" si="79"/>
        <v>C:\Users\jaime.benazar\Quorum Business Solutions\Ecopetrol Prometeo - Documents\Planning Space Implementation\3. Analysis &amp; Design\Design\FC22\DRR Jaime\QUIFA-CAJÚA\Cajua\[CAJUA_CF_SEC_New_27-Feb-2024Rev3.xlsx]D-PSNP'!</v>
      </c>
      <c r="G325" s="32" t="s">
        <v>59</v>
      </c>
      <c r="H325" s="33"/>
      <c r="I325" s="33"/>
      <c r="J325" s="37"/>
    </row>
    <row r="326" spans="1:10" x14ac:dyDescent="0.25">
      <c r="A326" s="32" t="s">
        <v>103</v>
      </c>
      <c r="B326" s="32">
        <f t="shared" si="82"/>
        <v>2043</v>
      </c>
      <c r="C326" s="33" t="s">
        <v>51</v>
      </c>
      <c r="D326" s="34" t="s">
        <v>1999</v>
      </c>
      <c r="E326" s="35" t="str">
        <f t="shared" si="78"/>
        <v>PSNP'!</v>
      </c>
      <c r="F326" s="34" t="str">
        <f t="shared" si="79"/>
        <v>C:\Users\jaime.benazar\Quorum Business Solutions\Ecopetrol Prometeo - Documents\Planning Space Implementation\3. Analysis &amp; Design\Design\FC22\DRR Jaime\QUIFA-CAJÚA\Cajua\[CAJUA_CF_SEC_New_27-Feb-2024Rev3.xlsx]D-PSNP'!</v>
      </c>
      <c r="G326" s="32" t="s">
        <v>59</v>
      </c>
      <c r="H326" s="33"/>
      <c r="I326" s="33"/>
      <c r="J326" s="37"/>
    </row>
    <row r="327" spans="1:10" x14ac:dyDescent="0.25">
      <c r="A327" s="32" t="s">
        <v>103</v>
      </c>
      <c r="B327" s="32">
        <f>+B326+1</f>
        <v>2044</v>
      </c>
      <c r="C327" s="33" t="s">
        <v>51</v>
      </c>
      <c r="D327" s="34" t="s">
        <v>1999</v>
      </c>
      <c r="E327" s="35" t="str">
        <f t="shared" ref="E327:E342" si="83">_xlfn.CONCAT(A327,"'!")</f>
        <v>PSNP'!</v>
      </c>
      <c r="F327" s="34" t="str">
        <f t="shared" ref="F327:F342" si="84">_xlfn.CONCAT(D327:E327)</f>
        <v>C:\Users\jaime.benazar\Quorum Business Solutions\Ecopetrol Prometeo - Documents\Planning Space Implementation\3. Analysis &amp; Design\Design\FC22\DRR Jaime\QUIFA-CAJÚA\Cajua\[CAJUA_CF_SEC_New_27-Feb-2024Rev3.xlsx]D-PSNP'!</v>
      </c>
      <c r="G327" s="32" t="s">
        <v>59</v>
      </c>
      <c r="H327" s="33"/>
      <c r="I327" s="33"/>
      <c r="J327" s="37"/>
    </row>
    <row r="328" spans="1:10" x14ac:dyDescent="0.25">
      <c r="A328" s="32" t="s">
        <v>103</v>
      </c>
      <c r="B328" s="32">
        <f t="shared" ref="B328:B342" si="85">+B327+1</f>
        <v>2045</v>
      </c>
      <c r="C328" s="33" t="s">
        <v>51</v>
      </c>
      <c r="D328" s="34" t="s">
        <v>1999</v>
      </c>
      <c r="E328" s="35" t="str">
        <f t="shared" si="83"/>
        <v>PSNP'!</v>
      </c>
      <c r="F328" s="34" t="str">
        <f t="shared" si="84"/>
        <v>C:\Users\jaime.benazar\Quorum Business Solutions\Ecopetrol Prometeo - Documents\Planning Space Implementation\3. Analysis &amp; Design\Design\FC22\DRR Jaime\QUIFA-CAJÚA\Cajua\[CAJUA_CF_SEC_New_27-Feb-2024Rev3.xlsx]D-PSNP'!</v>
      </c>
      <c r="G328" s="32" t="s">
        <v>59</v>
      </c>
      <c r="H328" s="33"/>
      <c r="I328" s="33"/>
      <c r="J328" s="37"/>
    </row>
    <row r="329" spans="1:10" x14ac:dyDescent="0.25">
      <c r="A329" s="32" t="s">
        <v>103</v>
      </c>
      <c r="B329" s="32">
        <f t="shared" si="85"/>
        <v>2046</v>
      </c>
      <c r="C329" s="33" t="s">
        <v>51</v>
      </c>
      <c r="D329" s="34" t="s">
        <v>1999</v>
      </c>
      <c r="E329" s="35" t="str">
        <f t="shared" si="83"/>
        <v>PSNP'!</v>
      </c>
      <c r="F329" s="34" t="str">
        <f t="shared" si="84"/>
        <v>C:\Users\jaime.benazar\Quorum Business Solutions\Ecopetrol Prometeo - Documents\Planning Space Implementation\3. Analysis &amp; Design\Design\FC22\DRR Jaime\QUIFA-CAJÚA\Cajua\[CAJUA_CF_SEC_New_27-Feb-2024Rev3.xlsx]D-PSNP'!</v>
      </c>
      <c r="G329" s="32" t="s">
        <v>59</v>
      </c>
      <c r="H329" s="33"/>
      <c r="I329" s="33"/>
      <c r="J329" s="37"/>
    </row>
    <row r="330" spans="1:10" x14ac:dyDescent="0.25">
      <c r="A330" s="32" t="s">
        <v>103</v>
      </c>
      <c r="B330" s="32">
        <f t="shared" si="85"/>
        <v>2047</v>
      </c>
      <c r="C330" s="33" t="s">
        <v>51</v>
      </c>
      <c r="D330" s="34" t="s">
        <v>1999</v>
      </c>
      <c r="E330" s="35" t="str">
        <f t="shared" si="83"/>
        <v>PSNP'!</v>
      </c>
      <c r="F330" s="34" t="str">
        <f t="shared" si="84"/>
        <v>C:\Users\jaime.benazar\Quorum Business Solutions\Ecopetrol Prometeo - Documents\Planning Space Implementation\3. Analysis &amp; Design\Design\FC22\DRR Jaime\QUIFA-CAJÚA\Cajua\[CAJUA_CF_SEC_New_27-Feb-2024Rev3.xlsx]D-PSNP'!</v>
      </c>
      <c r="G330" s="32" t="s">
        <v>59</v>
      </c>
      <c r="H330" s="33"/>
      <c r="I330" s="33"/>
      <c r="J330" s="37"/>
    </row>
    <row r="331" spans="1:10" x14ac:dyDescent="0.25">
      <c r="A331" s="32" t="s">
        <v>103</v>
      </c>
      <c r="B331" s="32">
        <f t="shared" si="85"/>
        <v>2048</v>
      </c>
      <c r="C331" s="33" t="s">
        <v>51</v>
      </c>
      <c r="D331" s="34" t="s">
        <v>1999</v>
      </c>
      <c r="E331" s="35" t="str">
        <f t="shared" si="83"/>
        <v>PSNP'!</v>
      </c>
      <c r="F331" s="34" t="str">
        <f t="shared" si="84"/>
        <v>C:\Users\jaime.benazar\Quorum Business Solutions\Ecopetrol Prometeo - Documents\Planning Space Implementation\3. Analysis &amp; Design\Design\FC22\DRR Jaime\QUIFA-CAJÚA\Cajua\[CAJUA_CF_SEC_New_27-Feb-2024Rev3.xlsx]D-PSNP'!</v>
      </c>
      <c r="G331" s="32" t="s">
        <v>59</v>
      </c>
      <c r="H331" s="33"/>
      <c r="I331" s="33"/>
      <c r="J331" s="37"/>
    </row>
    <row r="332" spans="1:10" x14ac:dyDescent="0.25">
      <c r="A332" s="32" t="s">
        <v>103</v>
      </c>
      <c r="B332" s="32">
        <f t="shared" si="85"/>
        <v>2049</v>
      </c>
      <c r="C332" s="33" t="s">
        <v>51</v>
      </c>
      <c r="D332" s="34" t="s">
        <v>1999</v>
      </c>
      <c r="E332" s="35" t="str">
        <f t="shared" si="83"/>
        <v>PSNP'!</v>
      </c>
      <c r="F332" s="34" t="str">
        <f t="shared" si="84"/>
        <v>C:\Users\jaime.benazar\Quorum Business Solutions\Ecopetrol Prometeo - Documents\Planning Space Implementation\3. Analysis &amp; Design\Design\FC22\DRR Jaime\QUIFA-CAJÚA\Cajua\[CAJUA_CF_SEC_New_27-Feb-2024Rev3.xlsx]D-PSNP'!</v>
      </c>
      <c r="G332" s="32" t="s">
        <v>59</v>
      </c>
      <c r="H332" s="33"/>
      <c r="I332" s="33"/>
      <c r="J332" s="37"/>
    </row>
    <row r="333" spans="1:10" x14ac:dyDescent="0.25">
      <c r="A333" s="32" t="s">
        <v>103</v>
      </c>
      <c r="B333" s="32">
        <f t="shared" si="85"/>
        <v>2050</v>
      </c>
      <c r="C333" s="33" t="s">
        <v>51</v>
      </c>
      <c r="D333" s="34" t="s">
        <v>1999</v>
      </c>
      <c r="E333" s="35" t="str">
        <f t="shared" si="83"/>
        <v>PSNP'!</v>
      </c>
      <c r="F333" s="34" t="str">
        <f t="shared" si="84"/>
        <v>C:\Users\jaime.benazar\Quorum Business Solutions\Ecopetrol Prometeo - Documents\Planning Space Implementation\3. Analysis &amp; Design\Design\FC22\DRR Jaime\QUIFA-CAJÚA\Cajua\[CAJUA_CF_SEC_New_27-Feb-2024Rev3.xlsx]D-PSNP'!</v>
      </c>
      <c r="G333" s="32" t="s">
        <v>59</v>
      </c>
      <c r="H333" s="33"/>
      <c r="I333" s="33"/>
      <c r="J333" s="37"/>
    </row>
    <row r="334" spans="1:10" x14ac:dyDescent="0.25">
      <c r="A334" s="32" t="s">
        <v>103</v>
      </c>
      <c r="B334" s="32">
        <f t="shared" si="85"/>
        <v>2051</v>
      </c>
      <c r="C334" s="33" t="s">
        <v>51</v>
      </c>
      <c r="D334" s="34" t="s">
        <v>1999</v>
      </c>
      <c r="E334" s="35" t="str">
        <f t="shared" si="83"/>
        <v>PSNP'!</v>
      </c>
      <c r="F334" s="34" t="str">
        <f t="shared" si="84"/>
        <v>C:\Users\jaime.benazar\Quorum Business Solutions\Ecopetrol Prometeo - Documents\Planning Space Implementation\3. Analysis &amp; Design\Design\FC22\DRR Jaime\QUIFA-CAJÚA\Cajua\[CAJUA_CF_SEC_New_27-Feb-2024Rev3.xlsx]D-PSNP'!</v>
      </c>
      <c r="G334" s="32" t="s">
        <v>59</v>
      </c>
      <c r="H334" s="33"/>
      <c r="I334" s="33"/>
      <c r="J334" s="37"/>
    </row>
    <row r="335" spans="1:10" x14ac:dyDescent="0.25">
      <c r="A335" s="32" t="s">
        <v>103</v>
      </c>
      <c r="B335" s="32">
        <f t="shared" si="85"/>
        <v>2052</v>
      </c>
      <c r="C335" s="33" t="s">
        <v>51</v>
      </c>
      <c r="D335" s="34" t="s">
        <v>1999</v>
      </c>
      <c r="E335" s="35" t="str">
        <f t="shared" si="83"/>
        <v>PSNP'!</v>
      </c>
      <c r="F335" s="34" t="str">
        <f t="shared" si="84"/>
        <v>C:\Users\jaime.benazar\Quorum Business Solutions\Ecopetrol Prometeo - Documents\Planning Space Implementation\3. Analysis &amp; Design\Design\FC22\DRR Jaime\QUIFA-CAJÚA\Cajua\[CAJUA_CF_SEC_New_27-Feb-2024Rev3.xlsx]D-PSNP'!</v>
      </c>
      <c r="G335" s="32" t="s">
        <v>59</v>
      </c>
      <c r="H335" s="33"/>
      <c r="I335" s="33"/>
      <c r="J335" s="37"/>
    </row>
    <row r="336" spans="1:10" x14ac:dyDescent="0.25">
      <c r="A336" s="32" t="s">
        <v>103</v>
      </c>
      <c r="B336" s="32">
        <f t="shared" si="85"/>
        <v>2053</v>
      </c>
      <c r="C336" s="33" t="s">
        <v>51</v>
      </c>
      <c r="D336" s="34" t="s">
        <v>1999</v>
      </c>
      <c r="E336" s="35" t="str">
        <f t="shared" si="83"/>
        <v>PSNP'!</v>
      </c>
      <c r="F336" s="34" t="str">
        <f t="shared" si="84"/>
        <v>C:\Users\jaime.benazar\Quorum Business Solutions\Ecopetrol Prometeo - Documents\Planning Space Implementation\3. Analysis &amp; Design\Design\FC22\DRR Jaime\QUIFA-CAJÚA\Cajua\[CAJUA_CF_SEC_New_27-Feb-2024Rev3.xlsx]D-PSNP'!</v>
      </c>
      <c r="G336" s="32" t="s">
        <v>59</v>
      </c>
      <c r="H336" s="33"/>
      <c r="I336" s="33"/>
      <c r="J336" s="37"/>
    </row>
    <row r="337" spans="1:10" x14ac:dyDescent="0.25">
      <c r="A337" s="32" t="s">
        <v>103</v>
      </c>
      <c r="B337" s="32">
        <f t="shared" si="85"/>
        <v>2054</v>
      </c>
      <c r="C337" s="33" t="s">
        <v>51</v>
      </c>
      <c r="D337" s="34" t="s">
        <v>1999</v>
      </c>
      <c r="E337" s="35" t="str">
        <f t="shared" si="83"/>
        <v>PSNP'!</v>
      </c>
      <c r="F337" s="34" t="str">
        <f t="shared" si="84"/>
        <v>C:\Users\jaime.benazar\Quorum Business Solutions\Ecopetrol Prometeo - Documents\Planning Space Implementation\3. Analysis &amp; Design\Design\FC22\DRR Jaime\QUIFA-CAJÚA\Cajua\[CAJUA_CF_SEC_New_27-Feb-2024Rev3.xlsx]D-PSNP'!</v>
      </c>
      <c r="G337" s="32" t="s">
        <v>59</v>
      </c>
      <c r="H337" s="33"/>
      <c r="I337" s="33"/>
      <c r="J337" s="37"/>
    </row>
    <row r="338" spans="1:10" x14ac:dyDescent="0.25">
      <c r="A338" s="32" t="s">
        <v>103</v>
      </c>
      <c r="B338" s="32">
        <f t="shared" si="85"/>
        <v>2055</v>
      </c>
      <c r="C338" s="33" t="s">
        <v>51</v>
      </c>
      <c r="D338" s="34" t="s">
        <v>1999</v>
      </c>
      <c r="E338" s="35" t="str">
        <f t="shared" si="83"/>
        <v>PSNP'!</v>
      </c>
      <c r="F338" s="34" t="str">
        <f t="shared" si="84"/>
        <v>C:\Users\jaime.benazar\Quorum Business Solutions\Ecopetrol Prometeo - Documents\Planning Space Implementation\3. Analysis &amp; Design\Design\FC22\DRR Jaime\QUIFA-CAJÚA\Cajua\[CAJUA_CF_SEC_New_27-Feb-2024Rev3.xlsx]D-PSNP'!</v>
      </c>
      <c r="G338" s="32" t="s">
        <v>59</v>
      </c>
      <c r="H338" s="33"/>
      <c r="I338" s="33"/>
      <c r="J338" s="37"/>
    </row>
    <row r="339" spans="1:10" x14ac:dyDescent="0.25">
      <c r="A339" s="32" t="s">
        <v>103</v>
      </c>
      <c r="B339" s="32">
        <f t="shared" si="85"/>
        <v>2056</v>
      </c>
      <c r="C339" s="33" t="s">
        <v>51</v>
      </c>
      <c r="D339" s="34" t="s">
        <v>1999</v>
      </c>
      <c r="E339" s="35" t="str">
        <f t="shared" si="83"/>
        <v>PSNP'!</v>
      </c>
      <c r="F339" s="34" t="str">
        <f t="shared" si="84"/>
        <v>C:\Users\jaime.benazar\Quorum Business Solutions\Ecopetrol Prometeo - Documents\Planning Space Implementation\3. Analysis &amp; Design\Design\FC22\DRR Jaime\QUIFA-CAJÚA\Cajua\[CAJUA_CF_SEC_New_27-Feb-2024Rev3.xlsx]D-PSNP'!</v>
      </c>
      <c r="G339" s="32" t="s">
        <v>59</v>
      </c>
      <c r="H339" s="33"/>
      <c r="I339" s="33"/>
      <c r="J339" s="37"/>
    </row>
    <row r="340" spans="1:10" x14ac:dyDescent="0.25">
      <c r="A340" s="32" t="s">
        <v>103</v>
      </c>
      <c r="B340" s="32">
        <f t="shared" si="85"/>
        <v>2057</v>
      </c>
      <c r="C340" s="33" t="s">
        <v>51</v>
      </c>
      <c r="D340" s="34" t="s">
        <v>1999</v>
      </c>
      <c r="E340" s="35" t="str">
        <f t="shared" si="83"/>
        <v>PSNP'!</v>
      </c>
      <c r="F340" s="34" t="str">
        <f t="shared" si="84"/>
        <v>C:\Users\jaime.benazar\Quorum Business Solutions\Ecopetrol Prometeo - Documents\Planning Space Implementation\3. Analysis &amp; Design\Design\FC22\DRR Jaime\QUIFA-CAJÚA\Cajua\[CAJUA_CF_SEC_New_27-Feb-2024Rev3.xlsx]D-PSNP'!</v>
      </c>
      <c r="G340" s="32" t="s">
        <v>59</v>
      </c>
      <c r="H340" s="33"/>
      <c r="I340" s="33"/>
      <c r="J340" s="37"/>
    </row>
    <row r="341" spans="1:10" x14ac:dyDescent="0.25">
      <c r="A341" s="32" t="s">
        <v>103</v>
      </c>
      <c r="B341" s="32">
        <f t="shared" si="85"/>
        <v>2058</v>
      </c>
      <c r="C341" s="33" t="s">
        <v>51</v>
      </c>
      <c r="D341" s="34" t="s">
        <v>1999</v>
      </c>
      <c r="E341" s="35" t="str">
        <f t="shared" si="83"/>
        <v>PSNP'!</v>
      </c>
      <c r="F341" s="34" t="str">
        <f t="shared" si="84"/>
        <v>C:\Users\jaime.benazar\Quorum Business Solutions\Ecopetrol Prometeo - Documents\Planning Space Implementation\3. Analysis &amp; Design\Design\FC22\DRR Jaime\QUIFA-CAJÚA\Cajua\[CAJUA_CF_SEC_New_27-Feb-2024Rev3.xlsx]D-PSNP'!</v>
      </c>
      <c r="G341" s="32" t="s">
        <v>59</v>
      </c>
      <c r="H341" s="33"/>
      <c r="I341" s="33"/>
      <c r="J341" s="37"/>
    </row>
    <row r="342" spans="1:10" x14ac:dyDescent="0.25">
      <c r="A342" s="32" t="s">
        <v>103</v>
      </c>
      <c r="B342" s="32">
        <f t="shared" si="85"/>
        <v>2059</v>
      </c>
      <c r="C342" s="33" t="s">
        <v>51</v>
      </c>
      <c r="D342" s="34" t="s">
        <v>1999</v>
      </c>
      <c r="E342" s="35" t="str">
        <f t="shared" si="83"/>
        <v>PSNP'!</v>
      </c>
      <c r="F342" s="34" t="str">
        <f t="shared" si="84"/>
        <v>C:\Users\jaime.benazar\Quorum Business Solutions\Ecopetrol Prometeo - Documents\Planning Space Implementation\3. Analysis &amp; Design\Design\FC22\DRR Jaime\QUIFA-CAJÚA\Cajua\[CAJUA_CF_SEC_New_27-Feb-2024Rev3.xlsx]D-PSNP'!</v>
      </c>
      <c r="G342" s="32" t="s">
        <v>59</v>
      </c>
      <c r="H342" s="33"/>
      <c r="I342" s="33"/>
      <c r="J342" s="37"/>
    </row>
    <row r="343" spans="1:10" x14ac:dyDescent="0.25">
      <c r="A343" s="32" t="s">
        <v>28</v>
      </c>
      <c r="B343" s="32"/>
      <c r="C343" s="33" t="s">
        <v>51</v>
      </c>
      <c r="D343" s="34"/>
      <c r="E343" s="35" t="str">
        <f t="shared" ref="E343" si="86">_xlfn.CONCAT(A343,"'!")</f>
        <v>Total'!</v>
      </c>
      <c r="F343" s="34"/>
      <c r="G343" s="32" t="s">
        <v>59</v>
      </c>
      <c r="H343" s="33"/>
      <c r="I343" s="33"/>
      <c r="J343" s="33"/>
    </row>
    <row r="344" spans="1:10" x14ac:dyDescent="0.25">
      <c r="A344" s="32" t="s">
        <v>104</v>
      </c>
      <c r="B344" s="32">
        <v>2023</v>
      </c>
      <c r="C344" s="33" t="s">
        <v>51</v>
      </c>
      <c r="D344" s="34" t="s">
        <v>1999</v>
      </c>
      <c r="E344" s="35" t="str">
        <f t="shared" ref="E344:E364" si="87">_xlfn.CONCAT(A344,"'!")</f>
        <v>PSND'!</v>
      </c>
      <c r="F344" s="34" t="str">
        <f t="shared" ref="F344:F364" si="88">_xlfn.CONCAT(D344:E344)</f>
        <v>C:\Users\jaime.benazar\Quorum Business Solutions\Ecopetrol Prometeo - Documents\Planning Space Implementation\3. Analysis &amp; Design\Design\FC22\DRR Jaime\QUIFA-CAJÚA\Cajua\[CAJUA_CF_SEC_New_27-Feb-2024Rev3.xlsx]D-PSND'!</v>
      </c>
      <c r="G344" s="32" t="s">
        <v>59</v>
      </c>
      <c r="H344" s="33"/>
      <c r="I344" s="33"/>
      <c r="J344" s="37"/>
    </row>
    <row r="345" spans="1:10" x14ac:dyDescent="0.25">
      <c r="A345" s="32" t="s">
        <v>104</v>
      </c>
      <c r="B345" s="32">
        <f>+B344+1</f>
        <v>2024</v>
      </c>
      <c r="C345" s="33" t="s">
        <v>51</v>
      </c>
      <c r="D345" s="34" t="s">
        <v>1999</v>
      </c>
      <c r="E345" s="35" t="str">
        <f t="shared" si="87"/>
        <v>PSND'!</v>
      </c>
      <c r="F345" s="34" t="str">
        <f t="shared" si="88"/>
        <v>C:\Users\jaime.benazar\Quorum Business Solutions\Ecopetrol Prometeo - Documents\Planning Space Implementation\3. Analysis &amp; Design\Design\FC22\DRR Jaime\QUIFA-CAJÚA\Cajua\[CAJUA_CF_SEC_New_27-Feb-2024Rev3.xlsx]D-PSND'!</v>
      </c>
      <c r="G345" s="32" t="s">
        <v>59</v>
      </c>
      <c r="H345" s="33"/>
      <c r="I345" s="33"/>
      <c r="J345" s="37"/>
    </row>
    <row r="346" spans="1:10" x14ac:dyDescent="0.25">
      <c r="A346" s="32" t="s">
        <v>104</v>
      </c>
      <c r="B346" s="32">
        <f t="shared" ref="B346:B357" si="89">+B345+1</f>
        <v>2025</v>
      </c>
      <c r="C346" s="33" t="s">
        <v>51</v>
      </c>
      <c r="D346" s="34" t="s">
        <v>1999</v>
      </c>
      <c r="E346" s="35" t="str">
        <f t="shared" si="87"/>
        <v>PSND'!</v>
      </c>
      <c r="F346" s="34" t="str">
        <f t="shared" si="88"/>
        <v>C:\Users\jaime.benazar\Quorum Business Solutions\Ecopetrol Prometeo - Documents\Planning Space Implementation\3. Analysis &amp; Design\Design\FC22\DRR Jaime\QUIFA-CAJÚA\Cajua\[CAJUA_CF_SEC_New_27-Feb-2024Rev3.xlsx]D-PSND'!</v>
      </c>
      <c r="G346" s="32" t="s">
        <v>59</v>
      </c>
      <c r="H346" s="33"/>
      <c r="I346" s="33"/>
      <c r="J346" s="37"/>
    </row>
    <row r="347" spans="1:10" x14ac:dyDescent="0.25">
      <c r="A347" s="32" t="s">
        <v>104</v>
      </c>
      <c r="B347" s="32">
        <f t="shared" si="89"/>
        <v>2026</v>
      </c>
      <c r="C347" s="33" t="s">
        <v>51</v>
      </c>
      <c r="D347" s="34" t="s">
        <v>1999</v>
      </c>
      <c r="E347" s="35" t="str">
        <f t="shared" si="87"/>
        <v>PSND'!</v>
      </c>
      <c r="F347" s="34" t="str">
        <f t="shared" si="88"/>
        <v>C:\Users\jaime.benazar\Quorum Business Solutions\Ecopetrol Prometeo - Documents\Planning Space Implementation\3. Analysis &amp; Design\Design\FC22\DRR Jaime\QUIFA-CAJÚA\Cajua\[CAJUA_CF_SEC_New_27-Feb-2024Rev3.xlsx]D-PSND'!</v>
      </c>
      <c r="G347" s="32" t="s">
        <v>59</v>
      </c>
      <c r="H347" s="33"/>
      <c r="I347" s="33"/>
      <c r="J347" s="37"/>
    </row>
    <row r="348" spans="1:10" x14ac:dyDescent="0.25">
      <c r="A348" s="32" t="s">
        <v>104</v>
      </c>
      <c r="B348" s="32">
        <f t="shared" si="89"/>
        <v>2027</v>
      </c>
      <c r="C348" s="33" t="s">
        <v>51</v>
      </c>
      <c r="D348" s="34" t="s">
        <v>1999</v>
      </c>
      <c r="E348" s="35" t="str">
        <f t="shared" si="87"/>
        <v>PSND'!</v>
      </c>
      <c r="F348" s="34" t="str">
        <f t="shared" si="88"/>
        <v>C:\Users\jaime.benazar\Quorum Business Solutions\Ecopetrol Prometeo - Documents\Planning Space Implementation\3. Analysis &amp; Design\Design\FC22\DRR Jaime\QUIFA-CAJÚA\Cajua\[CAJUA_CF_SEC_New_27-Feb-2024Rev3.xlsx]D-PSND'!</v>
      </c>
      <c r="G348" s="32" t="s">
        <v>59</v>
      </c>
      <c r="H348" s="33"/>
      <c r="I348" s="33"/>
      <c r="J348" s="37"/>
    </row>
    <row r="349" spans="1:10" x14ac:dyDescent="0.25">
      <c r="A349" s="32" t="s">
        <v>104</v>
      </c>
      <c r="B349" s="32">
        <f t="shared" si="89"/>
        <v>2028</v>
      </c>
      <c r="C349" s="33" t="s">
        <v>51</v>
      </c>
      <c r="D349" s="34" t="s">
        <v>1999</v>
      </c>
      <c r="E349" s="35" t="str">
        <f t="shared" si="87"/>
        <v>PSND'!</v>
      </c>
      <c r="F349" s="34" t="str">
        <f t="shared" si="88"/>
        <v>C:\Users\jaime.benazar\Quorum Business Solutions\Ecopetrol Prometeo - Documents\Planning Space Implementation\3. Analysis &amp; Design\Design\FC22\DRR Jaime\QUIFA-CAJÚA\Cajua\[CAJUA_CF_SEC_New_27-Feb-2024Rev3.xlsx]D-PSND'!</v>
      </c>
      <c r="G349" s="32" t="s">
        <v>59</v>
      </c>
      <c r="H349" s="33"/>
      <c r="I349" s="33"/>
      <c r="J349" s="37"/>
    </row>
    <row r="350" spans="1:10" x14ac:dyDescent="0.25">
      <c r="A350" s="32" t="s">
        <v>104</v>
      </c>
      <c r="B350" s="32">
        <f t="shared" si="89"/>
        <v>2029</v>
      </c>
      <c r="C350" s="33" t="s">
        <v>51</v>
      </c>
      <c r="D350" s="34" t="s">
        <v>1999</v>
      </c>
      <c r="E350" s="35" t="str">
        <f t="shared" si="87"/>
        <v>PSND'!</v>
      </c>
      <c r="F350" s="34" t="str">
        <f t="shared" si="88"/>
        <v>C:\Users\jaime.benazar\Quorum Business Solutions\Ecopetrol Prometeo - Documents\Planning Space Implementation\3. Analysis &amp; Design\Design\FC22\DRR Jaime\QUIFA-CAJÚA\Cajua\[CAJUA_CF_SEC_New_27-Feb-2024Rev3.xlsx]D-PSND'!</v>
      </c>
      <c r="G350" s="32" t="s">
        <v>59</v>
      </c>
      <c r="H350" s="33"/>
      <c r="I350" s="33"/>
      <c r="J350" s="37"/>
    </row>
    <row r="351" spans="1:10" x14ac:dyDescent="0.25">
      <c r="A351" s="32" t="s">
        <v>104</v>
      </c>
      <c r="B351" s="32">
        <f t="shared" si="89"/>
        <v>2030</v>
      </c>
      <c r="C351" s="33" t="s">
        <v>51</v>
      </c>
      <c r="D351" s="34" t="s">
        <v>1999</v>
      </c>
      <c r="E351" s="35" t="str">
        <f t="shared" si="87"/>
        <v>PSND'!</v>
      </c>
      <c r="F351" s="34" t="str">
        <f t="shared" si="88"/>
        <v>C:\Users\jaime.benazar\Quorum Business Solutions\Ecopetrol Prometeo - Documents\Planning Space Implementation\3. Analysis &amp; Design\Design\FC22\DRR Jaime\QUIFA-CAJÚA\Cajua\[CAJUA_CF_SEC_New_27-Feb-2024Rev3.xlsx]D-PSND'!</v>
      </c>
      <c r="G351" s="32" t="s">
        <v>59</v>
      </c>
      <c r="H351" s="33"/>
      <c r="I351" s="33"/>
      <c r="J351" s="37"/>
    </row>
    <row r="352" spans="1:10" x14ac:dyDescent="0.25">
      <c r="A352" s="32" t="s">
        <v>104</v>
      </c>
      <c r="B352" s="32">
        <f t="shared" si="89"/>
        <v>2031</v>
      </c>
      <c r="C352" s="33" t="s">
        <v>51</v>
      </c>
      <c r="D352" s="34" t="s">
        <v>1999</v>
      </c>
      <c r="E352" s="35" t="str">
        <f t="shared" si="87"/>
        <v>PSND'!</v>
      </c>
      <c r="F352" s="34" t="str">
        <f t="shared" si="88"/>
        <v>C:\Users\jaime.benazar\Quorum Business Solutions\Ecopetrol Prometeo - Documents\Planning Space Implementation\3. Analysis &amp; Design\Design\FC22\DRR Jaime\QUIFA-CAJÚA\Cajua\[CAJUA_CF_SEC_New_27-Feb-2024Rev3.xlsx]D-PSND'!</v>
      </c>
      <c r="G352" s="32" t="s">
        <v>59</v>
      </c>
      <c r="H352" s="33"/>
      <c r="I352" s="33"/>
      <c r="J352" s="37"/>
    </row>
    <row r="353" spans="1:10" x14ac:dyDescent="0.25">
      <c r="A353" s="32" t="s">
        <v>104</v>
      </c>
      <c r="B353" s="32">
        <f t="shared" si="89"/>
        <v>2032</v>
      </c>
      <c r="C353" s="33" t="s">
        <v>51</v>
      </c>
      <c r="D353" s="34" t="s">
        <v>1999</v>
      </c>
      <c r="E353" s="35" t="str">
        <f t="shared" si="87"/>
        <v>PSND'!</v>
      </c>
      <c r="F353" s="34" t="str">
        <f t="shared" si="88"/>
        <v>C:\Users\jaime.benazar\Quorum Business Solutions\Ecopetrol Prometeo - Documents\Planning Space Implementation\3. Analysis &amp; Design\Design\FC22\DRR Jaime\QUIFA-CAJÚA\Cajua\[CAJUA_CF_SEC_New_27-Feb-2024Rev3.xlsx]D-PSND'!</v>
      </c>
      <c r="G353" s="32" t="s">
        <v>59</v>
      </c>
      <c r="H353" s="33"/>
      <c r="I353" s="33"/>
      <c r="J353" s="37"/>
    </row>
    <row r="354" spans="1:10" x14ac:dyDescent="0.25">
      <c r="A354" s="32" t="s">
        <v>104</v>
      </c>
      <c r="B354" s="32">
        <f t="shared" si="89"/>
        <v>2033</v>
      </c>
      <c r="C354" s="33" t="s">
        <v>51</v>
      </c>
      <c r="D354" s="34" t="s">
        <v>1999</v>
      </c>
      <c r="E354" s="35" t="str">
        <f t="shared" si="87"/>
        <v>PSND'!</v>
      </c>
      <c r="F354" s="34" t="str">
        <f t="shared" si="88"/>
        <v>C:\Users\jaime.benazar\Quorum Business Solutions\Ecopetrol Prometeo - Documents\Planning Space Implementation\3. Analysis &amp; Design\Design\FC22\DRR Jaime\QUIFA-CAJÚA\Cajua\[CAJUA_CF_SEC_New_27-Feb-2024Rev3.xlsx]D-PSND'!</v>
      </c>
      <c r="G354" s="32" t="s">
        <v>59</v>
      </c>
      <c r="H354" s="33"/>
      <c r="I354" s="33"/>
      <c r="J354" s="37"/>
    </row>
    <row r="355" spans="1:10" x14ac:dyDescent="0.25">
      <c r="A355" s="32" t="s">
        <v>104</v>
      </c>
      <c r="B355" s="32">
        <f t="shared" si="89"/>
        <v>2034</v>
      </c>
      <c r="C355" s="33" t="s">
        <v>51</v>
      </c>
      <c r="D355" s="34" t="s">
        <v>1999</v>
      </c>
      <c r="E355" s="35" t="str">
        <f t="shared" si="87"/>
        <v>PSND'!</v>
      </c>
      <c r="F355" s="34" t="str">
        <f t="shared" si="88"/>
        <v>C:\Users\jaime.benazar\Quorum Business Solutions\Ecopetrol Prometeo - Documents\Planning Space Implementation\3. Analysis &amp; Design\Design\FC22\DRR Jaime\QUIFA-CAJÚA\Cajua\[CAJUA_CF_SEC_New_27-Feb-2024Rev3.xlsx]D-PSND'!</v>
      </c>
      <c r="G355" s="32" t="s">
        <v>59</v>
      </c>
      <c r="H355" s="33"/>
      <c r="I355" s="33"/>
      <c r="J355" s="37"/>
    </row>
    <row r="356" spans="1:10" x14ac:dyDescent="0.25">
      <c r="A356" s="32" t="s">
        <v>104</v>
      </c>
      <c r="B356" s="32">
        <f t="shared" si="89"/>
        <v>2035</v>
      </c>
      <c r="C356" s="33" t="s">
        <v>51</v>
      </c>
      <c r="D356" s="34" t="s">
        <v>1999</v>
      </c>
      <c r="E356" s="35" t="str">
        <f t="shared" si="87"/>
        <v>PSND'!</v>
      </c>
      <c r="F356" s="34" t="str">
        <f t="shared" si="88"/>
        <v>C:\Users\jaime.benazar\Quorum Business Solutions\Ecopetrol Prometeo - Documents\Planning Space Implementation\3. Analysis &amp; Design\Design\FC22\DRR Jaime\QUIFA-CAJÚA\Cajua\[CAJUA_CF_SEC_New_27-Feb-2024Rev3.xlsx]D-PSND'!</v>
      </c>
      <c r="G356" s="32" t="s">
        <v>59</v>
      </c>
      <c r="H356" s="33"/>
      <c r="I356" s="33"/>
      <c r="J356" s="37"/>
    </row>
    <row r="357" spans="1:10" x14ac:dyDescent="0.25">
      <c r="A357" s="32" t="s">
        <v>104</v>
      </c>
      <c r="B357" s="32">
        <f t="shared" si="89"/>
        <v>2036</v>
      </c>
      <c r="C357" s="33" t="s">
        <v>51</v>
      </c>
      <c r="D357" s="34" t="s">
        <v>1999</v>
      </c>
      <c r="E357" s="35" t="str">
        <f t="shared" si="87"/>
        <v>PSND'!</v>
      </c>
      <c r="F357" s="34" t="str">
        <f t="shared" si="88"/>
        <v>C:\Users\jaime.benazar\Quorum Business Solutions\Ecopetrol Prometeo - Documents\Planning Space Implementation\3. Analysis &amp; Design\Design\FC22\DRR Jaime\QUIFA-CAJÚA\Cajua\[CAJUA_CF_SEC_New_27-Feb-2024Rev3.xlsx]D-PSND'!</v>
      </c>
      <c r="G357" s="32" t="s">
        <v>59</v>
      </c>
      <c r="H357" s="33"/>
      <c r="I357" s="33"/>
      <c r="J357" s="37"/>
    </row>
    <row r="358" spans="1:10" x14ac:dyDescent="0.25">
      <c r="A358" s="32" t="s">
        <v>104</v>
      </c>
      <c r="B358" s="32">
        <f>+B357+1</f>
        <v>2037</v>
      </c>
      <c r="C358" s="33" t="s">
        <v>51</v>
      </c>
      <c r="D358" s="34" t="s">
        <v>1999</v>
      </c>
      <c r="E358" s="35" t="str">
        <f t="shared" si="87"/>
        <v>PSND'!</v>
      </c>
      <c r="F358" s="34" t="str">
        <f t="shared" si="88"/>
        <v>C:\Users\jaime.benazar\Quorum Business Solutions\Ecopetrol Prometeo - Documents\Planning Space Implementation\3. Analysis &amp; Design\Design\FC22\DRR Jaime\QUIFA-CAJÚA\Cajua\[CAJUA_CF_SEC_New_27-Feb-2024Rev3.xlsx]D-PSND'!</v>
      </c>
      <c r="G358" s="32" t="s">
        <v>59</v>
      </c>
      <c r="H358" s="33"/>
      <c r="I358" s="33"/>
      <c r="J358" s="37"/>
    </row>
    <row r="359" spans="1:10" x14ac:dyDescent="0.25">
      <c r="A359" s="32" t="s">
        <v>104</v>
      </c>
      <c r="B359" s="32">
        <f t="shared" ref="B359:B361" si="90">+B358+1</f>
        <v>2038</v>
      </c>
      <c r="C359" s="33" t="s">
        <v>51</v>
      </c>
      <c r="D359" s="34" t="s">
        <v>1999</v>
      </c>
      <c r="E359" s="35" t="str">
        <f t="shared" si="87"/>
        <v>PSND'!</v>
      </c>
      <c r="F359" s="34" t="str">
        <f t="shared" si="88"/>
        <v>C:\Users\jaime.benazar\Quorum Business Solutions\Ecopetrol Prometeo - Documents\Planning Space Implementation\3. Analysis &amp; Design\Design\FC22\DRR Jaime\QUIFA-CAJÚA\Cajua\[CAJUA_CF_SEC_New_27-Feb-2024Rev3.xlsx]D-PSND'!</v>
      </c>
      <c r="G359" s="32" t="s">
        <v>59</v>
      </c>
      <c r="H359" s="33"/>
      <c r="I359" s="33"/>
      <c r="J359" s="37"/>
    </row>
    <row r="360" spans="1:10" x14ac:dyDescent="0.25">
      <c r="A360" s="32" t="s">
        <v>104</v>
      </c>
      <c r="B360" s="32">
        <f t="shared" si="90"/>
        <v>2039</v>
      </c>
      <c r="C360" s="33" t="s">
        <v>51</v>
      </c>
      <c r="D360" s="34" t="s">
        <v>1999</v>
      </c>
      <c r="E360" s="35" t="str">
        <f t="shared" si="87"/>
        <v>PSND'!</v>
      </c>
      <c r="F360" s="34" t="str">
        <f t="shared" si="88"/>
        <v>C:\Users\jaime.benazar\Quorum Business Solutions\Ecopetrol Prometeo - Documents\Planning Space Implementation\3. Analysis &amp; Design\Design\FC22\DRR Jaime\QUIFA-CAJÚA\Cajua\[CAJUA_CF_SEC_New_27-Feb-2024Rev3.xlsx]D-PSND'!</v>
      </c>
      <c r="G360" s="32" t="s">
        <v>59</v>
      </c>
      <c r="H360" s="33"/>
      <c r="I360" s="33"/>
      <c r="J360" s="37"/>
    </row>
    <row r="361" spans="1:10" x14ac:dyDescent="0.25">
      <c r="A361" s="32" t="s">
        <v>104</v>
      </c>
      <c r="B361" s="32">
        <f t="shared" si="90"/>
        <v>2040</v>
      </c>
      <c r="C361" s="33" t="s">
        <v>51</v>
      </c>
      <c r="D361" s="34" t="s">
        <v>1999</v>
      </c>
      <c r="E361" s="35" t="str">
        <f t="shared" si="87"/>
        <v>PSND'!</v>
      </c>
      <c r="F361" s="34" t="str">
        <f t="shared" si="88"/>
        <v>C:\Users\jaime.benazar\Quorum Business Solutions\Ecopetrol Prometeo - Documents\Planning Space Implementation\3. Analysis &amp; Design\Design\FC22\DRR Jaime\QUIFA-CAJÚA\Cajua\[CAJUA_CF_SEC_New_27-Feb-2024Rev3.xlsx]D-PSND'!</v>
      </c>
      <c r="G361" s="32" t="s">
        <v>59</v>
      </c>
      <c r="H361" s="33"/>
      <c r="I361" s="33"/>
      <c r="J361" s="37"/>
    </row>
    <row r="362" spans="1:10" x14ac:dyDescent="0.25">
      <c r="A362" s="32" t="s">
        <v>104</v>
      </c>
      <c r="B362" s="32">
        <f>+B361+1</f>
        <v>2041</v>
      </c>
      <c r="C362" s="33" t="s">
        <v>51</v>
      </c>
      <c r="D362" s="34" t="s">
        <v>1999</v>
      </c>
      <c r="E362" s="35" t="str">
        <f t="shared" si="87"/>
        <v>PSND'!</v>
      </c>
      <c r="F362" s="34" t="str">
        <f t="shared" si="88"/>
        <v>C:\Users\jaime.benazar\Quorum Business Solutions\Ecopetrol Prometeo - Documents\Planning Space Implementation\3. Analysis &amp; Design\Design\FC22\DRR Jaime\QUIFA-CAJÚA\Cajua\[CAJUA_CF_SEC_New_27-Feb-2024Rev3.xlsx]D-PSND'!</v>
      </c>
      <c r="G362" s="32" t="s">
        <v>59</v>
      </c>
      <c r="H362" s="33"/>
      <c r="I362" s="33"/>
      <c r="J362" s="37"/>
    </row>
    <row r="363" spans="1:10" x14ac:dyDescent="0.25">
      <c r="A363" s="32" t="s">
        <v>104</v>
      </c>
      <c r="B363" s="32">
        <f t="shared" ref="B363:B364" si="91">+B362+1</f>
        <v>2042</v>
      </c>
      <c r="C363" s="33" t="s">
        <v>51</v>
      </c>
      <c r="D363" s="34" t="s">
        <v>1999</v>
      </c>
      <c r="E363" s="35" t="str">
        <f t="shared" si="87"/>
        <v>PSND'!</v>
      </c>
      <c r="F363" s="34" t="str">
        <f t="shared" si="88"/>
        <v>C:\Users\jaime.benazar\Quorum Business Solutions\Ecopetrol Prometeo - Documents\Planning Space Implementation\3. Analysis &amp; Design\Design\FC22\DRR Jaime\QUIFA-CAJÚA\Cajua\[CAJUA_CF_SEC_New_27-Feb-2024Rev3.xlsx]D-PSND'!</v>
      </c>
      <c r="G363" s="32" t="s">
        <v>59</v>
      </c>
      <c r="H363" s="33"/>
      <c r="I363" s="33"/>
      <c r="J363" s="37"/>
    </row>
    <row r="364" spans="1:10" x14ac:dyDescent="0.25">
      <c r="A364" s="32" t="s">
        <v>104</v>
      </c>
      <c r="B364" s="32">
        <f t="shared" si="91"/>
        <v>2043</v>
      </c>
      <c r="C364" s="33" t="s">
        <v>51</v>
      </c>
      <c r="D364" s="34" t="s">
        <v>1999</v>
      </c>
      <c r="E364" s="35" t="str">
        <f t="shared" si="87"/>
        <v>PSND'!</v>
      </c>
      <c r="F364" s="34" t="str">
        <f t="shared" si="88"/>
        <v>C:\Users\jaime.benazar\Quorum Business Solutions\Ecopetrol Prometeo - Documents\Planning Space Implementation\3. Analysis &amp; Design\Design\FC22\DRR Jaime\QUIFA-CAJÚA\Cajua\[CAJUA_CF_SEC_New_27-Feb-2024Rev3.xlsx]D-PSND'!</v>
      </c>
      <c r="G364" s="32" t="s">
        <v>59</v>
      </c>
      <c r="H364" s="33"/>
      <c r="I364" s="33"/>
      <c r="J364" s="37"/>
    </row>
    <row r="365" spans="1:10" x14ac:dyDescent="0.25">
      <c r="A365" s="32" t="s">
        <v>104</v>
      </c>
      <c r="B365" s="32">
        <f>+B364+1</f>
        <v>2044</v>
      </c>
      <c r="C365" s="33" t="s">
        <v>51</v>
      </c>
      <c r="D365" s="34" t="s">
        <v>1999</v>
      </c>
      <c r="E365" s="35" t="str">
        <f t="shared" ref="E365:E380" si="92">_xlfn.CONCAT(A365,"'!")</f>
        <v>PSND'!</v>
      </c>
      <c r="F365" s="34" t="str">
        <f t="shared" ref="F365:F380" si="93">_xlfn.CONCAT(D365:E365)</f>
        <v>C:\Users\jaime.benazar\Quorum Business Solutions\Ecopetrol Prometeo - Documents\Planning Space Implementation\3. Analysis &amp; Design\Design\FC22\DRR Jaime\QUIFA-CAJÚA\Cajua\[CAJUA_CF_SEC_New_27-Feb-2024Rev3.xlsx]D-PSND'!</v>
      </c>
      <c r="G365" s="32" t="s">
        <v>59</v>
      </c>
      <c r="H365" s="33"/>
      <c r="I365" s="33"/>
      <c r="J365" s="37"/>
    </row>
    <row r="366" spans="1:10" x14ac:dyDescent="0.25">
      <c r="A366" s="32" t="s">
        <v>104</v>
      </c>
      <c r="B366" s="32">
        <f t="shared" ref="B366:B380" si="94">+B365+1</f>
        <v>2045</v>
      </c>
      <c r="C366" s="33" t="s">
        <v>51</v>
      </c>
      <c r="D366" s="34" t="s">
        <v>1999</v>
      </c>
      <c r="E366" s="35" t="str">
        <f t="shared" si="92"/>
        <v>PSND'!</v>
      </c>
      <c r="F366" s="34" t="str">
        <f t="shared" si="93"/>
        <v>C:\Users\jaime.benazar\Quorum Business Solutions\Ecopetrol Prometeo - Documents\Planning Space Implementation\3. Analysis &amp; Design\Design\FC22\DRR Jaime\QUIFA-CAJÚA\Cajua\[CAJUA_CF_SEC_New_27-Feb-2024Rev3.xlsx]D-PSND'!</v>
      </c>
      <c r="G366" s="32" t="s">
        <v>59</v>
      </c>
      <c r="H366" s="33"/>
      <c r="I366" s="33"/>
      <c r="J366" s="37"/>
    </row>
    <row r="367" spans="1:10" x14ac:dyDescent="0.25">
      <c r="A367" s="32" t="s">
        <v>104</v>
      </c>
      <c r="B367" s="32">
        <f t="shared" si="94"/>
        <v>2046</v>
      </c>
      <c r="C367" s="33" t="s">
        <v>51</v>
      </c>
      <c r="D367" s="34" t="s">
        <v>1999</v>
      </c>
      <c r="E367" s="35" t="str">
        <f t="shared" si="92"/>
        <v>PSND'!</v>
      </c>
      <c r="F367" s="34" t="str">
        <f t="shared" si="93"/>
        <v>C:\Users\jaime.benazar\Quorum Business Solutions\Ecopetrol Prometeo - Documents\Planning Space Implementation\3. Analysis &amp; Design\Design\FC22\DRR Jaime\QUIFA-CAJÚA\Cajua\[CAJUA_CF_SEC_New_27-Feb-2024Rev3.xlsx]D-PSND'!</v>
      </c>
      <c r="G367" s="32" t="s">
        <v>59</v>
      </c>
      <c r="H367" s="33"/>
      <c r="I367" s="33"/>
      <c r="J367" s="37"/>
    </row>
    <row r="368" spans="1:10" x14ac:dyDescent="0.25">
      <c r="A368" s="32" t="s">
        <v>104</v>
      </c>
      <c r="B368" s="32">
        <f t="shared" si="94"/>
        <v>2047</v>
      </c>
      <c r="C368" s="33" t="s">
        <v>51</v>
      </c>
      <c r="D368" s="34" t="s">
        <v>1999</v>
      </c>
      <c r="E368" s="35" t="str">
        <f t="shared" si="92"/>
        <v>PSND'!</v>
      </c>
      <c r="F368" s="34" t="str">
        <f t="shared" si="93"/>
        <v>C:\Users\jaime.benazar\Quorum Business Solutions\Ecopetrol Prometeo - Documents\Planning Space Implementation\3. Analysis &amp; Design\Design\FC22\DRR Jaime\QUIFA-CAJÚA\Cajua\[CAJUA_CF_SEC_New_27-Feb-2024Rev3.xlsx]D-PSND'!</v>
      </c>
      <c r="G368" s="32" t="s">
        <v>59</v>
      </c>
      <c r="H368" s="33"/>
      <c r="I368" s="33"/>
      <c r="J368" s="37"/>
    </row>
    <row r="369" spans="1:10" x14ac:dyDescent="0.25">
      <c r="A369" s="32" t="s">
        <v>104</v>
      </c>
      <c r="B369" s="32">
        <f t="shared" si="94"/>
        <v>2048</v>
      </c>
      <c r="C369" s="33" t="s">
        <v>51</v>
      </c>
      <c r="D369" s="34" t="s">
        <v>1999</v>
      </c>
      <c r="E369" s="35" t="str">
        <f t="shared" si="92"/>
        <v>PSND'!</v>
      </c>
      <c r="F369" s="34" t="str">
        <f t="shared" si="93"/>
        <v>C:\Users\jaime.benazar\Quorum Business Solutions\Ecopetrol Prometeo - Documents\Planning Space Implementation\3. Analysis &amp; Design\Design\FC22\DRR Jaime\QUIFA-CAJÚA\Cajua\[CAJUA_CF_SEC_New_27-Feb-2024Rev3.xlsx]D-PSND'!</v>
      </c>
      <c r="G369" s="32" t="s">
        <v>59</v>
      </c>
      <c r="H369" s="33"/>
      <c r="I369" s="33"/>
      <c r="J369" s="37"/>
    </row>
    <row r="370" spans="1:10" x14ac:dyDescent="0.25">
      <c r="A370" s="32" t="s">
        <v>104</v>
      </c>
      <c r="B370" s="32">
        <f t="shared" si="94"/>
        <v>2049</v>
      </c>
      <c r="C370" s="33" t="s">
        <v>51</v>
      </c>
      <c r="D370" s="34" t="s">
        <v>1999</v>
      </c>
      <c r="E370" s="35" t="str">
        <f t="shared" si="92"/>
        <v>PSND'!</v>
      </c>
      <c r="F370" s="34" t="str">
        <f t="shared" si="93"/>
        <v>C:\Users\jaime.benazar\Quorum Business Solutions\Ecopetrol Prometeo - Documents\Planning Space Implementation\3. Analysis &amp; Design\Design\FC22\DRR Jaime\QUIFA-CAJÚA\Cajua\[CAJUA_CF_SEC_New_27-Feb-2024Rev3.xlsx]D-PSND'!</v>
      </c>
      <c r="G370" s="32" t="s">
        <v>59</v>
      </c>
      <c r="H370" s="33"/>
      <c r="I370" s="33"/>
      <c r="J370" s="37"/>
    </row>
    <row r="371" spans="1:10" x14ac:dyDescent="0.25">
      <c r="A371" s="32" t="s">
        <v>104</v>
      </c>
      <c r="B371" s="32">
        <f t="shared" si="94"/>
        <v>2050</v>
      </c>
      <c r="C371" s="33" t="s">
        <v>51</v>
      </c>
      <c r="D371" s="34" t="s">
        <v>1999</v>
      </c>
      <c r="E371" s="35" t="str">
        <f t="shared" si="92"/>
        <v>PSND'!</v>
      </c>
      <c r="F371" s="34" t="str">
        <f t="shared" si="93"/>
        <v>C:\Users\jaime.benazar\Quorum Business Solutions\Ecopetrol Prometeo - Documents\Planning Space Implementation\3. Analysis &amp; Design\Design\FC22\DRR Jaime\QUIFA-CAJÚA\Cajua\[CAJUA_CF_SEC_New_27-Feb-2024Rev3.xlsx]D-PSND'!</v>
      </c>
      <c r="G371" s="32" t="s">
        <v>59</v>
      </c>
      <c r="H371" s="33"/>
      <c r="I371" s="33"/>
      <c r="J371" s="37"/>
    </row>
    <row r="372" spans="1:10" x14ac:dyDescent="0.25">
      <c r="A372" s="32" t="s">
        <v>104</v>
      </c>
      <c r="B372" s="32">
        <f t="shared" si="94"/>
        <v>2051</v>
      </c>
      <c r="C372" s="33" t="s">
        <v>51</v>
      </c>
      <c r="D372" s="34" t="s">
        <v>1999</v>
      </c>
      <c r="E372" s="35" t="str">
        <f t="shared" si="92"/>
        <v>PSND'!</v>
      </c>
      <c r="F372" s="34" t="str">
        <f t="shared" si="93"/>
        <v>C:\Users\jaime.benazar\Quorum Business Solutions\Ecopetrol Prometeo - Documents\Planning Space Implementation\3. Analysis &amp; Design\Design\FC22\DRR Jaime\QUIFA-CAJÚA\Cajua\[CAJUA_CF_SEC_New_27-Feb-2024Rev3.xlsx]D-PSND'!</v>
      </c>
      <c r="G372" s="32" t="s">
        <v>59</v>
      </c>
      <c r="H372" s="33"/>
      <c r="I372" s="33"/>
      <c r="J372" s="37"/>
    </row>
    <row r="373" spans="1:10" x14ac:dyDescent="0.25">
      <c r="A373" s="32" t="s">
        <v>104</v>
      </c>
      <c r="B373" s="32">
        <f t="shared" si="94"/>
        <v>2052</v>
      </c>
      <c r="C373" s="33" t="s">
        <v>51</v>
      </c>
      <c r="D373" s="34" t="s">
        <v>1999</v>
      </c>
      <c r="E373" s="35" t="str">
        <f t="shared" si="92"/>
        <v>PSND'!</v>
      </c>
      <c r="F373" s="34" t="str">
        <f t="shared" si="93"/>
        <v>C:\Users\jaime.benazar\Quorum Business Solutions\Ecopetrol Prometeo - Documents\Planning Space Implementation\3. Analysis &amp; Design\Design\FC22\DRR Jaime\QUIFA-CAJÚA\Cajua\[CAJUA_CF_SEC_New_27-Feb-2024Rev3.xlsx]D-PSND'!</v>
      </c>
      <c r="G373" s="32" t="s">
        <v>59</v>
      </c>
      <c r="H373" s="33"/>
      <c r="I373" s="33"/>
      <c r="J373" s="37"/>
    </row>
    <row r="374" spans="1:10" x14ac:dyDescent="0.25">
      <c r="A374" s="32" t="s">
        <v>104</v>
      </c>
      <c r="B374" s="32">
        <f t="shared" si="94"/>
        <v>2053</v>
      </c>
      <c r="C374" s="33" t="s">
        <v>51</v>
      </c>
      <c r="D374" s="34" t="s">
        <v>1999</v>
      </c>
      <c r="E374" s="35" t="str">
        <f t="shared" si="92"/>
        <v>PSND'!</v>
      </c>
      <c r="F374" s="34" t="str">
        <f t="shared" si="93"/>
        <v>C:\Users\jaime.benazar\Quorum Business Solutions\Ecopetrol Prometeo - Documents\Planning Space Implementation\3. Analysis &amp; Design\Design\FC22\DRR Jaime\QUIFA-CAJÚA\Cajua\[CAJUA_CF_SEC_New_27-Feb-2024Rev3.xlsx]D-PSND'!</v>
      </c>
      <c r="G374" s="32" t="s">
        <v>59</v>
      </c>
      <c r="H374" s="33"/>
      <c r="I374" s="33"/>
      <c r="J374" s="37"/>
    </row>
    <row r="375" spans="1:10" x14ac:dyDescent="0.25">
      <c r="A375" s="32" t="s">
        <v>104</v>
      </c>
      <c r="B375" s="32">
        <f t="shared" si="94"/>
        <v>2054</v>
      </c>
      <c r="C375" s="33" t="s">
        <v>51</v>
      </c>
      <c r="D375" s="34" t="s">
        <v>1999</v>
      </c>
      <c r="E375" s="35" t="str">
        <f t="shared" si="92"/>
        <v>PSND'!</v>
      </c>
      <c r="F375" s="34" t="str">
        <f t="shared" si="93"/>
        <v>C:\Users\jaime.benazar\Quorum Business Solutions\Ecopetrol Prometeo - Documents\Planning Space Implementation\3. Analysis &amp; Design\Design\FC22\DRR Jaime\QUIFA-CAJÚA\Cajua\[CAJUA_CF_SEC_New_27-Feb-2024Rev3.xlsx]D-PSND'!</v>
      </c>
      <c r="G375" s="32" t="s">
        <v>59</v>
      </c>
      <c r="H375" s="33"/>
      <c r="I375" s="33"/>
      <c r="J375" s="37"/>
    </row>
    <row r="376" spans="1:10" x14ac:dyDescent="0.25">
      <c r="A376" s="32" t="s">
        <v>104</v>
      </c>
      <c r="B376" s="32">
        <f t="shared" si="94"/>
        <v>2055</v>
      </c>
      <c r="C376" s="33" t="s">
        <v>51</v>
      </c>
      <c r="D376" s="34" t="s">
        <v>1999</v>
      </c>
      <c r="E376" s="35" t="str">
        <f t="shared" si="92"/>
        <v>PSND'!</v>
      </c>
      <c r="F376" s="34" t="str">
        <f t="shared" si="93"/>
        <v>C:\Users\jaime.benazar\Quorum Business Solutions\Ecopetrol Prometeo - Documents\Planning Space Implementation\3. Analysis &amp; Design\Design\FC22\DRR Jaime\QUIFA-CAJÚA\Cajua\[CAJUA_CF_SEC_New_27-Feb-2024Rev3.xlsx]D-PSND'!</v>
      </c>
      <c r="G376" s="32" t="s">
        <v>59</v>
      </c>
      <c r="H376" s="33"/>
      <c r="I376" s="33"/>
      <c r="J376" s="37"/>
    </row>
    <row r="377" spans="1:10" x14ac:dyDescent="0.25">
      <c r="A377" s="32" t="s">
        <v>104</v>
      </c>
      <c r="B377" s="32">
        <f t="shared" si="94"/>
        <v>2056</v>
      </c>
      <c r="C377" s="33" t="s">
        <v>51</v>
      </c>
      <c r="D377" s="34" t="s">
        <v>1999</v>
      </c>
      <c r="E377" s="35" t="str">
        <f t="shared" si="92"/>
        <v>PSND'!</v>
      </c>
      <c r="F377" s="34" t="str">
        <f t="shared" si="93"/>
        <v>C:\Users\jaime.benazar\Quorum Business Solutions\Ecopetrol Prometeo - Documents\Planning Space Implementation\3. Analysis &amp; Design\Design\FC22\DRR Jaime\QUIFA-CAJÚA\Cajua\[CAJUA_CF_SEC_New_27-Feb-2024Rev3.xlsx]D-PSND'!</v>
      </c>
      <c r="G377" s="32" t="s">
        <v>59</v>
      </c>
      <c r="H377" s="33"/>
      <c r="I377" s="33"/>
      <c r="J377" s="37"/>
    </row>
    <row r="378" spans="1:10" x14ac:dyDescent="0.25">
      <c r="A378" s="32" t="s">
        <v>104</v>
      </c>
      <c r="B378" s="32">
        <f t="shared" si="94"/>
        <v>2057</v>
      </c>
      <c r="C378" s="33" t="s">
        <v>51</v>
      </c>
      <c r="D378" s="34" t="s">
        <v>1999</v>
      </c>
      <c r="E378" s="35" t="str">
        <f t="shared" si="92"/>
        <v>PSND'!</v>
      </c>
      <c r="F378" s="34" t="str">
        <f t="shared" si="93"/>
        <v>C:\Users\jaime.benazar\Quorum Business Solutions\Ecopetrol Prometeo - Documents\Planning Space Implementation\3. Analysis &amp; Design\Design\FC22\DRR Jaime\QUIFA-CAJÚA\Cajua\[CAJUA_CF_SEC_New_27-Feb-2024Rev3.xlsx]D-PSND'!</v>
      </c>
      <c r="G378" s="32" t="s">
        <v>59</v>
      </c>
      <c r="H378" s="33"/>
      <c r="I378" s="33"/>
      <c r="J378" s="37"/>
    </row>
    <row r="379" spans="1:10" x14ac:dyDescent="0.25">
      <c r="A379" s="32" t="s">
        <v>104</v>
      </c>
      <c r="B379" s="32">
        <f t="shared" si="94"/>
        <v>2058</v>
      </c>
      <c r="C379" s="33" t="s">
        <v>51</v>
      </c>
      <c r="D379" s="34" t="s">
        <v>1999</v>
      </c>
      <c r="E379" s="35" t="str">
        <f t="shared" si="92"/>
        <v>PSND'!</v>
      </c>
      <c r="F379" s="34" t="str">
        <f t="shared" si="93"/>
        <v>C:\Users\jaime.benazar\Quorum Business Solutions\Ecopetrol Prometeo - Documents\Planning Space Implementation\3. Analysis &amp; Design\Design\FC22\DRR Jaime\QUIFA-CAJÚA\Cajua\[CAJUA_CF_SEC_New_27-Feb-2024Rev3.xlsx]D-PSND'!</v>
      </c>
      <c r="G379" s="32" t="s">
        <v>59</v>
      </c>
      <c r="H379" s="33"/>
      <c r="I379" s="33"/>
      <c r="J379" s="37"/>
    </row>
    <row r="380" spans="1:10" x14ac:dyDescent="0.25">
      <c r="A380" s="32" t="s">
        <v>104</v>
      </c>
      <c r="B380" s="32">
        <f t="shared" si="94"/>
        <v>2059</v>
      </c>
      <c r="C380" s="33" t="s">
        <v>51</v>
      </c>
      <c r="D380" s="34" t="s">
        <v>1999</v>
      </c>
      <c r="E380" s="35" t="str">
        <f t="shared" si="92"/>
        <v>PSND'!</v>
      </c>
      <c r="F380" s="34" t="str">
        <f t="shared" si="93"/>
        <v>C:\Users\jaime.benazar\Quorum Business Solutions\Ecopetrol Prometeo - Documents\Planning Space Implementation\3. Analysis &amp; Design\Design\FC22\DRR Jaime\QUIFA-CAJÚA\Cajua\[CAJUA_CF_SEC_New_27-Feb-2024Rev3.xlsx]D-PSND'!</v>
      </c>
      <c r="G380" s="32" t="s">
        <v>59</v>
      </c>
      <c r="H380" s="33"/>
      <c r="I380" s="33"/>
      <c r="J380" s="37"/>
    </row>
    <row r="381" spans="1:10" x14ac:dyDescent="0.25">
      <c r="A381" s="32" t="s">
        <v>28</v>
      </c>
      <c r="B381" s="32"/>
      <c r="C381" s="33" t="s">
        <v>51</v>
      </c>
      <c r="D381" s="34"/>
      <c r="E381" s="35"/>
      <c r="F381" s="34"/>
      <c r="G381" s="32"/>
      <c r="H381" s="33"/>
      <c r="I381" s="33"/>
      <c r="J381" s="33"/>
    </row>
    <row r="382" spans="1:10" x14ac:dyDescent="0.2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Jaime\QUIFA-CAJÚA\Cajua\[CAJUA_CF_SEC_New_27-Feb-2024Rev3.xlsx]D-PS'!</v>
      </c>
      <c r="G382" s="32" t="s">
        <v>59</v>
      </c>
      <c r="H382" s="33">
        <v>12</v>
      </c>
      <c r="I382" s="33" t="str">
        <f t="shared" si="31"/>
        <v>='C:\Users\jaime.benazar\Quorum Business Solutions\Ecopetrol Prometeo - Documents\Planning Space Implementation\3. Analysis &amp; Design\Design\FC22\DRR Jaime\QUIFA-CAJÚA\Cajua\[CAJUA_CF_SEC_New_27-Feb-2024Rev3.xlsx]D-PS'!$BB$12</v>
      </c>
      <c r="J382" s="37" t="s">
        <v>2148</v>
      </c>
    </row>
    <row r="383" spans="1:10" x14ac:dyDescent="0.2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Jaime\QUIFA-CAJÚA\Cajua\[CAJUA_CF_SEC_New_27-Feb-2024Rev3.xlsx]D-PS'!</v>
      </c>
      <c r="G383" s="32" t="s">
        <v>59</v>
      </c>
      <c r="H383" s="33">
        <f>IF(A383&lt;&gt;A382,12,H382+1)</f>
        <v>13</v>
      </c>
      <c r="I383" s="33" t="str">
        <f t="shared" si="31"/>
        <v>='C:\Users\jaime.benazar\Quorum Business Solutions\Ecopetrol Prometeo - Documents\Planning Space Implementation\3. Analysis &amp; Design\Design\FC22\DRR Jaime\QUIFA-CAJÚA\Cajua\[CAJUA_CF_SEC_New_27-Feb-2024Rev3.xlsx]D-PS'!$BB$13</v>
      </c>
      <c r="J383" s="37" t="s">
        <v>2149</v>
      </c>
    </row>
    <row r="384" spans="1:10" x14ac:dyDescent="0.25">
      <c r="A384" s="32" t="s">
        <v>34</v>
      </c>
      <c r="B384" s="32">
        <f t="shared" ref="B384:B395" si="95">+B383+1</f>
        <v>2025</v>
      </c>
      <c r="C384" s="33" t="s">
        <v>51</v>
      </c>
      <c r="D384" s="34" t="s">
        <v>1999</v>
      </c>
      <c r="E384" s="35" t="str">
        <f t="shared" si="29"/>
        <v>PS'!</v>
      </c>
      <c r="F384" s="34" t="str">
        <f t="shared" si="30"/>
        <v>C:\Users\jaime.benazar\Quorum Business Solutions\Ecopetrol Prometeo - Documents\Planning Space Implementation\3. Analysis &amp; Design\Design\FC22\DRR Jaime\QUIFA-CAJÚA\Cajua\[CAJUA_CF_SEC_New_27-Feb-2024Rev3.xlsx]D-PS'!</v>
      </c>
      <c r="G384" s="32" t="s">
        <v>59</v>
      </c>
      <c r="H384" s="33">
        <f t="shared" ref="H384:H402" si="96">IF(A384&lt;&gt;A383,12,H383+1)</f>
        <v>14</v>
      </c>
      <c r="I384" s="33" t="str">
        <f t="shared" si="31"/>
        <v>='C:\Users\jaime.benazar\Quorum Business Solutions\Ecopetrol Prometeo - Documents\Planning Space Implementation\3. Analysis &amp; Design\Design\FC22\DRR Jaime\QUIFA-CAJÚA\Cajua\[CAJUA_CF_SEC_New_27-Feb-2024Rev3.xlsx]D-PS'!$BB$14</v>
      </c>
      <c r="J384" s="37" t="s">
        <v>2150</v>
      </c>
    </row>
    <row r="385" spans="1:10" x14ac:dyDescent="0.25">
      <c r="A385" s="32" t="s">
        <v>34</v>
      </c>
      <c r="B385" s="32">
        <f t="shared" si="95"/>
        <v>2026</v>
      </c>
      <c r="C385" s="33" t="s">
        <v>51</v>
      </c>
      <c r="D385" s="34" t="s">
        <v>1999</v>
      </c>
      <c r="E385" s="35" t="str">
        <f t="shared" si="29"/>
        <v>PS'!</v>
      </c>
      <c r="F385" s="34" t="str">
        <f t="shared" si="30"/>
        <v>C:\Users\jaime.benazar\Quorum Business Solutions\Ecopetrol Prometeo - Documents\Planning Space Implementation\3. Analysis &amp; Design\Design\FC22\DRR Jaime\QUIFA-CAJÚA\Cajua\[CAJUA_CF_SEC_New_27-Feb-2024Rev3.xlsx]D-PS'!</v>
      </c>
      <c r="G385" s="32" t="s">
        <v>59</v>
      </c>
      <c r="H385" s="33">
        <f t="shared" si="96"/>
        <v>15</v>
      </c>
      <c r="I385" s="33" t="str">
        <f t="shared" si="31"/>
        <v>='C:\Users\jaime.benazar\Quorum Business Solutions\Ecopetrol Prometeo - Documents\Planning Space Implementation\3. Analysis &amp; Design\Design\FC22\DRR Jaime\QUIFA-CAJÚA\Cajua\[CAJUA_CF_SEC_New_27-Feb-2024Rev3.xlsx]D-PS'!$BB$15</v>
      </c>
      <c r="J385" s="37" t="s">
        <v>2151</v>
      </c>
    </row>
    <row r="386" spans="1:10" x14ac:dyDescent="0.25">
      <c r="A386" s="32" t="s">
        <v>34</v>
      </c>
      <c r="B386" s="32">
        <f t="shared" si="95"/>
        <v>2027</v>
      </c>
      <c r="C386" s="33" t="s">
        <v>51</v>
      </c>
      <c r="D386" s="34" t="s">
        <v>1999</v>
      </c>
      <c r="E386" s="35" t="str">
        <f t="shared" si="29"/>
        <v>PS'!</v>
      </c>
      <c r="F386" s="34" t="str">
        <f t="shared" si="30"/>
        <v>C:\Users\jaime.benazar\Quorum Business Solutions\Ecopetrol Prometeo - Documents\Planning Space Implementation\3. Analysis &amp; Design\Design\FC22\DRR Jaime\QUIFA-CAJÚA\Cajua\[CAJUA_CF_SEC_New_27-Feb-2024Rev3.xlsx]D-PS'!</v>
      </c>
      <c r="G386" s="32" t="s">
        <v>59</v>
      </c>
      <c r="H386" s="33">
        <f t="shared" si="96"/>
        <v>16</v>
      </c>
      <c r="I386" s="33" t="str">
        <f t="shared" si="31"/>
        <v>='C:\Users\jaime.benazar\Quorum Business Solutions\Ecopetrol Prometeo - Documents\Planning Space Implementation\3. Analysis &amp; Design\Design\FC22\DRR Jaime\QUIFA-CAJÚA\Cajua\[CAJUA_CF_SEC_New_27-Feb-2024Rev3.xlsx]D-PS'!$BB$16</v>
      </c>
      <c r="J386" s="37" t="s">
        <v>2152</v>
      </c>
    </row>
    <row r="387" spans="1:10" x14ac:dyDescent="0.25">
      <c r="A387" s="32" t="s">
        <v>34</v>
      </c>
      <c r="B387" s="32">
        <f t="shared" si="95"/>
        <v>2028</v>
      </c>
      <c r="C387" s="33" t="s">
        <v>51</v>
      </c>
      <c r="D387" s="34" t="s">
        <v>1999</v>
      </c>
      <c r="E387" s="35" t="str">
        <f t="shared" si="29"/>
        <v>PS'!</v>
      </c>
      <c r="F387" s="34" t="str">
        <f t="shared" si="30"/>
        <v>C:\Users\jaime.benazar\Quorum Business Solutions\Ecopetrol Prometeo - Documents\Planning Space Implementation\3. Analysis &amp; Design\Design\FC22\DRR Jaime\QUIFA-CAJÚA\Cajua\[CAJUA_CF_SEC_New_27-Feb-2024Rev3.xlsx]D-PS'!</v>
      </c>
      <c r="G387" s="32" t="s">
        <v>59</v>
      </c>
      <c r="H387" s="33">
        <f t="shared" si="96"/>
        <v>17</v>
      </c>
      <c r="I387" s="33" t="str">
        <f t="shared" si="31"/>
        <v>='C:\Users\jaime.benazar\Quorum Business Solutions\Ecopetrol Prometeo - Documents\Planning Space Implementation\3. Analysis &amp; Design\Design\FC22\DRR Jaime\QUIFA-CAJÚA\Cajua\[CAJUA_CF_SEC_New_27-Feb-2024Rev3.xlsx]D-PS'!$BB$17</v>
      </c>
      <c r="J387" s="37" t="s">
        <v>2153</v>
      </c>
    </row>
    <row r="388" spans="1:10" x14ac:dyDescent="0.25">
      <c r="A388" s="32" t="s">
        <v>34</v>
      </c>
      <c r="B388" s="32">
        <f t="shared" si="95"/>
        <v>2029</v>
      </c>
      <c r="C388" s="33" t="s">
        <v>51</v>
      </c>
      <c r="D388" s="34" t="s">
        <v>1999</v>
      </c>
      <c r="E388" s="35" t="str">
        <f t="shared" si="29"/>
        <v>PS'!</v>
      </c>
      <c r="F388" s="34" t="str">
        <f t="shared" si="30"/>
        <v>C:\Users\jaime.benazar\Quorum Business Solutions\Ecopetrol Prometeo - Documents\Planning Space Implementation\3. Analysis &amp; Design\Design\FC22\DRR Jaime\QUIFA-CAJÚA\Cajua\[CAJUA_CF_SEC_New_27-Feb-2024Rev3.xlsx]D-PS'!</v>
      </c>
      <c r="G388" s="32" t="s">
        <v>59</v>
      </c>
      <c r="H388" s="33">
        <f t="shared" si="96"/>
        <v>18</v>
      </c>
      <c r="I388" s="33" t="str">
        <f t="shared" si="31"/>
        <v>='C:\Users\jaime.benazar\Quorum Business Solutions\Ecopetrol Prometeo - Documents\Planning Space Implementation\3. Analysis &amp; Design\Design\FC22\DRR Jaime\QUIFA-CAJÚA\Cajua\[CAJUA_CF_SEC_New_27-Feb-2024Rev3.xlsx]D-PS'!$BB$18</v>
      </c>
      <c r="J388" s="37" t="s">
        <v>2154</v>
      </c>
    </row>
    <row r="389" spans="1:10" x14ac:dyDescent="0.25">
      <c r="A389" s="32" t="s">
        <v>34</v>
      </c>
      <c r="B389" s="32">
        <f t="shared" si="95"/>
        <v>2030</v>
      </c>
      <c r="C389" s="33" t="s">
        <v>51</v>
      </c>
      <c r="D389" s="34" t="s">
        <v>1999</v>
      </c>
      <c r="E389" s="35" t="str">
        <f t="shared" si="29"/>
        <v>PS'!</v>
      </c>
      <c r="F389" s="34" t="str">
        <f t="shared" si="30"/>
        <v>C:\Users\jaime.benazar\Quorum Business Solutions\Ecopetrol Prometeo - Documents\Planning Space Implementation\3. Analysis &amp; Design\Design\FC22\DRR Jaime\QUIFA-CAJÚA\Cajua\[CAJUA_CF_SEC_New_27-Feb-2024Rev3.xlsx]D-PS'!</v>
      </c>
      <c r="G389" s="32" t="s">
        <v>59</v>
      </c>
      <c r="H389" s="33">
        <f t="shared" si="96"/>
        <v>19</v>
      </c>
      <c r="I389" s="33" t="str">
        <f t="shared" si="31"/>
        <v>='C:\Users\jaime.benazar\Quorum Business Solutions\Ecopetrol Prometeo - Documents\Planning Space Implementation\3. Analysis &amp; Design\Design\FC22\DRR Jaime\QUIFA-CAJÚA\Cajua\[CAJUA_CF_SEC_New_27-Feb-2024Rev3.xlsx]D-PS'!$BB$19</v>
      </c>
      <c r="J389" s="37" t="s">
        <v>2155</v>
      </c>
    </row>
    <row r="390" spans="1:10" x14ac:dyDescent="0.25">
      <c r="A390" s="32" t="s">
        <v>34</v>
      </c>
      <c r="B390" s="32">
        <f t="shared" si="95"/>
        <v>2031</v>
      </c>
      <c r="C390" s="33" t="s">
        <v>51</v>
      </c>
      <c r="D390" s="34" t="s">
        <v>1999</v>
      </c>
      <c r="E390" s="35" t="str">
        <f t="shared" si="29"/>
        <v>PS'!</v>
      </c>
      <c r="F390" s="34" t="str">
        <f t="shared" si="30"/>
        <v>C:\Users\jaime.benazar\Quorum Business Solutions\Ecopetrol Prometeo - Documents\Planning Space Implementation\3. Analysis &amp; Design\Design\FC22\DRR Jaime\QUIFA-CAJÚA\Cajua\[CAJUA_CF_SEC_New_27-Feb-2024Rev3.xlsx]D-PS'!</v>
      </c>
      <c r="G390" s="32" t="s">
        <v>59</v>
      </c>
      <c r="H390" s="33">
        <f t="shared" si="96"/>
        <v>20</v>
      </c>
      <c r="I390" s="33" t="str">
        <f t="shared" si="31"/>
        <v>='C:\Users\jaime.benazar\Quorum Business Solutions\Ecopetrol Prometeo - Documents\Planning Space Implementation\3. Analysis &amp; Design\Design\FC22\DRR Jaime\QUIFA-CAJÚA\Cajua\[CAJUA_CF_SEC_New_27-Feb-2024Rev3.xlsx]D-PS'!$BB$20</v>
      </c>
      <c r="J390" s="37" t="s">
        <v>2156</v>
      </c>
    </row>
    <row r="391" spans="1:10" x14ac:dyDescent="0.25">
      <c r="A391" s="32" t="s">
        <v>34</v>
      </c>
      <c r="B391" s="32">
        <f t="shared" si="95"/>
        <v>2032</v>
      </c>
      <c r="C391" s="33" t="s">
        <v>51</v>
      </c>
      <c r="D391" s="34" t="s">
        <v>1999</v>
      </c>
      <c r="E391" s="35" t="str">
        <f t="shared" si="29"/>
        <v>PS'!</v>
      </c>
      <c r="F391" s="34" t="str">
        <f t="shared" si="30"/>
        <v>C:\Users\jaime.benazar\Quorum Business Solutions\Ecopetrol Prometeo - Documents\Planning Space Implementation\3. Analysis &amp; Design\Design\FC22\DRR Jaime\QUIFA-CAJÚA\Cajua\[CAJUA_CF_SEC_New_27-Feb-2024Rev3.xlsx]D-PS'!</v>
      </c>
      <c r="G391" s="32" t="s">
        <v>59</v>
      </c>
      <c r="H391" s="33">
        <f t="shared" si="96"/>
        <v>21</v>
      </c>
      <c r="I391" s="33" t="str">
        <f t="shared" si="31"/>
        <v>='C:\Users\jaime.benazar\Quorum Business Solutions\Ecopetrol Prometeo - Documents\Planning Space Implementation\3. Analysis &amp; Design\Design\FC22\DRR Jaime\QUIFA-CAJÚA\Cajua\[CAJUA_CF_SEC_New_27-Feb-2024Rev3.xlsx]D-PS'!$BB$21</v>
      </c>
      <c r="J391" s="37" t="s">
        <v>2157</v>
      </c>
    </row>
    <row r="392" spans="1:10" x14ac:dyDescent="0.25">
      <c r="A392" s="32" t="s">
        <v>34</v>
      </c>
      <c r="B392" s="32">
        <f t="shared" si="95"/>
        <v>2033</v>
      </c>
      <c r="C392" s="33" t="s">
        <v>51</v>
      </c>
      <c r="D392" s="34" t="s">
        <v>1999</v>
      </c>
      <c r="E392" s="35" t="str">
        <f t="shared" si="29"/>
        <v>PS'!</v>
      </c>
      <c r="F392" s="34" t="str">
        <f t="shared" si="30"/>
        <v>C:\Users\jaime.benazar\Quorum Business Solutions\Ecopetrol Prometeo - Documents\Planning Space Implementation\3. Analysis &amp; Design\Design\FC22\DRR Jaime\QUIFA-CAJÚA\Cajua\[CAJUA_CF_SEC_New_27-Feb-2024Rev3.xlsx]D-PS'!</v>
      </c>
      <c r="G392" s="32" t="s">
        <v>59</v>
      </c>
      <c r="H392" s="33">
        <f t="shared" si="96"/>
        <v>22</v>
      </c>
      <c r="I392" s="33" t="str">
        <f t="shared" si="31"/>
        <v>='C:\Users\jaime.benazar\Quorum Business Solutions\Ecopetrol Prometeo - Documents\Planning Space Implementation\3. Analysis &amp; Design\Design\FC22\DRR Jaime\QUIFA-CAJÚA\Cajua\[CAJUA_CF_SEC_New_27-Feb-2024Rev3.xlsx]D-PS'!$BB$22</v>
      </c>
      <c r="J392" s="37" t="s">
        <v>2158</v>
      </c>
    </row>
    <row r="393" spans="1:10" x14ac:dyDescent="0.25">
      <c r="A393" s="32" t="s">
        <v>34</v>
      </c>
      <c r="B393" s="32">
        <f t="shared" si="95"/>
        <v>2034</v>
      </c>
      <c r="C393" s="33" t="s">
        <v>51</v>
      </c>
      <c r="D393" s="34" t="s">
        <v>1999</v>
      </c>
      <c r="E393" s="35" t="str">
        <f t="shared" si="29"/>
        <v>PS'!</v>
      </c>
      <c r="F393" s="34" t="str">
        <f t="shared" si="30"/>
        <v>C:\Users\jaime.benazar\Quorum Business Solutions\Ecopetrol Prometeo - Documents\Planning Space Implementation\3. Analysis &amp; Design\Design\FC22\DRR Jaime\QUIFA-CAJÚA\Cajua\[CAJUA_CF_SEC_New_27-Feb-2024Rev3.xlsx]D-PS'!</v>
      </c>
      <c r="G393" s="32" t="s">
        <v>59</v>
      </c>
      <c r="H393" s="33">
        <f t="shared" si="96"/>
        <v>23</v>
      </c>
      <c r="I393" s="33" t="str">
        <f t="shared" si="31"/>
        <v>='C:\Users\jaime.benazar\Quorum Business Solutions\Ecopetrol Prometeo - Documents\Planning Space Implementation\3. Analysis &amp; Design\Design\FC22\DRR Jaime\QUIFA-CAJÚA\Cajua\[CAJUA_CF_SEC_New_27-Feb-2024Rev3.xlsx]D-PS'!$BB$23</v>
      </c>
      <c r="J393" s="37" t="s">
        <v>2159</v>
      </c>
    </row>
    <row r="394" spans="1:10" x14ac:dyDescent="0.25">
      <c r="A394" s="32" t="s">
        <v>34</v>
      </c>
      <c r="B394" s="32">
        <f t="shared" si="95"/>
        <v>2035</v>
      </c>
      <c r="C394" s="33" t="s">
        <v>51</v>
      </c>
      <c r="D394" s="34" t="s">
        <v>1999</v>
      </c>
      <c r="E394" s="35" t="str">
        <f t="shared" si="29"/>
        <v>PS'!</v>
      </c>
      <c r="F394" s="34" t="str">
        <f t="shared" si="30"/>
        <v>C:\Users\jaime.benazar\Quorum Business Solutions\Ecopetrol Prometeo - Documents\Planning Space Implementation\3. Analysis &amp; Design\Design\FC22\DRR Jaime\QUIFA-CAJÚA\Cajua\[CAJUA_CF_SEC_New_27-Feb-2024Rev3.xlsx]D-PS'!</v>
      </c>
      <c r="G394" s="32" t="s">
        <v>59</v>
      </c>
      <c r="H394" s="33">
        <f t="shared" si="96"/>
        <v>24</v>
      </c>
      <c r="I394" s="33" t="str">
        <f t="shared" si="31"/>
        <v>='C:\Users\jaime.benazar\Quorum Business Solutions\Ecopetrol Prometeo - Documents\Planning Space Implementation\3. Analysis &amp; Design\Design\FC22\DRR Jaime\QUIFA-CAJÚA\Cajua\[CAJUA_CF_SEC_New_27-Feb-2024Rev3.xlsx]D-PS'!$BB$24</v>
      </c>
      <c r="J394" s="37" t="s">
        <v>2160</v>
      </c>
    </row>
    <row r="395" spans="1:10" x14ac:dyDescent="0.25">
      <c r="A395" s="32" t="s">
        <v>34</v>
      </c>
      <c r="B395" s="32">
        <f t="shared" si="95"/>
        <v>2036</v>
      </c>
      <c r="C395" s="33" t="s">
        <v>51</v>
      </c>
      <c r="D395" s="34" t="s">
        <v>1999</v>
      </c>
      <c r="E395" s="35" t="str">
        <f t="shared" si="29"/>
        <v>PS'!</v>
      </c>
      <c r="F395" s="34" t="str">
        <f t="shared" si="30"/>
        <v>C:\Users\jaime.benazar\Quorum Business Solutions\Ecopetrol Prometeo - Documents\Planning Space Implementation\3. Analysis &amp; Design\Design\FC22\DRR Jaime\QUIFA-CAJÚA\Cajua\[CAJUA_CF_SEC_New_27-Feb-2024Rev3.xlsx]D-PS'!</v>
      </c>
      <c r="G395" s="32" t="s">
        <v>59</v>
      </c>
      <c r="H395" s="33">
        <f t="shared" si="96"/>
        <v>25</v>
      </c>
      <c r="I395" s="33" t="str">
        <f t="shared" si="31"/>
        <v>='C:\Users\jaime.benazar\Quorum Business Solutions\Ecopetrol Prometeo - Documents\Planning Space Implementation\3. Analysis &amp; Design\Design\FC22\DRR Jaime\QUIFA-CAJÚA\Cajua\[CAJUA_CF_SEC_New_27-Feb-2024Rev3.xlsx]D-PS'!$BB$25</v>
      </c>
      <c r="J395" s="37" t="s">
        <v>2161</v>
      </c>
    </row>
    <row r="396" spans="1:10" x14ac:dyDescent="0.2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Jaime\QUIFA-CAJÚA\Cajua\[CAJUA_CF_SEC_New_27-Feb-2024Rev3.xlsx]D-PS'!</v>
      </c>
      <c r="G396" s="32" t="s">
        <v>59</v>
      </c>
      <c r="H396" s="33">
        <f t="shared" si="96"/>
        <v>26</v>
      </c>
      <c r="I396" s="33" t="str">
        <f t="shared" si="31"/>
        <v>='C:\Users\jaime.benazar\Quorum Business Solutions\Ecopetrol Prometeo - Documents\Planning Space Implementation\3. Analysis &amp; Design\Design\FC22\DRR Jaime\QUIFA-CAJÚA\Cajua\[CAJUA_CF_SEC_New_27-Feb-2024Rev3.xlsx]D-PS'!$BB$26</v>
      </c>
      <c r="J396" s="37" t="s">
        <v>2162</v>
      </c>
    </row>
    <row r="397" spans="1:10" x14ac:dyDescent="0.25">
      <c r="A397" s="32" t="s">
        <v>34</v>
      </c>
      <c r="B397" s="32">
        <f t="shared" ref="B397:B399" si="97">+B396+1</f>
        <v>2038</v>
      </c>
      <c r="C397" s="33" t="s">
        <v>51</v>
      </c>
      <c r="D397" s="34" t="s">
        <v>1999</v>
      </c>
      <c r="E397" s="35" t="str">
        <f t="shared" si="29"/>
        <v>PS'!</v>
      </c>
      <c r="F397" s="34" t="str">
        <f t="shared" si="30"/>
        <v>C:\Users\jaime.benazar\Quorum Business Solutions\Ecopetrol Prometeo - Documents\Planning Space Implementation\3. Analysis &amp; Design\Design\FC22\DRR Jaime\QUIFA-CAJÚA\Cajua\[CAJUA_CF_SEC_New_27-Feb-2024Rev3.xlsx]D-PS'!</v>
      </c>
      <c r="G397" s="32" t="s">
        <v>59</v>
      </c>
      <c r="H397" s="33">
        <f t="shared" si="96"/>
        <v>27</v>
      </c>
      <c r="I397" s="33" t="str">
        <f t="shared" si="31"/>
        <v>='C:\Users\jaime.benazar\Quorum Business Solutions\Ecopetrol Prometeo - Documents\Planning Space Implementation\3. Analysis &amp; Design\Design\FC22\DRR Jaime\QUIFA-CAJÚA\Cajua\[CAJUA_CF_SEC_New_27-Feb-2024Rev3.xlsx]D-PS'!$BB$27</v>
      </c>
      <c r="J397" s="37" t="s">
        <v>2163</v>
      </c>
    </row>
    <row r="398" spans="1:10" x14ac:dyDescent="0.25">
      <c r="A398" s="32" t="s">
        <v>34</v>
      </c>
      <c r="B398" s="32">
        <f t="shared" si="97"/>
        <v>2039</v>
      </c>
      <c r="C398" s="33" t="s">
        <v>51</v>
      </c>
      <c r="D398" s="34" t="s">
        <v>1999</v>
      </c>
      <c r="E398" s="35" t="str">
        <f t="shared" si="29"/>
        <v>PS'!</v>
      </c>
      <c r="F398" s="34" t="str">
        <f t="shared" si="30"/>
        <v>C:\Users\jaime.benazar\Quorum Business Solutions\Ecopetrol Prometeo - Documents\Planning Space Implementation\3. Analysis &amp; Design\Design\FC22\DRR Jaime\QUIFA-CAJÚA\Cajua\[CAJUA_CF_SEC_New_27-Feb-2024Rev3.xlsx]D-PS'!</v>
      </c>
      <c r="G398" s="32" t="s">
        <v>59</v>
      </c>
      <c r="H398" s="33">
        <f t="shared" si="96"/>
        <v>28</v>
      </c>
      <c r="I398" s="33" t="str">
        <f t="shared" si="31"/>
        <v>='C:\Users\jaime.benazar\Quorum Business Solutions\Ecopetrol Prometeo - Documents\Planning Space Implementation\3. Analysis &amp; Design\Design\FC22\DRR Jaime\QUIFA-CAJÚA\Cajua\[CAJUA_CF_SEC_New_27-Feb-2024Rev3.xlsx]D-PS'!$BB$28</v>
      </c>
      <c r="J398" s="37" t="s">
        <v>2164</v>
      </c>
    </row>
    <row r="399" spans="1:10" x14ac:dyDescent="0.25">
      <c r="A399" s="32" t="s">
        <v>34</v>
      </c>
      <c r="B399" s="32">
        <f t="shared" si="97"/>
        <v>2040</v>
      </c>
      <c r="C399" s="33" t="s">
        <v>51</v>
      </c>
      <c r="D399" s="34" t="s">
        <v>1999</v>
      </c>
      <c r="E399" s="35" t="str">
        <f t="shared" si="29"/>
        <v>PS'!</v>
      </c>
      <c r="F399" s="34" t="str">
        <f t="shared" si="30"/>
        <v>C:\Users\jaime.benazar\Quorum Business Solutions\Ecopetrol Prometeo - Documents\Planning Space Implementation\3. Analysis &amp; Design\Design\FC22\DRR Jaime\QUIFA-CAJÚA\Cajua\[CAJUA_CF_SEC_New_27-Feb-2024Rev3.xlsx]D-PS'!</v>
      </c>
      <c r="G399" s="32" t="s">
        <v>59</v>
      </c>
      <c r="H399" s="33">
        <f t="shared" si="96"/>
        <v>29</v>
      </c>
      <c r="I399" s="33" t="str">
        <f t="shared" si="31"/>
        <v>='C:\Users\jaime.benazar\Quorum Business Solutions\Ecopetrol Prometeo - Documents\Planning Space Implementation\3. Analysis &amp; Design\Design\FC22\DRR Jaime\QUIFA-CAJÚA\Cajua\[CAJUA_CF_SEC_New_27-Feb-2024Rev3.xlsx]D-PS'!$BB$29</v>
      </c>
      <c r="J399" s="37" t="s">
        <v>2165</v>
      </c>
    </row>
    <row r="400" spans="1:10" x14ac:dyDescent="0.2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Jaime\QUIFA-CAJÚA\Cajua\[CAJUA_CF_SEC_New_27-Feb-2024Rev3.xlsx]D-PS'!</v>
      </c>
      <c r="G400" s="32" t="s">
        <v>59</v>
      </c>
      <c r="H400" s="33">
        <f t="shared" si="96"/>
        <v>30</v>
      </c>
      <c r="I400" s="33" t="str">
        <f t="shared" si="31"/>
        <v>='C:\Users\jaime.benazar\Quorum Business Solutions\Ecopetrol Prometeo - Documents\Planning Space Implementation\3. Analysis &amp; Design\Design\FC22\DRR Jaime\QUIFA-CAJÚA\Cajua\[CAJUA_CF_SEC_New_27-Feb-2024Rev3.xlsx]D-PS'!$BB$30</v>
      </c>
      <c r="J400" s="37" t="s">
        <v>2166</v>
      </c>
    </row>
    <row r="401" spans="1:10" x14ac:dyDescent="0.25">
      <c r="A401" s="32" t="s">
        <v>34</v>
      </c>
      <c r="B401" s="32">
        <f t="shared" ref="B401:B402" si="98">+B400+1</f>
        <v>2042</v>
      </c>
      <c r="C401" s="33" t="s">
        <v>51</v>
      </c>
      <c r="D401" s="34" t="s">
        <v>1999</v>
      </c>
      <c r="E401" s="35" t="str">
        <f t="shared" si="29"/>
        <v>PS'!</v>
      </c>
      <c r="F401" s="34" t="str">
        <f t="shared" si="30"/>
        <v>C:\Users\jaime.benazar\Quorum Business Solutions\Ecopetrol Prometeo - Documents\Planning Space Implementation\3. Analysis &amp; Design\Design\FC22\DRR Jaime\QUIFA-CAJÚA\Cajua\[CAJUA_CF_SEC_New_27-Feb-2024Rev3.xlsx]D-PS'!</v>
      </c>
      <c r="G401" s="32" t="s">
        <v>59</v>
      </c>
      <c r="H401" s="33">
        <f t="shared" si="96"/>
        <v>31</v>
      </c>
      <c r="I401" s="33" t="str">
        <f t="shared" si="31"/>
        <v>='C:\Users\jaime.benazar\Quorum Business Solutions\Ecopetrol Prometeo - Documents\Planning Space Implementation\3. Analysis &amp; Design\Design\FC22\DRR Jaime\QUIFA-CAJÚA\Cajua\[CAJUA_CF_SEC_New_27-Feb-2024Rev3.xlsx]D-PS'!$BB$31</v>
      </c>
      <c r="J401" s="37" t="s">
        <v>2167</v>
      </c>
    </row>
    <row r="402" spans="1:10" x14ac:dyDescent="0.25">
      <c r="A402" s="32" t="s">
        <v>34</v>
      </c>
      <c r="B402" s="32">
        <f t="shared" si="98"/>
        <v>2043</v>
      </c>
      <c r="C402" s="33" t="s">
        <v>51</v>
      </c>
      <c r="D402" s="34" t="s">
        <v>1999</v>
      </c>
      <c r="E402" s="35" t="str">
        <f t="shared" si="29"/>
        <v>PS'!</v>
      </c>
      <c r="F402" s="34" t="str">
        <f t="shared" si="30"/>
        <v>C:\Users\jaime.benazar\Quorum Business Solutions\Ecopetrol Prometeo - Documents\Planning Space Implementation\3. Analysis &amp; Design\Design\FC22\DRR Jaime\QUIFA-CAJÚA\Cajua\[CAJUA_CF_SEC_New_27-Feb-2024Rev3.xlsx]D-PS'!</v>
      </c>
      <c r="G402" s="32" t="s">
        <v>59</v>
      </c>
      <c r="H402" s="33">
        <f t="shared" si="96"/>
        <v>32</v>
      </c>
      <c r="I402" s="33" t="str">
        <f t="shared" si="31"/>
        <v>='C:\Users\jaime.benazar\Quorum Business Solutions\Ecopetrol Prometeo - Documents\Planning Space Implementation\3. Analysis &amp; Design\Design\FC22\DRR Jaime\QUIFA-CAJÚA\Cajua\[CAJUA_CF_SEC_New_27-Feb-2024Rev3.xlsx]D-PS'!$BB$32</v>
      </c>
      <c r="J402" s="37" t="s">
        <v>2168</v>
      </c>
    </row>
    <row r="403" spans="1:10" x14ac:dyDescent="0.25">
      <c r="A403" s="32" t="s">
        <v>34</v>
      </c>
      <c r="B403" s="32">
        <f>+B402+1</f>
        <v>2044</v>
      </c>
      <c r="C403" s="33" t="s">
        <v>51</v>
      </c>
      <c r="D403" s="34" t="s">
        <v>1999</v>
      </c>
      <c r="E403" s="35" t="str">
        <f t="shared" ref="E403:E418" si="99">_xlfn.CONCAT(A403,"'!")</f>
        <v>PS'!</v>
      </c>
      <c r="F403" s="34" t="str">
        <f t="shared" ref="F403:F418" si="100">_xlfn.CONCAT(D403:E403)</f>
        <v>C:\Users\jaime.benazar\Quorum Business Solutions\Ecopetrol Prometeo - Documents\Planning Space Implementation\3. Analysis &amp; Design\Design\FC22\DRR Jaime\QUIFA-CAJÚA\Cajua\[CAJUA_CF_SEC_New_27-Feb-2024Rev3.xlsx]D-PS'!</v>
      </c>
      <c r="G403" s="32" t="s">
        <v>59</v>
      </c>
      <c r="H403" s="33">
        <f t="shared" ref="H403:H418" si="101">IF(A403&lt;&gt;A402,12,H402+1)</f>
        <v>33</v>
      </c>
      <c r="I403" s="33" t="str">
        <f t="shared" ref="I403:I418" si="102">_xlfn.CONCAT("='",F403:H403)</f>
        <v>='C:\Users\jaime.benazar\Quorum Business Solutions\Ecopetrol Prometeo - Documents\Planning Space Implementation\3. Analysis &amp; Design\Design\FC22\DRR Jaime\QUIFA-CAJÚA\Cajua\[CAJUA_CF_SEC_New_27-Feb-2024Rev3.xlsx]D-PS'!$BB$33</v>
      </c>
      <c r="J403" s="37" t="s">
        <v>2169</v>
      </c>
    </row>
    <row r="404" spans="1:10" x14ac:dyDescent="0.25">
      <c r="A404" s="32" t="s">
        <v>34</v>
      </c>
      <c r="B404" s="32">
        <f t="shared" ref="B404:B418" si="103">+B403+1</f>
        <v>2045</v>
      </c>
      <c r="C404" s="33" t="s">
        <v>51</v>
      </c>
      <c r="D404" s="34" t="s">
        <v>1999</v>
      </c>
      <c r="E404" s="35" t="str">
        <f t="shared" si="99"/>
        <v>PS'!</v>
      </c>
      <c r="F404" s="34" t="str">
        <f t="shared" si="100"/>
        <v>C:\Users\jaime.benazar\Quorum Business Solutions\Ecopetrol Prometeo - Documents\Planning Space Implementation\3. Analysis &amp; Design\Design\FC22\DRR Jaime\QUIFA-CAJÚA\Cajua\[CAJUA_CF_SEC_New_27-Feb-2024Rev3.xlsx]D-PS'!</v>
      </c>
      <c r="G404" s="32" t="s">
        <v>59</v>
      </c>
      <c r="H404" s="33">
        <f t="shared" si="101"/>
        <v>34</v>
      </c>
      <c r="I404" s="33" t="str">
        <f t="shared" si="102"/>
        <v>='C:\Users\jaime.benazar\Quorum Business Solutions\Ecopetrol Prometeo - Documents\Planning Space Implementation\3. Analysis &amp; Design\Design\FC22\DRR Jaime\QUIFA-CAJÚA\Cajua\[CAJUA_CF_SEC_New_27-Feb-2024Rev3.xlsx]D-PS'!$BB$34</v>
      </c>
      <c r="J404" s="37" t="s">
        <v>2170</v>
      </c>
    </row>
    <row r="405" spans="1:10" x14ac:dyDescent="0.25">
      <c r="A405" s="32" t="s">
        <v>34</v>
      </c>
      <c r="B405" s="32">
        <f t="shared" si="103"/>
        <v>2046</v>
      </c>
      <c r="C405" s="33" t="s">
        <v>51</v>
      </c>
      <c r="D405" s="34" t="s">
        <v>1999</v>
      </c>
      <c r="E405" s="35" t="str">
        <f t="shared" si="99"/>
        <v>PS'!</v>
      </c>
      <c r="F405" s="34" t="str">
        <f t="shared" si="100"/>
        <v>C:\Users\jaime.benazar\Quorum Business Solutions\Ecopetrol Prometeo - Documents\Planning Space Implementation\3. Analysis &amp; Design\Design\FC22\DRR Jaime\QUIFA-CAJÚA\Cajua\[CAJUA_CF_SEC_New_27-Feb-2024Rev3.xlsx]D-PS'!</v>
      </c>
      <c r="G405" s="32" t="s">
        <v>59</v>
      </c>
      <c r="H405" s="33">
        <f t="shared" si="101"/>
        <v>35</v>
      </c>
      <c r="I405" s="33" t="str">
        <f t="shared" si="102"/>
        <v>='C:\Users\jaime.benazar\Quorum Business Solutions\Ecopetrol Prometeo - Documents\Planning Space Implementation\3. Analysis &amp; Design\Design\FC22\DRR Jaime\QUIFA-CAJÚA\Cajua\[CAJUA_CF_SEC_New_27-Feb-2024Rev3.xlsx]D-PS'!$BB$35</v>
      </c>
      <c r="J405" s="37" t="s">
        <v>2171</v>
      </c>
    </row>
    <row r="406" spans="1:10" x14ac:dyDescent="0.25">
      <c r="A406" s="32" t="s">
        <v>34</v>
      </c>
      <c r="B406" s="32">
        <f t="shared" si="103"/>
        <v>2047</v>
      </c>
      <c r="C406" s="33" t="s">
        <v>51</v>
      </c>
      <c r="D406" s="34" t="s">
        <v>1999</v>
      </c>
      <c r="E406" s="35" t="str">
        <f t="shared" si="99"/>
        <v>PS'!</v>
      </c>
      <c r="F406" s="34" t="str">
        <f t="shared" si="100"/>
        <v>C:\Users\jaime.benazar\Quorum Business Solutions\Ecopetrol Prometeo - Documents\Planning Space Implementation\3. Analysis &amp; Design\Design\FC22\DRR Jaime\QUIFA-CAJÚA\Cajua\[CAJUA_CF_SEC_New_27-Feb-2024Rev3.xlsx]D-PS'!</v>
      </c>
      <c r="G406" s="32" t="s">
        <v>59</v>
      </c>
      <c r="H406" s="33">
        <f t="shared" si="101"/>
        <v>36</v>
      </c>
      <c r="I406" s="33" t="str">
        <f t="shared" si="102"/>
        <v>='C:\Users\jaime.benazar\Quorum Business Solutions\Ecopetrol Prometeo - Documents\Planning Space Implementation\3. Analysis &amp; Design\Design\FC22\DRR Jaime\QUIFA-CAJÚA\Cajua\[CAJUA_CF_SEC_New_27-Feb-2024Rev3.xlsx]D-PS'!$BB$36</v>
      </c>
      <c r="J406" s="37" t="s">
        <v>2172</v>
      </c>
    </row>
    <row r="407" spans="1:10" x14ac:dyDescent="0.25">
      <c r="A407" s="32" t="s">
        <v>34</v>
      </c>
      <c r="B407" s="32">
        <f t="shared" si="103"/>
        <v>2048</v>
      </c>
      <c r="C407" s="33" t="s">
        <v>51</v>
      </c>
      <c r="D407" s="34" t="s">
        <v>1999</v>
      </c>
      <c r="E407" s="35" t="str">
        <f t="shared" si="99"/>
        <v>PS'!</v>
      </c>
      <c r="F407" s="34" t="str">
        <f t="shared" si="100"/>
        <v>C:\Users\jaime.benazar\Quorum Business Solutions\Ecopetrol Prometeo - Documents\Planning Space Implementation\3. Analysis &amp; Design\Design\FC22\DRR Jaime\QUIFA-CAJÚA\Cajua\[CAJUA_CF_SEC_New_27-Feb-2024Rev3.xlsx]D-PS'!</v>
      </c>
      <c r="G407" s="32" t="s">
        <v>59</v>
      </c>
      <c r="H407" s="33">
        <f t="shared" si="101"/>
        <v>37</v>
      </c>
      <c r="I407" s="33" t="str">
        <f t="shared" si="102"/>
        <v>='C:\Users\jaime.benazar\Quorum Business Solutions\Ecopetrol Prometeo - Documents\Planning Space Implementation\3. Analysis &amp; Design\Design\FC22\DRR Jaime\QUIFA-CAJÚA\Cajua\[CAJUA_CF_SEC_New_27-Feb-2024Rev3.xlsx]D-PS'!$BB$37</v>
      </c>
      <c r="J407" s="37" t="s">
        <v>2173</v>
      </c>
    </row>
    <row r="408" spans="1:10" x14ac:dyDescent="0.25">
      <c r="A408" s="32" t="s">
        <v>34</v>
      </c>
      <c r="B408" s="32">
        <f t="shared" si="103"/>
        <v>2049</v>
      </c>
      <c r="C408" s="33" t="s">
        <v>51</v>
      </c>
      <c r="D408" s="34" t="s">
        <v>1999</v>
      </c>
      <c r="E408" s="35" t="str">
        <f t="shared" si="99"/>
        <v>PS'!</v>
      </c>
      <c r="F408" s="34" t="str">
        <f t="shared" si="100"/>
        <v>C:\Users\jaime.benazar\Quorum Business Solutions\Ecopetrol Prometeo - Documents\Planning Space Implementation\3. Analysis &amp; Design\Design\FC22\DRR Jaime\QUIFA-CAJÚA\Cajua\[CAJUA_CF_SEC_New_27-Feb-2024Rev3.xlsx]D-PS'!</v>
      </c>
      <c r="G408" s="32" t="s">
        <v>59</v>
      </c>
      <c r="H408" s="33">
        <f t="shared" si="101"/>
        <v>38</v>
      </c>
      <c r="I408" s="33" t="str">
        <f t="shared" si="102"/>
        <v>='C:\Users\jaime.benazar\Quorum Business Solutions\Ecopetrol Prometeo - Documents\Planning Space Implementation\3. Analysis &amp; Design\Design\FC22\DRR Jaime\QUIFA-CAJÚA\Cajua\[CAJUA_CF_SEC_New_27-Feb-2024Rev3.xlsx]D-PS'!$BB$38</v>
      </c>
      <c r="J408" s="37" t="s">
        <v>2174</v>
      </c>
    </row>
    <row r="409" spans="1:10" x14ac:dyDescent="0.25">
      <c r="A409" s="32" t="s">
        <v>34</v>
      </c>
      <c r="B409" s="32">
        <f t="shared" si="103"/>
        <v>2050</v>
      </c>
      <c r="C409" s="33" t="s">
        <v>51</v>
      </c>
      <c r="D409" s="34" t="s">
        <v>1999</v>
      </c>
      <c r="E409" s="35" t="str">
        <f t="shared" si="99"/>
        <v>PS'!</v>
      </c>
      <c r="F409" s="34" t="str">
        <f t="shared" si="100"/>
        <v>C:\Users\jaime.benazar\Quorum Business Solutions\Ecopetrol Prometeo - Documents\Planning Space Implementation\3. Analysis &amp; Design\Design\FC22\DRR Jaime\QUIFA-CAJÚA\Cajua\[CAJUA_CF_SEC_New_27-Feb-2024Rev3.xlsx]D-PS'!</v>
      </c>
      <c r="G409" s="32" t="s">
        <v>59</v>
      </c>
      <c r="H409" s="33">
        <f t="shared" si="101"/>
        <v>39</v>
      </c>
      <c r="I409" s="33" t="str">
        <f t="shared" si="102"/>
        <v>='C:\Users\jaime.benazar\Quorum Business Solutions\Ecopetrol Prometeo - Documents\Planning Space Implementation\3. Analysis &amp; Design\Design\FC22\DRR Jaime\QUIFA-CAJÚA\Cajua\[CAJUA_CF_SEC_New_27-Feb-2024Rev3.xlsx]D-PS'!$BB$39</v>
      </c>
      <c r="J409" s="37" t="s">
        <v>2175</v>
      </c>
    </row>
    <row r="410" spans="1:10" x14ac:dyDescent="0.25">
      <c r="A410" s="32" t="s">
        <v>34</v>
      </c>
      <c r="B410" s="32">
        <f t="shared" si="103"/>
        <v>2051</v>
      </c>
      <c r="C410" s="33" t="s">
        <v>51</v>
      </c>
      <c r="D410" s="34" t="s">
        <v>1999</v>
      </c>
      <c r="E410" s="35" t="str">
        <f t="shared" si="99"/>
        <v>PS'!</v>
      </c>
      <c r="F410" s="34" t="str">
        <f t="shared" si="100"/>
        <v>C:\Users\jaime.benazar\Quorum Business Solutions\Ecopetrol Prometeo - Documents\Planning Space Implementation\3. Analysis &amp; Design\Design\FC22\DRR Jaime\QUIFA-CAJÚA\Cajua\[CAJUA_CF_SEC_New_27-Feb-2024Rev3.xlsx]D-PS'!</v>
      </c>
      <c r="G410" s="32" t="s">
        <v>59</v>
      </c>
      <c r="H410" s="33">
        <f t="shared" si="101"/>
        <v>40</v>
      </c>
      <c r="I410" s="33" t="str">
        <f t="shared" si="102"/>
        <v>='C:\Users\jaime.benazar\Quorum Business Solutions\Ecopetrol Prometeo - Documents\Planning Space Implementation\3. Analysis &amp; Design\Design\FC22\DRR Jaime\QUIFA-CAJÚA\Cajua\[CAJUA_CF_SEC_New_27-Feb-2024Rev3.xlsx]D-PS'!$BB$40</v>
      </c>
      <c r="J410" s="37" t="s">
        <v>2176</v>
      </c>
    </row>
    <row r="411" spans="1:10" x14ac:dyDescent="0.25">
      <c r="A411" s="32" t="s">
        <v>34</v>
      </c>
      <c r="B411" s="32">
        <f t="shared" si="103"/>
        <v>2052</v>
      </c>
      <c r="C411" s="33" t="s">
        <v>51</v>
      </c>
      <c r="D411" s="34" t="s">
        <v>1999</v>
      </c>
      <c r="E411" s="35" t="str">
        <f t="shared" si="99"/>
        <v>PS'!</v>
      </c>
      <c r="F411" s="34" t="str">
        <f t="shared" si="100"/>
        <v>C:\Users\jaime.benazar\Quorum Business Solutions\Ecopetrol Prometeo - Documents\Planning Space Implementation\3. Analysis &amp; Design\Design\FC22\DRR Jaime\QUIFA-CAJÚA\Cajua\[CAJUA_CF_SEC_New_27-Feb-2024Rev3.xlsx]D-PS'!</v>
      </c>
      <c r="G411" s="32" t="s">
        <v>59</v>
      </c>
      <c r="H411" s="33">
        <f t="shared" si="101"/>
        <v>41</v>
      </c>
      <c r="I411" s="33" t="str">
        <f t="shared" si="102"/>
        <v>='C:\Users\jaime.benazar\Quorum Business Solutions\Ecopetrol Prometeo - Documents\Planning Space Implementation\3. Analysis &amp; Design\Design\FC22\DRR Jaime\QUIFA-CAJÚA\Cajua\[CAJUA_CF_SEC_New_27-Feb-2024Rev3.xlsx]D-PS'!$BB$41</v>
      </c>
      <c r="J411" s="37" t="s">
        <v>2177</v>
      </c>
    </row>
    <row r="412" spans="1:10" x14ac:dyDescent="0.25">
      <c r="A412" s="32" t="s">
        <v>34</v>
      </c>
      <c r="B412" s="32">
        <f t="shared" si="103"/>
        <v>2053</v>
      </c>
      <c r="C412" s="33" t="s">
        <v>51</v>
      </c>
      <c r="D412" s="34" t="s">
        <v>1999</v>
      </c>
      <c r="E412" s="35" t="str">
        <f t="shared" si="99"/>
        <v>PS'!</v>
      </c>
      <c r="F412" s="34" t="str">
        <f t="shared" si="100"/>
        <v>C:\Users\jaime.benazar\Quorum Business Solutions\Ecopetrol Prometeo - Documents\Planning Space Implementation\3. Analysis &amp; Design\Design\FC22\DRR Jaime\QUIFA-CAJÚA\Cajua\[CAJUA_CF_SEC_New_27-Feb-2024Rev3.xlsx]D-PS'!</v>
      </c>
      <c r="G412" s="32" t="s">
        <v>59</v>
      </c>
      <c r="H412" s="33">
        <f t="shared" si="101"/>
        <v>42</v>
      </c>
      <c r="I412" s="33" t="str">
        <f t="shared" si="102"/>
        <v>='C:\Users\jaime.benazar\Quorum Business Solutions\Ecopetrol Prometeo - Documents\Planning Space Implementation\3. Analysis &amp; Design\Design\FC22\DRR Jaime\QUIFA-CAJÚA\Cajua\[CAJUA_CF_SEC_New_27-Feb-2024Rev3.xlsx]D-PS'!$BB$42</v>
      </c>
      <c r="J412" s="37" t="s">
        <v>2178</v>
      </c>
    </row>
    <row r="413" spans="1:10" x14ac:dyDescent="0.25">
      <c r="A413" s="32" t="s">
        <v>34</v>
      </c>
      <c r="B413" s="32">
        <f t="shared" si="103"/>
        <v>2054</v>
      </c>
      <c r="C413" s="33" t="s">
        <v>51</v>
      </c>
      <c r="D413" s="34" t="s">
        <v>1999</v>
      </c>
      <c r="E413" s="35" t="str">
        <f t="shared" si="99"/>
        <v>PS'!</v>
      </c>
      <c r="F413" s="34" t="str">
        <f t="shared" si="100"/>
        <v>C:\Users\jaime.benazar\Quorum Business Solutions\Ecopetrol Prometeo - Documents\Planning Space Implementation\3. Analysis &amp; Design\Design\FC22\DRR Jaime\QUIFA-CAJÚA\Cajua\[CAJUA_CF_SEC_New_27-Feb-2024Rev3.xlsx]D-PS'!</v>
      </c>
      <c r="G413" s="32" t="s">
        <v>59</v>
      </c>
      <c r="H413" s="33">
        <f t="shared" si="101"/>
        <v>43</v>
      </c>
      <c r="I413" s="33" t="str">
        <f t="shared" si="102"/>
        <v>='C:\Users\jaime.benazar\Quorum Business Solutions\Ecopetrol Prometeo - Documents\Planning Space Implementation\3. Analysis &amp; Design\Design\FC22\DRR Jaime\QUIFA-CAJÚA\Cajua\[CAJUA_CF_SEC_New_27-Feb-2024Rev3.xlsx]D-PS'!$BB$43</v>
      </c>
      <c r="J413" s="37" t="s">
        <v>2179</v>
      </c>
    </row>
    <row r="414" spans="1:10" x14ac:dyDescent="0.25">
      <c r="A414" s="32" t="s">
        <v>34</v>
      </c>
      <c r="B414" s="32">
        <f t="shared" si="103"/>
        <v>2055</v>
      </c>
      <c r="C414" s="33" t="s">
        <v>51</v>
      </c>
      <c r="D414" s="34" t="s">
        <v>1999</v>
      </c>
      <c r="E414" s="35" t="str">
        <f t="shared" si="99"/>
        <v>PS'!</v>
      </c>
      <c r="F414" s="34" t="str">
        <f t="shared" si="100"/>
        <v>C:\Users\jaime.benazar\Quorum Business Solutions\Ecopetrol Prometeo - Documents\Planning Space Implementation\3. Analysis &amp; Design\Design\FC22\DRR Jaime\QUIFA-CAJÚA\Cajua\[CAJUA_CF_SEC_New_27-Feb-2024Rev3.xlsx]D-PS'!</v>
      </c>
      <c r="G414" s="32" t="s">
        <v>59</v>
      </c>
      <c r="H414" s="33">
        <f t="shared" si="101"/>
        <v>44</v>
      </c>
      <c r="I414" s="33" t="str">
        <f t="shared" si="102"/>
        <v>='C:\Users\jaime.benazar\Quorum Business Solutions\Ecopetrol Prometeo - Documents\Planning Space Implementation\3. Analysis &amp; Design\Design\FC22\DRR Jaime\QUIFA-CAJÚA\Cajua\[CAJUA_CF_SEC_New_27-Feb-2024Rev3.xlsx]D-PS'!$BB$44</v>
      </c>
      <c r="J414" s="37" t="s">
        <v>2180</v>
      </c>
    </row>
    <row r="415" spans="1:10" x14ac:dyDescent="0.25">
      <c r="A415" s="32" t="s">
        <v>34</v>
      </c>
      <c r="B415" s="32">
        <f t="shared" si="103"/>
        <v>2056</v>
      </c>
      <c r="C415" s="33" t="s">
        <v>51</v>
      </c>
      <c r="D415" s="34" t="s">
        <v>1999</v>
      </c>
      <c r="E415" s="35" t="str">
        <f t="shared" si="99"/>
        <v>PS'!</v>
      </c>
      <c r="F415" s="34" t="str">
        <f t="shared" si="100"/>
        <v>C:\Users\jaime.benazar\Quorum Business Solutions\Ecopetrol Prometeo - Documents\Planning Space Implementation\3. Analysis &amp; Design\Design\FC22\DRR Jaime\QUIFA-CAJÚA\Cajua\[CAJUA_CF_SEC_New_27-Feb-2024Rev3.xlsx]D-PS'!</v>
      </c>
      <c r="G415" s="32" t="s">
        <v>59</v>
      </c>
      <c r="H415" s="33">
        <f t="shared" si="101"/>
        <v>45</v>
      </c>
      <c r="I415" s="33" t="str">
        <f t="shared" si="102"/>
        <v>='C:\Users\jaime.benazar\Quorum Business Solutions\Ecopetrol Prometeo - Documents\Planning Space Implementation\3. Analysis &amp; Design\Design\FC22\DRR Jaime\QUIFA-CAJÚA\Cajua\[CAJUA_CF_SEC_New_27-Feb-2024Rev3.xlsx]D-PS'!$BB$45</v>
      </c>
      <c r="J415" s="37" t="s">
        <v>2181</v>
      </c>
    </row>
    <row r="416" spans="1:10" x14ac:dyDescent="0.25">
      <c r="A416" s="32" t="s">
        <v>34</v>
      </c>
      <c r="B416" s="32">
        <f t="shared" si="103"/>
        <v>2057</v>
      </c>
      <c r="C416" s="33" t="s">
        <v>51</v>
      </c>
      <c r="D416" s="34" t="s">
        <v>1999</v>
      </c>
      <c r="E416" s="35" t="str">
        <f t="shared" si="99"/>
        <v>PS'!</v>
      </c>
      <c r="F416" s="34" t="str">
        <f t="shared" si="100"/>
        <v>C:\Users\jaime.benazar\Quorum Business Solutions\Ecopetrol Prometeo - Documents\Planning Space Implementation\3. Analysis &amp; Design\Design\FC22\DRR Jaime\QUIFA-CAJÚA\Cajua\[CAJUA_CF_SEC_New_27-Feb-2024Rev3.xlsx]D-PS'!</v>
      </c>
      <c r="G416" s="32" t="s">
        <v>59</v>
      </c>
      <c r="H416" s="33">
        <f t="shared" si="101"/>
        <v>46</v>
      </c>
      <c r="I416" s="33" t="str">
        <f t="shared" si="102"/>
        <v>='C:\Users\jaime.benazar\Quorum Business Solutions\Ecopetrol Prometeo - Documents\Planning Space Implementation\3. Analysis &amp; Design\Design\FC22\DRR Jaime\QUIFA-CAJÚA\Cajua\[CAJUA_CF_SEC_New_27-Feb-2024Rev3.xlsx]D-PS'!$BB$46</v>
      </c>
      <c r="J416" s="37" t="s">
        <v>2182</v>
      </c>
    </row>
    <row r="417" spans="1:10" x14ac:dyDescent="0.25">
      <c r="A417" s="32" t="s">
        <v>34</v>
      </c>
      <c r="B417" s="32">
        <f t="shared" si="103"/>
        <v>2058</v>
      </c>
      <c r="C417" s="33" t="s">
        <v>51</v>
      </c>
      <c r="D417" s="34" t="s">
        <v>1999</v>
      </c>
      <c r="E417" s="35" t="str">
        <f t="shared" si="99"/>
        <v>PS'!</v>
      </c>
      <c r="F417" s="34" t="str">
        <f t="shared" si="100"/>
        <v>C:\Users\jaime.benazar\Quorum Business Solutions\Ecopetrol Prometeo - Documents\Planning Space Implementation\3. Analysis &amp; Design\Design\FC22\DRR Jaime\QUIFA-CAJÚA\Cajua\[CAJUA_CF_SEC_New_27-Feb-2024Rev3.xlsx]D-PS'!</v>
      </c>
      <c r="G417" s="32" t="s">
        <v>59</v>
      </c>
      <c r="H417" s="33">
        <f t="shared" si="101"/>
        <v>47</v>
      </c>
      <c r="I417" s="33" t="str">
        <f t="shared" si="102"/>
        <v>='C:\Users\jaime.benazar\Quorum Business Solutions\Ecopetrol Prometeo - Documents\Planning Space Implementation\3. Analysis &amp; Design\Design\FC22\DRR Jaime\QUIFA-CAJÚA\Cajua\[CAJUA_CF_SEC_New_27-Feb-2024Rev3.xlsx]D-PS'!$BB$47</v>
      </c>
      <c r="J417" s="37" t="s">
        <v>2183</v>
      </c>
    </row>
    <row r="418" spans="1:10" x14ac:dyDescent="0.25">
      <c r="A418" s="32" t="s">
        <v>34</v>
      </c>
      <c r="B418" s="32">
        <f t="shared" si="103"/>
        <v>2059</v>
      </c>
      <c r="C418" s="33" t="s">
        <v>51</v>
      </c>
      <c r="D418" s="34" t="s">
        <v>1999</v>
      </c>
      <c r="E418" s="35" t="str">
        <f t="shared" si="99"/>
        <v>PS'!</v>
      </c>
      <c r="F418" s="34" t="str">
        <f t="shared" si="100"/>
        <v>C:\Users\jaime.benazar\Quorum Business Solutions\Ecopetrol Prometeo - Documents\Planning Space Implementation\3. Analysis &amp; Design\Design\FC22\DRR Jaime\QUIFA-CAJÚA\Cajua\[CAJUA_CF_SEC_New_27-Feb-2024Rev3.xlsx]D-PS'!</v>
      </c>
      <c r="G418" s="32" t="s">
        <v>59</v>
      </c>
      <c r="H418" s="33">
        <f t="shared" si="101"/>
        <v>48</v>
      </c>
      <c r="I418" s="33" t="str">
        <f t="shared" si="102"/>
        <v>='C:\Users\jaime.benazar\Quorum Business Solutions\Ecopetrol Prometeo - Documents\Planning Space Implementation\3. Analysis &amp; Design\Design\FC22\DRR Jaime\QUIFA-CAJÚA\Cajua\[CAJUA_CF_SEC_New_27-Feb-2024Rev3.xlsx]D-PS'!$BB$48</v>
      </c>
      <c r="J418" s="37" t="s">
        <v>2184</v>
      </c>
    </row>
    <row r="419" spans="1:10" x14ac:dyDescent="0.25">
      <c r="A419" s="32" t="s">
        <v>28</v>
      </c>
      <c r="B419" s="32"/>
      <c r="C419" s="33" t="s">
        <v>51</v>
      </c>
      <c r="D419" s="34"/>
      <c r="E419" s="35"/>
      <c r="F419" s="34"/>
      <c r="G419" s="32"/>
      <c r="H419" s="33"/>
      <c r="I419" s="33"/>
      <c r="J419" s="33"/>
    </row>
    <row r="420" spans="1:10" x14ac:dyDescent="0.2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Jaime\QUIFA-CAJÚA\Cajua\[CAJUA_CF_SEC_New_27-Feb-2024Rev3.xlsx]D-PDP'!</v>
      </c>
      <c r="G420" s="32" t="s">
        <v>37</v>
      </c>
      <c r="H420" s="33">
        <v>12</v>
      </c>
      <c r="I420" s="33" t="str">
        <f>_xlfn.CONCAT("='",F420:H420)</f>
        <v>='C:\Users\jaime.benazar\Quorum Business Solutions\Ecopetrol Prometeo - Documents\Planning Space Implementation\3. Analysis &amp; Design\Design\FC22\DRR Jaime\QUIFA-CAJÚA\Cajua\[CAJUA_CF_SEC_New_27-Feb-2024Rev3.xlsx]D-PDP'!$BW$12</v>
      </c>
      <c r="J420" s="37" t="s">
        <v>2185</v>
      </c>
    </row>
    <row r="421" spans="1:10" x14ac:dyDescent="0.25">
      <c r="A421" s="32" t="s">
        <v>1</v>
      </c>
      <c r="B421" s="32">
        <f>+B420+1</f>
        <v>2024</v>
      </c>
      <c r="C421" s="33" t="s">
        <v>8</v>
      </c>
      <c r="D421" s="34" t="s">
        <v>1999</v>
      </c>
      <c r="E421" s="35" t="str">
        <f t="shared" ref="E421:E514" si="104">_xlfn.CONCAT(A421,"'!")</f>
        <v>PDP'!</v>
      </c>
      <c r="F421" s="34" t="str">
        <f t="shared" ref="F421:F514" si="105">_xlfn.CONCAT(D421:E421)</f>
        <v>C:\Users\jaime.benazar\Quorum Business Solutions\Ecopetrol Prometeo - Documents\Planning Space Implementation\3. Analysis &amp; Design\Design\FC22\DRR Jaime\QUIFA-CAJÚA\Cajua\[CAJUA_CF_SEC_New_27-Feb-2024Rev3.xlsx]D-PDP'!</v>
      </c>
      <c r="G421" s="32" t="s">
        <v>37</v>
      </c>
      <c r="H421" s="33">
        <f>IF(A421&lt;&gt;A420,12,H420+1)</f>
        <v>13</v>
      </c>
      <c r="I421" s="33" t="str">
        <f t="shared" ref="I421:I514" si="106">_xlfn.CONCAT("='",F421:H421)</f>
        <v>='C:\Users\jaime.benazar\Quorum Business Solutions\Ecopetrol Prometeo - Documents\Planning Space Implementation\3. Analysis &amp; Design\Design\FC22\DRR Jaime\QUIFA-CAJÚA\Cajua\[CAJUA_CF_SEC_New_27-Feb-2024Rev3.xlsx]D-PDP'!$BW$13</v>
      </c>
      <c r="J421" s="37" t="s">
        <v>2186</v>
      </c>
    </row>
    <row r="422" spans="1:10" x14ac:dyDescent="0.25">
      <c r="A422" s="32" t="s">
        <v>1</v>
      </c>
      <c r="B422" s="32">
        <f t="shared" ref="B422:B433" si="107">+B421+1</f>
        <v>2025</v>
      </c>
      <c r="C422" s="33" t="s">
        <v>8</v>
      </c>
      <c r="D422" s="34" t="s">
        <v>1999</v>
      </c>
      <c r="E422" s="35" t="str">
        <f t="shared" si="104"/>
        <v>PDP'!</v>
      </c>
      <c r="F422" s="34" t="str">
        <f t="shared" si="105"/>
        <v>C:\Users\jaime.benazar\Quorum Business Solutions\Ecopetrol Prometeo - Documents\Planning Space Implementation\3. Analysis &amp; Design\Design\FC22\DRR Jaime\QUIFA-CAJÚA\Cajua\[CAJUA_CF_SEC_New_27-Feb-2024Rev3.xlsx]D-PDP'!</v>
      </c>
      <c r="G422" s="32" t="s">
        <v>37</v>
      </c>
      <c r="H422" s="33">
        <f t="shared" ref="H422:H440" si="108">IF(A422&lt;&gt;A421,12,H421+1)</f>
        <v>14</v>
      </c>
      <c r="I422" s="33" t="str">
        <f t="shared" si="106"/>
        <v>='C:\Users\jaime.benazar\Quorum Business Solutions\Ecopetrol Prometeo - Documents\Planning Space Implementation\3. Analysis &amp; Design\Design\FC22\DRR Jaime\QUIFA-CAJÚA\Cajua\[CAJUA_CF_SEC_New_27-Feb-2024Rev3.xlsx]D-PDP'!$BW$14</v>
      </c>
      <c r="J422" s="37" t="s">
        <v>2187</v>
      </c>
    </row>
    <row r="423" spans="1:10" x14ac:dyDescent="0.25">
      <c r="A423" s="32" t="s">
        <v>1</v>
      </c>
      <c r="B423" s="32">
        <f t="shared" si="107"/>
        <v>2026</v>
      </c>
      <c r="C423" s="33" t="s">
        <v>8</v>
      </c>
      <c r="D423" s="34" t="s">
        <v>1999</v>
      </c>
      <c r="E423" s="35" t="str">
        <f t="shared" si="104"/>
        <v>PDP'!</v>
      </c>
      <c r="F423" s="34" t="str">
        <f t="shared" si="105"/>
        <v>C:\Users\jaime.benazar\Quorum Business Solutions\Ecopetrol Prometeo - Documents\Planning Space Implementation\3. Analysis &amp; Design\Design\FC22\DRR Jaime\QUIFA-CAJÚA\Cajua\[CAJUA_CF_SEC_New_27-Feb-2024Rev3.xlsx]D-PDP'!</v>
      </c>
      <c r="G423" s="32" t="s">
        <v>37</v>
      </c>
      <c r="H423" s="33">
        <f t="shared" si="108"/>
        <v>15</v>
      </c>
      <c r="I423" s="33" t="str">
        <f t="shared" si="106"/>
        <v>='C:\Users\jaime.benazar\Quorum Business Solutions\Ecopetrol Prometeo - Documents\Planning Space Implementation\3. Analysis &amp; Design\Design\FC22\DRR Jaime\QUIFA-CAJÚA\Cajua\[CAJUA_CF_SEC_New_27-Feb-2024Rev3.xlsx]D-PDP'!$BW$15</v>
      </c>
      <c r="J423" s="37" t="s">
        <v>2188</v>
      </c>
    </row>
    <row r="424" spans="1:10" x14ac:dyDescent="0.25">
      <c r="A424" s="32" t="s">
        <v>1</v>
      </c>
      <c r="B424" s="32">
        <f t="shared" si="107"/>
        <v>2027</v>
      </c>
      <c r="C424" s="33" t="s">
        <v>8</v>
      </c>
      <c r="D424" s="34" t="s">
        <v>1999</v>
      </c>
      <c r="E424" s="35" t="str">
        <f t="shared" si="104"/>
        <v>PDP'!</v>
      </c>
      <c r="F424" s="34" t="str">
        <f t="shared" si="105"/>
        <v>C:\Users\jaime.benazar\Quorum Business Solutions\Ecopetrol Prometeo - Documents\Planning Space Implementation\3. Analysis &amp; Design\Design\FC22\DRR Jaime\QUIFA-CAJÚA\Cajua\[CAJUA_CF_SEC_New_27-Feb-2024Rev3.xlsx]D-PDP'!</v>
      </c>
      <c r="G424" s="32" t="s">
        <v>37</v>
      </c>
      <c r="H424" s="33">
        <f t="shared" si="108"/>
        <v>16</v>
      </c>
      <c r="I424" s="33" t="str">
        <f t="shared" si="106"/>
        <v>='C:\Users\jaime.benazar\Quorum Business Solutions\Ecopetrol Prometeo - Documents\Planning Space Implementation\3. Analysis &amp; Design\Design\FC22\DRR Jaime\QUIFA-CAJÚA\Cajua\[CAJUA_CF_SEC_New_27-Feb-2024Rev3.xlsx]D-PDP'!$BW$16</v>
      </c>
      <c r="J424" s="37" t="s">
        <v>2189</v>
      </c>
    </row>
    <row r="425" spans="1:10" x14ac:dyDescent="0.25">
      <c r="A425" s="32" t="s">
        <v>1</v>
      </c>
      <c r="B425" s="32">
        <f t="shared" si="107"/>
        <v>2028</v>
      </c>
      <c r="C425" s="33" t="s">
        <v>8</v>
      </c>
      <c r="D425" s="34" t="s">
        <v>1999</v>
      </c>
      <c r="E425" s="35" t="str">
        <f t="shared" si="104"/>
        <v>PDP'!</v>
      </c>
      <c r="F425" s="34" t="str">
        <f t="shared" si="105"/>
        <v>C:\Users\jaime.benazar\Quorum Business Solutions\Ecopetrol Prometeo - Documents\Planning Space Implementation\3. Analysis &amp; Design\Design\FC22\DRR Jaime\QUIFA-CAJÚA\Cajua\[CAJUA_CF_SEC_New_27-Feb-2024Rev3.xlsx]D-PDP'!</v>
      </c>
      <c r="G425" s="32" t="s">
        <v>37</v>
      </c>
      <c r="H425" s="33">
        <f t="shared" si="108"/>
        <v>17</v>
      </c>
      <c r="I425" s="33" t="str">
        <f t="shared" si="106"/>
        <v>='C:\Users\jaime.benazar\Quorum Business Solutions\Ecopetrol Prometeo - Documents\Planning Space Implementation\3. Analysis &amp; Design\Design\FC22\DRR Jaime\QUIFA-CAJÚA\Cajua\[CAJUA_CF_SEC_New_27-Feb-2024Rev3.xlsx]D-PDP'!$BW$17</v>
      </c>
      <c r="J425" s="37" t="s">
        <v>2190</v>
      </c>
    </row>
    <row r="426" spans="1:10" x14ac:dyDescent="0.25">
      <c r="A426" s="32" t="s">
        <v>1</v>
      </c>
      <c r="B426" s="32">
        <f t="shared" si="107"/>
        <v>2029</v>
      </c>
      <c r="C426" s="33" t="s">
        <v>8</v>
      </c>
      <c r="D426" s="34" t="s">
        <v>1999</v>
      </c>
      <c r="E426" s="35" t="str">
        <f t="shared" si="104"/>
        <v>PDP'!</v>
      </c>
      <c r="F426" s="34" t="str">
        <f t="shared" si="105"/>
        <v>C:\Users\jaime.benazar\Quorum Business Solutions\Ecopetrol Prometeo - Documents\Planning Space Implementation\3. Analysis &amp; Design\Design\FC22\DRR Jaime\QUIFA-CAJÚA\Cajua\[CAJUA_CF_SEC_New_27-Feb-2024Rev3.xlsx]D-PDP'!</v>
      </c>
      <c r="G426" s="32" t="s">
        <v>37</v>
      </c>
      <c r="H426" s="33">
        <f t="shared" si="108"/>
        <v>18</v>
      </c>
      <c r="I426" s="33" t="str">
        <f t="shared" si="106"/>
        <v>='C:\Users\jaime.benazar\Quorum Business Solutions\Ecopetrol Prometeo - Documents\Planning Space Implementation\3. Analysis &amp; Design\Design\FC22\DRR Jaime\QUIFA-CAJÚA\Cajua\[CAJUA_CF_SEC_New_27-Feb-2024Rev3.xlsx]D-PDP'!$BW$18</v>
      </c>
      <c r="J426" s="37" t="s">
        <v>2191</v>
      </c>
    </row>
    <row r="427" spans="1:10" x14ac:dyDescent="0.25">
      <c r="A427" s="32" t="s">
        <v>1</v>
      </c>
      <c r="B427" s="32">
        <f t="shared" si="107"/>
        <v>2030</v>
      </c>
      <c r="C427" s="33" t="s">
        <v>8</v>
      </c>
      <c r="D427" s="34" t="s">
        <v>1999</v>
      </c>
      <c r="E427" s="35" t="str">
        <f t="shared" si="104"/>
        <v>PDP'!</v>
      </c>
      <c r="F427" s="34" t="str">
        <f t="shared" si="105"/>
        <v>C:\Users\jaime.benazar\Quorum Business Solutions\Ecopetrol Prometeo - Documents\Planning Space Implementation\3. Analysis &amp; Design\Design\FC22\DRR Jaime\QUIFA-CAJÚA\Cajua\[CAJUA_CF_SEC_New_27-Feb-2024Rev3.xlsx]D-PDP'!</v>
      </c>
      <c r="G427" s="32" t="s">
        <v>37</v>
      </c>
      <c r="H427" s="33">
        <f t="shared" si="108"/>
        <v>19</v>
      </c>
      <c r="I427" s="33" t="str">
        <f t="shared" si="106"/>
        <v>='C:\Users\jaime.benazar\Quorum Business Solutions\Ecopetrol Prometeo - Documents\Planning Space Implementation\3. Analysis &amp; Design\Design\FC22\DRR Jaime\QUIFA-CAJÚA\Cajua\[CAJUA_CF_SEC_New_27-Feb-2024Rev3.xlsx]D-PDP'!$BW$19</v>
      </c>
      <c r="J427" s="37" t="s">
        <v>2192</v>
      </c>
    </row>
    <row r="428" spans="1:10" x14ac:dyDescent="0.25">
      <c r="A428" s="32" t="s">
        <v>1</v>
      </c>
      <c r="B428" s="32">
        <f t="shared" si="107"/>
        <v>2031</v>
      </c>
      <c r="C428" s="33" t="s">
        <v>8</v>
      </c>
      <c r="D428" s="34" t="s">
        <v>1999</v>
      </c>
      <c r="E428" s="35" t="str">
        <f t="shared" si="104"/>
        <v>PDP'!</v>
      </c>
      <c r="F428" s="34" t="str">
        <f t="shared" si="105"/>
        <v>C:\Users\jaime.benazar\Quorum Business Solutions\Ecopetrol Prometeo - Documents\Planning Space Implementation\3. Analysis &amp; Design\Design\FC22\DRR Jaime\QUIFA-CAJÚA\Cajua\[CAJUA_CF_SEC_New_27-Feb-2024Rev3.xlsx]D-PDP'!</v>
      </c>
      <c r="G428" s="32" t="s">
        <v>37</v>
      </c>
      <c r="H428" s="33">
        <f t="shared" si="108"/>
        <v>20</v>
      </c>
      <c r="I428" s="33" t="str">
        <f t="shared" si="106"/>
        <v>='C:\Users\jaime.benazar\Quorum Business Solutions\Ecopetrol Prometeo - Documents\Planning Space Implementation\3. Analysis &amp; Design\Design\FC22\DRR Jaime\QUIFA-CAJÚA\Cajua\[CAJUA_CF_SEC_New_27-Feb-2024Rev3.xlsx]D-PDP'!$BW$20</v>
      </c>
      <c r="J428" s="37" t="s">
        <v>2193</v>
      </c>
    </row>
    <row r="429" spans="1:10" x14ac:dyDescent="0.25">
      <c r="A429" s="32" t="s">
        <v>1</v>
      </c>
      <c r="B429" s="32">
        <f t="shared" si="107"/>
        <v>2032</v>
      </c>
      <c r="C429" s="33" t="s">
        <v>8</v>
      </c>
      <c r="D429" s="34" t="s">
        <v>1999</v>
      </c>
      <c r="E429" s="35" t="str">
        <f t="shared" si="104"/>
        <v>PDP'!</v>
      </c>
      <c r="F429" s="34" t="str">
        <f t="shared" si="105"/>
        <v>C:\Users\jaime.benazar\Quorum Business Solutions\Ecopetrol Prometeo - Documents\Planning Space Implementation\3. Analysis &amp; Design\Design\FC22\DRR Jaime\QUIFA-CAJÚA\Cajua\[CAJUA_CF_SEC_New_27-Feb-2024Rev3.xlsx]D-PDP'!</v>
      </c>
      <c r="G429" s="32" t="s">
        <v>37</v>
      </c>
      <c r="H429" s="33">
        <f t="shared" si="108"/>
        <v>21</v>
      </c>
      <c r="I429" s="33" t="str">
        <f t="shared" si="106"/>
        <v>='C:\Users\jaime.benazar\Quorum Business Solutions\Ecopetrol Prometeo - Documents\Planning Space Implementation\3. Analysis &amp; Design\Design\FC22\DRR Jaime\QUIFA-CAJÚA\Cajua\[CAJUA_CF_SEC_New_27-Feb-2024Rev3.xlsx]D-PDP'!$BW$21</v>
      </c>
      <c r="J429" s="37" t="s">
        <v>2194</v>
      </c>
    </row>
    <row r="430" spans="1:10" x14ac:dyDescent="0.25">
      <c r="A430" s="32" t="s">
        <v>1</v>
      </c>
      <c r="B430" s="32">
        <f t="shared" si="107"/>
        <v>2033</v>
      </c>
      <c r="C430" s="33" t="s">
        <v>8</v>
      </c>
      <c r="D430" s="34" t="s">
        <v>1999</v>
      </c>
      <c r="E430" s="35" t="str">
        <f t="shared" si="104"/>
        <v>PDP'!</v>
      </c>
      <c r="F430" s="34" t="str">
        <f t="shared" si="105"/>
        <v>C:\Users\jaime.benazar\Quorum Business Solutions\Ecopetrol Prometeo - Documents\Planning Space Implementation\3. Analysis &amp; Design\Design\FC22\DRR Jaime\QUIFA-CAJÚA\Cajua\[CAJUA_CF_SEC_New_27-Feb-2024Rev3.xlsx]D-PDP'!</v>
      </c>
      <c r="G430" s="32" t="s">
        <v>37</v>
      </c>
      <c r="H430" s="33">
        <f t="shared" si="108"/>
        <v>22</v>
      </c>
      <c r="I430" s="33" t="str">
        <f t="shared" si="106"/>
        <v>='C:\Users\jaime.benazar\Quorum Business Solutions\Ecopetrol Prometeo - Documents\Planning Space Implementation\3. Analysis &amp; Design\Design\FC22\DRR Jaime\QUIFA-CAJÚA\Cajua\[CAJUA_CF_SEC_New_27-Feb-2024Rev3.xlsx]D-PDP'!$BW$22</v>
      </c>
      <c r="J430" s="37" t="s">
        <v>2195</v>
      </c>
    </row>
    <row r="431" spans="1:10" x14ac:dyDescent="0.25">
      <c r="A431" s="32" t="s">
        <v>1</v>
      </c>
      <c r="B431" s="32">
        <f t="shared" si="107"/>
        <v>2034</v>
      </c>
      <c r="C431" s="33" t="s">
        <v>8</v>
      </c>
      <c r="D431" s="34" t="s">
        <v>1999</v>
      </c>
      <c r="E431" s="35" t="str">
        <f t="shared" si="104"/>
        <v>PDP'!</v>
      </c>
      <c r="F431" s="34" t="str">
        <f t="shared" si="105"/>
        <v>C:\Users\jaime.benazar\Quorum Business Solutions\Ecopetrol Prometeo - Documents\Planning Space Implementation\3. Analysis &amp; Design\Design\FC22\DRR Jaime\QUIFA-CAJÚA\Cajua\[CAJUA_CF_SEC_New_27-Feb-2024Rev3.xlsx]D-PDP'!</v>
      </c>
      <c r="G431" s="32" t="s">
        <v>37</v>
      </c>
      <c r="H431" s="33">
        <f t="shared" si="108"/>
        <v>23</v>
      </c>
      <c r="I431" s="33" t="str">
        <f t="shared" si="106"/>
        <v>='C:\Users\jaime.benazar\Quorum Business Solutions\Ecopetrol Prometeo - Documents\Planning Space Implementation\3. Analysis &amp; Design\Design\FC22\DRR Jaime\QUIFA-CAJÚA\Cajua\[CAJUA_CF_SEC_New_27-Feb-2024Rev3.xlsx]D-PDP'!$BW$23</v>
      </c>
      <c r="J431" s="37" t="s">
        <v>2196</v>
      </c>
    </row>
    <row r="432" spans="1:10" x14ac:dyDescent="0.25">
      <c r="A432" s="32" t="s">
        <v>1</v>
      </c>
      <c r="B432" s="32">
        <f t="shared" si="107"/>
        <v>2035</v>
      </c>
      <c r="C432" s="33" t="s">
        <v>8</v>
      </c>
      <c r="D432" s="34" t="s">
        <v>1999</v>
      </c>
      <c r="E432" s="35" t="str">
        <f t="shared" si="104"/>
        <v>PDP'!</v>
      </c>
      <c r="F432" s="34" t="str">
        <f t="shared" si="105"/>
        <v>C:\Users\jaime.benazar\Quorum Business Solutions\Ecopetrol Prometeo - Documents\Planning Space Implementation\3. Analysis &amp; Design\Design\FC22\DRR Jaime\QUIFA-CAJÚA\Cajua\[CAJUA_CF_SEC_New_27-Feb-2024Rev3.xlsx]D-PDP'!</v>
      </c>
      <c r="G432" s="32" t="s">
        <v>37</v>
      </c>
      <c r="H432" s="33">
        <f t="shared" si="108"/>
        <v>24</v>
      </c>
      <c r="I432" s="33" t="str">
        <f t="shared" si="106"/>
        <v>='C:\Users\jaime.benazar\Quorum Business Solutions\Ecopetrol Prometeo - Documents\Planning Space Implementation\3. Analysis &amp; Design\Design\FC22\DRR Jaime\QUIFA-CAJÚA\Cajua\[CAJUA_CF_SEC_New_27-Feb-2024Rev3.xlsx]D-PDP'!$BW$24</v>
      </c>
      <c r="J432" s="37" t="s">
        <v>2197</v>
      </c>
    </row>
    <row r="433" spans="1:10" x14ac:dyDescent="0.25">
      <c r="A433" s="32" t="s">
        <v>1</v>
      </c>
      <c r="B433" s="32">
        <f t="shared" si="107"/>
        <v>2036</v>
      </c>
      <c r="C433" s="33" t="s">
        <v>8</v>
      </c>
      <c r="D433" s="34" t="s">
        <v>1999</v>
      </c>
      <c r="E433" s="35" t="str">
        <f t="shared" si="104"/>
        <v>PDP'!</v>
      </c>
      <c r="F433" s="34" t="str">
        <f t="shared" si="105"/>
        <v>C:\Users\jaime.benazar\Quorum Business Solutions\Ecopetrol Prometeo - Documents\Planning Space Implementation\3. Analysis &amp; Design\Design\FC22\DRR Jaime\QUIFA-CAJÚA\Cajua\[CAJUA_CF_SEC_New_27-Feb-2024Rev3.xlsx]D-PDP'!</v>
      </c>
      <c r="G433" s="32" t="s">
        <v>37</v>
      </c>
      <c r="H433" s="33">
        <f t="shared" si="108"/>
        <v>25</v>
      </c>
      <c r="I433" s="33" t="str">
        <f t="shared" si="106"/>
        <v>='C:\Users\jaime.benazar\Quorum Business Solutions\Ecopetrol Prometeo - Documents\Planning Space Implementation\3. Analysis &amp; Design\Design\FC22\DRR Jaime\QUIFA-CAJÚA\Cajua\[CAJUA_CF_SEC_New_27-Feb-2024Rev3.xlsx]D-PDP'!$BW$25</v>
      </c>
      <c r="J433" s="37" t="s">
        <v>2198</v>
      </c>
    </row>
    <row r="434" spans="1:10" x14ac:dyDescent="0.25">
      <c r="A434" s="32" t="s">
        <v>1</v>
      </c>
      <c r="B434" s="32">
        <f>+B433+1</f>
        <v>2037</v>
      </c>
      <c r="C434" s="33" t="s">
        <v>8</v>
      </c>
      <c r="D434" s="34" t="s">
        <v>1999</v>
      </c>
      <c r="E434" s="35" t="str">
        <f t="shared" si="104"/>
        <v>PDP'!</v>
      </c>
      <c r="F434" s="34" t="str">
        <f t="shared" si="105"/>
        <v>C:\Users\jaime.benazar\Quorum Business Solutions\Ecopetrol Prometeo - Documents\Planning Space Implementation\3. Analysis &amp; Design\Design\FC22\DRR Jaime\QUIFA-CAJÚA\Cajua\[CAJUA_CF_SEC_New_27-Feb-2024Rev3.xlsx]D-PDP'!</v>
      </c>
      <c r="G434" s="32" t="s">
        <v>37</v>
      </c>
      <c r="H434" s="33">
        <f t="shared" si="108"/>
        <v>26</v>
      </c>
      <c r="I434" s="33" t="str">
        <f t="shared" si="106"/>
        <v>='C:\Users\jaime.benazar\Quorum Business Solutions\Ecopetrol Prometeo - Documents\Planning Space Implementation\3. Analysis &amp; Design\Design\FC22\DRR Jaime\QUIFA-CAJÚA\Cajua\[CAJUA_CF_SEC_New_27-Feb-2024Rev3.xlsx]D-PDP'!$BW$26</v>
      </c>
      <c r="J434" s="37" t="s">
        <v>2199</v>
      </c>
    </row>
    <row r="435" spans="1:10" x14ac:dyDescent="0.25">
      <c r="A435" s="32" t="s">
        <v>1</v>
      </c>
      <c r="B435" s="32">
        <f t="shared" ref="B435:B437" si="109">+B434+1</f>
        <v>2038</v>
      </c>
      <c r="C435" s="33" t="s">
        <v>8</v>
      </c>
      <c r="D435" s="34" t="s">
        <v>1999</v>
      </c>
      <c r="E435" s="35" t="str">
        <f t="shared" si="104"/>
        <v>PDP'!</v>
      </c>
      <c r="F435" s="34" t="str">
        <f t="shared" si="105"/>
        <v>C:\Users\jaime.benazar\Quorum Business Solutions\Ecopetrol Prometeo - Documents\Planning Space Implementation\3. Analysis &amp; Design\Design\FC22\DRR Jaime\QUIFA-CAJÚA\Cajua\[CAJUA_CF_SEC_New_27-Feb-2024Rev3.xlsx]D-PDP'!</v>
      </c>
      <c r="G435" s="32" t="s">
        <v>37</v>
      </c>
      <c r="H435" s="33">
        <f t="shared" si="108"/>
        <v>27</v>
      </c>
      <c r="I435" s="33" t="str">
        <f t="shared" si="106"/>
        <v>='C:\Users\jaime.benazar\Quorum Business Solutions\Ecopetrol Prometeo - Documents\Planning Space Implementation\3. Analysis &amp; Design\Design\FC22\DRR Jaime\QUIFA-CAJÚA\Cajua\[CAJUA_CF_SEC_New_27-Feb-2024Rev3.xlsx]D-PDP'!$BW$27</v>
      </c>
      <c r="J435" s="37" t="s">
        <v>2200</v>
      </c>
    </row>
    <row r="436" spans="1:10" x14ac:dyDescent="0.25">
      <c r="A436" s="32" t="s">
        <v>1</v>
      </c>
      <c r="B436" s="32">
        <f t="shared" si="109"/>
        <v>2039</v>
      </c>
      <c r="C436" s="33" t="s">
        <v>8</v>
      </c>
      <c r="D436" s="34" t="s">
        <v>1999</v>
      </c>
      <c r="E436" s="35" t="str">
        <f t="shared" si="104"/>
        <v>PDP'!</v>
      </c>
      <c r="F436" s="34" t="str">
        <f t="shared" si="105"/>
        <v>C:\Users\jaime.benazar\Quorum Business Solutions\Ecopetrol Prometeo - Documents\Planning Space Implementation\3. Analysis &amp; Design\Design\FC22\DRR Jaime\QUIFA-CAJÚA\Cajua\[CAJUA_CF_SEC_New_27-Feb-2024Rev3.xlsx]D-PDP'!</v>
      </c>
      <c r="G436" s="32" t="s">
        <v>37</v>
      </c>
      <c r="H436" s="33">
        <f t="shared" si="108"/>
        <v>28</v>
      </c>
      <c r="I436" s="33" t="str">
        <f t="shared" si="106"/>
        <v>='C:\Users\jaime.benazar\Quorum Business Solutions\Ecopetrol Prometeo - Documents\Planning Space Implementation\3. Analysis &amp; Design\Design\FC22\DRR Jaime\QUIFA-CAJÚA\Cajua\[CAJUA_CF_SEC_New_27-Feb-2024Rev3.xlsx]D-PDP'!$BW$28</v>
      </c>
      <c r="J436" s="37" t="s">
        <v>2201</v>
      </c>
    </row>
    <row r="437" spans="1:10" x14ac:dyDescent="0.25">
      <c r="A437" s="32" t="s">
        <v>1</v>
      </c>
      <c r="B437" s="32">
        <f t="shared" si="109"/>
        <v>2040</v>
      </c>
      <c r="C437" s="33" t="s">
        <v>8</v>
      </c>
      <c r="D437" s="34" t="s">
        <v>1999</v>
      </c>
      <c r="E437" s="35" t="str">
        <f t="shared" si="104"/>
        <v>PDP'!</v>
      </c>
      <c r="F437" s="34" t="str">
        <f t="shared" si="105"/>
        <v>C:\Users\jaime.benazar\Quorum Business Solutions\Ecopetrol Prometeo - Documents\Planning Space Implementation\3. Analysis &amp; Design\Design\FC22\DRR Jaime\QUIFA-CAJÚA\Cajua\[CAJUA_CF_SEC_New_27-Feb-2024Rev3.xlsx]D-PDP'!</v>
      </c>
      <c r="G437" s="32" t="s">
        <v>37</v>
      </c>
      <c r="H437" s="33">
        <f t="shared" si="108"/>
        <v>29</v>
      </c>
      <c r="I437" s="33" t="str">
        <f t="shared" si="106"/>
        <v>='C:\Users\jaime.benazar\Quorum Business Solutions\Ecopetrol Prometeo - Documents\Planning Space Implementation\3. Analysis &amp; Design\Design\FC22\DRR Jaime\QUIFA-CAJÚA\Cajua\[CAJUA_CF_SEC_New_27-Feb-2024Rev3.xlsx]D-PDP'!$BW$29</v>
      </c>
      <c r="J437" s="37" t="s">
        <v>2202</v>
      </c>
    </row>
    <row r="438" spans="1:10" x14ac:dyDescent="0.25">
      <c r="A438" s="32" t="s">
        <v>1</v>
      </c>
      <c r="B438" s="32">
        <f>+B437+1</f>
        <v>2041</v>
      </c>
      <c r="C438" s="33" t="s">
        <v>8</v>
      </c>
      <c r="D438" s="34" t="s">
        <v>1999</v>
      </c>
      <c r="E438" s="35" t="str">
        <f t="shared" si="104"/>
        <v>PDP'!</v>
      </c>
      <c r="F438" s="34" t="str">
        <f t="shared" si="105"/>
        <v>C:\Users\jaime.benazar\Quorum Business Solutions\Ecopetrol Prometeo - Documents\Planning Space Implementation\3. Analysis &amp; Design\Design\FC22\DRR Jaime\QUIFA-CAJÚA\Cajua\[CAJUA_CF_SEC_New_27-Feb-2024Rev3.xlsx]D-PDP'!</v>
      </c>
      <c r="G438" s="32" t="s">
        <v>37</v>
      </c>
      <c r="H438" s="33">
        <f t="shared" si="108"/>
        <v>30</v>
      </c>
      <c r="I438" s="33" t="str">
        <f t="shared" si="106"/>
        <v>='C:\Users\jaime.benazar\Quorum Business Solutions\Ecopetrol Prometeo - Documents\Planning Space Implementation\3. Analysis &amp; Design\Design\FC22\DRR Jaime\QUIFA-CAJÚA\Cajua\[CAJUA_CF_SEC_New_27-Feb-2024Rev3.xlsx]D-PDP'!$BW$30</v>
      </c>
      <c r="J438" s="37" t="s">
        <v>2203</v>
      </c>
    </row>
    <row r="439" spans="1:10" x14ac:dyDescent="0.25">
      <c r="A439" s="32" t="s">
        <v>1</v>
      </c>
      <c r="B439" s="32">
        <f t="shared" ref="B439:B440" si="110">+B438+1</f>
        <v>2042</v>
      </c>
      <c r="C439" s="33" t="s">
        <v>8</v>
      </c>
      <c r="D439" s="34" t="s">
        <v>1999</v>
      </c>
      <c r="E439" s="35" t="str">
        <f t="shared" si="104"/>
        <v>PDP'!</v>
      </c>
      <c r="F439" s="34" t="str">
        <f t="shared" si="105"/>
        <v>C:\Users\jaime.benazar\Quorum Business Solutions\Ecopetrol Prometeo - Documents\Planning Space Implementation\3. Analysis &amp; Design\Design\FC22\DRR Jaime\QUIFA-CAJÚA\Cajua\[CAJUA_CF_SEC_New_27-Feb-2024Rev3.xlsx]D-PDP'!</v>
      </c>
      <c r="G439" s="32" t="s">
        <v>37</v>
      </c>
      <c r="H439" s="33">
        <f t="shared" si="108"/>
        <v>31</v>
      </c>
      <c r="I439" s="33" t="str">
        <f t="shared" si="106"/>
        <v>='C:\Users\jaime.benazar\Quorum Business Solutions\Ecopetrol Prometeo - Documents\Planning Space Implementation\3. Analysis &amp; Design\Design\FC22\DRR Jaime\QUIFA-CAJÚA\Cajua\[CAJUA_CF_SEC_New_27-Feb-2024Rev3.xlsx]D-PDP'!$BW$31</v>
      </c>
      <c r="J439" s="37" t="s">
        <v>2204</v>
      </c>
    </row>
    <row r="440" spans="1:10" x14ac:dyDescent="0.25">
      <c r="A440" s="32" t="s">
        <v>1</v>
      </c>
      <c r="B440" s="32">
        <f t="shared" si="110"/>
        <v>2043</v>
      </c>
      <c r="C440" s="33" t="s">
        <v>8</v>
      </c>
      <c r="D440" s="34" t="s">
        <v>1999</v>
      </c>
      <c r="E440" s="35" t="str">
        <f t="shared" si="104"/>
        <v>PDP'!</v>
      </c>
      <c r="F440" s="34" t="str">
        <f t="shared" si="105"/>
        <v>C:\Users\jaime.benazar\Quorum Business Solutions\Ecopetrol Prometeo - Documents\Planning Space Implementation\3. Analysis &amp; Design\Design\FC22\DRR Jaime\QUIFA-CAJÚA\Cajua\[CAJUA_CF_SEC_New_27-Feb-2024Rev3.xlsx]D-PDP'!</v>
      </c>
      <c r="G440" s="32" t="s">
        <v>37</v>
      </c>
      <c r="H440" s="33">
        <f t="shared" si="108"/>
        <v>32</v>
      </c>
      <c r="I440" s="33" t="str">
        <f t="shared" si="106"/>
        <v>='C:\Users\jaime.benazar\Quorum Business Solutions\Ecopetrol Prometeo - Documents\Planning Space Implementation\3. Analysis &amp; Design\Design\FC22\DRR Jaime\QUIFA-CAJÚA\Cajua\[CAJUA_CF_SEC_New_27-Feb-2024Rev3.xlsx]D-PDP'!$BW$32</v>
      </c>
      <c r="J440" s="37" t="s">
        <v>2205</v>
      </c>
    </row>
    <row r="441" spans="1:10" x14ac:dyDescent="0.25">
      <c r="A441" s="32" t="s">
        <v>1</v>
      </c>
      <c r="B441" s="32">
        <f>+B440+1</f>
        <v>2044</v>
      </c>
      <c r="C441" s="33" t="s">
        <v>8</v>
      </c>
      <c r="D441" s="34" t="s">
        <v>1999</v>
      </c>
      <c r="E441" s="35" t="str">
        <f t="shared" ref="E441:E456" si="111">_xlfn.CONCAT(A441,"'!")</f>
        <v>PDP'!</v>
      </c>
      <c r="F441" s="34" t="str">
        <f t="shared" ref="F441:F456" si="112">_xlfn.CONCAT(D441:E441)</f>
        <v>C:\Users\jaime.benazar\Quorum Business Solutions\Ecopetrol Prometeo - Documents\Planning Space Implementation\3. Analysis &amp; Design\Design\FC22\DRR Jaime\QUIFA-CAJÚA\Cajua\[CAJUA_CF_SEC_New_27-Feb-2024Rev3.xlsx]D-PDP'!</v>
      </c>
      <c r="G441" s="32" t="s">
        <v>37</v>
      </c>
      <c r="H441" s="33">
        <f t="shared" ref="H441:H456" si="113">IF(A441&lt;&gt;A440,12,H440+1)</f>
        <v>33</v>
      </c>
      <c r="I441" s="33" t="str">
        <f t="shared" ref="I441:I456" si="114">_xlfn.CONCAT("='",F441:H441)</f>
        <v>='C:\Users\jaime.benazar\Quorum Business Solutions\Ecopetrol Prometeo - Documents\Planning Space Implementation\3. Analysis &amp; Design\Design\FC22\DRR Jaime\QUIFA-CAJÚA\Cajua\[CAJUA_CF_SEC_New_27-Feb-2024Rev3.xlsx]D-PDP'!$BW$33</v>
      </c>
      <c r="J441" s="37" t="s">
        <v>2206</v>
      </c>
    </row>
    <row r="442" spans="1:10" x14ac:dyDescent="0.25">
      <c r="A442" s="32" t="s">
        <v>1</v>
      </c>
      <c r="B442" s="32">
        <f t="shared" ref="B442:B456" si="115">+B441+1</f>
        <v>2045</v>
      </c>
      <c r="C442" s="33" t="s">
        <v>8</v>
      </c>
      <c r="D442" s="34" t="s">
        <v>1999</v>
      </c>
      <c r="E442" s="35" t="str">
        <f t="shared" si="111"/>
        <v>PDP'!</v>
      </c>
      <c r="F442" s="34" t="str">
        <f t="shared" si="112"/>
        <v>C:\Users\jaime.benazar\Quorum Business Solutions\Ecopetrol Prometeo - Documents\Planning Space Implementation\3. Analysis &amp; Design\Design\FC22\DRR Jaime\QUIFA-CAJÚA\Cajua\[CAJUA_CF_SEC_New_27-Feb-2024Rev3.xlsx]D-PDP'!</v>
      </c>
      <c r="G442" s="32" t="s">
        <v>37</v>
      </c>
      <c r="H442" s="33">
        <f t="shared" si="113"/>
        <v>34</v>
      </c>
      <c r="I442" s="33" t="str">
        <f t="shared" si="114"/>
        <v>='C:\Users\jaime.benazar\Quorum Business Solutions\Ecopetrol Prometeo - Documents\Planning Space Implementation\3. Analysis &amp; Design\Design\FC22\DRR Jaime\QUIFA-CAJÚA\Cajua\[CAJUA_CF_SEC_New_27-Feb-2024Rev3.xlsx]D-PDP'!$BW$34</v>
      </c>
      <c r="J442" s="37" t="s">
        <v>2207</v>
      </c>
    </row>
    <row r="443" spans="1:10" x14ac:dyDescent="0.25">
      <c r="A443" s="32" t="s">
        <v>1</v>
      </c>
      <c r="B443" s="32">
        <f t="shared" si="115"/>
        <v>2046</v>
      </c>
      <c r="C443" s="33" t="s">
        <v>8</v>
      </c>
      <c r="D443" s="34" t="s">
        <v>1999</v>
      </c>
      <c r="E443" s="35" t="str">
        <f t="shared" si="111"/>
        <v>PDP'!</v>
      </c>
      <c r="F443" s="34" t="str">
        <f t="shared" si="112"/>
        <v>C:\Users\jaime.benazar\Quorum Business Solutions\Ecopetrol Prometeo - Documents\Planning Space Implementation\3. Analysis &amp; Design\Design\FC22\DRR Jaime\QUIFA-CAJÚA\Cajua\[CAJUA_CF_SEC_New_27-Feb-2024Rev3.xlsx]D-PDP'!</v>
      </c>
      <c r="G443" s="32" t="s">
        <v>37</v>
      </c>
      <c r="H443" s="33">
        <f t="shared" si="113"/>
        <v>35</v>
      </c>
      <c r="I443" s="33" t="str">
        <f t="shared" si="114"/>
        <v>='C:\Users\jaime.benazar\Quorum Business Solutions\Ecopetrol Prometeo - Documents\Planning Space Implementation\3. Analysis &amp; Design\Design\FC22\DRR Jaime\QUIFA-CAJÚA\Cajua\[CAJUA_CF_SEC_New_27-Feb-2024Rev3.xlsx]D-PDP'!$BW$35</v>
      </c>
      <c r="J443" s="37" t="s">
        <v>2208</v>
      </c>
    </row>
    <row r="444" spans="1:10" x14ac:dyDescent="0.25">
      <c r="A444" s="32" t="s">
        <v>1</v>
      </c>
      <c r="B444" s="32">
        <f t="shared" si="115"/>
        <v>2047</v>
      </c>
      <c r="C444" s="33" t="s">
        <v>8</v>
      </c>
      <c r="D444" s="34" t="s">
        <v>1999</v>
      </c>
      <c r="E444" s="35" t="str">
        <f t="shared" si="111"/>
        <v>PDP'!</v>
      </c>
      <c r="F444" s="34" t="str">
        <f t="shared" si="112"/>
        <v>C:\Users\jaime.benazar\Quorum Business Solutions\Ecopetrol Prometeo - Documents\Planning Space Implementation\3. Analysis &amp; Design\Design\FC22\DRR Jaime\QUIFA-CAJÚA\Cajua\[CAJUA_CF_SEC_New_27-Feb-2024Rev3.xlsx]D-PDP'!</v>
      </c>
      <c r="G444" s="32" t="s">
        <v>37</v>
      </c>
      <c r="H444" s="33">
        <f t="shared" si="113"/>
        <v>36</v>
      </c>
      <c r="I444" s="33" t="str">
        <f t="shared" si="114"/>
        <v>='C:\Users\jaime.benazar\Quorum Business Solutions\Ecopetrol Prometeo - Documents\Planning Space Implementation\3. Analysis &amp; Design\Design\FC22\DRR Jaime\QUIFA-CAJÚA\Cajua\[CAJUA_CF_SEC_New_27-Feb-2024Rev3.xlsx]D-PDP'!$BW$36</v>
      </c>
      <c r="J444" s="37" t="s">
        <v>2209</v>
      </c>
    </row>
    <row r="445" spans="1:10" x14ac:dyDescent="0.25">
      <c r="A445" s="32" t="s">
        <v>1</v>
      </c>
      <c r="B445" s="32">
        <f t="shared" si="115"/>
        <v>2048</v>
      </c>
      <c r="C445" s="33" t="s">
        <v>8</v>
      </c>
      <c r="D445" s="34" t="s">
        <v>1999</v>
      </c>
      <c r="E445" s="35" t="str">
        <f t="shared" si="111"/>
        <v>PDP'!</v>
      </c>
      <c r="F445" s="34" t="str">
        <f t="shared" si="112"/>
        <v>C:\Users\jaime.benazar\Quorum Business Solutions\Ecopetrol Prometeo - Documents\Planning Space Implementation\3. Analysis &amp; Design\Design\FC22\DRR Jaime\QUIFA-CAJÚA\Cajua\[CAJUA_CF_SEC_New_27-Feb-2024Rev3.xlsx]D-PDP'!</v>
      </c>
      <c r="G445" s="32" t="s">
        <v>37</v>
      </c>
      <c r="H445" s="33">
        <f t="shared" si="113"/>
        <v>37</v>
      </c>
      <c r="I445" s="33" t="str">
        <f t="shared" si="114"/>
        <v>='C:\Users\jaime.benazar\Quorum Business Solutions\Ecopetrol Prometeo - Documents\Planning Space Implementation\3. Analysis &amp; Design\Design\FC22\DRR Jaime\QUIFA-CAJÚA\Cajua\[CAJUA_CF_SEC_New_27-Feb-2024Rev3.xlsx]D-PDP'!$BW$37</v>
      </c>
      <c r="J445" s="37" t="s">
        <v>2210</v>
      </c>
    </row>
    <row r="446" spans="1:10" x14ac:dyDescent="0.25">
      <c r="A446" s="32" t="s">
        <v>1</v>
      </c>
      <c r="B446" s="32">
        <f t="shared" si="115"/>
        <v>2049</v>
      </c>
      <c r="C446" s="33" t="s">
        <v>8</v>
      </c>
      <c r="D446" s="34" t="s">
        <v>1999</v>
      </c>
      <c r="E446" s="35" t="str">
        <f t="shared" si="111"/>
        <v>PDP'!</v>
      </c>
      <c r="F446" s="34" t="str">
        <f t="shared" si="112"/>
        <v>C:\Users\jaime.benazar\Quorum Business Solutions\Ecopetrol Prometeo - Documents\Planning Space Implementation\3. Analysis &amp; Design\Design\FC22\DRR Jaime\QUIFA-CAJÚA\Cajua\[CAJUA_CF_SEC_New_27-Feb-2024Rev3.xlsx]D-PDP'!</v>
      </c>
      <c r="G446" s="32" t="s">
        <v>37</v>
      </c>
      <c r="H446" s="33">
        <f t="shared" si="113"/>
        <v>38</v>
      </c>
      <c r="I446" s="33" t="str">
        <f t="shared" si="114"/>
        <v>='C:\Users\jaime.benazar\Quorum Business Solutions\Ecopetrol Prometeo - Documents\Planning Space Implementation\3. Analysis &amp; Design\Design\FC22\DRR Jaime\QUIFA-CAJÚA\Cajua\[CAJUA_CF_SEC_New_27-Feb-2024Rev3.xlsx]D-PDP'!$BW$38</v>
      </c>
      <c r="J446" s="37" t="s">
        <v>2211</v>
      </c>
    </row>
    <row r="447" spans="1:10" x14ac:dyDescent="0.25">
      <c r="A447" s="32" t="s">
        <v>1</v>
      </c>
      <c r="B447" s="32">
        <f t="shared" si="115"/>
        <v>2050</v>
      </c>
      <c r="C447" s="33" t="s">
        <v>8</v>
      </c>
      <c r="D447" s="34" t="s">
        <v>1999</v>
      </c>
      <c r="E447" s="35" t="str">
        <f t="shared" si="111"/>
        <v>PDP'!</v>
      </c>
      <c r="F447" s="34" t="str">
        <f t="shared" si="112"/>
        <v>C:\Users\jaime.benazar\Quorum Business Solutions\Ecopetrol Prometeo - Documents\Planning Space Implementation\3. Analysis &amp; Design\Design\FC22\DRR Jaime\QUIFA-CAJÚA\Cajua\[CAJUA_CF_SEC_New_27-Feb-2024Rev3.xlsx]D-PDP'!</v>
      </c>
      <c r="G447" s="32" t="s">
        <v>37</v>
      </c>
      <c r="H447" s="33">
        <f t="shared" si="113"/>
        <v>39</v>
      </c>
      <c r="I447" s="33" t="str">
        <f t="shared" si="114"/>
        <v>='C:\Users\jaime.benazar\Quorum Business Solutions\Ecopetrol Prometeo - Documents\Planning Space Implementation\3. Analysis &amp; Design\Design\FC22\DRR Jaime\QUIFA-CAJÚA\Cajua\[CAJUA_CF_SEC_New_27-Feb-2024Rev3.xlsx]D-PDP'!$BW$39</v>
      </c>
      <c r="J447" s="37" t="s">
        <v>2212</v>
      </c>
    </row>
    <row r="448" spans="1:10" x14ac:dyDescent="0.25">
      <c r="A448" s="32" t="s">
        <v>1</v>
      </c>
      <c r="B448" s="32">
        <f t="shared" si="115"/>
        <v>2051</v>
      </c>
      <c r="C448" s="33" t="s">
        <v>8</v>
      </c>
      <c r="D448" s="34" t="s">
        <v>1999</v>
      </c>
      <c r="E448" s="35" t="str">
        <f t="shared" si="111"/>
        <v>PDP'!</v>
      </c>
      <c r="F448" s="34" t="str">
        <f t="shared" si="112"/>
        <v>C:\Users\jaime.benazar\Quorum Business Solutions\Ecopetrol Prometeo - Documents\Planning Space Implementation\3. Analysis &amp; Design\Design\FC22\DRR Jaime\QUIFA-CAJÚA\Cajua\[CAJUA_CF_SEC_New_27-Feb-2024Rev3.xlsx]D-PDP'!</v>
      </c>
      <c r="G448" s="32" t="s">
        <v>37</v>
      </c>
      <c r="H448" s="33">
        <f t="shared" si="113"/>
        <v>40</v>
      </c>
      <c r="I448" s="33" t="str">
        <f t="shared" si="114"/>
        <v>='C:\Users\jaime.benazar\Quorum Business Solutions\Ecopetrol Prometeo - Documents\Planning Space Implementation\3. Analysis &amp; Design\Design\FC22\DRR Jaime\QUIFA-CAJÚA\Cajua\[CAJUA_CF_SEC_New_27-Feb-2024Rev3.xlsx]D-PDP'!$BW$40</v>
      </c>
      <c r="J448" s="37" t="s">
        <v>2213</v>
      </c>
    </row>
    <row r="449" spans="1:10" x14ac:dyDescent="0.25">
      <c r="A449" s="32" t="s">
        <v>1</v>
      </c>
      <c r="B449" s="32">
        <f t="shared" si="115"/>
        <v>2052</v>
      </c>
      <c r="C449" s="33" t="s">
        <v>8</v>
      </c>
      <c r="D449" s="34" t="s">
        <v>1999</v>
      </c>
      <c r="E449" s="35" t="str">
        <f t="shared" si="111"/>
        <v>PDP'!</v>
      </c>
      <c r="F449" s="34" t="str">
        <f t="shared" si="112"/>
        <v>C:\Users\jaime.benazar\Quorum Business Solutions\Ecopetrol Prometeo - Documents\Planning Space Implementation\3. Analysis &amp; Design\Design\FC22\DRR Jaime\QUIFA-CAJÚA\Cajua\[CAJUA_CF_SEC_New_27-Feb-2024Rev3.xlsx]D-PDP'!</v>
      </c>
      <c r="G449" s="32" t="s">
        <v>37</v>
      </c>
      <c r="H449" s="33">
        <f t="shared" si="113"/>
        <v>41</v>
      </c>
      <c r="I449" s="33" t="str">
        <f t="shared" si="114"/>
        <v>='C:\Users\jaime.benazar\Quorum Business Solutions\Ecopetrol Prometeo - Documents\Planning Space Implementation\3. Analysis &amp; Design\Design\FC22\DRR Jaime\QUIFA-CAJÚA\Cajua\[CAJUA_CF_SEC_New_27-Feb-2024Rev3.xlsx]D-PDP'!$BW$41</v>
      </c>
      <c r="J449" s="37" t="s">
        <v>2214</v>
      </c>
    </row>
    <row r="450" spans="1:10" x14ac:dyDescent="0.25">
      <c r="A450" s="32" t="s">
        <v>1</v>
      </c>
      <c r="B450" s="32">
        <f t="shared" si="115"/>
        <v>2053</v>
      </c>
      <c r="C450" s="33" t="s">
        <v>8</v>
      </c>
      <c r="D450" s="34" t="s">
        <v>1999</v>
      </c>
      <c r="E450" s="35" t="str">
        <f t="shared" si="111"/>
        <v>PDP'!</v>
      </c>
      <c r="F450" s="34" t="str">
        <f t="shared" si="112"/>
        <v>C:\Users\jaime.benazar\Quorum Business Solutions\Ecopetrol Prometeo - Documents\Planning Space Implementation\3. Analysis &amp; Design\Design\FC22\DRR Jaime\QUIFA-CAJÚA\Cajua\[CAJUA_CF_SEC_New_27-Feb-2024Rev3.xlsx]D-PDP'!</v>
      </c>
      <c r="G450" s="32" t="s">
        <v>37</v>
      </c>
      <c r="H450" s="33">
        <f t="shared" si="113"/>
        <v>42</v>
      </c>
      <c r="I450" s="33" t="str">
        <f t="shared" si="114"/>
        <v>='C:\Users\jaime.benazar\Quorum Business Solutions\Ecopetrol Prometeo - Documents\Planning Space Implementation\3. Analysis &amp; Design\Design\FC22\DRR Jaime\QUIFA-CAJÚA\Cajua\[CAJUA_CF_SEC_New_27-Feb-2024Rev3.xlsx]D-PDP'!$BW$42</v>
      </c>
      <c r="J450" s="37" t="s">
        <v>2215</v>
      </c>
    </row>
    <row r="451" spans="1:10" x14ac:dyDescent="0.25">
      <c r="A451" s="32" t="s">
        <v>1</v>
      </c>
      <c r="B451" s="32">
        <f t="shared" si="115"/>
        <v>2054</v>
      </c>
      <c r="C451" s="33" t="s">
        <v>8</v>
      </c>
      <c r="D451" s="34" t="s">
        <v>1999</v>
      </c>
      <c r="E451" s="35" t="str">
        <f t="shared" si="111"/>
        <v>PDP'!</v>
      </c>
      <c r="F451" s="34" t="str">
        <f t="shared" si="112"/>
        <v>C:\Users\jaime.benazar\Quorum Business Solutions\Ecopetrol Prometeo - Documents\Planning Space Implementation\3. Analysis &amp; Design\Design\FC22\DRR Jaime\QUIFA-CAJÚA\Cajua\[CAJUA_CF_SEC_New_27-Feb-2024Rev3.xlsx]D-PDP'!</v>
      </c>
      <c r="G451" s="32" t="s">
        <v>37</v>
      </c>
      <c r="H451" s="33">
        <f t="shared" si="113"/>
        <v>43</v>
      </c>
      <c r="I451" s="33" t="str">
        <f t="shared" si="114"/>
        <v>='C:\Users\jaime.benazar\Quorum Business Solutions\Ecopetrol Prometeo - Documents\Planning Space Implementation\3. Analysis &amp; Design\Design\FC22\DRR Jaime\QUIFA-CAJÚA\Cajua\[CAJUA_CF_SEC_New_27-Feb-2024Rev3.xlsx]D-PDP'!$BW$43</v>
      </c>
      <c r="J451" s="37" t="s">
        <v>2216</v>
      </c>
    </row>
    <row r="452" spans="1:10" x14ac:dyDescent="0.25">
      <c r="A452" s="32" t="s">
        <v>1</v>
      </c>
      <c r="B452" s="32">
        <f t="shared" si="115"/>
        <v>2055</v>
      </c>
      <c r="C452" s="33" t="s">
        <v>8</v>
      </c>
      <c r="D452" s="34" t="s">
        <v>1999</v>
      </c>
      <c r="E452" s="35" t="str">
        <f t="shared" si="111"/>
        <v>PDP'!</v>
      </c>
      <c r="F452" s="34" t="str">
        <f t="shared" si="112"/>
        <v>C:\Users\jaime.benazar\Quorum Business Solutions\Ecopetrol Prometeo - Documents\Planning Space Implementation\3. Analysis &amp; Design\Design\FC22\DRR Jaime\QUIFA-CAJÚA\Cajua\[CAJUA_CF_SEC_New_27-Feb-2024Rev3.xlsx]D-PDP'!</v>
      </c>
      <c r="G452" s="32" t="s">
        <v>37</v>
      </c>
      <c r="H452" s="33">
        <f t="shared" si="113"/>
        <v>44</v>
      </c>
      <c r="I452" s="33" t="str">
        <f t="shared" si="114"/>
        <v>='C:\Users\jaime.benazar\Quorum Business Solutions\Ecopetrol Prometeo - Documents\Planning Space Implementation\3. Analysis &amp; Design\Design\FC22\DRR Jaime\QUIFA-CAJÚA\Cajua\[CAJUA_CF_SEC_New_27-Feb-2024Rev3.xlsx]D-PDP'!$BW$44</v>
      </c>
      <c r="J452" s="37" t="s">
        <v>2217</v>
      </c>
    </row>
    <row r="453" spans="1:10" x14ac:dyDescent="0.25">
      <c r="A453" s="32" t="s">
        <v>1</v>
      </c>
      <c r="B453" s="32">
        <f t="shared" si="115"/>
        <v>2056</v>
      </c>
      <c r="C453" s="33" t="s">
        <v>8</v>
      </c>
      <c r="D453" s="34" t="s">
        <v>1999</v>
      </c>
      <c r="E453" s="35" t="str">
        <f t="shared" si="111"/>
        <v>PDP'!</v>
      </c>
      <c r="F453" s="34" t="str">
        <f t="shared" si="112"/>
        <v>C:\Users\jaime.benazar\Quorum Business Solutions\Ecopetrol Prometeo - Documents\Planning Space Implementation\3. Analysis &amp; Design\Design\FC22\DRR Jaime\QUIFA-CAJÚA\Cajua\[CAJUA_CF_SEC_New_27-Feb-2024Rev3.xlsx]D-PDP'!</v>
      </c>
      <c r="G453" s="32" t="s">
        <v>37</v>
      </c>
      <c r="H453" s="33">
        <f t="shared" si="113"/>
        <v>45</v>
      </c>
      <c r="I453" s="33" t="str">
        <f t="shared" si="114"/>
        <v>='C:\Users\jaime.benazar\Quorum Business Solutions\Ecopetrol Prometeo - Documents\Planning Space Implementation\3. Analysis &amp; Design\Design\FC22\DRR Jaime\QUIFA-CAJÚA\Cajua\[CAJUA_CF_SEC_New_27-Feb-2024Rev3.xlsx]D-PDP'!$BW$45</v>
      </c>
      <c r="J453" s="37" t="s">
        <v>2218</v>
      </c>
    </row>
    <row r="454" spans="1:10" x14ac:dyDescent="0.25">
      <c r="A454" s="32" t="s">
        <v>1</v>
      </c>
      <c r="B454" s="32">
        <f t="shared" si="115"/>
        <v>2057</v>
      </c>
      <c r="C454" s="33" t="s">
        <v>8</v>
      </c>
      <c r="D454" s="34" t="s">
        <v>1999</v>
      </c>
      <c r="E454" s="35" t="str">
        <f t="shared" si="111"/>
        <v>PDP'!</v>
      </c>
      <c r="F454" s="34" t="str">
        <f t="shared" si="112"/>
        <v>C:\Users\jaime.benazar\Quorum Business Solutions\Ecopetrol Prometeo - Documents\Planning Space Implementation\3. Analysis &amp; Design\Design\FC22\DRR Jaime\QUIFA-CAJÚA\Cajua\[CAJUA_CF_SEC_New_27-Feb-2024Rev3.xlsx]D-PDP'!</v>
      </c>
      <c r="G454" s="32" t="s">
        <v>37</v>
      </c>
      <c r="H454" s="33">
        <f t="shared" si="113"/>
        <v>46</v>
      </c>
      <c r="I454" s="33" t="str">
        <f t="shared" si="114"/>
        <v>='C:\Users\jaime.benazar\Quorum Business Solutions\Ecopetrol Prometeo - Documents\Planning Space Implementation\3. Analysis &amp; Design\Design\FC22\DRR Jaime\QUIFA-CAJÚA\Cajua\[CAJUA_CF_SEC_New_27-Feb-2024Rev3.xlsx]D-PDP'!$BW$46</v>
      </c>
      <c r="J454" s="37" t="s">
        <v>2219</v>
      </c>
    </row>
    <row r="455" spans="1:10" x14ac:dyDescent="0.25">
      <c r="A455" s="32" t="s">
        <v>1</v>
      </c>
      <c r="B455" s="32">
        <f t="shared" si="115"/>
        <v>2058</v>
      </c>
      <c r="C455" s="33" t="s">
        <v>8</v>
      </c>
      <c r="D455" s="34" t="s">
        <v>1999</v>
      </c>
      <c r="E455" s="35" t="str">
        <f t="shared" si="111"/>
        <v>PDP'!</v>
      </c>
      <c r="F455" s="34" t="str">
        <f t="shared" si="112"/>
        <v>C:\Users\jaime.benazar\Quorum Business Solutions\Ecopetrol Prometeo - Documents\Planning Space Implementation\3. Analysis &amp; Design\Design\FC22\DRR Jaime\QUIFA-CAJÚA\Cajua\[CAJUA_CF_SEC_New_27-Feb-2024Rev3.xlsx]D-PDP'!</v>
      </c>
      <c r="G455" s="32" t="s">
        <v>37</v>
      </c>
      <c r="H455" s="33">
        <f t="shared" si="113"/>
        <v>47</v>
      </c>
      <c r="I455" s="33" t="str">
        <f t="shared" si="114"/>
        <v>='C:\Users\jaime.benazar\Quorum Business Solutions\Ecopetrol Prometeo - Documents\Planning Space Implementation\3. Analysis &amp; Design\Design\FC22\DRR Jaime\QUIFA-CAJÚA\Cajua\[CAJUA_CF_SEC_New_27-Feb-2024Rev3.xlsx]D-PDP'!$BW$47</v>
      </c>
      <c r="J455" s="37" t="s">
        <v>2220</v>
      </c>
    </row>
    <row r="456" spans="1:10" x14ac:dyDescent="0.25">
      <c r="A456" s="32" t="s">
        <v>1</v>
      </c>
      <c r="B456" s="32">
        <f t="shared" si="115"/>
        <v>2059</v>
      </c>
      <c r="C456" s="33" t="s">
        <v>8</v>
      </c>
      <c r="D456" s="34" t="s">
        <v>1999</v>
      </c>
      <c r="E456" s="35" t="str">
        <f t="shared" si="111"/>
        <v>PDP'!</v>
      </c>
      <c r="F456" s="34" t="str">
        <f t="shared" si="112"/>
        <v>C:\Users\jaime.benazar\Quorum Business Solutions\Ecopetrol Prometeo - Documents\Planning Space Implementation\3. Analysis &amp; Design\Design\FC22\DRR Jaime\QUIFA-CAJÚA\Cajua\[CAJUA_CF_SEC_New_27-Feb-2024Rev3.xlsx]D-PDP'!</v>
      </c>
      <c r="G456" s="32" t="s">
        <v>37</v>
      </c>
      <c r="H456" s="33">
        <f t="shared" si="113"/>
        <v>48</v>
      </c>
      <c r="I456" s="33" t="str">
        <f t="shared" si="114"/>
        <v>='C:\Users\jaime.benazar\Quorum Business Solutions\Ecopetrol Prometeo - Documents\Planning Space Implementation\3. Analysis &amp; Design\Design\FC22\DRR Jaime\QUIFA-CAJÚA\Cajua\[CAJUA_CF_SEC_New_27-Feb-2024Rev3.xlsx]D-PDP'!$BW$48</v>
      </c>
      <c r="J456" s="37" t="s">
        <v>2221</v>
      </c>
    </row>
    <row r="457" spans="1:10" x14ac:dyDescent="0.25">
      <c r="A457" s="32" t="s">
        <v>28</v>
      </c>
      <c r="B457" s="32"/>
      <c r="C457" s="33" t="s">
        <v>8</v>
      </c>
      <c r="D457" s="34"/>
      <c r="E457" s="35"/>
      <c r="F457" s="34"/>
      <c r="G457" s="32"/>
      <c r="H457" s="33"/>
      <c r="I457" s="33"/>
      <c r="J457" s="33"/>
    </row>
    <row r="458" spans="1:10" x14ac:dyDescent="0.25">
      <c r="A458" s="32" t="s">
        <v>2</v>
      </c>
      <c r="B458" s="32">
        <v>2023</v>
      </c>
      <c r="C458" s="33" t="s">
        <v>8</v>
      </c>
      <c r="D458" s="34" t="s">
        <v>1999</v>
      </c>
      <c r="E458" s="35" t="str">
        <f t="shared" si="104"/>
        <v>PNP'!</v>
      </c>
      <c r="F458" s="34" t="str">
        <f t="shared" si="105"/>
        <v>C:\Users\jaime.benazar\Quorum Business Solutions\Ecopetrol Prometeo - Documents\Planning Space Implementation\3. Analysis &amp; Design\Design\FC22\DRR Jaime\QUIFA-CAJÚA\Cajua\[CAJUA_CF_SEC_New_27-Feb-2024Rev3.xlsx]D-PNP'!</v>
      </c>
      <c r="G458" s="32" t="s">
        <v>37</v>
      </c>
      <c r="H458" s="33">
        <v>12</v>
      </c>
      <c r="I458" s="33" t="str">
        <f t="shared" si="106"/>
        <v>='C:\Users\jaime.benazar\Quorum Business Solutions\Ecopetrol Prometeo - Documents\Planning Space Implementation\3. Analysis &amp; Design\Design\FC22\DRR Jaime\QUIFA-CAJÚA\Cajua\[CAJUA_CF_SEC_New_27-Feb-2024Rev3.xlsx]D-PNP'!$BW$12</v>
      </c>
      <c r="J458" s="37" t="s">
        <v>2222</v>
      </c>
    </row>
    <row r="459" spans="1:10" x14ac:dyDescent="0.25">
      <c r="A459" s="32" t="s">
        <v>2</v>
      </c>
      <c r="B459" s="32">
        <f>+B458+1</f>
        <v>2024</v>
      </c>
      <c r="C459" s="33" t="s">
        <v>8</v>
      </c>
      <c r="D459" s="34" t="s">
        <v>1999</v>
      </c>
      <c r="E459" s="35" t="str">
        <f t="shared" si="104"/>
        <v>PNP'!</v>
      </c>
      <c r="F459" s="34" t="str">
        <f t="shared" si="105"/>
        <v>C:\Users\jaime.benazar\Quorum Business Solutions\Ecopetrol Prometeo - Documents\Planning Space Implementation\3. Analysis &amp; Design\Design\FC22\DRR Jaime\QUIFA-CAJÚA\Cajua\[CAJUA_CF_SEC_New_27-Feb-2024Rev3.xlsx]D-PNP'!</v>
      </c>
      <c r="G459" s="32" t="s">
        <v>37</v>
      </c>
      <c r="H459" s="33">
        <f>IF(A459&lt;&gt;A458,12,H458+1)</f>
        <v>13</v>
      </c>
      <c r="I459" s="33" t="str">
        <f t="shared" si="106"/>
        <v>='C:\Users\jaime.benazar\Quorum Business Solutions\Ecopetrol Prometeo - Documents\Planning Space Implementation\3. Analysis &amp; Design\Design\FC22\DRR Jaime\QUIFA-CAJÚA\Cajua\[CAJUA_CF_SEC_New_27-Feb-2024Rev3.xlsx]D-PNP'!$BW$13</v>
      </c>
      <c r="J459" s="37" t="s">
        <v>2223</v>
      </c>
    </row>
    <row r="460" spans="1:10" x14ac:dyDescent="0.25">
      <c r="A460" s="32" t="s">
        <v>2</v>
      </c>
      <c r="B460" s="32">
        <f t="shared" ref="B460:B471" si="116">+B459+1</f>
        <v>2025</v>
      </c>
      <c r="C460" s="33" t="s">
        <v>8</v>
      </c>
      <c r="D460" s="34" t="s">
        <v>1999</v>
      </c>
      <c r="E460" s="35" t="str">
        <f t="shared" si="104"/>
        <v>PNP'!</v>
      </c>
      <c r="F460" s="34" t="str">
        <f t="shared" si="105"/>
        <v>C:\Users\jaime.benazar\Quorum Business Solutions\Ecopetrol Prometeo - Documents\Planning Space Implementation\3. Analysis &amp; Design\Design\FC22\DRR Jaime\QUIFA-CAJÚA\Cajua\[CAJUA_CF_SEC_New_27-Feb-2024Rev3.xlsx]D-PNP'!</v>
      </c>
      <c r="G460" s="32" t="s">
        <v>37</v>
      </c>
      <c r="H460" s="33">
        <f t="shared" ref="H460:H478" si="117">IF(A460&lt;&gt;A459,12,H459+1)</f>
        <v>14</v>
      </c>
      <c r="I460" s="33" t="str">
        <f t="shared" si="106"/>
        <v>='C:\Users\jaime.benazar\Quorum Business Solutions\Ecopetrol Prometeo - Documents\Planning Space Implementation\3. Analysis &amp; Design\Design\FC22\DRR Jaime\QUIFA-CAJÚA\Cajua\[CAJUA_CF_SEC_New_27-Feb-2024Rev3.xlsx]D-PNP'!$BW$14</v>
      </c>
      <c r="J460" s="37" t="s">
        <v>2224</v>
      </c>
    </row>
    <row r="461" spans="1:10" x14ac:dyDescent="0.25">
      <c r="A461" s="32" t="s">
        <v>2</v>
      </c>
      <c r="B461" s="32">
        <f t="shared" si="116"/>
        <v>2026</v>
      </c>
      <c r="C461" s="33" t="s">
        <v>8</v>
      </c>
      <c r="D461" s="34" t="s">
        <v>1999</v>
      </c>
      <c r="E461" s="35" t="str">
        <f t="shared" si="104"/>
        <v>PNP'!</v>
      </c>
      <c r="F461" s="34" t="str">
        <f t="shared" si="105"/>
        <v>C:\Users\jaime.benazar\Quorum Business Solutions\Ecopetrol Prometeo - Documents\Planning Space Implementation\3. Analysis &amp; Design\Design\FC22\DRR Jaime\QUIFA-CAJÚA\Cajua\[CAJUA_CF_SEC_New_27-Feb-2024Rev3.xlsx]D-PNP'!</v>
      </c>
      <c r="G461" s="32" t="s">
        <v>37</v>
      </c>
      <c r="H461" s="33">
        <f t="shared" si="117"/>
        <v>15</v>
      </c>
      <c r="I461" s="33" t="str">
        <f t="shared" si="106"/>
        <v>='C:\Users\jaime.benazar\Quorum Business Solutions\Ecopetrol Prometeo - Documents\Planning Space Implementation\3. Analysis &amp; Design\Design\FC22\DRR Jaime\QUIFA-CAJÚA\Cajua\[CAJUA_CF_SEC_New_27-Feb-2024Rev3.xlsx]D-PNP'!$BW$15</v>
      </c>
      <c r="J461" s="37" t="s">
        <v>2225</v>
      </c>
    </row>
    <row r="462" spans="1:10" x14ac:dyDescent="0.25">
      <c r="A462" s="32" t="s">
        <v>2</v>
      </c>
      <c r="B462" s="32">
        <f t="shared" si="116"/>
        <v>2027</v>
      </c>
      <c r="C462" s="33" t="s">
        <v>8</v>
      </c>
      <c r="D462" s="34" t="s">
        <v>1999</v>
      </c>
      <c r="E462" s="35" t="str">
        <f t="shared" si="104"/>
        <v>PNP'!</v>
      </c>
      <c r="F462" s="34" t="str">
        <f t="shared" si="105"/>
        <v>C:\Users\jaime.benazar\Quorum Business Solutions\Ecopetrol Prometeo - Documents\Planning Space Implementation\3. Analysis &amp; Design\Design\FC22\DRR Jaime\QUIFA-CAJÚA\Cajua\[CAJUA_CF_SEC_New_27-Feb-2024Rev3.xlsx]D-PNP'!</v>
      </c>
      <c r="G462" s="32" t="s">
        <v>37</v>
      </c>
      <c r="H462" s="33">
        <f t="shared" si="117"/>
        <v>16</v>
      </c>
      <c r="I462" s="33" t="str">
        <f t="shared" si="106"/>
        <v>='C:\Users\jaime.benazar\Quorum Business Solutions\Ecopetrol Prometeo - Documents\Planning Space Implementation\3. Analysis &amp; Design\Design\FC22\DRR Jaime\QUIFA-CAJÚA\Cajua\[CAJUA_CF_SEC_New_27-Feb-2024Rev3.xlsx]D-PNP'!$BW$16</v>
      </c>
      <c r="J462" s="37" t="s">
        <v>2226</v>
      </c>
    </row>
    <row r="463" spans="1:10" x14ac:dyDescent="0.25">
      <c r="A463" s="32" t="s">
        <v>2</v>
      </c>
      <c r="B463" s="32">
        <f t="shared" si="116"/>
        <v>2028</v>
      </c>
      <c r="C463" s="33" t="s">
        <v>8</v>
      </c>
      <c r="D463" s="34" t="s">
        <v>1999</v>
      </c>
      <c r="E463" s="35" t="str">
        <f t="shared" si="104"/>
        <v>PNP'!</v>
      </c>
      <c r="F463" s="34" t="str">
        <f t="shared" si="105"/>
        <v>C:\Users\jaime.benazar\Quorum Business Solutions\Ecopetrol Prometeo - Documents\Planning Space Implementation\3. Analysis &amp; Design\Design\FC22\DRR Jaime\QUIFA-CAJÚA\Cajua\[CAJUA_CF_SEC_New_27-Feb-2024Rev3.xlsx]D-PNP'!</v>
      </c>
      <c r="G463" s="32" t="s">
        <v>37</v>
      </c>
      <c r="H463" s="33">
        <f t="shared" si="117"/>
        <v>17</v>
      </c>
      <c r="I463" s="33" t="str">
        <f t="shared" si="106"/>
        <v>='C:\Users\jaime.benazar\Quorum Business Solutions\Ecopetrol Prometeo - Documents\Planning Space Implementation\3. Analysis &amp; Design\Design\FC22\DRR Jaime\QUIFA-CAJÚA\Cajua\[CAJUA_CF_SEC_New_27-Feb-2024Rev3.xlsx]D-PNP'!$BW$17</v>
      </c>
      <c r="J463" s="37" t="s">
        <v>2227</v>
      </c>
    </row>
    <row r="464" spans="1:10" x14ac:dyDescent="0.25">
      <c r="A464" s="32" t="s">
        <v>2</v>
      </c>
      <c r="B464" s="32">
        <f t="shared" si="116"/>
        <v>2029</v>
      </c>
      <c r="C464" s="33" t="s">
        <v>8</v>
      </c>
      <c r="D464" s="34" t="s">
        <v>1999</v>
      </c>
      <c r="E464" s="35" t="str">
        <f t="shared" si="104"/>
        <v>PNP'!</v>
      </c>
      <c r="F464" s="34" t="str">
        <f t="shared" si="105"/>
        <v>C:\Users\jaime.benazar\Quorum Business Solutions\Ecopetrol Prometeo - Documents\Planning Space Implementation\3. Analysis &amp; Design\Design\FC22\DRR Jaime\QUIFA-CAJÚA\Cajua\[CAJUA_CF_SEC_New_27-Feb-2024Rev3.xlsx]D-PNP'!</v>
      </c>
      <c r="G464" s="32" t="s">
        <v>37</v>
      </c>
      <c r="H464" s="33">
        <f t="shared" si="117"/>
        <v>18</v>
      </c>
      <c r="I464" s="33" t="str">
        <f t="shared" si="106"/>
        <v>='C:\Users\jaime.benazar\Quorum Business Solutions\Ecopetrol Prometeo - Documents\Planning Space Implementation\3. Analysis &amp; Design\Design\FC22\DRR Jaime\QUIFA-CAJÚA\Cajua\[CAJUA_CF_SEC_New_27-Feb-2024Rev3.xlsx]D-PNP'!$BW$18</v>
      </c>
      <c r="J464" s="37" t="s">
        <v>2228</v>
      </c>
    </row>
    <row r="465" spans="1:10" x14ac:dyDescent="0.25">
      <c r="A465" s="32" t="s">
        <v>2</v>
      </c>
      <c r="B465" s="32">
        <f t="shared" si="116"/>
        <v>2030</v>
      </c>
      <c r="C465" s="33" t="s">
        <v>8</v>
      </c>
      <c r="D465" s="34" t="s">
        <v>1999</v>
      </c>
      <c r="E465" s="35" t="str">
        <f t="shared" si="104"/>
        <v>PNP'!</v>
      </c>
      <c r="F465" s="34" t="str">
        <f t="shared" si="105"/>
        <v>C:\Users\jaime.benazar\Quorum Business Solutions\Ecopetrol Prometeo - Documents\Planning Space Implementation\3. Analysis &amp; Design\Design\FC22\DRR Jaime\QUIFA-CAJÚA\Cajua\[CAJUA_CF_SEC_New_27-Feb-2024Rev3.xlsx]D-PNP'!</v>
      </c>
      <c r="G465" s="32" t="s">
        <v>37</v>
      </c>
      <c r="H465" s="33">
        <f t="shared" si="117"/>
        <v>19</v>
      </c>
      <c r="I465" s="33" t="str">
        <f t="shared" si="106"/>
        <v>='C:\Users\jaime.benazar\Quorum Business Solutions\Ecopetrol Prometeo - Documents\Planning Space Implementation\3. Analysis &amp; Design\Design\FC22\DRR Jaime\QUIFA-CAJÚA\Cajua\[CAJUA_CF_SEC_New_27-Feb-2024Rev3.xlsx]D-PNP'!$BW$19</v>
      </c>
      <c r="J465" s="37" t="s">
        <v>2229</v>
      </c>
    </row>
    <row r="466" spans="1:10" x14ac:dyDescent="0.25">
      <c r="A466" s="32" t="s">
        <v>2</v>
      </c>
      <c r="B466" s="32">
        <f t="shared" si="116"/>
        <v>2031</v>
      </c>
      <c r="C466" s="33" t="s">
        <v>8</v>
      </c>
      <c r="D466" s="34" t="s">
        <v>1999</v>
      </c>
      <c r="E466" s="35" t="str">
        <f t="shared" si="104"/>
        <v>PNP'!</v>
      </c>
      <c r="F466" s="34" t="str">
        <f t="shared" si="105"/>
        <v>C:\Users\jaime.benazar\Quorum Business Solutions\Ecopetrol Prometeo - Documents\Planning Space Implementation\3. Analysis &amp; Design\Design\FC22\DRR Jaime\QUIFA-CAJÚA\Cajua\[CAJUA_CF_SEC_New_27-Feb-2024Rev3.xlsx]D-PNP'!</v>
      </c>
      <c r="G466" s="32" t="s">
        <v>37</v>
      </c>
      <c r="H466" s="33">
        <f t="shared" si="117"/>
        <v>20</v>
      </c>
      <c r="I466" s="33" t="str">
        <f t="shared" si="106"/>
        <v>='C:\Users\jaime.benazar\Quorum Business Solutions\Ecopetrol Prometeo - Documents\Planning Space Implementation\3. Analysis &amp; Design\Design\FC22\DRR Jaime\QUIFA-CAJÚA\Cajua\[CAJUA_CF_SEC_New_27-Feb-2024Rev3.xlsx]D-PNP'!$BW$20</v>
      </c>
      <c r="J466" s="37" t="s">
        <v>2230</v>
      </c>
    </row>
    <row r="467" spans="1:10" x14ac:dyDescent="0.25">
      <c r="A467" s="32" t="s">
        <v>2</v>
      </c>
      <c r="B467" s="32">
        <f t="shared" si="116"/>
        <v>2032</v>
      </c>
      <c r="C467" s="33" t="s">
        <v>8</v>
      </c>
      <c r="D467" s="34" t="s">
        <v>1999</v>
      </c>
      <c r="E467" s="35" t="str">
        <f t="shared" si="104"/>
        <v>PNP'!</v>
      </c>
      <c r="F467" s="34" t="str">
        <f t="shared" si="105"/>
        <v>C:\Users\jaime.benazar\Quorum Business Solutions\Ecopetrol Prometeo - Documents\Planning Space Implementation\3. Analysis &amp; Design\Design\FC22\DRR Jaime\QUIFA-CAJÚA\Cajua\[CAJUA_CF_SEC_New_27-Feb-2024Rev3.xlsx]D-PNP'!</v>
      </c>
      <c r="G467" s="32" t="s">
        <v>37</v>
      </c>
      <c r="H467" s="33">
        <f t="shared" si="117"/>
        <v>21</v>
      </c>
      <c r="I467" s="33" t="str">
        <f t="shared" si="106"/>
        <v>='C:\Users\jaime.benazar\Quorum Business Solutions\Ecopetrol Prometeo - Documents\Planning Space Implementation\3. Analysis &amp; Design\Design\FC22\DRR Jaime\QUIFA-CAJÚA\Cajua\[CAJUA_CF_SEC_New_27-Feb-2024Rev3.xlsx]D-PNP'!$BW$21</v>
      </c>
      <c r="J467" s="37" t="s">
        <v>2231</v>
      </c>
    </row>
    <row r="468" spans="1:10" x14ac:dyDescent="0.25">
      <c r="A468" s="32" t="s">
        <v>2</v>
      </c>
      <c r="B468" s="32">
        <f t="shared" si="116"/>
        <v>2033</v>
      </c>
      <c r="C468" s="33" t="s">
        <v>8</v>
      </c>
      <c r="D468" s="34" t="s">
        <v>1999</v>
      </c>
      <c r="E468" s="35" t="str">
        <f t="shared" si="104"/>
        <v>PNP'!</v>
      </c>
      <c r="F468" s="34" t="str">
        <f t="shared" si="105"/>
        <v>C:\Users\jaime.benazar\Quorum Business Solutions\Ecopetrol Prometeo - Documents\Planning Space Implementation\3. Analysis &amp; Design\Design\FC22\DRR Jaime\QUIFA-CAJÚA\Cajua\[CAJUA_CF_SEC_New_27-Feb-2024Rev3.xlsx]D-PNP'!</v>
      </c>
      <c r="G468" s="32" t="s">
        <v>37</v>
      </c>
      <c r="H468" s="33">
        <f t="shared" si="117"/>
        <v>22</v>
      </c>
      <c r="I468" s="33" t="str">
        <f t="shared" si="106"/>
        <v>='C:\Users\jaime.benazar\Quorum Business Solutions\Ecopetrol Prometeo - Documents\Planning Space Implementation\3. Analysis &amp; Design\Design\FC22\DRR Jaime\QUIFA-CAJÚA\Cajua\[CAJUA_CF_SEC_New_27-Feb-2024Rev3.xlsx]D-PNP'!$BW$22</v>
      </c>
      <c r="J468" s="37" t="s">
        <v>2232</v>
      </c>
    </row>
    <row r="469" spans="1:10" x14ac:dyDescent="0.25">
      <c r="A469" s="32" t="s">
        <v>2</v>
      </c>
      <c r="B469" s="32">
        <f t="shared" si="116"/>
        <v>2034</v>
      </c>
      <c r="C469" s="33" t="s">
        <v>8</v>
      </c>
      <c r="D469" s="34" t="s">
        <v>1999</v>
      </c>
      <c r="E469" s="35" t="str">
        <f t="shared" si="104"/>
        <v>PNP'!</v>
      </c>
      <c r="F469" s="34" t="str">
        <f t="shared" si="105"/>
        <v>C:\Users\jaime.benazar\Quorum Business Solutions\Ecopetrol Prometeo - Documents\Planning Space Implementation\3. Analysis &amp; Design\Design\FC22\DRR Jaime\QUIFA-CAJÚA\Cajua\[CAJUA_CF_SEC_New_27-Feb-2024Rev3.xlsx]D-PNP'!</v>
      </c>
      <c r="G469" s="32" t="s">
        <v>37</v>
      </c>
      <c r="H469" s="33">
        <f t="shared" si="117"/>
        <v>23</v>
      </c>
      <c r="I469" s="33" t="str">
        <f t="shared" si="106"/>
        <v>='C:\Users\jaime.benazar\Quorum Business Solutions\Ecopetrol Prometeo - Documents\Planning Space Implementation\3. Analysis &amp; Design\Design\FC22\DRR Jaime\QUIFA-CAJÚA\Cajua\[CAJUA_CF_SEC_New_27-Feb-2024Rev3.xlsx]D-PNP'!$BW$23</v>
      </c>
      <c r="J469" s="37" t="s">
        <v>2233</v>
      </c>
    </row>
    <row r="470" spans="1:10" x14ac:dyDescent="0.25">
      <c r="A470" s="32" t="s">
        <v>2</v>
      </c>
      <c r="B470" s="32">
        <f t="shared" si="116"/>
        <v>2035</v>
      </c>
      <c r="C470" s="33" t="s">
        <v>8</v>
      </c>
      <c r="D470" s="34" t="s">
        <v>1999</v>
      </c>
      <c r="E470" s="35" t="str">
        <f t="shared" si="104"/>
        <v>PNP'!</v>
      </c>
      <c r="F470" s="34" t="str">
        <f t="shared" si="105"/>
        <v>C:\Users\jaime.benazar\Quorum Business Solutions\Ecopetrol Prometeo - Documents\Planning Space Implementation\3. Analysis &amp; Design\Design\FC22\DRR Jaime\QUIFA-CAJÚA\Cajua\[CAJUA_CF_SEC_New_27-Feb-2024Rev3.xlsx]D-PNP'!</v>
      </c>
      <c r="G470" s="32" t="s">
        <v>37</v>
      </c>
      <c r="H470" s="33">
        <f t="shared" si="117"/>
        <v>24</v>
      </c>
      <c r="I470" s="33" t="str">
        <f t="shared" si="106"/>
        <v>='C:\Users\jaime.benazar\Quorum Business Solutions\Ecopetrol Prometeo - Documents\Planning Space Implementation\3. Analysis &amp; Design\Design\FC22\DRR Jaime\QUIFA-CAJÚA\Cajua\[CAJUA_CF_SEC_New_27-Feb-2024Rev3.xlsx]D-PNP'!$BW$24</v>
      </c>
      <c r="J470" s="37" t="s">
        <v>2234</v>
      </c>
    </row>
    <row r="471" spans="1:10" x14ac:dyDescent="0.25">
      <c r="A471" s="32" t="s">
        <v>2</v>
      </c>
      <c r="B471" s="32">
        <f t="shared" si="116"/>
        <v>2036</v>
      </c>
      <c r="C471" s="33" t="s">
        <v>8</v>
      </c>
      <c r="D471" s="34" t="s">
        <v>1999</v>
      </c>
      <c r="E471" s="35" t="str">
        <f t="shared" si="104"/>
        <v>PNP'!</v>
      </c>
      <c r="F471" s="34" t="str">
        <f t="shared" si="105"/>
        <v>C:\Users\jaime.benazar\Quorum Business Solutions\Ecopetrol Prometeo - Documents\Planning Space Implementation\3. Analysis &amp; Design\Design\FC22\DRR Jaime\QUIFA-CAJÚA\Cajua\[CAJUA_CF_SEC_New_27-Feb-2024Rev3.xlsx]D-PNP'!</v>
      </c>
      <c r="G471" s="32" t="s">
        <v>37</v>
      </c>
      <c r="H471" s="33">
        <f t="shared" si="117"/>
        <v>25</v>
      </c>
      <c r="I471" s="33" t="str">
        <f t="shared" si="106"/>
        <v>='C:\Users\jaime.benazar\Quorum Business Solutions\Ecopetrol Prometeo - Documents\Planning Space Implementation\3. Analysis &amp; Design\Design\FC22\DRR Jaime\QUIFA-CAJÚA\Cajua\[CAJUA_CF_SEC_New_27-Feb-2024Rev3.xlsx]D-PNP'!$BW$25</v>
      </c>
      <c r="J471" s="37" t="s">
        <v>2235</v>
      </c>
    </row>
    <row r="472" spans="1:10" x14ac:dyDescent="0.25">
      <c r="A472" s="32" t="s">
        <v>2</v>
      </c>
      <c r="B472" s="32">
        <f>+B471+1</f>
        <v>2037</v>
      </c>
      <c r="C472" s="33" t="s">
        <v>8</v>
      </c>
      <c r="D472" s="34" t="s">
        <v>1999</v>
      </c>
      <c r="E472" s="35" t="str">
        <f t="shared" si="104"/>
        <v>PNP'!</v>
      </c>
      <c r="F472" s="34" t="str">
        <f t="shared" si="105"/>
        <v>C:\Users\jaime.benazar\Quorum Business Solutions\Ecopetrol Prometeo - Documents\Planning Space Implementation\3. Analysis &amp; Design\Design\FC22\DRR Jaime\QUIFA-CAJÚA\Cajua\[CAJUA_CF_SEC_New_27-Feb-2024Rev3.xlsx]D-PNP'!</v>
      </c>
      <c r="G472" s="32" t="s">
        <v>37</v>
      </c>
      <c r="H472" s="33">
        <f t="shared" si="117"/>
        <v>26</v>
      </c>
      <c r="I472" s="33" t="str">
        <f t="shared" si="106"/>
        <v>='C:\Users\jaime.benazar\Quorum Business Solutions\Ecopetrol Prometeo - Documents\Planning Space Implementation\3. Analysis &amp; Design\Design\FC22\DRR Jaime\QUIFA-CAJÚA\Cajua\[CAJUA_CF_SEC_New_27-Feb-2024Rev3.xlsx]D-PNP'!$BW$26</v>
      </c>
      <c r="J472" s="37" t="s">
        <v>2236</v>
      </c>
    </row>
    <row r="473" spans="1:10" x14ac:dyDescent="0.25">
      <c r="A473" s="32" t="s">
        <v>2</v>
      </c>
      <c r="B473" s="32">
        <f t="shared" ref="B473:B475" si="118">+B472+1</f>
        <v>2038</v>
      </c>
      <c r="C473" s="33" t="s">
        <v>8</v>
      </c>
      <c r="D473" s="34" t="s">
        <v>1999</v>
      </c>
      <c r="E473" s="35" t="str">
        <f t="shared" si="104"/>
        <v>PNP'!</v>
      </c>
      <c r="F473" s="34" t="str">
        <f t="shared" si="105"/>
        <v>C:\Users\jaime.benazar\Quorum Business Solutions\Ecopetrol Prometeo - Documents\Planning Space Implementation\3. Analysis &amp; Design\Design\FC22\DRR Jaime\QUIFA-CAJÚA\Cajua\[CAJUA_CF_SEC_New_27-Feb-2024Rev3.xlsx]D-PNP'!</v>
      </c>
      <c r="G473" s="32" t="s">
        <v>37</v>
      </c>
      <c r="H473" s="33">
        <f t="shared" si="117"/>
        <v>27</v>
      </c>
      <c r="I473" s="33" t="str">
        <f t="shared" si="106"/>
        <v>='C:\Users\jaime.benazar\Quorum Business Solutions\Ecopetrol Prometeo - Documents\Planning Space Implementation\3. Analysis &amp; Design\Design\FC22\DRR Jaime\QUIFA-CAJÚA\Cajua\[CAJUA_CF_SEC_New_27-Feb-2024Rev3.xlsx]D-PNP'!$BW$27</v>
      </c>
      <c r="J473" s="37" t="s">
        <v>2237</v>
      </c>
    </row>
    <row r="474" spans="1:10" x14ac:dyDescent="0.25">
      <c r="A474" s="32" t="s">
        <v>2</v>
      </c>
      <c r="B474" s="32">
        <f t="shared" si="118"/>
        <v>2039</v>
      </c>
      <c r="C474" s="33" t="s">
        <v>8</v>
      </c>
      <c r="D474" s="34" t="s">
        <v>1999</v>
      </c>
      <c r="E474" s="35" t="str">
        <f t="shared" si="104"/>
        <v>PNP'!</v>
      </c>
      <c r="F474" s="34" t="str">
        <f t="shared" si="105"/>
        <v>C:\Users\jaime.benazar\Quorum Business Solutions\Ecopetrol Prometeo - Documents\Planning Space Implementation\3. Analysis &amp; Design\Design\FC22\DRR Jaime\QUIFA-CAJÚA\Cajua\[CAJUA_CF_SEC_New_27-Feb-2024Rev3.xlsx]D-PNP'!</v>
      </c>
      <c r="G474" s="32" t="s">
        <v>37</v>
      </c>
      <c r="H474" s="33">
        <f t="shared" si="117"/>
        <v>28</v>
      </c>
      <c r="I474" s="33" t="str">
        <f t="shared" si="106"/>
        <v>='C:\Users\jaime.benazar\Quorum Business Solutions\Ecopetrol Prometeo - Documents\Planning Space Implementation\3. Analysis &amp; Design\Design\FC22\DRR Jaime\QUIFA-CAJÚA\Cajua\[CAJUA_CF_SEC_New_27-Feb-2024Rev3.xlsx]D-PNP'!$BW$28</v>
      </c>
      <c r="J474" s="37" t="s">
        <v>2238</v>
      </c>
    </row>
    <row r="475" spans="1:10" x14ac:dyDescent="0.25">
      <c r="A475" s="32" t="s">
        <v>2</v>
      </c>
      <c r="B475" s="32">
        <f t="shared" si="118"/>
        <v>2040</v>
      </c>
      <c r="C475" s="33" t="s">
        <v>8</v>
      </c>
      <c r="D475" s="34" t="s">
        <v>1999</v>
      </c>
      <c r="E475" s="35" t="str">
        <f t="shared" si="104"/>
        <v>PNP'!</v>
      </c>
      <c r="F475" s="34" t="str">
        <f t="shared" si="105"/>
        <v>C:\Users\jaime.benazar\Quorum Business Solutions\Ecopetrol Prometeo - Documents\Planning Space Implementation\3. Analysis &amp; Design\Design\FC22\DRR Jaime\QUIFA-CAJÚA\Cajua\[CAJUA_CF_SEC_New_27-Feb-2024Rev3.xlsx]D-PNP'!</v>
      </c>
      <c r="G475" s="32" t="s">
        <v>37</v>
      </c>
      <c r="H475" s="33">
        <f t="shared" si="117"/>
        <v>29</v>
      </c>
      <c r="I475" s="33" t="str">
        <f t="shared" si="106"/>
        <v>='C:\Users\jaime.benazar\Quorum Business Solutions\Ecopetrol Prometeo - Documents\Planning Space Implementation\3. Analysis &amp; Design\Design\FC22\DRR Jaime\QUIFA-CAJÚA\Cajua\[CAJUA_CF_SEC_New_27-Feb-2024Rev3.xlsx]D-PNP'!$BW$29</v>
      </c>
      <c r="J475" s="37" t="s">
        <v>2239</v>
      </c>
    </row>
    <row r="476" spans="1:10" x14ac:dyDescent="0.25">
      <c r="A476" s="32" t="s">
        <v>2</v>
      </c>
      <c r="B476" s="32">
        <f>+B475+1</f>
        <v>2041</v>
      </c>
      <c r="C476" s="33" t="s">
        <v>8</v>
      </c>
      <c r="D476" s="34" t="s">
        <v>1999</v>
      </c>
      <c r="E476" s="35" t="str">
        <f t="shared" si="104"/>
        <v>PNP'!</v>
      </c>
      <c r="F476" s="34" t="str">
        <f t="shared" si="105"/>
        <v>C:\Users\jaime.benazar\Quorum Business Solutions\Ecopetrol Prometeo - Documents\Planning Space Implementation\3. Analysis &amp; Design\Design\FC22\DRR Jaime\QUIFA-CAJÚA\Cajua\[CAJUA_CF_SEC_New_27-Feb-2024Rev3.xlsx]D-PNP'!</v>
      </c>
      <c r="G476" s="32" t="s">
        <v>37</v>
      </c>
      <c r="H476" s="33">
        <f t="shared" si="117"/>
        <v>30</v>
      </c>
      <c r="I476" s="33" t="str">
        <f t="shared" si="106"/>
        <v>='C:\Users\jaime.benazar\Quorum Business Solutions\Ecopetrol Prometeo - Documents\Planning Space Implementation\3. Analysis &amp; Design\Design\FC22\DRR Jaime\QUIFA-CAJÚA\Cajua\[CAJUA_CF_SEC_New_27-Feb-2024Rev3.xlsx]D-PNP'!$BW$30</v>
      </c>
      <c r="J476" s="37" t="s">
        <v>2240</v>
      </c>
    </row>
    <row r="477" spans="1:10" x14ac:dyDescent="0.25">
      <c r="A477" s="32" t="s">
        <v>2</v>
      </c>
      <c r="B477" s="32">
        <f t="shared" ref="B477:B478" si="119">+B476+1</f>
        <v>2042</v>
      </c>
      <c r="C477" s="33" t="s">
        <v>8</v>
      </c>
      <c r="D477" s="34" t="s">
        <v>1999</v>
      </c>
      <c r="E477" s="35" t="str">
        <f t="shared" si="104"/>
        <v>PNP'!</v>
      </c>
      <c r="F477" s="34" t="str">
        <f t="shared" si="105"/>
        <v>C:\Users\jaime.benazar\Quorum Business Solutions\Ecopetrol Prometeo - Documents\Planning Space Implementation\3. Analysis &amp; Design\Design\FC22\DRR Jaime\QUIFA-CAJÚA\Cajua\[CAJUA_CF_SEC_New_27-Feb-2024Rev3.xlsx]D-PNP'!</v>
      </c>
      <c r="G477" s="32" t="s">
        <v>37</v>
      </c>
      <c r="H477" s="33">
        <f t="shared" si="117"/>
        <v>31</v>
      </c>
      <c r="I477" s="33" t="str">
        <f t="shared" si="106"/>
        <v>='C:\Users\jaime.benazar\Quorum Business Solutions\Ecopetrol Prometeo - Documents\Planning Space Implementation\3. Analysis &amp; Design\Design\FC22\DRR Jaime\QUIFA-CAJÚA\Cajua\[CAJUA_CF_SEC_New_27-Feb-2024Rev3.xlsx]D-PNP'!$BW$31</v>
      </c>
      <c r="J477" s="37" t="s">
        <v>2241</v>
      </c>
    </row>
    <row r="478" spans="1:10" x14ac:dyDescent="0.25">
      <c r="A478" s="32" t="s">
        <v>2</v>
      </c>
      <c r="B478" s="32">
        <f t="shared" si="119"/>
        <v>2043</v>
      </c>
      <c r="C478" s="33" t="s">
        <v>8</v>
      </c>
      <c r="D478" s="34" t="s">
        <v>1999</v>
      </c>
      <c r="E478" s="35" t="str">
        <f t="shared" si="104"/>
        <v>PNP'!</v>
      </c>
      <c r="F478" s="34" t="str">
        <f t="shared" si="105"/>
        <v>C:\Users\jaime.benazar\Quorum Business Solutions\Ecopetrol Prometeo - Documents\Planning Space Implementation\3. Analysis &amp; Design\Design\FC22\DRR Jaime\QUIFA-CAJÚA\Cajua\[CAJUA_CF_SEC_New_27-Feb-2024Rev3.xlsx]D-PNP'!</v>
      </c>
      <c r="G478" s="32" t="s">
        <v>37</v>
      </c>
      <c r="H478" s="33">
        <f t="shared" si="117"/>
        <v>32</v>
      </c>
      <c r="I478" s="33" t="str">
        <f t="shared" si="106"/>
        <v>='C:\Users\jaime.benazar\Quorum Business Solutions\Ecopetrol Prometeo - Documents\Planning Space Implementation\3. Analysis &amp; Design\Design\FC22\DRR Jaime\QUIFA-CAJÚA\Cajua\[CAJUA_CF_SEC_New_27-Feb-2024Rev3.xlsx]D-PNP'!$BW$32</v>
      </c>
      <c r="J478" s="37" t="s">
        <v>2242</v>
      </c>
    </row>
    <row r="479" spans="1:10" x14ac:dyDescent="0.25">
      <c r="A479" s="32" t="s">
        <v>2</v>
      </c>
      <c r="B479" s="32">
        <f>+B478+1</f>
        <v>2044</v>
      </c>
      <c r="C479" s="33" t="s">
        <v>8</v>
      </c>
      <c r="D479" s="34" t="s">
        <v>1999</v>
      </c>
      <c r="E479" s="35" t="str">
        <f t="shared" ref="E479:E494" si="120">_xlfn.CONCAT(A479,"'!")</f>
        <v>PNP'!</v>
      </c>
      <c r="F479" s="34" t="str">
        <f t="shared" ref="F479:F494" si="121">_xlfn.CONCAT(D479:E479)</f>
        <v>C:\Users\jaime.benazar\Quorum Business Solutions\Ecopetrol Prometeo - Documents\Planning Space Implementation\3. Analysis &amp; Design\Design\FC22\DRR Jaime\QUIFA-CAJÚA\Cajua\[CAJUA_CF_SEC_New_27-Feb-2024Rev3.xlsx]D-PNP'!</v>
      </c>
      <c r="G479" s="32" t="s">
        <v>37</v>
      </c>
      <c r="H479" s="33">
        <f t="shared" ref="H479:H494" si="122">IF(A479&lt;&gt;A478,12,H478+1)</f>
        <v>33</v>
      </c>
      <c r="I479" s="33" t="str">
        <f t="shared" ref="I479:I494" si="123">_xlfn.CONCAT("='",F479:H479)</f>
        <v>='C:\Users\jaime.benazar\Quorum Business Solutions\Ecopetrol Prometeo - Documents\Planning Space Implementation\3. Analysis &amp; Design\Design\FC22\DRR Jaime\QUIFA-CAJÚA\Cajua\[CAJUA_CF_SEC_New_27-Feb-2024Rev3.xlsx]D-PNP'!$BW$33</v>
      </c>
      <c r="J479" s="37" t="s">
        <v>2243</v>
      </c>
    </row>
    <row r="480" spans="1:10" x14ac:dyDescent="0.25">
      <c r="A480" s="32" t="s">
        <v>2</v>
      </c>
      <c r="B480" s="32">
        <f t="shared" ref="B480:B494" si="124">+B479+1</f>
        <v>2045</v>
      </c>
      <c r="C480" s="33" t="s">
        <v>8</v>
      </c>
      <c r="D480" s="34" t="s">
        <v>1999</v>
      </c>
      <c r="E480" s="35" t="str">
        <f t="shared" si="120"/>
        <v>PNP'!</v>
      </c>
      <c r="F480" s="34" t="str">
        <f t="shared" si="121"/>
        <v>C:\Users\jaime.benazar\Quorum Business Solutions\Ecopetrol Prometeo - Documents\Planning Space Implementation\3. Analysis &amp; Design\Design\FC22\DRR Jaime\QUIFA-CAJÚA\Cajua\[CAJUA_CF_SEC_New_27-Feb-2024Rev3.xlsx]D-PNP'!</v>
      </c>
      <c r="G480" s="32" t="s">
        <v>37</v>
      </c>
      <c r="H480" s="33">
        <f t="shared" si="122"/>
        <v>34</v>
      </c>
      <c r="I480" s="33" t="str">
        <f t="shared" si="123"/>
        <v>='C:\Users\jaime.benazar\Quorum Business Solutions\Ecopetrol Prometeo - Documents\Planning Space Implementation\3. Analysis &amp; Design\Design\FC22\DRR Jaime\QUIFA-CAJÚA\Cajua\[CAJUA_CF_SEC_New_27-Feb-2024Rev3.xlsx]D-PNP'!$BW$34</v>
      </c>
      <c r="J480" s="37" t="s">
        <v>2244</v>
      </c>
    </row>
    <row r="481" spans="1:10" x14ac:dyDescent="0.25">
      <c r="A481" s="32" t="s">
        <v>2</v>
      </c>
      <c r="B481" s="32">
        <f t="shared" si="124"/>
        <v>2046</v>
      </c>
      <c r="C481" s="33" t="s">
        <v>8</v>
      </c>
      <c r="D481" s="34" t="s">
        <v>1999</v>
      </c>
      <c r="E481" s="35" t="str">
        <f t="shared" si="120"/>
        <v>PNP'!</v>
      </c>
      <c r="F481" s="34" t="str">
        <f t="shared" si="121"/>
        <v>C:\Users\jaime.benazar\Quorum Business Solutions\Ecopetrol Prometeo - Documents\Planning Space Implementation\3. Analysis &amp; Design\Design\FC22\DRR Jaime\QUIFA-CAJÚA\Cajua\[CAJUA_CF_SEC_New_27-Feb-2024Rev3.xlsx]D-PNP'!</v>
      </c>
      <c r="G481" s="32" t="s">
        <v>37</v>
      </c>
      <c r="H481" s="33">
        <f t="shared" si="122"/>
        <v>35</v>
      </c>
      <c r="I481" s="33" t="str">
        <f t="shared" si="123"/>
        <v>='C:\Users\jaime.benazar\Quorum Business Solutions\Ecopetrol Prometeo - Documents\Planning Space Implementation\3. Analysis &amp; Design\Design\FC22\DRR Jaime\QUIFA-CAJÚA\Cajua\[CAJUA_CF_SEC_New_27-Feb-2024Rev3.xlsx]D-PNP'!$BW$35</v>
      </c>
      <c r="J481" s="37" t="s">
        <v>2245</v>
      </c>
    </row>
    <row r="482" spans="1:10" x14ac:dyDescent="0.25">
      <c r="A482" s="32" t="s">
        <v>2</v>
      </c>
      <c r="B482" s="32">
        <f t="shared" si="124"/>
        <v>2047</v>
      </c>
      <c r="C482" s="33" t="s">
        <v>8</v>
      </c>
      <c r="D482" s="34" t="s">
        <v>1999</v>
      </c>
      <c r="E482" s="35" t="str">
        <f t="shared" si="120"/>
        <v>PNP'!</v>
      </c>
      <c r="F482" s="34" t="str">
        <f t="shared" si="121"/>
        <v>C:\Users\jaime.benazar\Quorum Business Solutions\Ecopetrol Prometeo - Documents\Planning Space Implementation\3. Analysis &amp; Design\Design\FC22\DRR Jaime\QUIFA-CAJÚA\Cajua\[CAJUA_CF_SEC_New_27-Feb-2024Rev3.xlsx]D-PNP'!</v>
      </c>
      <c r="G482" s="32" t="s">
        <v>37</v>
      </c>
      <c r="H482" s="33">
        <f t="shared" si="122"/>
        <v>36</v>
      </c>
      <c r="I482" s="33" t="str">
        <f t="shared" si="123"/>
        <v>='C:\Users\jaime.benazar\Quorum Business Solutions\Ecopetrol Prometeo - Documents\Planning Space Implementation\3. Analysis &amp; Design\Design\FC22\DRR Jaime\QUIFA-CAJÚA\Cajua\[CAJUA_CF_SEC_New_27-Feb-2024Rev3.xlsx]D-PNP'!$BW$36</v>
      </c>
      <c r="J482" s="37" t="s">
        <v>2246</v>
      </c>
    </row>
    <row r="483" spans="1:10" x14ac:dyDescent="0.25">
      <c r="A483" s="32" t="s">
        <v>2</v>
      </c>
      <c r="B483" s="32">
        <f t="shared" si="124"/>
        <v>2048</v>
      </c>
      <c r="C483" s="33" t="s">
        <v>8</v>
      </c>
      <c r="D483" s="34" t="s">
        <v>1999</v>
      </c>
      <c r="E483" s="35" t="str">
        <f t="shared" si="120"/>
        <v>PNP'!</v>
      </c>
      <c r="F483" s="34" t="str">
        <f t="shared" si="121"/>
        <v>C:\Users\jaime.benazar\Quorum Business Solutions\Ecopetrol Prometeo - Documents\Planning Space Implementation\3. Analysis &amp; Design\Design\FC22\DRR Jaime\QUIFA-CAJÚA\Cajua\[CAJUA_CF_SEC_New_27-Feb-2024Rev3.xlsx]D-PNP'!</v>
      </c>
      <c r="G483" s="32" t="s">
        <v>37</v>
      </c>
      <c r="H483" s="33">
        <f t="shared" si="122"/>
        <v>37</v>
      </c>
      <c r="I483" s="33" t="str">
        <f t="shared" si="123"/>
        <v>='C:\Users\jaime.benazar\Quorum Business Solutions\Ecopetrol Prometeo - Documents\Planning Space Implementation\3. Analysis &amp; Design\Design\FC22\DRR Jaime\QUIFA-CAJÚA\Cajua\[CAJUA_CF_SEC_New_27-Feb-2024Rev3.xlsx]D-PNP'!$BW$37</v>
      </c>
      <c r="J483" s="37" t="s">
        <v>2247</v>
      </c>
    </row>
    <row r="484" spans="1:10" x14ac:dyDescent="0.25">
      <c r="A484" s="32" t="s">
        <v>2</v>
      </c>
      <c r="B484" s="32">
        <f t="shared" si="124"/>
        <v>2049</v>
      </c>
      <c r="C484" s="33" t="s">
        <v>8</v>
      </c>
      <c r="D484" s="34" t="s">
        <v>1999</v>
      </c>
      <c r="E484" s="35" t="str">
        <f t="shared" si="120"/>
        <v>PNP'!</v>
      </c>
      <c r="F484" s="34" t="str">
        <f t="shared" si="121"/>
        <v>C:\Users\jaime.benazar\Quorum Business Solutions\Ecopetrol Prometeo - Documents\Planning Space Implementation\3. Analysis &amp; Design\Design\FC22\DRR Jaime\QUIFA-CAJÚA\Cajua\[CAJUA_CF_SEC_New_27-Feb-2024Rev3.xlsx]D-PNP'!</v>
      </c>
      <c r="G484" s="32" t="s">
        <v>37</v>
      </c>
      <c r="H484" s="33">
        <f t="shared" si="122"/>
        <v>38</v>
      </c>
      <c r="I484" s="33" t="str">
        <f t="shared" si="123"/>
        <v>='C:\Users\jaime.benazar\Quorum Business Solutions\Ecopetrol Prometeo - Documents\Planning Space Implementation\3. Analysis &amp; Design\Design\FC22\DRR Jaime\QUIFA-CAJÚA\Cajua\[CAJUA_CF_SEC_New_27-Feb-2024Rev3.xlsx]D-PNP'!$BW$38</v>
      </c>
      <c r="J484" s="37" t="s">
        <v>2248</v>
      </c>
    </row>
    <row r="485" spans="1:10" x14ac:dyDescent="0.25">
      <c r="A485" s="32" t="s">
        <v>2</v>
      </c>
      <c r="B485" s="32">
        <f t="shared" si="124"/>
        <v>2050</v>
      </c>
      <c r="C485" s="33" t="s">
        <v>8</v>
      </c>
      <c r="D485" s="34" t="s">
        <v>1999</v>
      </c>
      <c r="E485" s="35" t="str">
        <f t="shared" si="120"/>
        <v>PNP'!</v>
      </c>
      <c r="F485" s="34" t="str">
        <f t="shared" si="121"/>
        <v>C:\Users\jaime.benazar\Quorum Business Solutions\Ecopetrol Prometeo - Documents\Planning Space Implementation\3. Analysis &amp; Design\Design\FC22\DRR Jaime\QUIFA-CAJÚA\Cajua\[CAJUA_CF_SEC_New_27-Feb-2024Rev3.xlsx]D-PNP'!</v>
      </c>
      <c r="G485" s="32" t="s">
        <v>37</v>
      </c>
      <c r="H485" s="33">
        <f t="shared" si="122"/>
        <v>39</v>
      </c>
      <c r="I485" s="33" t="str">
        <f t="shared" si="123"/>
        <v>='C:\Users\jaime.benazar\Quorum Business Solutions\Ecopetrol Prometeo - Documents\Planning Space Implementation\3. Analysis &amp; Design\Design\FC22\DRR Jaime\QUIFA-CAJÚA\Cajua\[CAJUA_CF_SEC_New_27-Feb-2024Rev3.xlsx]D-PNP'!$BW$39</v>
      </c>
      <c r="J485" s="37" t="s">
        <v>2249</v>
      </c>
    </row>
    <row r="486" spans="1:10" x14ac:dyDescent="0.25">
      <c r="A486" s="32" t="s">
        <v>2</v>
      </c>
      <c r="B486" s="32">
        <f t="shared" si="124"/>
        <v>2051</v>
      </c>
      <c r="C486" s="33" t="s">
        <v>8</v>
      </c>
      <c r="D486" s="34" t="s">
        <v>1999</v>
      </c>
      <c r="E486" s="35" t="str">
        <f t="shared" si="120"/>
        <v>PNP'!</v>
      </c>
      <c r="F486" s="34" t="str">
        <f t="shared" si="121"/>
        <v>C:\Users\jaime.benazar\Quorum Business Solutions\Ecopetrol Prometeo - Documents\Planning Space Implementation\3. Analysis &amp; Design\Design\FC22\DRR Jaime\QUIFA-CAJÚA\Cajua\[CAJUA_CF_SEC_New_27-Feb-2024Rev3.xlsx]D-PNP'!</v>
      </c>
      <c r="G486" s="32" t="s">
        <v>37</v>
      </c>
      <c r="H486" s="33">
        <f t="shared" si="122"/>
        <v>40</v>
      </c>
      <c r="I486" s="33" t="str">
        <f t="shared" si="123"/>
        <v>='C:\Users\jaime.benazar\Quorum Business Solutions\Ecopetrol Prometeo - Documents\Planning Space Implementation\3. Analysis &amp; Design\Design\FC22\DRR Jaime\QUIFA-CAJÚA\Cajua\[CAJUA_CF_SEC_New_27-Feb-2024Rev3.xlsx]D-PNP'!$BW$40</v>
      </c>
      <c r="J486" s="37" t="s">
        <v>2250</v>
      </c>
    </row>
    <row r="487" spans="1:10" x14ac:dyDescent="0.25">
      <c r="A487" s="32" t="s">
        <v>2</v>
      </c>
      <c r="B487" s="32">
        <f t="shared" si="124"/>
        <v>2052</v>
      </c>
      <c r="C487" s="33" t="s">
        <v>8</v>
      </c>
      <c r="D487" s="34" t="s">
        <v>1999</v>
      </c>
      <c r="E487" s="35" t="str">
        <f t="shared" si="120"/>
        <v>PNP'!</v>
      </c>
      <c r="F487" s="34" t="str">
        <f t="shared" si="121"/>
        <v>C:\Users\jaime.benazar\Quorum Business Solutions\Ecopetrol Prometeo - Documents\Planning Space Implementation\3. Analysis &amp; Design\Design\FC22\DRR Jaime\QUIFA-CAJÚA\Cajua\[CAJUA_CF_SEC_New_27-Feb-2024Rev3.xlsx]D-PNP'!</v>
      </c>
      <c r="G487" s="32" t="s">
        <v>37</v>
      </c>
      <c r="H487" s="33">
        <f t="shared" si="122"/>
        <v>41</v>
      </c>
      <c r="I487" s="33" t="str">
        <f t="shared" si="123"/>
        <v>='C:\Users\jaime.benazar\Quorum Business Solutions\Ecopetrol Prometeo - Documents\Planning Space Implementation\3. Analysis &amp; Design\Design\FC22\DRR Jaime\QUIFA-CAJÚA\Cajua\[CAJUA_CF_SEC_New_27-Feb-2024Rev3.xlsx]D-PNP'!$BW$41</v>
      </c>
      <c r="J487" s="37" t="s">
        <v>2251</v>
      </c>
    </row>
    <row r="488" spans="1:10" x14ac:dyDescent="0.25">
      <c r="A488" s="32" t="s">
        <v>2</v>
      </c>
      <c r="B488" s="32">
        <f t="shared" si="124"/>
        <v>2053</v>
      </c>
      <c r="C488" s="33" t="s">
        <v>8</v>
      </c>
      <c r="D488" s="34" t="s">
        <v>1999</v>
      </c>
      <c r="E488" s="35" t="str">
        <f t="shared" si="120"/>
        <v>PNP'!</v>
      </c>
      <c r="F488" s="34" t="str">
        <f t="shared" si="121"/>
        <v>C:\Users\jaime.benazar\Quorum Business Solutions\Ecopetrol Prometeo - Documents\Planning Space Implementation\3. Analysis &amp; Design\Design\FC22\DRR Jaime\QUIFA-CAJÚA\Cajua\[CAJUA_CF_SEC_New_27-Feb-2024Rev3.xlsx]D-PNP'!</v>
      </c>
      <c r="G488" s="32" t="s">
        <v>37</v>
      </c>
      <c r="H488" s="33">
        <f t="shared" si="122"/>
        <v>42</v>
      </c>
      <c r="I488" s="33" t="str">
        <f t="shared" si="123"/>
        <v>='C:\Users\jaime.benazar\Quorum Business Solutions\Ecopetrol Prometeo - Documents\Planning Space Implementation\3. Analysis &amp; Design\Design\FC22\DRR Jaime\QUIFA-CAJÚA\Cajua\[CAJUA_CF_SEC_New_27-Feb-2024Rev3.xlsx]D-PNP'!$BW$42</v>
      </c>
      <c r="J488" s="37" t="s">
        <v>2252</v>
      </c>
    </row>
    <row r="489" spans="1:10" x14ac:dyDescent="0.25">
      <c r="A489" s="32" t="s">
        <v>2</v>
      </c>
      <c r="B489" s="32">
        <f t="shared" si="124"/>
        <v>2054</v>
      </c>
      <c r="C489" s="33" t="s">
        <v>8</v>
      </c>
      <c r="D489" s="34" t="s">
        <v>1999</v>
      </c>
      <c r="E489" s="35" t="str">
        <f t="shared" si="120"/>
        <v>PNP'!</v>
      </c>
      <c r="F489" s="34" t="str">
        <f t="shared" si="121"/>
        <v>C:\Users\jaime.benazar\Quorum Business Solutions\Ecopetrol Prometeo - Documents\Planning Space Implementation\3. Analysis &amp; Design\Design\FC22\DRR Jaime\QUIFA-CAJÚA\Cajua\[CAJUA_CF_SEC_New_27-Feb-2024Rev3.xlsx]D-PNP'!</v>
      </c>
      <c r="G489" s="32" t="s">
        <v>37</v>
      </c>
      <c r="H489" s="33">
        <f t="shared" si="122"/>
        <v>43</v>
      </c>
      <c r="I489" s="33" t="str">
        <f t="shared" si="123"/>
        <v>='C:\Users\jaime.benazar\Quorum Business Solutions\Ecopetrol Prometeo - Documents\Planning Space Implementation\3. Analysis &amp; Design\Design\FC22\DRR Jaime\QUIFA-CAJÚA\Cajua\[CAJUA_CF_SEC_New_27-Feb-2024Rev3.xlsx]D-PNP'!$BW$43</v>
      </c>
      <c r="J489" s="37" t="s">
        <v>2253</v>
      </c>
    </row>
    <row r="490" spans="1:10" x14ac:dyDescent="0.25">
      <c r="A490" s="32" t="s">
        <v>2</v>
      </c>
      <c r="B490" s="32">
        <f t="shared" si="124"/>
        <v>2055</v>
      </c>
      <c r="C490" s="33" t="s">
        <v>8</v>
      </c>
      <c r="D490" s="34" t="s">
        <v>1999</v>
      </c>
      <c r="E490" s="35" t="str">
        <f t="shared" si="120"/>
        <v>PNP'!</v>
      </c>
      <c r="F490" s="34" t="str">
        <f t="shared" si="121"/>
        <v>C:\Users\jaime.benazar\Quorum Business Solutions\Ecopetrol Prometeo - Documents\Planning Space Implementation\3. Analysis &amp; Design\Design\FC22\DRR Jaime\QUIFA-CAJÚA\Cajua\[CAJUA_CF_SEC_New_27-Feb-2024Rev3.xlsx]D-PNP'!</v>
      </c>
      <c r="G490" s="32" t="s">
        <v>37</v>
      </c>
      <c r="H490" s="33">
        <f t="shared" si="122"/>
        <v>44</v>
      </c>
      <c r="I490" s="33" t="str">
        <f t="shared" si="123"/>
        <v>='C:\Users\jaime.benazar\Quorum Business Solutions\Ecopetrol Prometeo - Documents\Planning Space Implementation\3. Analysis &amp; Design\Design\FC22\DRR Jaime\QUIFA-CAJÚA\Cajua\[CAJUA_CF_SEC_New_27-Feb-2024Rev3.xlsx]D-PNP'!$BW$44</v>
      </c>
      <c r="J490" s="37" t="s">
        <v>2254</v>
      </c>
    </row>
    <row r="491" spans="1:10" x14ac:dyDescent="0.25">
      <c r="A491" s="32" t="s">
        <v>2</v>
      </c>
      <c r="B491" s="32">
        <f t="shared" si="124"/>
        <v>2056</v>
      </c>
      <c r="C491" s="33" t="s">
        <v>8</v>
      </c>
      <c r="D491" s="34" t="s">
        <v>1999</v>
      </c>
      <c r="E491" s="35" t="str">
        <f t="shared" si="120"/>
        <v>PNP'!</v>
      </c>
      <c r="F491" s="34" t="str">
        <f t="shared" si="121"/>
        <v>C:\Users\jaime.benazar\Quorum Business Solutions\Ecopetrol Prometeo - Documents\Planning Space Implementation\3. Analysis &amp; Design\Design\FC22\DRR Jaime\QUIFA-CAJÚA\Cajua\[CAJUA_CF_SEC_New_27-Feb-2024Rev3.xlsx]D-PNP'!</v>
      </c>
      <c r="G491" s="32" t="s">
        <v>37</v>
      </c>
      <c r="H491" s="33">
        <f t="shared" si="122"/>
        <v>45</v>
      </c>
      <c r="I491" s="33" t="str">
        <f t="shared" si="123"/>
        <v>='C:\Users\jaime.benazar\Quorum Business Solutions\Ecopetrol Prometeo - Documents\Planning Space Implementation\3. Analysis &amp; Design\Design\FC22\DRR Jaime\QUIFA-CAJÚA\Cajua\[CAJUA_CF_SEC_New_27-Feb-2024Rev3.xlsx]D-PNP'!$BW$45</v>
      </c>
      <c r="J491" s="37" t="s">
        <v>2255</v>
      </c>
    </row>
    <row r="492" spans="1:10" x14ac:dyDescent="0.25">
      <c r="A492" s="32" t="s">
        <v>2</v>
      </c>
      <c r="B492" s="32">
        <f t="shared" si="124"/>
        <v>2057</v>
      </c>
      <c r="C492" s="33" t="s">
        <v>8</v>
      </c>
      <c r="D492" s="34" t="s">
        <v>1999</v>
      </c>
      <c r="E492" s="35" t="str">
        <f t="shared" si="120"/>
        <v>PNP'!</v>
      </c>
      <c r="F492" s="34" t="str">
        <f t="shared" si="121"/>
        <v>C:\Users\jaime.benazar\Quorum Business Solutions\Ecopetrol Prometeo - Documents\Planning Space Implementation\3. Analysis &amp; Design\Design\FC22\DRR Jaime\QUIFA-CAJÚA\Cajua\[CAJUA_CF_SEC_New_27-Feb-2024Rev3.xlsx]D-PNP'!</v>
      </c>
      <c r="G492" s="32" t="s">
        <v>37</v>
      </c>
      <c r="H492" s="33">
        <f t="shared" si="122"/>
        <v>46</v>
      </c>
      <c r="I492" s="33" t="str">
        <f t="shared" si="123"/>
        <v>='C:\Users\jaime.benazar\Quorum Business Solutions\Ecopetrol Prometeo - Documents\Planning Space Implementation\3. Analysis &amp; Design\Design\FC22\DRR Jaime\QUIFA-CAJÚA\Cajua\[CAJUA_CF_SEC_New_27-Feb-2024Rev3.xlsx]D-PNP'!$BW$46</v>
      </c>
      <c r="J492" s="37" t="s">
        <v>2256</v>
      </c>
    </row>
    <row r="493" spans="1:10" x14ac:dyDescent="0.25">
      <c r="A493" s="32" t="s">
        <v>2</v>
      </c>
      <c r="B493" s="32">
        <f t="shared" si="124"/>
        <v>2058</v>
      </c>
      <c r="C493" s="33" t="s">
        <v>8</v>
      </c>
      <c r="D493" s="34" t="s">
        <v>1999</v>
      </c>
      <c r="E493" s="35" t="str">
        <f t="shared" si="120"/>
        <v>PNP'!</v>
      </c>
      <c r="F493" s="34" t="str">
        <f t="shared" si="121"/>
        <v>C:\Users\jaime.benazar\Quorum Business Solutions\Ecopetrol Prometeo - Documents\Planning Space Implementation\3. Analysis &amp; Design\Design\FC22\DRR Jaime\QUIFA-CAJÚA\Cajua\[CAJUA_CF_SEC_New_27-Feb-2024Rev3.xlsx]D-PNP'!</v>
      </c>
      <c r="G493" s="32" t="s">
        <v>37</v>
      </c>
      <c r="H493" s="33">
        <f t="shared" si="122"/>
        <v>47</v>
      </c>
      <c r="I493" s="33" t="str">
        <f t="shared" si="123"/>
        <v>='C:\Users\jaime.benazar\Quorum Business Solutions\Ecopetrol Prometeo - Documents\Planning Space Implementation\3. Analysis &amp; Design\Design\FC22\DRR Jaime\QUIFA-CAJÚA\Cajua\[CAJUA_CF_SEC_New_27-Feb-2024Rev3.xlsx]D-PNP'!$BW$47</v>
      </c>
      <c r="J493" s="37" t="s">
        <v>2257</v>
      </c>
    </row>
    <row r="494" spans="1:10" x14ac:dyDescent="0.25">
      <c r="A494" s="32" t="s">
        <v>2</v>
      </c>
      <c r="B494" s="32">
        <f t="shared" si="124"/>
        <v>2059</v>
      </c>
      <c r="C494" s="33" t="s">
        <v>8</v>
      </c>
      <c r="D494" s="34" t="s">
        <v>1999</v>
      </c>
      <c r="E494" s="35" t="str">
        <f t="shared" si="120"/>
        <v>PNP'!</v>
      </c>
      <c r="F494" s="34" t="str">
        <f t="shared" si="121"/>
        <v>C:\Users\jaime.benazar\Quorum Business Solutions\Ecopetrol Prometeo - Documents\Planning Space Implementation\3. Analysis &amp; Design\Design\FC22\DRR Jaime\QUIFA-CAJÚA\Cajua\[CAJUA_CF_SEC_New_27-Feb-2024Rev3.xlsx]D-PNP'!</v>
      </c>
      <c r="G494" s="32" t="s">
        <v>37</v>
      </c>
      <c r="H494" s="33">
        <f t="shared" si="122"/>
        <v>48</v>
      </c>
      <c r="I494" s="33" t="str">
        <f t="shared" si="123"/>
        <v>='C:\Users\jaime.benazar\Quorum Business Solutions\Ecopetrol Prometeo - Documents\Planning Space Implementation\3. Analysis &amp; Design\Design\FC22\DRR Jaime\QUIFA-CAJÚA\Cajua\[CAJUA_CF_SEC_New_27-Feb-2024Rev3.xlsx]D-PNP'!$BW$48</v>
      </c>
      <c r="J494" s="37" t="s">
        <v>2258</v>
      </c>
    </row>
    <row r="495" spans="1:10" x14ac:dyDescent="0.25">
      <c r="A495" s="32" t="s">
        <v>28</v>
      </c>
      <c r="B495" s="32"/>
      <c r="C495" s="33" t="s">
        <v>8</v>
      </c>
      <c r="D495" s="34"/>
      <c r="E495" s="35"/>
      <c r="F495" s="34"/>
      <c r="G495" s="32"/>
      <c r="H495" s="33"/>
      <c r="I495" s="33"/>
      <c r="J495" s="33"/>
    </row>
    <row r="496" spans="1:10" x14ac:dyDescent="0.25">
      <c r="A496" s="32" t="s">
        <v>3</v>
      </c>
      <c r="B496" s="32">
        <v>2023</v>
      </c>
      <c r="C496" s="33" t="s">
        <v>8</v>
      </c>
      <c r="D496" s="34" t="s">
        <v>1999</v>
      </c>
      <c r="E496" s="35" t="str">
        <f t="shared" si="104"/>
        <v>PND'!</v>
      </c>
      <c r="F496" s="34" t="str">
        <f t="shared" si="105"/>
        <v>C:\Users\jaime.benazar\Quorum Business Solutions\Ecopetrol Prometeo - Documents\Planning Space Implementation\3. Analysis &amp; Design\Design\FC22\DRR Jaime\QUIFA-CAJÚA\Cajua\[CAJUA_CF_SEC_New_27-Feb-2024Rev3.xlsx]D-PND'!</v>
      </c>
      <c r="G496" s="32" t="s">
        <v>37</v>
      </c>
      <c r="H496" s="33">
        <v>12</v>
      </c>
      <c r="I496" s="33" t="str">
        <f t="shared" si="106"/>
        <v>='C:\Users\jaime.benazar\Quorum Business Solutions\Ecopetrol Prometeo - Documents\Planning Space Implementation\3. Analysis &amp; Design\Design\FC22\DRR Jaime\QUIFA-CAJÚA\Cajua\[CAJUA_CF_SEC_New_27-Feb-2024Rev3.xlsx]D-PND'!$BW$12</v>
      </c>
      <c r="J496" s="37" t="s">
        <v>2259</v>
      </c>
    </row>
    <row r="497" spans="1:10" x14ac:dyDescent="0.25">
      <c r="A497" s="32" t="s">
        <v>3</v>
      </c>
      <c r="B497" s="32">
        <f>+B496+1</f>
        <v>2024</v>
      </c>
      <c r="C497" s="33" t="s">
        <v>8</v>
      </c>
      <c r="D497" s="34" t="s">
        <v>1999</v>
      </c>
      <c r="E497" s="35" t="str">
        <f t="shared" si="104"/>
        <v>PND'!</v>
      </c>
      <c r="F497" s="34" t="str">
        <f t="shared" si="105"/>
        <v>C:\Users\jaime.benazar\Quorum Business Solutions\Ecopetrol Prometeo - Documents\Planning Space Implementation\3. Analysis &amp; Design\Design\FC22\DRR Jaime\QUIFA-CAJÚA\Cajua\[CAJUA_CF_SEC_New_27-Feb-2024Rev3.xlsx]D-PND'!</v>
      </c>
      <c r="G497" s="32" t="s">
        <v>37</v>
      </c>
      <c r="H497" s="33">
        <f t="shared" ref="H497:H516" si="125">IF(A497&lt;&gt;A496,12,H496+1)</f>
        <v>13</v>
      </c>
      <c r="I497" s="33" t="str">
        <f t="shared" si="106"/>
        <v>='C:\Users\jaime.benazar\Quorum Business Solutions\Ecopetrol Prometeo - Documents\Planning Space Implementation\3. Analysis &amp; Design\Design\FC22\DRR Jaime\QUIFA-CAJÚA\Cajua\[CAJUA_CF_SEC_New_27-Feb-2024Rev3.xlsx]D-PND'!$BW$13</v>
      </c>
      <c r="J497" s="37" t="s">
        <v>2260</v>
      </c>
    </row>
    <row r="498" spans="1:10" x14ac:dyDescent="0.25">
      <c r="A498" s="32" t="s">
        <v>3</v>
      </c>
      <c r="B498" s="32">
        <f t="shared" ref="B498:B509" si="126">+B497+1</f>
        <v>2025</v>
      </c>
      <c r="C498" s="33" t="s">
        <v>8</v>
      </c>
      <c r="D498" s="34" t="s">
        <v>1999</v>
      </c>
      <c r="E498" s="35" t="str">
        <f t="shared" si="104"/>
        <v>PND'!</v>
      </c>
      <c r="F498" s="34" t="str">
        <f t="shared" si="105"/>
        <v>C:\Users\jaime.benazar\Quorum Business Solutions\Ecopetrol Prometeo - Documents\Planning Space Implementation\3. Analysis &amp; Design\Design\FC22\DRR Jaime\QUIFA-CAJÚA\Cajua\[CAJUA_CF_SEC_New_27-Feb-2024Rev3.xlsx]D-PND'!</v>
      </c>
      <c r="G498" s="32" t="s">
        <v>37</v>
      </c>
      <c r="H498" s="33">
        <f t="shared" si="125"/>
        <v>14</v>
      </c>
      <c r="I498" s="33" t="str">
        <f t="shared" si="106"/>
        <v>='C:\Users\jaime.benazar\Quorum Business Solutions\Ecopetrol Prometeo - Documents\Planning Space Implementation\3. Analysis &amp; Design\Design\FC22\DRR Jaime\QUIFA-CAJÚA\Cajua\[CAJUA_CF_SEC_New_27-Feb-2024Rev3.xlsx]D-PND'!$BW$14</v>
      </c>
      <c r="J498" s="37" t="s">
        <v>2261</v>
      </c>
    </row>
    <row r="499" spans="1:10" x14ac:dyDescent="0.25">
      <c r="A499" s="32" t="s">
        <v>3</v>
      </c>
      <c r="B499" s="32">
        <f t="shared" si="126"/>
        <v>2026</v>
      </c>
      <c r="C499" s="33" t="s">
        <v>8</v>
      </c>
      <c r="D499" s="34" t="s">
        <v>1999</v>
      </c>
      <c r="E499" s="35" t="str">
        <f t="shared" si="104"/>
        <v>PND'!</v>
      </c>
      <c r="F499" s="34" t="str">
        <f t="shared" si="105"/>
        <v>C:\Users\jaime.benazar\Quorum Business Solutions\Ecopetrol Prometeo - Documents\Planning Space Implementation\3. Analysis &amp; Design\Design\FC22\DRR Jaime\QUIFA-CAJÚA\Cajua\[CAJUA_CF_SEC_New_27-Feb-2024Rev3.xlsx]D-PND'!</v>
      </c>
      <c r="G499" s="32" t="s">
        <v>37</v>
      </c>
      <c r="H499" s="33">
        <f t="shared" si="125"/>
        <v>15</v>
      </c>
      <c r="I499" s="33" t="str">
        <f t="shared" si="106"/>
        <v>='C:\Users\jaime.benazar\Quorum Business Solutions\Ecopetrol Prometeo - Documents\Planning Space Implementation\3. Analysis &amp; Design\Design\FC22\DRR Jaime\QUIFA-CAJÚA\Cajua\[CAJUA_CF_SEC_New_27-Feb-2024Rev3.xlsx]D-PND'!$BW$15</v>
      </c>
      <c r="J499" s="37" t="s">
        <v>2262</v>
      </c>
    </row>
    <row r="500" spans="1:10" x14ac:dyDescent="0.25">
      <c r="A500" s="32" t="s">
        <v>3</v>
      </c>
      <c r="B500" s="32">
        <f t="shared" si="126"/>
        <v>2027</v>
      </c>
      <c r="C500" s="33" t="s">
        <v>8</v>
      </c>
      <c r="D500" s="34" t="s">
        <v>1999</v>
      </c>
      <c r="E500" s="35" t="str">
        <f t="shared" si="104"/>
        <v>PND'!</v>
      </c>
      <c r="F500" s="34" t="str">
        <f t="shared" si="105"/>
        <v>C:\Users\jaime.benazar\Quorum Business Solutions\Ecopetrol Prometeo - Documents\Planning Space Implementation\3. Analysis &amp; Design\Design\FC22\DRR Jaime\QUIFA-CAJÚA\Cajua\[CAJUA_CF_SEC_New_27-Feb-2024Rev3.xlsx]D-PND'!</v>
      </c>
      <c r="G500" s="32" t="s">
        <v>37</v>
      </c>
      <c r="H500" s="33">
        <f t="shared" si="125"/>
        <v>16</v>
      </c>
      <c r="I500" s="33" t="str">
        <f t="shared" si="106"/>
        <v>='C:\Users\jaime.benazar\Quorum Business Solutions\Ecopetrol Prometeo - Documents\Planning Space Implementation\3. Analysis &amp; Design\Design\FC22\DRR Jaime\QUIFA-CAJÚA\Cajua\[CAJUA_CF_SEC_New_27-Feb-2024Rev3.xlsx]D-PND'!$BW$16</v>
      </c>
      <c r="J500" s="37" t="s">
        <v>2263</v>
      </c>
    </row>
    <row r="501" spans="1:10" x14ac:dyDescent="0.25">
      <c r="A501" s="32" t="s">
        <v>3</v>
      </c>
      <c r="B501" s="32">
        <f t="shared" si="126"/>
        <v>2028</v>
      </c>
      <c r="C501" s="33" t="s">
        <v>8</v>
      </c>
      <c r="D501" s="34" t="s">
        <v>1999</v>
      </c>
      <c r="E501" s="35" t="str">
        <f t="shared" si="104"/>
        <v>PND'!</v>
      </c>
      <c r="F501" s="34" t="str">
        <f t="shared" si="105"/>
        <v>C:\Users\jaime.benazar\Quorum Business Solutions\Ecopetrol Prometeo - Documents\Planning Space Implementation\3. Analysis &amp; Design\Design\FC22\DRR Jaime\QUIFA-CAJÚA\Cajua\[CAJUA_CF_SEC_New_27-Feb-2024Rev3.xlsx]D-PND'!</v>
      </c>
      <c r="G501" s="32" t="s">
        <v>37</v>
      </c>
      <c r="H501" s="33">
        <f t="shared" si="125"/>
        <v>17</v>
      </c>
      <c r="I501" s="33" t="str">
        <f t="shared" si="106"/>
        <v>='C:\Users\jaime.benazar\Quorum Business Solutions\Ecopetrol Prometeo - Documents\Planning Space Implementation\3. Analysis &amp; Design\Design\FC22\DRR Jaime\QUIFA-CAJÚA\Cajua\[CAJUA_CF_SEC_New_27-Feb-2024Rev3.xlsx]D-PND'!$BW$17</v>
      </c>
      <c r="J501" s="37" t="s">
        <v>2264</v>
      </c>
    </row>
    <row r="502" spans="1:10" x14ac:dyDescent="0.25">
      <c r="A502" s="32" t="s">
        <v>3</v>
      </c>
      <c r="B502" s="32">
        <f t="shared" si="126"/>
        <v>2029</v>
      </c>
      <c r="C502" s="33" t="s">
        <v>8</v>
      </c>
      <c r="D502" s="34" t="s">
        <v>1999</v>
      </c>
      <c r="E502" s="35" t="str">
        <f t="shared" si="104"/>
        <v>PND'!</v>
      </c>
      <c r="F502" s="34" t="str">
        <f t="shared" si="105"/>
        <v>C:\Users\jaime.benazar\Quorum Business Solutions\Ecopetrol Prometeo - Documents\Planning Space Implementation\3. Analysis &amp; Design\Design\FC22\DRR Jaime\QUIFA-CAJÚA\Cajua\[CAJUA_CF_SEC_New_27-Feb-2024Rev3.xlsx]D-PND'!</v>
      </c>
      <c r="G502" s="32" t="s">
        <v>37</v>
      </c>
      <c r="H502" s="33">
        <f t="shared" si="125"/>
        <v>18</v>
      </c>
      <c r="I502" s="33" t="str">
        <f t="shared" si="106"/>
        <v>='C:\Users\jaime.benazar\Quorum Business Solutions\Ecopetrol Prometeo - Documents\Planning Space Implementation\3. Analysis &amp; Design\Design\FC22\DRR Jaime\QUIFA-CAJÚA\Cajua\[CAJUA_CF_SEC_New_27-Feb-2024Rev3.xlsx]D-PND'!$BW$18</v>
      </c>
      <c r="J502" s="37" t="s">
        <v>2265</v>
      </c>
    </row>
    <row r="503" spans="1:10" x14ac:dyDescent="0.25">
      <c r="A503" s="32" t="s">
        <v>3</v>
      </c>
      <c r="B503" s="32">
        <f t="shared" si="126"/>
        <v>2030</v>
      </c>
      <c r="C503" s="33" t="s">
        <v>8</v>
      </c>
      <c r="D503" s="34" t="s">
        <v>1999</v>
      </c>
      <c r="E503" s="35" t="str">
        <f t="shared" si="104"/>
        <v>PND'!</v>
      </c>
      <c r="F503" s="34" t="str">
        <f t="shared" si="105"/>
        <v>C:\Users\jaime.benazar\Quorum Business Solutions\Ecopetrol Prometeo - Documents\Planning Space Implementation\3. Analysis &amp; Design\Design\FC22\DRR Jaime\QUIFA-CAJÚA\Cajua\[CAJUA_CF_SEC_New_27-Feb-2024Rev3.xlsx]D-PND'!</v>
      </c>
      <c r="G503" s="32" t="s">
        <v>37</v>
      </c>
      <c r="H503" s="33">
        <f t="shared" si="125"/>
        <v>19</v>
      </c>
      <c r="I503" s="33" t="str">
        <f t="shared" si="106"/>
        <v>='C:\Users\jaime.benazar\Quorum Business Solutions\Ecopetrol Prometeo - Documents\Planning Space Implementation\3. Analysis &amp; Design\Design\FC22\DRR Jaime\QUIFA-CAJÚA\Cajua\[CAJUA_CF_SEC_New_27-Feb-2024Rev3.xlsx]D-PND'!$BW$19</v>
      </c>
      <c r="J503" s="37" t="s">
        <v>2266</v>
      </c>
    </row>
    <row r="504" spans="1:10" x14ac:dyDescent="0.25">
      <c r="A504" s="32" t="s">
        <v>3</v>
      </c>
      <c r="B504" s="32">
        <f t="shared" si="126"/>
        <v>2031</v>
      </c>
      <c r="C504" s="33" t="s">
        <v>8</v>
      </c>
      <c r="D504" s="34" t="s">
        <v>1999</v>
      </c>
      <c r="E504" s="35" t="str">
        <f t="shared" si="104"/>
        <v>PND'!</v>
      </c>
      <c r="F504" s="34" t="str">
        <f t="shared" si="105"/>
        <v>C:\Users\jaime.benazar\Quorum Business Solutions\Ecopetrol Prometeo - Documents\Planning Space Implementation\3. Analysis &amp; Design\Design\FC22\DRR Jaime\QUIFA-CAJÚA\Cajua\[CAJUA_CF_SEC_New_27-Feb-2024Rev3.xlsx]D-PND'!</v>
      </c>
      <c r="G504" s="32" t="s">
        <v>37</v>
      </c>
      <c r="H504" s="33">
        <f t="shared" si="125"/>
        <v>20</v>
      </c>
      <c r="I504" s="33" t="str">
        <f t="shared" si="106"/>
        <v>='C:\Users\jaime.benazar\Quorum Business Solutions\Ecopetrol Prometeo - Documents\Planning Space Implementation\3. Analysis &amp; Design\Design\FC22\DRR Jaime\QUIFA-CAJÚA\Cajua\[CAJUA_CF_SEC_New_27-Feb-2024Rev3.xlsx]D-PND'!$BW$20</v>
      </c>
      <c r="J504" s="37" t="s">
        <v>2267</v>
      </c>
    </row>
    <row r="505" spans="1:10" x14ac:dyDescent="0.25">
      <c r="A505" s="32" t="s">
        <v>3</v>
      </c>
      <c r="B505" s="32">
        <f t="shared" si="126"/>
        <v>2032</v>
      </c>
      <c r="C505" s="33" t="s">
        <v>8</v>
      </c>
      <c r="D505" s="34" t="s">
        <v>1999</v>
      </c>
      <c r="E505" s="35" t="str">
        <f t="shared" si="104"/>
        <v>PND'!</v>
      </c>
      <c r="F505" s="34" t="str">
        <f t="shared" si="105"/>
        <v>C:\Users\jaime.benazar\Quorum Business Solutions\Ecopetrol Prometeo - Documents\Planning Space Implementation\3. Analysis &amp; Design\Design\FC22\DRR Jaime\QUIFA-CAJÚA\Cajua\[CAJUA_CF_SEC_New_27-Feb-2024Rev3.xlsx]D-PND'!</v>
      </c>
      <c r="G505" s="32" t="s">
        <v>37</v>
      </c>
      <c r="H505" s="33">
        <f t="shared" si="125"/>
        <v>21</v>
      </c>
      <c r="I505" s="33" t="str">
        <f t="shared" si="106"/>
        <v>='C:\Users\jaime.benazar\Quorum Business Solutions\Ecopetrol Prometeo - Documents\Planning Space Implementation\3. Analysis &amp; Design\Design\FC22\DRR Jaime\QUIFA-CAJÚA\Cajua\[CAJUA_CF_SEC_New_27-Feb-2024Rev3.xlsx]D-PND'!$BW$21</v>
      </c>
      <c r="J505" s="37" t="s">
        <v>2268</v>
      </c>
    </row>
    <row r="506" spans="1:10" x14ac:dyDescent="0.25">
      <c r="A506" s="32" t="s">
        <v>3</v>
      </c>
      <c r="B506" s="32">
        <f t="shared" si="126"/>
        <v>2033</v>
      </c>
      <c r="C506" s="33" t="s">
        <v>8</v>
      </c>
      <c r="D506" s="34" t="s">
        <v>1999</v>
      </c>
      <c r="E506" s="35" t="str">
        <f t="shared" si="104"/>
        <v>PND'!</v>
      </c>
      <c r="F506" s="34" t="str">
        <f t="shared" si="105"/>
        <v>C:\Users\jaime.benazar\Quorum Business Solutions\Ecopetrol Prometeo - Documents\Planning Space Implementation\3. Analysis &amp; Design\Design\FC22\DRR Jaime\QUIFA-CAJÚA\Cajua\[CAJUA_CF_SEC_New_27-Feb-2024Rev3.xlsx]D-PND'!</v>
      </c>
      <c r="G506" s="32" t="s">
        <v>37</v>
      </c>
      <c r="H506" s="33">
        <f t="shared" si="125"/>
        <v>22</v>
      </c>
      <c r="I506" s="33" t="str">
        <f t="shared" si="106"/>
        <v>='C:\Users\jaime.benazar\Quorum Business Solutions\Ecopetrol Prometeo - Documents\Planning Space Implementation\3. Analysis &amp; Design\Design\FC22\DRR Jaime\QUIFA-CAJÚA\Cajua\[CAJUA_CF_SEC_New_27-Feb-2024Rev3.xlsx]D-PND'!$BW$22</v>
      </c>
      <c r="J506" s="37" t="s">
        <v>2269</v>
      </c>
    </row>
    <row r="507" spans="1:10" x14ac:dyDescent="0.25">
      <c r="A507" s="32" t="s">
        <v>3</v>
      </c>
      <c r="B507" s="32">
        <f t="shared" si="126"/>
        <v>2034</v>
      </c>
      <c r="C507" s="33" t="s">
        <v>8</v>
      </c>
      <c r="D507" s="34" t="s">
        <v>1999</v>
      </c>
      <c r="E507" s="35" t="str">
        <f t="shared" si="104"/>
        <v>PND'!</v>
      </c>
      <c r="F507" s="34" t="str">
        <f t="shared" si="105"/>
        <v>C:\Users\jaime.benazar\Quorum Business Solutions\Ecopetrol Prometeo - Documents\Planning Space Implementation\3. Analysis &amp; Design\Design\FC22\DRR Jaime\QUIFA-CAJÚA\Cajua\[CAJUA_CF_SEC_New_27-Feb-2024Rev3.xlsx]D-PND'!</v>
      </c>
      <c r="G507" s="32" t="s">
        <v>37</v>
      </c>
      <c r="H507" s="33">
        <f t="shared" si="125"/>
        <v>23</v>
      </c>
      <c r="I507" s="33" t="str">
        <f t="shared" si="106"/>
        <v>='C:\Users\jaime.benazar\Quorum Business Solutions\Ecopetrol Prometeo - Documents\Planning Space Implementation\3. Analysis &amp; Design\Design\FC22\DRR Jaime\QUIFA-CAJÚA\Cajua\[CAJUA_CF_SEC_New_27-Feb-2024Rev3.xlsx]D-PND'!$BW$23</v>
      </c>
      <c r="J507" s="37" t="s">
        <v>2270</v>
      </c>
    </row>
    <row r="508" spans="1:10" x14ac:dyDescent="0.25">
      <c r="A508" s="32" t="s">
        <v>3</v>
      </c>
      <c r="B508" s="32">
        <f t="shared" si="126"/>
        <v>2035</v>
      </c>
      <c r="C508" s="33" t="s">
        <v>8</v>
      </c>
      <c r="D508" s="34" t="s">
        <v>1999</v>
      </c>
      <c r="E508" s="35" t="str">
        <f t="shared" si="104"/>
        <v>PND'!</v>
      </c>
      <c r="F508" s="34" t="str">
        <f t="shared" si="105"/>
        <v>C:\Users\jaime.benazar\Quorum Business Solutions\Ecopetrol Prometeo - Documents\Planning Space Implementation\3. Analysis &amp; Design\Design\FC22\DRR Jaime\QUIFA-CAJÚA\Cajua\[CAJUA_CF_SEC_New_27-Feb-2024Rev3.xlsx]D-PND'!</v>
      </c>
      <c r="G508" s="32" t="s">
        <v>37</v>
      </c>
      <c r="H508" s="33">
        <f t="shared" si="125"/>
        <v>24</v>
      </c>
      <c r="I508" s="33" t="str">
        <f t="shared" si="106"/>
        <v>='C:\Users\jaime.benazar\Quorum Business Solutions\Ecopetrol Prometeo - Documents\Planning Space Implementation\3. Analysis &amp; Design\Design\FC22\DRR Jaime\QUIFA-CAJÚA\Cajua\[CAJUA_CF_SEC_New_27-Feb-2024Rev3.xlsx]D-PND'!$BW$24</v>
      </c>
      <c r="J508" s="37" t="s">
        <v>2271</v>
      </c>
    </row>
    <row r="509" spans="1:10" x14ac:dyDescent="0.25">
      <c r="A509" s="32" t="s">
        <v>3</v>
      </c>
      <c r="B509" s="32">
        <f t="shared" si="126"/>
        <v>2036</v>
      </c>
      <c r="C509" s="33" t="s">
        <v>8</v>
      </c>
      <c r="D509" s="34" t="s">
        <v>1999</v>
      </c>
      <c r="E509" s="35" t="str">
        <f t="shared" si="104"/>
        <v>PND'!</v>
      </c>
      <c r="F509" s="34" t="str">
        <f t="shared" si="105"/>
        <v>C:\Users\jaime.benazar\Quorum Business Solutions\Ecopetrol Prometeo - Documents\Planning Space Implementation\3. Analysis &amp; Design\Design\FC22\DRR Jaime\QUIFA-CAJÚA\Cajua\[CAJUA_CF_SEC_New_27-Feb-2024Rev3.xlsx]D-PND'!</v>
      </c>
      <c r="G509" s="32" t="s">
        <v>37</v>
      </c>
      <c r="H509" s="33">
        <f t="shared" si="125"/>
        <v>25</v>
      </c>
      <c r="I509" s="33" t="str">
        <f t="shared" si="106"/>
        <v>='C:\Users\jaime.benazar\Quorum Business Solutions\Ecopetrol Prometeo - Documents\Planning Space Implementation\3. Analysis &amp; Design\Design\FC22\DRR Jaime\QUIFA-CAJÚA\Cajua\[CAJUA_CF_SEC_New_27-Feb-2024Rev3.xlsx]D-PND'!$BW$25</v>
      </c>
      <c r="J509" s="37" t="s">
        <v>2272</v>
      </c>
    </row>
    <row r="510" spans="1:10" x14ac:dyDescent="0.25">
      <c r="A510" s="32" t="s">
        <v>3</v>
      </c>
      <c r="B510" s="32">
        <f>+B509+1</f>
        <v>2037</v>
      </c>
      <c r="C510" s="33" t="s">
        <v>8</v>
      </c>
      <c r="D510" s="34" t="s">
        <v>1999</v>
      </c>
      <c r="E510" s="35" t="str">
        <f t="shared" si="104"/>
        <v>PND'!</v>
      </c>
      <c r="F510" s="34" t="str">
        <f t="shared" si="105"/>
        <v>C:\Users\jaime.benazar\Quorum Business Solutions\Ecopetrol Prometeo - Documents\Planning Space Implementation\3. Analysis &amp; Design\Design\FC22\DRR Jaime\QUIFA-CAJÚA\Cajua\[CAJUA_CF_SEC_New_27-Feb-2024Rev3.xlsx]D-PND'!</v>
      </c>
      <c r="G510" s="32" t="s">
        <v>37</v>
      </c>
      <c r="H510" s="33">
        <f t="shared" si="125"/>
        <v>26</v>
      </c>
      <c r="I510" s="33" t="str">
        <f t="shared" si="106"/>
        <v>='C:\Users\jaime.benazar\Quorum Business Solutions\Ecopetrol Prometeo - Documents\Planning Space Implementation\3. Analysis &amp; Design\Design\FC22\DRR Jaime\QUIFA-CAJÚA\Cajua\[CAJUA_CF_SEC_New_27-Feb-2024Rev3.xlsx]D-PND'!$BW$26</v>
      </c>
      <c r="J510" s="37" t="s">
        <v>2273</v>
      </c>
    </row>
    <row r="511" spans="1:10" x14ac:dyDescent="0.25">
      <c r="A511" s="32" t="s">
        <v>3</v>
      </c>
      <c r="B511" s="32">
        <f t="shared" ref="B511:B513" si="127">+B510+1</f>
        <v>2038</v>
      </c>
      <c r="C511" s="33" t="s">
        <v>8</v>
      </c>
      <c r="D511" s="34" t="s">
        <v>1999</v>
      </c>
      <c r="E511" s="35" t="str">
        <f t="shared" si="104"/>
        <v>PND'!</v>
      </c>
      <c r="F511" s="34" t="str">
        <f t="shared" si="105"/>
        <v>C:\Users\jaime.benazar\Quorum Business Solutions\Ecopetrol Prometeo - Documents\Planning Space Implementation\3. Analysis &amp; Design\Design\FC22\DRR Jaime\QUIFA-CAJÚA\Cajua\[CAJUA_CF_SEC_New_27-Feb-2024Rev3.xlsx]D-PND'!</v>
      </c>
      <c r="G511" s="32" t="s">
        <v>37</v>
      </c>
      <c r="H511" s="33">
        <f t="shared" si="125"/>
        <v>27</v>
      </c>
      <c r="I511" s="33" t="str">
        <f t="shared" si="106"/>
        <v>='C:\Users\jaime.benazar\Quorum Business Solutions\Ecopetrol Prometeo - Documents\Planning Space Implementation\3. Analysis &amp; Design\Design\FC22\DRR Jaime\QUIFA-CAJÚA\Cajua\[CAJUA_CF_SEC_New_27-Feb-2024Rev3.xlsx]D-PND'!$BW$27</v>
      </c>
      <c r="J511" s="37" t="s">
        <v>2274</v>
      </c>
    </row>
    <row r="512" spans="1:10" x14ac:dyDescent="0.25">
      <c r="A512" s="32" t="s">
        <v>3</v>
      </c>
      <c r="B512" s="32">
        <f t="shared" si="127"/>
        <v>2039</v>
      </c>
      <c r="C512" s="33" t="s">
        <v>8</v>
      </c>
      <c r="D512" s="34" t="s">
        <v>1999</v>
      </c>
      <c r="E512" s="35" t="str">
        <f t="shared" si="104"/>
        <v>PND'!</v>
      </c>
      <c r="F512" s="34" t="str">
        <f t="shared" si="105"/>
        <v>C:\Users\jaime.benazar\Quorum Business Solutions\Ecopetrol Prometeo - Documents\Planning Space Implementation\3. Analysis &amp; Design\Design\FC22\DRR Jaime\QUIFA-CAJÚA\Cajua\[CAJUA_CF_SEC_New_27-Feb-2024Rev3.xlsx]D-PND'!</v>
      </c>
      <c r="G512" s="32" t="s">
        <v>37</v>
      </c>
      <c r="H512" s="33">
        <f t="shared" si="125"/>
        <v>28</v>
      </c>
      <c r="I512" s="33" t="str">
        <f t="shared" si="106"/>
        <v>='C:\Users\jaime.benazar\Quorum Business Solutions\Ecopetrol Prometeo - Documents\Planning Space Implementation\3. Analysis &amp; Design\Design\FC22\DRR Jaime\QUIFA-CAJÚA\Cajua\[CAJUA_CF_SEC_New_27-Feb-2024Rev3.xlsx]D-PND'!$BW$28</v>
      </c>
      <c r="J512" s="37" t="s">
        <v>2275</v>
      </c>
    </row>
    <row r="513" spans="1:10" x14ac:dyDescent="0.25">
      <c r="A513" s="32" t="s">
        <v>3</v>
      </c>
      <c r="B513" s="32">
        <f t="shared" si="127"/>
        <v>2040</v>
      </c>
      <c r="C513" s="33" t="s">
        <v>8</v>
      </c>
      <c r="D513" s="34" t="s">
        <v>1999</v>
      </c>
      <c r="E513" s="35" t="str">
        <f t="shared" si="104"/>
        <v>PND'!</v>
      </c>
      <c r="F513" s="34" t="str">
        <f t="shared" si="105"/>
        <v>C:\Users\jaime.benazar\Quorum Business Solutions\Ecopetrol Prometeo - Documents\Planning Space Implementation\3. Analysis &amp; Design\Design\FC22\DRR Jaime\QUIFA-CAJÚA\Cajua\[CAJUA_CF_SEC_New_27-Feb-2024Rev3.xlsx]D-PND'!</v>
      </c>
      <c r="G513" s="32" t="s">
        <v>37</v>
      </c>
      <c r="H513" s="33">
        <f t="shared" si="125"/>
        <v>29</v>
      </c>
      <c r="I513" s="33" t="str">
        <f t="shared" si="106"/>
        <v>='C:\Users\jaime.benazar\Quorum Business Solutions\Ecopetrol Prometeo - Documents\Planning Space Implementation\3. Analysis &amp; Design\Design\FC22\DRR Jaime\QUIFA-CAJÚA\Cajua\[CAJUA_CF_SEC_New_27-Feb-2024Rev3.xlsx]D-PND'!$BW$29</v>
      </c>
      <c r="J513" s="37" t="s">
        <v>2276</v>
      </c>
    </row>
    <row r="514" spans="1:10" x14ac:dyDescent="0.25">
      <c r="A514" s="32" t="s">
        <v>3</v>
      </c>
      <c r="B514" s="32">
        <f>+B513+1</f>
        <v>2041</v>
      </c>
      <c r="C514" s="33" t="s">
        <v>8</v>
      </c>
      <c r="D514" s="34" t="s">
        <v>1999</v>
      </c>
      <c r="E514" s="35" t="str">
        <f t="shared" si="104"/>
        <v>PND'!</v>
      </c>
      <c r="F514" s="34" t="str">
        <f t="shared" si="105"/>
        <v>C:\Users\jaime.benazar\Quorum Business Solutions\Ecopetrol Prometeo - Documents\Planning Space Implementation\3. Analysis &amp; Design\Design\FC22\DRR Jaime\QUIFA-CAJÚA\Cajua\[CAJUA_CF_SEC_New_27-Feb-2024Rev3.xlsx]D-PND'!</v>
      </c>
      <c r="G514" s="32" t="s">
        <v>37</v>
      </c>
      <c r="H514" s="33">
        <f t="shared" si="125"/>
        <v>30</v>
      </c>
      <c r="I514" s="33" t="str">
        <f t="shared" si="106"/>
        <v>='C:\Users\jaime.benazar\Quorum Business Solutions\Ecopetrol Prometeo - Documents\Planning Space Implementation\3. Analysis &amp; Design\Design\FC22\DRR Jaime\QUIFA-CAJÚA\Cajua\[CAJUA_CF_SEC_New_27-Feb-2024Rev3.xlsx]D-PND'!$BW$30</v>
      </c>
      <c r="J514" s="37" t="s">
        <v>2277</v>
      </c>
    </row>
    <row r="515" spans="1:10" x14ac:dyDescent="0.25">
      <c r="A515" s="32" t="s">
        <v>3</v>
      </c>
      <c r="B515" s="32">
        <f t="shared" ref="B515:B516" si="128">+B514+1</f>
        <v>2042</v>
      </c>
      <c r="C515" s="33" t="s">
        <v>8</v>
      </c>
      <c r="D515" s="34" t="s">
        <v>1999</v>
      </c>
      <c r="E515" s="35" t="str">
        <f t="shared" ref="E515:E820" si="129">_xlfn.CONCAT(A515,"'!")</f>
        <v>PND'!</v>
      </c>
      <c r="F515" s="34" t="str">
        <f t="shared" ref="F515:F820" si="130">_xlfn.CONCAT(D515:E515)</f>
        <v>C:\Users\jaime.benazar\Quorum Business Solutions\Ecopetrol Prometeo - Documents\Planning Space Implementation\3. Analysis &amp; Design\Design\FC22\DRR Jaime\QUIFA-CAJÚA\Cajua\[CAJUA_CF_SEC_New_27-Feb-2024Rev3.xlsx]D-PND'!</v>
      </c>
      <c r="G515" s="32" t="s">
        <v>37</v>
      </c>
      <c r="H515" s="33">
        <f t="shared" si="125"/>
        <v>31</v>
      </c>
      <c r="I515" s="33" t="str">
        <f t="shared" ref="I515:I820" si="131">_xlfn.CONCAT("='",F515:H515)</f>
        <v>='C:\Users\jaime.benazar\Quorum Business Solutions\Ecopetrol Prometeo - Documents\Planning Space Implementation\3. Analysis &amp; Design\Design\FC22\DRR Jaime\QUIFA-CAJÚA\Cajua\[CAJUA_CF_SEC_New_27-Feb-2024Rev3.xlsx]D-PND'!$BW$31</v>
      </c>
      <c r="J515" s="37" t="s">
        <v>2278</v>
      </c>
    </row>
    <row r="516" spans="1:10" x14ac:dyDescent="0.25">
      <c r="A516" s="32" t="s">
        <v>3</v>
      </c>
      <c r="B516" s="32">
        <f t="shared" si="128"/>
        <v>2043</v>
      </c>
      <c r="C516" s="33" t="s">
        <v>8</v>
      </c>
      <c r="D516" s="34" t="s">
        <v>1999</v>
      </c>
      <c r="E516" s="35" t="str">
        <f t="shared" si="129"/>
        <v>PND'!</v>
      </c>
      <c r="F516" s="34" t="str">
        <f t="shared" si="130"/>
        <v>C:\Users\jaime.benazar\Quorum Business Solutions\Ecopetrol Prometeo - Documents\Planning Space Implementation\3. Analysis &amp; Design\Design\FC22\DRR Jaime\QUIFA-CAJÚA\Cajua\[CAJUA_CF_SEC_New_27-Feb-2024Rev3.xlsx]D-PND'!</v>
      </c>
      <c r="G516" s="32" t="s">
        <v>37</v>
      </c>
      <c r="H516" s="33">
        <f t="shared" si="125"/>
        <v>32</v>
      </c>
      <c r="I516" s="33" t="str">
        <f t="shared" si="131"/>
        <v>='C:\Users\jaime.benazar\Quorum Business Solutions\Ecopetrol Prometeo - Documents\Planning Space Implementation\3. Analysis &amp; Design\Design\FC22\DRR Jaime\QUIFA-CAJÚA\Cajua\[CAJUA_CF_SEC_New_27-Feb-2024Rev3.xlsx]D-PND'!$BW$32</v>
      </c>
      <c r="J516" s="37" t="s">
        <v>2279</v>
      </c>
    </row>
    <row r="517" spans="1:10" x14ac:dyDescent="0.25">
      <c r="A517" s="32" t="s">
        <v>3</v>
      </c>
      <c r="B517" s="32">
        <f>+B516+1</f>
        <v>2044</v>
      </c>
      <c r="C517" s="33" t="s">
        <v>8</v>
      </c>
      <c r="D517" s="34" t="s">
        <v>1999</v>
      </c>
      <c r="E517" s="35" t="str">
        <f t="shared" ref="E517:E532" si="132">_xlfn.CONCAT(A517,"'!")</f>
        <v>PND'!</v>
      </c>
      <c r="F517" s="34" t="str">
        <f t="shared" ref="F517:F532" si="133">_xlfn.CONCAT(D517:E517)</f>
        <v>C:\Users\jaime.benazar\Quorum Business Solutions\Ecopetrol Prometeo - Documents\Planning Space Implementation\3. Analysis &amp; Design\Design\FC22\DRR Jaime\QUIFA-CAJÚA\Cajua\[CAJUA_CF_SEC_New_27-Feb-2024Rev3.xlsx]D-PND'!</v>
      </c>
      <c r="G517" s="32" t="s">
        <v>37</v>
      </c>
      <c r="H517" s="33">
        <f t="shared" ref="H517:H532" si="134">IF(A517&lt;&gt;A516,12,H516+1)</f>
        <v>33</v>
      </c>
      <c r="I517" s="33" t="str">
        <f t="shared" ref="I517:I532" si="135">_xlfn.CONCAT("='",F517:H517)</f>
        <v>='C:\Users\jaime.benazar\Quorum Business Solutions\Ecopetrol Prometeo - Documents\Planning Space Implementation\3. Analysis &amp; Design\Design\FC22\DRR Jaime\QUIFA-CAJÚA\Cajua\[CAJUA_CF_SEC_New_27-Feb-2024Rev3.xlsx]D-PND'!$BW$33</v>
      </c>
      <c r="J517" s="37" t="s">
        <v>2280</v>
      </c>
    </row>
    <row r="518" spans="1:10" x14ac:dyDescent="0.25">
      <c r="A518" s="32" t="s">
        <v>3</v>
      </c>
      <c r="B518" s="32">
        <f t="shared" ref="B518:B532" si="136">+B517+1</f>
        <v>2045</v>
      </c>
      <c r="C518" s="33" t="s">
        <v>8</v>
      </c>
      <c r="D518" s="34" t="s">
        <v>1999</v>
      </c>
      <c r="E518" s="35" t="str">
        <f t="shared" si="132"/>
        <v>PND'!</v>
      </c>
      <c r="F518" s="34" t="str">
        <f t="shared" si="133"/>
        <v>C:\Users\jaime.benazar\Quorum Business Solutions\Ecopetrol Prometeo - Documents\Planning Space Implementation\3. Analysis &amp; Design\Design\FC22\DRR Jaime\QUIFA-CAJÚA\Cajua\[CAJUA_CF_SEC_New_27-Feb-2024Rev3.xlsx]D-PND'!</v>
      </c>
      <c r="G518" s="32" t="s">
        <v>37</v>
      </c>
      <c r="H518" s="33">
        <f t="shared" si="134"/>
        <v>34</v>
      </c>
      <c r="I518" s="33" t="str">
        <f t="shared" si="135"/>
        <v>='C:\Users\jaime.benazar\Quorum Business Solutions\Ecopetrol Prometeo - Documents\Planning Space Implementation\3. Analysis &amp; Design\Design\FC22\DRR Jaime\QUIFA-CAJÚA\Cajua\[CAJUA_CF_SEC_New_27-Feb-2024Rev3.xlsx]D-PND'!$BW$34</v>
      </c>
      <c r="J518" s="37" t="s">
        <v>2281</v>
      </c>
    </row>
    <row r="519" spans="1:10" x14ac:dyDescent="0.25">
      <c r="A519" s="32" t="s">
        <v>3</v>
      </c>
      <c r="B519" s="32">
        <f t="shared" si="136"/>
        <v>2046</v>
      </c>
      <c r="C519" s="33" t="s">
        <v>8</v>
      </c>
      <c r="D519" s="34" t="s">
        <v>1999</v>
      </c>
      <c r="E519" s="35" t="str">
        <f t="shared" si="132"/>
        <v>PND'!</v>
      </c>
      <c r="F519" s="34" t="str">
        <f t="shared" si="133"/>
        <v>C:\Users\jaime.benazar\Quorum Business Solutions\Ecopetrol Prometeo - Documents\Planning Space Implementation\3. Analysis &amp; Design\Design\FC22\DRR Jaime\QUIFA-CAJÚA\Cajua\[CAJUA_CF_SEC_New_27-Feb-2024Rev3.xlsx]D-PND'!</v>
      </c>
      <c r="G519" s="32" t="s">
        <v>37</v>
      </c>
      <c r="H519" s="33">
        <f t="shared" si="134"/>
        <v>35</v>
      </c>
      <c r="I519" s="33" t="str">
        <f t="shared" si="135"/>
        <v>='C:\Users\jaime.benazar\Quorum Business Solutions\Ecopetrol Prometeo - Documents\Planning Space Implementation\3. Analysis &amp; Design\Design\FC22\DRR Jaime\QUIFA-CAJÚA\Cajua\[CAJUA_CF_SEC_New_27-Feb-2024Rev3.xlsx]D-PND'!$BW$35</v>
      </c>
      <c r="J519" s="37" t="s">
        <v>2282</v>
      </c>
    </row>
    <row r="520" spans="1:10" x14ac:dyDescent="0.25">
      <c r="A520" s="32" t="s">
        <v>3</v>
      </c>
      <c r="B520" s="32">
        <f t="shared" si="136"/>
        <v>2047</v>
      </c>
      <c r="C520" s="33" t="s">
        <v>8</v>
      </c>
      <c r="D520" s="34" t="s">
        <v>1999</v>
      </c>
      <c r="E520" s="35" t="str">
        <f t="shared" si="132"/>
        <v>PND'!</v>
      </c>
      <c r="F520" s="34" t="str">
        <f t="shared" si="133"/>
        <v>C:\Users\jaime.benazar\Quorum Business Solutions\Ecopetrol Prometeo - Documents\Planning Space Implementation\3. Analysis &amp; Design\Design\FC22\DRR Jaime\QUIFA-CAJÚA\Cajua\[CAJUA_CF_SEC_New_27-Feb-2024Rev3.xlsx]D-PND'!</v>
      </c>
      <c r="G520" s="32" t="s">
        <v>37</v>
      </c>
      <c r="H520" s="33">
        <f t="shared" si="134"/>
        <v>36</v>
      </c>
      <c r="I520" s="33" t="str">
        <f t="shared" si="135"/>
        <v>='C:\Users\jaime.benazar\Quorum Business Solutions\Ecopetrol Prometeo - Documents\Planning Space Implementation\3. Analysis &amp; Design\Design\FC22\DRR Jaime\QUIFA-CAJÚA\Cajua\[CAJUA_CF_SEC_New_27-Feb-2024Rev3.xlsx]D-PND'!$BW$36</v>
      </c>
      <c r="J520" s="37" t="s">
        <v>2283</v>
      </c>
    </row>
    <row r="521" spans="1:10" x14ac:dyDescent="0.25">
      <c r="A521" s="32" t="s">
        <v>3</v>
      </c>
      <c r="B521" s="32">
        <f t="shared" si="136"/>
        <v>2048</v>
      </c>
      <c r="C521" s="33" t="s">
        <v>8</v>
      </c>
      <c r="D521" s="34" t="s">
        <v>1999</v>
      </c>
      <c r="E521" s="35" t="str">
        <f t="shared" si="132"/>
        <v>PND'!</v>
      </c>
      <c r="F521" s="34" t="str">
        <f t="shared" si="133"/>
        <v>C:\Users\jaime.benazar\Quorum Business Solutions\Ecopetrol Prometeo - Documents\Planning Space Implementation\3. Analysis &amp; Design\Design\FC22\DRR Jaime\QUIFA-CAJÚA\Cajua\[CAJUA_CF_SEC_New_27-Feb-2024Rev3.xlsx]D-PND'!</v>
      </c>
      <c r="G521" s="32" t="s">
        <v>37</v>
      </c>
      <c r="H521" s="33">
        <f t="shared" si="134"/>
        <v>37</v>
      </c>
      <c r="I521" s="33" t="str">
        <f t="shared" si="135"/>
        <v>='C:\Users\jaime.benazar\Quorum Business Solutions\Ecopetrol Prometeo - Documents\Planning Space Implementation\3. Analysis &amp; Design\Design\FC22\DRR Jaime\QUIFA-CAJÚA\Cajua\[CAJUA_CF_SEC_New_27-Feb-2024Rev3.xlsx]D-PND'!$BW$37</v>
      </c>
      <c r="J521" s="37" t="s">
        <v>2284</v>
      </c>
    </row>
    <row r="522" spans="1:10" x14ac:dyDescent="0.25">
      <c r="A522" s="32" t="s">
        <v>3</v>
      </c>
      <c r="B522" s="32">
        <f t="shared" si="136"/>
        <v>2049</v>
      </c>
      <c r="C522" s="33" t="s">
        <v>8</v>
      </c>
      <c r="D522" s="34" t="s">
        <v>1999</v>
      </c>
      <c r="E522" s="35" t="str">
        <f t="shared" si="132"/>
        <v>PND'!</v>
      </c>
      <c r="F522" s="34" t="str">
        <f t="shared" si="133"/>
        <v>C:\Users\jaime.benazar\Quorum Business Solutions\Ecopetrol Prometeo - Documents\Planning Space Implementation\3. Analysis &amp; Design\Design\FC22\DRR Jaime\QUIFA-CAJÚA\Cajua\[CAJUA_CF_SEC_New_27-Feb-2024Rev3.xlsx]D-PND'!</v>
      </c>
      <c r="G522" s="32" t="s">
        <v>37</v>
      </c>
      <c r="H522" s="33">
        <f t="shared" si="134"/>
        <v>38</v>
      </c>
      <c r="I522" s="33" t="str">
        <f t="shared" si="135"/>
        <v>='C:\Users\jaime.benazar\Quorum Business Solutions\Ecopetrol Prometeo - Documents\Planning Space Implementation\3. Analysis &amp; Design\Design\FC22\DRR Jaime\QUIFA-CAJÚA\Cajua\[CAJUA_CF_SEC_New_27-Feb-2024Rev3.xlsx]D-PND'!$BW$38</v>
      </c>
      <c r="J522" s="37" t="s">
        <v>2285</v>
      </c>
    </row>
    <row r="523" spans="1:10" x14ac:dyDescent="0.25">
      <c r="A523" s="32" t="s">
        <v>3</v>
      </c>
      <c r="B523" s="32">
        <f t="shared" si="136"/>
        <v>2050</v>
      </c>
      <c r="C523" s="33" t="s">
        <v>8</v>
      </c>
      <c r="D523" s="34" t="s">
        <v>1999</v>
      </c>
      <c r="E523" s="35" t="str">
        <f t="shared" si="132"/>
        <v>PND'!</v>
      </c>
      <c r="F523" s="34" t="str">
        <f t="shared" si="133"/>
        <v>C:\Users\jaime.benazar\Quorum Business Solutions\Ecopetrol Prometeo - Documents\Planning Space Implementation\3. Analysis &amp; Design\Design\FC22\DRR Jaime\QUIFA-CAJÚA\Cajua\[CAJUA_CF_SEC_New_27-Feb-2024Rev3.xlsx]D-PND'!</v>
      </c>
      <c r="G523" s="32" t="s">
        <v>37</v>
      </c>
      <c r="H523" s="33">
        <f t="shared" si="134"/>
        <v>39</v>
      </c>
      <c r="I523" s="33" t="str">
        <f t="shared" si="135"/>
        <v>='C:\Users\jaime.benazar\Quorum Business Solutions\Ecopetrol Prometeo - Documents\Planning Space Implementation\3. Analysis &amp; Design\Design\FC22\DRR Jaime\QUIFA-CAJÚA\Cajua\[CAJUA_CF_SEC_New_27-Feb-2024Rev3.xlsx]D-PND'!$BW$39</v>
      </c>
      <c r="J523" s="37" t="s">
        <v>2286</v>
      </c>
    </row>
    <row r="524" spans="1:10" x14ac:dyDescent="0.25">
      <c r="A524" s="32" t="s">
        <v>3</v>
      </c>
      <c r="B524" s="32">
        <f t="shared" si="136"/>
        <v>2051</v>
      </c>
      <c r="C524" s="33" t="s">
        <v>8</v>
      </c>
      <c r="D524" s="34" t="s">
        <v>1999</v>
      </c>
      <c r="E524" s="35" t="str">
        <f t="shared" si="132"/>
        <v>PND'!</v>
      </c>
      <c r="F524" s="34" t="str">
        <f t="shared" si="133"/>
        <v>C:\Users\jaime.benazar\Quorum Business Solutions\Ecopetrol Prometeo - Documents\Planning Space Implementation\3. Analysis &amp; Design\Design\FC22\DRR Jaime\QUIFA-CAJÚA\Cajua\[CAJUA_CF_SEC_New_27-Feb-2024Rev3.xlsx]D-PND'!</v>
      </c>
      <c r="G524" s="32" t="s">
        <v>37</v>
      </c>
      <c r="H524" s="33">
        <f t="shared" si="134"/>
        <v>40</v>
      </c>
      <c r="I524" s="33" t="str">
        <f t="shared" si="135"/>
        <v>='C:\Users\jaime.benazar\Quorum Business Solutions\Ecopetrol Prometeo - Documents\Planning Space Implementation\3. Analysis &amp; Design\Design\FC22\DRR Jaime\QUIFA-CAJÚA\Cajua\[CAJUA_CF_SEC_New_27-Feb-2024Rev3.xlsx]D-PND'!$BW$40</v>
      </c>
      <c r="J524" s="37" t="s">
        <v>2287</v>
      </c>
    </row>
    <row r="525" spans="1:10" x14ac:dyDescent="0.25">
      <c r="A525" s="32" t="s">
        <v>3</v>
      </c>
      <c r="B525" s="32">
        <f t="shared" si="136"/>
        <v>2052</v>
      </c>
      <c r="C525" s="33" t="s">
        <v>8</v>
      </c>
      <c r="D525" s="34" t="s">
        <v>1999</v>
      </c>
      <c r="E525" s="35" t="str">
        <f t="shared" si="132"/>
        <v>PND'!</v>
      </c>
      <c r="F525" s="34" t="str">
        <f t="shared" si="133"/>
        <v>C:\Users\jaime.benazar\Quorum Business Solutions\Ecopetrol Prometeo - Documents\Planning Space Implementation\3. Analysis &amp; Design\Design\FC22\DRR Jaime\QUIFA-CAJÚA\Cajua\[CAJUA_CF_SEC_New_27-Feb-2024Rev3.xlsx]D-PND'!</v>
      </c>
      <c r="G525" s="32" t="s">
        <v>37</v>
      </c>
      <c r="H525" s="33">
        <f t="shared" si="134"/>
        <v>41</v>
      </c>
      <c r="I525" s="33" t="str">
        <f t="shared" si="135"/>
        <v>='C:\Users\jaime.benazar\Quorum Business Solutions\Ecopetrol Prometeo - Documents\Planning Space Implementation\3. Analysis &amp; Design\Design\FC22\DRR Jaime\QUIFA-CAJÚA\Cajua\[CAJUA_CF_SEC_New_27-Feb-2024Rev3.xlsx]D-PND'!$BW$41</v>
      </c>
      <c r="J525" s="37" t="s">
        <v>2288</v>
      </c>
    </row>
    <row r="526" spans="1:10" x14ac:dyDescent="0.25">
      <c r="A526" s="32" t="s">
        <v>3</v>
      </c>
      <c r="B526" s="32">
        <f t="shared" si="136"/>
        <v>2053</v>
      </c>
      <c r="C526" s="33" t="s">
        <v>8</v>
      </c>
      <c r="D526" s="34" t="s">
        <v>1999</v>
      </c>
      <c r="E526" s="35" t="str">
        <f t="shared" si="132"/>
        <v>PND'!</v>
      </c>
      <c r="F526" s="34" t="str">
        <f t="shared" si="133"/>
        <v>C:\Users\jaime.benazar\Quorum Business Solutions\Ecopetrol Prometeo - Documents\Planning Space Implementation\3. Analysis &amp; Design\Design\FC22\DRR Jaime\QUIFA-CAJÚA\Cajua\[CAJUA_CF_SEC_New_27-Feb-2024Rev3.xlsx]D-PND'!</v>
      </c>
      <c r="G526" s="32" t="s">
        <v>37</v>
      </c>
      <c r="H526" s="33">
        <f t="shared" si="134"/>
        <v>42</v>
      </c>
      <c r="I526" s="33" t="str">
        <f t="shared" si="135"/>
        <v>='C:\Users\jaime.benazar\Quorum Business Solutions\Ecopetrol Prometeo - Documents\Planning Space Implementation\3. Analysis &amp; Design\Design\FC22\DRR Jaime\QUIFA-CAJÚA\Cajua\[CAJUA_CF_SEC_New_27-Feb-2024Rev3.xlsx]D-PND'!$BW$42</v>
      </c>
      <c r="J526" s="37" t="s">
        <v>2289</v>
      </c>
    </row>
    <row r="527" spans="1:10" x14ac:dyDescent="0.25">
      <c r="A527" s="32" t="s">
        <v>3</v>
      </c>
      <c r="B527" s="32">
        <f t="shared" si="136"/>
        <v>2054</v>
      </c>
      <c r="C527" s="33" t="s">
        <v>8</v>
      </c>
      <c r="D527" s="34" t="s">
        <v>1999</v>
      </c>
      <c r="E527" s="35" t="str">
        <f t="shared" si="132"/>
        <v>PND'!</v>
      </c>
      <c r="F527" s="34" t="str">
        <f t="shared" si="133"/>
        <v>C:\Users\jaime.benazar\Quorum Business Solutions\Ecopetrol Prometeo - Documents\Planning Space Implementation\3. Analysis &amp; Design\Design\FC22\DRR Jaime\QUIFA-CAJÚA\Cajua\[CAJUA_CF_SEC_New_27-Feb-2024Rev3.xlsx]D-PND'!</v>
      </c>
      <c r="G527" s="32" t="s">
        <v>37</v>
      </c>
      <c r="H527" s="33">
        <f t="shared" si="134"/>
        <v>43</v>
      </c>
      <c r="I527" s="33" t="str">
        <f t="shared" si="135"/>
        <v>='C:\Users\jaime.benazar\Quorum Business Solutions\Ecopetrol Prometeo - Documents\Planning Space Implementation\3. Analysis &amp; Design\Design\FC22\DRR Jaime\QUIFA-CAJÚA\Cajua\[CAJUA_CF_SEC_New_27-Feb-2024Rev3.xlsx]D-PND'!$BW$43</v>
      </c>
      <c r="J527" s="37" t="s">
        <v>2290</v>
      </c>
    </row>
    <row r="528" spans="1:10" x14ac:dyDescent="0.25">
      <c r="A528" s="32" t="s">
        <v>3</v>
      </c>
      <c r="B528" s="32">
        <f t="shared" si="136"/>
        <v>2055</v>
      </c>
      <c r="C528" s="33" t="s">
        <v>8</v>
      </c>
      <c r="D528" s="34" t="s">
        <v>1999</v>
      </c>
      <c r="E528" s="35" t="str">
        <f t="shared" si="132"/>
        <v>PND'!</v>
      </c>
      <c r="F528" s="34" t="str">
        <f t="shared" si="133"/>
        <v>C:\Users\jaime.benazar\Quorum Business Solutions\Ecopetrol Prometeo - Documents\Planning Space Implementation\3. Analysis &amp; Design\Design\FC22\DRR Jaime\QUIFA-CAJÚA\Cajua\[CAJUA_CF_SEC_New_27-Feb-2024Rev3.xlsx]D-PND'!</v>
      </c>
      <c r="G528" s="32" t="s">
        <v>37</v>
      </c>
      <c r="H528" s="33">
        <f t="shared" si="134"/>
        <v>44</v>
      </c>
      <c r="I528" s="33" t="str">
        <f t="shared" si="135"/>
        <v>='C:\Users\jaime.benazar\Quorum Business Solutions\Ecopetrol Prometeo - Documents\Planning Space Implementation\3. Analysis &amp; Design\Design\FC22\DRR Jaime\QUIFA-CAJÚA\Cajua\[CAJUA_CF_SEC_New_27-Feb-2024Rev3.xlsx]D-PND'!$BW$44</v>
      </c>
      <c r="J528" s="37" t="s">
        <v>2291</v>
      </c>
    </row>
    <row r="529" spans="1:10" x14ac:dyDescent="0.25">
      <c r="A529" s="32" t="s">
        <v>3</v>
      </c>
      <c r="B529" s="32">
        <f t="shared" si="136"/>
        <v>2056</v>
      </c>
      <c r="C529" s="33" t="s">
        <v>8</v>
      </c>
      <c r="D529" s="34" t="s">
        <v>1999</v>
      </c>
      <c r="E529" s="35" t="str">
        <f t="shared" si="132"/>
        <v>PND'!</v>
      </c>
      <c r="F529" s="34" t="str">
        <f t="shared" si="133"/>
        <v>C:\Users\jaime.benazar\Quorum Business Solutions\Ecopetrol Prometeo - Documents\Planning Space Implementation\3. Analysis &amp; Design\Design\FC22\DRR Jaime\QUIFA-CAJÚA\Cajua\[CAJUA_CF_SEC_New_27-Feb-2024Rev3.xlsx]D-PND'!</v>
      </c>
      <c r="G529" s="32" t="s">
        <v>37</v>
      </c>
      <c r="H529" s="33">
        <f t="shared" si="134"/>
        <v>45</v>
      </c>
      <c r="I529" s="33" t="str">
        <f t="shared" si="135"/>
        <v>='C:\Users\jaime.benazar\Quorum Business Solutions\Ecopetrol Prometeo - Documents\Planning Space Implementation\3. Analysis &amp; Design\Design\FC22\DRR Jaime\QUIFA-CAJÚA\Cajua\[CAJUA_CF_SEC_New_27-Feb-2024Rev3.xlsx]D-PND'!$BW$45</v>
      </c>
      <c r="J529" s="37" t="s">
        <v>2292</v>
      </c>
    </row>
    <row r="530" spans="1:10" x14ac:dyDescent="0.25">
      <c r="A530" s="32" t="s">
        <v>3</v>
      </c>
      <c r="B530" s="32">
        <f t="shared" si="136"/>
        <v>2057</v>
      </c>
      <c r="C530" s="33" t="s">
        <v>8</v>
      </c>
      <c r="D530" s="34" t="s">
        <v>1999</v>
      </c>
      <c r="E530" s="35" t="str">
        <f t="shared" si="132"/>
        <v>PND'!</v>
      </c>
      <c r="F530" s="34" t="str">
        <f t="shared" si="133"/>
        <v>C:\Users\jaime.benazar\Quorum Business Solutions\Ecopetrol Prometeo - Documents\Planning Space Implementation\3. Analysis &amp; Design\Design\FC22\DRR Jaime\QUIFA-CAJÚA\Cajua\[CAJUA_CF_SEC_New_27-Feb-2024Rev3.xlsx]D-PND'!</v>
      </c>
      <c r="G530" s="32" t="s">
        <v>37</v>
      </c>
      <c r="H530" s="33">
        <f t="shared" si="134"/>
        <v>46</v>
      </c>
      <c r="I530" s="33" t="str">
        <f t="shared" si="135"/>
        <v>='C:\Users\jaime.benazar\Quorum Business Solutions\Ecopetrol Prometeo - Documents\Planning Space Implementation\3. Analysis &amp; Design\Design\FC22\DRR Jaime\QUIFA-CAJÚA\Cajua\[CAJUA_CF_SEC_New_27-Feb-2024Rev3.xlsx]D-PND'!$BW$46</v>
      </c>
      <c r="J530" s="37" t="s">
        <v>2293</v>
      </c>
    </row>
    <row r="531" spans="1:10" x14ac:dyDescent="0.25">
      <c r="A531" s="32" t="s">
        <v>3</v>
      </c>
      <c r="B531" s="32">
        <f t="shared" si="136"/>
        <v>2058</v>
      </c>
      <c r="C531" s="33" t="s">
        <v>8</v>
      </c>
      <c r="D531" s="34" t="s">
        <v>1999</v>
      </c>
      <c r="E531" s="35" t="str">
        <f t="shared" si="132"/>
        <v>PND'!</v>
      </c>
      <c r="F531" s="34" t="str">
        <f t="shared" si="133"/>
        <v>C:\Users\jaime.benazar\Quorum Business Solutions\Ecopetrol Prometeo - Documents\Planning Space Implementation\3. Analysis &amp; Design\Design\FC22\DRR Jaime\QUIFA-CAJÚA\Cajua\[CAJUA_CF_SEC_New_27-Feb-2024Rev3.xlsx]D-PND'!</v>
      </c>
      <c r="G531" s="32" t="s">
        <v>37</v>
      </c>
      <c r="H531" s="33">
        <f t="shared" si="134"/>
        <v>47</v>
      </c>
      <c r="I531" s="33" t="str">
        <f t="shared" si="135"/>
        <v>='C:\Users\jaime.benazar\Quorum Business Solutions\Ecopetrol Prometeo - Documents\Planning Space Implementation\3. Analysis &amp; Design\Design\FC22\DRR Jaime\QUIFA-CAJÚA\Cajua\[CAJUA_CF_SEC_New_27-Feb-2024Rev3.xlsx]D-PND'!$BW$47</v>
      </c>
      <c r="J531" s="37" t="s">
        <v>2294</v>
      </c>
    </row>
    <row r="532" spans="1:10" x14ac:dyDescent="0.25">
      <c r="A532" s="32" t="s">
        <v>3</v>
      </c>
      <c r="B532" s="32">
        <f t="shared" si="136"/>
        <v>2059</v>
      </c>
      <c r="C532" s="33" t="s">
        <v>8</v>
      </c>
      <c r="D532" s="34" t="s">
        <v>1999</v>
      </c>
      <c r="E532" s="35" t="str">
        <f t="shared" si="132"/>
        <v>PND'!</v>
      </c>
      <c r="F532" s="34" t="str">
        <f t="shared" si="133"/>
        <v>C:\Users\jaime.benazar\Quorum Business Solutions\Ecopetrol Prometeo - Documents\Planning Space Implementation\3. Analysis &amp; Design\Design\FC22\DRR Jaime\QUIFA-CAJÚA\Cajua\[CAJUA_CF_SEC_New_27-Feb-2024Rev3.xlsx]D-PND'!</v>
      </c>
      <c r="G532" s="32" t="s">
        <v>37</v>
      </c>
      <c r="H532" s="33">
        <f t="shared" si="134"/>
        <v>48</v>
      </c>
      <c r="I532" s="33" t="str">
        <f t="shared" si="135"/>
        <v>='C:\Users\jaime.benazar\Quorum Business Solutions\Ecopetrol Prometeo - Documents\Planning Space Implementation\3. Analysis &amp; Design\Design\FC22\DRR Jaime\QUIFA-CAJÚA\Cajua\[CAJUA_CF_SEC_New_27-Feb-2024Rev3.xlsx]D-PND'!$BW$48</v>
      </c>
      <c r="J532" s="37" t="s">
        <v>2295</v>
      </c>
    </row>
    <row r="533" spans="1:10" x14ac:dyDescent="0.25">
      <c r="A533" s="32" t="s">
        <v>28</v>
      </c>
      <c r="B533" s="32"/>
      <c r="C533" s="33" t="s">
        <v>8</v>
      </c>
      <c r="D533" s="34"/>
      <c r="E533" s="35"/>
      <c r="F533" s="34"/>
      <c r="G533" s="32"/>
      <c r="H533" s="33"/>
      <c r="I533" s="33"/>
      <c r="J533" s="33"/>
    </row>
    <row r="534" spans="1:10" x14ac:dyDescent="0.25">
      <c r="A534" s="32" t="s">
        <v>99</v>
      </c>
      <c r="B534" s="32">
        <v>2023</v>
      </c>
      <c r="C534" s="33" t="s">
        <v>8</v>
      </c>
      <c r="D534" s="34" t="s">
        <v>1999</v>
      </c>
      <c r="E534" s="35" t="str">
        <f t="shared" ref="E534:E554" si="137">_xlfn.CONCAT(A534,"'!")</f>
        <v>PRBDP'!</v>
      </c>
      <c r="F534" s="34" t="str">
        <f t="shared" ref="F534:F554" si="138">_xlfn.CONCAT(D534:E534)</f>
        <v>C:\Users\jaime.benazar\Quorum Business Solutions\Ecopetrol Prometeo - Documents\Planning Space Implementation\3. Analysis &amp; Design\Design\FC22\DRR Jaime\QUIFA-CAJÚA\Cajua\[CAJUA_CF_SEC_New_27-Feb-2024Rev3.xlsx]D-PRBDP'!</v>
      </c>
      <c r="G534" s="32" t="s">
        <v>37</v>
      </c>
      <c r="H534" s="33"/>
      <c r="I534" s="33"/>
      <c r="J534" s="37"/>
    </row>
    <row r="535" spans="1:10" x14ac:dyDescent="0.25">
      <c r="A535" s="32" t="s">
        <v>99</v>
      </c>
      <c r="B535" s="32">
        <f>+B534+1</f>
        <v>2024</v>
      </c>
      <c r="C535" s="33" t="s">
        <v>8</v>
      </c>
      <c r="D535" s="34" t="s">
        <v>1999</v>
      </c>
      <c r="E535" s="35" t="str">
        <f t="shared" si="137"/>
        <v>PRBDP'!</v>
      </c>
      <c r="F535" s="34" t="str">
        <f t="shared" si="138"/>
        <v>C:\Users\jaime.benazar\Quorum Business Solutions\Ecopetrol Prometeo - Documents\Planning Space Implementation\3. Analysis &amp; Design\Design\FC22\DRR Jaime\QUIFA-CAJÚA\Cajua\[CAJUA_CF_SEC_New_27-Feb-2024Rev3.xlsx]D-PRBDP'!</v>
      </c>
      <c r="G535" s="32" t="s">
        <v>37</v>
      </c>
      <c r="H535" s="33"/>
      <c r="I535" s="33"/>
      <c r="J535" s="37"/>
    </row>
    <row r="536" spans="1:10" x14ac:dyDescent="0.25">
      <c r="A536" s="32" t="s">
        <v>99</v>
      </c>
      <c r="B536" s="32">
        <f t="shared" ref="B536:B547" si="139">+B535+1</f>
        <v>2025</v>
      </c>
      <c r="C536" s="33" t="s">
        <v>8</v>
      </c>
      <c r="D536" s="34" t="s">
        <v>1999</v>
      </c>
      <c r="E536" s="35" t="str">
        <f t="shared" si="137"/>
        <v>PRBDP'!</v>
      </c>
      <c r="F536" s="34" t="str">
        <f t="shared" si="138"/>
        <v>C:\Users\jaime.benazar\Quorum Business Solutions\Ecopetrol Prometeo - Documents\Planning Space Implementation\3. Analysis &amp; Design\Design\FC22\DRR Jaime\QUIFA-CAJÚA\Cajua\[CAJUA_CF_SEC_New_27-Feb-2024Rev3.xlsx]D-PRBDP'!</v>
      </c>
      <c r="G536" s="32" t="s">
        <v>37</v>
      </c>
      <c r="H536" s="33"/>
      <c r="I536" s="33"/>
      <c r="J536" s="37"/>
    </row>
    <row r="537" spans="1:10" x14ac:dyDescent="0.25">
      <c r="A537" s="32" t="s">
        <v>99</v>
      </c>
      <c r="B537" s="32">
        <f t="shared" si="139"/>
        <v>2026</v>
      </c>
      <c r="C537" s="33" t="s">
        <v>8</v>
      </c>
      <c r="D537" s="34" t="s">
        <v>1999</v>
      </c>
      <c r="E537" s="35" t="str">
        <f t="shared" si="137"/>
        <v>PRBDP'!</v>
      </c>
      <c r="F537" s="34" t="str">
        <f t="shared" si="138"/>
        <v>C:\Users\jaime.benazar\Quorum Business Solutions\Ecopetrol Prometeo - Documents\Planning Space Implementation\3. Analysis &amp; Design\Design\FC22\DRR Jaime\QUIFA-CAJÚA\Cajua\[CAJUA_CF_SEC_New_27-Feb-2024Rev3.xlsx]D-PRBDP'!</v>
      </c>
      <c r="G537" s="32" t="s">
        <v>37</v>
      </c>
      <c r="H537" s="33"/>
      <c r="I537" s="33"/>
      <c r="J537" s="37"/>
    </row>
    <row r="538" spans="1:10" x14ac:dyDescent="0.25">
      <c r="A538" s="32" t="s">
        <v>99</v>
      </c>
      <c r="B538" s="32">
        <f t="shared" si="139"/>
        <v>2027</v>
      </c>
      <c r="C538" s="33" t="s">
        <v>8</v>
      </c>
      <c r="D538" s="34" t="s">
        <v>1999</v>
      </c>
      <c r="E538" s="35" t="str">
        <f t="shared" si="137"/>
        <v>PRBDP'!</v>
      </c>
      <c r="F538" s="34" t="str">
        <f t="shared" si="138"/>
        <v>C:\Users\jaime.benazar\Quorum Business Solutions\Ecopetrol Prometeo - Documents\Planning Space Implementation\3. Analysis &amp; Design\Design\FC22\DRR Jaime\QUIFA-CAJÚA\Cajua\[CAJUA_CF_SEC_New_27-Feb-2024Rev3.xlsx]D-PRBDP'!</v>
      </c>
      <c r="G538" s="32" t="s">
        <v>37</v>
      </c>
      <c r="H538" s="33"/>
      <c r="I538" s="33"/>
      <c r="J538" s="37"/>
    </row>
    <row r="539" spans="1:10" x14ac:dyDescent="0.25">
      <c r="A539" s="32" t="s">
        <v>99</v>
      </c>
      <c r="B539" s="32">
        <f t="shared" si="139"/>
        <v>2028</v>
      </c>
      <c r="C539" s="33" t="s">
        <v>8</v>
      </c>
      <c r="D539" s="34" t="s">
        <v>1999</v>
      </c>
      <c r="E539" s="35" t="str">
        <f t="shared" si="137"/>
        <v>PRBDP'!</v>
      </c>
      <c r="F539" s="34" t="str">
        <f t="shared" si="138"/>
        <v>C:\Users\jaime.benazar\Quorum Business Solutions\Ecopetrol Prometeo - Documents\Planning Space Implementation\3. Analysis &amp; Design\Design\FC22\DRR Jaime\QUIFA-CAJÚA\Cajua\[CAJUA_CF_SEC_New_27-Feb-2024Rev3.xlsx]D-PRBDP'!</v>
      </c>
      <c r="G539" s="32" t="s">
        <v>37</v>
      </c>
      <c r="H539" s="33"/>
      <c r="I539" s="33"/>
      <c r="J539" s="37"/>
    </row>
    <row r="540" spans="1:10" x14ac:dyDescent="0.25">
      <c r="A540" s="32" t="s">
        <v>99</v>
      </c>
      <c r="B540" s="32">
        <f t="shared" si="139"/>
        <v>2029</v>
      </c>
      <c r="C540" s="33" t="s">
        <v>8</v>
      </c>
      <c r="D540" s="34" t="s">
        <v>1999</v>
      </c>
      <c r="E540" s="35" t="str">
        <f t="shared" si="137"/>
        <v>PRBDP'!</v>
      </c>
      <c r="F540" s="34" t="str">
        <f t="shared" si="138"/>
        <v>C:\Users\jaime.benazar\Quorum Business Solutions\Ecopetrol Prometeo - Documents\Planning Space Implementation\3. Analysis &amp; Design\Design\FC22\DRR Jaime\QUIFA-CAJÚA\Cajua\[CAJUA_CF_SEC_New_27-Feb-2024Rev3.xlsx]D-PRBDP'!</v>
      </c>
      <c r="G540" s="32" t="s">
        <v>37</v>
      </c>
      <c r="H540" s="33"/>
      <c r="I540" s="33"/>
      <c r="J540" s="37"/>
    </row>
    <row r="541" spans="1:10" x14ac:dyDescent="0.25">
      <c r="A541" s="32" t="s">
        <v>99</v>
      </c>
      <c r="B541" s="32">
        <f t="shared" si="139"/>
        <v>2030</v>
      </c>
      <c r="C541" s="33" t="s">
        <v>8</v>
      </c>
      <c r="D541" s="34" t="s">
        <v>1999</v>
      </c>
      <c r="E541" s="35" t="str">
        <f t="shared" si="137"/>
        <v>PRBDP'!</v>
      </c>
      <c r="F541" s="34" t="str">
        <f t="shared" si="138"/>
        <v>C:\Users\jaime.benazar\Quorum Business Solutions\Ecopetrol Prometeo - Documents\Planning Space Implementation\3. Analysis &amp; Design\Design\FC22\DRR Jaime\QUIFA-CAJÚA\Cajua\[CAJUA_CF_SEC_New_27-Feb-2024Rev3.xlsx]D-PRBDP'!</v>
      </c>
      <c r="G541" s="32" t="s">
        <v>37</v>
      </c>
      <c r="H541" s="33"/>
      <c r="I541" s="33"/>
      <c r="J541" s="37"/>
    </row>
    <row r="542" spans="1:10" x14ac:dyDescent="0.25">
      <c r="A542" s="32" t="s">
        <v>99</v>
      </c>
      <c r="B542" s="32">
        <f t="shared" si="139"/>
        <v>2031</v>
      </c>
      <c r="C542" s="33" t="s">
        <v>8</v>
      </c>
      <c r="D542" s="34" t="s">
        <v>1999</v>
      </c>
      <c r="E542" s="35" t="str">
        <f t="shared" si="137"/>
        <v>PRBDP'!</v>
      </c>
      <c r="F542" s="34" t="str">
        <f t="shared" si="138"/>
        <v>C:\Users\jaime.benazar\Quorum Business Solutions\Ecopetrol Prometeo - Documents\Planning Space Implementation\3. Analysis &amp; Design\Design\FC22\DRR Jaime\QUIFA-CAJÚA\Cajua\[CAJUA_CF_SEC_New_27-Feb-2024Rev3.xlsx]D-PRBDP'!</v>
      </c>
      <c r="G542" s="32" t="s">
        <v>37</v>
      </c>
      <c r="H542" s="33"/>
      <c r="I542" s="33"/>
      <c r="J542" s="37"/>
    </row>
    <row r="543" spans="1:10" x14ac:dyDescent="0.25">
      <c r="A543" s="32" t="s">
        <v>99</v>
      </c>
      <c r="B543" s="32">
        <f t="shared" si="139"/>
        <v>2032</v>
      </c>
      <c r="C543" s="33" t="s">
        <v>8</v>
      </c>
      <c r="D543" s="34" t="s">
        <v>1999</v>
      </c>
      <c r="E543" s="35" t="str">
        <f t="shared" si="137"/>
        <v>PRBDP'!</v>
      </c>
      <c r="F543" s="34" t="str">
        <f t="shared" si="138"/>
        <v>C:\Users\jaime.benazar\Quorum Business Solutions\Ecopetrol Prometeo - Documents\Planning Space Implementation\3. Analysis &amp; Design\Design\FC22\DRR Jaime\QUIFA-CAJÚA\Cajua\[CAJUA_CF_SEC_New_27-Feb-2024Rev3.xlsx]D-PRBDP'!</v>
      </c>
      <c r="G543" s="32" t="s">
        <v>37</v>
      </c>
      <c r="H543" s="33"/>
      <c r="I543" s="33"/>
      <c r="J543" s="37"/>
    </row>
    <row r="544" spans="1:10" x14ac:dyDescent="0.25">
      <c r="A544" s="32" t="s">
        <v>99</v>
      </c>
      <c r="B544" s="32">
        <f t="shared" si="139"/>
        <v>2033</v>
      </c>
      <c r="C544" s="33" t="s">
        <v>8</v>
      </c>
      <c r="D544" s="34" t="s">
        <v>1999</v>
      </c>
      <c r="E544" s="35" t="str">
        <f t="shared" si="137"/>
        <v>PRBDP'!</v>
      </c>
      <c r="F544" s="34" t="str">
        <f t="shared" si="138"/>
        <v>C:\Users\jaime.benazar\Quorum Business Solutions\Ecopetrol Prometeo - Documents\Planning Space Implementation\3. Analysis &amp; Design\Design\FC22\DRR Jaime\QUIFA-CAJÚA\Cajua\[CAJUA_CF_SEC_New_27-Feb-2024Rev3.xlsx]D-PRBDP'!</v>
      </c>
      <c r="G544" s="32" t="s">
        <v>37</v>
      </c>
      <c r="H544" s="33"/>
      <c r="I544" s="33"/>
      <c r="J544" s="37"/>
    </row>
    <row r="545" spans="1:10" x14ac:dyDescent="0.25">
      <c r="A545" s="32" t="s">
        <v>99</v>
      </c>
      <c r="B545" s="32">
        <f t="shared" si="139"/>
        <v>2034</v>
      </c>
      <c r="C545" s="33" t="s">
        <v>8</v>
      </c>
      <c r="D545" s="34" t="s">
        <v>1999</v>
      </c>
      <c r="E545" s="35" t="str">
        <f t="shared" si="137"/>
        <v>PRBDP'!</v>
      </c>
      <c r="F545" s="34" t="str">
        <f t="shared" si="138"/>
        <v>C:\Users\jaime.benazar\Quorum Business Solutions\Ecopetrol Prometeo - Documents\Planning Space Implementation\3. Analysis &amp; Design\Design\FC22\DRR Jaime\QUIFA-CAJÚA\Cajua\[CAJUA_CF_SEC_New_27-Feb-2024Rev3.xlsx]D-PRBDP'!</v>
      </c>
      <c r="G545" s="32" t="s">
        <v>37</v>
      </c>
      <c r="H545" s="33"/>
      <c r="I545" s="33"/>
      <c r="J545" s="37"/>
    </row>
    <row r="546" spans="1:10" x14ac:dyDescent="0.25">
      <c r="A546" s="32" t="s">
        <v>99</v>
      </c>
      <c r="B546" s="32">
        <f t="shared" si="139"/>
        <v>2035</v>
      </c>
      <c r="C546" s="33" t="s">
        <v>8</v>
      </c>
      <c r="D546" s="34" t="s">
        <v>1999</v>
      </c>
      <c r="E546" s="35" t="str">
        <f t="shared" si="137"/>
        <v>PRBDP'!</v>
      </c>
      <c r="F546" s="34" t="str">
        <f t="shared" si="138"/>
        <v>C:\Users\jaime.benazar\Quorum Business Solutions\Ecopetrol Prometeo - Documents\Planning Space Implementation\3. Analysis &amp; Design\Design\FC22\DRR Jaime\QUIFA-CAJÚA\Cajua\[CAJUA_CF_SEC_New_27-Feb-2024Rev3.xlsx]D-PRBDP'!</v>
      </c>
      <c r="G546" s="32" t="s">
        <v>37</v>
      </c>
      <c r="H546" s="33"/>
      <c r="I546" s="33"/>
      <c r="J546" s="37"/>
    </row>
    <row r="547" spans="1:10" x14ac:dyDescent="0.25">
      <c r="A547" s="32" t="s">
        <v>99</v>
      </c>
      <c r="B547" s="32">
        <f t="shared" si="139"/>
        <v>2036</v>
      </c>
      <c r="C547" s="33" t="s">
        <v>8</v>
      </c>
      <c r="D547" s="34" t="s">
        <v>1999</v>
      </c>
      <c r="E547" s="35" t="str">
        <f t="shared" si="137"/>
        <v>PRBDP'!</v>
      </c>
      <c r="F547" s="34" t="str">
        <f t="shared" si="138"/>
        <v>C:\Users\jaime.benazar\Quorum Business Solutions\Ecopetrol Prometeo - Documents\Planning Space Implementation\3. Analysis &amp; Design\Design\FC22\DRR Jaime\QUIFA-CAJÚA\Cajua\[CAJUA_CF_SEC_New_27-Feb-2024Rev3.xlsx]D-PRBDP'!</v>
      </c>
      <c r="G547" s="32" t="s">
        <v>37</v>
      </c>
      <c r="H547" s="33"/>
      <c r="I547" s="33"/>
      <c r="J547" s="37"/>
    </row>
    <row r="548" spans="1:10" x14ac:dyDescent="0.25">
      <c r="A548" s="32" t="s">
        <v>99</v>
      </c>
      <c r="B548" s="32">
        <f>+B547+1</f>
        <v>2037</v>
      </c>
      <c r="C548" s="33" t="s">
        <v>8</v>
      </c>
      <c r="D548" s="34" t="s">
        <v>1999</v>
      </c>
      <c r="E548" s="35" t="str">
        <f t="shared" si="137"/>
        <v>PRBDP'!</v>
      </c>
      <c r="F548" s="34" t="str">
        <f t="shared" si="138"/>
        <v>C:\Users\jaime.benazar\Quorum Business Solutions\Ecopetrol Prometeo - Documents\Planning Space Implementation\3. Analysis &amp; Design\Design\FC22\DRR Jaime\QUIFA-CAJÚA\Cajua\[CAJUA_CF_SEC_New_27-Feb-2024Rev3.xlsx]D-PRBDP'!</v>
      </c>
      <c r="G548" s="32" t="s">
        <v>37</v>
      </c>
      <c r="H548" s="33"/>
      <c r="I548" s="33"/>
      <c r="J548" s="37"/>
    </row>
    <row r="549" spans="1:10" x14ac:dyDescent="0.25">
      <c r="A549" s="32" t="s">
        <v>99</v>
      </c>
      <c r="B549" s="32">
        <f t="shared" ref="B549:B551" si="140">+B548+1</f>
        <v>2038</v>
      </c>
      <c r="C549" s="33" t="s">
        <v>8</v>
      </c>
      <c r="D549" s="34" t="s">
        <v>1999</v>
      </c>
      <c r="E549" s="35" t="str">
        <f t="shared" si="137"/>
        <v>PRBDP'!</v>
      </c>
      <c r="F549" s="34" t="str">
        <f t="shared" si="138"/>
        <v>C:\Users\jaime.benazar\Quorum Business Solutions\Ecopetrol Prometeo - Documents\Planning Space Implementation\3. Analysis &amp; Design\Design\FC22\DRR Jaime\QUIFA-CAJÚA\Cajua\[CAJUA_CF_SEC_New_27-Feb-2024Rev3.xlsx]D-PRBDP'!</v>
      </c>
      <c r="G549" s="32" t="s">
        <v>37</v>
      </c>
      <c r="H549" s="33"/>
      <c r="I549" s="33"/>
      <c r="J549" s="37"/>
    </row>
    <row r="550" spans="1:10" x14ac:dyDescent="0.25">
      <c r="A550" s="32" t="s">
        <v>99</v>
      </c>
      <c r="B550" s="32">
        <f t="shared" si="140"/>
        <v>2039</v>
      </c>
      <c r="C550" s="33" t="s">
        <v>8</v>
      </c>
      <c r="D550" s="34" t="s">
        <v>1999</v>
      </c>
      <c r="E550" s="35" t="str">
        <f t="shared" si="137"/>
        <v>PRBDP'!</v>
      </c>
      <c r="F550" s="34" t="str">
        <f t="shared" si="138"/>
        <v>C:\Users\jaime.benazar\Quorum Business Solutions\Ecopetrol Prometeo - Documents\Planning Space Implementation\3. Analysis &amp; Design\Design\FC22\DRR Jaime\QUIFA-CAJÚA\Cajua\[CAJUA_CF_SEC_New_27-Feb-2024Rev3.xlsx]D-PRBDP'!</v>
      </c>
      <c r="G550" s="32" t="s">
        <v>37</v>
      </c>
      <c r="H550" s="33"/>
      <c r="I550" s="33"/>
      <c r="J550" s="37"/>
    </row>
    <row r="551" spans="1:10" x14ac:dyDescent="0.25">
      <c r="A551" s="32" t="s">
        <v>99</v>
      </c>
      <c r="B551" s="32">
        <f t="shared" si="140"/>
        <v>2040</v>
      </c>
      <c r="C551" s="33" t="s">
        <v>8</v>
      </c>
      <c r="D551" s="34" t="s">
        <v>1999</v>
      </c>
      <c r="E551" s="35" t="str">
        <f t="shared" si="137"/>
        <v>PRBDP'!</v>
      </c>
      <c r="F551" s="34" t="str">
        <f t="shared" si="138"/>
        <v>C:\Users\jaime.benazar\Quorum Business Solutions\Ecopetrol Prometeo - Documents\Planning Space Implementation\3. Analysis &amp; Design\Design\FC22\DRR Jaime\QUIFA-CAJÚA\Cajua\[CAJUA_CF_SEC_New_27-Feb-2024Rev3.xlsx]D-PRBDP'!</v>
      </c>
      <c r="G551" s="32" t="s">
        <v>37</v>
      </c>
      <c r="H551" s="33"/>
      <c r="I551" s="33"/>
      <c r="J551" s="37"/>
    </row>
    <row r="552" spans="1:10" x14ac:dyDescent="0.25">
      <c r="A552" s="32" t="s">
        <v>99</v>
      </c>
      <c r="B552" s="32">
        <f>+B551+1</f>
        <v>2041</v>
      </c>
      <c r="C552" s="33" t="s">
        <v>8</v>
      </c>
      <c r="D552" s="34" t="s">
        <v>1999</v>
      </c>
      <c r="E552" s="35" t="str">
        <f t="shared" si="137"/>
        <v>PRBDP'!</v>
      </c>
      <c r="F552" s="34" t="str">
        <f t="shared" si="138"/>
        <v>C:\Users\jaime.benazar\Quorum Business Solutions\Ecopetrol Prometeo - Documents\Planning Space Implementation\3. Analysis &amp; Design\Design\FC22\DRR Jaime\QUIFA-CAJÚA\Cajua\[CAJUA_CF_SEC_New_27-Feb-2024Rev3.xlsx]D-PRBDP'!</v>
      </c>
      <c r="G552" s="32" t="s">
        <v>37</v>
      </c>
      <c r="H552" s="33"/>
      <c r="I552" s="33"/>
      <c r="J552" s="37"/>
    </row>
    <row r="553" spans="1:10" x14ac:dyDescent="0.25">
      <c r="A553" s="32" t="s">
        <v>99</v>
      </c>
      <c r="B553" s="32">
        <f t="shared" ref="B553:B554" si="141">+B552+1</f>
        <v>2042</v>
      </c>
      <c r="C553" s="33" t="s">
        <v>8</v>
      </c>
      <c r="D553" s="34" t="s">
        <v>1999</v>
      </c>
      <c r="E553" s="35" t="str">
        <f t="shared" si="137"/>
        <v>PRBDP'!</v>
      </c>
      <c r="F553" s="34" t="str">
        <f t="shared" si="138"/>
        <v>C:\Users\jaime.benazar\Quorum Business Solutions\Ecopetrol Prometeo - Documents\Planning Space Implementation\3. Analysis &amp; Design\Design\FC22\DRR Jaime\QUIFA-CAJÚA\Cajua\[CAJUA_CF_SEC_New_27-Feb-2024Rev3.xlsx]D-PRBDP'!</v>
      </c>
      <c r="G553" s="32" t="s">
        <v>37</v>
      </c>
      <c r="H553" s="33"/>
      <c r="I553" s="33"/>
      <c r="J553" s="37"/>
    </row>
    <row r="554" spans="1:10" x14ac:dyDescent="0.25">
      <c r="A554" s="32" t="s">
        <v>99</v>
      </c>
      <c r="B554" s="32">
        <f t="shared" si="141"/>
        <v>2043</v>
      </c>
      <c r="C554" s="33" t="s">
        <v>8</v>
      </c>
      <c r="D554" s="34" t="s">
        <v>1999</v>
      </c>
      <c r="E554" s="35" t="str">
        <f t="shared" si="137"/>
        <v>PRBDP'!</v>
      </c>
      <c r="F554" s="34" t="str">
        <f t="shared" si="138"/>
        <v>C:\Users\jaime.benazar\Quorum Business Solutions\Ecopetrol Prometeo - Documents\Planning Space Implementation\3. Analysis &amp; Design\Design\FC22\DRR Jaime\QUIFA-CAJÚA\Cajua\[CAJUA_CF_SEC_New_27-Feb-2024Rev3.xlsx]D-PRBDP'!</v>
      </c>
      <c r="G554" s="32" t="s">
        <v>37</v>
      </c>
      <c r="H554" s="33"/>
      <c r="I554" s="33"/>
      <c r="J554" s="37"/>
    </row>
    <row r="555" spans="1:10" x14ac:dyDescent="0.25">
      <c r="A555" s="32" t="s">
        <v>99</v>
      </c>
      <c r="B555" s="32">
        <f>+B554+1</f>
        <v>2044</v>
      </c>
      <c r="C555" s="33" t="s">
        <v>8</v>
      </c>
      <c r="D555" s="34" t="s">
        <v>1999</v>
      </c>
      <c r="E555" s="35" t="str">
        <f t="shared" ref="E555:E570" si="142">_xlfn.CONCAT(A555,"'!")</f>
        <v>PRBDP'!</v>
      </c>
      <c r="F555" s="34" t="str">
        <f t="shared" ref="F555:F570" si="143">_xlfn.CONCAT(D555:E555)</f>
        <v>C:\Users\jaime.benazar\Quorum Business Solutions\Ecopetrol Prometeo - Documents\Planning Space Implementation\3. Analysis &amp; Design\Design\FC22\DRR Jaime\QUIFA-CAJÚA\Cajua\[CAJUA_CF_SEC_New_27-Feb-2024Rev3.xlsx]D-PRBDP'!</v>
      </c>
      <c r="G555" s="32" t="s">
        <v>37</v>
      </c>
      <c r="H555" s="33"/>
      <c r="I555" s="33"/>
      <c r="J555" s="37"/>
    </row>
    <row r="556" spans="1:10" x14ac:dyDescent="0.25">
      <c r="A556" s="32" t="s">
        <v>99</v>
      </c>
      <c r="B556" s="32">
        <f t="shared" ref="B556:B570" si="144">+B555+1</f>
        <v>2045</v>
      </c>
      <c r="C556" s="33" t="s">
        <v>8</v>
      </c>
      <c r="D556" s="34" t="s">
        <v>1999</v>
      </c>
      <c r="E556" s="35" t="str">
        <f t="shared" si="142"/>
        <v>PRBDP'!</v>
      </c>
      <c r="F556" s="34" t="str">
        <f t="shared" si="143"/>
        <v>C:\Users\jaime.benazar\Quorum Business Solutions\Ecopetrol Prometeo - Documents\Planning Space Implementation\3. Analysis &amp; Design\Design\FC22\DRR Jaime\QUIFA-CAJÚA\Cajua\[CAJUA_CF_SEC_New_27-Feb-2024Rev3.xlsx]D-PRBDP'!</v>
      </c>
      <c r="G556" s="32" t="s">
        <v>37</v>
      </c>
      <c r="H556" s="33"/>
      <c r="I556" s="33"/>
      <c r="J556" s="37"/>
    </row>
    <row r="557" spans="1:10" x14ac:dyDescent="0.25">
      <c r="A557" s="32" t="s">
        <v>99</v>
      </c>
      <c r="B557" s="32">
        <f t="shared" si="144"/>
        <v>2046</v>
      </c>
      <c r="C557" s="33" t="s">
        <v>8</v>
      </c>
      <c r="D557" s="34" t="s">
        <v>1999</v>
      </c>
      <c r="E557" s="35" t="str">
        <f t="shared" si="142"/>
        <v>PRBDP'!</v>
      </c>
      <c r="F557" s="34" t="str">
        <f t="shared" si="143"/>
        <v>C:\Users\jaime.benazar\Quorum Business Solutions\Ecopetrol Prometeo - Documents\Planning Space Implementation\3. Analysis &amp; Design\Design\FC22\DRR Jaime\QUIFA-CAJÚA\Cajua\[CAJUA_CF_SEC_New_27-Feb-2024Rev3.xlsx]D-PRBDP'!</v>
      </c>
      <c r="G557" s="32" t="s">
        <v>37</v>
      </c>
      <c r="H557" s="33"/>
      <c r="I557" s="33"/>
      <c r="J557" s="37"/>
    </row>
    <row r="558" spans="1:10" x14ac:dyDescent="0.25">
      <c r="A558" s="32" t="s">
        <v>99</v>
      </c>
      <c r="B558" s="32">
        <f t="shared" si="144"/>
        <v>2047</v>
      </c>
      <c r="C558" s="33" t="s">
        <v>8</v>
      </c>
      <c r="D558" s="34" t="s">
        <v>1999</v>
      </c>
      <c r="E558" s="35" t="str">
        <f t="shared" si="142"/>
        <v>PRBDP'!</v>
      </c>
      <c r="F558" s="34" t="str">
        <f t="shared" si="143"/>
        <v>C:\Users\jaime.benazar\Quorum Business Solutions\Ecopetrol Prometeo - Documents\Planning Space Implementation\3. Analysis &amp; Design\Design\FC22\DRR Jaime\QUIFA-CAJÚA\Cajua\[CAJUA_CF_SEC_New_27-Feb-2024Rev3.xlsx]D-PRBDP'!</v>
      </c>
      <c r="G558" s="32" t="s">
        <v>37</v>
      </c>
      <c r="H558" s="33"/>
      <c r="I558" s="33"/>
      <c r="J558" s="37"/>
    </row>
    <row r="559" spans="1:10" x14ac:dyDescent="0.25">
      <c r="A559" s="32" t="s">
        <v>99</v>
      </c>
      <c r="B559" s="32">
        <f t="shared" si="144"/>
        <v>2048</v>
      </c>
      <c r="C559" s="33" t="s">
        <v>8</v>
      </c>
      <c r="D559" s="34" t="s">
        <v>1999</v>
      </c>
      <c r="E559" s="35" t="str">
        <f t="shared" si="142"/>
        <v>PRBDP'!</v>
      </c>
      <c r="F559" s="34" t="str">
        <f t="shared" si="143"/>
        <v>C:\Users\jaime.benazar\Quorum Business Solutions\Ecopetrol Prometeo - Documents\Planning Space Implementation\3. Analysis &amp; Design\Design\FC22\DRR Jaime\QUIFA-CAJÚA\Cajua\[CAJUA_CF_SEC_New_27-Feb-2024Rev3.xlsx]D-PRBDP'!</v>
      </c>
      <c r="G559" s="32" t="s">
        <v>37</v>
      </c>
      <c r="H559" s="33"/>
      <c r="I559" s="33"/>
      <c r="J559" s="37"/>
    </row>
    <row r="560" spans="1:10" x14ac:dyDescent="0.25">
      <c r="A560" s="32" t="s">
        <v>99</v>
      </c>
      <c r="B560" s="32">
        <f t="shared" si="144"/>
        <v>2049</v>
      </c>
      <c r="C560" s="33" t="s">
        <v>8</v>
      </c>
      <c r="D560" s="34" t="s">
        <v>1999</v>
      </c>
      <c r="E560" s="35" t="str">
        <f t="shared" si="142"/>
        <v>PRBDP'!</v>
      </c>
      <c r="F560" s="34" t="str">
        <f t="shared" si="143"/>
        <v>C:\Users\jaime.benazar\Quorum Business Solutions\Ecopetrol Prometeo - Documents\Planning Space Implementation\3. Analysis &amp; Design\Design\FC22\DRR Jaime\QUIFA-CAJÚA\Cajua\[CAJUA_CF_SEC_New_27-Feb-2024Rev3.xlsx]D-PRBDP'!</v>
      </c>
      <c r="G560" s="32" t="s">
        <v>37</v>
      </c>
      <c r="H560" s="33"/>
      <c r="I560" s="33"/>
      <c r="J560" s="37"/>
    </row>
    <row r="561" spans="1:10" x14ac:dyDescent="0.25">
      <c r="A561" s="32" t="s">
        <v>99</v>
      </c>
      <c r="B561" s="32">
        <f t="shared" si="144"/>
        <v>2050</v>
      </c>
      <c r="C561" s="33" t="s">
        <v>8</v>
      </c>
      <c r="D561" s="34" t="s">
        <v>1999</v>
      </c>
      <c r="E561" s="35" t="str">
        <f t="shared" si="142"/>
        <v>PRBDP'!</v>
      </c>
      <c r="F561" s="34" t="str">
        <f t="shared" si="143"/>
        <v>C:\Users\jaime.benazar\Quorum Business Solutions\Ecopetrol Prometeo - Documents\Planning Space Implementation\3. Analysis &amp; Design\Design\FC22\DRR Jaime\QUIFA-CAJÚA\Cajua\[CAJUA_CF_SEC_New_27-Feb-2024Rev3.xlsx]D-PRBDP'!</v>
      </c>
      <c r="G561" s="32" t="s">
        <v>37</v>
      </c>
      <c r="H561" s="33"/>
      <c r="I561" s="33"/>
      <c r="J561" s="37"/>
    </row>
    <row r="562" spans="1:10" x14ac:dyDescent="0.25">
      <c r="A562" s="32" t="s">
        <v>99</v>
      </c>
      <c r="B562" s="32">
        <f t="shared" si="144"/>
        <v>2051</v>
      </c>
      <c r="C562" s="33" t="s">
        <v>8</v>
      </c>
      <c r="D562" s="34" t="s">
        <v>1999</v>
      </c>
      <c r="E562" s="35" t="str">
        <f t="shared" si="142"/>
        <v>PRBDP'!</v>
      </c>
      <c r="F562" s="34" t="str">
        <f t="shared" si="143"/>
        <v>C:\Users\jaime.benazar\Quorum Business Solutions\Ecopetrol Prometeo - Documents\Planning Space Implementation\3. Analysis &amp; Design\Design\FC22\DRR Jaime\QUIFA-CAJÚA\Cajua\[CAJUA_CF_SEC_New_27-Feb-2024Rev3.xlsx]D-PRBDP'!</v>
      </c>
      <c r="G562" s="32" t="s">
        <v>37</v>
      </c>
      <c r="H562" s="33"/>
      <c r="I562" s="33"/>
      <c r="J562" s="37"/>
    </row>
    <row r="563" spans="1:10" x14ac:dyDescent="0.25">
      <c r="A563" s="32" t="s">
        <v>99</v>
      </c>
      <c r="B563" s="32">
        <f t="shared" si="144"/>
        <v>2052</v>
      </c>
      <c r="C563" s="33" t="s">
        <v>8</v>
      </c>
      <c r="D563" s="34" t="s">
        <v>1999</v>
      </c>
      <c r="E563" s="35" t="str">
        <f t="shared" si="142"/>
        <v>PRBDP'!</v>
      </c>
      <c r="F563" s="34" t="str">
        <f t="shared" si="143"/>
        <v>C:\Users\jaime.benazar\Quorum Business Solutions\Ecopetrol Prometeo - Documents\Planning Space Implementation\3. Analysis &amp; Design\Design\FC22\DRR Jaime\QUIFA-CAJÚA\Cajua\[CAJUA_CF_SEC_New_27-Feb-2024Rev3.xlsx]D-PRBDP'!</v>
      </c>
      <c r="G563" s="32" t="s">
        <v>37</v>
      </c>
      <c r="H563" s="33"/>
      <c r="I563" s="33"/>
      <c r="J563" s="37"/>
    </row>
    <row r="564" spans="1:10" x14ac:dyDescent="0.25">
      <c r="A564" s="32" t="s">
        <v>99</v>
      </c>
      <c r="B564" s="32">
        <f t="shared" si="144"/>
        <v>2053</v>
      </c>
      <c r="C564" s="33" t="s">
        <v>8</v>
      </c>
      <c r="D564" s="34" t="s">
        <v>1999</v>
      </c>
      <c r="E564" s="35" t="str">
        <f t="shared" si="142"/>
        <v>PRBDP'!</v>
      </c>
      <c r="F564" s="34" t="str">
        <f t="shared" si="143"/>
        <v>C:\Users\jaime.benazar\Quorum Business Solutions\Ecopetrol Prometeo - Documents\Planning Space Implementation\3. Analysis &amp; Design\Design\FC22\DRR Jaime\QUIFA-CAJÚA\Cajua\[CAJUA_CF_SEC_New_27-Feb-2024Rev3.xlsx]D-PRBDP'!</v>
      </c>
      <c r="G564" s="32" t="s">
        <v>37</v>
      </c>
      <c r="H564" s="33"/>
      <c r="I564" s="33"/>
      <c r="J564" s="37"/>
    </row>
    <row r="565" spans="1:10" x14ac:dyDescent="0.25">
      <c r="A565" s="32" t="s">
        <v>99</v>
      </c>
      <c r="B565" s="32">
        <f t="shared" si="144"/>
        <v>2054</v>
      </c>
      <c r="C565" s="33" t="s">
        <v>8</v>
      </c>
      <c r="D565" s="34" t="s">
        <v>1999</v>
      </c>
      <c r="E565" s="35" t="str">
        <f t="shared" si="142"/>
        <v>PRBDP'!</v>
      </c>
      <c r="F565" s="34" t="str">
        <f t="shared" si="143"/>
        <v>C:\Users\jaime.benazar\Quorum Business Solutions\Ecopetrol Prometeo - Documents\Planning Space Implementation\3. Analysis &amp; Design\Design\FC22\DRR Jaime\QUIFA-CAJÚA\Cajua\[CAJUA_CF_SEC_New_27-Feb-2024Rev3.xlsx]D-PRBDP'!</v>
      </c>
      <c r="G565" s="32" t="s">
        <v>37</v>
      </c>
      <c r="H565" s="33"/>
      <c r="I565" s="33"/>
      <c r="J565" s="37"/>
    </row>
    <row r="566" spans="1:10" x14ac:dyDescent="0.25">
      <c r="A566" s="32" t="s">
        <v>99</v>
      </c>
      <c r="B566" s="32">
        <f t="shared" si="144"/>
        <v>2055</v>
      </c>
      <c r="C566" s="33" t="s">
        <v>8</v>
      </c>
      <c r="D566" s="34" t="s">
        <v>1999</v>
      </c>
      <c r="E566" s="35" t="str">
        <f t="shared" si="142"/>
        <v>PRBDP'!</v>
      </c>
      <c r="F566" s="34" t="str">
        <f t="shared" si="143"/>
        <v>C:\Users\jaime.benazar\Quorum Business Solutions\Ecopetrol Prometeo - Documents\Planning Space Implementation\3. Analysis &amp; Design\Design\FC22\DRR Jaime\QUIFA-CAJÚA\Cajua\[CAJUA_CF_SEC_New_27-Feb-2024Rev3.xlsx]D-PRBDP'!</v>
      </c>
      <c r="G566" s="32" t="s">
        <v>37</v>
      </c>
      <c r="H566" s="33"/>
      <c r="I566" s="33"/>
      <c r="J566" s="37"/>
    </row>
    <row r="567" spans="1:10" x14ac:dyDescent="0.25">
      <c r="A567" s="32" t="s">
        <v>99</v>
      </c>
      <c r="B567" s="32">
        <f t="shared" si="144"/>
        <v>2056</v>
      </c>
      <c r="C567" s="33" t="s">
        <v>8</v>
      </c>
      <c r="D567" s="34" t="s">
        <v>1999</v>
      </c>
      <c r="E567" s="35" t="str">
        <f t="shared" si="142"/>
        <v>PRBDP'!</v>
      </c>
      <c r="F567" s="34" t="str">
        <f t="shared" si="143"/>
        <v>C:\Users\jaime.benazar\Quorum Business Solutions\Ecopetrol Prometeo - Documents\Planning Space Implementation\3. Analysis &amp; Design\Design\FC22\DRR Jaime\QUIFA-CAJÚA\Cajua\[CAJUA_CF_SEC_New_27-Feb-2024Rev3.xlsx]D-PRBDP'!</v>
      </c>
      <c r="G567" s="32" t="s">
        <v>37</v>
      </c>
      <c r="H567" s="33"/>
      <c r="I567" s="33"/>
      <c r="J567" s="37"/>
    </row>
    <row r="568" spans="1:10" x14ac:dyDescent="0.25">
      <c r="A568" s="32" t="s">
        <v>99</v>
      </c>
      <c r="B568" s="32">
        <f t="shared" si="144"/>
        <v>2057</v>
      </c>
      <c r="C568" s="33" t="s">
        <v>8</v>
      </c>
      <c r="D568" s="34" t="s">
        <v>1999</v>
      </c>
      <c r="E568" s="35" t="str">
        <f t="shared" si="142"/>
        <v>PRBDP'!</v>
      </c>
      <c r="F568" s="34" t="str">
        <f t="shared" si="143"/>
        <v>C:\Users\jaime.benazar\Quorum Business Solutions\Ecopetrol Prometeo - Documents\Planning Space Implementation\3. Analysis &amp; Design\Design\FC22\DRR Jaime\QUIFA-CAJÚA\Cajua\[CAJUA_CF_SEC_New_27-Feb-2024Rev3.xlsx]D-PRBDP'!</v>
      </c>
      <c r="G568" s="32" t="s">
        <v>37</v>
      </c>
      <c r="H568" s="33"/>
      <c r="I568" s="33"/>
      <c r="J568" s="37"/>
    </row>
    <row r="569" spans="1:10" x14ac:dyDescent="0.25">
      <c r="A569" s="32" t="s">
        <v>99</v>
      </c>
      <c r="B569" s="32">
        <f t="shared" si="144"/>
        <v>2058</v>
      </c>
      <c r="C569" s="33" t="s">
        <v>8</v>
      </c>
      <c r="D569" s="34" t="s">
        <v>1999</v>
      </c>
      <c r="E569" s="35" t="str">
        <f t="shared" si="142"/>
        <v>PRBDP'!</v>
      </c>
      <c r="F569" s="34" t="str">
        <f t="shared" si="143"/>
        <v>C:\Users\jaime.benazar\Quorum Business Solutions\Ecopetrol Prometeo - Documents\Planning Space Implementation\3. Analysis &amp; Design\Design\FC22\DRR Jaime\QUIFA-CAJÚA\Cajua\[CAJUA_CF_SEC_New_27-Feb-2024Rev3.xlsx]D-PRBDP'!</v>
      </c>
      <c r="G569" s="32" t="s">
        <v>37</v>
      </c>
      <c r="H569" s="33"/>
      <c r="I569" s="33"/>
      <c r="J569" s="37"/>
    </row>
    <row r="570" spans="1:10" x14ac:dyDescent="0.25">
      <c r="A570" s="32" t="s">
        <v>99</v>
      </c>
      <c r="B570" s="32">
        <f t="shared" si="144"/>
        <v>2059</v>
      </c>
      <c r="C570" s="33" t="s">
        <v>8</v>
      </c>
      <c r="D570" s="34" t="s">
        <v>1999</v>
      </c>
      <c r="E570" s="35" t="str">
        <f t="shared" si="142"/>
        <v>PRBDP'!</v>
      </c>
      <c r="F570" s="34" t="str">
        <f t="shared" si="143"/>
        <v>C:\Users\jaime.benazar\Quorum Business Solutions\Ecopetrol Prometeo - Documents\Planning Space Implementation\3. Analysis &amp; Design\Design\FC22\DRR Jaime\QUIFA-CAJÚA\Cajua\[CAJUA_CF_SEC_New_27-Feb-2024Rev3.xlsx]D-PRBDP'!</v>
      </c>
      <c r="G570" s="32" t="s">
        <v>37</v>
      </c>
      <c r="H570" s="33"/>
      <c r="I570" s="33"/>
      <c r="J570" s="37"/>
    </row>
    <row r="571" spans="1:10" x14ac:dyDescent="0.25">
      <c r="A571" s="32" t="s">
        <v>28</v>
      </c>
      <c r="B571" s="32"/>
      <c r="C571" s="33" t="s">
        <v>8</v>
      </c>
      <c r="D571" s="34"/>
      <c r="E571" s="35"/>
      <c r="F571" s="34"/>
      <c r="G571" s="32"/>
      <c r="H571" s="33"/>
      <c r="I571" s="33"/>
      <c r="J571" s="33"/>
    </row>
    <row r="572" spans="1:10" x14ac:dyDescent="0.25">
      <c r="A572" s="32" t="s">
        <v>100</v>
      </c>
      <c r="B572" s="32">
        <v>2023</v>
      </c>
      <c r="C572" s="33" t="s">
        <v>8</v>
      </c>
      <c r="D572" s="34" t="s">
        <v>1999</v>
      </c>
      <c r="E572" s="35" t="str">
        <f t="shared" ref="E572:E592" si="145">_xlfn.CONCAT(A572,"'!")</f>
        <v>PRBNP'!</v>
      </c>
      <c r="F572" s="34" t="str">
        <f t="shared" ref="F572:F592" si="146">_xlfn.CONCAT(D572:E572)</f>
        <v>C:\Users\jaime.benazar\Quorum Business Solutions\Ecopetrol Prometeo - Documents\Planning Space Implementation\3. Analysis &amp; Design\Design\FC22\DRR Jaime\QUIFA-CAJÚA\Cajua\[CAJUA_CF_SEC_New_27-Feb-2024Rev3.xlsx]D-PRBNP'!</v>
      </c>
      <c r="G572" s="32" t="s">
        <v>37</v>
      </c>
      <c r="H572" s="33"/>
      <c r="I572" s="33"/>
      <c r="J572" s="37"/>
    </row>
    <row r="573" spans="1:10" x14ac:dyDescent="0.25">
      <c r="A573" s="32" t="s">
        <v>100</v>
      </c>
      <c r="B573" s="32">
        <f>+B572+1</f>
        <v>2024</v>
      </c>
      <c r="C573" s="33" t="s">
        <v>8</v>
      </c>
      <c r="D573" s="34" t="s">
        <v>1999</v>
      </c>
      <c r="E573" s="35" t="str">
        <f t="shared" si="145"/>
        <v>PRBNP'!</v>
      </c>
      <c r="F573" s="34" t="str">
        <f t="shared" si="146"/>
        <v>C:\Users\jaime.benazar\Quorum Business Solutions\Ecopetrol Prometeo - Documents\Planning Space Implementation\3. Analysis &amp; Design\Design\FC22\DRR Jaime\QUIFA-CAJÚA\Cajua\[CAJUA_CF_SEC_New_27-Feb-2024Rev3.xlsx]D-PRBNP'!</v>
      </c>
      <c r="G573" s="32" t="s">
        <v>37</v>
      </c>
      <c r="H573" s="33"/>
      <c r="I573" s="33"/>
      <c r="J573" s="37"/>
    </row>
    <row r="574" spans="1:10" x14ac:dyDescent="0.25">
      <c r="A574" s="32" t="s">
        <v>100</v>
      </c>
      <c r="B574" s="32">
        <f t="shared" ref="B574:B585" si="147">+B573+1</f>
        <v>2025</v>
      </c>
      <c r="C574" s="33" t="s">
        <v>8</v>
      </c>
      <c r="D574" s="34" t="s">
        <v>1999</v>
      </c>
      <c r="E574" s="35" t="str">
        <f t="shared" si="145"/>
        <v>PRBNP'!</v>
      </c>
      <c r="F574" s="34" t="str">
        <f t="shared" si="146"/>
        <v>C:\Users\jaime.benazar\Quorum Business Solutions\Ecopetrol Prometeo - Documents\Planning Space Implementation\3. Analysis &amp; Design\Design\FC22\DRR Jaime\QUIFA-CAJÚA\Cajua\[CAJUA_CF_SEC_New_27-Feb-2024Rev3.xlsx]D-PRBNP'!</v>
      </c>
      <c r="G574" s="32" t="s">
        <v>37</v>
      </c>
      <c r="H574" s="33"/>
      <c r="I574" s="33"/>
      <c r="J574" s="37"/>
    </row>
    <row r="575" spans="1:10" x14ac:dyDescent="0.25">
      <c r="A575" s="32" t="s">
        <v>100</v>
      </c>
      <c r="B575" s="32">
        <f t="shared" si="147"/>
        <v>2026</v>
      </c>
      <c r="C575" s="33" t="s">
        <v>8</v>
      </c>
      <c r="D575" s="34" t="s">
        <v>1999</v>
      </c>
      <c r="E575" s="35" t="str">
        <f t="shared" si="145"/>
        <v>PRBNP'!</v>
      </c>
      <c r="F575" s="34" t="str">
        <f t="shared" si="146"/>
        <v>C:\Users\jaime.benazar\Quorum Business Solutions\Ecopetrol Prometeo - Documents\Planning Space Implementation\3. Analysis &amp; Design\Design\FC22\DRR Jaime\QUIFA-CAJÚA\Cajua\[CAJUA_CF_SEC_New_27-Feb-2024Rev3.xlsx]D-PRBNP'!</v>
      </c>
      <c r="G575" s="32" t="s">
        <v>37</v>
      </c>
      <c r="H575" s="33"/>
      <c r="I575" s="33"/>
      <c r="J575" s="37"/>
    </row>
    <row r="576" spans="1:10" x14ac:dyDescent="0.25">
      <c r="A576" s="32" t="s">
        <v>100</v>
      </c>
      <c r="B576" s="32">
        <f t="shared" si="147"/>
        <v>2027</v>
      </c>
      <c r="C576" s="33" t="s">
        <v>8</v>
      </c>
      <c r="D576" s="34" t="s">
        <v>1999</v>
      </c>
      <c r="E576" s="35" t="str">
        <f t="shared" si="145"/>
        <v>PRBNP'!</v>
      </c>
      <c r="F576" s="34" t="str">
        <f t="shared" si="146"/>
        <v>C:\Users\jaime.benazar\Quorum Business Solutions\Ecopetrol Prometeo - Documents\Planning Space Implementation\3. Analysis &amp; Design\Design\FC22\DRR Jaime\QUIFA-CAJÚA\Cajua\[CAJUA_CF_SEC_New_27-Feb-2024Rev3.xlsx]D-PRBNP'!</v>
      </c>
      <c r="G576" s="32" t="s">
        <v>37</v>
      </c>
      <c r="H576" s="33"/>
      <c r="I576" s="33"/>
      <c r="J576" s="37"/>
    </row>
    <row r="577" spans="1:10" x14ac:dyDescent="0.25">
      <c r="A577" s="32" t="s">
        <v>100</v>
      </c>
      <c r="B577" s="32">
        <f t="shared" si="147"/>
        <v>2028</v>
      </c>
      <c r="C577" s="33" t="s">
        <v>8</v>
      </c>
      <c r="D577" s="34" t="s">
        <v>1999</v>
      </c>
      <c r="E577" s="35" t="str">
        <f t="shared" si="145"/>
        <v>PRBNP'!</v>
      </c>
      <c r="F577" s="34" t="str">
        <f t="shared" si="146"/>
        <v>C:\Users\jaime.benazar\Quorum Business Solutions\Ecopetrol Prometeo - Documents\Planning Space Implementation\3. Analysis &amp; Design\Design\FC22\DRR Jaime\QUIFA-CAJÚA\Cajua\[CAJUA_CF_SEC_New_27-Feb-2024Rev3.xlsx]D-PRBNP'!</v>
      </c>
      <c r="G577" s="32" t="s">
        <v>37</v>
      </c>
      <c r="H577" s="33"/>
      <c r="I577" s="33"/>
      <c r="J577" s="37"/>
    </row>
    <row r="578" spans="1:10" x14ac:dyDescent="0.25">
      <c r="A578" s="32" t="s">
        <v>100</v>
      </c>
      <c r="B578" s="32">
        <f t="shared" si="147"/>
        <v>2029</v>
      </c>
      <c r="C578" s="33" t="s">
        <v>8</v>
      </c>
      <c r="D578" s="34" t="s">
        <v>1999</v>
      </c>
      <c r="E578" s="35" t="str">
        <f t="shared" si="145"/>
        <v>PRBNP'!</v>
      </c>
      <c r="F578" s="34" t="str">
        <f t="shared" si="146"/>
        <v>C:\Users\jaime.benazar\Quorum Business Solutions\Ecopetrol Prometeo - Documents\Planning Space Implementation\3. Analysis &amp; Design\Design\FC22\DRR Jaime\QUIFA-CAJÚA\Cajua\[CAJUA_CF_SEC_New_27-Feb-2024Rev3.xlsx]D-PRBNP'!</v>
      </c>
      <c r="G578" s="32" t="s">
        <v>37</v>
      </c>
      <c r="H578" s="33"/>
      <c r="I578" s="33"/>
      <c r="J578" s="37"/>
    </row>
    <row r="579" spans="1:10" x14ac:dyDescent="0.25">
      <c r="A579" s="32" t="s">
        <v>100</v>
      </c>
      <c r="B579" s="32">
        <f t="shared" si="147"/>
        <v>2030</v>
      </c>
      <c r="C579" s="33" t="s">
        <v>8</v>
      </c>
      <c r="D579" s="34" t="s">
        <v>1999</v>
      </c>
      <c r="E579" s="35" t="str">
        <f t="shared" si="145"/>
        <v>PRBNP'!</v>
      </c>
      <c r="F579" s="34" t="str">
        <f t="shared" si="146"/>
        <v>C:\Users\jaime.benazar\Quorum Business Solutions\Ecopetrol Prometeo - Documents\Planning Space Implementation\3. Analysis &amp; Design\Design\FC22\DRR Jaime\QUIFA-CAJÚA\Cajua\[CAJUA_CF_SEC_New_27-Feb-2024Rev3.xlsx]D-PRBNP'!</v>
      </c>
      <c r="G579" s="32" t="s">
        <v>37</v>
      </c>
      <c r="H579" s="33"/>
      <c r="I579" s="33"/>
      <c r="J579" s="37"/>
    </row>
    <row r="580" spans="1:10" x14ac:dyDescent="0.25">
      <c r="A580" s="32" t="s">
        <v>100</v>
      </c>
      <c r="B580" s="32">
        <f t="shared" si="147"/>
        <v>2031</v>
      </c>
      <c r="C580" s="33" t="s">
        <v>8</v>
      </c>
      <c r="D580" s="34" t="s">
        <v>1999</v>
      </c>
      <c r="E580" s="35" t="str">
        <f t="shared" si="145"/>
        <v>PRBNP'!</v>
      </c>
      <c r="F580" s="34" t="str">
        <f t="shared" si="146"/>
        <v>C:\Users\jaime.benazar\Quorum Business Solutions\Ecopetrol Prometeo - Documents\Planning Space Implementation\3. Analysis &amp; Design\Design\FC22\DRR Jaime\QUIFA-CAJÚA\Cajua\[CAJUA_CF_SEC_New_27-Feb-2024Rev3.xlsx]D-PRBNP'!</v>
      </c>
      <c r="G580" s="32" t="s">
        <v>37</v>
      </c>
      <c r="H580" s="33"/>
      <c r="I580" s="33"/>
      <c r="J580" s="37"/>
    </row>
    <row r="581" spans="1:10" x14ac:dyDescent="0.25">
      <c r="A581" s="32" t="s">
        <v>100</v>
      </c>
      <c r="B581" s="32">
        <f t="shared" si="147"/>
        <v>2032</v>
      </c>
      <c r="C581" s="33" t="s">
        <v>8</v>
      </c>
      <c r="D581" s="34" t="s">
        <v>1999</v>
      </c>
      <c r="E581" s="35" t="str">
        <f t="shared" si="145"/>
        <v>PRBNP'!</v>
      </c>
      <c r="F581" s="34" t="str">
        <f t="shared" si="146"/>
        <v>C:\Users\jaime.benazar\Quorum Business Solutions\Ecopetrol Prometeo - Documents\Planning Space Implementation\3. Analysis &amp; Design\Design\FC22\DRR Jaime\QUIFA-CAJÚA\Cajua\[CAJUA_CF_SEC_New_27-Feb-2024Rev3.xlsx]D-PRBNP'!</v>
      </c>
      <c r="G581" s="32" t="s">
        <v>37</v>
      </c>
      <c r="H581" s="33"/>
      <c r="I581" s="33"/>
      <c r="J581" s="37"/>
    </row>
    <row r="582" spans="1:10" x14ac:dyDescent="0.25">
      <c r="A582" s="32" t="s">
        <v>100</v>
      </c>
      <c r="B582" s="32">
        <f t="shared" si="147"/>
        <v>2033</v>
      </c>
      <c r="C582" s="33" t="s">
        <v>8</v>
      </c>
      <c r="D582" s="34" t="s">
        <v>1999</v>
      </c>
      <c r="E582" s="35" t="str">
        <f t="shared" si="145"/>
        <v>PRBNP'!</v>
      </c>
      <c r="F582" s="34" t="str">
        <f t="shared" si="146"/>
        <v>C:\Users\jaime.benazar\Quorum Business Solutions\Ecopetrol Prometeo - Documents\Planning Space Implementation\3. Analysis &amp; Design\Design\FC22\DRR Jaime\QUIFA-CAJÚA\Cajua\[CAJUA_CF_SEC_New_27-Feb-2024Rev3.xlsx]D-PRBNP'!</v>
      </c>
      <c r="G582" s="32" t="s">
        <v>37</v>
      </c>
      <c r="H582" s="33"/>
      <c r="I582" s="33"/>
      <c r="J582" s="37"/>
    </row>
    <row r="583" spans="1:10" x14ac:dyDescent="0.25">
      <c r="A583" s="32" t="s">
        <v>100</v>
      </c>
      <c r="B583" s="32">
        <f t="shared" si="147"/>
        <v>2034</v>
      </c>
      <c r="C583" s="33" t="s">
        <v>8</v>
      </c>
      <c r="D583" s="34" t="s">
        <v>1999</v>
      </c>
      <c r="E583" s="35" t="str">
        <f t="shared" si="145"/>
        <v>PRBNP'!</v>
      </c>
      <c r="F583" s="34" t="str">
        <f t="shared" si="146"/>
        <v>C:\Users\jaime.benazar\Quorum Business Solutions\Ecopetrol Prometeo - Documents\Planning Space Implementation\3. Analysis &amp; Design\Design\FC22\DRR Jaime\QUIFA-CAJÚA\Cajua\[CAJUA_CF_SEC_New_27-Feb-2024Rev3.xlsx]D-PRBNP'!</v>
      </c>
      <c r="G583" s="32" t="s">
        <v>37</v>
      </c>
      <c r="H583" s="33"/>
      <c r="I583" s="33"/>
      <c r="J583" s="37"/>
    </row>
    <row r="584" spans="1:10" x14ac:dyDescent="0.25">
      <c r="A584" s="32" t="s">
        <v>100</v>
      </c>
      <c r="B584" s="32">
        <f t="shared" si="147"/>
        <v>2035</v>
      </c>
      <c r="C584" s="33" t="s">
        <v>8</v>
      </c>
      <c r="D584" s="34" t="s">
        <v>1999</v>
      </c>
      <c r="E584" s="35" t="str">
        <f t="shared" si="145"/>
        <v>PRBNP'!</v>
      </c>
      <c r="F584" s="34" t="str">
        <f t="shared" si="146"/>
        <v>C:\Users\jaime.benazar\Quorum Business Solutions\Ecopetrol Prometeo - Documents\Planning Space Implementation\3. Analysis &amp; Design\Design\FC22\DRR Jaime\QUIFA-CAJÚA\Cajua\[CAJUA_CF_SEC_New_27-Feb-2024Rev3.xlsx]D-PRBNP'!</v>
      </c>
      <c r="G584" s="32" t="s">
        <v>37</v>
      </c>
      <c r="H584" s="33"/>
      <c r="I584" s="33"/>
      <c r="J584" s="37"/>
    </row>
    <row r="585" spans="1:10" x14ac:dyDescent="0.25">
      <c r="A585" s="32" t="s">
        <v>100</v>
      </c>
      <c r="B585" s="32">
        <f t="shared" si="147"/>
        <v>2036</v>
      </c>
      <c r="C585" s="33" t="s">
        <v>8</v>
      </c>
      <c r="D585" s="34" t="s">
        <v>1999</v>
      </c>
      <c r="E585" s="35" t="str">
        <f t="shared" si="145"/>
        <v>PRBNP'!</v>
      </c>
      <c r="F585" s="34" t="str">
        <f t="shared" si="146"/>
        <v>C:\Users\jaime.benazar\Quorum Business Solutions\Ecopetrol Prometeo - Documents\Planning Space Implementation\3. Analysis &amp; Design\Design\FC22\DRR Jaime\QUIFA-CAJÚA\Cajua\[CAJUA_CF_SEC_New_27-Feb-2024Rev3.xlsx]D-PRBNP'!</v>
      </c>
      <c r="G585" s="32" t="s">
        <v>37</v>
      </c>
      <c r="H585" s="33"/>
      <c r="I585" s="33"/>
      <c r="J585" s="37"/>
    </row>
    <row r="586" spans="1:10" x14ac:dyDescent="0.25">
      <c r="A586" s="32" t="s">
        <v>100</v>
      </c>
      <c r="B586" s="32">
        <f>+B585+1</f>
        <v>2037</v>
      </c>
      <c r="C586" s="33" t="s">
        <v>8</v>
      </c>
      <c r="D586" s="34" t="s">
        <v>1999</v>
      </c>
      <c r="E586" s="35" t="str">
        <f t="shared" si="145"/>
        <v>PRBNP'!</v>
      </c>
      <c r="F586" s="34" t="str">
        <f t="shared" si="146"/>
        <v>C:\Users\jaime.benazar\Quorum Business Solutions\Ecopetrol Prometeo - Documents\Planning Space Implementation\3. Analysis &amp; Design\Design\FC22\DRR Jaime\QUIFA-CAJÚA\Cajua\[CAJUA_CF_SEC_New_27-Feb-2024Rev3.xlsx]D-PRBNP'!</v>
      </c>
      <c r="G586" s="32" t="s">
        <v>37</v>
      </c>
      <c r="H586" s="33"/>
      <c r="I586" s="33"/>
      <c r="J586" s="37"/>
    </row>
    <row r="587" spans="1:10" x14ac:dyDescent="0.25">
      <c r="A587" s="32" t="s">
        <v>100</v>
      </c>
      <c r="B587" s="32">
        <f t="shared" ref="B587:B589" si="148">+B586+1</f>
        <v>2038</v>
      </c>
      <c r="C587" s="33" t="s">
        <v>8</v>
      </c>
      <c r="D587" s="34" t="s">
        <v>1999</v>
      </c>
      <c r="E587" s="35" t="str">
        <f t="shared" si="145"/>
        <v>PRBNP'!</v>
      </c>
      <c r="F587" s="34" t="str">
        <f t="shared" si="146"/>
        <v>C:\Users\jaime.benazar\Quorum Business Solutions\Ecopetrol Prometeo - Documents\Planning Space Implementation\3. Analysis &amp; Design\Design\FC22\DRR Jaime\QUIFA-CAJÚA\Cajua\[CAJUA_CF_SEC_New_27-Feb-2024Rev3.xlsx]D-PRBNP'!</v>
      </c>
      <c r="G587" s="32" t="s">
        <v>37</v>
      </c>
      <c r="H587" s="33"/>
      <c r="I587" s="33"/>
      <c r="J587" s="37"/>
    </row>
    <row r="588" spans="1:10" x14ac:dyDescent="0.25">
      <c r="A588" s="32" t="s">
        <v>100</v>
      </c>
      <c r="B588" s="32">
        <f t="shared" si="148"/>
        <v>2039</v>
      </c>
      <c r="C588" s="33" t="s">
        <v>8</v>
      </c>
      <c r="D588" s="34" t="s">
        <v>1999</v>
      </c>
      <c r="E588" s="35" t="str">
        <f t="shared" si="145"/>
        <v>PRBNP'!</v>
      </c>
      <c r="F588" s="34" t="str">
        <f t="shared" si="146"/>
        <v>C:\Users\jaime.benazar\Quorum Business Solutions\Ecopetrol Prometeo - Documents\Planning Space Implementation\3. Analysis &amp; Design\Design\FC22\DRR Jaime\QUIFA-CAJÚA\Cajua\[CAJUA_CF_SEC_New_27-Feb-2024Rev3.xlsx]D-PRBNP'!</v>
      </c>
      <c r="G588" s="32" t="s">
        <v>37</v>
      </c>
      <c r="H588" s="33"/>
      <c r="I588" s="33"/>
      <c r="J588" s="37"/>
    </row>
    <row r="589" spans="1:10" x14ac:dyDescent="0.25">
      <c r="A589" s="32" t="s">
        <v>100</v>
      </c>
      <c r="B589" s="32">
        <f t="shared" si="148"/>
        <v>2040</v>
      </c>
      <c r="C589" s="33" t="s">
        <v>8</v>
      </c>
      <c r="D589" s="34" t="s">
        <v>1999</v>
      </c>
      <c r="E589" s="35" t="str">
        <f t="shared" si="145"/>
        <v>PRBNP'!</v>
      </c>
      <c r="F589" s="34" t="str">
        <f t="shared" si="146"/>
        <v>C:\Users\jaime.benazar\Quorum Business Solutions\Ecopetrol Prometeo - Documents\Planning Space Implementation\3. Analysis &amp; Design\Design\FC22\DRR Jaime\QUIFA-CAJÚA\Cajua\[CAJUA_CF_SEC_New_27-Feb-2024Rev3.xlsx]D-PRBNP'!</v>
      </c>
      <c r="G589" s="32" t="s">
        <v>37</v>
      </c>
      <c r="H589" s="33"/>
      <c r="I589" s="33"/>
      <c r="J589" s="37"/>
    </row>
    <row r="590" spans="1:10" x14ac:dyDescent="0.25">
      <c r="A590" s="32" t="s">
        <v>100</v>
      </c>
      <c r="B590" s="32">
        <f>+B589+1</f>
        <v>2041</v>
      </c>
      <c r="C590" s="33" t="s">
        <v>8</v>
      </c>
      <c r="D590" s="34" t="s">
        <v>1999</v>
      </c>
      <c r="E590" s="35" t="str">
        <f t="shared" si="145"/>
        <v>PRBNP'!</v>
      </c>
      <c r="F590" s="34" t="str">
        <f t="shared" si="146"/>
        <v>C:\Users\jaime.benazar\Quorum Business Solutions\Ecopetrol Prometeo - Documents\Planning Space Implementation\3. Analysis &amp; Design\Design\FC22\DRR Jaime\QUIFA-CAJÚA\Cajua\[CAJUA_CF_SEC_New_27-Feb-2024Rev3.xlsx]D-PRBNP'!</v>
      </c>
      <c r="G590" s="32" t="s">
        <v>37</v>
      </c>
      <c r="H590" s="33"/>
      <c r="I590" s="33"/>
      <c r="J590" s="37"/>
    </row>
    <row r="591" spans="1:10" x14ac:dyDescent="0.25">
      <c r="A591" s="32" t="s">
        <v>100</v>
      </c>
      <c r="B591" s="32">
        <f t="shared" ref="B591:B592" si="149">+B590+1</f>
        <v>2042</v>
      </c>
      <c r="C591" s="33" t="s">
        <v>8</v>
      </c>
      <c r="D591" s="34" t="s">
        <v>1999</v>
      </c>
      <c r="E591" s="35" t="str">
        <f t="shared" si="145"/>
        <v>PRBNP'!</v>
      </c>
      <c r="F591" s="34" t="str">
        <f t="shared" si="146"/>
        <v>C:\Users\jaime.benazar\Quorum Business Solutions\Ecopetrol Prometeo - Documents\Planning Space Implementation\3. Analysis &amp; Design\Design\FC22\DRR Jaime\QUIFA-CAJÚA\Cajua\[CAJUA_CF_SEC_New_27-Feb-2024Rev3.xlsx]D-PRBNP'!</v>
      </c>
      <c r="G591" s="32" t="s">
        <v>37</v>
      </c>
      <c r="H591" s="33"/>
      <c r="I591" s="33"/>
      <c r="J591" s="37"/>
    </row>
    <row r="592" spans="1:10" x14ac:dyDescent="0.25">
      <c r="A592" s="32" t="s">
        <v>100</v>
      </c>
      <c r="B592" s="32">
        <f t="shared" si="149"/>
        <v>2043</v>
      </c>
      <c r="C592" s="33" t="s">
        <v>8</v>
      </c>
      <c r="D592" s="34" t="s">
        <v>1999</v>
      </c>
      <c r="E592" s="35" t="str">
        <f t="shared" si="145"/>
        <v>PRBNP'!</v>
      </c>
      <c r="F592" s="34" t="str">
        <f t="shared" si="146"/>
        <v>C:\Users\jaime.benazar\Quorum Business Solutions\Ecopetrol Prometeo - Documents\Planning Space Implementation\3. Analysis &amp; Design\Design\FC22\DRR Jaime\QUIFA-CAJÚA\Cajua\[CAJUA_CF_SEC_New_27-Feb-2024Rev3.xlsx]D-PRBNP'!</v>
      </c>
      <c r="G592" s="32" t="s">
        <v>37</v>
      </c>
      <c r="H592" s="33"/>
      <c r="I592" s="33"/>
      <c r="J592" s="37"/>
    </row>
    <row r="593" spans="1:10" x14ac:dyDescent="0.25">
      <c r="A593" s="32" t="s">
        <v>100</v>
      </c>
      <c r="B593" s="32">
        <f>+B592+1</f>
        <v>2044</v>
      </c>
      <c r="C593" s="33" t="s">
        <v>8</v>
      </c>
      <c r="D593" s="34" t="s">
        <v>1999</v>
      </c>
      <c r="E593" s="35" t="str">
        <f t="shared" ref="E593:E608" si="150">_xlfn.CONCAT(A593,"'!")</f>
        <v>PRBNP'!</v>
      </c>
      <c r="F593" s="34" t="str">
        <f t="shared" ref="F593:F608" si="151">_xlfn.CONCAT(D593:E593)</f>
        <v>C:\Users\jaime.benazar\Quorum Business Solutions\Ecopetrol Prometeo - Documents\Planning Space Implementation\3. Analysis &amp; Design\Design\FC22\DRR Jaime\QUIFA-CAJÚA\Cajua\[CAJUA_CF_SEC_New_27-Feb-2024Rev3.xlsx]D-PRBNP'!</v>
      </c>
      <c r="G593" s="32" t="s">
        <v>37</v>
      </c>
      <c r="H593" s="33"/>
      <c r="I593" s="33"/>
      <c r="J593" s="37"/>
    </row>
    <row r="594" spans="1:10" x14ac:dyDescent="0.25">
      <c r="A594" s="32" t="s">
        <v>100</v>
      </c>
      <c r="B594" s="32">
        <f t="shared" ref="B594:B608" si="152">+B593+1</f>
        <v>2045</v>
      </c>
      <c r="C594" s="33" t="s">
        <v>8</v>
      </c>
      <c r="D594" s="34" t="s">
        <v>1999</v>
      </c>
      <c r="E594" s="35" t="str">
        <f t="shared" si="150"/>
        <v>PRBNP'!</v>
      </c>
      <c r="F594" s="34" t="str">
        <f t="shared" si="151"/>
        <v>C:\Users\jaime.benazar\Quorum Business Solutions\Ecopetrol Prometeo - Documents\Planning Space Implementation\3. Analysis &amp; Design\Design\FC22\DRR Jaime\QUIFA-CAJÚA\Cajua\[CAJUA_CF_SEC_New_27-Feb-2024Rev3.xlsx]D-PRBNP'!</v>
      </c>
      <c r="G594" s="32" t="s">
        <v>37</v>
      </c>
      <c r="H594" s="33"/>
      <c r="I594" s="33"/>
      <c r="J594" s="37"/>
    </row>
    <row r="595" spans="1:10" x14ac:dyDescent="0.25">
      <c r="A595" s="32" t="s">
        <v>100</v>
      </c>
      <c r="B595" s="32">
        <f t="shared" si="152"/>
        <v>2046</v>
      </c>
      <c r="C595" s="33" t="s">
        <v>8</v>
      </c>
      <c r="D595" s="34" t="s">
        <v>1999</v>
      </c>
      <c r="E595" s="35" t="str">
        <f t="shared" si="150"/>
        <v>PRBNP'!</v>
      </c>
      <c r="F595" s="34" t="str">
        <f t="shared" si="151"/>
        <v>C:\Users\jaime.benazar\Quorum Business Solutions\Ecopetrol Prometeo - Documents\Planning Space Implementation\3. Analysis &amp; Design\Design\FC22\DRR Jaime\QUIFA-CAJÚA\Cajua\[CAJUA_CF_SEC_New_27-Feb-2024Rev3.xlsx]D-PRBNP'!</v>
      </c>
      <c r="G595" s="32" t="s">
        <v>37</v>
      </c>
      <c r="H595" s="33"/>
      <c r="I595" s="33"/>
      <c r="J595" s="37"/>
    </row>
    <row r="596" spans="1:10" x14ac:dyDescent="0.25">
      <c r="A596" s="32" t="s">
        <v>100</v>
      </c>
      <c r="B596" s="32">
        <f t="shared" si="152"/>
        <v>2047</v>
      </c>
      <c r="C596" s="33" t="s">
        <v>8</v>
      </c>
      <c r="D596" s="34" t="s">
        <v>1999</v>
      </c>
      <c r="E596" s="35" t="str">
        <f t="shared" si="150"/>
        <v>PRBNP'!</v>
      </c>
      <c r="F596" s="34" t="str">
        <f t="shared" si="151"/>
        <v>C:\Users\jaime.benazar\Quorum Business Solutions\Ecopetrol Prometeo - Documents\Planning Space Implementation\3. Analysis &amp; Design\Design\FC22\DRR Jaime\QUIFA-CAJÚA\Cajua\[CAJUA_CF_SEC_New_27-Feb-2024Rev3.xlsx]D-PRBNP'!</v>
      </c>
      <c r="G596" s="32" t="s">
        <v>37</v>
      </c>
      <c r="H596" s="33"/>
      <c r="I596" s="33"/>
      <c r="J596" s="37"/>
    </row>
    <row r="597" spans="1:10" x14ac:dyDescent="0.25">
      <c r="A597" s="32" t="s">
        <v>100</v>
      </c>
      <c r="B597" s="32">
        <f t="shared" si="152"/>
        <v>2048</v>
      </c>
      <c r="C597" s="33" t="s">
        <v>8</v>
      </c>
      <c r="D597" s="34" t="s">
        <v>1999</v>
      </c>
      <c r="E597" s="35" t="str">
        <f t="shared" si="150"/>
        <v>PRBNP'!</v>
      </c>
      <c r="F597" s="34" t="str">
        <f t="shared" si="151"/>
        <v>C:\Users\jaime.benazar\Quorum Business Solutions\Ecopetrol Prometeo - Documents\Planning Space Implementation\3. Analysis &amp; Design\Design\FC22\DRR Jaime\QUIFA-CAJÚA\Cajua\[CAJUA_CF_SEC_New_27-Feb-2024Rev3.xlsx]D-PRBNP'!</v>
      </c>
      <c r="G597" s="32" t="s">
        <v>37</v>
      </c>
      <c r="H597" s="33"/>
      <c r="I597" s="33"/>
      <c r="J597" s="37"/>
    </row>
    <row r="598" spans="1:10" x14ac:dyDescent="0.25">
      <c r="A598" s="32" t="s">
        <v>100</v>
      </c>
      <c r="B598" s="32">
        <f t="shared" si="152"/>
        <v>2049</v>
      </c>
      <c r="C598" s="33" t="s">
        <v>8</v>
      </c>
      <c r="D598" s="34" t="s">
        <v>1999</v>
      </c>
      <c r="E598" s="35" t="str">
        <f t="shared" si="150"/>
        <v>PRBNP'!</v>
      </c>
      <c r="F598" s="34" t="str">
        <f t="shared" si="151"/>
        <v>C:\Users\jaime.benazar\Quorum Business Solutions\Ecopetrol Prometeo - Documents\Planning Space Implementation\3. Analysis &amp; Design\Design\FC22\DRR Jaime\QUIFA-CAJÚA\Cajua\[CAJUA_CF_SEC_New_27-Feb-2024Rev3.xlsx]D-PRBNP'!</v>
      </c>
      <c r="G598" s="32" t="s">
        <v>37</v>
      </c>
      <c r="H598" s="33"/>
      <c r="I598" s="33"/>
      <c r="J598" s="37"/>
    </row>
    <row r="599" spans="1:10" x14ac:dyDescent="0.25">
      <c r="A599" s="32" t="s">
        <v>100</v>
      </c>
      <c r="B599" s="32">
        <f t="shared" si="152"/>
        <v>2050</v>
      </c>
      <c r="C599" s="33" t="s">
        <v>8</v>
      </c>
      <c r="D599" s="34" t="s">
        <v>1999</v>
      </c>
      <c r="E599" s="35" t="str">
        <f t="shared" si="150"/>
        <v>PRBNP'!</v>
      </c>
      <c r="F599" s="34" t="str">
        <f t="shared" si="151"/>
        <v>C:\Users\jaime.benazar\Quorum Business Solutions\Ecopetrol Prometeo - Documents\Planning Space Implementation\3. Analysis &amp; Design\Design\FC22\DRR Jaime\QUIFA-CAJÚA\Cajua\[CAJUA_CF_SEC_New_27-Feb-2024Rev3.xlsx]D-PRBNP'!</v>
      </c>
      <c r="G599" s="32" t="s">
        <v>37</v>
      </c>
      <c r="H599" s="33"/>
      <c r="I599" s="33"/>
      <c r="J599" s="37"/>
    </row>
    <row r="600" spans="1:10" x14ac:dyDescent="0.25">
      <c r="A600" s="32" t="s">
        <v>100</v>
      </c>
      <c r="B600" s="32">
        <f t="shared" si="152"/>
        <v>2051</v>
      </c>
      <c r="C600" s="33" t="s">
        <v>8</v>
      </c>
      <c r="D600" s="34" t="s">
        <v>1999</v>
      </c>
      <c r="E600" s="35" t="str">
        <f t="shared" si="150"/>
        <v>PRBNP'!</v>
      </c>
      <c r="F600" s="34" t="str">
        <f t="shared" si="151"/>
        <v>C:\Users\jaime.benazar\Quorum Business Solutions\Ecopetrol Prometeo - Documents\Planning Space Implementation\3. Analysis &amp; Design\Design\FC22\DRR Jaime\QUIFA-CAJÚA\Cajua\[CAJUA_CF_SEC_New_27-Feb-2024Rev3.xlsx]D-PRBNP'!</v>
      </c>
      <c r="G600" s="32" t="s">
        <v>37</v>
      </c>
      <c r="H600" s="33"/>
      <c r="I600" s="33"/>
      <c r="J600" s="37"/>
    </row>
    <row r="601" spans="1:10" x14ac:dyDescent="0.25">
      <c r="A601" s="32" t="s">
        <v>100</v>
      </c>
      <c r="B601" s="32">
        <f t="shared" si="152"/>
        <v>2052</v>
      </c>
      <c r="C601" s="33" t="s">
        <v>8</v>
      </c>
      <c r="D601" s="34" t="s">
        <v>1999</v>
      </c>
      <c r="E601" s="35" t="str">
        <f t="shared" si="150"/>
        <v>PRBNP'!</v>
      </c>
      <c r="F601" s="34" t="str">
        <f t="shared" si="151"/>
        <v>C:\Users\jaime.benazar\Quorum Business Solutions\Ecopetrol Prometeo - Documents\Planning Space Implementation\3. Analysis &amp; Design\Design\FC22\DRR Jaime\QUIFA-CAJÚA\Cajua\[CAJUA_CF_SEC_New_27-Feb-2024Rev3.xlsx]D-PRBNP'!</v>
      </c>
      <c r="G601" s="32" t="s">
        <v>37</v>
      </c>
      <c r="H601" s="33"/>
      <c r="I601" s="33"/>
      <c r="J601" s="37"/>
    </row>
    <row r="602" spans="1:10" x14ac:dyDescent="0.25">
      <c r="A602" s="32" t="s">
        <v>100</v>
      </c>
      <c r="B602" s="32">
        <f t="shared" si="152"/>
        <v>2053</v>
      </c>
      <c r="C602" s="33" t="s">
        <v>8</v>
      </c>
      <c r="D602" s="34" t="s">
        <v>1999</v>
      </c>
      <c r="E602" s="35" t="str">
        <f t="shared" si="150"/>
        <v>PRBNP'!</v>
      </c>
      <c r="F602" s="34" t="str">
        <f t="shared" si="151"/>
        <v>C:\Users\jaime.benazar\Quorum Business Solutions\Ecopetrol Prometeo - Documents\Planning Space Implementation\3. Analysis &amp; Design\Design\FC22\DRR Jaime\QUIFA-CAJÚA\Cajua\[CAJUA_CF_SEC_New_27-Feb-2024Rev3.xlsx]D-PRBNP'!</v>
      </c>
      <c r="G602" s="32" t="s">
        <v>37</v>
      </c>
      <c r="H602" s="33"/>
      <c r="I602" s="33"/>
      <c r="J602" s="37"/>
    </row>
    <row r="603" spans="1:10" x14ac:dyDescent="0.25">
      <c r="A603" s="32" t="s">
        <v>100</v>
      </c>
      <c r="B603" s="32">
        <f t="shared" si="152"/>
        <v>2054</v>
      </c>
      <c r="C603" s="33" t="s">
        <v>8</v>
      </c>
      <c r="D603" s="34" t="s">
        <v>1999</v>
      </c>
      <c r="E603" s="35" t="str">
        <f t="shared" si="150"/>
        <v>PRBNP'!</v>
      </c>
      <c r="F603" s="34" t="str">
        <f t="shared" si="151"/>
        <v>C:\Users\jaime.benazar\Quorum Business Solutions\Ecopetrol Prometeo - Documents\Planning Space Implementation\3. Analysis &amp; Design\Design\FC22\DRR Jaime\QUIFA-CAJÚA\Cajua\[CAJUA_CF_SEC_New_27-Feb-2024Rev3.xlsx]D-PRBNP'!</v>
      </c>
      <c r="G603" s="32" t="s">
        <v>37</v>
      </c>
      <c r="H603" s="33"/>
      <c r="I603" s="33"/>
      <c r="J603" s="37"/>
    </row>
    <row r="604" spans="1:10" x14ac:dyDescent="0.25">
      <c r="A604" s="32" t="s">
        <v>100</v>
      </c>
      <c r="B604" s="32">
        <f t="shared" si="152"/>
        <v>2055</v>
      </c>
      <c r="C604" s="33" t="s">
        <v>8</v>
      </c>
      <c r="D604" s="34" t="s">
        <v>1999</v>
      </c>
      <c r="E604" s="35" t="str">
        <f t="shared" si="150"/>
        <v>PRBNP'!</v>
      </c>
      <c r="F604" s="34" t="str">
        <f t="shared" si="151"/>
        <v>C:\Users\jaime.benazar\Quorum Business Solutions\Ecopetrol Prometeo - Documents\Planning Space Implementation\3. Analysis &amp; Design\Design\FC22\DRR Jaime\QUIFA-CAJÚA\Cajua\[CAJUA_CF_SEC_New_27-Feb-2024Rev3.xlsx]D-PRBNP'!</v>
      </c>
      <c r="G604" s="32" t="s">
        <v>37</v>
      </c>
      <c r="H604" s="33"/>
      <c r="I604" s="33"/>
      <c r="J604" s="37"/>
    </row>
    <row r="605" spans="1:10" x14ac:dyDescent="0.25">
      <c r="A605" s="32" t="s">
        <v>100</v>
      </c>
      <c r="B605" s="32">
        <f t="shared" si="152"/>
        <v>2056</v>
      </c>
      <c r="C605" s="33" t="s">
        <v>8</v>
      </c>
      <c r="D605" s="34" t="s">
        <v>1999</v>
      </c>
      <c r="E605" s="35" t="str">
        <f t="shared" si="150"/>
        <v>PRBNP'!</v>
      </c>
      <c r="F605" s="34" t="str">
        <f t="shared" si="151"/>
        <v>C:\Users\jaime.benazar\Quorum Business Solutions\Ecopetrol Prometeo - Documents\Planning Space Implementation\3. Analysis &amp; Design\Design\FC22\DRR Jaime\QUIFA-CAJÚA\Cajua\[CAJUA_CF_SEC_New_27-Feb-2024Rev3.xlsx]D-PRBNP'!</v>
      </c>
      <c r="G605" s="32" t="s">
        <v>37</v>
      </c>
      <c r="H605" s="33"/>
      <c r="I605" s="33"/>
      <c r="J605" s="37"/>
    </row>
    <row r="606" spans="1:10" x14ac:dyDescent="0.25">
      <c r="A606" s="32" t="s">
        <v>100</v>
      </c>
      <c r="B606" s="32">
        <f t="shared" si="152"/>
        <v>2057</v>
      </c>
      <c r="C606" s="33" t="s">
        <v>8</v>
      </c>
      <c r="D606" s="34" t="s">
        <v>1999</v>
      </c>
      <c r="E606" s="35" t="str">
        <f t="shared" si="150"/>
        <v>PRBNP'!</v>
      </c>
      <c r="F606" s="34" t="str">
        <f t="shared" si="151"/>
        <v>C:\Users\jaime.benazar\Quorum Business Solutions\Ecopetrol Prometeo - Documents\Planning Space Implementation\3. Analysis &amp; Design\Design\FC22\DRR Jaime\QUIFA-CAJÚA\Cajua\[CAJUA_CF_SEC_New_27-Feb-2024Rev3.xlsx]D-PRBNP'!</v>
      </c>
      <c r="G606" s="32" t="s">
        <v>37</v>
      </c>
      <c r="H606" s="33"/>
      <c r="I606" s="33"/>
      <c r="J606" s="37"/>
    </row>
    <row r="607" spans="1:10" x14ac:dyDescent="0.25">
      <c r="A607" s="32" t="s">
        <v>100</v>
      </c>
      <c r="B607" s="32">
        <f t="shared" si="152"/>
        <v>2058</v>
      </c>
      <c r="C607" s="33" t="s">
        <v>8</v>
      </c>
      <c r="D607" s="34" t="s">
        <v>1999</v>
      </c>
      <c r="E607" s="35" t="str">
        <f t="shared" si="150"/>
        <v>PRBNP'!</v>
      </c>
      <c r="F607" s="34" t="str">
        <f t="shared" si="151"/>
        <v>C:\Users\jaime.benazar\Quorum Business Solutions\Ecopetrol Prometeo - Documents\Planning Space Implementation\3. Analysis &amp; Design\Design\FC22\DRR Jaime\QUIFA-CAJÚA\Cajua\[CAJUA_CF_SEC_New_27-Feb-2024Rev3.xlsx]D-PRBNP'!</v>
      </c>
      <c r="G607" s="32" t="s">
        <v>37</v>
      </c>
      <c r="H607" s="33"/>
      <c r="I607" s="33"/>
      <c r="J607" s="37"/>
    </row>
    <row r="608" spans="1:10" x14ac:dyDescent="0.25">
      <c r="A608" s="32" t="s">
        <v>100</v>
      </c>
      <c r="B608" s="32">
        <f t="shared" si="152"/>
        <v>2059</v>
      </c>
      <c r="C608" s="33" t="s">
        <v>8</v>
      </c>
      <c r="D608" s="34" t="s">
        <v>1999</v>
      </c>
      <c r="E608" s="35" t="str">
        <f t="shared" si="150"/>
        <v>PRBNP'!</v>
      </c>
      <c r="F608" s="34" t="str">
        <f t="shared" si="151"/>
        <v>C:\Users\jaime.benazar\Quorum Business Solutions\Ecopetrol Prometeo - Documents\Planning Space Implementation\3. Analysis &amp; Design\Design\FC22\DRR Jaime\QUIFA-CAJÚA\Cajua\[CAJUA_CF_SEC_New_27-Feb-2024Rev3.xlsx]D-PRBNP'!</v>
      </c>
      <c r="G608" s="32" t="s">
        <v>37</v>
      </c>
      <c r="H608" s="33"/>
      <c r="I608" s="33"/>
      <c r="J608" s="37"/>
    </row>
    <row r="609" spans="1:10" x14ac:dyDescent="0.25">
      <c r="A609" s="32" t="s">
        <v>28</v>
      </c>
      <c r="B609" s="32"/>
      <c r="C609" s="33" t="s">
        <v>8</v>
      </c>
      <c r="D609" s="34"/>
      <c r="E609" s="35"/>
      <c r="F609" s="34"/>
      <c r="G609" s="32"/>
      <c r="H609" s="33"/>
      <c r="I609" s="33"/>
      <c r="J609" s="33"/>
    </row>
    <row r="610" spans="1:10" x14ac:dyDescent="0.25">
      <c r="A610" s="32" t="s">
        <v>101</v>
      </c>
      <c r="B610" s="32">
        <v>2023</v>
      </c>
      <c r="C610" s="33" t="s">
        <v>8</v>
      </c>
      <c r="D610" s="34" t="s">
        <v>1999</v>
      </c>
      <c r="E610" s="35" t="str">
        <f t="shared" ref="E610:E630" si="153">_xlfn.CONCAT(A610,"'!")</f>
        <v>PRBND'!</v>
      </c>
      <c r="F610" s="34" t="str">
        <f t="shared" ref="F610:F630" si="154">_xlfn.CONCAT(D610:E610)</f>
        <v>C:\Users\jaime.benazar\Quorum Business Solutions\Ecopetrol Prometeo - Documents\Planning Space Implementation\3. Analysis &amp; Design\Design\FC22\DRR Jaime\QUIFA-CAJÚA\Cajua\[CAJUA_CF_SEC_New_27-Feb-2024Rev3.xlsx]D-PRBND'!</v>
      </c>
      <c r="G610" s="32" t="s">
        <v>37</v>
      </c>
      <c r="H610" s="33"/>
      <c r="I610" s="33"/>
      <c r="J610" s="37"/>
    </row>
    <row r="611" spans="1:10" x14ac:dyDescent="0.25">
      <c r="A611" s="32" t="s">
        <v>101</v>
      </c>
      <c r="B611" s="32">
        <f>+B610+1</f>
        <v>2024</v>
      </c>
      <c r="C611" s="33" t="s">
        <v>8</v>
      </c>
      <c r="D611" s="34" t="s">
        <v>1999</v>
      </c>
      <c r="E611" s="35" t="str">
        <f t="shared" si="153"/>
        <v>PRBND'!</v>
      </c>
      <c r="F611" s="34" t="str">
        <f t="shared" si="154"/>
        <v>C:\Users\jaime.benazar\Quorum Business Solutions\Ecopetrol Prometeo - Documents\Planning Space Implementation\3. Analysis &amp; Design\Design\FC22\DRR Jaime\QUIFA-CAJÚA\Cajua\[CAJUA_CF_SEC_New_27-Feb-2024Rev3.xlsx]D-PRBND'!</v>
      </c>
      <c r="G611" s="32" t="s">
        <v>37</v>
      </c>
      <c r="H611" s="33"/>
      <c r="I611" s="33"/>
      <c r="J611" s="37"/>
    </row>
    <row r="612" spans="1:10" x14ac:dyDescent="0.25">
      <c r="A612" s="32" t="s">
        <v>101</v>
      </c>
      <c r="B612" s="32">
        <f t="shared" ref="B612:B623" si="155">+B611+1</f>
        <v>2025</v>
      </c>
      <c r="C612" s="33" t="s">
        <v>8</v>
      </c>
      <c r="D612" s="34" t="s">
        <v>1999</v>
      </c>
      <c r="E612" s="35" t="str">
        <f t="shared" si="153"/>
        <v>PRBND'!</v>
      </c>
      <c r="F612" s="34" t="str">
        <f t="shared" si="154"/>
        <v>C:\Users\jaime.benazar\Quorum Business Solutions\Ecopetrol Prometeo - Documents\Planning Space Implementation\3. Analysis &amp; Design\Design\FC22\DRR Jaime\QUIFA-CAJÚA\Cajua\[CAJUA_CF_SEC_New_27-Feb-2024Rev3.xlsx]D-PRBND'!</v>
      </c>
      <c r="G612" s="32" t="s">
        <v>37</v>
      </c>
      <c r="H612" s="33"/>
      <c r="I612" s="33"/>
      <c r="J612" s="37"/>
    </row>
    <row r="613" spans="1:10" x14ac:dyDescent="0.25">
      <c r="A613" s="32" t="s">
        <v>101</v>
      </c>
      <c r="B613" s="32">
        <f t="shared" si="155"/>
        <v>2026</v>
      </c>
      <c r="C613" s="33" t="s">
        <v>8</v>
      </c>
      <c r="D613" s="34" t="s">
        <v>1999</v>
      </c>
      <c r="E613" s="35" t="str">
        <f t="shared" si="153"/>
        <v>PRBND'!</v>
      </c>
      <c r="F613" s="34" t="str">
        <f t="shared" si="154"/>
        <v>C:\Users\jaime.benazar\Quorum Business Solutions\Ecopetrol Prometeo - Documents\Planning Space Implementation\3. Analysis &amp; Design\Design\FC22\DRR Jaime\QUIFA-CAJÚA\Cajua\[CAJUA_CF_SEC_New_27-Feb-2024Rev3.xlsx]D-PRBND'!</v>
      </c>
      <c r="G613" s="32" t="s">
        <v>37</v>
      </c>
      <c r="H613" s="33"/>
      <c r="I613" s="33"/>
      <c r="J613" s="37"/>
    </row>
    <row r="614" spans="1:10" x14ac:dyDescent="0.25">
      <c r="A614" s="32" t="s">
        <v>101</v>
      </c>
      <c r="B614" s="32">
        <f t="shared" si="155"/>
        <v>2027</v>
      </c>
      <c r="C614" s="33" t="s">
        <v>8</v>
      </c>
      <c r="D614" s="34" t="s">
        <v>1999</v>
      </c>
      <c r="E614" s="35" t="str">
        <f t="shared" si="153"/>
        <v>PRBND'!</v>
      </c>
      <c r="F614" s="34" t="str">
        <f t="shared" si="154"/>
        <v>C:\Users\jaime.benazar\Quorum Business Solutions\Ecopetrol Prometeo - Documents\Planning Space Implementation\3. Analysis &amp; Design\Design\FC22\DRR Jaime\QUIFA-CAJÚA\Cajua\[CAJUA_CF_SEC_New_27-Feb-2024Rev3.xlsx]D-PRBND'!</v>
      </c>
      <c r="G614" s="32" t="s">
        <v>37</v>
      </c>
      <c r="H614" s="33"/>
      <c r="I614" s="33"/>
      <c r="J614" s="37"/>
    </row>
    <row r="615" spans="1:10" x14ac:dyDescent="0.25">
      <c r="A615" s="32" t="s">
        <v>101</v>
      </c>
      <c r="B615" s="32">
        <f t="shared" si="155"/>
        <v>2028</v>
      </c>
      <c r="C615" s="33" t="s">
        <v>8</v>
      </c>
      <c r="D615" s="34" t="s">
        <v>1999</v>
      </c>
      <c r="E615" s="35" t="str">
        <f t="shared" si="153"/>
        <v>PRBND'!</v>
      </c>
      <c r="F615" s="34" t="str">
        <f t="shared" si="154"/>
        <v>C:\Users\jaime.benazar\Quorum Business Solutions\Ecopetrol Prometeo - Documents\Planning Space Implementation\3. Analysis &amp; Design\Design\FC22\DRR Jaime\QUIFA-CAJÚA\Cajua\[CAJUA_CF_SEC_New_27-Feb-2024Rev3.xlsx]D-PRBND'!</v>
      </c>
      <c r="G615" s="32" t="s">
        <v>37</v>
      </c>
      <c r="H615" s="33"/>
      <c r="I615" s="33"/>
      <c r="J615" s="37"/>
    </row>
    <row r="616" spans="1:10" x14ac:dyDescent="0.25">
      <c r="A616" s="32" t="s">
        <v>101</v>
      </c>
      <c r="B616" s="32">
        <f t="shared" si="155"/>
        <v>2029</v>
      </c>
      <c r="C616" s="33" t="s">
        <v>8</v>
      </c>
      <c r="D616" s="34" t="s">
        <v>1999</v>
      </c>
      <c r="E616" s="35" t="str">
        <f t="shared" si="153"/>
        <v>PRBND'!</v>
      </c>
      <c r="F616" s="34" t="str">
        <f t="shared" si="154"/>
        <v>C:\Users\jaime.benazar\Quorum Business Solutions\Ecopetrol Prometeo - Documents\Planning Space Implementation\3. Analysis &amp; Design\Design\FC22\DRR Jaime\QUIFA-CAJÚA\Cajua\[CAJUA_CF_SEC_New_27-Feb-2024Rev3.xlsx]D-PRBND'!</v>
      </c>
      <c r="G616" s="32" t="s">
        <v>37</v>
      </c>
      <c r="H616" s="33"/>
      <c r="I616" s="33"/>
      <c r="J616" s="37"/>
    </row>
    <row r="617" spans="1:10" x14ac:dyDescent="0.25">
      <c r="A617" s="32" t="s">
        <v>101</v>
      </c>
      <c r="B617" s="32">
        <f t="shared" si="155"/>
        <v>2030</v>
      </c>
      <c r="C617" s="33" t="s">
        <v>8</v>
      </c>
      <c r="D617" s="34" t="s">
        <v>1999</v>
      </c>
      <c r="E617" s="35" t="str">
        <f t="shared" si="153"/>
        <v>PRBND'!</v>
      </c>
      <c r="F617" s="34" t="str">
        <f t="shared" si="154"/>
        <v>C:\Users\jaime.benazar\Quorum Business Solutions\Ecopetrol Prometeo - Documents\Planning Space Implementation\3. Analysis &amp; Design\Design\FC22\DRR Jaime\QUIFA-CAJÚA\Cajua\[CAJUA_CF_SEC_New_27-Feb-2024Rev3.xlsx]D-PRBND'!</v>
      </c>
      <c r="G617" s="32" t="s">
        <v>37</v>
      </c>
      <c r="H617" s="33"/>
      <c r="I617" s="33"/>
      <c r="J617" s="37"/>
    </row>
    <row r="618" spans="1:10" x14ac:dyDescent="0.25">
      <c r="A618" s="32" t="s">
        <v>101</v>
      </c>
      <c r="B618" s="32">
        <f t="shared" si="155"/>
        <v>2031</v>
      </c>
      <c r="C618" s="33" t="s">
        <v>8</v>
      </c>
      <c r="D618" s="34" t="s">
        <v>1999</v>
      </c>
      <c r="E618" s="35" t="str">
        <f t="shared" si="153"/>
        <v>PRBND'!</v>
      </c>
      <c r="F618" s="34" t="str">
        <f t="shared" si="154"/>
        <v>C:\Users\jaime.benazar\Quorum Business Solutions\Ecopetrol Prometeo - Documents\Planning Space Implementation\3. Analysis &amp; Design\Design\FC22\DRR Jaime\QUIFA-CAJÚA\Cajua\[CAJUA_CF_SEC_New_27-Feb-2024Rev3.xlsx]D-PRBND'!</v>
      </c>
      <c r="G618" s="32" t="s">
        <v>37</v>
      </c>
      <c r="H618" s="33"/>
      <c r="I618" s="33"/>
      <c r="J618" s="37"/>
    </row>
    <row r="619" spans="1:10" x14ac:dyDescent="0.25">
      <c r="A619" s="32" t="s">
        <v>101</v>
      </c>
      <c r="B619" s="32">
        <f t="shared" si="155"/>
        <v>2032</v>
      </c>
      <c r="C619" s="33" t="s">
        <v>8</v>
      </c>
      <c r="D619" s="34" t="s">
        <v>1999</v>
      </c>
      <c r="E619" s="35" t="str">
        <f t="shared" si="153"/>
        <v>PRBND'!</v>
      </c>
      <c r="F619" s="34" t="str">
        <f t="shared" si="154"/>
        <v>C:\Users\jaime.benazar\Quorum Business Solutions\Ecopetrol Prometeo - Documents\Planning Space Implementation\3. Analysis &amp; Design\Design\FC22\DRR Jaime\QUIFA-CAJÚA\Cajua\[CAJUA_CF_SEC_New_27-Feb-2024Rev3.xlsx]D-PRBND'!</v>
      </c>
      <c r="G619" s="32" t="s">
        <v>37</v>
      </c>
      <c r="H619" s="33"/>
      <c r="I619" s="33"/>
      <c r="J619" s="37"/>
    </row>
    <row r="620" spans="1:10" x14ac:dyDescent="0.25">
      <c r="A620" s="32" t="s">
        <v>101</v>
      </c>
      <c r="B620" s="32">
        <f t="shared" si="155"/>
        <v>2033</v>
      </c>
      <c r="C620" s="33" t="s">
        <v>8</v>
      </c>
      <c r="D620" s="34" t="s">
        <v>1999</v>
      </c>
      <c r="E620" s="35" t="str">
        <f t="shared" si="153"/>
        <v>PRBND'!</v>
      </c>
      <c r="F620" s="34" t="str">
        <f t="shared" si="154"/>
        <v>C:\Users\jaime.benazar\Quorum Business Solutions\Ecopetrol Prometeo - Documents\Planning Space Implementation\3. Analysis &amp; Design\Design\FC22\DRR Jaime\QUIFA-CAJÚA\Cajua\[CAJUA_CF_SEC_New_27-Feb-2024Rev3.xlsx]D-PRBND'!</v>
      </c>
      <c r="G620" s="32" t="s">
        <v>37</v>
      </c>
      <c r="H620" s="33"/>
      <c r="I620" s="33"/>
      <c r="J620" s="37"/>
    </row>
    <row r="621" spans="1:10" x14ac:dyDescent="0.25">
      <c r="A621" s="32" t="s">
        <v>101</v>
      </c>
      <c r="B621" s="32">
        <f t="shared" si="155"/>
        <v>2034</v>
      </c>
      <c r="C621" s="33" t="s">
        <v>8</v>
      </c>
      <c r="D621" s="34" t="s">
        <v>1999</v>
      </c>
      <c r="E621" s="35" t="str">
        <f t="shared" si="153"/>
        <v>PRBND'!</v>
      </c>
      <c r="F621" s="34" t="str">
        <f t="shared" si="154"/>
        <v>C:\Users\jaime.benazar\Quorum Business Solutions\Ecopetrol Prometeo - Documents\Planning Space Implementation\3. Analysis &amp; Design\Design\FC22\DRR Jaime\QUIFA-CAJÚA\Cajua\[CAJUA_CF_SEC_New_27-Feb-2024Rev3.xlsx]D-PRBND'!</v>
      </c>
      <c r="G621" s="32" t="s">
        <v>37</v>
      </c>
      <c r="H621" s="33"/>
      <c r="I621" s="33"/>
      <c r="J621" s="37"/>
    </row>
    <row r="622" spans="1:10" x14ac:dyDescent="0.25">
      <c r="A622" s="32" t="s">
        <v>101</v>
      </c>
      <c r="B622" s="32">
        <f t="shared" si="155"/>
        <v>2035</v>
      </c>
      <c r="C622" s="33" t="s">
        <v>8</v>
      </c>
      <c r="D622" s="34" t="s">
        <v>1999</v>
      </c>
      <c r="E622" s="35" t="str">
        <f t="shared" si="153"/>
        <v>PRBND'!</v>
      </c>
      <c r="F622" s="34" t="str">
        <f t="shared" si="154"/>
        <v>C:\Users\jaime.benazar\Quorum Business Solutions\Ecopetrol Prometeo - Documents\Planning Space Implementation\3. Analysis &amp; Design\Design\FC22\DRR Jaime\QUIFA-CAJÚA\Cajua\[CAJUA_CF_SEC_New_27-Feb-2024Rev3.xlsx]D-PRBND'!</v>
      </c>
      <c r="G622" s="32" t="s">
        <v>37</v>
      </c>
      <c r="H622" s="33"/>
      <c r="I622" s="33"/>
      <c r="J622" s="37"/>
    </row>
    <row r="623" spans="1:10" x14ac:dyDescent="0.25">
      <c r="A623" s="32" t="s">
        <v>101</v>
      </c>
      <c r="B623" s="32">
        <f t="shared" si="155"/>
        <v>2036</v>
      </c>
      <c r="C623" s="33" t="s">
        <v>8</v>
      </c>
      <c r="D623" s="34" t="s">
        <v>1999</v>
      </c>
      <c r="E623" s="35" t="str">
        <f t="shared" si="153"/>
        <v>PRBND'!</v>
      </c>
      <c r="F623" s="34" t="str">
        <f t="shared" si="154"/>
        <v>C:\Users\jaime.benazar\Quorum Business Solutions\Ecopetrol Prometeo - Documents\Planning Space Implementation\3. Analysis &amp; Design\Design\FC22\DRR Jaime\QUIFA-CAJÚA\Cajua\[CAJUA_CF_SEC_New_27-Feb-2024Rev3.xlsx]D-PRBND'!</v>
      </c>
      <c r="G623" s="32" t="s">
        <v>37</v>
      </c>
      <c r="H623" s="33"/>
      <c r="I623" s="33"/>
      <c r="J623" s="37"/>
    </row>
    <row r="624" spans="1:10" x14ac:dyDescent="0.25">
      <c r="A624" s="32" t="s">
        <v>101</v>
      </c>
      <c r="B624" s="32">
        <f>+B623+1</f>
        <v>2037</v>
      </c>
      <c r="C624" s="33" t="s">
        <v>8</v>
      </c>
      <c r="D624" s="34" t="s">
        <v>1999</v>
      </c>
      <c r="E624" s="35" t="str">
        <f t="shared" si="153"/>
        <v>PRBND'!</v>
      </c>
      <c r="F624" s="34" t="str">
        <f t="shared" si="154"/>
        <v>C:\Users\jaime.benazar\Quorum Business Solutions\Ecopetrol Prometeo - Documents\Planning Space Implementation\3. Analysis &amp; Design\Design\FC22\DRR Jaime\QUIFA-CAJÚA\Cajua\[CAJUA_CF_SEC_New_27-Feb-2024Rev3.xlsx]D-PRBND'!</v>
      </c>
      <c r="G624" s="32" t="s">
        <v>37</v>
      </c>
      <c r="H624" s="33"/>
      <c r="I624" s="33"/>
      <c r="J624" s="37"/>
    </row>
    <row r="625" spans="1:10" x14ac:dyDescent="0.25">
      <c r="A625" s="32" t="s">
        <v>101</v>
      </c>
      <c r="B625" s="32">
        <f t="shared" ref="B625:B627" si="156">+B624+1</f>
        <v>2038</v>
      </c>
      <c r="C625" s="33" t="s">
        <v>8</v>
      </c>
      <c r="D625" s="34" t="s">
        <v>1999</v>
      </c>
      <c r="E625" s="35" t="str">
        <f t="shared" si="153"/>
        <v>PRBND'!</v>
      </c>
      <c r="F625" s="34" t="str">
        <f t="shared" si="154"/>
        <v>C:\Users\jaime.benazar\Quorum Business Solutions\Ecopetrol Prometeo - Documents\Planning Space Implementation\3. Analysis &amp; Design\Design\FC22\DRR Jaime\QUIFA-CAJÚA\Cajua\[CAJUA_CF_SEC_New_27-Feb-2024Rev3.xlsx]D-PRBND'!</v>
      </c>
      <c r="G625" s="32" t="s">
        <v>37</v>
      </c>
      <c r="H625" s="33"/>
      <c r="I625" s="33"/>
      <c r="J625" s="37"/>
    </row>
    <row r="626" spans="1:10" x14ac:dyDescent="0.25">
      <c r="A626" s="32" t="s">
        <v>101</v>
      </c>
      <c r="B626" s="32">
        <f t="shared" si="156"/>
        <v>2039</v>
      </c>
      <c r="C626" s="33" t="s">
        <v>8</v>
      </c>
      <c r="D626" s="34" t="s">
        <v>1999</v>
      </c>
      <c r="E626" s="35" t="str">
        <f t="shared" si="153"/>
        <v>PRBND'!</v>
      </c>
      <c r="F626" s="34" t="str">
        <f t="shared" si="154"/>
        <v>C:\Users\jaime.benazar\Quorum Business Solutions\Ecopetrol Prometeo - Documents\Planning Space Implementation\3. Analysis &amp; Design\Design\FC22\DRR Jaime\QUIFA-CAJÚA\Cajua\[CAJUA_CF_SEC_New_27-Feb-2024Rev3.xlsx]D-PRBND'!</v>
      </c>
      <c r="G626" s="32" t="s">
        <v>37</v>
      </c>
      <c r="H626" s="33"/>
      <c r="I626" s="33"/>
      <c r="J626" s="37"/>
    </row>
    <row r="627" spans="1:10" x14ac:dyDescent="0.25">
      <c r="A627" s="32" t="s">
        <v>101</v>
      </c>
      <c r="B627" s="32">
        <f t="shared" si="156"/>
        <v>2040</v>
      </c>
      <c r="C627" s="33" t="s">
        <v>8</v>
      </c>
      <c r="D627" s="34" t="s">
        <v>1999</v>
      </c>
      <c r="E627" s="35" t="str">
        <f t="shared" si="153"/>
        <v>PRBND'!</v>
      </c>
      <c r="F627" s="34" t="str">
        <f t="shared" si="154"/>
        <v>C:\Users\jaime.benazar\Quorum Business Solutions\Ecopetrol Prometeo - Documents\Planning Space Implementation\3. Analysis &amp; Design\Design\FC22\DRR Jaime\QUIFA-CAJÚA\Cajua\[CAJUA_CF_SEC_New_27-Feb-2024Rev3.xlsx]D-PRBND'!</v>
      </c>
      <c r="G627" s="32" t="s">
        <v>37</v>
      </c>
      <c r="H627" s="33"/>
      <c r="I627" s="33"/>
      <c r="J627" s="37"/>
    </row>
    <row r="628" spans="1:10" x14ac:dyDescent="0.25">
      <c r="A628" s="32" t="s">
        <v>101</v>
      </c>
      <c r="B628" s="32">
        <f>+B627+1</f>
        <v>2041</v>
      </c>
      <c r="C628" s="33" t="s">
        <v>8</v>
      </c>
      <c r="D628" s="34" t="s">
        <v>1999</v>
      </c>
      <c r="E628" s="35" t="str">
        <f t="shared" si="153"/>
        <v>PRBND'!</v>
      </c>
      <c r="F628" s="34" t="str">
        <f t="shared" si="154"/>
        <v>C:\Users\jaime.benazar\Quorum Business Solutions\Ecopetrol Prometeo - Documents\Planning Space Implementation\3. Analysis &amp; Design\Design\FC22\DRR Jaime\QUIFA-CAJÚA\Cajua\[CAJUA_CF_SEC_New_27-Feb-2024Rev3.xlsx]D-PRBND'!</v>
      </c>
      <c r="G628" s="32" t="s">
        <v>37</v>
      </c>
      <c r="H628" s="33"/>
      <c r="I628" s="33"/>
      <c r="J628" s="37"/>
    </row>
    <row r="629" spans="1:10" x14ac:dyDescent="0.25">
      <c r="A629" s="32" t="s">
        <v>101</v>
      </c>
      <c r="B629" s="32">
        <f t="shared" ref="B629:B630" si="157">+B628+1</f>
        <v>2042</v>
      </c>
      <c r="C629" s="33" t="s">
        <v>8</v>
      </c>
      <c r="D629" s="34" t="s">
        <v>1999</v>
      </c>
      <c r="E629" s="35" t="str">
        <f t="shared" si="153"/>
        <v>PRBND'!</v>
      </c>
      <c r="F629" s="34" t="str">
        <f t="shared" si="154"/>
        <v>C:\Users\jaime.benazar\Quorum Business Solutions\Ecopetrol Prometeo - Documents\Planning Space Implementation\3. Analysis &amp; Design\Design\FC22\DRR Jaime\QUIFA-CAJÚA\Cajua\[CAJUA_CF_SEC_New_27-Feb-2024Rev3.xlsx]D-PRBND'!</v>
      </c>
      <c r="G629" s="32" t="s">
        <v>37</v>
      </c>
      <c r="H629" s="33"/>
      <c r="I629" s="33"/>
      <c r="J629" s="37"/>
    </row>
    <row r="630" spans="1:10" x14ac:dyDescent="0.25">
      <c r="A630" s="32" t="s">
        <v>101</v>
      </c>
      <c r="B630" s="32">
        <f t="shared" si="157"/>
        <v>2043</v>
      </c>
      <c r="C630" s="33" t="s">
        <v>8</v>
      </c>
      <c r="D630" s="34" t="s">
        <v>1999</v>
      </c>
      <c r="E630" s="35" t="str">
        <f t="shared" si="153"/>
        <v>PRBND'!</v>
      </c>
      <c r="F630" s="34" t="str">
        <f t="shared" si="154"/>
        <v>C:\Users\jaime.benazar\Quorum Business Solutions\Ecopetrol Prometeo - Documents\Planning Space Implementation\3. Analysis &amp; Design\Design\FC22\DRR Jaime\QUIFA-CAJÚA\Cajua\[CAJUA_CF_SEC_New_27-Feb-2024Rev3.xlsx]D-PRBND'!</v>
      </c>
      <c r="G630" s="32" t="s">
        <v>37</v>
      </c>
      <c r="H630" s="33"/>
      <c r="I630" s="33"/>
      <c r="J630" s="37"/>
    </row>
    <row r="631" spans="1:10" x14ac:dyDescent="0.25">
      <c r="A631" s="32" t="s">
        <v>101</v>
      </c>
      <c r="B631" s="32">
        <f>+B630+1</f>
        <v>2044</v>
      </c>
      <c r="C631" s="33" t="s">
        <v>8</v>
      </c>
      <c r="D631" s="34" t="s">
        <v>1999</v>
      </c>
      <c r="E631" s="35" t="str">
        <f t="shared" ref="E631:E646" si="158">_xlfn.CONCAT(A631,"'!")</f>
        <v>PRBND'!</v>
      </c>
      <c r="F631" s="34" t="str">
        <f t="shared" ref="F631:F646" si="159">_xlfn.CONCAT(D631:E631)</f>
        <v>C:\Users\jaime.benazar\Quorum Business Solutions\Ecopetrol Prometeo - Documents\Planning Space Implementation\3. Analysis &amp; Design\Design\FC22\DRR Jaime\QUIFA-CAJÚA\Cajua\[CAJUA_CF_SEC_New_27-Feb-2024Rev3.xlsx]D-PRBND'!</v>
      </c>
      <c r="G631" s="32" t="s">
        <v>37</v>
      </c>
      <c r="H631" s="33"/>
      <c r="I631" s="33"/>
      <c r="J631" s="37"/>
    </row>
    <row r="632" spans="1:10" x14ac:dyDescent="0.25">
      <c r="A632" s="32" t="s">
        <v>101</v>
      </c>
      <c r="B632" s="32">
        <f t="shared" ref="B632:B646" si="160">+B631+1</f>
        <v>2045</v>
      </c>
      <c r="C632" s="33" t="s">
        <v>8</v>
      </c>
      <c r="D632" s="34" t="s">
        <v>1999</v>
      </c>
      <c r="E632" s="35" t="str">
        <f t="shared" si="158"/>
        <v>PRBND'!</v>
      </c>
      <c r="F632" s="34" t="str">
        <f t="shared" si="159"/>
        <v>C:\Users\jaime.benazar\Quorum Business Solutions\Ecopetrol Prometeo - Documents\Planning Space Implementation\3. Analysis &amp; Design\Design\FC22\DRR Jaime\QUIFA-CAJÚA\Cajua\[CAJUA_CF_SEC_New_27-Feb-2024Rev3.xlsx]D-PRBND'!</v>
      </c>
      <c r="G632" s="32" t="s">
        <v>37</v>
      </c>
      <c r="H632" s="33"/>
      <c r="I632" s="33"/>
      <c r="J632" s="37"/>
    </row>
    <row r="633" spans="1:10" x14ac:dyDescent="0.25">
      <c r="A633" s="32" t="s">
        <v>101</v>
      </c>
      <c r="B633" s="32">
        <f t="shared" si="160"/>
        <v>2046</v>
      </c>
      <c r="C633" s="33" t="s">
        <v>8</v>
      </c>
      <c r="D633" s="34" t="s">
        <v>1999</v>
      </c>
      <c r="E633" s="35" t="str">
        <f t="shared" si="158"/>
        <v>PRBND'!</v>
      </c>
      <c r="F633" s="34" t="str">
        <f t="shared" si="159"/>
        <v>C:\Users\jaime.benazar\Quorum Business Solutions\Ecopetrol Prometeo - Documents\Planning Space Implementation\3. Analysis &amp; Design\Design\FC22\DRR Jaime\QUIFA-CAJÚA\Cajua\[CAJUA_CF_SEC_New_27-Feb-2024Rev3.xlsx]D-PRBND'!</v>
      </c>
      <c r="G633" s="32" t="s">
        <v>37</v>
      </c>
      <c r="H633" s="33"/>
      <c r="I633" s="33"/>
      <c r="J633" s="37"/>
    </row>
    <row r="634" spans="1:10" x14ac:dyDescent="0.25">
      <c r="A634" s="32" t="s">
        <v>101</v>
      </c>
      <c r="B634" s="32">
        <f t="shared" si="160"/>
        <v>2047</v>
      </c>
      <c r="C634" s="33" t="s">
        <v>8</v>
      </c>
      <c r="D634" s="34" t="s">
        <v>1999</v>
      </c>
      <c r="E634" s="35" t="str">
        <f t="shared" si="158"/>
        <v>PRBND'!</v>
      </c>
      <c r="F634" s="34" t="str">
        <f t="shared" si="159"/>
        <v>C:\Users\jaime.benazar\Quorum Business Solutions\Ecopetrol Prometeo - Documents\Planning Space Implementation\3. Analysis &amp; Design\Design\FC22\DRR Jaime\QUIFA-CAJÚA\Cajua\[CAJUA_CF_SEC_New_27-Feb-2024Rev3.xlsx]D-PRBND'!</v>
      </c>
      <c r="G634" s="32" t="s">
        <v>37</v>
      </c>
      <c r="H634" s="33"/>
      <c r="I634" s="33"/>
      <c r="J634" s="37"/>
    </row>
    <row r="635" spans="1:10" x14ac:dyDescent="0.25">
      <c r="A635" s="32" t="s">
        <v>101</v>
      </c>
      <c r="B635" s="32">
        <f t="shared" si="160"/>
        <v>2048</v>
      </c>
      <c r="C635" s="33" t="s">
        <v>8</v>
      </c>
      <c r="D635" s="34" t="s">
        <v>1999</v>
      </c>
      <c r="E635" s="35" t="str">
        <f t="shared" si="158"/>
        <v>PRBND'!</v>
      </c>
      <c r="F635" s="34" t="str">
        <f t="shared" si="159"/>
        <v>C:\Users\jaime.benazar\Quorum Business Solutions\Ecopetrol Prometeo - Documents\Planning Space Implementation\3. Analysis &amp; Design\Design\FC22\DRR Jaime\QUIFA-CAJÚA\Cajua\[CAJUA_CF_SEC_New_27-Feb-2024Rev3.xlsx]D-PRBND'!</v>
      </c>
      <c r="G635" s="32" t="s">
        <v>37</v>
      </c>
      <c r="H635" s="33"/>
      <c r="I635" s="33"/>
      <c r="J635" s="37"/>
    </row>
    <row r="636" spans="1:10" x14ac:dyDescent="0.25">
      <c r="A636" s="32" t="s">
        <v>101</v>
      </c>
      <c r="B636" s="32">
        <f t="shared" si="160"/>
        <v>2049</v>
      </c>
      <c r="C636" s="33" t="s">
        <v>8</v>
      </c>
      <c r="D636" s="34" t="s">
        <v>1999</v>
      </c>
      <c r="E636" s="35" t="str">
        <f t="shared" si="158"/>
        <v>PRBND'!</v>
      </c>
      <c r="F636" s="34" t="str">
        <f t="shared" si="159"/>
        <v>C:\Users\jaime.benazar\Quorum Business Solutions\Ecopetrol Prometeo - Documents\Planning Space Implementation\3. Analysis &amp; Design\Design\FC22\DRR Jaime\QUIFA-CAJÚA\Cajua\[CAJUA_CF_SEC_New_27-Feb-2024Rev3.xlsx]D-PRBND'!</v>
      </c>
      <c r="G636" s="32" t="s">
        <v>37</v>
      </c>
      <c r="H636" s="33"/>
      <c r="I636" s="33"/>
      <c r="J636" s="37"/>
    </row>
    <row r="637" spans="1:10" x14ac:dyDescent="0.25">
      <c r="A637" s="32" t="s">
        <v>101</v>
      </c>
      <c r="B637" s="32">
        <f t="shared" si="160"/>
        <v>2050</v>
      </c>
      <c r="C637" s="33" t="s">
        <v>8</v>
      </c>
      <c r="D637" s="34" t="s">
        <v>1999</v>
      </c>
      <c r="E637" s="35" t="str">
        <f t="shared" si="158"/>
        <v>PRBND'!</v>
      </c>
      <c r="F637" s="34" t="str">
        <f t="shared" si="159"/>
        <v>C:\Users\jaime.benazar\Quorum Business Solutions\Ecopetrol Prometeo - Documents\Planning Space Implementation\3. Analysis &amp; Design\Design\FC22\DRR Jaime\QUIFA-CAJÚA\Cajua\[CAJUA_CF_SEC_New_27-Feb-2024Rev3.xlsx]D-PRBND'!</v>
      </c>
      <c r="G637" s="32" t="s">
        <v>37</v>
      </c>
      <c r="H637" s="33"/>
      <c r="I637" s="33"/>
      <c r="J637" s="37"/>
    </row>
    <row r="638" spans="1:10" x14ac:dyDescent="0.25">
      <c r="A638" s="32" t="s">
        <v>101</v>
      </c>
      <c r="B638" s="32">
        <f t="shared" si="160"/>
        <v>2051</v>
      </c>
      <c r="C638" s="33" t="s">
        <v>8</v>
      </c>
      <c r="D638" s="34" t="s">
        <v>1999</v>
      </c>
      <c r="E638" s="35" t="str">
        <f t="shared" si="158"/>
        <v>PRBND'!</v>
      </c>
      <c r="F638" s="34" t="str">
        <f t="shared" si="159"/>
        <v>C:\Users\jaime.benazar\Quorum Business Solutions\Ecopetrol Prometeo - Documents\Planning Space Implementation\3. Analysis &amp; Design\Design\FC22\DRR Jaime\QUIFA-CAJÚA\Cajua\[CAJUA_CF_SEC_New_27-Feb-2024Rev3.xlsx]D-PRBND'!</v>
      </c>
      <c r="G638" s="32" t="s">
        <v>37</v>
      </c>
      <c r="H638" s="33"/>
      <c r="I638" s="33"/>
      <c r="J638" s="37"/>
    </row>
    <row r="639" spans="1:10" x14ac:dyDescent="0.25">
      <c r="A639" s="32" t="s">
        <v>101</v>
      </c>
      <c r="B639" s="32">
        <f t="shared" si="160"/>
        <v>2052</v>
      </c>
      <c r="C639" s="33" t="s">
        <v>8</v>
      </c>
      <c r="D639" s="34" t="s">
        <v>1999</v>
      </c>
      <c r="E639" s="35" t="str">
        <f t="shared" si="158"/>
        <v>PRBND'!</v>
      </c>
      <c r="F639" s="34" t="str">
        <f t="shared" si="159"/>
        <v>C:\Users\jaime.benazar\Quorum Business Solutions\Ecopetrol Prometeo - Documents\Planning Space Implementation\3. Analysis &amp; Design\Design\FC22\DRR Jaime\QUIFA-CAJÚA\Cajua\[CAJUA_CF_SEC_New_27-Feb-2024Rev3.xlsx]D-PRBND'!</v>
      </c>
      <c r="G639" s="32" t="s">
        <v>37</v>
      </c>
      <c r="H639" s="33"/>
      <c r="I639" s="33"/>
      <c r="J639" s="37"/>
    </row>
    <row r="640" spans="1:10" x14ac:dyDescent="0.25">
      <c r="A640" s="32" t="s">
        <v>101</v>
      </c>
      <c r="B640" s="32">
        <f t="shared" si="160"/>
        <v>2053</v>
      </c>
      <c r="C640" s="33" t="s">
        <v>8</v>
      </c>
      <c r="D640" s="34" t="s">
        <v>1999</v>
      </c>
      <c r="E640" s="35" t="str">
        <f t="shared" si="158"/>
        <v>PRBND'!</v>
      </c>
      <c r="F640" s="34" t="str">
        <f t="shared" si="159"/>
        <v>C:\Users\jaime.benazar\Quorum Business Solutions\Ecopetrol Prometeo - Documents\Planning Space Implementation\3. Analysis &amp; Design\Design\FC22\DRR Jaime\QUIFA-CAJÚA\Cajua\[CAJUA_CF_SEC_New_27-Feb-2024Rev3.xlsx]D-PRBND'!</v>
      </c>
      <c r="G640" s="32" t="s">
        <v>37</v>
      </c>
      <c r="H640" s="33"/>
      <c r="I640" s="33"/>
      <c r="J640" s="37"/>
    </row>
    <row r="641" spans="1:10" x14ac:dyDescent="0.25">
      <c r="A641" s="32" t="s">
        <v>101</v>
      </c>
      <c r="B641" s="32">
        <f t="shared" si="160"/>
        <v>2054</v>
      </c>
      <c r="C641" s="33" t="s">
        <v>8</v>
      </c>
      <c r="D641" s="34" t="s">
        <v>1999</v>
      </c>
      <c r="E641" s="35" t="str">
        <f t="shared" si="158"/>
        <v>PRBND'!</v>
      </c>
      <c r="F641" s="34" t="str">
        <f t="shared" si="159"/>
        <v>C:\Users\jaime.benazar\Quorum Business Solutions\Ecopetrol Prometeo - Documents\Planning Space Implementation\3. Analysis &amp; Design\Design\FC22\DRR Jaime\QUIFA-CAJÚA\Cajua\[CAJUA_CF_SEC_New_27-Feb-2024Rev3.xlsx]D-PRBND'!</v>
      </c>
      <c r="G641" s="32" t="s">
        <v>37</v>
      </c>
      <c r="H641" s="33"/>
      <c r="I641" s="33"/>
      <c r="J641" s="37"/>
    </row>
    <row r="642" spans="1:10" x14ac:dyDescent="0.25">
      <c r="A642" s="32" t="s">
        <v>101</v>
      </c>
      <c r="B642" s="32">
        <f t="shared" si="160"/>
        <v>2055</v>
      </c>
      <c r="C642" s="33" t="s">
        <v>8</v>
      </c>
      <c r="D642" s="34" t="s">
        <v>1999</v>
      </c>
      <c r="E642" s="35" t="str">
        <f t="shared" si="158"/>
        <v>PRBND'!</v>
      </c>
      <c r="F642" s="34" t="str">
        <f t="shared" si="159"/>
        <v>C:\Users\jaime.benazar\Quorum Business Solutions\Ecopetrol Prometeo - Documents\Planning Space Implementation\3. Analysis &amp; Design\Design\FC22\DRR Jaime\QUIFA-CAJÚA\Cajua\[CAJUA_CF_SEC_New_27-Feb-2024Rev3.xlsx]D-PRBND'!</v>
      </c>
      <c r="G642" s="32" t="s">
        <v>37</v>
      </c>
      <c r="H642" s="33"/>
      <c r="I642" s="33"/>
      <c r="J642" s="37"/>
    </row>
    <row r="643" spans="1:10" x14ac:dyDescent="0.25">
      <c r="A643" s="32" t="s">
        <v>101</v>
      </c>
      <c r="B643" s="32">
        <f t="shared" si="160"/>
        <v>2056</v>
      </c>
      <c r="C643" s="33" t="s">
        <v>8</v>
      </c>
      <c r="D643" s="34" t="s">
        <v>1999</v>
      </c>
      <c r="E643" s="35" t="str">
        <f t="shared" si="158"/>
        <v>PRBND'!</v>
      </c>
      <c r="F643" s="34" t="str">
        <f t="shared" si="159"/>
        <v>C:\Users\jaime.benazar\Quorum Business Solutions\Ecopetrol Prometeo - Documents\Planning Space Implementation\3. Analysis &amp; Design\Design\FC22\DRR Jaime\QUIFA-CAJÚA\Cajua\[CAJUA_CF_SEC_New_27-Feb-2024Rev3.xlsx]D-PRBND'!</v>
      </c>
      <c r="G643" s="32" t="s">
        <v>37</v>
      </c>
      <c r="H643" s="33"/>
      <c r="I643" s="33"/>
      <c r="J643" s="37"/>
    </row>
    <row r="644" spans="1:10" x14ac:dyDescent="0.25">
      <c r="A644" s="32" t="s">
        <v>101</v>
      </c>
      <c r="B644" s="32">
        <f t="shared" si="160"/>
        <v>2057</v>
      </c>
      <c r="C644" s="33" t="s">
        <v>8</v>
      </c>
      <c r="D644" s="34" t="s">
        <v>1999</v>
      </c>
      <c r="E644" s="35" t="str">
        <f t="shared" si="158"/>
        <v>PRBND'!</v>
      </c>
      <c r="F644" s="34" t="str">
        <f t="shared" si="159"/>
        <v>C:\Users\jaime.benazar\Quorum Business Solutions\Ecopetrol Prometeo - Documents\Planning Space Implementation\3. Analysis &amp; Design\Design\FC22\DRR Jaime\QUIFA-CAJÚA\Cajua\[CAJUA_CF_SEC_New_27-Feb-2024Rev3.xlsx]D-PRBND'!</v>
      </c>
      <c r="G644" s="32" t="s">
        <v>37</v>
      </c>
      <c r="H644" s="33"/>
      <c r="I644" s="33"/>
      <c r="J644" s="37"/>
    </row>
    <row r="645" spans="1:10" x14ac:dyDescent="0.25">
      <c r="A645" s="32" t="s">
        <v>101</v>
      </c>
      <c r="B645" s="32">
        <f t="shared" si="160"/>
        <v>2058</v>
      </c>
      <c r="C645" s="33" t="s">
        <v>8</v>
      </c>
      <c r="D645" s="34" t="s">
        <v>1999</v>
      </c>
      <c r="E645" s="35" t="str">
        <f t="shared" si="158"/>
        <v>PRBND'!</v>
      </c>
      <c r="F645" s="34" t="str">
        <f t="shared" si="159"/>
        <v>C:\Users\jaime.benazar\Quorum Business Solutions\Ecopetrol Prometeo - Documents\Planning Space Implementation\3. Analysis &amp; Design\Design\FC22\DRR Jaime\QUIFA-CAJÚA\Cajua\[CAJUA_CF_SEC_New_27-Feb-2024Rev3.xlsx]D-PRBND'!</v>
      </c>
      <c r="G645" s="32" t="s">
        <v>37</v>
      </c>
      <c r="H645" s="33"/>
      <c r="I645" s="33"/>
      <c r="J645" s="37"/>
    </row>
    <row r="646" spans="1:10" x14ac:dyDescent="0.25">
      <c r="A646" s="32" t="s">
        <v>101</v>
      </c>
      <c r="B646" s="32">
        <f t="shared" si="160"/>
        <v>2059</v>
      </c>
      <c r="C646" s="33" t="s">
        <v>8</v>
      </c>
      <c r="D646" s="34" t="s">
        <v>1999</v>
      </c>
      <c r="E646" s="35" t="str">
        <f t="shared" si="158"/>
        <v>PRBND'!</v>
      </c>
      <c r="F646" s="34" t="str">
        <f t="shared" si="159"/>
        <v>C:\Users\jaime.benazar\Quorum Business Solutions\Ecopetrol Prometeo - Documents\Planning Space Implementation\3. Analysis &amp; Design\Design\FC22\DRR Jaime\QUIFA-CAJÚA\Cajua\[CAJUA_CF_SEC_New_27-Feb-2024Rev3.xlsx]D-PRBND'!</v>
      </c>
      <c r="G646" s="32" t="s">
        <v>37</v>
      </c>
      <c r="H646" s="33"/>
      <c r="I646" s="33"/>
      <c r="J646" s="37"/>
    </row>
    <row r="647" spans="1:10" x14ac:dyDescent="0.25">
      <c r="A647" s="32" t="s">
        <v>28</v>
      </c>
      <c r="B647" s="32"/>
      <c r="C647" s="33" t="s">
        <v>8</v>
      </c>
      <c r="D647" s="34"/>
      <c r="E647" s="35"/>
      <c r="F647" s="34"/>
      <c r="G647" s="32"/>
      <c r="H647" s="33"/>
      <c r="I647" s="33"/>
      <c r="J647" s="33"/>
    </row>
    <row r="648" spans="1:10" x14ac:dyDescent="0.25">
      <c r="A648" s="32" t="s">
        <v>4</v>
      </c>
      <c r="B648" s="32">
        <v>2023</v>
      </c>
      <c r="C648" s="33" t="s">
        <v>8</v>
      </c>
      <c r="D648" s="34" t="s">
        <v>1999</v>
      </c>
      <c r="E648" s="35" t="str">
        <f t="shared" si="129"/>
        <v>PRB'!</v>
      </c>
      <c r="F648" s="34" t="str">
        <f t="shared" si="130"/>
        <v>C:\Users\jaime.benazar\Quorum Business Solutions\Ecopetrol Prometeo - Documents\Planning Space Implementation\3. Analysis &amp; Design\Design\FC22\DRR Jaime\QUIFA-CAJÚA\Cajua\[CAJUA_CF_SEC_New_27-Feb-2024Rev3.xlsx]D-PRB'!</v>
      </c>
      <c r="G648" s="32" t="s">
        <v>37</v>
      </c>
      <c r="H648" s="33">
        <v>12</v>
      </c>
      <c r="I648" s="33" t="str">
        <f t="shared" si="131"/>
        <v>='C:\Users\jaime.benazar\Quorum Business Solutions\Ecopetrol Prometeo - Documents\Planning Space Implementation\3. Analysis &amp; Design\Design\FC22\DRR Jaime\QUIFA-CAJÚA\Cajua\[CAJUA_CF_SEC_New_27-Feb-2024Rev3.xlsx]D-PRB'!$BW$12</v>
      </c>
      <c r="J648" s="37" t="s">
        <v>2296</v>
      </c>
    </row>
    <row r="649" spans="1:10" x14ac:dyDescent="0.25">
      <c r="A649" s="32" t="s">
        <v>4</v>
      </c>
      <c r="B649" s="32">
        <f>+B648+1</f>
        <v>2024</v>
      </c>
      <c r="C649" s="33" t="s">
        <v>8</v>
      </c>
      <c r="D649" s="34" t="s">
        <v>1999</v>
      </c>
      <c r="E649" s="35" t="str">
        <f t="shared" si="129"/>
        <v>PRB'!</v>
      </c>
      <c r="F649" s="34" t="str">
        <f t="shared" si="130"/>
        <v>C:\Users\jaime.benazar\Quorum Business Solutions\Ecopetrol Prometeo - Documents\Planning Space Implementation\3. Analysis &amp; Design\Design\FC22\DRR Jaime\QUIFA-CAJÚA\Cajua\[CAJUA_CF_SEC_New_27-Feb-2024Rev3.xlsx]D-PRB'!</v>
      </c>
      <c r="G649" s="32" t="s">
        <v>37</v>
      </c>
      <c r="H649" s="33">
        <f>IF(A649&lt;&gt;A648,12,H648+1)</f>
        <v>13</v>
      </c>
      <c r="I649" s="33" t="str">
        <f t="shared" si="131"/>
        <v>='C:\Users\jaime.benazar\Quorum Business Solutions\Ecopetrol Prometeo - Documents\Planning Space Implementation\3. Analysis &amp; Design\Design\FC22\DRR Jaime\QUIFA-CAJÚA\Cajua\[CAJUA_CF_SEC_New_27-Feb-2024Rev3.xlsx]D-PRB'!$BW$13</v>
      </c>
      <c r="J649" s="37" t="s">
        <v>2297</v>
      </c>
    </row>
    <row r="650" spans="1:10" x14ac:dyDescent="0.25">
      <c r="A650" s="32" t="s">
        <v>4</v>
      </c>
      <c r="B650" s="32">
        <f t="shared" ref="B650:B661" si="161">+B649+1</f>
        <v>2025</v>
      </c>
      <c r="C650" s="33" t="s">
        <v>8</v>
      </c>
      <c r="D650" s="34" t="s">
        <v>1999</v>
      </c>
      <c r="E650" s="35" t="str">
        <f t="shared" si="129"/>
        <v>PRB'!</v>
      </c>
      <c r="F650" s="34" t="str">
        <f t="shared" si="130"/>
        <v>C:\Users\jaime.benazar\Quorum Business Solutions\Ecopetrol Prometeo - Documents\Planning Space Implementation\3. Analysis &amp; Design\Design\FC22\DRR Jaime\QUIFA-CAJÚA\Cajua\[CAJUA_CF_SEC_New_27-Feb-2024Rev3.xlsx]D-PRB'!</v>
      </c>
      <c r="G650" s="32" t="s">
        <v>37</v>
      </c>
      <c r="H650" s="33">
        <f t="shared" ref="H650:H668" si="162">IF(A650&lt;&gt;A649,12,H649+1)</f>
        <v>14</v>
      </c>
      <c r="I650" s="33" t="str">
        <f t="shared" si="131"/>
        <v>='C:\Users\jaime.benazar\Quorum Business Solutions\Ecopetrol Prometeo - Documents\Planning Space Implementation\3. Analysis &amp; Design\Design\FC22\DRR Jaime\QUIFA-CAJÚA\Cajua\[CAJUA_CF_SEC_New_27-Feb-2024Rev3.xlsx]D-PRB'!$BW$14</v>
      </c>
      <c r="J650" s="37" t="s">
        <v>2298</v>
      </c>
    </row>
    <row r="651" spans="1:10" x14ac:dyDescent="0.25">
      <c r="A651" s="32" t="s">
        <v>4</v>
      </c>
      <c r="B651" s="32">
        <f t="shared" si="161"/>
        <v>2026</v>
      </c>
      <c r="C651" s="33" t="s">
        <v>8</v>
      </c>
      <c r="D651" s="34" t="s">
        <v>1999</v>
      </c>
      <c r="E651" s="35" t="str">
        <f t="shared" si="129"/>
        <v>PRB'!</v>
      </c>
      <c r="F651" s="34" t="str">
        <f t="shared" si="130"/>
        <v>C:\Users\jaime.benazar\Quorum Business Solutions\Ecopetrol Prometeo - Documents\Planning Space Implementation\3. Analysis &amp; Design\Design\FC22\DRR Jaime\QUIFA-CAJÚA\Cajua\[CAJUA_CF_SEC_New_27-Feb-2024Rev3.xlsx]D-PRB'!</v>
      </c>
      <c r="G651" s="32" t="s">
        <v>37</v>
      </c>
      <c r="H651" s="33">
        <f t="shared" si="162"/>
        <v>15</v>
      </c>
      <c r="I651" s="33" t="str">
        <f t="shared" si="131"/>
        <v>='C:\Users\jaime.benazar\Quorum Business Solutions\Ecopetrol Prometeo - Documents\Planning Space Implementation\3. Analysis &amp; Design\Design\FC22\DRR Jaime\QUIFA-CAJÚA\Cajua\[CAJUA_CF_SEC_New_27-Feb-2024Rev3.xlsx]D-PRB'!$BW$15</v>
      </c>
      <c r="J651" s="37" t="s">
        <v>2299</v>
      </c>
    </row>
    <row r="652" spans="1:10" x14ac:dyDescent="0.25">
      <c r="A652" s="32" t="s">
        <v>4</v>
      </c>
      <c r="B652" s="32">
        <f t="shared" si="161"/>
        <v>2027</v>
      </c>
      <c r="C652" s="33" t="s">
        <v>8</v>
      </c>
      <c r="D652" s="34" t="s">
        <v>1999</v>
      </c>
      <c r="E652" s="35" t="str">
        <f t="shared" si="129"/>
        <v>PRB'!</v>
      </c>
      <c r="F652" s="34" t="str">
        <f t="shared" si="130"/>
        <v>C:\Users\jaime.benazar\Quorum Business Solutions\Ecopetrol Prometeo - Documents\Planning Space Implementation\3. Analysis &amp; Design\Design\FC22\DRR Jaime\QUIFA-CAJÚA\Cajua\[CAJUA_CF_SEC_New_27-Feb-2024Rev3.xlsx]D-PRB'!</v>
      </c>
      <c r="G652" s="32" t="s">
        <v>37</v>
      </c>
      <c r="H652" s="33">
        <f t="shared" si="162"/>
        <v>16</v>
      </c>
      <c r="I652" s="33" t="str">
        <f t="shared" si="131"/>
        <v>='C:\Users\jaime.benazar\Quorum Business Solutions\Ecopetrol Prometeo - Documents\Planning Space Implementation\3. Analysis &amp; Design\Design\FC22\DRR Jaime\QUIFA-CAJÚA\Cajua\[CAJUA_CF_SEC_New_27-Feb-2024Rev3.xlsx]D-PRB'!$BW$16</v>
      </c>
      <c r="J652" s="37" t="s">
        <v>2300</v>
      </c>
    </row>
    <row r="653" spans="1:10" x14ac:dyDescent="0.25">
      <c r="A653" s="32" t="s">
        <v>4</v>
      </c>
      <c r="B653" s="32">
        <f t="shared" si="161"/>
        <v>2028</v>
      </c>
      <c r="C653" s="33" t="s">
        <v>8</v>
      </c>
      <c r="D653" s="34" t="s">
        <v>1999</v>
      </c>
      <c r="E653" s="35" t="str">
        <f t="shared" si="129"/>
        <v>PRB'!</v>
      </c>
      <c r="F653" s="34" t="str">
        <f t="shared" si="130"/>
        <v>C:\Users\jaime.benazar\Quorum Business Solutions\Ecopetrol Prometeo - Documents\Planning Space Implementation\3. Analysis &amp; Design\Design\FC22\DRR Jaime\QUIFA-CAJÚA\Cajua\[CAJUA_CF_SEC_New_27-Feb-2024Rev3.xlsx]D-PRB'!</v>
      </c>
      <c r="G653" s="32" t="s">
        <v>37</v>
      </c>
      <c r="H653" s="33">
        <f t="shared" si="162"/>
        <v>17</v>
      </c>
      <c r="I653" s="33" t="str">
        <f t="shared" si="131"/>
        <v>='C:\Users\jaime.benazar\Quorum Business Solutions\Ecopetrol Prometeo - Documents\Planning Space Implementation\3. Analysis &amp; Design\Design\FC22\DRR Jaime\QUIFA-CAJÚA\Cajua\[CAJUA_CF_SEC_New_27-Feb-2024Rev3.xlsx]D-PRB'!$BW$17</v>
      </c>
      <c r="J653" s="37" t="s">
        <v>2301</v>
      </c>
    </row>
    <row r="654" spans="1:10" x14ac:dyDescent="0.25">
      <c r="A654" s="32" t="s">
        <v>4</v>
      </c>
      <c r="B654" s="32">
        <f t="shared" si="161"/>
        <v>2029</v>
      </c>
      <c r="C654" s="33" t="s">
        <v>8</v>
      </c>
      <c r="D654" s="34" t="s">
        <v>1999</v>
      </c>
      <c r="E654" s="35" t="str">
        <f t="shared" si="129"/>
        <v>PRB'!</v>
      </c>
      <c r="F654" s="34" t="str">
        <f t="shared" si="130"/>
        <v>C:\Users\jaime.benazar\Quorum Business Solutions\Ecopetrol Prometeo - Documents\Planning Space Implementation\3. Analysis &amp; Design\Design\FC22\DRR Jaime\QUIFA-CAJÚA\Cajua\[CAJUA_CF_SEC_New_27-Feb-2024Rev3.xlsx]D-PRB'!</v>
      </c>
      <c r="G654" s="32" t="s">
        <v>37</v>
      </c>
      <c r="H654" s="33">
        <f t="shared" si="162"/>
        <v>18</v>
      </c>
      <c r="I654" s="33" t="str">
        <f t="shared" si="131"/>
        <v>='C:\Users\jaime.benazar\Quorum Business Solutions\Ecopetrol Prometeo - Documents\Planning Space Implementation\3. Analysis &amp; Design\Design\FC22\DRR Jaime\QUIFA-CAJÚA\Cajua\[CAJUA_CF_SEC_New_27-Feb-2024Rev3.xlsx]D-PRB'!$BW$18</v>
      </c>
      <c r="J654" s="37" t="s">
        <v>2302</v>
      </c>
    </row>
    <row r="655" spans="1:10" x14ac:dyDescent="0.25">
      <c r="A655" s="32" t="s">
        <v>4</v>
      </c>
      <c r="B655" s="32">
        <f t="shared" si="161"/>
        <v>2030</v>
      </c>
      <c r="C655" s="33" t="s">
        <v>8</v>
      </c>
      <c r="D655" s="34" t="s">
        <v>1999</v>
      </c>
      <c r="E655" s="35" t="str">
        <f t="shared" si="129"/>
        <v>PRB'!</v>
      </c>
      <c r="F655" s="34" t="str">
        <f t="shared" si="130"/>
        <v>C:\Users\jaime.benazar\Quorum Business Solutions\Ecopetrol Prometeo - Documents\Planning Space Implementation\3. Analysis &amp; Design\Design\FC22\DRR Jaime\QUIFA-CAJÚA\Cajua\[CAJUA_CF_SEC_New_27-Feb-2024Rev3.xlsx]D-PRB'!</v>
      </c>
      <c r="G655" s="32" t="s">
        <v>37</v>
      </c>
      <c r="H655" s="33">
        <f t="shared" si="162"/>
        <v>19</v>
      </c>
      <c r="I655" s="33" t="str">
        <f t="shared" si="131"/>
        <v>='C:\Users\jaime.benazar\Quorum Business Solutions\Ecopetrol Prometeo - Documents\Planning Space Implementation\3. Analysis &amp; Design\Design\FC22\DRR Jaime\QUIFA-CAJÚA\Cajua\[CAJUA_CF_SEC_New_27-Feb-2024Rev3.xlsx]D-PRB'!$BW$19</v>
      </c>
      <c r="J655" s="37" t="s">
        <v>2303</v>
      </c>
    </row>
    <row r="656" spans="1:10" x14ac:dyDescent="0.25">
      <c r="A656" s="32" t="s">
        <v>4</v>
      </c>
      <c r="B656" s="32">
        <f t="shared" si="161"/>
        <v>2031</v>
      </c>
      <c r="C656" s="33" t="s">
        <v>8</v>
      </c>
      <c r="D656" s="34" t="s">
        <v>1999</v>
      </c>
      <c r="E656" s="35" t="str">
        <f t="shared" si="129"/>
        <v>PRB'!</v>
      </c>
      <c r="F656" s="34" t="str">
        <f t="shared" si="130"/>
        <v>C:\Users\jaime.benazar\Quorum Business Solutions\Ecopetrol Prometeo - Documents\Planning Space Implementation\3. Analysis &amp; Design\Design\FC22\DRR Jaime\QUIFA-CAJÚA\Cajua\[CAJUA_CF_SEC_New_27-Feb-2024Rev3.xlsx]D-PRB'!</v>
      </c>
      <c r="G656" s="32" t="s">
        <v>37</v>
      </c>
      <c r="H656" s="33">
        <f t="shared" si="162"/>
        <v>20</v>
      </c>
      <c r="I656" s="33" t="str">
        <f t="shared" si="131"/>
        <v>='C:\Users\jaime.benazar\Quorum Business Solutions\Ecopetrol Prometeo - Documents\Planning Space Implementation\3. Analysis &amp; Design\Design\FC22\DRR Jaime\QUIFA-CAJÚA\Cajua\[CAJUA_CF_SEC_New_27-Feb-2024Rev3.xlsx]D-PRB'!$BW$20</v>
      </c>
      <c r="J656" s="37" t="s">
        <v>2304</v>
      </c>
    </row>
    <row r="657" spans="1:10" x14ac:dyDescent="0.25">
      <c r="A657" s="32" t="s">
        <v>4</v>
      </c>
      <c r="B657" s="32">
        <f t="shared" si="161"/>
        <v>2032</v>
      </c>
      <c r="C657" s="33" t="s">
        <v>8</v>
      </c>
      <c r="D657" s="34" t="s">
        <v>1999</v>
      </c>
      <c r="E657" s="35" t="str">
        <f t="shared" si="129"/>
        <v>PRB'!</v>
      </c>
      <c r="F657" s="34" t="str">
        <f t="shared" si="130"/>
        <v>C:\Users\jaime.benazar\Quorum Business Solutions\Ecopetrol Prometeo - Documents\Planning Space Implementation\3. Analysis &amp; Design\Design\FC22\DRR Jaime\QUIFA-CAJÚA\Cajua\[CAJUA_CF_SEC_New_27-Feb-2024Rev3.xlsx]D-PRB'!</v>
      </c>
      <c r="G657" s="32" t="s">
        <v>37</v>
      </c>
      <c r="H657" s="33">
        <f t="shared" si="162"/>
        <v>21</v>
      </c>
      <c r="I657" s="33" t="str">
        <f t="shared" si="131"/>
        <v>='C:\Users\jaime.benazar\Quorum Business Solutions\Ecopetrol Prometeo - Documents\Planning Space Implementation\3. Analysis &amp; Design\Design\FC22\DRR Jaime\QUIFA-CAJÚA\Cajua\[CAJUA_CF_SEC_New_27-Feb-2024Rev3.xlsx]D-PRB'!$BW$21</v>
      </c>
      <c r="J657" s="37" t="s">
        <v>2305</v>
      </c>
    </row>
    <row r="658" spans="1:10" x14ac:dyDescent="0.25">
      <c r="A658" s="32" t="s">
        <v>4</v>
      </c>
      <c r="B658" s="32">
        <f t="shared" si="161"/>
        <v>2033</v>
      </c>
      <c r="C658" s="33" t="s">
        <v>8</v>
      </c>
      <c r="D658" s="34" t="s">
        <v>1999</v>
      </c>
      <c r="E658" s="35" t="str">
        <f t="shared" si="129"/>
        <v>PRB'!</v>
      </c>
      <c r="F658" s="34" t="str">
        <f t="shared" si="130"/>
        <v>C:\Users\jaime.benazar\Quorum Business Solutions\Ecopetrol Prometeo - Documents\Planning Space Implementation\3. Analysis &amp; Design\Design\FC22\DRR Jaime\QUIFA-CAJÚA\Cajua\[CAJUA_CF_SEC_New_27-Feb-2024Rev3.xlsx]D-PRB'!</v>
      </c>
      <c r="G658" s="32" t="s">
        <v>37</v>
      </c>
      <c r="H658" s="33">
        <f t="shared" si="162"/>
        <v>22</v>
      </c>
      <c r="I658" s="33" t="str">
        <f t="shared" si="131"/>
        <v>='C:\Users\jaime.benazar\Quorum Business Solutions\Ecopetrol Prometeo - Documents\Planning Space Implementation\3. Analysis &amp; Design\Design\FC22\DRR Jaime\QUIFA-CAJÚA\Cajua\[CAJUA_CF_SEC_New_27-Feb-2024Rev3.xlsx]D-PRB'!$BW$22</v>
      </c>
      <c r="J658" s="37" t="s">
        <v>2306</v>
      </c>
    </row>
    <row r="659" spans="1:10" x14ac:dyDescent="0.25">
      <c r="A659" s="32" t="s">
        <v>4</v>
      </c>
      <c r="B659" s="32">
        <f t="shared" si="161"/>
        <v>2034</v>
      </c>
      <c r="C659" s="33" t="s">
        <v>8</v>
      </c>
      <c r="D659" s="34" t="s">
        <v>1999</v>
      </c>
      <c r="E659" s="35" t="str">
        <f t="shared" si="129"/>
        <v>PRB'!</v>
      </c>
      <c r="F659" s="34" t="str">
        <f t="shared" si="130"/>
        <v>C:\Users\jaime.benazar\Quorum Business Solutions\Ecopetrol Prometeo - Documents\Planning Space Implementation\3. Analysis &amp; Design\Design\FC22\DRR Jaime\QUIFA-CAJÚA\Cajua\[CAJUA_CF_SEC_New_27-Feb-2024Rev3.xlsx]D-PRB'!</v>
      </c>
      <c r="G659" s="32" t="s">
        <v>37</v>
      </c>
      <c r="H659" s="33">
        <f t="shared" si="162"/>
        <v>23</v>
      </c>
      <c r="I659" s="33" t="str">
        <f t="shared" si="131"/>
        <v>='C:\Users\jaime.benazar\Quorum Business Solutions\Ecopetrol Prometeo - Documents\Planning Space Implementation\3. Analysis &amp; Design\Design\FC22\DRR Jaime\QUIFA-CAJÚA\Cajua\[CAJUA_CF_SEC_New_27-Feb-2024Rev3.xlsx]D-PRB'!$BW$23</v>
      </c>
      <c r="J659" s="37" t="s">
        <v>2307</v>
      </c>
    </row>
    <row r="660" spans="1:10" x14ac:dyDescent="0.25">
      <c r="A660" s="32" t="s">
        <v>4</v>
      </c>
      <c r="B660" s="32">
        <f t="shared" si="161"/>
        <v>2035</v>
      </c>
      <c r="C660" s="33" t="s">
        <v>8</v>
      </c>
      <c r="D660" s="34" t="s">
        <v>1999</v>
      </c>
      <c r="E660" s="35" t="str">
        <f t="shared" si="129"/>
        <v>PRB'!</v>
      </c>
      <c r="F660" s="34" t="str">
        <f t="shared" si="130"/>
        <v>C:\Users\jaime.benazar\Quorum Business Solutions\Ecopetrol Prometeo - Documents\Planning Space Implementation\3. Analysis &amp; Design\Design\FC22\DRR Jaime\QUIFA-CAJÚA\Cajua\[CAJUA_CF_SEC_New_27-Feb-2024Rev3.xlsx]D-PRB'!</v>
      </c>
      <c r="G660" s="32" t="s">
        <v>37</v>
      </c>
      <c r="H660" s="33">
        <f t="shared" si="162"/>
        <v>24</v>
      </c>
      <c r="I660" s="33" t="str">
        <f t="shared" si="131"/>
        <v>='C:\Users\jaime.benazar\Quorum Business Solutions\Ecopetrol Prometeo - Documents\Planning Space Implementation\3. Analysis &amp; Design\Design\FC22\DRR Jaime\QUIFA-CAJÚA\Cajua\[CAJUA_CF_SEC_New_27-Feb-2024Rev3.xlsx]D-PRB'!$BW$24</v>
      </c>
      <c r="J660" s="37" t="s">
        <v>2308</v>
      </c>
    </row>
    <row r="661" spans="1:10" x14ac:dyDescent="0.25">
      <c r="A661" s="32" t="s">
        <v>4</v>
      </c>
      <c r="B661" s="32">
        <f t="shared" si="161"/>
        <v>2036</v>
      </c>
      <c r="C661" s="33" t="s">
        <v>8</v>
      </c>
      <c r="D661" s="34" t="s">
        <v>1999</v>
      </c>
      <c r="E661" s="35" t="str">
        <f t="shared" si="129"/>
        <v>PRB'!</v>
      </c>
      <c r="F661" s="34" t="str">
        <f t="shared" si="130"/>
        <v>C:\Users\jaime.benazar\Quorum Business Solutions\Ecopetrol Prometeo - Documents\Planning Space Implementation\3. Analysis &amp; Design\Design\FC22\DRR Jaime\QUIFA-CAJÚA\Cajua\[CAJUA_CF_SEC_New_27-Feb-2024Rev3.xlsx]D-PRB'!</v>
      </c>
      <c r="G661" s="32" t="s">
        <v>37</v>
      </c>
      <c r="H661" s="33">
        <f t="shared" si="162"/>
        <v>25</v>
      </c>
      <c r="I661" s="33" t="str">
        <f t="shared" si="131"/>
        <v>='C:\Users\jaime.benazar\Quorum Business Solutions\Ecopetrol Prometeo - Documents\Planning Space Implementation\3. Analysis &amp; Design\Design\FC22\DRR Jaime\QUIFA-CAJÚA\Cajua\[CAJUA_CF_SEC_New_27-Feb-2024Rev3.xlsx]D-PRB'!$BW$25</v>
      </c>
      <c r="J661" s="37" t="s">
        <v>2309</v>
      </c>
    </row>
    <row r="662" spans="1:10" x14ac:dyDescent="0.25">
      <c r="A662" s="32" t="s">
        <v>4</v>
      </c>
      <c r="B662" s="32">
        <f>+B661+1</f>
        <v>2037</v>
      </c>
      <c r="C662" s="33" t="s">
        <v>8</v>
      </c>
      <c r="D662" s="34" t="s">
        <v>1999</v>
      </c>
      <c r="E662" s="35" t="str">
        <f t="shared" si="129"/>
        <v>PRB'!</v>
      </c>
      <c r="F662" s="34" t="str">
        <f t="shared" si="130"/>
        <v>C:\Users\jaime.benazar\Quorum Business Solutions\Ecopetrol Prometeo - Documents\Planning Space Implementation\3. Analysis &amp; Design\Design\FC22\DRR Jaime\QUIFA-CAJÚA\Cajua\[CAJUA_CF_SEC_New_27-Feb-2024Rev3.xlsx]D-PRB'!</v>
      </c>
      <c r="G662" s="32" t="s">
        <v>37</v>
      </c>
      <c r="H662" s="33">
        <f t="shared" si="162"/>
        <v>26</v>
      </c>
      <c r="I662" s="33" t="str">
        <f t="shared" si="131"/>
        <v>='C:\Users\jaime.benazar\Quorum Business Solutions\Ecopetrol Prometeo - Documents\Planning Space Implementation\3. Analysis &amp; Design\Design\FC22\DRR Jaime\QUIFA-CAJÚA\Cajua\[CAJUA_CF_SEC_New_27-Feb-2024Rev3.xlsx]D-PRB'!$BW$26</v>
      </c>
      <c r="J662" s="37" t="s">
        <v>2310</v>
      </c>
    </row>
    <row r="663" spans="1:10" x14ac:dyDescent="0.25">
      <c r="A663" s="32" t="s">
        <v>4</v>
      </c>
      <c r="B663" s="32">
        <f t="shared" ref="B663:B665" si="163">+B662+1</f>
        <v>2038</v>
      </c>
      <c r="C663" s="33" t="s">
        <v>8</v>
      </c>
      <c r="D663" s="34" t="s">
        <v>1999</v>
      </c>
      <c r="E663" s="35" t="str">
        <f t="shared" si="129"/>
        <v>PRB'!</v>
      </c>
      <c r="F663" s="34" t="str">
        <f t="shared" si="130"/>
        <v>C:\Users\jaime.benazar\Quorum Business Solutions\Ecopetrol Prometeo - Documents\Planning Space Implementation\3. Analysis &amp; Design\Design\FC22\DRR Jaime\QUIFA-CAJÚA\Cajua\[CAJUA_CF_SEC_New_27-Feb-2024Rev3.xlsx]D-PRB'!</v>
      </c>
      <c r="G663" s="32" t="s">
        <v>37</v>
      </c>
      <c r="H663" s="33">
        <f t="shared" si="162"/>
        <v>27</v>
      </c>
      <c r="I663" s="33" t="str">
        <f t="shared" si="131"/>
        <v>='C:\Users\jaime.benazar\Quorum Business Solutions\Ecopetrol Prometeo - Documents\Planning Space Implementation\3. Analysis &amp; Design\Design\FC22\DRR Jaime\QUIFA-CAJÚA\Cajua\[CAJUA_CF_SEC_New_27-Feb-2024Rev3.xlsx]D-PRB'!$BW$27</v>
      </c>
      <c r="J663" s="37" t="s">
        <v>2311</v>
      </c>
    </row>
    <row r="664" spans="1:10" x14ac:dyDescent="0.25">
      <c r="A664" s="32" t="s">
        <v>4</v>
      </c>
      <c r="B664" s="32">
        <f t="shared" si="163"/>
        <v>2039</v>
      </c>
      <c r="C664" s="33" t="s">
        <v>8</v>
      </c>
      <c r="D664" s="34" t="s">
        <v>1999</v>
      </c>
      <c r="E664" s="35" t="str">
        <f t="shared" si="129"/>
        <v>PRB'!</v>
      </c>
      <c r="F664" s="34" t="str">
        <f t="shared" si="130"/>
        <v>C:\Users\jaime.benazar\Quorum Business Solutions\Ecopetrol Prometeo - Documents\Planning Space Implementation\3. Analysis &amp; Design\Design\FC22\DRR Jaime\QUIFA-CAJÚA\Cajua\[CAJUA_CF_SEC_New_27-Feb-2024Rev3.xlsx]D-PRB'!</v>
      </c>
      <c r="G664" s="32" t="s">
        <v>37</v>
      </c>
      <c r="H664" s="33">
        <f t="shared" si="162"/>
        <v>28</v>
      </c>
      <c r="I664" s="33" t="str">
        <f t="shared" si="131"/>
        <v>='C:\Users\jaime.benazar\Quorum Business Solutions\Ecopetrol Prometeo - Documents\Planning Space Implementation\3. Analysis &amp; Design\Design\FC22\DRR Jaime\QUIFA-CAJÚA\Cajua\[CAJUA_CF_SEC_New_27-Feb-2024Rev3.xlsx]D-PRB'!$BW$28</v>
      </c>
      <c r="J664" s="37" t="s">
        <v>2312</v>
      </c>
    </row>
    <row r="665" spans="1:10" x14ac:dyDescent="0.25">
      <c r="A665" s="32" t="s">
        <v>4</v>
      </c>
      <c r="B665" s="32">
        <f t="shared" si="163"/>
        <v>2040</v>
      </c>
      <c r="C665" s="33" t="s">
        <v>8</v>
      </c>
      <c r="D665" s="34" t="s">
        <v>1999</v>
      </c>
      <c r="E665" s="35" t="str">
        <f t="shared" si="129"/>
        <v>PRB'!</v>
      </c>
      <c r="F665" s="34" t="str">
        <f t="shared" si="130"/>
        <v>C:\Users\jaime.benazar\Quorum Business Solutions\Ecopetrol Prometeo - Documents\Planning Space Implementation\3. Analysis &amp; Design\Design\FC22\DRR Jaime\QUIFA-CAJÚA\Cajua\[CAJUA_CF_SEC_New_27-Feb-2024Rev3.xlsx]D-PRB'!</v>
      </c>
      <c r="G665" s="32" t="s">
        <v>37</v>
      </c>
      <c r="H665" s="33">
        <f t="shared" si="162"/>
        <v>29</v>
      </c>
      <c r="I665" s="33" t="str">
        <f t="shared" si="131"/>
        <v>='C:\Users\jaime.benazar\Quorum Business Solutions\Ecopetrol Prometeo - Documents\Planning Space Implementation\3. Analysis &amp; Design\Design\FC22\DRR Jaime\QUIFA-CAJÚA\Cajua\[CAJUA_CF_SEC_New_27-Feb-2024Rev3.xlsx]D-PRB'!$BW$29</v>
      </c>
      <c r="J665" s="37" t="s">
        <v>2313</v>
      </c>
    </row>
    <row r="666" spans="1:10" x14ac:dyDescent="0.25">
      <c r="A666" s="32" t="s">
        <v>4</v>
      </c>
      <c r="B666" s="32">
        <f>+B665+1</f>
        <v>2041</v>
      </c>
      <c r="C666" s="33" t="s">
        <v>8</v>
      </c>
      <c r="D666" s="34" t="s">
        <v>1999</v>
      </c>
      <c r="E666" s="35" t="str">
        <f t="shared" si="129"/>
        <v>PRB'!</v>
      </c>
      <c r="F666" s="34" t="str">
        <f t="shared" si="130"/>
        <v>C:\Users\jaime.benazar\Quorum Business Solutions\Ecopetrol Prometeo - Documents\Planning Space Implementation\3. Analysis &amp; Design\Design\FC22\DRR Jaime\QUIFA-CAJÚA\Cajua\[CAJUA_CF_SEC_New_27-Feb-2024Rev3.xlsx]D-PRB'!</v>
      </c>
      <c r="G666" s="32" t="s">
        <v>37</v>
      </c>
      <c r="H666" s="33">
        <f t="shared" si="162"/>
        <v>30</v>
      </c>
      <c r="I666" s="33" t="str">
        <f t="shared" si="131"/>
        <v>='C:\Users\jaime.benazar\Quorum Business Solutions\Ecopetrol Prometeo - Documents\Planning Space Implementation\3. Analysis &amp; Design\Design\FC22\DRR Jaime\QUIFA-CAJÚA\Cajua\[CAJUA_CF_SEC_New_27-Feb-2024Rev3.xlsx]D-PRB'!$BW$30</v>
      </c>
      <c r="J666" s="37" t="s">
        <v>2314</v>
      </c>
    </row>
    <row r="667" spans="1:10" x14ac:dyDescent="0.25">
      <c r="A667" s="32" t="s">
        <v>4</v>
      </c>
      <c r="B667" s="32">
        <f t="shared" ref="B667:B668" si="164">+B666+1</f>
        <v>2042</v>
      </c>
      <c r="C667" s="33" t="s">
        <v>8</v>
      </c>
      <c r="D667" s="34" t="s">
        <v>1999</v>
      </c>
      <c r="E667" s="35" t="str">
        <f t="shared" si="129"/>
        <v>PRB'!</v>
      </c>
      <c r="F667" s="34" t="str">
        <f t="shared" si="130"/>
        <v>C:\Users\jaime.benazar\Quorum Business Solutions\Ecopetrol Prometeo - Documents\Planning Space Implementation\3. Analysis &amp; Design\Design\FC22\DRR Jaime\QUIFA-CAJÚA\Cajua\[CAJUA_CF_SEC_New_27-Feb-2024Rev3.xlsx]D-PRB'!</v>
      </c>
      <c r="G667" s="32" t="s">
        <v>37</v>
      </c>
      <c r="H667" s="33">
        <f t="shared" si="162"/>
        <v>31</v>
      </c>
      <c r="I667" s="33" t="str">
        <f t="shared" si="131"/>
        <v>='C:\Users\jaime.benazar\Quorum Business Solutions\Ecopetrol Prometeo - Documents\Planning Space Implementation\3. Analysis &amp; Design\Design\FC22\DRR Jaime\QUIFA-CAJÚA\Cajua\[CAJUA_CF_SEC_New_27-Feb-2024Rev3.xlsx]D-PRB'!$BW$31</v>
      </c>
      <c r="J667" s="37" t="s">
        <v>2315</v>
      </c>
    </row>
    <row r="668" spans="1:10" x14ac:dyDescent="0.25">
      <c r="A668" s="32" t="s">
        <v>4</v>
      </c>
      <c r="B668" s="32">
        <f t="shared" si="164"/>
        <v>2043</v>
      </c>
      <c r="C668" s="33" t="s">
        <v>8</v>
      </c>
      <c r="D668" s="34" t="s">
        <v>1999</v>
      </c>
      <c r="E668" s="35" t="str">
        <f t="shared" si="129"/>
        <v>PRB'!</v>
      </c>
      <c r="F668" s="34" t="str">
        <f t="shared" si="130"/>
        <v>C:\Users\jaime.benazar\Quorum Business Solutions\Ecopetrol Prometeo - Documents\Planning Space Implementation\3. Analysis &amp; Design\Design\FC22\DRR Jaime\QUIFA-CAJÚA\Cajua\[CAJUA_CF_SEC_New_27-Feb-2024Rev3.xlsx]D-PRB'!</v>
      </c>
      <c r="G668" s="32" t="s">
        <v>37</v>
      </c>
      <c r="H668" s="33">
        <f t="shared" si="162"/>
        <v>32</v>
      </c>
      <c r="I668" s="33" t="str">
        <f t="shared" si="131"/>
        <v>='C:\Users\jaime.benazar\Quorum Business Solutions\Ecopetrol Prometeo - Documents\Planning Space Implementation\3. Analysis &amp; Design\Design\FC22\DRR Jaime\QUIFA-CAJÚA\Cajua\[CAJUA_CF_SEC_New_27-Feb-2024Rev3.xlsx]D-PRB'!$BW$32</v>
      </c>
      <c r="J668" s="37" t="s">
        <v>2316</v>
      </c>
    </row>
    <row r="669" spans="1:10" x14ac:dyDescent="0.25">
      <c r="A669" s="32" t="s">
        <v>4</v>
      </c>
      <c r="B669" s="32">
        <f>+B668+1</f>
        <v>2044</v>
      </c>
      <c r="C669" s="33" t="s">
        <v>8</v>
      </c>
      <c r="D669" s="34" t="s">
        <v>1999</v>
      </c>
      <c r="E669" s="35" t="str">
        <f t="shared" ref="E669:E684" si="165">_xlfn.CONCAT(A669,"'!")</f>
        <v>PRB'!</v>
      </c>
      <c r="F669" s="34" t="str">
        <f t="shared" ref="F669:F684" si="166">_xlfn.CONCAT(D669:E669)</f>
        <v>C:\Users\jaime.benazar\Quorum Business Solutions\Ecopetrol Prometeo - Documents\Planning Space Implementation\3. Analysis &amp; Design\Design\FC22\DRR Jaime\QUIFA-CAJÚA\Cajua\[CAJUA_CF_SEC_New_27-Feb-2024Rev3.xlsx]D-PRB'!</v>
      </c>
      <c r="G669" s="32" t="s">
        <v>37</v>
      </c>
      <c r="H669" s="33">
        <f t="shared" ref="H669:H684" si="167">IF(A669&lt;&gt;A668,12,H668+1)</f>
        <v>33</v>
      </c>
      <c r="I669" s="33" t="str">
        <f t="shared" ref="I669:I684" si="168">_xlfn.CONCAT("='",F669:H669)</f>
        <v>='C:\Users\jaime.benazar\Quorum Business Solutions\Ecopetrol Prometeo - Documents\Planning Space Implementation\3. Analysis &amp; Design\Design\FC22\DRR Jaime\QUIFA-CAJÚA\Cajua\[CAJUA_CF_SEC_New_27-Feb-2024Rev3.xlsx]D-PRB'!$BW$33</v>
      </c>
      <c r="J669" s="37" t="s">
        <v>2317</v>
      </c>
    </row>
    <row r="670" spans="1:10" x14ac:dyDescent="0.25">
      <c r="A670" s="32" t="s">
        <v>4</v>
      </c>
      <c r="B670" s="32">
        <f t="shared" ref="B670:B684" si="169">+B669+1</f>
        <v>2045</v>
      </c>
      <c r="C670" s="33" t="s">
        <v>8</v>
      </c>
      <c r="D670" s="34" t="s">
        <v>1999</v>
      </c>
      <c r="E670" s="35" t="str">
        <f t="shared" si="165"/>
        <v>PRB'!</v>
      </c>
      <c r="F670" s="34" t="str">
        <f t="shared" si="166"/>
        <v>C:\Users\jaime.benazar\Quorum Business Solutions\Ecopetrol Prometeo - Documents\Planning Space Implementation\3. Analysis &amp; Design\Design\FC22\DRR Jaime\QUIFA-CAJÚA\Cajua\[CAJUA_CF_SEC_New_27-Feb-2024Rev3.xlsx]D-PRB'!</v>
      </c>
      <c r="G670" s="32" t="s">
        <v>37</v>
      </c>
      <c r="H670" s="33">
        <f t="shared" si="167"/>
        <v>34</v>
      </c>
      <c r="I670" s="33" t="str">
        <f t="shared" si="168"/>
        <v>='C:\Users\jaime.benazar\Quorum Business Solutions\Ecopetrol Prometeo - Documents\Planning Space Implementation\3. Analysis &amp; Design\Design\FC22\DRR Jaime\QUIFA-CAJÚA\Cajua\[CAJUA_CF_SEC_New_27-Feb-2024Rev3.xlsx]D-PRB'!$BW$34</v>
      </c>
      <c r="J670" s="37" t="s">
        <v>2318</v>
      </c>
    </row>
    <row r="671" spans="1:10" x14ac:dyDescent="0.25">
      <c r="A671" s="32" t="s">
        <v>4</v>
      </c>
      <c r="B671" s="32">
        <f t="shared" si="169"/>
        <v>2046</v>
      </c>
      <c r="C671" s="33" t="s">
        <v>8</v>
      </c>
      <c r="D671" s="34" t="s">
        <v>1999</v>
      </c>
      <c r="E671" s="35" t="str">
        <f t="shared" si="165"/>
        <v>PRB'!</v>
      </c>
      <c r="F671" s="34" t="str">
        <f t="shared" si="166"/>
        <v>C:\Users\jaime.benazar\Quorum Business Solutions\Ecopetrol Prometeo - Documents\Planning Space Implementation\3. Analysis &amp; Design\Design\FC22\DRR Jaime\QUIFA-CAJÚA\Cajua\[CAJUA_CF_SEC_New_27-Feb-2024Rev3.xlsx]D-PRB'!</v>
      </c>
      <c r="G671" s="32" t="s">
        <v>37</v>
      </c>
      <c r="H671" s="33">
        <f t="shared" si="167"/>
        <v>35</v>
      </c>
      <c r="I671" s="33" t="str">
        <f t="shared" si="168"/>
        <v>='C:\Users\jaime.benazar\Quorum Business Solutions\Ecopetrol Prometeo - Documents\Planning Space Implementation\3. Analysis &amp; Design\Design\FC22\DRR Jaime\QUIFA-CAJÚA\Cajua\[CAJUA_CF_SEC_New_27-Feb-2024Rev3.xlsx]D-PRB'!$BW$35</v>
      </c>
      <c r="J671" s="37" t="s">
        <v>2319</v>
      </c>
    </row>
    <row r="672" spans="1:10" x14ac:dyDescent="0.25">
      <c r="A672" s="32" t="s">
        <v>4</v>
      </c>
      <c r="B672" s="32">
        <f t="shared" si="169"/>
        <v>2047</v>
      </c>
      <c r="C672" s="33" t="s">
        <v>8</v>
      </c>
      <c r="D672" s="34" t="s">
        <v>1999</v>
      </c>
      <c r="E672" s="35" t="str">
        <f t="shared" si="165"/>
        <v>PRB'!</v>
      </c>
      <c r="F672" s="34" t="str">
        <f t="shared" si="166"/>
        <v>C:\Users\jaime.benazar\Quorum Business Solutions\Ecopetrol Prometeo - Documents\Planning Space Implementation\3. Analysis &amp; Design\Design\FC22\DRR Jaime\QUIFA-CAJÚA\Cajua\[CAJUA_CF_SEC_New_27-Feb-2024Rev3.xlsx]D-PRB'!</v>
      </c>
      <c r="G672" s="32" t="s">
        <v>37</v>
      </c>
      <c r="H672" s="33">
        <f t="shared" si="167"/>
        <v>36</v>
      </c>
      <c r="I672" s="33" t="str">
        <f t="shared" si="168"/>
        <v>='C:\Users\jaime.benazar\Quorum Business Solutions\Ecopetrol Prometeo - Documents\Planning Space Implementation\3. Analysis &amp; Design\Design\FC22\DRR Jaime\QUIFA-CAJÚA\Cajua\[CAJUA_CF_SEC_New_27-Feb-2024Rev3.xlsx]D-PRB'!$BW$36</v>
      </c>
      <c r="J672" s="37" t="s">
        <v>2320</v>
      </c>
    </row>
    <row r="673" spans="1:10" x14ac:dyDescent="0.25">
      <c r="A673" s="32" t="s">
        <v>4</v>
      </c>
      <c r="B673" s="32">
        <f t="shared" si="169"/>
        <v>2048</v>
      </c>
      <c r="C673" s="33" t="s">
        <v>8</v>
      </c>
      <c r="D673" s="34" t="s">
        <v>1999</v>
      </c>
      <c r="E673" s="35" t="str">
        <f t="shared" si="165"/>
        <v>PRB'!</v>
      </c>
      <c r="F673" s="34" t="str">
        <f t="shared" si="166"/>
        <v>C:\Users\jaime.benazar\Quorum Business Solutions\Ecopetrol Prometeo - Documents\Planning Space Implementation\3. Analysis &amp; Design\Design\FC22\DRR Jaime\QUIFA-CAJÚA\Cajua\[CAJUA_CF_SEC_New_27-Feb-2024Rev3.xlsx]D-PRB'!</v>
      </c>
      <c r="G673" s="32" t="s">
        <v>37</v>
      </c>
      <c r="H673" s="33">
        <f t="shared" si="167"/>
        <v>37</v>
      </c>
      <c r="I673" s="33" t="str">
        <f t="shared" si="168"/>
        <v>='C:\Users\jaime.benazar\Quorum Business Solutions\Ecopetrol Prometeo - Documents\Planning Space Implementation\3. Analysis &amp; Design\Design\FC22\DRR Jaime\QUIFA-CAJÚA\Cajua\[CAJUA_CF_SEC_New_27-Feb-2024Rev3.xlsx]D-PRB'!$BW$37</v>
      </c>
      <c r="J673" s="37" t="s">
        <v>2321</v>
      </c>
    </row>
    <row r="674" spans="1:10" x14ac:dyDescent="0.25">
      <c r="A674" s="32" t="s">
        <v>4</v>
      </c>
      <c r="B674" s="32">
        <f t="shared" si="169"/>
        <v>2049</v>
      </c>
      <c r="C674" s="33" t="s">
        <v>8</v>
      </c>
      <c r="D674" s="34" t="s">
        <v>1999</v>
      </c>
      <c r="E674" s="35" t="str">
        <f t="shared" si="165"/>
        <v>PRB'!</v>
      </c>
      <c r="F674" s="34" t="str">
        <f t="shared" si="166"/>
        <v>C:\Users\jaime.benazar\Quorum Business Solutions\Ecopetrol Prometeo - Documents\Planning Space Implementation\3. Analysis &amp; Design\Design\FC22\DRR Jaime\QUIFA-CAJÚA\Cajua\[CAJUA_CF_SEC_New_27-Feb-2024Rev3.xlsx]D-PRB'!</v>
      </c>
      <c r="G674" s="32" t="s">
        <v>37</v>
      </c>
      <c r="H674" s="33">
        <f t="shared" si="167"/>
        <v>38</v>
      </c>
      <c r="I674" s="33" t="str">
        <f t="shared" si="168"/>
        <v>='C:\Users\jaime.benazar\Quorum Business Solutions\Ecopetrol Prometeo - Documents\Planning Space Implementation\3. Analysis &amp; Design\Design\FC22\DRR Jaime\QUIFA-CAJÚA\Cajua\[CAJUA_CF_SEC_New_27-Feb-2024Rev3.xlsx]D-PRB'!$BW$38</v>
      </c>
      <c r="J674" s="37" t="s">
        <v>2322</v>
      </c>
    </row>
    <row r="675" spans="1:10" x14ac:dyDescent="0.25">
      <c r="A675" s="32" t="s">
        <v>4</v>
      </c>
      <c r="B675" s="32">
        <f t="shared" si="169"/>
        <v>2050</v>
      </c>
      <c r="C675" s="33" t="s">
        <v>8</v>
      </c>
      <c r="D675" s="34" t="s">
        <v>1999</v>
      </c>
      <c r="E675" s="35" t="str">
        <f t="shared" si="165"/>
        <v>PRB'!</v>
      </c>
      <c r="F675" s="34" t="str">
        <f t="shared" si="166"/>
        <v>C:\Users\jaime.benazar\Quorum Business Solutions\Ecopetrol Prometeo - Documents\Planning Space Implementation\3. Analysis &amp; Design\Design\FC22\DRR Jaime\QUIFA-CAJÚA\Cajua\[CAJUA_CF_SEC_New_27-Feb-2024Rev3.xlsx]D-PRB'!</v>
      </c>
      <c r="G675" s="32" t="s">
        <v>37</v>
      </c>
      <c r="H675" s="33">
        <f t="shared" si="167"/>
        <v>39</v>
      </c>
      <c r="I675" s="33" t="str">
        <f t="shared" si="168"/>
        <v>='C:\Users\jaime.benazar\Quorum Business Solutions\Ecopetrol Prometeo - Documents\Planning Space Implementation\3. Analysis &amp; Design\Design\FC22\DRR Jaime\QUIFA-CAJÚA\Cajua\[CAJUA_CF_SEC_New_27-Feb-2024Rev3.xlsx]D-PRB'!$BW$39</v>
      </c>
      <c r="J675" s="37" t="s">
        <v>2323</v>
      </c>
    </row>
    <row r="676" spans="1:10" x14ac:dyDescent="0.25">
      <c r="A676" s="32" t="s">
        <v>4</v>
      </c>
      <c r="B676" s="32">
        <f t="shared" si="169"/>
        <v>2051</v>
      </c>
      <c r="C676" s="33" t="s">
        <v>8</v>
      </c>
      <c r="D676" s="34" t="s">
        <v>1999</v>
      </c>
      <c r="E676" s="35" t="str">
        <f t="shared" si="165"/>
        <v>PRB'!</v>
      </c>
      <c r="F676" s="34" t="str">
        <f t="shared" si="166"/>
        <v>C:\Users\jaime.benazar\Quorum Business Solutions\Ecopetrol Prometeo - Documents\Planning Space Implementation\3. Analysis &amp; Design\Design\FC22\DRR Jaime\QUIFA-CAJÚA\Cajua\[CAJUA_CF_SEC_New_27-Feb-2024Rev3.xlsx]D-PRB'!</v>
      </c>
      <c r="G676" s="32" t="s">
        <v>37</v>
      </c>
      <c r="H676" s="33">
        <f t="shared" si="167"/>
        <v>40</v>
      </c>
      <c r="I676" s="33" t="str">
        <f t="shared" si="168"/>
        <v>='C:\Users\jaime.benazar\Quorum Business Solutions\Ecopetrol Prometeo - Documents\Planning Space Implementation\3. Analysis &amp; Design\Design\FC22\DRR Jaime\QUIFA-CAJÚA\Cajua\[CAJUA_CF_SEC_New_27-Feb-2024Rev3.xlsx]D-PRB'!$BW$40</v>
      </c>
      <c r="J676" s="37" t="s">
        <v>2324</v>
      </c>
    </row>
    <row r="677" spans="1:10" x14ac:dyDescent="0.25">
      <c r="A677" s="32" t="s">
        <v>4</v>
      </c>
      <c r="B677" s="32">
        <f t="shared" si="169"/>
        <v>2052</v>
      </c>
      <c r="C677" s="33" t="s">
        <v>8</v>
      </c>
      <c r="D677" s="34" t="s">
        <v>1999</v>
      </c>
      <c r="E677" s="35" t="str">
        <f t="shared" si="165"/>
        <v>PRB'!</v>
      </c>
      <c r="F677" s="34" t="str">
        <f t="shared" si="166"/>
        <v>C:\Users\jaime.benazar\Quorum Business Solutions\Ecopetrol Prometeo - Documents\Planning Space Implementation\3. Analysis &amp; Design\Design\FC22\DRR Jaime\QUIFA-CAJÚA\Cajua\[CAJUA_CF_SEC_New_27-Feb-2024Rev3.xlsx]D-PRB'!</v>
      </c>
      <c r="G677" s="32" t="s">
        <v>37</v>
      </c>
      <c r="H677" s="33">
        <f t="shared" si="167"/>
        <v>41</v>
      </c>
      <c r="I677" s="33" t="str">
        <f t="shared" si="168"/>
        <v>='C:\Users\jaime.benazar\Quorum Business Solutions\Ecopetrol Prometeo - Documents\Planning Space Implementation\3. Analysis &amp; Design\Design\FC22\DRR Jaime\QUIFA-CAJÚA\Cajua\[CAJUA_CF_SEC_New_27-Feb-2024Rev3.xlsx]D-PRB'!$BW$41</v>
      </c>
      <c r="J677" s="37" t="s">
        <v>2325</v>
      </c>
    </row>
    <row r="678" spans="1:10" x14ac:dyDescent="0.25">
      <c r="A678" s="32" t="s">
        <v>4</v>
      </c>
      <c r="B678" s="32">
        <f t="shared" si="169"/>
        <v>2053</v>
      </c>
      <c r="C678" s="33" t="s">
        <v>8</v>
      </c>
      <c r="D678" s="34" t="s">
        <v>1999</v>
      </c>
      <c r="E678" s="35" t="str">
        <f t="shared" si="165"/>
        <v>PRB'!</v>
      </c>
      <c r="F678" s="34" t="str">
        <f t="shared" si="166"/>
        <v>C:\Users\jaime.benazar\Quorum Business Solutions\Ecopetrol Prometeo - Documents\Planning Space Implementation\3. Analysis &amp; Design\Design\FC22\DRR Jaime\QUIFA-CAJÚA\Cajua\[CAJUA_CF_SEC_New_27-Feb-2024Rev3.xlsx]D-PRB'!</v>
      </c>
      <c r="G678" s="32" t="s">
        <v>37</v>
      </c>
      <c r="H678" s="33">
        <f t="shared" si="167"/>
        <v>42</v>
      </c>
      <c r="I678" s="33" t="str">
        <f t="shared" si="168"/>
        <v>='C:\Users\jaime.benazar\Quorum Business Solutions\Ecopetrol Prometeo - Documents\Planning Space Implementation\3. Analysis &amp; Design\Design\FC22\DRR Jaime\QUIFA-CAJÚA\Cajua\[CAJUA_CF_SEC_New_27-Feb-2024Rev3.xlsx]D-PRB'!$BW$42</v>
      </c>
      <c r="J678" s="37" t="s">
        <v>2326</v>
      </c>
    </row>
    <row r="679" spans="1:10" x14ac:dyDescent="0.25">
      <c r="A679" s="32" t="s">
        <v>4</v>
      </c>
      <c r="B679" s="32">
        <f t="shared" si="169"/>
        <v>2054</v>
      </c>
      <c r="C679" s="33" t="s">
        <v>8</v>
      </c>
      <c r="D679" s="34" t="s">
        <v>1999</v>
      </c>
      <c r="E679" s="35" t="str">
        <f t="shared" si="165"/>
        <v>PRB'!</v>
      </c>
      <c r="F679" s="34" t="str">
        <f t="shared" si="166"/>
        <v>C:\Users\jaime.benazar\Quorum Business Solutions\Ecopetrol Prometeo - Documents\Planning Space Implementation\3. Analysis &amp; Design\Design\FC22\DRR Jaime\QUIFA-CAJÚA\Cajua\[CAJUA_CF_SEC_New_27-Feb-2024Rev3.xlsx]D-PRB'!</v>
      </c>
      <c r="G679" s="32" t="s">
        <v>37</v>
      </c>
      <c r="H679" s="33">
        <f t="shared" si="167"/>
        <v>43</v>
      </c>
      <c r="I679" s="33" t="str">
        <f t="shared" si="168"/>
        <v>='C:\Users\jaime.benazar\Quorum Business Solutions\Ecopetrol Prometeo - Documents\Planning Space Implementation\3. Analysis &amp; Design\Design\FC22\DRR Jaime\QUIFA-CAJÚA\Cajua\[CAJUA_CF_SEC_New_27-Feb-2024Rev3.xlsx]D-PRB'!$BW$43</v>
      </c>
      <c r="J679" s="37" t="s">
        <v>2327</v>
      </c>
    </row>
    <row r="680" spans="1:10" x14ac:dyDescent="0.25">
      <c r="A680" s="32" t="s">
        <v>4</v>
      </c>
      <c r="B680" s="32">
        <f t="shared" si="169"/>
        <v>2055</v>
      </c>
      <c r="C680" s="33" t="s">
        <v>8</v>
      </c>
      <c r="D680" s="34" t="s">
        <v>1999</v>
      </c>
      <c r="E680" s="35" t="str">
        <f t="shared" si="165"/>
        <v>PRB'!</v>
      </c>
      <c r="F680" s="34" t="str">
        <f t="shared" si="166"/>
        <v>C:\Users\jaime.benazar\Quorum Business Solutions\Ecopetrol Prometeo - Documents\Planning Space Implementation\3. Analysis &amp; Design\Design\FC22\DRR Jaime\QUIFA-CAJÚA\Cajua\[CAJUA_CF_SEC_New_27-Feb-2024Rev3.xlsx]D-PRB'!</v>
      </c>
      <c r="G680" s="32" t="s">
        <v>37</v>
      </c>
      <c r="H680" s="33">
        <f t="shared" si="167"/>
        <v>44</v>
      </c>
      <c r="I680" s="33" t="str">
        <f t="shared" si="168"/>
        <v>='C:\Users\jaime.benazar\Quorum Business Solutions\Ecopetrol Prometeo - Documents\Planning Space Implementation\3. Analysis &amp; Design\Design\FC22\DRR Jaime\QUIFA-CAJÚA\Cajua\[CAJUA_CF_SEC_New_27-Feb-2024Rev3.xlsx]D-PRB'!$BW$44</v>
      </c>
      <c r="J680" s="37" t="s">
        <v>2328</v>
      </c>
    </row>
    <row r="681" spans="1:10" x14ac:dyDescent="0.25">
      <c r="A681" s="32" t="s">
        <v>4</v>
      </c>
      <c r="B681" s="32">
        <f t="shared" si="169"/>
        <v>2056</v>
      </c>
      <c r="C681" s="33" t="s">
        <v>8</v>
      </c>
      <c r="D681" s="34" t="s">
        <v>1999</v>
      </c>
      <c r="E681" s="35" t="str">
        <f t="shared" si="165"/>
        <v>PRB'!</v>
      </c>
      <c r="F681" s="34" t="str">
        <f t="shared" si="166"/>
        <v>C:\Users\jaime.benazar\Quorum Business Solutions\Ecopetrol Prometeo - Documents\Planning Space Implementation\3. Analysis &amp; Design\Design\FC22\DRR Jaime\QUIFA-CAJÚA\Cajua\[CAJUA_CF_SEC_New_27-Feb-2024Rev3.xlsx]D-PRB'!</v>
      </c>
      <c r="G681" s="32" t="s">
        <v>37</v>
      </c>
      <c r="H681" s="33">
        <f t="shared" si="167"/>
        <v>45</v>
      </c>
      <c r="I681" s="33" t="str">
        <f t="shared" si="168"/>
        <v>='C:\Users\jaime.benazar\Quorum Business Solutions\Ecopetrol Prometeo - Documents\Planning Space Implementation\3. Analysis &amp; Design\Design\FC22\DRR Jaime\QUIFA-CAJÚA\Cajua\[CAJUA_CF_SEC_New_27-Feb-2024Rev3.xlsx]D-PRB'!$BW$45</v>
      </c>
      <c r="J681" s="37" t="s">
        <v>2329</v>
      </c>
    </row>
    <row r="682" spans="1:10" x14ac:dyDescent="0.25">
      <c r="A682" s="32" t="s">
        <v>4</v>
      </c>
      <c r="B682" s="32">
        <f t="shared" si="169"/>
        <v>2057</v>
      </c>
      <c r="C682" s="33" t="s">
        <v>8</v>
      </c>
      <c r="D682" s="34" t="s">
        <v>1999</v>
      </c>
      <c r="E682" s="35" t="str">
        <f t="shared" si="165"/>
        <v>PRB'!</v>
      </c>
      <c r="F682" s="34" t="str">
        <f t="shared" si="166"/>
        <v>C:\Users\jaime.benazar\Quorum Business Solutions\Ecopetrol Prometeo - Documents\Planning Space Implementation\3. Analysis &amp; Design\Design\FC22\DRR Jaime\QUIFA-CAJÚA\Cajua\[CAJUA_CF_SEC_New_27-Feb-2024Rev3.xlsx]D-PRB'!</v>
      </c>
      <c r="G682" s="32" t="s">
        <v>37</v>
      </c>
      <c r="H682" s="33">
        <f t="shared" si="167"/>
        <v>46</v>
      </c>
      <c r="I682" s="33" t="str">
        <f t="shared" si="168"/>
        <v>='C:\Users\jaime.benazar\Quorum Business Solutions\Ecopetrol Prometeo - Documents\Planning Space Implementation\3. Analysis &amp; Design\Design\FC22\DRR Jaime\QUIFA-CAJÚA\Cajua\[CAJUA_CF_SEC_New_27-Feb-2024Rev3.xlsx]D-PRB'!$BW$46</v>
      </c>
      <c r="J682" s="37" t="s">
        <v>2330</v>
      </c>
    </row>
    <row r="683" spans="1:10" x14ac:dyDescent="0.25">
      <c r="A683" s="32" t="s">
        <v>4</v>
      </c>
      <c r="B683" s="32">
        <f t="shared" si="169"/>
        <v>2058</v>
      </c>
      <c r="C683" s="33" t="s">
        <v>8</v>
      </c>
      <c r="D683" s="34" t="s">
        <v>1999</v>
      </c>
      <c r="E683" s="35" t="str">
        <f t="shared" si="165"/>
        <v>PRB'!</v>
      </c>
      <c r="F683" s="34" t="str">
        <f t="shared" si="166"/>
        <v>C:\Users\jaime.benazar\Quorum Business Solutions\Ecopetrol Prometeo - Documents\Planning Space Implementation\3. Analysis &amp; Design\Design\FC22\DRR Jaime\QUIFA-CAJÚA\Cajua\[CAJUA_CF_SEC_New_27-Feb-2024Rev3.xlsx]D-PRB'!</v>
      </c>
      <c r="G683" s="32" t="s">
        <v>37</v>
      </c>
      <c r="H683" s="33">
        <f t="shared" si="167"/>
        <v>47</v>
      </c>
      <c r="I683" s="33" t="str">
        <f t="shared" si="168"/>
        <v>='C:\Users\jaime.benazar\Quorum Business Solutions\Ecopetrol Prometeo - Documents\Planning Space Implementation\3. Analysis &amp; Design\Design\FC22\DRR Jaime\QUIFA-CAJÚA\Cajua\[CAJUA_CF_SEC_New_27-Feb-2024Rev3.xlsx]D-PRB'!$BW$47</v>
      </c>
      <c r="J683" s="37" t="s">
        <v>2331</v>
      </c>
    </row>
    <row r="684" spans="1:10" x14ac:dyDescent="0.25">
      <c r="A684" s="32" t="s">
        <v>4</v>
      </c>
      <c r="B684" s="32">
        <f t="shared" si="169"/>
        <v>2059</v>
      </c>
      <c r="C684" s="33" t="s">
        <v>8</v>
      </c>
      <c r="D684" s="34" t="s">
        <v>1999</v>
      </c>
      <c r="E684" s="35" t="str">
        <f t="shared" si="165"/>
        <v>PRB'!</v>
      </c>
      <c r="F684" s="34" t="str">
        <f t="shared" si="166"/>
        <v>C:\Users\jaime.benazar\Quorum Business Solutions\Ecopetrol Prometeo - Documents\Planning Space Implementation\3. Analysis &amp; Design\Design\FC22\DRR Jaime\QUIFA-CAJÚA\Cajua\[CAJUA_CF_SEC_New_27-Feb-2024Rev3.xlsx]D-PRB'!</v>
      </c>
      <c r="G684" s="32" t="s">
        <v>37</v>
      </c>
      <c r="H684" s="33">
        <f t="shared" si="167"/>
        <v>48</v>
      </c>
      <c r="I684" s="33" t="str">
        <f t="shared" si="168"/>
        <v>='C:\Users\jaime.benazar\Quorum Business Solutions\Ecopetrol Prometeo - Documents\Planning Space Implementation\3. Analysis &amp; Design\Design\FC22\DRR Jaime\QUIFA-CAJÚA\Cajua\[CAJUA_CF_SEC_New_27-Feb-2024Rev3.xlsx]D-PRB'!$BW$48</v>
      </c>
      <c r="J684" s="37" t="s">
        <v>2332</v>
      </c>
    </row>
    <row r="685" spans="1:10" x14ac:dyDescent="0.25">
      <c r="A685" s="32" t="s">
        <v>28</v>
      </c>
      <c r="B685" s="32"/>
      <c r="C685" s="33" t="s">
        <v>8</v>
      </c>
      <c r="D685" s="34"/>
      <c r="E685" s="35"/>
      <c r="F685" s="34"/>
      <c r="G685" s="32"/>
      <c r="H685" s="33"/>
      <c r="I685" s="33"/>
      <c r="J685" s="33"/>
    </row>
    <row r="686" spans="1:10" x14ac:dyDescent="0.25">
      <c r="A686" s="32" t="s">
        <v>102</v>
      </c>
      <c r="B686" s="32">
        <v>2023</v>
      </c>
      <c r="C686" s="33" t="s">
        <v>8</v>
      </c>
      <c r="D686" s="34" t="s">
        <v>1999</v>
      </c>
      <c r="E686" s="35" t="str">
        <f t="shared" ref="E686:E706" si="170">_xlfn.CONCAT(A686,"'!")</f>
        <v>PSDP'!</v>
      </c>
      <c r="F686" s="34" t="str">
        <f t="shared" ref="F686:F706" si="171">_xlfn.CONCAT(D686:E686)</f>
        <v>C:\Users\jaime.benazar\Quorum Business Solutions\Ecopetrol Prometeo - Documents\Planning Space Implementation\3. Analysis &amp; Design\Design\FC22\DRR Jaime\QUIFA-CAJÚA\Cajua\[CAJUA_CF_SEC_New_27-Feb-2024Rev3.xlsx]D-PSDP'!</v>
      </c>
      <c r="G686" s="32" t="s">
        <v>37</v>
      </c>
      <c r="H686" s="33"/>
      <c r="I686" s="33"/>
      <c r="J686" s="37"/>
    </row>
    <row r="687" spans="1:10" x14ac:dyDescent="0.25">
      <c r="A687" s="32" t="s">
        <v>102</v>
      </c>
      <c r="B687" s="32">
        <f>+B686+1</f>
        <v>2024</v>
      </c>
      <c r="C687" s="33" t="s">
        <v>8</v>
      </c>
      <c r="D687" s="34" t="s">
        <v>1999</v>
      </c>
      <c r="E687" s="35" t="str">
        <f t="shared" si="170"/>
        <v>PSDP'!</v>
      </c>
      <c r="F687" s="34" t="str">
        <f t="shared" si="171"/>
        <v>C:\Users\jaime.benazar\Quorum Business Solutions\Ecopetrol Prometeo - Documents\Planning Space Implementation\3. Analysis &amp; Design\Design\FC22\DRR Jaime\QUIFA-CAJÚA\Cajua\[CAJUA_CF_SEC_New_27-Feb-2024Rev3.xlsx]D-PSDP'!</v>
      </c>
      <c r="G687" s="32" t="s">
        <v>37</v>
      </c>
      <c r="H687" s="33"/>
      <c r="I687" s="33"/>
      <c r="J687" s="37"/>
    </row>
    <row r="688" spans="1:10" x14ac:dyDescent="0.25">
      <c r="A688" s="32" t="s">
        <v>102</v>
      </c>
      <c r="B688" s="32">
        <f t="shared" ref="B688:B699" si="172">+B687+1</f>
        <v>2025</v>
      </c>
      <c r="C688" s="33" t="s">
        <v>8</v>
      </c>
      <c r="D688" s="34" t="s">
        <v>1999</v>
      </c>
      <c r="E688" s="35" t="str">
        <f t="shared" si="170"/>
        <v>PSDP'!</v>
      </c>
      <c r="F688" s="34" t="str">
        <f t="shared" si="171"/>
        <v>C:\Users\jaime.benazar\Quorum Business Solutions\Ecopetrol Prometeo - Documents\Planning Space Implementation\3. Analysis &amp; Design\Design\FC22\DRR Jaime\QUIFA-CAJÚA\Cajua\[CAJUA_CF_SEC_New_27-Feb-2024Rev3.xlsx]D-PSDP'!</v>
      </c>
      <c r="G688" s="32" t="s">
        <v>37</v>
      </c>
      <c r="H688" s="33"/>
      <c r="I688" s="33"/>
      <c r="J688" s="37"/>
    </row>
    <row r="689" spans="1:10" x14ac:dyDescent="0.25">
      <c r="A689" s="32" t="s">
        <v>102</v>
      </c>
      <c r="B689" s="32">
        <f t="shared" si="172"/>
        <v>2026</v>
      </c>
      <c r="C689" s="33" t="s">
        <v>8</v>
      </c>
      <c r="D689" s="34" t="s">
        <v>1999</v>
      </c>
      <c r="E689" s="35" t="str">
        <f t="shared" si="170"/>
        <v>PSDP'!</v>
      </c>
      <c r="F689" s="34" t="str">
        <f t="shared" si="171"/>
        <v>C:\Users\jaime.benazar\Quorum Business Solutions\Ecopetrol Prometeo - Documents\Planning Space Implementation\3. Analysis &amp; Design\Design\FC22\DRR Jaime\QUIFA-CAJÚA\Cajua\[CAJUA_CF_SEC_New_27-Feb-2024Rev3.xlsx]D-PSDP'!</v>
      </c>
      <c r="G689" s="32" t="s">
        <v>37</v>
      </c>
      <c r="H689" s="33"/>
      <c r="I689" s="33"/>
      <c r="J689" s="37"/>
    </row>
    <row r="690" spans="1:10" x14ac:dyDescent="0.25">
      <c r="A690" s="32" t="s">
        <v>102</v>
      </c>
      <c r="B690" s="32">
        <f t="shared" si="172"/>
        <v>2027</v>
      </c>
      <c r="C690" s="33" t="s">
        <v>8</v>
      </c>
      <c r="D690" s="34" t="s">
        <v>1999</v>
      </c>
      <c r="E690" s="35" t="str">
        <f t="shared" si="170"/>
        <v>PSDP'!</v>
      </c>
      <c r="F690" s="34" t="str">
        <f t="shared" si="171"/>
        <v>C:\Users\jaime.benazar\Quorum Business Solutions\Ecopetrol Prometeo - Documents\Planning Space Implementation\3. Analysis &amp; Design\Design\FC22\DRR Jaime\QUIFA-CAJÚA\Cajua\[CAJUA_CF_SEC_New_27-Feb-2024Rev3.xlsx]D-PSDP'!</v>
      </c>
      <c r="G690" s="32" t="s">
        <v>37</v>
      </c>
      <c r="H690" s="33"/>
      <c r="I690" s="33"/>
      <c r="J690" s="37"/>
    </row>
    <row r="691" spans="1:10" x14ac:dyDescent="0.25">
      <c r="A691" s="32" t="s">
        <v>102</v>
      </c>
      <c r="B691" s="32">
        <f t="shared" si="172"/>
        <v>2028</v>
      </c>
      <c r="C691" s="33" t="s">
        <v>8</v>
      </c>
      <c r="D691" s="34" t="s">
        <v>1999</v>
      </c>
      <c r="E691" s="35" t="str">
        <f t="shared" si="170"/>
        <v>PSDP'!</v>
      </c>
      <c r="F691" s="34" t="str">
        <f t="shared" si="171"/>
        <v>C:\Users\jaime.benazar\Quorum Business Solutions\Ecopetrol Prometeo - Documents\Planning Space Implementation\3. Analysis &amp; Design\Design\FC22\DRR Jaime\QUIFA-CAJÚA\Cajua\[CAJUA_CF_SEC_New_27-Feb-2024Rev3.xlsx]D-PSDP'!</v>
      </c>
      <c r="G691" s="32" t="s">
        <v>37</v>
      </c>
      <c r="H691" s="33"/>
      <c r="I691" s="33"/>
      <c r="J691" s="37"/>
    </row>
    <row r="692" spans="1:10" x14ac:dyDescent="0.25">
      <c r="A692" s="32" t="s">
        <v>102</v>
      </c>
      <c r="B692" s="32">
        <f t="shared" si="172"/>
        <v>2029</v>
      </c>
      <c r="C692" s="33" t="s">
        <v>8</v>
      </c>
      <c r="D692" s="34" t="s">
        <v>1999</v>
      </c>
      <c r="E692" s="35" t="str">
        <f t="shared" si="170"/>
        <v>PSDP'!</v>
      </c>
      <c r="F692" s="34" t="str">
        <f t="shared" si="171"/>
        <v>C:\Users\jaime.benazar\Quorum Business Solutions\Ecopetrol Prometeo - Documents\Planning Space Implementation\3. Analysis &amp; Design\Design\FC22\DRR Jaime\QUIFA-CAJÚA\Cajua\[CAJUA_CF_SEC_New_27-Feb-2024Rev3.xlsx]D-PSDP'!</v>
      </c>
      <c r="G692" s="32" t="s">
        <v>37</v>
      </c>
      <c r="H692" s="33"/>
      <c r="I692" s="33"/>
      <c r="J692" s="37"/>
    </row>
    <row r="693" spans="1:10" x14ac:dyDescent="0.25">
      <c r="A693" s="32" t="s">
        <v>102</v>
      </c>
      <c r="B693" s="32">
        <f t="shared" si="172"/>
        <v>2030</v>
      </c>
      <c r="C693" s="33" t="s">
        <v>8</v>
      </c>
      <c r="D693" s="34" t="s">
        <v>1999</v>
      </c>
      <c r="E693" s="35" t="str">
        <f t="shared" si="170"/>
        <v>PSDP'!</v>
      </c>
      <c r="F693" s="34" t="str">
        <f t="shared" si="171"/>
        <v>C:\Users\jaime.benazar\Quorum Business Solutions\Ecopetrol Prometeo - Documents\Planning Space Implementation\3. Analysis &amp; Design\Design\FC22\DRR Jaime\QUIFA-CAJÚA\Cajua\[CAJUA_CF_SEC_New_27-Feb-2024Rev3.xlsx]D-PSDP'!</v>
      </c>
      <c r="G693" s="32" t="s">
        <v>37</v>
      </c>
      <c r="H693" s="33"/>
      <c r="I693" s="33"/>
      <c r="J693" s="37"/>
    </row>
    <row r="694" spans="1:10" x14ac:dyDescent="0.25">
      <c r="A694" s="32" t="s">
        <v>102</v>
      </c>
      <c r="B694" s="32">
        <f t="shared" si="172"/>
        <v>2031</v>
      </c>
      <c r="C694" s="33" t="s">
        <v>8</v>
      </c>
      <c r="D694" s="34" t="s">
        <v>1999</v>
      </c>
      <c r="E694" s="35" t="str">
        <f t="shared" si="170"/>
        <v>PSDP'!</v>
      </c>
      <c r="F694" s="34" t="str">
        <f t="shared" si="171"/>
        <v>C:\Users\jaime.benazar\Quorum Business Solutions\Ecopetrol Prometeo - Documents\Planning Space Implementation\3. Analysis &amp; Design\Design\FC22\DRR Jaime\QUIFA-CAJÚA\Cajua\[CAJUA_CF_SEC_New_27-Feb-2024Rev3.xlsx]D-PSDP'!</v>
      </c>
      <c r="G694" s="32" t="s">
        <v>37</v>
      </c>
      <c r="H694" s="33"/>
      <c r="I694" s="33"/>
      <c r="J694" s="37"/>
    </row>
    <row r="695" spans="1:10" x14ac:dyDescent="0.25">
      <c r="A695" s="32" t="s">
        <v>102</v>
      </c>
      <c r="B695" s="32">
        <f t="shared" si="172"/>
        <v>2032</v>
      </c>
      <c r="C695" s="33" t="s">
        <v>8</v>
      </c>
      <c r="D695" s="34" t="s">
        <v>1999</v>
      </c>
      <c r="E695" s="35" t="str">
        <f t="shared" si="170"/>
        <v>PSDP'!</v>
      </c>
      <c r="F695" s="34" t="str">
        <f t="shared" si="171"/>
        <v>C:\Users\jaime.benazar\Quorum Business Solutions\Ecopetrol Prometeo - Documents\Planning Space Implementation\3. Analysis &amp; Design\Design\FC22\DRR Jaime\QUIFA-CAJÚA\Cajua\[CAJUA_CF_SEC_New_27-Feb-2024Rev3.xlsx]D-PSDP'!</v>
      </c>
      <c r="G695" s="32" t="s">
        <v>37</v>
      </c>
      <c r="H695" s="33"/>
      <c r="I695" s="33"/>
      <c r="J695" s="37"/>
    </row>
    <row r="696" spans="1:10" x14ac:dyDescent="0.25">
      <c r="A696" s="32" t="s">
        <v>102</v>
      </c>
      <c r="B696" s="32">
        <f t="shared" si="172"/>
        <v>2033</v>
      </c>
      <c r="C696" s="33" t="s">
        <v>8</v>
      </c>
      <c r="D696" s="34" t="s">
        <v>1999</v>
      </c>
      <c r="E696" s="35" t="str">
        <f t="shared" si="170"/>
        <v>PSDP'!</v>
      </c>
      <c r="F696" s="34" t="str">
        <f t="shared" si="171"/>
        <v>C:\Users\jaime.benazar\Quorum Business Solutions\Ecopetrol Prometeo - Documents\Planning Space Implementation\3. Analysis &amp; Design\Design\FC22\DRR Jaime\QUIFA-CAJÚA\Cajua\[CAJUA_CF_SEC_New_27-Feb-2024Rev3.xlsx]D-PSDP'!</v>
      </c>
      <c r="G696" s="32" t="s">
        <v>37</v>
      </c>
      <c r="H696" s="33"/>
      <c r="I696" s="33"/>
      <c r="J696" s="37"/>
    </row>
    <row r="697" spans="1:10" x14ac:dyDescent="0.25">
      <c r="A697" s="32" t="s">
        <v>102</v>
      </c>
      <c r="B697" s="32">
        <f t="shared" si="172"/>
        <v>2034</v>
      </c>
      <c r="C697" s="33" t="s">
        <v>8</v>
      </c>
      <c r="D697" s="34" t="s">
        <v>1999</v>
      </c>
      <c r="E697" s="35" t="str">
        <f t="shared" si="170"/>
        <v>PSDP'!</v>
      </c>
      <c r="F697" s="34" t="str">
        <f t="shared" si="171"/>
        <v>C:\Users\jaime.benazar\Quorum Business Solutions\Ecopetrol Prometeo - Documents\Planning Space Implementation\3. Analysis &amp; Design\Design\FC22\DRR Jaime\QUIFA-CAJÚA\Cajua\[CAJUA_CF_SEC_New_27-Feb-2024Rev3.xlsx]D-PSDP'!</v>
      </c>
      <c r="G697" s="32" t="s">
        <v>37</v>
      </c>
      <c r="H697" s="33"/>
      <c r="I697" s="33"/>
      <c r="J697" s="37"/>
    </row>
    <row r="698" spans="1:10" x14ac:dyDescent="0.25">
      <c r="A698" s="32" t="s">
        <v>102</v>
      </c>
      <c r="B698" s="32">
        <f t="shared" si="172"/>
        <v>2035</v>
      </c>
      <c r="C698" s="33" t="s">
        <v>8</v>
      </c>
      <c r="D698" s="34" t="s">
        <v>1999</v>
      </c>
      <c r="E698" s="35" t="str">
        <f t="shared" si="170"/>
        <v>PSDP'!</v>
      </c>
      <c r="F698" s="34" t="str">
        <f t="shared" si="171"/>
        <v>C:\Users\jaime.benazar\Quorum Business Solutions\Ecopetrol Prometeo - Documents\Planning Space Implementation\3. Analysis &amp; Design\Design\FC22\DRR Jaime\QUIFA-CAJÚA\Cajua\[CAJUA_CF_SEC_New_27-Feb-2024Rev3.xlsx]D-PSDP'!</v>
      </c>
      <c r="G698" s="32" t="s">
        <v>37</v>
      </c>
      <c r="H698" s="33"/>
      <c r="I698" s="33"/>
      <c r="J698" s="37"/>
    </row>
    <row r="699" spans="1:10" x14ac:dyDescent="0.25">
      <c r="A699" s="32" t="s">
        <v>102</v>
      </c>
      <c r="B699" s="32">
        <f t="shared" si="172"/>
        <v>2036</v>
      </c>
      <c r="C699" s="33" t="s">
        <v>8</v>
      </c>
      <c r="D699" s="34" t="s">
        <v>1999</v>
      </c>
      <c r="E699" s="35" t="str">
        <f t="shared" si="170"/>
        <v>PSDP'!</v>
      </c>
      <c r="F699" s="34" t="str">
        <f t="shared" si="171"/>
        <v>C:\Users\jaime.benazar\Quorum Business Solutions\Ecopetrol Prometeo - Documents\Planning Space Implementation\3. Analysis &amp; Design\Design\FC22\DRR Jaime\QUIFA-CAJÚA\Cajua\[CAJUA_CF_SEC_New_27-Feb-2024Rev3.xlsx]D-PSDP'!</v>
      </c>
      <c r="G699" s="32" t="s">
        <v>37</v>
      </c>
      <c r="H699" s="33"/>
      <c r="I699" s="33"/>
      <c r="J699" s="37"/>
    </row>
    <row r="700" spans="1:10" x14ac:dyDescent="0.25">
      <c r="A700" s="32" t="s">
        <v>102</v>
      </c>
      <c r="B700" s="32">
        <f>+B699+1</f>
        <v>2037</v>
      </c>
      <c r="C700" s="33" t="s">
        <v>8</v>
      </c>
      <c r="D700" s="34" t="s">
        <v>1999</v>
      </c>
      <c r="E700" s="35" t="str">
        <f t="shared" si="170"/>
        <v>PSDP'!</v>
      </c>
      <c r="F700" s="34" t="str">
        <f t="shared" si="171"/>
        <v>C:\Users\jaime.benazar\Quorum Business Solutions\Ecopetrol Prometeo - Documents\Planning Space Implementation\3. Analysis &amp; Design\Design\FC22\DRR Jaime\QUIFA-CAJÚA\Cajua\[CAJUA_CF_SEC_New_27-Feb-2024Rev3.xlsx]D-PSDP'!</v>
      </c>
      <c r="G700" s="32" t="s">
        <v>37</v>
      </c>
      <c r="H700" s="33"/>
      <c r="I700" s="33"/>
      <c r="J700" s="37"/>
    </row>
    <row r="701" spans="1:10" x14ac:dyDescent="0.25">
      <c r="A701" s="32" t="s">
        <v>102</v>
      </c>
      <c r="B701" s="32">
        <f t="shared" ref="B701:B703" si="173">+B700+1</f>
        <v>2038</v>
      </c>
      <c r="C701" s="33" t="s">
        <v>8</v>
      </c>
      <c r="D701" s="34" t="s">
        <v>1999</v>
      </c>
      <c r="E701" s="35" t="str">
        <f t="shared" si="170"/>
        <v>PSDP'!</v>
      </c>
      <c r="F701" s="34" t="str">
        <f t="shared" si="171"/>
        <v>C:\Users\jaime.benazar\Quorum Business Solutions\Ecopetrol Prometeo - Documents\Planning Space Implementation\3. Analysis &amp; Design\Design\FC22\DRR Jaime\QUIFA-CAJÚA\Cajua\[CAJUA_CF_SEC_New_27-Feb-2024Rev3.xlsx]D-PSDP'!</v>
      </c>
      <c r="G701" s="32" t="s">
        <v>37</v>
      </c>
      <c r="H701" s="33"/>
      <c r="I701" s="33"/>
      <c r="J701" s="37"/>
    </row>
    <row r="702" spans="1:10" x14ac:dyDescent="0.25">
      <c r="A702" s="32" t="s">
        <v>102</v>
      </c>
      <c r="B702" s="32">
        <f t="shared" si="173"/>
        <v>2039</v>
      </c>
      <c r="C702" s="33" t="s">
        <v>8</v>
      </c>
      <c r="D702" s="34" t="s">
        <v>1999</v>
      </c>
      <c r="E702" s="35" t="str">
        <f t="shared" si="170"/>
        <v>PSDP'!</v>
      </c>
      <c r="F702" s="34" t="str">
        <f t="shared" si="171"/>
        <v>C:\Users\jaime.benazar\Quorum Business Solutions\Ecopetrol Prometeo - Documents\Planning Space Implementation\3. Analysis &amp; Design\Design\FC22\DRR Jaime\QUIFA-CAJÚA\Cajua\[CAJUA_CF_SEC_New_27-Feb-2024Rev3.xlsx]D-PSDP'!</v>
      </c>
      <c r="G702" s="32" t="s">
        <v>37</v>
      </c>
      <c r="H702" s="33"/>
      <c r="I702" s="33"/>
      <c r="J702" s="37"/>
    </row>
    <row r="703" spans="1:10" x14ac:dyDescent="0.25">
      <c r="A703" s="32" t="s">
        <v>102</v>
      </c>
      <c r="B703" s="32">
        <f t="shared" si="173"/>
        <v>2040</v>
      </c>
      <c r="C703" s="33" t="s">
        <v>8</v>
      </c>
      <c r="D703" s="34" t="s">
        <v>1999</v>
      </c>
      <c r="E703" s="35" t="str">
        <f t="shared" si="170"/>
        <v>PSDP'!</v>
      </c>
      <c r="F703" s="34" t="str">
        <f t="shared" si="171"/>
        <v>C:\Users\jaime.benazar\Quorum Business Solutions\Ecopetrol Prometeo - Documents\Planning Space Implementation\3. Analysis &amp; Design\Design\FC22\DRR Jaime\QUIFA-CAJÚA\Cajua\[CAJUA_CF_SEC_New_27-Feb-2024Rev3.xlsx]D-PSDP'!</v>
      </c>
      <c r="G703" s="32" t="s">
        <v>37</v>
      </c>
      <c r="H703" s="33"/>
      <c r="I703" s="33"/>
      <c r="J703" s="37"/>
    </row>
    <row r="704" spans="1:10" x14ac:dyDescent="0.25">
      <c r="A704" s="32" t="s">
        <v>102</v>
      </c>
      <c r="B704" s="32">
        <f>+B703+1</f>
        <v>2041</v>
      </c>
      <c r="C704" s="33" t="s">
        <v>8</v>
      </c>
      <c r="D704" s="34" t="s">
        <v>1999</v>
      </c>
      <c r="E704" s="35" t="str">
        <f t="shared" si="170"/>
        <v>PSDP'!</v>
      </c>
      <c r="F704" s="34" t="str">
        <f t="shared" si="171"/>
        <v>C:\Users\jaime.benazar\Quorum Business Solutions\Ecopetrol Prometeo - Documents\Planning Space Implementation\3. Analysis &amp; Design\Design\FC22\DRR Jaime\QUIFA-CAJÚA\Cajua\[CAJUA_CF_SEC_New_27-Feb-2024Rev3.xlsx]D-PSDP'!</v>
      </c>
      <c r="G704" s="32" t="s">
        <v>37</v>
      </c>
      <c r="H704" s="33"/>
      <c r="I704" s="33"/>
      <c r="J704" s="37"/>
    </row>
    <row r="705" spans="1:10" x14ac:dyDescent="0.25">
      <c r="A705" s="32" t="s">
        <v>102</v>
      </c>
      <c r="B705" s="32">
        <f t="shared" ref="B705:B706" si="174">+B704+1</f>
        <v>2042</v>
      </c>
      <c r="C705" s="33" t="s">
        <v>8</v>
      </c>
      <c r="D705" s="34" t="s">
        <v>1999</v>
      </c>
      <c r="E705" s="35" t="str">
        <f t="shared" si="170"/>
        <v>PSDP'!</v>
      </c>
      <c r="F705" s="34" t="str">
        <f t="shared" si="171"/>
        <v>C:\Users\jaime.benazar\Quorum Business Solutions\Ecopetrol Prometeo - Documents\Planning Space Implementation\3. Analysis &amp; Design\Design\FC22\DRR Jaime\QUIFA-CAJÚA\Cajua\[CAJUA_CF_SEC_New_27-Feb-2024Rev3.xlsx]D-PSDP'!</v>
      </c>
      <c r="G705" s="32" t="s">
        <v>37</v>
      </c>
      <c r="H705" s="33"/>
      <c r="I705" s="33"/>
      <c r="J705" s="37"/>
    </row>
    <row r="706" spans="1:10" x14ac:dyDescent="0.25">
      <c r="A706" s="32" t="s">
        <v>102</v>
      </c>
      <c r="B706" s="32">
        <f t="shared" si="174"/>
        <v>2043</v>
      </c>
      <c r="C706" s="33" t="s">
        <v>8</v>
      </c>
      <c r="D706" s="34" t="s">
        <v>1999</v>
      </c>
      <c r="E706" s="35" t="str">
        <f t="shared" si="170"/>
        <v>PSDP'!</v>
      </c>
      <c r="F706" s="34" t="str">
        <f t="shared" si="171"/>
        <v>C:\Users\jaime.benazar\Quorum Business Solutions\Ecopetrol Prometeo - Documents\Planning Space Implementation\3. Analysis &amp; Design\Design\FC22\DRR Jaime\QUIFA-CAJÚA\Cajua\[CAJUA_CF_SEC_New_27-Feb-2024Rev3.xlsx]D-PSDP'!</v>
      </c>
      <c r="G706" s="32" t="s">
        <v>37</v>
      </c>
      <c r="H706" s="33"/>
      <c r="I706" s="33"/>
      <c r="J706" s="37"/>
    </row>
    <row r="707" spans="1:10" x14ac:dyDescent="0.25">
      <c r="A707" s="32" t="s">
        <v>102</v>
      </c>
      <c r="B707" s="32">
        <f>+B706+1</f>
        <v>2044</v>
      </c>
      <c r="C707" s="33" t="s">
        <v>8</v>
      </c>
      <c r="D707" s="34" t="s">
        <v>1999</v>
      </c>
      <c r="E707" s="35" t="str">
        <f t="shared" ref="E707:E722" si="175">_xlfn.CONCAT(A707,"'!")</f>
        <v>PSDP'!</v>
      </c>
      <c r="F707" s="34" t="str">
        <f t="shared" ref="F707:F722" si="176">_xlfn.CONCAT(D707:E707)</f>
        <v>C:\Users\jaime.benazar\Quorum Business Solutions\Ecopetrol Prometeo - Documents\Planning Space Implementation\3. Analysis &amp; Design\Design\FC22\DRR Jaime\QUIFA-CAJÚA\Cajua\[CAJUA_CF_SEC_New_27-Feb-2024Rev3.xlsx]D-PSDP'!</v>
      </c>
      <c r="G707" s="32" t="s">
        <v>37</v>
      </c>
      <c r="H707" s="33"/>
      <c r="I707" s="33"/>
      <c r="J707" s="37"/>
    </row>
    <row r="708" spans="1:10" x14ac:dyDescent="0.25">
      <c r="A708" s="32" t="s">
        <v>102</v>
      </c>
      <c r="B708" s="32">
        <f t="shared" ref="B708:B722" si="177">+B707+1</f>
        <v>2045</v>
      </c>
      <c r="C708" s="33" t="s">
        <v>8</v>
      </c>
      <c r="D708" s="34" t="s">
        <v>1999</v>
      </c>
      <c r="E708" s="35" t="str">
        <f t="shared" si="175"/>
        <v>PSDP'!</v>
      </c>
      <c r="F708" s="34" t="str">
        <f t="shared" si="176"/>
        <v>C:\Users\jaime.benazar\Quorum Business Solutions\Ecopetrol Prometeo - Documents\Planning Space Implementation\3. Analysis &amp; Design\Design\FC22\DRR Jaime\QUIFA-CAJÚA\Cajua\[CAJUA_CF_SEC_New_27-Feb-2024Rev3.xlsx]D-PSDP'!</v>
      </c>
      <c r="G708" s="32" t="s">
        <v>37</v>
      </c>
      <c r="H708" s="33"/>
      <c r="I708" s="33"/>
      <c r="J708" s="37"/>
    </row>
    <row r="709" spans="1:10" x14ac:dyDescent="0.25">
      <c r="A709" s="32" t="s">
        <v>102</v>
      </c>
      <c r="B709" s="32">
        <f t="shared" si="177"/>
        <v>2046</v>
      </c>
      <c r="C709" s="33" t="s">
        <v>8</v>
      </c>
      <c r="D709" s="34" t="s">
        <v>1999</v>
      </c>
      <c r="E709" s="35" t="str">
        <f t="shared" si="175"/>
        <v>PSDP'!</v>
      </c>
      <c r="F709" s="34" t="str">
        <f t="shared" si="176"/>
        <v>C:\Users\jaime.benazar\Quorum Business Solutions\Ecopetrol Prometeo - Documents\Planning Space Implementation\3. Analysis &amp; Design\Design\FC22\DRR Jaime\QUIFA-CAJÚA\Cajua\[CAJUA_CF_SEC_New_27-Feb-2024Rev3.xlsx]D-PSDP'!</v>
      </c>
      <c r="G709" s="32" t="s">
        <v>37</v>
      </c>
      <c r="H709" s="33"/>
      <c r="I709" s="33"/>
      <c r="J709" s="37"/>
    </row>
    <row r="710" spans="1:10" x14ac:dyDescent="0.25">
      <c r="A710" s="32" t="s">
        <v>102</v>
      </c>
      <c r="B710" s="32">
        <f t="shared" si="177"/>
        <v>2047</v>
      </c>
      <c r="C710" s="33" t="s">
        <v>8</v>
      </c>
      <c r="D710" s="34" t="s">
        <v>1999</v>
      </c>
      <c r="E710" s="35" t="str">
        <f t="shared" si="175"/>
        <v>PSDP'!</v>
      </c>
      <c r="F710" s="34" t="str">
        <f t="shared" si="176"/>
        <v>C:\Users\jaime.benazar\Quorum Business Solutions\Ecopetrol Prometeo - Documents\Planning Space Implementation\3. Analysis &amp; Design\Design\FC22\DRR Jaime\QUIFA-CAJÚA\Cajua\[CAJUA_CF_SEC_New_27-Feb-2024Rev3.xlsx]D-PSDP'!</v>
      </c>
      <c r="G710" s="32" t="s">
        <v>37</v>
      </c>
      <c r="H710" s="33"/>
      <c r="I710" s="33"/>
      <c r="J710" s="37"/>
    </row>
    <row r="711" spans="1:10" x14ac:dyDescent="0.25">
      <c r="A711" s="32" t="s">
        <v>102</v>
      </c>
      <c r="B711" s="32">
        <f t="shared" si="177"/>
        <v>2048</v>
      </c>
      <c r="C711" s="33" t="s">
        <v>8</v>
      </c>
      <c r="D711" s="34" t="s">
        <v>1999</v>
      </c>
      <c r="E711" s="35" t="str">
        <f t="shared" si="175"/>
        <v>PSDP'!</v>
      </c>
      <c r="F711" s="34" t="str">
        <f t="shared" si="176"/>
        <v>C:\Users\jaime.benazar\Quorum Business Solutions\Ecopetrol Prometeo - Documents\Planning Space Implementation\3. Analysis &amp; Design\Design\FC22\DRR Jaime\QUIFA-CAJÚA\Cajua\[CAJUA_CF_SEC_New_27-Feb-2024Rev3.xlsx]D-PSDP'!</v>
      </c>
      <c r="G711" s="32" t="s">
        <v>37</v>
      </c>
      <c r="H711" s="33"/>
      <c r="I711" s="33"/>
      <c r="J711" s="37"/>
    </row>
    <row r="712" spans="1:10" x14ac:dyDescent="0.25">
      <c r="A712" s="32" t="s">
        <v>102</v>
      </c>
      <c r="B712" s="32">
        <f t="shared" si="177"/>
        <v>2049</v>
      </c>
      <c r="C712" s="33" t="s">
        <v>8</v>
      </c>
      <c r="D712" s="34" t="s">
        <v>1999</v>
      </c>
      <c r="E712" s="35" t="str">
        <f t="shared" si="175"/>
        <v>PSDP'!</v>
      </c>
      <c r="F712" s="34" t="str">
        <f t="shared" si="176"/>
        <v>C:\Users\jaime.benazar\Quorum Business Solutions\Ecopetrol Prometeo - Documents\Planning Space Implementation\3. Analysis &amp; Design\Design\FC22\DRR Jaime\QUIFA-CAJÚA\Cajua\[CAJUA_CF_SEC_New_27-Feb-2024Rev3.xlsx]D-PSDP'!</v>
      </c>
      <c r="G712" s="32" t="s">
        <v>37</v>
      </c>
      <c r="H712" s="33"/>
      <c r="I712" s="33"/>
      <c r="J712" s="37"/>
    </row>
    <row r="713" spans="1:10" x14ac:dyDescent="0.25">
      <c r="A713" s="32" t="s">
        <v>102</v>
      </c>
      <c r="B713" s="32">
        <f t="shared" si="177"/>
        <v>2050</v>
      </c>
      <c r="C713" s="33" t="s">
        <v>8</v>
      </c>
      <c r="D713" s="34" t="s">
        <v>1999</v>
      </c>
      <c r="E713" s="35" t="str">
        <f t="shared" si="175"/>
        <v>PSDP'!</v>
      </c>
      <c r="F713" s="34" t="str">
        <f t="shared" si="176"/>
        <v>C:\Users\jaime.benazar\Quorum Business Solutions\Ecopetrol Prometeo - Documents\Planning Space Implementation\3. Analysis &amp; Design\Design\FC22\DRR Jaime\QUIFA-CAJÚA\Cajua\[CAJUA_CF_SEC_New_27-Feb-2024Rev3.xlsx]D-PSDP'!</v>
      </c>
      <c r="G713" s="32" t="s">
        <v>37</v>
      </c>
      <c r="H713" s="33"/>
      <c r="I713" s="33"/>
      <c r="J713" s="37"/>
    </row>
    <row r="714" spans="1:10" x14ac:dyDescent="0.25">
      <c r="A714" s="32" t="s">
        <v>102</v>
      </c>
      <c r="B714" s="32">
        <f t="shared" si="177"/>
        <v>2051</v>
      </c>
      <c r="C714" s="33" t="s">
        <v>8</v>
      </c>
      <c r="D714" s="34" t="s">
        <v>1999</v>
      </c>
      <c r="E714" s="35" t="str">
        <f t="shared" si="175"/>
        <v>PSDP'!</v>
      </c>
      <c r="F714" s="34" t="str">
        <f t="shared" si="176"/>
        <v>C:\Users\jaime.benazar\Quorum Business Solutions\Ecopetrol Prometeo - Documents\Planning Space Implementation\3. Analysis &amp; Design\Design\FC22\DRR Jaime\QUIFA-CAJÚA\Cajua\[CAJUA_CF_SEC_New_27-Feb-2024Rev3.xlsx]D-PSDP'!</v>
      </c>
      <c r="G714" s="32" t="s">
        <v>37</v>
      </c>
      <c r="H714" s="33"/>
      <c r="I714" s="33"/>
      <c r="J714" s="37"/>
    </row>
    <row r="715" spans="1:10" x14ac:dyDescent="0.25">
      <c r="A715" s="32" t="s">
        <v>102</v>
      </c>
      <c r="B715" s="32">
        <f t="shared" si="177"/>
        <v>2052</v>
      </c>
      <c r="C715" s="33" t="s">
        <v>8</v>
      </c>
      <c r="D715" s="34" t="s">
        <v>1999</v>
      </c>
      <c r="E715" s="35" t="str">
        <f t="shared" si="175"/>
        <v>PSDP'!</v>
      </c>
      <c r="F715" s="34" t="str">
        <f t="shared" si="176"/>
        <v>C:\Users\jaime.benazar\Quorum Business Solutions\Ecopetrol Prometeo - Documents\Planning Space Implementation\3. Analysis &amp; Design\Design\FC22\DRR Jaime\QUIFA-CAJÚA\Cajua\[CAJUA_CF_SEC_New_27-Feb-2024Rev3.xlsx]D-PSDP'!</v>
      </c>
      <c r="G715" s="32" t="s">
        <v>37</v>
      </c>
      <c r="H715" s="33"/>
      <c r="I715" s="33"/>
      <c r="J715" s="37"/>
    </row>
    <row r="716" spans="1:10" x14ac:dyDescent="0.25">
      <c r="A716" s="32" t="s">
        <v>102</v>
      </c>
      <c r="B716" s="32">
        <f t="shared" si="177"/>
        <v>2053</v>
      </c>
      <c r="C716" s="33" t="s">
        <v>8</v>
      </c>
      <c r="D716" s="34" t="s">
        <v>1999</v>
      </c>
      <c r="E716" s="35" t="str">
        <f t="shared" si="175"/>
        <v>PSDP'!</v>
      </c>
      <c r="F716" s="34" t="str">
        <f t="shared" si="176"/>
        <v>C:\Users\jaime.benazar\Quorum Business Solutions\Ecopetrol Prometeo - Documents\Planning Space Implementation\3. Analysis &amp; Design\Design\FC22\DRR Jaime\QUIFA-CAJÚA\Cajua\[CAJUA_CF_SEC_New_27-Feb-2024Rev3.xlsx]D-PSDP'!</v>
      </c>
      <c r="G716" s="32" t="s">
        <v>37</v>
      </c>
      <c r="H716" s="33"/>
      <c r="I716" s="33"/>
      <c r="J716" s="37"/>
    </row>
    <row r="717" spans="1:10" x14ac:dyDescent="0.25">
      <c r="A717" s="32" t="s">
        <v>102</v>
      </c>
      <c r="B717" s="32">
        <f t="shared" si="177"/>
        <v>2054</v>
      </c>
      <c r="C717" s="33" t="s">
        <v>8</v>
      </c>
      <c r="D717" s="34" t="s">
        <v>1999</v>
      </c>
      <c r="E717" s="35" t="str">
        <f t="shared" si="175"/>
        <v>PSDP'!</v>
      </c>
      <c r="F717" s="34" t="str">
        <f t="shared" si="176"/>
        <v>C:\Users\jaime.benazar\Quorum Business Solutions\Ecopetrol Prometeo - Documents\Planning Space Implementation\3. Analysis &amp; Design\Design\FC22\DRR Jaime\QUIFA-CAJÚA\Cajua\[CAJUA_CF_SEC_New_27-Feb-2024Rev3.xlsx]D-PSDP'!</v>
      </c>
      <c r="G717" s="32" t="s">
        <v>37</v>
      </c>
      <c r="H717" s="33"/>
      <c r="I717" s="33"/>
      <c r="J717" s="37"/>
    </row>
    <row r="718" spans="1:10" x14ac:dyDescent="0.25">
      <c r="A718" s="32" t="s">
        <v>102</v>
      </c>
      <c r="B718" s="32">
        <f t="shared" si="177"/>
        <v>2055</v>
      </c>
      <c r="C718" s="33" t="s">
        <v>8</v>
      </c>
      <c r="D718" s="34" t="s">
        <v>1999</v>
      </c>
      <c r="E718" s="35" t="str">
        <f t="shared" si="175"/>
        <v>PSDP'!</v>
      </c>
      <c r="F718" s="34" t="str">
        <f t="shared" si="176"/>
        <v>C:\Users\jaime.benazar\Quorum Business Solutions\Ecopetrol Prometeo - Documents\Planning Space Implementation\3. Analysis &amp; Design\Design\FC22\DRR Jaime\QUIFA-CAJÚA\Cajua\[CAJUA_CF_SEC_New_27-Feb-2024Rev3.xlsx]D-PSDP'!</v>
      </c>
      <c r="G718" s="32" t="s">
        <v>37</v>
      </c>
      <c r="H718" s="33"/>
      <c r="I718" s="33"/>
      <c r="J718" s="37"/>
    </row>
    <row r="719" spans="1:10" x14ac:dyDescent="0.25">
      <c r="A719" s="32" t="s">
        <v>102</v>
      </c>
      <c r="B719" s="32">
        <f t="shared" si="177"/>
        <v>2056</v>
      </c>
      <c r="C719" s="33" t="s">
        <v>8</v>
      </c>
      <c r="D719" s="34" t="s">
        <v>1999</v>
      </c>
      <c r="E719" s="35" t="str">
        <f t="shared" si="175"/>
        <v>PSDP'!</v>
      </c>
      <c r="F719" s="34" t="str">
        <f t="shared" si="176"/>
        <v>C:\Users\jaime.benazar\Quorum Business Solutions\Ecopetrol Prometeo - Documents\Planning Space Implementation\3. Analysis &amp; Design\Design\FC22\DRR Jaime\QUIFA-CAJÚA\Cajua\[CAJUA_CF_SEC_New_27-Feb-2024Rev3.xlsx]D-PSDP'!</v>
      </c>
      <c r="G719" s="32" t="s">
        <v>37</v>
      </c>
      <c r="H719" s="33"/>
      <c r="I719" s="33"/>
      <c r="J719" s="37"/>
    </row>
    <row r="720" spans="1:10" x14ac:dyDescent="0.25">
      <c r="A720" s="32" t="s">
        <v>102</v>
      </c>
      <c r="B720" s="32">
        <f t="shared" si="177"/>
        <v>2057</v>
      </c>
      <c r="C720" s="33" t="s">
        <v>8</v>
      </c>
      <c r="D720" s="34" t="s">
        <v>1999</v>
      </c>
      <c r="E720" s="35" t="str">
        <f t="shared" si="175"/>
        <v>PSDP'!</v>
      </c>
      <c r="F720" s="34" t="str">
        <f t="shared" si="176"/>
        <v>C:\Users\jaime.benazar\Quorum Business Solutions\Ecopetrol Prometeo - Documents\Planning Space Implementation\3. Analysis &amp; Design\Design\FC22\DRR Jaime\QUIFA-CAJÚA\Cajua\[CAJUA_CF_SEC_New_27-Feb-2024Rev3.xlsx]D-PSDP'!</v>
      </c>
      <c r="G720" s="32" t="s">
        <v>37</v>
      </c>
      <c r="H720" s="33"/>
      <c r="I720" s="33"/>
      <c r="J720" s="37"/>
    </row>
    <row r="721" spans="1:10" x14ac:dyDescent="0.25">
      <c r="A721" s="32" t="s">
        <v>102</v>
      </c>
      <c r="B721" s="32">
        <f t="shared" si="177"/>
        <v>2058</v>
      </c>
      <c r="C721" s="33" t="s">
        <v>8</v>
      </c>
      <c r="D721" s="34" t="s">
        <v>1999</v>
      </c>
      <c r="E721" s="35" t="str">
        <f t="shared" si="175"/>
        <v>PSDP'!</v>
      </c>
      <c r="F721" s="34" t="str">
        <f t="shared" si="176"/>
        <v>C:\Users\jaime.benazar\Quorum Business Solutions\Ecopetrol Prometeo - Documents\Planning Space Implementation\3. Analysis &amp; Design\Design\FC22\DRR Jaime\QUIFA-CAJÚA\Cajua\[CAJUA_CF_SEC_New_27-Feb-2024Rev3.xlsx]D-PSDP'!</v>
      </c>
      <c r="G721" s="32" t="s">
        <v>37</v>
      </c>
      <c r="H721" s="33"/>
      <c r="I721" s="33"/>
      <c r="J721" s="37"/>
    </row>
    <row r="722" spans="1:10" x14ac:dyDescent="0.25">
      <c r="A722" s="32" t="s">
        <v>102</v>
      </c>
      <c r="B722" s="32">
        <f t="shared" si="177"/>
        <v>2059</v>
      </c>
      <c r="C722" s="33" t="s">
        <v>8</v>
      </c>
      <c r="D722" s="34" t="s">
        <v>1999</v>
      </c>
      <c r="E722" s="35" t="str">
        <f t="shared" si="175"/>
        <v>PSDP'!</v>
      </c>
      <c r="F722" s="34" t="str">
        <f t="shared" si="176"/>
        <v>C:\Users\jaime.benazar\Quorum Business Solutions\Ecopetrol Prometeo - Documents\Planning Space Implementation\3. Analysis &amp; Design\Design\FC22\DRR Jaime\QUIFA-CAJÚA\Cajua\[CAJUA_CF_SEC_New_27-Feb-2024Rev3.xlsx]D-PSDP'!</v>
      </c>
      <c r="G722" s="32" t="s">
        <v>37</v>
      </c>
      <c r="H722" s="33"/>
      <c r="I722" s="33"/>
      <c r="J722" s="37"/>
    </row>
    <row r="723" spans="1:10" x14ac:dyDescent="0.25">
      <c r="A723" s="32" t="s">
        <v>28</v>
      </c>
      <c r="B723" s="32"/>
      <c r="C723" s="33" t="s">
        <v>8</v>
      </c>
      <c r="D723" s="34"/>
      <c r="E723" s="35"/>
      <c r="F723" s="34"/>
      <c r="G723" s="32"/>
      <c r="H723" s="33"/>
      <c r="I723" s="33"/>
      <c r="J723" s="33"/>
    </row>
    <row r="724" spans="1:10" x14ac:dyDescent="0.25">
      <c r="A724" s="32" t="s">
        <v>103</v>
      </c>
      <c r="B724" s="32">
        <v>2023</v>
      </c>
      <c r="C724" s="33" t="s">
        <v>8</v>
      </c>
      <c r="D724" s="34" t="s">
        <v>1999</v>
      </c>
      <c r="E724" s="35" t="str">
        <f t="shared" ref="E724:E744" si="178">_xlfn.CONCAT(A724,"'!")</f>
        <v>PSNP'!</v>
      </c>
      <c r="F724" s="34" t="str">
        <f t="shared" ref="F724:F744" si="179">_xlfn.CONCAT(D724:E724)</f>
        <v>C:\Users\jaime.benazar\Quorum Business Solutions\Ecopetrol Prometeo - Documents\Planning Space Implementation\3. Analysis &amp; Design\Design\FC22\DRR Jaime\QUIFA-CAJÚA\Cajua\[CAJUA_CF_SEC_New_27-Feb-2024Rev3.xlsx]D-PSNP'!</v>
      </c>
      <c r="G724" s="32" t="s">
        <v>37</v>
      </c>
      <c r="H724" s="33"/>
      <c r="I724" s="33"/>
      <c r="J724" s="37"/>
    </row>
    <row r="725" spans="1:10" x14ac:dyDescent="0.25">
      <c r="A725" s="32" t="s">
        <v>103</v>
      </c>
      <c r="B725" s="32">
        <f>+B724+1</f>
        <v>2024</v>
      </c>
      <c r="C725" s="33" t="s">
        <v>8</v>
      </c>
      <c r="D725" s="34" t="s">
        <v>1999</v>
      </c>
      <c r="E725" s="35" t="str">
        <f t="shared" si="178"/>
        <v>PSNP'!</v>
      </c>
      <c r="F725" s="34" t="str">
        <f t="shared" si="179"/>
        <v>C:\Users\jaime.benazar\Quorum Business Solutions\Ecopetrol Prometeo - Documents\Planning Space Implementation\3. Analysis &amp; Design\Design\FC22\DRR Jaime\QUIFA-CAJÚA\Cajua\[CAJUA_CF_SEC_New_27-Feb-2024Rev3.xlsx]D-PSNP'!</v>
      </c>
      <c r="G725" s="32" t="s">
        <v>37</v>
      </c>
      <c r="H725" s="33"/>
      <c r="I725" s="33"/>
      <c r="J725" s="37"/>
    </row>
    <row r="726" spans="1:10" x14ac:dyDescent="0.25">
      <c r="A726" s="32" t="s">
        <v>103</v>
      </c>
      <c r="B726" s="32">
        <f t="shared" ref="B726:B737" si="180">+B725+1</f>
        <v>2025</v>
      </c>
      <c r="C726" s="33" t="s">
        <v>8</v>
      </c>
      <c r="D726" s="34" t="s">
        <v>1999</v>
      </c>
      <c r="E726" s="35" t="str">
        <f t="shared" si="178"/>
        <v>PSNP'!</v>
      </c>
      <c r="F726" s="34" t="str">
        <f t="shared" si="179"/>
        <v>C:\Users\jaime.benazar\Quorum Business Solutions\Ecopetrol Prometeo - Documents\Planning Space Implementation\3. Analysis &amp; Design\Design\FC22\DRR Jaime\QUIFA-CAJÚA\Cajua\[CAJUA_CF_SEC_New_27-Feb-2024Rev3.xlsx]D-PSNP'!</v>
      </c>
      <c r="G726" s="32" t="s">
        <v>37</v>
      </c>
      <c r="H726" s="33"/>
      <c r="I726" s="33"/>
      <c r="J726" s="37"/>
    </row>
    <row r="727" spans="1:10" x14ac:dyDescent="0.25">
      <c r="A727" s="32" t="s">
        <v>103</v>
      </c>
      <c r="B727" s="32">
        <f t="shared" si="180"/>
        <v>2026</v>
      </c>
      <c r="C727" s="33" t="s">
        <v>8</v>
      </c>
      <c r="D727" s="34" t="s">
        <v>1999</v>
      </c>
      <c r="E727" s="35" t="str">
        <f t="shared" si="178"/>
        <v>PSNP'!</v>
      </c>
      <c r="F727" s="34" t="str">
        <f t="shared" si="179"/>
        <v>C:\Users\jaime.benazar\Quorum Business Solutions\Ecopetrol Prometeo - Documents\Planning Space Implementation\3. Analysis &amp; Design\Design\FC22\DRR Jaime\QUIFA-CAJÚA\Cajua\[CAJUA_CF_SEC_New_27-Feb-2024Rev3.xlsx]D-PSNP'!</v>
      </c>
      <c r="G727" s="32" t="s">
        <v>37</v>
      </c>
      <c r="H727" s="33"/>
      <c r="I727" s="33"/>
      <c r="J727" s="37"/>
    </row>
    <row r="728" spans="1:10" x14ac:dyDescent="0.25">
      <c r="A728" s="32" t="s">
        <v>103</v>
      </c>
      <c r="B728" s="32">
        <f t="shared" si="180"/>
        <v>2027</v>
      </c>
      <c r="C728" s="33" t="s">
        <v>8</v>
      </c>
      <c r="D728" s="34" t="s">
        <v>1999</v>
      </c>
      <c r="E728" s="35" t="str">
        <f t="shared" si="178"/>
        <v>PSNP'!</v>
      </c>
      <c r="F728" s="34" t="str">
        <f t="shared" si="179"/>
        <v>C:\Users\jaime.benazar\Quorum Business Solutions\Ecopetrol Prometeo - Documents\Planning Space Implementation\3. Analysis &amp; Design\Design\FC22\DRR Jaime\QUIFA-CAJÚA\Cajua\[CAJUA_CF_SEC_New_27-Feb-2024Rev3.xlsx]D-PSNP'!</v>
      </c>
      <c r="G728" s="32" t="s">
        <v>37</v>
      </c>
      <c r="H728" s="33"/>
      <c r="I728" s="33"/>
      <c r="J728" s="37"/>
    </row>
    <row r="729" spans="1:10" x14ac:dyDescent="0.25">
      <c r="A729" s="32" t="s">
        <v>103</v>
      </c>
      <c r="B729" s="32">
        <f t="shared" si="180"/>
        <v>2028</v>
      </c>
      <c r="C729" s="33" t="s">
        <v>8</v>
      </c>
      <c r="D729" s="34" t="s">
        <v>1999</v>
      </c>
      <c r="E729" s="35" t="str">
        <f t="shared" si="178"/>
        <v>PSNP'!</v>
      </c>
      <c r="F729" s="34" t="str">
        <f t="shared" si="179"/>
        <v>C:\Users\jaime.benazar\Quorum Business Solutions\Ecopetrol Prometeo - Documents\Planning Space Implementation\3. Analysis &amp; Design\Design\FC22\DRR Jaime\QUIFA-CAJÚA\Cajua\[CAJUA_CF_SEC_New_27-Feb-2024Rev3.xlsx]D-PSNP'!</v>
      </c>
      <c r="G729" s="32" t="s">
        <v>37</v>
      </c>
      <c r="H729" s="33"/>
      <c r="I729" s="33"/>
      <c r="J729" s="37"/>
    </row>
    <row r="730" spans="1:10" x14ac:dyDescent="0.25">
      <c r="A730" s="32" t="s">
        <v>103</v>
      </c>
      <c r="B730" s="32">
        <f t="shared" si="180"/>
        <v>2029</v>
      </c>
      <c r="C730" s="33" t="s">
        <v>8</v>
      </c>
      <c r="D730" s="34" t="s">
        <v>1999</v>
      </c>
      <c r="E730" s="35" t="str">
        <f t="shared" si="178"/>
        <v>PSNP'!</v>
      </c>
      <c r="F730" s="34" t="str">
        <f t="shared" si="179"/>
        <v>C:\Users\jaime.benazar\Quorum Business Solutions\Ecopetrol Prometeo - Documents\Planning Space Implementation\3. Analysis &amp; Design\Design\FC22\DRR Jaime\QUIFA-CAJÚA\Cajua\[CAJUA_CF_SEC_New_27-Feb-2024Rev3.xlsx]D-PSNP'!</v>
      </c>
      <c r="G730" s="32" t="s">
        <v>37</v>
      </c>
      <c r="H730" s="33"/>
      <c r="I730" s="33"/>
      <c r="J730" s="37"/>
    </row>
    <row r="731" spans="1:10" x14ac:dyDescent="0.25">
      <c r="A731" s="32" t="s">
        <v>103</v>
      </c>
      <c r="B731" s="32">
        <f t="shared" si="180"/>
        <v>2030</v>
      </c>
      <c r="C731" s="33" t="s">
        <v>8</v>
      </c>
      <c r="D731" s="34" t="s">
        <v>1999</v>
      </c>
      <c r="E731" s="35" t="str">
        <f t="shared" si="178"/>
        <v>PSNP'!</v>
      </c>
      <c r="F731" s="34" t="str">
        <f t="shared" si="179"/>
        <v>C:\Users\jaime.benazar\Quorum Business Solutions\Ecopetrol Prometeo - Documents\Planning Space Implementation\3. Analysis &amp; Design\Design\FC22\DRR Jaime\QUIFA-CAJÚA\Cajua\[CAJUA_CF_SEC_New_27-Feb-2024Rev3.xlsx]D-PSNP'!</v>
      </c>
      <c r="G731" s="32" t="s">
        <v>37</v>
      </c>
      <c r="H731" s="33"/>
      <c r="I731" s="33"/>
      <c r="J731" s="37"/>
    </row>
    <row r="732" spans="1:10" x14ac:dyDescent="0.25">
      <c r="A732" s="32" t="s">
        <v>103</v>
      </c>
      <c r="B732" s="32">
        <f t="shared" si="180"/>
        <v>2031</v>
      </c>
      <c r="C732" s="33" t="s">
        <v>8</v>
      </c>
      <c r="D732" s="34" t="s">
        <v>1999</v>
      </c>
      <c r="E732" s="35" t="str">
        <f t="shared" si="178"/>
        <v>PSNP'!</v>
      </c>
      <c r="F732" s="34" t="str">
        <f t="shared" si="179"/>
        <v>C:\Users\jaime.benazar\Quorum Business Solutions\Ecopetrol Prometeo - Documents\Planning Space Implementation\3. Analysis &amp; Design\Design\FC22\DRR Jaime\QUIFA-CAJÚA\Cajua\[CAJUA_CF_SEC_New_27-Feb-2024Rev3.xlsx]D-PSNP'!</v>
      </c>
      <c r="G732" s="32" t="s">
        <v>37</v>
      </c>
      <c r="H732" s="33"/>
      <c r="I732" s="33"/>
      <c r="J732" s="37"/>
    </row>
    <row r="733" spans="1:10" x14ac:dyDescent="0.25">
      <c r="A733" s="32" t="s">
        <v>103</v>
      </c>
      <c r="B733" s="32">
        <f t="shared" si="180"/>
        <v>2032</v>
      </c>
      <c r="C733" s="33" t="s">
        <v>8</v>
      </c>
      <c r="D733" s="34" t="s">
        <v>1999</v>
      </c>
      <c r="E733" s="35" t="str">
        <f t="shared" si="178"/>
        <v>PSNP'!</v>
      </c>
      <c r="F733" s="34" t="str">
        <f t="shared" si="179"/>
        <v>C:\Users\jaime.benazar\Quorum Business Solutions\Ecopetrol Prometeo - Documents\Planning Space Implementation\3. Analysis &amp; Design\Design\FC22\DRR Jaime\QUIFA-CAJÚA\Cajua\[CAJUA_CF_SEC_New_27-Feb-2024Rev3.xlsx]D-PSNP'!</v>
      </c>
      <c r="G733" s="32" t="s">
        <v>37</v>
      </c>
      <c r="H733" s="33"/>
      <c r="I733" s="33"/>
      <c r="J733" s="37"/>
    </row>
    <row r="734" spans="1:10" x14ac:dyDescent="0.25">
      <c r="A734" s="32" t="s">
        <v>103</v>
      </c>
      <c r="B734" s="32">
        <f t="shared" si="180"/>
        <v>2033</v>
      </c>
      <c r="C734" s="33" t="s">
        <v>8</v>
      </c>
      <c r="D734" s="34" t="s">
        <v>1999</v>
      </c>
      <c r="E734" s="35" t="str">
        <f t="shared" si="178"/>
        <v>PSNP'!</v>
      </c>
      <c r="F734" s="34" t="str">
        <f t="shared" si="179"/>
        <v>C:\Users\jaime.benazar\Quorum Business Solutions\Ecopetrol Prometeo - Documents\Planning Space Implementation\3. Analysis &amp; Design\Design\FC22\DRR Jaime\QUIFA-CAJÚA\Cajua\[CAJUA_CF_SEC_New_27-Feb-2024Rev3.xlsx]D-PSNP'!</v>
      </c>
      <c r="G734" s="32" t="s">
        <v>37</v>
      </c>
      <c r="H734" s="33"/>
      <c r="I734" s="33"/>
      <c r="J734" s="37"/>
    </row>
    <row r="735" spans="1:10" x14ac:dyDescent="0.25">
      <c r="A735" s="32" t="s">
        <v>103</v>
      </c>
      <c r="B735" s="32">
        <f t="shared" si="180"/>
        <v>2034</v>
      </c>
      <c r="C735" s="33" t="s">
        <v>8</v>
      </c>
      <c r="D735" s="34" t="s">
        <v>1999</v>
      </c>
      <c r="E735" s="35" t="str">
        <f t="shared" si="178"/>
        <v>PSNP'!</v>
      </c>
      <c r="F735" s="34" t="str">
        <f t="shared" si="179"/>
        <v>C:\Users\jaime.benazar\Quorum Business Solutions\Ecopetrol Prometeo - Documents\Planning Space Implementation\3. Analysis &amp; Design\Design\FC22\DRR Jaime\QUIFA-CAJÚA\Cajua\[CAJUA_CF_SEC_New_27-Feb-2024Rev3.xlsx]D-PSNP'!</v>
      </c>
      <c r="G735" s="32" t="s">
        <v>37</v>
      </c>
      <c r="H735" s="33"/>
      <c r="I735" s="33"/>
      <c r="J735" s="37"/>
    </row>
    <row r="736" spans="1:10" x14ac:dyDescent="0.25">
      <c r="A736" s="32" t="s">
        <v>103</v>
      </c>
      <c r="B736" s="32">
        <f t="shared" si="180"/>
        <v>2035</v>
      </c>
      <c r="C736" s="33" t="s">
        <v>8</v>
      </c>
      <c r="D736" s="34" t="s">
        <v>1999</v>
      </c>
      <c r="E736" s="35" t="str">
        <f t="shared" si="178"/>
        <v>PSNP'!</v>
      </c>
      <c r="F736" s="34" t="str">
        <f t="shared" si="179"/>
        <v>C:\Users\jaime.benazar\Quorum Business Solutions\Ecopetrol Prometeo - Documents\Planning Space Implementation\3. Analysis &amp; Design\Design\FC22\DRR Jaime\QUIFA-CAJÚA\Cajua\[CAJUA_CF_SEC_New_27-Feb-2024Rev3.xlsx]D-PSNP'!</v>
      </c>
      <c r="G736" s="32" t="s">
        <v>37</v>
      </c>
      <c r="H736" s="33"/>
      <c r="I736" s="33"/>
      <c r="J736" s="37"/>
    </row>
    <row r="737" spans="1:10" x14ac:dyDescent="0.25">
      <c r="A737" s="32" t="s">
        <v>103</v>
      </c>
      <c r="B737" s="32">
        <f t="shared" si="180"/>
        <v>2036</v>
      </c>
      <c r="C737" s="33" t="s">
        <v>8</v>
      </c>
      <c r="D737" s="34" t="s">
        <v>1999</v>
      </c>
      <c r="E737" s="35" t="str">
        <f t="shared" si="178"/>
        <v>PSNP'!</v>
      </c>
      <c r="F737" s="34" t="str">
        <f t="shared" si="179"/>
        <v>C:\Users\jaime.benazar\Quorum Business Solutions\Ecopetrol Prometeo - Documents\Planning Space Implementation\3. Analysis &amp; Design\Design\FC22\DRR Jaime\QUIFA-CAJÚA\Cajua\[CAJUA_CF_SEC_New_27-Feb-2024Rev3.xlsx]D-PSNP'!</v>
      </c>
      <c r="G737" s="32" t="s">
        <v>37</v>
      </c>
      <c r="H737" s="33"/>
      <c r="I737" s="33"/>
      <c r="J737" s="37"/>
    </row>
    <row r="738" spans="1:10" x14ac:dyDescent="0.25">
      <c r="A738" s="32" t="s">
        <v>103</v>
      </c>
      <c r="B738" s="32">
        <f>+B737+1</f>
        <v>2037</v>
      </c>
      <c r="C738" s="33" t="s">
        <v>8</v>
      </c>
      <c r="D738" s="34" t="s">
        <v>1999</v>
      </c>
      <c r="E738" s="35" t="str">
        <f t="shared" si="178"/>
        <v>PSNP'!</v>
      </c>
      <c r="F738" s="34" t="str">
        <f t="shared" si="179"/>
        <v>C:\Users\jaime.benazar\Quorum Business Solutions\Ecopetrol Prometeo - Documents\Planning Space Implementation\3. Analysis &amp; Design\Design\FC22\DRR Jaime\QUIFA-CAJÚA\Cajua\[CAJUA_CF_SEC_New_27-Feb-2024Rev3.xlsx]D-PSNP'!</v>
      </c>
      <c r="G738" s="32" t="s">
        <v>37</v>
      </c>
      <c r="H738" s="33"/>
      <c r="I738" s="33"/>
      <c r="J738" s="37"/>
    </row>
    <row r="739" spans="1:10" x14ac:dyDescent="0.25">
      <c r="A739" s="32" t="s">
        <v>103</v>
      </c>
      <c r="B739" s="32">
        <f t="shared" ref="B739:B741" si="181">+B738+1</f>
        <v>2038</v>
      </c>
      <c r="C739" s="33" t="s">
        <v>8</v>
      </c>
      <c r="D739" s="34" t="s">
        <v>1999</v>
      </c>
      <c r="E739" s="35" t="str">
        <f t="shared" si="178"/>
        <v>PSNP'!</v>
      </c>
      <c r="F739" s="34" t="str">
        <f t="shared" si="179"/>
        <v>C:\Users\jaime.benazar\Quorum Business Solutions\Ecopetrol Prometeo - Documents\Planning Space Implementation\3. Analysis &amp; Design\Design\FC22\DRR Jaime\QUIFA-CAJÚA\Cajua\[CAJUA_CF_SEC_New_27-Feb-2024Rev3.xlsx]D-PSNP'!</v>
      </c>
      <c r="G739" s="32" t="s">
        <v>37</v>
      </c>
      <c r="H739" s="33"/>
      <c r="I739" s="33"/>
      <c r="J739" s="37"/>
    </row>
    <row r="740" spans="1:10" x14ac:dyDescent="0.25">
      <c r="A740" s="32" t="s">
        <v>103</v>
      </c>
      <c r="B740" s="32">
        <f t="shared" si="181"/>
        <v>2039</v>
      </c>
      <c r="C740" s="33" t="s">
        <v>8</v>
      </c>
      <c r="D740" s="34" t="s">
        <v>1999</v>
      </c>
      <c r="E740" s="35" t="str">
        <f t="shared" si="178"/>
        <v>PSNP'!</v>
      </c>
      <c r="F740" s="34" t="str">
        <f t="shared" si="179"/>
        <v>C:\Users\jaime.benazar\Quorum Business Solutions\Ecopetrol Prometeo - Documents\Planning Space Implementation\3. Analysis &amp; Design\Design\FC22\DRR Jaime\QUIFA-CAJÚA\Cajua\[CAJUA_CF_SEC_New_27-Feb-2024Rev3.xlsx]D-PSNP'!</v>
      </c>
      <c r="G740" s="32" t="s">
        <v>37</v>
      </c>
      <c r="H740" s="33"/>
      <c r="I740" s="33"/>
      <c r="J740" s="37"/>
    </row>
    <row r="741" spans="1:10" x14ac:dyDescent="0.25">
      <c r="A741" s="32" t="s">
        <v>103</v>
      </c>
      <c r="B741" s="32">
        <f t="shared" si="181"/>
        <v>2040</v>
      </c>
      <c r="C741" s="33" t="s">
        <v>8</v>
      </c>
      <c r="D741" s="34" t="s">
        <v>1999</v>
      </c>
      <c r="E741" s="35" t="str">
        <f t="shared" si="178"/>
        <v>PSNP'!</v>
      </c>
      <c r="F741" s="34" t="str">
        <f t="shared" si="179"/>
        <v>C:\Users\jaime.benazar\Quorum Business Solutions\Ecopetrol Prometeo - Documents\Planning Space Implementation\3. Analysis &amp; Design\Design\FC22\DRR Jaime\QUIFA-CAJÚA\Cajua\[CAJUA_CF_SEC_New_27-Feb-2024Rev3.xlsx]D-PSNP'!</v>
      </c>
      <c r="G741" s="32" t="s">
        <v>37</v>
      </c>
      <c r="H741" s="33"/>
      <c r="I741" s="33"/>
      <c r="J741" s="37"/>
    </row>
    <row r="742" spans="1:10" x14ac:dyDescent="0.25">
      <c r="A742" s="32" t="s">
        <v>103</v>
      </c>
      <c r="B742" s="32">
        <f>+B741+1</f>
        <v>2041</v>
      </c>
      <c r="C742" s="33" t="s">
        <v>8</v>
      </c>
      <c r="D742" s="34" t="s">
        <v>1999</v>
      </c>
      <c r="E742" s="35" t="str">
        <f t="shared" si="178"/>
        <v>PSNP'!</v>
      </c>
      <c r="F742" s="34" t="str">
        <f t="shared" si="179"/>
        <v>C:\Users\jaime.benazar\Quorum Business Solutions\Ecopetrol Prometeo - Documents\Planning Space Implementation\3. Analysis &amp; Design\Design\FC22\DRR Jaime\QUIFA-CAJÚA\Cajua\[CAJUA_CF_SEC_New_27-Feb-2024Rev3.xlsx]D-PSNP'!</v>
      </c>
      <c r="G742" s="32" t="s">
        <v>37</v>
      </c>
      <c r="H742" s="33"/>
      <c r="I742" s="33"/>
      <c r="J742" s="37"/>
    </row>
    <row r="743" spans="1:10" x14ac:dyDescent="0.25">
      <c r="A743" s="32" t="s">
        <v>103</v>
      </c>
      <c r="B743" s="32">
        <f t="shared" ref="B743:B744" si="182">+B742+1</f>
        <v>2042</v>
      </c>
      <c r="C743" s="33" t="s">
        <v>8</v>
      </c>
      <c r="D743" s="34" t="s">
        <v>1999</v>
      </c>
      <c r="E743" s="35" t="str">
        <f t="shared" si="178"/>
        <v>PSNP'!</v>
      </c>
      <c r="F743" s="34" t="str">
        <f t="shared" si="179"/>
        <v>C:\Users\jaime.benazar\Quorum Business Solutions\Ecopetrol Prometeo - Documents\Planning Space Implementation\3. Analysis &amp; Design\Design\FC22\DRR Jaime\QUIFA-CAJÚA\Cajua\[CAJUA_CF_SEC_New_27-Feb-2024Rev3.xlsx]D-PSNP'!</v>
      </c>
      <c r="G743" s="32" t="s">
        <v>37</v>
      </c>
      <c r="H743" s="33"/>
      <c r="I743" s="33"/>
      <c r="J743" s="37"/>
    </row>
    <row r="744" spans="1:10" x14ac:dyDescent="0.25">
      <c r="A744" s="32" t="s">
        <v>103</v>
      </c>
      <c r="B744" s="32">
        <f t="shared" si="182"/>
        <v>2043</v>
      </c>
      <c r="C744" s="33" t="s">
        <v>8</v>
      </c>
      <c r="D744" s="34" t="s">
        <v>1999</v>
      </c>
      <c r="E744" s="35" t="str">
        <f t="shared" si="178"/>
        <v>PSNP'!</v>
      </c>
      <c r="F744" s="34" t="str">
        <f t="shared" si="179"/>
        <v>C:\Users\jaime.benazar\Quorum Business Solutions\Ecopetrol Prometeo - Documents\Planning Space Implementation\3. Analysis &amp; Design\Design\FC22\DRR Jaime\QUIFA-CAJÚA\Cajua\[CAJUA_CF_SEC_New_27-Feb-2024Rev3.xlsx]D-PSNP'!</v>
      </c>
      <c r="G744" s="32" t="s">
        <v>37</v>
      </c>
      <c r="H744" s="33"/>
      <c r="I744" s="33"/>
      <c r="J744" s="37"/>
    </row>
    <row r="745" spans="1:10" x14ac:dyDescent="0.25">
      <c r="A745" s="32" t="s">
        <v>103</v>
      </c>
      <c r="B745" s="32">
        <f>+B744+1</f>
        <v>2044</v>
      </c>
      <c r="C745" s="33" t="s">
        <v>8</v>
      </c>
      <c r="D745" s="34" t="s">
        <v>1999</v>
      </c>
      <c r="E745" s="35" t="str">
        <f t="shared" ref="E745:E760" si="183">_xlfn.CONCAT(A745,"'!")</f>
        <v>PSNP'!</v>
      </c>
      <c r="F745" s="34" t="str">
        <f t="shared" ref="F745:F760" si="184">_xlfn.CONCAT(D745:E745)</f>
        <v>C:\Users\jaime.benazar\Quorum Business Solutions\Ecopetrol Prometeo - Documents\Planning Space Implementation\3. Analysis &amp; Design\Design\FC22\DRR Jaime\QUIFA-CAJÚA\Cajua\[CAJUA_CF_SEC_New_27-Feb-2024Rev3.xlsx]D-PSNP'!</v>
      </c>
      <c r="G745" s="32" t="s">
        <v>37</v>
      </c>
      <c r="H745" s="33"/>
      <c r="I745" s="33"/>
      <c r="J745" s="37"/>
    </row>
    <row r="746" spans="1:10" x14ac:dyDescent="0.25">
      <c r="A746" s="32" t="s">
        <v>103</v>
      </c>
      <c r="B746" s="32">
        <f t="shared" ref="B746:B760" si="185">+B745+1</f>
        <v>2045</v>
      </c>
      <c r="C746" s="33" t="s">
        <v>8</v>
      </c>
      <c r="D746" s="34" t="s">
        <v>1999</v>
      </c>
      <c r="E746" s="35" t="str">
        <f t="shared" si="183"/>
        <v>PSNP'!</v>
      </c>
      <c r="F746" s="34" t="str">
        <f t="shared" si="184"/>
        <v>C:\Users\jaime.benazar\Quorum Business Solutions\Ecopetrol Prometeo - Documents\Planning Space Implementation\3. Analysis &amp; Design\Design\FC22\DRR Jaime\QUIFA-CAJÚA\Cajua\[CAJUA_CF_SEC_New_27-Feb-2024Rev3.xlsx]D-PSNP'!</v>
      </c>
      <c r="G746" s="32" t="s">
        <v>37</v>
      </c>
      <c r="H746" s="33"/>
      <c r="I746" s="33"/>
      <c r="J746" s="37"/>
    </row>
    <row r="747" spans="1:10" x14ac:dyDescent="0.25">
      <c r="A747" s="32" t="s">
        <v>103</v>
      </c>
      <c r="B747" s="32">
        <f t="shared" si="185"/>
        <v>2046</v>
      </c>
      <c r="C747" s="33" t="s">
        <v>8</v>
      </c>
      <c r="D747" s="34" t="s">
        <v>1999</v>
      </c>
      <c r="E747" s="35" t="str">
        <f t="shared" si="183"/>
        <v>PSNP'!</v>
      </c>
      <c r="F747" s="34" t="str">
        <f t="shared" si="184"/>
        <v>C:\Users\jaime.benazar\Quorum Business Solutions\Ecopetrol Prometeo - Documents\Planning Space Implementation\3. Analysis &amp; Design\Design\FC22\DRR Jaime\QUIFA-CAJÚA\Cajua\[CAJUA_CF_SEC_New_27-Feb-2024Rev3.xlsx]D-PSNP'!</v>
      </c>
      <c r="G747" s="32" t="s">
        <v>37</v>
      </c>
      <c r="H747" s="33"/>
      <c r="I747" s="33"/>
      <c r="J747" s="37"/>
    </row>
    <row r="748" spans="1:10" x14ac:dyDescent="0.25">
      <c r="A748" s="32" t="s">
        <v>103</v>
      </c>
      <c r="B748" s="32">
        <f t="shared" si="185"/>
        <v>2047</v>
      </c>
      <c r="C748" s="33" t="s">
        <v>8</v>
      </c>
      <c r="D748" s="34" t="s">
        <v>1999</v>
      </c>
      <c r="E748" s="35" t="str">
        <f t="shared" si="183"/>
        <v>PSNP'!</v>
      </c>
      <c r="F748" s="34" t="str">
        <f t="shared" si="184"/>
        <v>C:\Users\jaime.benazar\Quorum Business Solutions\Ecopetrol Prometeo - Documents\Planning Space Implementation\3. Analysis &amp; Design\Design\FC22\DRR Jaime\QUIFA-CAJÚA\Cajua\[CAJUA_CF_SEC_New_27-Feb-2024Rev3.xlsx]D-PSNP'!</v>
      </c>
      <c r="G748" s="32" t="s">
        <v>37</v>
      </c>
      <c r="H748" s="33"/>
      <c r="I748" s="33"/>
      <c r="J748" s="37"/>
    </row>
    <row r="749" spans="1:10" x14ac:dyDescent="0.25">
      <c r="A749" s="32" t="s">
        <v>103</v>
      </c>
      <c r="B749" s="32">
        <f t="shared" si="185"/>
        <v>2048</v>
      </c>
      <c r="C749" s="33" t="s">
        <v>8</v>
      </c>
      <c r="D749" s="34" t="s">
        <v>1999</v>
      </c>
      <c r="E749" s="35" t="str">
        <f t="shared" si="183"/>
        <v>PSNP'!</v>
      </c>
      <c r="F749" s="34" t="str">
        <f t="shared" si="184"/>
        <v>C:\Users\jaime.benazar\Quorum Business Solutions\Ecopetrol Prometeo - Documents\Planning Space Implementation\3. Analysis &amp; Design\Design\FC22\DRR Jaime\QUIFA-CAJÚA\Cajua\[CAJUA_CF_SEC_New_27-Feb-2024Rev3.xlsx]D-PSNP'!</v>
      </c>
      <c r="G749" s="32" t="s">
        <v>37</v>
      </c>
      <c r="H749" s="33"/>
      <c r="I749" s="33"/>
      <c r="J749" s="37"/>
    </row>
    <row r="750" spans="1:10" x14ac:dyDescent="0.25">
      <c r="A750" s="32" t="s">
        <v>103</v>
      </c>
      <c r="B750" s="32">
        <f t="shared" si="185"/>
        <v>2049</v>
      </c>
      <c r="C750" s="33" t="s">
        <v>8</v>
      </c>
      <c r="D750" s="34" t="s">
        <v>1999</v>
      </c>
      <c r="E750" s="35" t="str">
        <f t="shared" si="183"/>
        <v>PSNP'!</v>
      </c>
      <c r="F750" s="34" t="str">
        <f t="shared" si="184"/>
        <v>C:\Users\jaime.benazar\Quorum Business Solutions\Ecopetrol Prometeo - Documents\Planning Space Implementation\3. Analysis &amp; Design\Design\FC22\DRR Jaime\QUIFA-CAJÚA\Cajua\[CAJUA_CF_SEC_New_27-Feb-2024Rev3.xlsx]D-PSNP'!</v>
      </c>
      <c r="G750" s="32" t="s">
        <v>37</v>
      </c>
      <c r="H750" s="33"/>
      <c r="I750" s="33"/>
      <c r="J750" s="37"/>
    </row>
    <row r="751" spans="1:10" x14ac:dyDescent="0.25">
      <c r="A751" s="32" t="s">
        <v>103</v>
      </c>
      <c r="B751" s="32">
        <f t="shared" si="185"/>
        <v>2050</v>
      </c>
      <c r="C751" s="33" t="s">
        <v>8</v>
      </c>
      <c r="D751" s="34" t="s">
        <v>1999</v>
      </c>
      <c r="E751" s="35" t="str">
        <f t="shared" si="183"/>
        <v>PSNP'!</v>
      </c>
      <c r="F751" s="34" t="str">
        <f t="shared" si="184"/>
        <v>C:\Users\jaime.benazar\Quorum Business Solutions\Ecopetrol Prometeo - Documents\Planning Space Implementation\3. Analysis &amp; Design\Design\FC22\DRR Jaime\QUIFA-CAJÚA\Cajua\[CAJUA_CF_SEC_New_27-Feb-2024Rev3.xlsx]D-PSNP'!</v>
      </c>
      <c r="G751" s="32" t="s">
        <v>37</v>
      </c>
      <c r="H751" s="33"/>
      <c r="I751" s="33"/>
      <c r="J751" s="37"/>
    </row>
    <row r="752" spans="1:10" x14ac:dyDescent="0.25">
      <c r="A752" s="32" t="s">
        <v>103</v>
      </c>
      <c r="B752" s="32">
        <f t="shared" si="185"/>
        <v>2051</v>
      </c>
      <c r="C752" s="33" t="s">
        <v>8</v>
      </c>
      <c r="D752" s="34" t="s">
        <v>1999</v>
      </c>
      <c r="E752" s="35" t="str">
        <f t="shared" si="183"/>
        <v>PSNP'!</v>
      </c>
      <c r="F752" s="34" t="str">
        <f t="shared" si="184"/>
        <v>C:\Users\jaime.benazar\Quorum Business Solutions\Ecopetrol Prometeo - Documents\Planning Space Implementation\3. Analysis &amp; Design\Design\FC22\DRR Jaime\QUIFA-CAJÚA\Cajua\[CAJUA_CF_SEC_New_27-Feb-2024Rev3.xlsx]D-PSNP'!</v>
      </c>
      <c r="G752" s="32" t="s">
        <v>37</v>
      </c>
      <c r="H752" s="33"/>
      <c r="I752" s="33"/>
      <c r="J752" s="37"/>
    </row>
    <row r="753" spans="1:10" x14ac:dyDescent="0.25">
      <c r="A753" s="32" t="s">
        <v>103</v>
      </c>
      <c r="B753" s="32">
        <f t="shared" si="185"/>
        <v>2052</v>
      </c>
      <c r="C753" s="33" t="s">
        <v>8</v>
      </c>
      <c r="D753" s="34" t="s">
        <v>1999</v>
      </c>
      <c r="E753" s="35" t="str">
        <f t="shared" si="183"/>
        <v>PSNP'!</v>
      </c>
      <c r="F753" s="34" t="str">
        <f t="shared" si="184"/>
        <v>C:\Users\jaime.benazar\Quorum Business Solutions\Ecopetrol Prometeo - Documents\Planning Space Implementation\3. Analysis &amp; Design\Design\FC22\DRR Jaime\QUIFA-CAJÚA\Cajua\[CAJUA_CF_SEC_New_27-Feb-2024Rev3.xlsx]D-PSNP'!</v>
      </c>
      <c r="G753" s="32" t="s">
        <v>37</v>
      </c>
      <c r="H753" s="33"/>
      <c r="I753" s="33"/>
      <c r="J753" s="37"/>
    </row>
    <row r="754" spans="1:10" x14ac:dyDescent="0.25">
      <c r="A754" s="32" t="s">
        <v>103</v>
      </c>
      <c r="B754" s="32">
        <f t="shared" si="185"/>
        <v>2053</v>
      </c>
      <c r="C754" s="33" t="s">
        <v>8</v>
      </c>
      <c r="D754" s="34" t="s">
        <v>1999</v>
      </c>
      <c r="E754" s="35" t="str">
        <f t="shared" si="183"/>
        <v>PSNP'!</v>
      </c>
      <c r="F754" s="34" t="str">
        <f t="shared" si="184"/>
        <v>C:\Users\jaime.benazar\Quorum Business Solutions\Ecopetrol Prometeo - Documents\Planning Space Implementation\3. Analysis &amp; Design\Design\FC22\DRR Jaime\QUIFA-CAJÚA\Cajua\[CAJUA_CF_SEC_New_27-Feb-2024Rev3.xlsx]D-PSNP'!</v>
      </c>
      <c r="G754" s="32" t="s">
        <v>37</v>
      </c>
      <c r="H754" s="33"/>
      <c r="I754" s="33"/>
      <c r="J754" s="37"/>
    </row>
    <row r="755" spans="1:10" x14ac:dyDescent="0.25">
      <c r="A755" s="32" t="s">
        <v>103</v>
      </c>
      <c r="B755" s="32">
        <f t="shared" si="185"/>
        <v>2054</v>
      </c>
      <c r="C755" s="33" t="s">
        <v>8</v>
      </c>
      <c r="D755" s="34" t="s">
        <v>1999</v>
      </c>
      <c r="E755" s="35" t="str">
        <f t="shared" si="183"/>
        <v>PSNP'!</v>
      </c>
      <c r="F755" s="34" t="str">
        <f t="shared" si="184"/>
        <v>C:\Users\jaime.benazar\Quorum Business Solutions\Ecopetrol Prometeo - Documents\Planning Space Implementation\3. Analysis &amp; Design\Design\FC22\DRR Jaime\QUIFA-CAJÚA\Cajua\[CAJUA_CF_SEC_New_27-Feb-2024Rev3.xlsx]D-PSNP'!</v>
      </c>
      <c r="G755" s="32" t="s">
        <v>37</v>
      </c>
      <c r="H755" s="33"/>
      <c r="I755" s="33"/>
      <c r="J755" s="37"/>
    </row>
    <row r="756" spans="1:10" x14ac:dyDescent="0.25">
      <c r="A756" s="32" t="s">
        <v>103</v>
      </c>
      <c r="B756" s="32">
        <f t="shared" si="185"/>
        <v>2055</v>
      </c>
      <c r="C756" s="33" t="s">
        <v>8</v>
      </c>
      <c r="D756" s="34" t="s">
        <v>1999</v>
      </c>
      <c r="E756" s="35" t="str">
        <f t="shared" si="183"/>
        <v>PSNP'!</v>
      </c>
      <c r="F756" s="34" t="str">
        <f t="shared" si="184"/>
        <v>C:\Users\jaime.benazar\Quorum Business Solutions\Ecopetrol Prometeo - Documents\Planning Space Implementation\3. Analysis &amp; Design\Design\FC22\DRR Jaime\QUIFA-CAJÚA\Cajua\[CAJUA_CF_SEC_New_27-Feb-2024Rev3.xlsx]D-PSNP'!</v>
      </c>
      <c r="G756" s="32" t="s">
        <v>37</v>
      </c>
      <c r="H756" s="33"/>
      <c r="I756" s="33"/>
      <c r="J756" s="37"/>
    </row>
    <row r="757" spans="1:10" x14ac:dyDescent="0.25">
      <c r="A757" s="32" t="s">
        <v>103</v>
      </c>
      <c r="B757" s="32">
        <f t="shared" si="185"/>
        <v>2056</v>
      </c>
      <c r="C757" s="33" t="s">
        <v>8</v>
      </c>
      <c r="D757" s="34" t="s">
        <v>1999</v>
      </c>
      <c r="E757" s="35" t="str">
        <f t="shared" si="183"/>
        <v>PSNP'!</v>
      </c>
      <c r="F757" s="34" t="str">
        <f t="shared" si="184"/>
        <v>C:\Users\jaime.benazar\Quorum Business Solutions\Ecopetrol Prometeo - Documents\Planning Space Implementation\3. Analysis &amp; Design\Design\FC22\DRR Jaime\QUIFA-CAJÚA\Cajua\[CAJUA_CF_SEC_New_27-Feb-2024Rev3.xlsx]D-PSNP'!</v>
      </c>
      <c r="G757" s="32" t="s">
        <v>37</v>
      </c>
      <c r="H757" s="33"/>
      <c r="I757" s="33"/>
      <c r="J757" s="37"/>
    </row>
    <row r="758" spans="1:10" x14ac:dyDescent="0.25">
      <c r="A758" s="32" t="s">
        <v>103</v>
      </c>
      <c r="B758" s="32">
        <f t="shared" si="185"/>
        <v>2057</v>
      </c>
      <c r="C758" s="33" t="s">
        <v>8</v>
      </c>
      <c r="D758" s="34" t="s">
        <v>1999</v>
      </c>
      <c r="E758" s="35" t="str">
        <f t="shared" si="183"/>
        <v>PSNP'!</v>
      </c>
      <c r="F758" s="34" t="str">
        <f t="shared" si="184"/>
        <v>C:\Users\jaime.benazar\Quorum Business Solutions\Ecopetrol Prometeo - Documents\Planning Space Implementation\3. Analysis &amp; Design\Design\FC22\DRR Jaime\QUIFA-CAJÚA\Cajua\[CAJUA_CF_SEC_New_27-Feb-2024Rev3.xlsx]D-PSNP'!</v>
      </c>
      <c r="G758" s="32" t="s">
        <v>37</v>
      </c>
      <c r="H758" s="33"/>
      <c r="I758" s="33"/>
      <c r="J758" s="37"/>
    </row>
    <row r="759" spans="1:10" x14ac:dyDescent="0.25">
      <c r="A759" s="32" t="s">
        <v>103</v>
      </c>
      <c r="B759" s="32">
        <f t="shared" si="185"/>
        <v>2058</v>
      </c>
      <c r="C759" s="33" t="s">
        <v>8</v>
      </c>
      <c r="D759" s="34" t="s">
        <v>1999</v>
      </c>
      <c r="E759" s="35" t="str">
        <f t="shared" si="183"/>
        <v>PSNP'!</v>
      </c>
      <c r="F759" s="34" t="str">
        <f t="shared" si="184"/>
        <v>C:\Users\jaime.benazar\Quorum Business Solutions\Ecopetrol Prometeo - Documents\Planning Space Implementation\3. Analysis &amp; Design\Design\FC22\DRR Jaime\QUIFA-CAJÚA\Cajua\[CAJUA_CF_SEC_New_27-Feb-2024Rev3.xlsx]D-PSNP'!</v>
      </c>
      <c r="G759" s="32" t="s">
        <v>37</v>
      </c>
      <c r="H759" s="33"/>
      <c r="I759" s="33"/>
      <c r="J759" s="37"/>
    </row>
    <row r="760" spans="1:10" x14ac:dyDescent="0.25">
      <c r="A760" s="32" t="s">
        <v>103</v>
      </c>
      <c r="B760" s="32">
        <f t="shared" si="185"/>
        <v>2059</v>
      </c>
      <c r="C760" s="33" t="s">
        <v>8</v>
      </c>
      <c r="D760" s="34" t="s">
        <v>1999</v>
      </c>
      <c r="E760" s="35" t="str">
        <f t="shared" si="183"/>
        <v>PSNP'!</v>
      </c>
      <c r="F760" s="34" t="str">
        <f t="shared" si="184"/>
        <v>C:\Users\jaime.benazar\Quorum Business Solutions\Ecopetrol Prometeo - Documents\Planning Space Implementation\3. Analysis &amp; Design\Design\FC22\DRR Jaime\QUIFA-CAJÚA\Cajua\[CAJUA_CF_SEC_New_27-Feb-2024Rev3.xlsx]D-PSNP'!</v>
      </c>
      <c r="G760" s="32" t="s">
        <v>37</v>
      </c>
      <c r="H760" s="33"/>
      <c r="I760" s="33"/>
      <c r="J760" s="37"/>
    </row>
    <row r="761" spans="1:10" x14ac:dyDescent="0.25">
      <c r="A761" s="32" t="s">
        <v>28</v>
      </c>
      <c r="B761" s="32"/>
      <c r="C761" s="33" t="s">
        <v>8</v>
      </c>
      <c r="D761" s="34"/>
      <c r="E761" s="35"/>
      <c r="F761" s="34"/>
      <c r="G761" s="32"/>
      <c r="H761" s="33"/>
      <c r="I761" s="33"/>
      <c r="J761" s="33"/>
    </row>
    <row r="762" spans="1:10" x14ac:dyDescent="0.25">
      <c r="A762" s="32" t="s">
        <v>104</v>
      </c>
      <c r="B762" s="32">
        <v>2023</v>
      </c>
      <c r="C762" s="33" t="s">
        <v>8</v>
      </c>
      <c r="D762" s="34" t="s">
        <v>1999</v>
      </c>
      <c r="E762" s="35" t="str">
        <f t="shared" ref="E762:E782" si="186">_xlfn.CONCAT(A762,"'!")</f>
        <v>PSND'!</v>
      </c>
      <c r="F762" s="34" t="str">
        <f t="shared" ref="F762:F782" si="187">_xlfn.CONCAT(D762:E762)</f>
        <v>C:\Users\jaime.benazar\Quorum Business Solutions\Ecopetrol Prometeo - Documents\Planning Space Implementation\3. Analysis &amp; Design\Design\FC22\DRR Jaime\QUIFA-CAJÚA\Cajua\[CAJUA_CF_SEC_New_27-Feb-2024Rev3.xlsx]D-PSND'!</v>
      </c>
      <c r="G762" s="32" t="s">
        <v>37</v>
      </c>
      <c r="H762" s="33"/>
      <c r="I762" s="33"/>
      <c r="J762" s="37"/>
    </row>
    <row r="763" spans="1:10" x14ac:dyDescent="0.25">
      <c r="A763" s="32" t="s">
        <v>104</v>
      </c>
      <c r="B763" s="32">
        <f>+B762+1</f>
        <v>2024</v>
      </c>
      <c r="C763" s="33" t="s">
        <v>8</v>
      </c>
      <c r="D763" s="34" t="s">
        <v>1999</v>
      </c>
      <c r="E763" s="35" t="str">
        <f t="shared" si="186"/>
        <v>PSND'!</v>
      </c>
      <c r="F763" s="34" t="str">
        <f t="shared" si="187"/>
        <v>C:\Users\jaime.benazar\Quorum Business Solutions\Ecopetrol Prometeo - Documents\Planning Space Implementation\3. Analysis &amp; Design\Design\FC22\DRR Jaime\QUIFA-CAJÚA\Cajua\[CAJUA_CF_SEC_New_27-Feb-2024Rev3.xlsx]D-PSND'!</v>
      </c>
      <c r="G763" s="32" t="s">
        <v>37</v>
      </c>
      <c r="H763" s="33"/>
      <c r="I763" s="33"/>
      <c r="J763" s="37"/>
    </row>
    <row r="764" spans="1:10" x14ac:dyDescent="0.25">
      <c r="A764" s="32" t="s">
        <v>104</v>
      </c>
      <c r="B764" s="32">
        <f t="shared" ref="B764:B775" si="188">+B763+1</f>
        <v>2025</v>
      </c>
      <c r="C764" s="33" t="s">
        <v>8</v>
      </c>
      <c r="D764" s="34" t="s">
        <v>1999</v>
      </c>
      <c r="E764" s="35" t="str">
        <f t="shared" si="186"/>
        <v>PSND'!</v>
      </c>
      <c r="F764" s="34" t="str">
        <f t="shared" si="187"/>
        <v>C:\Users\jaime.benazar\Quorum Business Solutions\Ecopetrol Prometeo - Documents\Planning Space Implementation\3. Analysis &amp; Design\Design\FC22\DRR Jaime\QUIFA-CAJÚA\Cajua\[CAJUA_CF_SEC_New_27-Feb-2024Rev3.xlsx]D-PSND'!</v>
      </c>
      <c r="G764" s="32" t="s">
        <v>37</v>
      </c>
      <c r="H764" s="33"/>
      <c r="I764" s="33"/>
      <c r="J764" s="37"/>
    </row>
    <row r="765" spans="1:10" x14ac:dyDescent="0.25">
      <c r="A765" s="32" t="s">
        <v>104</v>
      </c>
      <c r="B765" s="32">
        <f t="shared" si="188"/>
        <v>2026</v>
      </c>
      <c r="C765" s="33" t="s">
        <v>8</v>
      </c>
      <c r="D765" s="34" t="s">
        <v>1999</v>
      </c>
      <c r="E765" s="35" t="str">
        <f t="shared" si="186"/>
        <v>PSND'!</v>
      </c>
      <c r="F765" s="34" t="str">
        <f t="shared" si="187"/>
        <v>C:\Users\jaime.benazar\Quorum Business Solutions\Ecopetrol Prometeo - Documents\Planning Space Implementation\3. Analysis &amp; Design\Design\FC22\DRR Jaime\QUIFA-CAJÚA\Cajua\[CAJUA_CF_SEC_New_27-Feb-2024Rev3.xlsx]D-PSND'!</v>
      </c>
      <c r="G765" s="32" t="s">
        <v>37</v>
      </c>
      <c r="H765" s="33"/>
      <c r="I765" s="33"/>
      <c r="J765" s="37"/>
    </row>
    <row r="766" spans="1:10" x14ac:dyDescent="0.25">
      <c r="A766" s="32" t="s">
        <v>104</v>
      </c>
      <c r="B766" s="32">
        <f t="shared" si="188"/>
        <v>2027</v>
      </c>
      <c r="C766" s="33" t="s">
        <v>8</v>
      </c>
      <c r="D766" s="34" t="s">
        <v>1999</v>
      </c>
      <c r="E766" s="35" t="str">
        <f t="shared" si="186"/>
        <v>PSND'!</v>
      </c>
      <c r="F766" s="34" t="str">
        <f t="shared" si="187"/>
        <v>C:\Users\jaime.benazar\Quorum Business Solutions\Ecopetrol Prometeo - Documents\Planning Space Implementation\3. Analysis &amp; Design\Design\FC22\DRR Jaime\QUIFA-CAJÚA\Cajua\[CAJUA_CF_SEC_New_27-Feb-2024Rev3.xlsx]D-PSND'!</v>
      </c>
      <c r="G766" s="32" t="s">
        <v>37</v>
      </c>
      <c r="H766" s="33"/>
      <c r="I766" s="33"/>
      <c r="J766" s="37"/>
    </row>
    <row r="767" spans="1:10" x14ac:dyDescent="0.25">
      <c r="A767" s="32" t="s">
        <v>104</v>
      </c>
      <c r="B767" s="32">
        <f t="shared" si="188"/>
        <v>2028</v>
      </c>
      <c r="C767" s="33" t="s">
        <v>8</v>
      </c>
      <c r="D767" s="34" t="s">
        <v>1999</v>
      </c>
      <c r="E767" s="35" t="str">
        <f t="shared" si="186"/>
        <v>PSND'!</v>
      </c>
      <c r="F767" s="34" t="str">
        <f t="shared" si="187"/>
        <v>C:\Users\jaime.benazar\Quorum Business Solutions\Ecopetrol Prometeo - Documents\Planning Space Implementation\3. Analysis &amp; Design\Design\FC22\DRR Jaime\QUIFA-CAJÚA\Cajua\[CAJUA_CF_SEC_New_27-Feb-2024Rev3.xlsx]D-PSND'!</v>
      </c>
      <c r="G767" s="32" t="s">
        <v>37</v>
      </c>
      <c r="H767" s="33"/>
      <c r="I767" s="33"/>
      <c r="J767" s="37"/>
    </row>
    <row r="768" spans="1:10" x14ac:dyDescent="0.25">
      <c r="A768" s="32" t="s">
        <v>104</v>
      </c>
      <c r="B768" s="32">
        <f t="shared" si="188"/>
        <v>2029</v>
      </c>
      <c r="C768" s="33" t="s">
        <v>8</v>
      </c>
      <c r="D768" s="34" t="s">
        <v>1999</v>
      </c>
      <c r="E768" s="35" t="str">
        <f t="shared" si="186"/>
        <v>PSND'!</v>
      </c>
      <c r="F768" s="34" t="str">
        <f t="shared" si="187"/>
        <v>C:\Users\jaime.benazar\Quorum Business Solutions\Ecopetrol Prometeo - Documents\Planning Space Implementation\3. Analysis &amp; Design\Design\FC22\DRR Jaime\QUIFA-CAJÚA\Cajua\[CAJUA_CF_SEC_New_27-Feb-2024Rev3.xlsx]D-PSND'!</v>
      </c>
      <c r="G768" s="32" t="s">
        <v>37</v>
      </c>
      <c r="H768" s="33"/>
      <c r="I768" s="33"/>
      <c r="J768" s="37"/>
    </row>
    <row r="769" spans="1:10" x14ac:dyDescent="0.25">
      <c r="A769" s="32" t="s">
        <v>104</v>
      </c>
      <c r="B769" s="32">
        <f t="shared" si="188"/>
        <v>2030</v>
      </c>
      <c r="C769" s="33" t="s">
        <v>8</v>
      </c>
      <c r="D769" s="34" t="s">
        <v>1999</v>
      </c>
      <c r="E769" s="35" t="str">
        <f t="shared" si="186"/>
        <v>PSND'!</v>
      </c>
      <c r="F769" s="34" t="str">
        <f t="shared" si="187"/>
        <v>C:\Users\jaime.benazar\Quorum Business Solutions\Ecopetrol Prometeo - Documents\Planning Space Implementation\3. Analysis &amp; Design\Design\FC22\DRR Jaime\QUIFA-CAJÚA\Cajua\[CAJUA_CF_SEC_New_27-Feb-2024Rev3.xlsx]D-PSND'!</v>
      </c>
      <c r="G769" s="32" t="s">
        <v>37</v>
      </c>
      <c r="H769" s="33"/>
      <c r="I769" s="33"/>
      <c r="J769" s="37"/>
    </row>
    <row r="770" spans="1:10" x14ac:dyDescent="0.25">
      <c r="A770" s="32" t="s">
        <v>104</v>
      </c>
      <c r="B770" s="32">
        <f t="shared" si="188"/>
        <v>2031</v>
      </c>
      <c r="C770" s="33" t="s">
        <v>8</v>
      </c>
      <c r="D770" s="34" t="s">
        <v>1999</v>
      </c>
      <c r="E770" s="35" t="str">
        <f t="shared" si="186"/>
        <v>PSND'!</v>
      </c>
      <c r="F770" s="34" t="str">
        <f t="shared" si="187"/>
        <v>C:\Users\jaime.benazar\Quorum Business Solutions\Ecopetrol Prometeo - Documents\Planning Space Implementation\3. Analysis &amp; Design\Design\FC22\DRR Jaime\QUIFA-CAJÚA\Cajua\[CAJUA_CF_SEC_New_27-Feb-2024Rev3.xlsx]D-PSND'!</v>
      </c>
      <c r="G770" s="32" t="s">
        <v>37</v>
      </c>
      <c r="H770" s="33"/>
      <c r="I770" s="33"/>
      <c r="J770" s="37"/>
    </row>
    <row r="771" spans="1:10" x14ac:dyDescent="0.25">
      <c r="A771" s="32" t="s">
        <v>104</v>
      </c>
      <c r="B771" s="32">
        <f t="shared" si="188"/>
        <v>2032</v>
      </c>
      <c r="C771" s="33" t="s">
        <v>8</v>
      </c>
      <c r="D771" s="34" t="s">
        <v>1999</v>
      </c>
      <c r="E771" s="35" t="str">
        <f t="shared" si="186"/>
        <v>PSND'!</v>
      </c>
      <c r="F771" s="34" t="str">
        <f t="shared" si="187"/>
        <v>C:\Users\jaime.benazar\Quorum Business Solutions\Ecopetrol Prometeo - Documents\Planning Space Implementation\3. Analysis &amp; Design\Design\FC22\DRR Jaime\QUIFA-CAJÚA\Cajua\[CAJUA_CF_SEC_New_27-Feb-2024Rev3.xlsx]D-PSND'!</v>
      </c>
      <c r="G771" s="32" t="s">
        <v>37</v>
      </c>
      <c r="H771" s="33"/>
      <c r="I771" s="33"/>
      <c r="J771" s="37"/>
    </row>
    <row r="772" spans="1:10" x14ac:dyDescent="0.25">
      <c r="A772" s="32" t="s">
        <v>104</v>
      </c>
      <c r="B772" s="32">
        <f t="shared" si="188"/>
        <v>2033</v>
      </c>
      <c r="C772" s="33" t="s">
        <v>8</v>
      </c>
      <c r="D772" s="34" t="s">
        <v>1999</v>
      </c>
      <c r="E772" s="35" t="str">
        <f t="shared" si="186"/>
        <v>PSND'!</v>
      </c>
      <c r="F772" s="34" t="str">
        <f t="shared" si="187"/>
        <v>C:\Users\jaime.benazar\Quorum Business Solutions\Ecopetrol Prometeo - Documents\Planning Space Implementation\3. Analysis &amp; Design\Design\FC22\DRR Jaime\QUIFA-CAJÚA\Cajua\[CAJUA_CF_SEC_New_27-Feb-2024Rev3.xlsx]D-PSND'!</v>
      </c>
      <c r="G772" s="32" t="s">
        <v>37</v>
      </c>
      <c r="H772" s="33"/>
      <c r="I772" s="33"/>
      <c r="J772" s="37"/>
    </row>
    <row r="773" spans="1:10" x14ac:dyDescent="0.25">
      <c r="A773" s="32" t="s">
        <v>104</v>
      </c>
      <c r="B773" s="32">
        <f t="shared" si="188"/>
        <v>2034</v>
      </c>
      <c r="C773" s="33" t="s">
        <v>8</v>
      </c>
      <c r="D773" s="34" t="s">
        <v>1999</v>
      </c>
      <c r="E773" s="35" t="str">
        <f t="shared" si="186"/>
        <v>PSND'!</v>
      </c>
      <c r="F773" s="34" t="str">
        <f t="shared" si="187"/>
        <v>C:\Users\jaime.benazar\Quorum Business Solutions\Ecopetrol Prometeo - Documents\Planning Space Implementation\3. Analysis &amp; Design\Design\FC22\DRR Jaime\QUIFA-CAJÚA\Cajua\[CAJUA_CF_SEC_New_27-Feb-2024Rev3.xlsx]D-PSND'!</v>
      </c>
      <c r="G773" s="32" t="s">
        <v>37</v>
      </c>
      <c r="H773" s="33"/>
      <c r="I773" s="33"/>
      <c r="J773" s="37"/>
    </row>
    <row r="774" spans="1:10" x14ac:dyDescent="0.25">
      <c r="A774" s="32" t="s">
        <v>104</v>
      </c>
      <c r="B774" s="32">
        <f t="shared" si="188"/>
        <v>2035</v>
      </c>
      <c r="C774" s="33" t="s">
        <v>8</v>
      </c>
      <c r="D774" s="34" t="s">
        <v>1999</v>
      </c>
      <c r="E774" s="35" t="str">
        <f t="shared" si="186"/>
        <v>PSND'!</v>
      </c>
      <c r="F774" s="34" t="str">
        <f t="shared" si="187"/>
        <v>C:\Users\jaime.benazar\Quorum Business Solutions\Ecopetrol Prometeo - Documents\Planning Space Implementation\3. Analysis &amp; Design\Design\FC22\DRR Jaime\QUIFA-CAJÚA\Cajua\[CAJUA_CF_SEC_New_27-Feb-2024Rev3.xlsx]D-PSND'!</v>
      </c>
      <c r="G774" s="32" t="s">
        <v>37</v>
      </c>
      <c r="H774" s="33"/>
      <c r="I774" s="33"/>
      <c r="J774" s="37"/>
    </row>
    <row r="775" spans="1:10" x14ac:dyDescent="0.25">
      <c r="A775" s="32" t="s">
        <v>104</v>
      </c>
      <c r="B775" s="32">
        <f t="shared" si="188"/>
        <v>2036</v>
      </c>
      <c r="C775" s="33" t="s">
        <v>8</v>
      </c>
      <c r="D775" s="34" t="s">
        <v>1999</v>
      </c>
      <c r="E775" s="35" t="str">
        <f t="shared" si="186"/>
        <v>PSND'!</v>
      </c>
      <c r="F775" s="34" t="str">
        <f t="shared" si="187"/>
        <v>C:\Users\jaime.benazar\Quorum Business Solutions\Ecopetrol Prometeo - Documents\Planning Space Implementation\3. Analysis &amp; Design\Design\FC22\DRR Jaime\QUIFA-CAJÚA\Cajua\[CAJUA_CF_SEC_New_27-Feb-2024Rev3.xlsx]D-PSND'!</v>
      </c>
      <c r="G775" s="32" t="s">
        <v>37</v>
      </c>
      <c r="H775" s="33"/>
      <c r="I775" s="33"/>
      <c r="J775" s="37"/>
    </row>
    <row r="776" spans="1:10" x14ac:dyDescent="0.25">
      <c r="A776" s="32" t="s">
        <v>104</v>
      </c>
      <c r="B776" s="32">
        <f>+B775+1</f>
        <v>2037</v>
      </c>
      <c r="C776" s="33" t="s">
        <v>8</v>
      </c>
      <c r="D776" s="34" t="s">
        <v>1999</v>
      </c>
      <c r="E776" s="35" t="str">
        <f t="shared" si="186"/>
        <v>PSND'!</v>
      </c>
      <c r="F776" s="34" t="str">
        <f t="shared" si="187"/>
        <v>C:\Users\jaime.benazar\Quorum Business Solutions\Ecopetrol Prometeo - Documents\Planning Space Implementation\3. Analysis &amp; Design\Design\FC22\DRR Jaime\QUIFA-CAJÚA\Cajua\[CAJUA_CF_SEC_New_27-Feb-2024Rev3.xlsx]D-PSND'!</v>
      </c>
      <c r="G776" s="32" t="s">
        <v>37</v>
      </c>
      <c r="H776" s="33"/>
      <c r="I776" s="33"/>
      <c r="J776" s="37"/>
    </row>
    <row r="777" spans="1:10" x14ac:dyDescent="0.25">
      <c r="A777" s="32" t="s">
        <v>104</v>
      </c>
      <c r="B777" s="32">
        <f t="shared" ref="B777:B779" si="189">+B776+1</f>
        <v>2038</v>
      </c>
      <c r="C777" s="33" t="s">
        <v>8</v>
      </c>
      <c r="D777" s="34" t="s">
        <v>1999</v>
      </c>
      <c r="E777" s="35" t="str">
        <f t="shared" si="186"/>
        <v>PSND'!</v>
      </c>
      <c r="F777" s="34" t="str">
        <f t="shared" si="187"/>
        <v>C:\Users\jaime.benazar\Quorum Business Solutions\Ecopetrol Prometeo - Documents\Planning Space Implementation\3. Analysis &amp; Design\Design\FC22\DRR Jaime\QUIFA-CAJÚA\Cajua\[CAJUA_CF_SEC_New_27-Feb-2024Rev3.xlsx]D-PSND'!</v>
      </c>
      <c r="G777" s="32" t="s">
        <v>37</v>
      </c>
      <c r="H777" s="33"/>
      <c r="I777" s="33"/>
      <c r="J777" s="37"/>
    </row>
    <row r="778" spans="1:10" x14ac:dyDescent="0.25">
      <c r="A778" s="32" t="s">
        <v>104</v>
      </c>
      <c r="B778" s="32">
        <f t="shared" si="189"/>
        <v>2039</v>
      </c>
      <c r="C778" s="33" t="s">
        <v>8</v>
      </c>
      <c r="D778" s="34" t="s">
        <v>1999</v>
      </c>
      <c r="E778" s="35" t="str">
        <f t="shared" si="186"/>
        <v>PSND'!</v>
      </c>
      <c r="F778" s="34" t="str">
        <f t="shared" si="187"/>
        <v>C:\Users\jaime.benazar\Quorum Business Solutions\Ecopetrol Prometeo - Documents\Planning Space Implementation\3. Analysis &amp; Design\Design\FC22\DRR Jaime\QUIFA-CAJÚA\Cajua\[CAJUA_CF_SEC_New_27-Feb-2024Rev3.xlsx]D-PSND'!</v>
      </c>
      <c r="G778" s="32" t="s">
        <v>37</v>
      </c>
      <c r="H778" s="33"/>
      <c r="I778" s="33"/>
      <c r="J778" s="37"/>
    </row>
    <row r="779" spans="1:10" x14ac:dyDescent="0.25">
      <c r="A779" s="32" t="s">
        <v>104</v>
      </c>
      <c r="B779" s="32">
        <f t="shared" si="189"/>
        <v>2040</v>
      </c>
      <c r="C779" s="33" t="s">
        <v>8</v>
      </c>
      <c r="D779" s="34" t="s">
        <v>1999</v>
      </c>
      <c r="E779" s="35" t="str">
        <f t="shared" si="186"/>
        <v>PSND'!</v>
      </c>
      <c r="F779" s="34" t="str">
        <f t="shared" si="187"/>
        <v>C:\Users\jaime.benazar\Quorum Business Solutions\Ecopetrol Prometeo - Documents\Planning Space Implementation\3. Analysis &amp; Design\Design\FC22\DRR Jaime\QUIFA-CAJÚA\Cajua\[CAJUA_CF_SEC_New_27-Feb-2024Rev3.xlsx]D-PSND'!</v>
      </c>
      <c r="G779" s="32" t="s">
        <v>37</v>
      </c>
      <c r="H779" s="33"/>
      <c r="I779" s="33"/>
      <c r="J779" s="37"/>
    </row>
    <row r="780" spans="1:10" x14ac:dyDescent="0.25">
      <c r="A780" s="32" t="s">
        <v>104</v>
      </c>
      <c r="B780" s="32">
        <f>+B779+1</f>
        <v>2041</v>
      </c>
      <c r="C780" s="33" t="s">
        <v>8</v>
      </c>
      <c r="D780" s="34" t="s">
        <v>1999</v>
      </c>
      <c r="E780" s="35" t="str">
        <f t="shared" si="186"/>
        <v>PSND'!</v>
      </c>
      <c r="F780" s="34" t="str">
        <f t="shared" si="187"/>
        <v>C:\Users\jaime.benazar\Quorum Business Solutions\Ecopetrol Prometeo - Documents\Planning Space Implementation\3. Analysis &amp; Design\Design\FC22\DRR Jaime\QUIFA-CAJÚA\Cajua\[CAJUA_CF_SEC_New_27-Feb-2024Rev3.xlsx]D-PSND'!</v>
      </c>
      <c r="G780" s="32" t="s">
        <v>37</v>
      </c>
      <c r="H780" s="33"/>
      <c r="I780" s="33"/>
      <c r="J780" s="37"/>
    </row>
    <row r="781" spans="1:10" x14ac:dyDescent="0.25">
      <c r="A781" s="32" t="s">
        <v>104</v>
      </c>
      <c r="B781" s="32">
        <f t="shared" ref="B781:B782" si="190">+B780+1</f>
        <v>2042</v>
      </c>
      <c r="C781" s="33" t="s">
        <v>8</v>
      </c>
      <c r="D781" s="34" t="s">
        <v>1999</v>
      </c>
      <c r="E781" s="35" t="str">
        <f t="shared" si="186"/>
        <v>PSND'!</v>
      </c>
      <c r="F781" s="34" t="str">
        <f t="shared" si="187"/>
        <v>C:\Users\jaime.benazar\Quorum Business Solutions\Ecopetrol Prometeo - Documents\Planning Space Implementation\3. Analysis &amp; Design\Design\FC22\DRR Jaime\QUIFA-CAJÚA\Cajua\[CAJUA_CF_SEC_New_27-Feb-2024Rev3.xlsx]D-PSND'!</v>
      </c>
      <c r="G781" s="32" t="s">
        <v>37</v>
      </c>
      <c r="H781" s="33"/>
      <c r="I781" s="33"/>
      <c r="J781" s="37"/>
    </row>
    <row r="782" spans="1:10" x14ac:dyDescent="0.25">
      <c r="A782" s="32" t="s">
        <v>104</v>
      </c>
      <c r="B782" s="32">
        <f t="shared" si="190"/>
        <v>2043</v>
      </c>
      <c r="C782" s="33" t="s">
        <v>8</v>
      </c>
      <c r="D782" s="34" t="s">
        <v>1999</v>
      </c>
      <c r="E782" s="35" t="str">
        <f t="shared" si="186"/>
        <v>PSND'!</v>
      </c>
      <c r="F782" s="34" t="str">
        <f t="shared" si="187"/>
        <v>C:\Users\jaime.benazar\Quorum Business Solutions\Ecopetrol Prometeo - Documents\Planning Space Implementation\3. Analysis &amp; Design\Design\FC22\DRR Jaime\QUIFA-CAJÚA\Cajua\[CAJUA_CF_SEC_New_27-Feb-2024Rev3.xlsx]D-PSND'!</v>
      </c>
      <c r="G782" s="32" t="s">
        <v>37</v>
      </c>
      <c r="H782" s="33"/>
      <c r="I782" s="33"/>
      <c r="J782" s="37"/>
    </row>
    <row r="783" spans="1:10" x14ac:dyDescent="0.25">
      <c r="A783" s="32" t="s">
        <v>104</v>
      </c>
      <c r="B783" s="32">
        <f>+B782+1</f>
        <v>2044</v>
      </c>
      <c r="C783" s="33" t="s">
        <v>8</v>
      </c>
      <c r="D783" s="34" t="s">
        <v>1999</v>
      </c>
      <c r="E783" s="35" t="str">
        <f t="shared" ref="E783:E798" si="191">_xlfn.CONCAT(A783,"'!")</f>
        <v>PSND'!</v>
      </c>
      <c r="F783" s="34" t="str">
        <f t="shared" ref="F783:F798" si="192">_xlfn.CONCAT(D783:E783)</f>
        <v>C:\Users\jaime.benazar\Quorum Business Solutions\Ecopetrol Prometeo - Documents\Planning Space Implementation\3. Analysis &amp; Design\Design\FC22\DRR Jaime\QUIFA-CAJÚA\Cajua\[CAJUA_CF_SEC_New_27-Feb-2024Rev3.xlsx]D-PSND'!</v>
      </c>
      <c r="G783" s="32" t="s">
        <v>37</v>
      </c>
      <c r="H783" s="33"/>
      <c r="I783" s="33"/>
      <c r="J783" s="37"/>
    </row>
    <row r="784" spans="1:10" x14ac:dyDescent="0.25">
      <c r="A784" s="32" t="s">
        <v>104</v>
      </c>
      <c r="B784" s="32">
        <f t="shared" ref="B784:B798" si="193">+B783+1</f>
        <v>2045</v>
      </c>
      <c r="C784" s="33" t="s">
        <v>8</v>
      </c>
      <c r="D784" s="34" t="s">
        <v>1999</v>
      </c>
      <c r="E784" s="35" t="str">
        <f t="shared" si="191"/>
        <v>PSND'!</v>
      </c>
      <c r="F784" s="34" t="str">
        <f t="shared" si="192"/>
        <v>C:\Users\jaime.benazar\Quorum Business Solutions\Ecopetrol Prometeo - Documents\Planning Space Implementation\3. Analysis &amp; Design\Design\FC22\DRR Jaime\QUIFA-CAJÚA\Cajua\[CAJUA_CF_SEC_New_27-Feb-2024Rev3.xlsx]D-PSND'!</v>
      </c>
      <c r="G784" s="32" t="s">
        <v>37</v>
      </c>
      <c r="H784" s="33"/>
      <c r="I784" s="33"/>
      <c r="J784" s="37"/>
    </row>
    <row r="785" spans="1:10" x14ac:dyDescent="0.25">
      <c r="A785" s="32" t="s">
        <v>104</v>
      </c>
      <c r="B785" s="32">
        <f t="shared" si="193"/>
        <v>2046</v>
      </c>
      <c r="C785" s="33" t="s">
        <v>8</v>
      </c>
      <c r="D785" s="34" t="s">
        <v>1999</v>
      </c>
      <c r="E785" s="35" t="str">
        <f t="shared" si="191"/>
        <v>PSND'!</v>
      </c>
      <c r="F785" s="34" t="str">
        <f t="shared" si="192"/>
        <v>C:\Users\jaime.benazar\Quorum Business Solutions\Ecopetrol Prometeo - Documents\Planning Space Implementation\3. Analysis &amp; Design\Design\FC22\DRR Jaime\QUIFA-CAJÚA\Cajua\[CAJUA_CF_SEC_New_27-Feb-2024Rev3.xlsx]D-PSND'!</v>
      </c>
      <c r="G785" s="32" t="s">
        <v>37</v>
      </c>
      <c r="H785" s="33"/>
      <c r="I785" s="33"/>
      <c r="J785" s="37"/>
    </row>
    <row r="786" spans="1:10" x14ac:dyDescent="0.25">
      <c r="A786" s="32" t="s">
        <v>104</v>
      </c>
      <c r="B786" s="32">
        <f t="shared" si="193"/>
        <v>2047</v>
      </c>
      <c r="C786" s="33" t="s">
        <v>8</v>
      </c>
      <c r="D786" s="34" t="s">
        <v>1999</v>
      </c>
      <c r="E786" s="35" t="str">
        <f t="shared" si="191"/>
        <v>PSND'!</v>
      </c>
      <c r="F786" s="34" t="str">
        <f t="shared" si="192"/>
        <v>C:\Users\jaime.benazar\Quorum Business Solutions\Ecopetrol Prometeo - Documents\Planning Space Implementation\3. Analysis &amp; Design\Design\FC22\DRR Jaime\QUIFA-CAJÚA\Cajua\[CAJUA_CF_SEC_New_27-Feb-2024Rev3.xlsx]D-PSND'!</v>
      </c>
      <c r="G786" s="32" t="s">
        <v>37</v>
      </c>
      <c r="H786" s="33"/>
      <c r="I786" s="33"/>
      <c r="J786" s="37"/>
    </row>
    <row r="787" spans="1:10" x14ac:dyDescent="0.25">
      <c r="A787" s="32" t="s">
        <v>104</v>
      </c>
      <c r="B787" s="32">
        <f t="shared" si="193"/>
        <v>2048</v>
      </c>
      <c r="C787" s="33" t="s">
        <v>8</v>
      </c>
      <c r="D787" s="34" t="s">
        <v>1999</v>
      </c>
      <c r="E787" s="35" t="str">
        <f t="shared" si="191"/>
        <v>PSND'!</v>
      </c>
      <c r="F787" s="34" t="str">
        <f t="shared" si="192"/>
        <v>C:\Users\jaime.benazar\Quorum Business Solutions\Ecopetrol Prometeo - Documents\Planning Space Implementation\3. Analysis &amp; Design\Design\FC22\DRR Jaime\QUIFA-CAJÚA\Cajua\[CAJUA_CF_SEC_New_27-Feb-2024Rev3.xlsx]D-PSND'!</v>
      </c>
      <c r="G787" s="32" t="s">
        <v>37</v>
      </c>
      <c r="H787" s="33"/>
      <c r="I787" s="33"/>
      <c r="J787" s="37"/>
    </row>
    <row r="788" spans="1:10" x14ac:dyDescent="0.25">
      <c r="A788" s="32" t="s">
        <v>104</v>
      </c>
      <c r="B788" s="32">
        <f t="shared" si="193"/>
        <v>2049</v>
      </c>
      <c r="C788" s="33" t="s">
        <v>8</v>
      </c>
      <c r="D788" s="34" t="s">
        <v>1999</v>
      </c>
      <c r="E788" s="35" t="str">
        <f t="shared" si="191"/>
        <v>PSND'!</v>
      </c>
      <c r="F788" s="34" t="str">
        <f t="shared" si="192"/>
        <v>C:\Users\jaime.benazar\Quorum Business Solutions\Ecopetrol Prometeo - Documents\Planning Space Implementation\3. Analysis &amp; Design\Design\FC22\DRR Jaime\QUIFA-CAJÚA\Cajua\[CAJUA_CF_SEC_New_27-Feb-2024Rev3.xlsx]D-PSND'!</v>
      </c>
      <c r="G788" s="32" t="s">
        <v>37</v>
      </c>
      <c r="H788" s="33"/>
      <c r="I788" s="33"/>
      <c r="J788" s="37"/>
    </row>
    <row r="789" spans="1:10" x14ac:dyDescent="0.25">
      <c r="A789" s="32" t="s">
        <v>104</v>
      </c>
      <c r="B789" s="32">
        <f t="shared" si="193"/>
        <v>2050</v>
      </c>
      <c r="C789" s="33" t="s">
        <v>8</v>
      </c>
      <c r="D789" s="34" t="s">
        <v>1999</v>
      </c>
      <c r="E789" s="35" t="str">
        <f t="shared" si="191"/>
        <v>PSND'!</v>
      </c>
      <c r="F789" s="34" t="str">
        <f t="shared" si="192"/>
        <v>C:\Users\jaime.benazar\Quorum Business Solutions\Ecopetrol Prometeo - Documents\Planning Space Implementation\3. Analysis &amp; Design\Design\FC22\DRR Jaime\QUIFA-CAJÚA\Cajua\[CAJUA_CF_SEC_New_27-Feb-2024Rev3.xlsx]D-PSND'!</v>
      </c>
      <c r="G789" s="32" t="s">
        <v>37</v>
      </c>
      <c r="H789" s="33"/>
      <c r="I789" s="33"/>
      <c r="J789" s="37"/>
    </row>
    <row r="790" spans="1:10" x14ac:dyDescent="0.25">
      <c r="A790" s="32" t="s">
        <v>104</v>
      </c>
      <c r="B790" s="32">
        <f t="shared" si="193"/>
        <v>2051</v>
      </c>
      <c r="C790" s="33" t="s">
        <v>8</v>
      </c>
      <c r="D790" s="34" t="s">
        <v>1999</v>
      </c>
      <c r="E790" s="35" t="str">
        <f t="shared" si="191"/>
        <v>PSND'!</v>
      </c>
      <c r="F790" s="34" t="str">
        <f t="shared" si="192"/>
        <v>C:\Users\jaime.benazar\Quorum Business Solutions\Ecopetrol Prometeo - Documents\Planning Space Implementation\3. Analysis &amp; Design\Design\FC22\DRR Jaime\QUIFA-CAJÚA\Cajua\[CAJUA_CF_SEC_New_27-Feb-2024Rev3.xlsx]D-PSND'!</v>
      </c>
      <c r="G790" s="32" t="s">
        <v>37</v>
      </c>
      <c r="H790" s="33"/>
      <c r="I790" s="33"/>
      <c r="J790" s="37"/>
    </row>
    <row r="791" spans="1:10" x14ac:dyDescent="0.25">
      <c r="A791" s="32" t="s">
        <v>104</v>
      </c>
      <c r="B791" s="32">
        <f t="shared" si="193"/>
        <v>2052</v>
      </c>
      <c r="C791" s="33" t="s">
        <v>8</v>
      </c>
      <c r="D791" s="34" t="s">
        <v>1999</v>
      </c>
      <c r="E791" s="35" t="str">
        <f t="shared" si="191"/>
        <v>PSND'!</v>
      </c>
      <c r="F791" s="34" t="str">
        <f t="shared" si="192"/>
        <v>C:\Users\jaime.benazar\Quorum Business Solutions\Ecopetrol Prometeo - Documents\Planning Space Implementation\3. Analysis &amp; Design\Design\FC22\DRR Jaime\QUIFA-CAJÚA\Cajua\[CAJUA_CF_SEC_New_27-Feb-2024Rev3.xlsx]D-PSND'!</v>
      </c>
      <c r="G791" s="32" t="s">
        <v>37</v>
      </c>
      <c r="H791" s="33"/>
      <c r="I791" s="33"/>
      <c r="J791" s="37"/>
    </row>
    <row r="792" spans="1:10" x14ac:dyDescent="0.25">
      <c r="A792" s="32" t="s">
        <v>104</v>
      </c>
      <c r="B792" s="32">
        <f t="shared" si="193"/>
        <v>2053</v>
      </c>
      <c r="C792" s="33" t="s">
        <v>8</v>
      </c>
      <c r="D792" s="34" t="s">
        <v>1999</v>
      </c>
      <c r="E792" s="35" t="str">
        <f t="shared" si="191"/>
        <v>PSND'!</v>
      </c>
      <c r="F792" s="34" t="str">
        <f t="shared" si="192"/>
        <v>C:\Users\jaime.benazar\Quorum Business Solutions\Ecopetrol Prometeo - Documents\Planning Space Implementation\3. Analysis &amp; Design\Design\FC22\DRR Jaime\QUIFA-CAJÚA\Cajua\[CAJUA_CF_SEC_New_27-Feb-2024Rev3.xlsx]D-PSND'!</v>
      </c>
      <c r="G792" s="32" t="s">
        <v>37</v>
      </c>
      <c r="H792" s="33"/>
      <c r="I792" s="33"/>
      <c r="J792" s="37"/>
    </row>
    <row r="793" spans="1:10" x14ac:dyDescent="0.25">
      <c r="A793" s="32" t="s">
        <v>104</v>
      </c>
      <c r="B793" s="32">
        <f t="shared" si="193"/>
        <v>2054</v>
      </c>
      <c r="C793" s="33" t="s">
        <v>8</v>
      </c>
      <c r="D793" s="34" t="s">
        <v>1999</v>
      </c>
      <c r="E793" s="35" t="str">
        <f t="shared" si="191"/>
        <v>PSND'!</v>
      </c>
      <c r="F793" s="34" t="str">
        <f t="shared" si="192"/>
        <v>C:\Users\jaime.benazar\Quorum Business Solutions\Ecopetrol Prometeo - Documents\Planning Space Implementation\3. Analysis &amp; Design\Design\FC22\DRR Jaime\QUIFA-CAJÚA\Cajua\[CAJUA_CF_SEC_New_27-Feb-2024Rev3.xlsx]D-PSND'!</v>
      </c>
      <c r="G793" s="32" t="s">
        <v>37</v>
      </c>
      <c r="H793" s="33"/>
      <c r="I793" s="33"/>
      <c r="J793" s="37"/>
    </row>
    <row r="794" spans="1:10" x14ac:dyDescent="0.25">
      <c r="A794" s="32" t="s">
        <v>104</v>
      </c>
      <c r="B794" s="32">
        <f t="shared" si="193"/>
        <v>2055</v>
      </c>
      <c r="C794" s="33" t="s">
        <v>8</v>
      </c>
      <c r="D794" s="34" t="s">
        <v>1999</v>
      </c>
      <c r="E794" s="35" t="str">
        <f t="shared" si="191"/>
        <v>PSND'!</v>
      </c>
      <c r="F794" s="34" t="str">
        <f t="shared" si="192"/>
        <v>C:\Users\jaime.benazar\Quorum Business Solutions\Ecopetrol Prometeo - Documents\Planning Space Implementation\3. Analysis &amp; Design\Design\FC22\DRR Jaime\QUIFA-CAJÚA\Cajua\[CAJUA_CF_SEC_New_27-Feb-2024Rev3.xlsx]D-PSND'!</v>
      </c>
      <c r="G794" s="32" t="s">
        <v>37</v>
      </c>
      <c r="H794" s="33"/>
      <c r="I794" s="33"/>
      <c r="J794" s="37"/>
    </row>
    <row r="795" spans="1:10" x14ac:dyDescent="0.25">
      <c r="A795" s="32" t="s">
        <v>104</v>
      </c>
      <c r="B795" s="32">
        <f t="shared" si="193"/>
        <v>2056</v>
      </c>
      <c r="C795" s="33" t="s">
        <v>8</v>
      </c>
      <c r="D795" s="34" t="s">
        <v>1999</v>
      </c>
      <c r="E795" s="35" t="str">
        <f t="shared" si="191"/>
        <v>PSND'!</v>
      </c>
      <c r="F795" s="34" t="str">
        <f t="shared" si="192"/>
        <v>C:\Users\jaime.benazar\Quorum Business Solutions\Ecopetrol Prometeo - Documents\Planning Space Implementation\3. Analysis &amp; Design\Design\FC22\DRR Jaime\QUIFA-CAJÚA\Cajua\[CAJUA_CF_SEC_New_27-Feb-2024Rev3.xlsx]D-PSND'!</v>
      </c>
      <c r="G795" s="32" t="s">
        <v>37</v>
      </c>
      <c r="H795" s="33"/>
      <c r="I795" s="33"/>
      <c r="J795" s="37"/>
    </row>
    <row r="796" spans="1:10" x14ac:dyDescent="0.25">
      <c r="A796" s="32" t="s">
        <v>104</v>
      </c>
      <c r="B796" s="32">
        <f t="shared" si="193"/>
        <v>2057</v>
      </c>
      <c r="C796" s="33" t="s">
        <v>8</v>
      </c>
      <c r="D796" s="34" t="s">
        <v>1999</v>
      </c>
      <c r="E796" s="35" t="str">
        <f t="shared" si="191"/>
        <v>PSND'!</v>
      </c>
      <c r="F796" s="34" t="str">
        <f t="shared" si="192"/>
        <v>C:\Users\jaime.benazar\Quorum Business Solutions\Ecopetrol Prometeo - Documents\Planning Space Implementation\3. Analysis &amp; Design\Design\FC22\DRR Jaime\QUIFA-CAJÚA\Cajua\[CAJUA_CF_SEC_New_27-Feb-2024Rev3.xlsx]D-PSND'!</v>
      </c>
      <c r="G796" s="32" t="s">
        <v>37</v>
      </c>
      <c r="H796" s="33"/>
      <c r="I796" s="33"/>
      <c r="J796" s="37"/>
    </row>
    <row r="797" spans="1:10" x14ac:dyDescent="0.25">
      <c r="A797" s="32" t="s">
        <v>104</v>
      </c>
      <c r="B797" s="32">
        <f t="shared" si="193"/>
        <v>2058</v>
      </c>
      <c r="C797" s="33" t="s">
        <v>8</v>
      </c>
      <c r="D797" s="34" t="s">
        <v>1999</v>
      </c>
      <c r="E797" s="35" t="str">
        <f t="shared" si="191"/>
        <v>PSND'!</v>
      </c>
      <c r="F797" s="34" t="str">
        <f t="shared" si="192"/>
        <v>C:\Users\jaime.benazar\Quorum Business Solutions\Ecopetrol Prometeo - Documents\Planning Space Implementation\3. Analysis &amp; Design\Design\FC22\DRR Jaime\QUIFA-CAJÚA\Cajua\[CAJUA_CF_SEC_New_27-Feb-2024Rev3.xlsx]D-PSND'!</v>
      </c>
      <c r="G797" s="32" t="s">
        <v>37</v>
      </c>
      <c r="H797" s="33"/>
      <c r="I797" s="33"/>
      <c r="J797" s="37"/>
    </row>
    <row r="798" spans="1:10" x14ac:dyDescent="0.25">
      <c r="A798" s="32" t="s">
        <v>104</v>
      </c>
      <c r="B798" s="32">
        <f t="shared" si="193"/>
        <v>2059</v>
      </c>
      <c r="C798" s="33" t="s">
        <v>8</v>
      </c>
      <c r="D798" s="34" t="s">
        <v>1999</v>
      </c>
      <c r="E798" s="35" t="str">
        <f t="shared" si="191"/>
        <v>PSND'!</v>
      </c>
      <c r="F798" s="34" t="str">
        <f t="shared" si="192"/>
        <v>C:\Users\jaime.benazar\Quorum Business Solutions\Ecopetrol Prometeo - Documents\Planning Space Implementation\3. Analysis &amp; Design\Design\FC22\DRR Jaime\QUIFA-CAJÚA\Cajua\[CAJUA_CF_SEC_New_27-Feb-2024Rev3.xlsx]D-PSND'!</v>
      </c>
      <c r="G798" s="32" t="s">
        <v>37</v>
      </c>
      <c r="H798" s="33"/>
      <c r="I798" s="33"/>
      <c r="J798" s="37"/>
    </row>
    <row r="799" spans="1:10" x14ac:dyDescent="0.25">
      <c r="A799" s="32" t="s">
        <v>28</v>
      </c>
      <c r="B799" s="32"/>
      <c r="C799" s="33" t="s">
        <v>8</v>
      </c>
      <c r="D799" s="34"/>
      <c r="E799" s="35"/>
      <c r="F799" s="34"/>
      <c r="G799" s="32"/>
      <c r="H799" s="33"/>
      <c r="I799" s="33"/>
      <c r="J799" s="33"/>
    </row>
    <row r="800" spans="1:10" x14ac:dyDescent="0.25">
      <c r="A800" s="32" t="s">
        <v>34</v>
      </c>
      <c r="B800" s="32">
        <v>2023</v>
      </c>
      <c r="C800" s="33" t="s">
        <v>8</v>
      </c>
      <c r="D800" s="34" t="s">
        <v>1999</v>
      </c>
      <c r="E800" s="35" t="str">
        <f t="shared" si="129"/>
        <v>PS'!</v>
      </c>
      <c r="F800" s="34" t="str">
        <f t="shared" si="130"/>
        <v>C:\Users\jaime.benazar\Quorum Business Solutions\Ecopetrol Prometeo - Documents\Planning Space Implementation\3. Analysis &amp; Design\Design\FC22\DRR Jaime\QUIFA-CAJÚA\Cajua\[CAJUA_CF_SEC_New_27-Feb-2024Rev3.xlsx]D-PS'!</v>
      </c>
      <c r="G800" s="32" t="s">
        <v>37</v>
      </c>
      <c r="H800" s="33">
        <v>12</v>
      </c>
      <c r="I800" s="33" t="str">
        <f t="shared" si="131"/>
        <v>='C:\Users\jaime.benazar\Quorum Business Solutions\Ecopetrol Prometeo - Documents\Planning Space Implementation\3. Analysis &amp; Design\Design\FC22\DRR Jaime\QUIFA-CAJÚA\Cajua\[CAJUA_CF_SEC_New_27-Feb-2024Rev3.xlsx]D-PS'!$BW$12</v>
      </c>
      <c r="J800" s="37" t="s">
        <v>2333</v>
      </c>
    </row>
    <row r="801" spans="1:10" x14ac:dyDescent="0.25">
      <c r="A801" s="32" t="s">
        <v>34</v>
      </c>
      <c r="B801" s="32">
        <f>+B800+1</f>
        <v>2024</v>
      </c>
      <c r="C801" s="33" t="s">
        <v>8</v>
      </c>
      <c r="D801" s="34" t="s">
        <v>1999</v>
      </c>
      <c r="E801" s="35" t="str">
        <f t="shared" si="129"/>
        <v>PS'!</v>
      </c>
      <c r="F801" s="34" t="str">
        <f t="shared" si="130"/>
        <v>C:\Users\jaime.benazar\Quorum Business Solutions\Ecopetrol Prometeo - Documents\Planning Space Implementation\3. Analysis &amp; Design\Design\FC22\DRR Jaime\QUIFA-CAJÚA\Cajua\[CAJUA_CF_SEC_New_27-Feb-2024Rev3.xlsx]D-PS'!</v>
      </c>
      <c r="G801" s="32" t="s">
        <v>37</v>
      </c>
      <c r="H801" s="33">
        <f>IF(A801&lt;&gt;A800,12,H800+1)</f>
        <v>13</v>
      </c>
      <c r="I801" s="33" t="str">
        <f t="shared" si="131"/>
        <v>='C:\Users\jaime.benazar\Quorum Business Solutions\Ecopetrol Prometeo - Documents\Planning Space Implementation\3. Analysis &amp; Design\Design\FC22\DRR Jaime\QUIFA-CAJÚA\Cajua\[CAJUA_CF_SEC_New_27-Feb-2024Rev3.xlsx]D-PS'!$BW$13</v>
      </c>
      <c r="J801" s="37" t="s">
        <v>2334</v>
      </c>
    </row>
    <row r="802" spans="1:10" x14ac:dyDescent="0.25">
      <c r="A802" s="32" t="s">
        <v>34</v>
      </c>
      <c r="B802" s="32">
        <f t="shared" ref="B802:B813" si="194">+B801+1</f>
        <v>2025</v>
      </c>
      <c r="C802" s="33" t="s">
        <v>8</v>
      </c>
      <c r="D802" s="34" t="s">
        <v>1999</v>
      </c>
      <c r="E802" s="35" t="str">
        <f t="shared" si="129"/>
        <v>PS'!</v>
      </c>
      <c r="F802" s="34" t="str">
        <f t="shared" si="130"/>
        <v>C:\Users\jaime.benazar\Quorum Business Solutions\Ecopetrol Prometeo - Documents\Planning Space Implementation\3. Analysis &amp; Design\Design\FC22\DRR Jaime\QUIFA-CAJÚA\Cajua\[CAJUA_CF_SEC_New_27-Feb-2024Rev3.xlsx]D-PS'!</v>
      </c>
      <c r="G802" s="32" t="s">
        <v>37</v>
      </c>
      <c r="H802" s="33">
        <f t="shared" ref="H802:H820" si="195">IF(A802&lt;&gt;A801,12,H801+1)</f>
        <v>14</v>
      </c>
      <c r="I802" s="33" t="str">
        <f t="shared" si="131"/>
        <v>='C:\Users\jaime.benazar\Quorum Business Solutions\Ecopetrol Prometeo - Documents\Planning Space Implementation\3. Analysis &amp; Design\Design\FC22\DRR Jaime\QUIFA-CAJÚA\Cajua\[CAJUA_CF_SEC_New_27-Feb-2024Rev3.xlsx]D-PS'!$BW$14</v>
      </c>
      <c r="J802" s="37" t="s">
        <v>2335</v>
      </c>
    </row>
    <row r="803" spans="1:10" x14ac:dyDescent="0.25">
      <c r="A803" s="32" t="s">
        <v>34</v>
      </c>
      <c r="B803" s="32">
        <f t="shared" si="194"/>
        <v>2026</v>
      </c>
      <c r="C803" s="33" t="s">
        <v>8</v>
      </c>
      <c r="D803" s="34" t="s">
        <v>1999</v>
      </c>
      <c r="E803" s="35" t="str">
        <f t="shared" si="129"/>
        <v>PS'!</v>
      </c>
      <c r="F803" s="34" t="str">
        <f t="shared" si="130"/>
        <v>C:\Users\jaime.benazar\Quorum Business Solutions\Ecopetrol Prometeo - Documents\Planning Space Implementation\3. Analysis &amp; Design\Design\FC22\DRR Jaime\QUIFA-CAJÚA\Cajua\[CAJUA_CF_SEC_New_27-Feb-2024Rev3.xlsx]D-PS'!</v>
      </c>
      <c r="G803" s="32" t="s">
        <v>37</v>
      </c>
      <c r="H803" s="33">
        <f t="shared" si="195"/>
        <v>15</v>
      </c>
      <c r="I803" s="33" t="str">
        <f t="shared" si="131"/>
        <v>='C:\Users\jaime.benazar\Quorum Business Solutions\Ecopetrol Prometeo - Documents\Planning Space Implementation\3. Analysis &amp; Design\Design\FC22\DRR Jaime\QUIFA-CAJÚA\Cajua\[CAJUA_CF_SEC_New_27-Feb-2024Rev3.xlsx]D-PS'!$BW$15</v>
      </c>
      <c r="J803" s="37" t="s">
        <v>2336</v>
      </c>
    </row>
    <row r="804" spans="1:10" x14ac:dyDescent="0.25">
      <c r="A804" s="32" t="s">
        <v>34</v>
      </c>
      <c r="B804" s="32">
        <f t="shared" si="194"/>
        <v>2027</v>
      </c>
      <c r="C804" s="33" t="s">
        <v>8</v>
      </c>
      <c r="D804" s="34" t="s">
        <v>1999</v>
      </c>
      <c r="E804" s="35" t="str">
        <f t="shared" si="129"/>
        <v>PS'!</v>
      </c>
      <c r="F804" s="34" t="str">
        <f t="shared" si="130"/>
        <v>C:\Users\jaime.benazar\Quorum Business Solutions\Ecopetrol Prometeo - Documents\Planning Space Implementation\3. Analysis &amp; Design\Design\FC22\DRR Jaime\QUIFA-CAJÚA\Cajua\[CAJUA_CF_SEC_New_27-Feb-2024Rev3.xlsx]D-PS'!</v>
      </c>
      <c r="G804" s="32" t="s">
        <v>37</v>
      </c>
      <c r="H804" s="33">
        <f t="shared" si="195"/>
        <v>16</v>
      </c>
      <c r="I804" s="33" t="str">
        <f t="shared" si="131"/>
        <v>='C:\Users\jaime.benazar\Quorum Business Solutions\Ecopetrol Prometeo - Documents\Planning Space Implementation\3. Analysis &amp; Design\Design\FC22\DRR Jaime\QUIFA-CAJÚA\Cajua\[CAJUA_CF_SEC_New_27-Feb-2024Rev3.xlsx]D-PS'!$BW$16</v>
      </c>
      <c r="J804" s="37" t="s">
        <v>2337</v>
      </c>
    </row>
    <row r="805" spans="1:10" x14ac:dyDescent="0.25">
      <c r="A805" s="32" t="s">
        <v>34</v>
      </c>
      <c r="B805" s="32">
        <f t="shared" si="194"/>
        <v>2028</v>
      </c>
      <c r="C805" s="33" t="s">
        <v>8</v>
      </c>
      <c r="D805" s="34" t="s">
        <v>1999</v>
      </c>
      <c r="E805" s="35" t="str">
        <f t="shared" si="129"/>
        <v>PS'!</v>
      </c>
      <c r="F805" s="34" t="str">
        <f t="shared" si="130"/>
        <v>C:\Users\jaime.benazar\Quorum Business Solutions\Ecopetrol Prometeo - Documents\Planning Space Implementation\3. Analysis &amp; Design\Design\FC22\DRR Jaime\QUIFA-CAJÚA\Cajua\[CAJUA_CF_SEC_New_27-Feb-2024Rev3.xlsx]D-PS'!</v>
      </c>
      <c r="G805" s="32" t="s">
        <v>37</v>
      </c>
      <c r="H805" s="33">
        <f t="shared" si="195"/>
        <v>17</v>
      </c>
      <c r="I805" s="33" t="str">
        <f t="shared" si="131"/>
        <v>='C:\Users\jaime.benazar\Quorum Business Solutions\Ecopetrol Prometeo - Documents\Planning Space Implementation\3. Analysis &amp; Design\Design\FC22\DRR Jaime\QUIFA-CAJÚA\Cajua\[CAJUA_CF_SEC_New_27-Feb-2024Rev3.xlsx]D-PS'!$BW$17</v>
      </c>
      <c r="J805" s="37" t="s">
        <v>2338</v>
      </c>
    </row>
    <row r="806" spans="1:10" x14ac:dyDescent="0.25">
      <c r="A806" s="32" t="s">
        <v>34</v>
      </c>
      <c r="B806" s="32">
        <f t="shared" si="194"/>
        <v>2029</v>
      </c>
      <c r="C806" s="33" t="s">
        <v>8</v>
      </c>
      <c r="D806" s="34" t="s">
        <v>1999</v>
      </c>
      <c r="E806" s="35" t="str">
        <f t="shared" si="129"/>
        <v>PS'!</v>
      </c>
      <c r="F806" s="34" t="str">
        <f t="shared" si="130"/>
        <v>C:\Users\jaime.benazar\Quorum Business Solutions\Ecopetrol Prometeo - Documents\Planning Space Implementation\3. Analysis &amp; Design\Design\FC22\DRR Jaime\QUIFA-CAJÚA\Cajua\[CAJUA_CF_SEC_New_27-Feb-2024Rev3.xlsx]D-PS'!</v>
      </c>
      <c r="G806" s="32" t="s">
        <v>37</v>
      </c>
      <c r="H806" s="33">
        <f t="shared" si="195"/>
        <v>18</v>
      </c>
      <c r="I806" s="33" t="str">
        <f t="shared" si="131"/>
        <v>='C:\Users\jaime.benazar\Quorum Business Solutions\Ecopetrol Prometeo - Documents\Planning Space Implementation\3. Analysis &amp; Design\Design\FC22\DRR Jaime\QUIFA-CAJÚA\Cajua\[CAJUA_CF_SEC_New_27-Feb-2024Rev3.xlsx]D-PS'!$BW$18</v>
      </c>
      <c r="J806" s="37" t="s">
        <v>2339</v>
      </c>
    </row>
    <row r="807" spans="1:10" x14ac:dyDescent="0.25">
      <c r="A807" s="32" t="s">
        <v>34</v>
      </c>
      <c r="B807" s="32">
        <f t="shared" si="194"/>
        <v>2030</v>
      </c>
      <c r="C807" s="33" t="s">
        <v>8</v>
      </c>
      <c r="D807" s="34" t="s">
        <v>1999</v>
      </c>
      <c r="E807" s="35" t="str">
        <f t="shared" si="129"/>
        <v>PS'!</v>
      </c>
      <c r="F807" s="34" t="str">
        <f t="shared" si="130"/>
        <v>C:\Users\jaime.benazar\Quorum Business Solutions\Ecopetrol Prometeo - Documents\Planning Space Implementation\3. Analysis &amp; Design\Design\FC22\DRR Jaime\QUIFA-CAJÚA\Cajua\[CAJUA_CF_SEC_New_27-Feb-2024Rev3.xlsx]D-PS'!</v>
      </c>
      <c r="G807" s="32" t="s">
        <v>37</v>
      </c>
      <c r="H807" s="33">
        <f t="shared" si="195"/>
        <v>19</v>
      </c>
      <c r="I807" s="33" t="str">
        <f t="shared" si="131"/>
        <v>='C:\Users\jaime.benazar\Quorum Business Solutions\Ecopetrol Prometeo - Documents\Planning Space Implementation\3. Analysis &amp; Design\Design\FC22\DRR Jaime\QUIFA-CAJÚA\Cajua\[CAJUA_CF_SEC_New_27-Feb-2024Rev3.xlsx]D-PS'!$BW$19</v>
      </c>
      <c r="J807" s="37" t="s">
        <v>2340</v>
      </c>
    </row>
    <row r="808" spans="1:10" x14ac:dyDescent="0.25">
      <c r="A808" s="32" t="s">
        <v>34</v>
      </c>
      <c r="B808" s="32">
        <f t="shared" si="194"/>
        <v>2031</v>
      </c>
      <c r="C808" s="33" t="s">
        <v>8</v>
      </c>
      <c r="D808" s="34" t="s">
        <v>1999</v>
      </c>
      <c r="E808" s="35" t="str">
        <f t="shared" si="129"/>
        <v>PS'!</v>
      </c>
      <c r="F808" s="34" t="str">
        <f t="shared" si="130"/>
        <v>C:\Users\jaime.benazar\Quorum Business Solutions\Ecopetrol Prometeo - Documents\Planning Space Implementation\3. Analysis &amp; Design\Design\FC22\DRR Jaime\QUIFA-CAJÚA\Cajua\[CAJUA_CF_SEC_New_27-Feb-2024Rev3.xlsx]D-PS'!</v>
      </c>
      <c r="G808" s="32" t="s">
        <v>37</v>
      </c>
      <c r="H808" s="33">
        <f t="shared" si="195"/>
        <v>20</v>
      </c>
      <c r="I808" s="33" t="str">
        <f t="shared" si="131"/>
        <v>='C:\Users\jaime.benazar\Quorum Business Solutions\Ecopetrol Prometeo - Documents\Planning Space Implementation\3. Analysis &amp; Design\Design\FC22\DRR Jaime\QUIFA-CAJÚA\Cajua\[CAJUA_CF_SEC_New_27-Feb-2024Rev3.xlsx]D-PS'!$BW$20</v>
      </c>
      <c r="J808" s="37" t="s">
        <v>2341</v>
      </c>
    </row>
    <row r="809" spans="1:10" x14ac:dyDescent="0.25">
      <c r="A809" s="32" t="s">
        <v>34</v>
      </c>
      <c r="B809" s="32">
        <f t="shared" si="194"/>
        <v>2032</v>
      </c>
      <c r="C809" s="33" t="s">
        <v>8</v>
      </c>
      <c r="D809" s="34" t="s">
        <v>1999</v>
      </c>
      <c r="E809" s="35" t="str">
        <f t="shared" si="129"/>
        <v>PS'!</v>
      </c>
      <c r="F809" s="34" t="str">
        <f t="shared" si="130"/>
        <v>C:\Users\jaime.benazar\Quorum Business Solutions\Ecopetrol Prometeo - Documents\Planning Space Implementation\3. Analysis &amp; Design\Design\FC22\DRR Jaime\QUIFA-CAJÚA\Cajua\[CAJUA_CF_SEC_New_27-Feb-2024Rev3.xlsx]D-PS'!</v>
      </c>
      <c r="G809" s="32" t="s">
        <v>37</v>
      </c>
      <c r="H809" s="33">
        <f t="shared" si="195"/>
        <v>21</v>
      </c>
      <c r="I809" s="33" t="str">
        <f t="shared" si="131"/>
        <v>='C:\Users\jaime.benazar\Quorum Business Solutions\Ecopetrol Prometeo - Documents\Planning Space Implementation\3. Analysis &amp; Design\Design\FC22\DRR Jaime\QUIFA-CAJÚA\Cajua\[CAJUA_CF_SEC_New_27-Feb-2024Rev3.xlsx]D-PS'!$BW$21</v>
      </c>
      <c r="J809" s="37" t="s">
        <v>2342</v>
      </c>
    </row>
    <row r="810" spans="1:10" x14ac:dyDescent="0.25">
      <c r="A810" s="32" t="s">
        <v>34</v>
      </c>
      <c r="B810" s="32">
        <f t="shared" si="194"/>
        <v>2033</v>
      </c>
      <c r="C810" s="33" t="s">
        <v>8</v>
      </c>
      <c r="D810" s="34" t="s">
        <v>1999</v>
      </c>
      <c r="E810" s="35" t="str">
        <f t="shared" si="129"/>
        <v>PS'!</v>
      </c>
      <c r="F810" s="34" t="str">
        <f t="shared" si="130"/>
        <v>C:\Users\jaime.benazar\Quorum Business Solutions\Ecopetrol Prometeo - Documents\Planning Space Implementation\3. Analysis &amp; Design\Design\FC22\DRR Jaime\QUIFA-CAJÚA\Cajua\[CAJUA_CF_SEC_New_27-Feb-2024Rev3.xlsx]D-PS'!</v>
      </c>
      <c r="G810" s="32" t="s">
        <v>37</v>
      </c>
      <c r="H810" s="33">
        <f t="shared" si="195"/>
        <v>22</v>
      </c>
      <c r="I810" s="33" t="str">
        <f t="shared" si="131"/>
        <v>='C:\Users\jaime.benazar\Quorum Business Solutions\Ecopetrol Prometeo - Documents\Planning Space Implementation\3. Analysis &amp; Design\Design\FC22\DRR Jaime\QUIFA-CAJÚA\Cajua\[CAJUA_CF_SEC_New_27-Feb-2024Rev3.xlsx]D-PS'!$BW$22</v>
      </c>
      <c r="J810" s="37" t="s">
        <v>2343</v>
      </c>
    </row>
    <row r="811" spans="1:10" x14ac:dyDescent="0.25">
      <c r="A811" s="32" t="s">
        <v>34</v>
      </c>
      <c r="B811" s="32">
        <f t="shared" si="194"/>
        <v>2034</v>
      </c>
      <c r="C811" s="33" t="s">
        <v>8</v>
      </c>
      <c r="D811" s="34" t="s">
        <v>1999</v>
      </c>
      <c r="E811" s="35" t="str">
        <f t="shared" si="129"/>
        <v>PS'!</v>
      </c>
      <c r="F811" s="34" t="str">
        <f t="shared" si="130"/>
        <v>C:\Users\jaime.benazar\Quorum Business Solutions\Ecopetrol Prometeo - Documents\Planning Space Implementation\3. Analysis &amp; Design\Design\FC22\DRR Jaime\QUIFA-CAJÚA\Cajua\[CAJUA_CF_SEC_New_27-Feb-2024Rev3.xlsx]D-PS'!</v>
      </c>
      <c r="G811" s="32" t="s">
        <v>37</v>
      </c>
      <c r="H811" s="33">
        <f t="shared" si="195"/>
        <v>23</v>
      </c>
      <c r="I811" s="33" t="str">
        <f t="shared" si="131"/>
        <v>='C:\Users\jaime.benazar\Quorum Business Solutions\Ecopetrol Prometeo - Documents\Planning Space Implementation\3. Analysis &amp; Design\Design\FC22\DRR Jaime\QUIFA-CAJÚA\Cajua\[CAJUA_CF_SEC_New_27-Feb-2024Rev3.xlsx]D-PS'!$BW$23</v>
      </c>
      <c r="J811" s="37" t="s">
        <v>2344</v>
      </c>
    </row>
    <row r="812" spans="1:10" x14ac:dyDescent="0.25">
      <c r="A812" s="32" t="s">
        <v>34</v>
      </c>
      <c r="B812" s="32">
        <f t="shared" si="194"/>
        <v>2035</v>
      </c>
      <c r="C812" s="33" t="s">
        <v>8</v>
      </c>
      <c r="D812" s="34" t="s">
        <v>1999</v>
      </c>
      <c r="E812" s="35" t="str">
        <f t="shared" si="129"/>
        <v>PS'!</v>
      </c>
      <c r="F812" s="34" t="str">
        <f t="shared" si="130"/>
        <v>C:\Users\jaime.benazar\Quorum Business Solutions\Ecopetrol Prometeo - Documents\Planning Space Implementation\3. Analysis &amp; Design\Design\FC22\DRR Jaime\QUIFA-CAJÚA\Cajua\[CAJUA_CF_SEC_New_27-Feb-2024Rev3.xlsx]D-PS'!</v>
      </c>
      <c r="G812" s="32" t="s">
        <v>37</v>
      </c>
      <c r="H812" s="33">
        <f t="shared" si="195"/>
        <v>24</v>
      </c>
      <c r="I812" s="33" t="str">
        <f t="shared" si="131"/>
        <v>='C:\Users\jaime.benazar\Quorum Business Solutions\Ecopetrol Prometeo - Documents\Planning Space Implementation\3. Analysis &amp; Design\Design\FC22\DRR Jaime\QUIFA-CAJÚA\Cajua\[CAJUA_CF_SEC_New_27-Feb-2024Rev3.xlsx]D-PS'!$BW$24</v>
      </c>
      <c r="J812" s="37" t="s">
        <v>2345</v>
      </c>
    </row>
    <row r="813" spans="1:10" x14ac:dyDescent="0.25">
      <c r="A813" s="32" t="s">
        <v>34</v>
      </c>
      <c r="B813" s="32">
        <f t="shared" si="194"/>
        <v>2036</v>
      </c>
      <c r="C813" s="33" t="s">
        <v>8</v>
      </c>
      <c r="D813" s="34" t="s">
        <v>1999</v>
      </c>
      <c r="E813" s="35" t="str">
        <f t="shared" si="129"/>
        <v>PS'!</v>
      </c>
      <c r="F813" s="34" t="str">
        <f t="shared" si="130"/>
        <v>C:\Users\jaime.benazar\Quorum Business Solutions\Ecopetrol Prometeo - Documents\Planning Space Implementation\3. Analysis &amp; Design\Design\FC22\DRR Jaime\QUIFA-CAJÚA\Cajua\[CAJUA_CF_SEC_New_27-Feb-2024Rev3.xlsx]D-PS'!</v>
      </c>
      <c r="G813" s="32" t="s">
        <v>37</v>
      </c>
      <c r="H813" s="33">
        <f t="shared" si="195"/>
        <v>25</v>
      </c>
      <c r="I813" s="33" t="str">
        <f t="shared" si="131"/>
        <v>='C:\Users\jaime.benazar\Quorum Business Solutions\Ecopetrol Prometeo - Documents\Planning Space Implementation\3. Analysis &amp; Design\Design\FC22\DRR Jaime\QUIFA-CAJÚA\Cajua\[CAJUA_CF_SEC_New_27-Feb-2024Rev3.xlsx]D-PS'!$BW$25</v>
      </c>
      <c r="J813" s="37" t="s">
        <v>2346</v>
      </c>
    </row>
    <row r="814" spans="1:10" x14ac:dyDescent="0.25">
      <c r="A814" s="32" t="s">
        <v>34</v>
      </c>
      <c r="B814" s="32">
        <f>+B813+1</f>
        <v>2037</v>
      </c>
      <c r="C814" s="33" t="s">
        <v>8</v>
      </c>
      <c r="D814" s="34" t="s">
        <v>1999</v>
      </c>
      <c r="E814" s="35" t="str">
        <f t="shared" si="129"/>
        <v>PS'!</v>
      </c>
      <c r="F814" s="34" t="str">
        <f t="shared" si="130"/>
        <v>C:\Users\jaime.benazar\Quorum Business Solutions\Ecopetrol Prometeo - Documents\Planning Space Implementation\3. Analysis &amp; Design\Design\FC22\DRR Jaime\QUIFA-CAJÚA\Cajua\[CAJUA_CF_SEC_New_27-Feb-2024Rev3.xlsx]D-PS'!</v>
      </c>
      <c r="G814" s="32" t="s">
        <v>37</v>
      </c>
      <c r="H814" s="33">
        <f t="shared" si="195"/>
        <v>26</v>
      </c>
      <c r="I814" s="33" t="str">
        <f t="shared" si="131"/>
        <v>='C:\Users\jaime.benazar\Quorum Business Solutions\Ecopetrol Prometeo - Documents\Planning Space Implementation\3. Analysis &amp; Design\Design\FC22\DRR Jaime\QUIFA-CAJÚA\Cajua\[CAJUA_CF_SEC_New_27-Feb-2024Rev3.xlsx]D-PS'!$BW$26</v>
      </c>
      <c r="J814" s="37" t="s">
        <v>2347</v>
      </c>
    </row>
    <row r="815" spans="1:10" x14ac:dyDescent="0.25">
      <c r="A815" s="32" t="s">
        <v>34</v>
      </c>
      <c r="B815" s="32">
        <f t="shared" ref="B815:B817" si="196">+B814+1</f>
        <v>2038</v>
      </c>
      <c r="C815" s="33" t="s">
        <v>8</v>
      </c>
      <c r="D815" s="34" t="s">
        <v>1999</v>
      </c>
      <c r="E815" s="35" t="str">
        <f t="shared" si="129"/>
        <v>PS'!</v>
      </c>
      <c r="F815" s="34" t="str">
        <f t="shared" si="130"/>
        <v>C:\Users\jaime.benazar\Quorum Business Solutions\Ecopetrol Prometeo - Documents\Planning Space Implementation\3. Analysis &amp; Design\Design\FC22\DRR Jaime\QUIFA-CAJÚA\Cajua\[CAJUA_CF_SEC_New_27-Feb-2024Rev3.xlsx]D-PS'!</v>
      </c>
      <c r="G815" s="32" t="s">
        <v>37</v>
      </c>
      <c r="H815" s="33">
        <f t="shared" si="195"/>
        <v>27</v>
      </c>
      <c r="I815" s="33" t="str">
        <f t="shared" si="131"/>
        <v>='C:\Users\jaime.benazar\Quorum Business Solutions\Ecopetrol Prometeo - Documents\Planning Space Implementation\3. Analysis &amp; Design\Design\FC22\DRR Jaime\QUIFA-CAJÚA\Cajua\[CAJUA_CF_SEC_New_27-Feb-2024Rev3.xlsx]D-PS'!$BW$27</v>
      </c>
      <c r="J815" s="37" t="s">
        <v>2348</v>
      </c>
    </row>
    <row r="816" spans="1:10" x14ac:dyDescent="0.25">
      <c r="A816" s="32" t="s">
        <v>34</v>
      </c>
      <c r="B816" s="32">
        <f t="shared" si="196"/>
        <v>2039</v>
      </c>
      <c r="C816" s="33" t="s">
        <v>8</v>
      </c>
      <c r="D816" s="34" t="s">
        <v>1999</v>
      </c>
      <c r="E816" s="35" t="str">
        <f t="shared" si="129"/>
        <v>PS'!</v>
      </c>
      <c r="F816" s="34" t="str">
        <f t="shared" si="130"/>
        <v>C:\Users\jaime.benazar\Quorum Business Solutions\Ecopetrol Prometeo - Documents\Planning Space Implementation\3. Analysis &amp; Design\Design\FC22\DRR Jaime\QUIFA-CAJÚA\Cajua\[CAJUA_CF_SEC_New_27-Feb-2024Rev3.xlsx]D-PS'!</v>
      </c>
      <c r="G816" s="32" t="s">
        <v>37</v>
      </c>
      <c r="H816" s="33">
        <f t="shared" si="195"/>
        <v>28</v>
      </c>
      <c r="I816" s="33" t="str">
        <f t="shared" si="131"/>
        <v>='C:\Users\jaime.benazar\Quorum Business Solutions\Ecopetrol Prometeo - Documents\Planning Space Implementation\3. Analysis &amp; Design\Design\FC22\DRR Jaime\QUIFA-CAJÚA\Cajua\[CAJUA_CF_SEC_New_27-Feb-2024Rev3.xlsx]D-PS'!$BW$28</v>
      </c>
      <c r="J816" s="37" t="s">
        <v>2349</v>
      </c>
    </row>
    <row r="817" spans="1:10" x14ac:dyDescent="0.25">
      <c r="A817" s="32" t="s">
        <v>34</v>
      </c>
      <c r="B817" s="32">
        <f t="shared" si="196"/>
        <v>2040</v>
      </c>
      <c r="C817" s="33" t="s">
        <v>8</v>
      </c>
      <c r="D817" s="34" t="s">
        <v>1999</v>
      </c>
      <c r="E817" s="35" t="str">
        <f t="shared" si="129"/>
        <v>PS'!</v>
      </c>
      <c r="F817" s="34" t="str">
        <f t="shared" si="130"/>
        <v>C:\Users\jaime.benazar\Quorum Business Solutions\Ecopetrol Prometeo - Documents\Planning Space Implementation\3. Analysis &amp; Design\Design\FC22\DRR Jaime\QUIFA-CAJÚA\Cajua\[CAJUA_CF_SEC_New_27-Feb-2024Rev3.xlsx]D-PS'!</v>
      </c>
      <c r="G817" s="32" t="s">
        <v>37</v>
      </c>
      <c r="H817" s="33">
        <f t="shared" si="195"/>
        <v>29</v>
      </c>
      <c r="I817" s="33" t="str">
        <f t="shared" si="131"/>
        <v>='C:\Users\jaime.benazar\Quorum Business Solutions\Ecopetrol Prometeo - Documents\Planning Space Implementation\3. Analysis &amp; Design\Design\FC22\DRR Jaime\QUIFA-CAJÚA\Cajua\[CAJUA_CF_SEC_New_27-Feb-2024Rev3.xlsx]D-PS'!$BW$29</v>
      </c>
      <c r="J817" s="37" t="s">
        <v>2350</v>
      </c>
    </row>
    <row r="818" spans="1:10" x14ac:dyDescent="0.25">
      <c r="A818" s="32" t="s">
        <v>34</v>
      </c>
      <c r="B818" s="32">
        <f>+B817+1</f>
        <v>2041</v>
      </c>
      <c r="C818" s="33" t="s">
        <v>8</v>
      </c>
      <c r="D818" s="34" t="s">
        <v>1999</v>
      </c>
      <c r="E818" s="35" t="str">
        <f t="shared" si="129"/>
        <v>PS'!</v>
      </c>
      <c r="F818" s="34" t="str">
        <f t="shared" si="130"/>
        <v>C:\Users\jaime.benazar\Quorum Business Solutions\Ecopetrol Prometeo - Documents\Planning Space Implementation\3. Analysis &amp; Design\Design\FC22\DRR Jaime\QUIFA-CAJÚA\Cajua\[CAJUA_CF_SEC_New_27-Feb-2024Rev3.xlsx]D-PS'!</v>
      </c>
      <c r="G818" s="32" t="s">
        <v>37</v>
      </c>
      <c r="H818" s="33">
        <f t="shared" si="195"/>
        <v>30</v>
      </c>
      <c r="I818" s="33" t="str">
        <f t="shared" si="131"/>
        <v>='C:\Users\jaime.benazar\Quorum Business Solutions\Ecopetrol Prometeo - Documents\Planning Space Implementation\3. Analysis &amp; Design\Design\FC22\DRR Jaime\QUIFA-CAJÚA\Cajua\[CAJUA_CF_SEC_New_27-Feb-2024Rev3.xlsx]D-PS'!$BW$30</v>
      </c>
      <c r="J818" s="37" t="s">
        <v>2351</v>
      </c>
    </row>
    <row r="819" spans="1:10" x14ac:dyDescent="0.25">
      <c r="A819" s="32" t="s">
        <v>34</v>
      </c>
      <c r="B819" s="32">
        <f t="shared" ref="B819:B820" si="197">+B818+1</f>
        <v>2042</v>
      </c>
      <c r="C819" s="33" t="s">
        <v>8</v>
      </c>
      <c r="D819" s="34" t="s">
        <v>1999</v>
      </c>
      <c r="E819" s="35" t="str">
        <f t="shared" si="129"/>
        <v>PS'!</v>
      </c>
      <c r="F819" s="34" t="str">
        <f t="shared" si="130"/>
        <v>C:\Users\jaime.benazar\Quorum Business Solutions\Ecopetrol Prometeo - Documents\Planning Space Implementation\3. Analysis &amp; Design\Design\FC22\DRR Jaime\QUIFA-CAJÚA\Cajua\[CAJUA_CF_SEC_New_27-Feb-2024Rev3.xlsx]D-PS'!</v>
      </c>
      <c r="G819" s="32" t="s">
        <v>37</v>
      </c>
      <c r="H819" s="33">
        <f t="shared" si="195"/>
        <v>31</v>
      </c>
      <c r="I819" s="33" t="str">
        <f t="shared" si="131"/>
        <v>='C:\Users\jaime.benazar\Quorum Business Solutions\Ecopetrol Prometeo - Documents\Planning Space Implementation\3. Analysis &amp; Design\Design\FC22\DRR Jaime\QUIFA-CAJÚA\Cajua\[CAJUA_CF_SEC_New_27-Feb-2024Rev3.xlsx]D-PS'!$BW$31</v>
      </c>
      <c r="J819" s="37" t="s">
        <v>2352</v>
      </c>
    </row>
    <row r="820" spans="1:10" x14ac:dyDescent="0.25">
      <c r="A820" s="32" t="s">
        <v>34</v>
      </c>
      <c r="B820" s="32">
        <f t="shared" si="197"/>
        <v>2043</v>
      </c>
      <c r="C820" s="33" t="s">
        <v>8</v>
      </c>
      <c r="D820" s="34" t="s">
        <v>1999</v>
      </c>
      <c r="E820" s="35" t="str">
        <f t="shared" si="129"/>
        <v>PS'!</v>
      </c>
      <c r="F820" s="34" t="str">
        <f t="shared" si="130"/>
        <v>C:\Users\jaime.benazar\Quorum Business Solutions\Ecopetrol Prometeo - Documents\Planning Space Implementation\3. Analysis &amp; Design\Design\FC22\DRR Jaime\QUIFA-CAJÚA\Cajua\[CAJUA_CF_SEC_New_27-Feb-2024Rev3.xlsx]D-PS'!</v>
      </c>
      <c r="G820" s="32" t="s">
        <v>37</v>
      </c>
      <c r="H820" s="33">
        <f t="shared" si="195"/>
        <v>32</v>
      </c>
      <c r="I820" s="33" t="str">
        <f t="shared" si="131"/>
        <v>='C:\Users\jaime.benazar\Quorum Business Solutions\Ecopetrol Prometeo - Documents\Planning Space Implementation\3. Analysis &amp; Design\Design\FC22\DRR Jaime\QUIFA-CAJÚA\Cajua\[CAJUA_CF_SEC_New_27-Feb-2024Rev3.xlsx]D-PS'!$BW$32</v>
      </c>
      <c r="J820" s="37" t="s">
        <v>2353</v>
      </c>
    </row>
    <row r="821" spans="1:10" x14ac:dyDescent="0.25">
      <c r="A821" s="32" t="s">
        <v>34</v>
      </c>
      <c r="B821" s="32">
        <f>+B820+1</f>
        <v>2044</v>
      </c>
      <c r="C821" s="33" t="s">
        <v>8</v>
      </c>
      <c r="D821" s="34" t="s">
        <v>1999</v>
      </c>
      <c r="E821" s="35" t="str">
        <f t="shared" ref="E821:E836" si="198">_xlfn.CONCAT(A821,"'!")</f>
        <v>PS'!</v>
      </c>
      <c r="F821" s="34" t="str">
        <f t="shared" ref="F821:F836" si="199">_xlfn.CONCAT(D821:E821)</f>
        <v>C:\Users\jaime.benazar\Quorum Business Solutions\Ecopetrol Prometeo - Documents\Planning Space Implementation\3. Analysis &amp; Design\Design\FC22\DRR Jaime\QUIFA-CAJÚA\Cajua\[CAJUA_CF_SEC_New_27-Feb-2024Rev3.xlsx]D-PS'!</v>
      </c>
      <c r="G821" s="32" t="s">
        <v>37</v>
      </c>
      <c r="H821" s="33">
        <f t="shared" ref="H821:H836" si="200">IF(A821&lt;&gt;A820,12,H820+1)</f>
        <v>33</v>
      </c>
      <c r="I821" s="33" t="str">
        <f t="shared" ref="I821:I836" si="201">_xlfn.CONCAT("='",F821:H821)</f>
        <v>='C:\Users\jaime.benazar\Quorum Business Solutions\Ecopetrol Prometeo - Documents\Planning Space Implementation\3. Analysis &amp; Design\Design\FC22\DRR Jaime\QUIFA-CAJÚA\Cajua\[CAJUA_CF_SEC_New_27-Feb-2024Rev3.xlsx]D-PS'!$BW$33</v>
      </c>
      <c r="J821" s="37" t="s">
        <v>2354</v>
      </c>
    </row>
    <row r="822" spans="1:10" x14ac:dyDescent="0.25">
      <c r="A822" s="32" t="s">
        <v>34</v>
      </c>
      <c r="B822" s="32">
        <f t="shared" ref="B822:B836" si="202">+B821+1</f>
        <v>2045</v>
      </c>
      <c r="C822" s="33" t="s">
        <v>8</v>
      </c>
      <c r="D822" s="34" t="s">
        <v>1999</v>
      </c>
      <c r="E822" s="35" t="str">
        <f t="shared" si="198"/>
        <v>PS'!</v>
      </c>
      <c r="F822" s="34" t="str">
        <f t="shared" si="199"/>
        <v>C:\Users\jaime.benazar\Quorum Business Solutions\Ecopetrol Prometeo - Documents\Planning Space Implementation\3. Analysis &amp; Design\Design\FC22\DRR Jaime\QUIFA-CAJÚA\Cajua\[CAJUA_CF_SEC_New_27-Feb-2024Rev3.xlsx]D-PS'!</v>
      </c>
      <c r="G822" s="32" t="s">
        <v>37</v>
      </c>
      <c r="H822" s="33">
        <f t="shared" si="200"/>
        <v>34</v>
      </c>
      <c r="I822" s="33" t="str">
        <f t="shared" si="201"/>
        <v>='C:\Users\jaime.benazar\Quorum Business Solutions\Ecopetrol Prometeo - Documents\Planning Space Implementation\3. Analysis &amp; Design\Design\FC22\DRR Jaime\QUIFA-CAJÚA\Cajua\[CAJUA_CF_SEC_New_27-Feb-2024Rev3.xlsx]D-PS'!$BW$34</v>
      </c>
      <c r="J822" s="37" t="s">
        <v>2355</v>
      </c>
    </row>
    <row r="823" spans="1:10" x14ac:dyDescent="0.25">
      <c r="A823" s="32" t="s">
        <v>34</v>
      </c>
      <c r="B823" s="32">
        <f t="shared" si="202"/>
        <v>2046</v>
      </c>
      <c r="C823" s="33" t="s">
        <v>8</v>
      </c>
      <c r="D823" s="34" t="s">
        <v>1999</v>
      </c>
      <c r="E823" s="35" t="str">
        <f t="shared" si="198"/>
        <v>PS'!</v>
      </c>
      <c r="F823" s="34" t="str">
        <f t="shared" si="199"/>
        <v>C:\Users\jaime.benazar\Quorum Business Solutions\Ecopetrol Prometeo - Documents\Planning Space Implementation\3. Analysis &amp; Design\Design\FC22\DRR Jaime\QUIFA-CAJÚA\Cajua\[CAJUA_CF_SEC_New_27-Feb-2024Rev3.xlsx]D-PS'!</v>
      </c>
      <c r="G823" s="32" t="s">
        <v>37</v>
      </c>
      <c r="H823" s="33">
        <f t="shared" si="200"/>
        <v>35</v>
      </c>
      <c r="I823" s="33" t="str">
        <f t="shared" si="201"/>
        <v>='C:\Users\jaime.benazar\Quorum Business Solutions\Ecopetrol Prometeo - Documents\Planning Space Implementation\3. Analysis &amp; Design\Design\FC22\DRR Jaime\QUIFA-CAJÚA\Cajua\[CAJUA_CF_SEC_New_27-Feb-2024Rev3.xlsx]D-PS'!$BW$35</v>
      </c>
      <c r="J823" s="37" t="s">
        <v>2356</v>
      </c>
    </row>
    <row r="824" spans="1:10" x14ac:dyDescent="0.25">
      <c r="A824" s="32" t="s">
        <v>34</v>
      </c>
      <c r="B824" s="32">
        <f t="shared" si="202"/>
        <v>2047</v>
      </c>
      <c r="C824" s="33" t="s">
        <v>8</v>
      </c>
      <c r="D824" s="34" t="s">
        <v>1999</v>
      </c>
      <c r="E824" s="35" t="str">
        <f t="shared" si="198"/>
        <v>PS'!</v>
      </c>
      <c r="F824" s="34" t="str">
        <f t="shared" si="199"/>
        <v>C:\Users\jaime.benazar\Quorum Business Solutions\Ecopetrol Prometeo - Documents\Planning Space Implementation\3. Analysis &amp; Design\Design\FC22\DRR Jaime\QUIFA-CAJÚA\Cajua\[CAJUA_CF_SEC_New_27-Feb-2024Rev3.xlsx]D-PS'!</v>
      </c>
      <c r="G824" s="32" t="s">
        <v>37</v>
      </c>
      <c r="H824" s="33">
        <f t="shared" si="200"/>
        <v>36</v>
      </c>
      <c r="I824" s="33" t="str">
        <f t="shared" si="201"/>
        <v>='C:\Users\jaime.benazar\Quorum Business Solutions\Ecopetrol Prometeo - Documents\Planning Space Implementation\3. Analysis &amp; Design\Design\FC22\DRR Jaime\QUIFA-CAJÚA\Cajua\[CAJUA_CF_SEC_New_27-Feb-2024Rev3.xlsx]D-PS'!$BW$36</v>
      </c>
      <c r="J824" s="37" t="s">
        <v>2357</v>
      </c>
    </row>
    <row r="825" spans="1:10" x14ac:dyDescent="0.25">
      <c r="A825" s="32" t="s">
        <v>34</v>
      </c>
      <c r="B825" s="32">
        <f t="shared" si="202"/>
        <v>2048</v>
      </c>
      <c r="C825" s="33" t="s">
        <v>8</v>
      </c>
      <c r="D825" s="34" t="s">
        <v>1999</v>
      </c>
      <c r="E825" s="35" t="str">
        <f t="shared" si="198"/>
        <v>PS'!</v>
      </c>
      <c r="F825" s="34" t="str">
        <f t="shared" si="199"/>
        <v>C:\Users\jaime.benazar\Quorum Business Solutions\Ecopetrol Prometeo - Documents\Planning Space Implementation\3. Analysis &amp; Design\Design\FC22\DRR Jaime\QUIFA-CAJÚA\Cajua\[CAJUA_CF_SEC_New_27-Feb-2024Rev3.xlsx]D-PS'!</v>
      </c>
      <c r="G825" s="32" t="s">
        <v>37</v>
      </c>
      <c r="H825" s="33">
        <f t="shared" si="200"/>
        <v>37</v>
      </c>
      <c r="I825" s="33" t="str">
        <f t="shared" si="201"/>
        <v>='C:\Users\jaime.benazar\Quorum Business Solutions\Ecopetrol Prometeo - Documents\Planning Space Implementation\3. Analysis &amp; Design\Design\FC22\DRR Jaime\QUIFA-CAJÚA\Cajua\[CAJUA_CF_SEC_New_27-Feb-2024Rev3.xlsx]D-PS'!$BW$37</v>
      </c>
      <c r="J825" s="37" t="s">
        <v>2358</v>
      </c>
    </row>
    <row r="826" spans="1:10" x14ac:dyDescent="0.25">
      <c r="A826" s="32" t="s">
        <v>34</v>
      </c>
      <c r="B826" s="32">
        <f t="shared" si="202"/>
        <v>2049</v>
      </c>
      <c r="C826" s="33" t="s">
        <v>8</v>
      </c>
      <c r="D826" s="34" t="s">
        <v>1999</v>
      </c>
      <c r="E826" s="35" t="str">
        <f t="shared" si="198"/>
        <v>PS'!</v>
      </c>
      <c r="F826" s="34" t="str">
        <f t="shared" si="199"/>
        <v>C:\Users\jaime.benazar\Quorum Business Solutions\Ecopetrol Prometeo - Documents\Planning Space Implementation\3. Analysis &amp; Design\Design\FC22\DRR Jaime\QUIFA-CAJÚA\Cajua\[CAJUA_CF_SEC_New_27-Feb-2024Rev3.xlsx]D-PS'!</v>
      </c>
      <c r="G826" s="32" t="s">
        <v>37</v>
      </c>
      <c r="H826" s="33">
        <f t="shared" si="200"/>
        <v>38</v>
      </c>
      <c r="I826" s="33" t="str">
        <f t="shared" si="201"/>
        <v>='C:\Users\jaime.benazar\Quorum Business Solutions\Ecopetrol Prometeo - Documents\Planning Space Implementation\3. Analysis &amp; Design\Design\FC22\DRR Jaime\QUIFA-CAJÚA\Cajua\[CAJUA_CF_SEC_New_27-Feb-2024Rev3.xlsx]D-PS'!$BW$38</v>
      </c>
      <c r="J826" s="37" t="s">
        <v>2359</v>
      </c>
    </row>
    <row r="827" spans="1:10" x14ac:dyDescent="0.25">
      <c r="A827" s="32" t="s">
        <v>34</v>
      </c>
      <c r="B827" s="32">
        <f t="shared" si="202"/>
        <v>2050</v>
      </c>
      <c r="C827" s="33" t="s">
        <v>8</v>
      </c>
      <c r="D827" s="34" t="s">
        <v>1999</v>
      </c>
      <c r="E827" s="35" t="str">
        <f t="shared" si="198"/>
        <v>PS'!</v>
      </c>
      <c r="F827" s="34" t="str">
        <f t="shared" si="199"/>
        <v>C:\Users\jaime.benazar\Quorum Business Solutions\Ecopetrol Prometeo - Documents\Planning Space Implementation\3. Analysis &amp; Design\Design\FC22\DRR Jaime\QUIFA-CAJÚA\Cajua\[CAJUA_CF_SEC_New_27-Feb-2024Rev3.xlsx]D-PS'!</v>
      </c>
      <c r="G827" s="32" t="s">
        <v>37</v>
      </c>
      <c r="H827" s="33">
        <f t="shared" si="200"/>
        <v>39</v>
      </c>
      <c r="I827" s="33" t="str">
        <f t="shared" si="201"/>
        <v>='C:\Users\jaime.benazar\Quorum Business Solutions\Ecopetrol Prometeo - Documents\Planning Space Implementation\3. Analysis &amp; Design\Design\FC22\DRR Jaime\QUIFA-CAJÚA\Cajua\[CAJUA_CF_SEC_New_27-Feb-2024Rev3.xlsx]D-PS'!$BW$39</v>
      </c>
      <c r="J827" s="37" t="s">
        <v>2360</v>
      </c>
    </row>
    <row r="828" spans="1:10" x14ac:dyDescent="0.25">
      <c r="A828" s="32" t="s">
        <v>34</v>
      </c>
      <c r="B828" s="32">
        <f t="shared" si="202"/>
        <v>2051</v>
      </c>
      <c r="C828" s="33" t="s">
        <v>8</v>
      </c>
      <c r="D828" s="34" t="s">
        <v>1999</v>
      </c>
      <c r="E828" s="35" t="str">
        <f t="shared" si="198"/>
        <v>PS'!</v>
      </c>
      <c r="F828" s="34" t="str">
        <f t="shared" si="199"/>
        <v>C:\Users\jaime.benazar\Quorum Business Solutions\Ecopetrol Prometeo - Documents\Planning Space Implementation\3. Analysis &amp; Design\Design\FC22\DRR Jaime\QUIFA-CAJÚA\Cajua\[CAJUA_CF_SEC_New_27-Feb-2024Rev3.xlsx]D-PS'!</v>
      </c>
      <c r="G828" s="32" t="s">
        <v>37</v>
      </c>
      <c r="H828" s="33">
        <f t="shared" si="200"/>
        <v>40</v>
      </c>
      <c r="I828" s="33" t="str">
        <f t="shared" si="201"/>
        <v>='C:\Users\jaime.benazar\Quorum Business Solutions\Ecopetrol Prometeo - Documents\Planning Space Implementation\3. Analysis &amp; Design\Design\FC22\DRR Jaime\QUIFA-CAJÚA\Cajua\[CAJUA_CF_SEC_New_27-Feb-2024Rev3.xlsx]D-PS'!$BW$40</v>
      </c>
      <c r="J828" s="37" t="s">
        <v>2361</v>
      </c>
    </row>
    <row r="829" spans="1:10" x14ac:dyDescent="0.25">
      <c r="A829" s="32" t="s">
        <v>34</v>
      </c>
      <c r="B829" s="32">
        <f t="shared" si="202"/>
        <v>2052</v>
      </c>
      <c r="C829" s="33" t="s">
        <v>8</v>
      </c>
      <c r="D829" s="34" t="s">
        <v>1999</v>
      </c>
      <c r="E829" s="35" t="str">
        <f t="shared" si="198"/>
        <v>PS'!</v>
      </c>
      <c r="F829" s="34" t="str">
        <f t="shared" si="199"/>
        <v>C:\Users\jaime.benazar\Quorum Business Solutions\Ecopetrol Prometeo - Documents\Planning Space Implementation\3. Analysis &amp; Design\Design\FC22\DRR Jaime\QUIFA-CAJÚA\Cajua\[CAJUA_CF_SEC_New_27-Feb-2024Rev3.xlsx]D-PS'!</v>
      </c>
      <c r="G829" s="32" t="s">
        <v>37</v>
      </c>
      <c r="H829" s="33">
        <f t="shared" si="200"/>
        <v>41</v>
      </c>
      <c r="I829" s="33" t="str">
        <f t="shared" si="201"/>
        <v>='C:\Users\jaime.benazar\Quorum Business Solutions\Ecopetrol Prometeo - Documents\Planning Space Implementation\3. Analysis &amp; Design\Design\FC22\DRR Jaime\QUIFA-CAJÚA\Cajua\[CAJUA_CF_SEC_New_27-Feb-2024Rev3.xlsx]D-PS'!$BW$41</v>
      </c>
      <c r="J829" s="37" t="s">
        <v>2362</v>
      </c>
    </row>
    <row r="830" spans="1:10" x14ac:dyDescent="0.25">
      <c r="A830" s="32" t="s">
        <v>34</v>
      </c>
      <c r="B830" s="32">
        <f t="shared" si="202"/>
        <v>2053</v>
      </c>
      <c r="C830" s="33" t="s">
        <v>8</v>
      </c>
      <c r="D830" s="34" t="s">
        <v>1999</v>
      </c>
      <c r="E830" s="35" t="str">
        <f t="shared" si="198"/>
        <v>PS'!</v>
      </c>
      <c r="F830" s="34" t="str">
        <f t="shared" si="199"/>
        <v>C:\Users\jaime.benazar\Quorum Business Solutions\Ecopetrol Prometeo - Documents\Planning Space Implementation\3. Analysis &amp; Design\Design\FC22\DRR Jaime\QUIFA-CAJÚA\Cajua\[CAJUA_CF_SEC_New_27-Feb-2024Rev3.xlsx]D-PS'!</v>
      </c>
      <c r="G830" s="32" t="s">
        <v>37</v>
      </c>
      <c r="H830" s="33">
        <f t="shared" si="200"/>
        <v>42</v>
      </c>
      <c r="I830" s="33" t="str">
        <f t="shared" si="201"/>
        <v>='C:\Users\jaime.benazar\Quorum Business Solutions\Ecopetrol Prometeo - Documents\Planning Space Implementation\3. Analysis &amp; Design\Design\FC22\DRR Jaime\QUIFA-CAJÚA\Cajua\[CAJUA_CF_SEC_New_27-Feb-2024Rev3.xlsx]D-PS'!$BW$42</v>
      </c>
      <c r="J830" s="37" t="s">
        <v>2363</v>
      </c>
    </row>
    <row r="831" spans="1:10" x14ac:dyDescent="0.25">
      <c r="A831" s="32" t="s">
        <v>34</v>
      </c>
      <c r="B831" s="32">
        <f t="shared" si="202"/>
        <v>2054</v>
      </c>
      <c r="C831" s="33" t="s">
        <v>8</v>
      </c>
      <c r="D831" s="34" t="s">
        <v>1999</v>
      </c>
      <c r="E831" s="35" t="str">
        <f t="shared" si="198"/>
        <v>PS'!</v>
      </c>
      <c r="F831" s="34" t="str">
        <f t="shared" si="199"/>
        <v>C:\Users\jaime.benazar\Quorum Business Solutions\Ecopetrol Prometeo - Documents\Planning Space Implementation\3. Analysis &amp; Design\Design\FC22\DRR Jaime\QUIFA-CAJÚA\Cajua\[CAJUA_CF_SEC_New_27-Feb-2024Rev3.xlsx]D-PS'!</v>
      </c>
      <c r="G831" s="32" t="s">
        <v>37</v>
      </c>
      <c r="H831" s="33">
        <f t="shared" si="200"/>
        <v>43</v>
      </c>
      <c r="I831" s="33" t="str">
        <f t="shared" si="201"/>
        <v>='C:\Users\jaime.benazar\Quorum Business Solutions\Ecopetrol Prometeo - Documents\Planning Space Implementation\3. Analysis &amp; Design\Design\FC22\DRR Jaime\QUIFA-CAJÚA\Cajua\[CAJUA_CF_SEC_New_27-Feb-2024Rev3.xlsx]D-PS'!$BW$43</v>
      </c>
      <c r="J831" s="37" t="s">
        <v>2364</v>
      </c>
    </row>
    <row r="832" spans="1:10" x14ac:dyDescent="0.25">
      <c r="A832" s="32" t="s">
        <v>34</v>
      </c>
      <c r="B832" s="32">
        <f t="shared" si="202"/>
        <v>2055</v>
      </c>
      <c r="C832" s="33" t="s">
        <v>8</v>
      </c>
      <c r="D832" s="34" t="s">
        <v>1999</v>
      </c>
      <c r="E832" s="35" t="str">
        <f t="shared" si="198"/>
        <v>PS'!</v>
      </c>
      <c r="F832" s="34" t="str">
        <f t="shared" si="199"/>
        <v>C:\Users\jaime.benazar\Quorum Business Solutions\Ecopetrol Prometeo - Documents\Planning Space Implementation\3. Analysis &amp; Design\Design\FC22\DRR Jaime\QUIFA-CAJÚA\Cajua\[CAJUA_CF_SEC_New_27-Feb-2024Rev3.xlsx]D-PS'!</v>
      </c>
      <c r="G832" s="32" t="s">
        <v>37</v>
      </c>
      <c r="H832" s="33">
        <f t="shared" si="200"/>
        <v>44</v>
      </c>
      <c r="I832" s="33" t="str">
        <f t="shared" si="201"/>
        <v>='C:\Users\jaime.benazar\Quorum Business Solutions\Ecopetrol Prometeo - Documents\Planning Space Implementation\3. Analysis &amp; Design\Design\FC22\DRR Jaime\QUIFA-CAJÚA\Cajua\[CAJUA_CF_SEC_New_27-Feb-2024Rev3.xlsx]D-PS'!$BW$44</v>
      </c>
      <c r="J832" s="37" t="s">
        <v>2365</v>
      </c>
    </row>
    <row r="833" spans="1:10" x14ac:dyDescent="0.25">
      <c r="A833" s="32" t="s">
        <v>34</v>
      </c>
      <c r="B833" s="32">
        <f t="shared" si="202"/>
        <v>2056</v>
      </c>
      <c r="C833" s="33" t="s">
        <v>8</v>
      </c>
      <c r="D833" s="34" t="s">
        <v>1999</v>
      </c>
      <c r="E833" s="35" t="str">
        <f t="shared" si="198"/>
        <v>PS'!</v>
      </c>
      <c r="F833" s="34" t="str">
        <f t="shared" si="199"/>
        <v>C:\Users\jaime.benazar\Quorum Business Solutions\Ecopetrol Prometeo - Documents\Planning Space Implementation\3. Analysis &amp; Design\Design\FC22\DRR Jaime\QUIFA-CAJÚA\Cajua\[CAJUA_CF_SEC_New_27-Feb-2024Rev3.xlsx]D-PS'!</v>
      </c>
      <c r="G833" s="32" t="s">
        <v>37</v>
      </c>
      <c r="H833" s="33">
        <f t="shared" si="200"/>
        <v>45</v>
      </c>
      <c r="I833" s="33" t="str">
        <f t="shared" si="201"/>
        <v>='C:\Users\jaime.benazar\Quorum Business Solutions\Ecopetrol Prometeo - Documents\Planning Space Implementation\3. Analysis &amp; Design\Design\FC22\DRR Jaime\QUIFA-CAJÚA\Cajua\[CAJUA_CF_SEC_New_27-Feb-2024Rev3.xlsx]D-PS'!$BW$45</v>
      </c>
      <c r="J833" s="37" t="s">
        <v>2366</v>
      </c>
    </row>
    <row r="834" spans="1:10" x14ac:dyDescent="0.25">
      <c r="A834" s="32" t="s">
        <v>34</v>
      </c>
      <c r="B834" s="32">
        <f t="shared" si="202"/>
        <v>2057</v>
      </c>
      <c r="C834" s="33" t="s">
        <v>8</v>
      </c>
      <c r="D834" s="34" t="s">
        <v>1999</v>
      </c>
      <c r="E834" s="35" t="str">
        <f t="shared" si="198"/>
        <v>PS'!</v>
      </c>
      <c r="F834" s="34" t="str">
        <f t="shared" si="199"/>
        <v>C:\Users\jaime.benazar\Quorum Business Solutions\Ecopetrol Prometeo - Documents\Planning Space Implementation\3. Analysis &amp; Design\Design\FC22\DRR Jaime\QUIFA-CAJÚA\Cajua\[CAJUA_CF_SEC_New_27-Feb-2024Rev3.xlsx]D-PS'!</v>
      </c>
      <c r="G834" s="32" t="s">
        <v>37</v>
      </c>
      <c r="H834" s="33">
        <f t="shared" si="200"/>
        <v>46</v>
      </c>
      <c r="I834" s="33" t="str">
        <f t="shared" si="201"/>
        <v>='C:\Users\jaime.benazar\Quorum Business Solutions\Ecopetrol Prometeo - Documents\Planning Space Implementation\3. Analysis &amp; Design\Design\FC22\DRR Jaime\QUIFA-CAJÚA\Cajua\[CAJUA_CF_SEC_New_27-Feb-2024Rev3.xlsx]D-PS'!$BW$46</v>
      </c>
      <c r="J834" s="37" t="s">
        <v>2367</v>
      </c>
    </row>
    <row r="835" spans="1:10" x14ac:dyDescent="0.25">
      <c r="A835" s="32" t="s">
        <v>34</v>
      </c>
      <c r="B835" s="32">
        <f t="shared" si="202"/>
        <v>2058</v>
      </c>
      <c r="C835" s="33" t="s">
        <v>8</v>
      </c>
      <c r="D835" s="34" t="s">
        <v>1999</v>
      </c>
      <c r="E835" s="35" t="str">
        <f t="shared" si="198"/>
        <v>PS'!</v>
      </c>
      <c r="F835" s="34" t="str">
        <f t="shared" si="199"/>
        <v>C:\Users\jaime.benazar\Quorum Business Solutions\Ecopetrol Prometeo - Documents\Planning Space Implementation\3. Analysis &amp; Design\Design\FC22\DRR Jaime\QUIFA-CAJÚA\Cajua\[CAJUA_CF_SEC_New_27-Feb-2024Rev3.xlsx]D-PS'!</v>
      </c>
      <c r="G835" s="32" t="s">
        <v>37</v>
      </c>
      <c r="H835" s="33">
        <f t="shared" si="200"/>
        <v>47</v>
      </c>
      <c r="I835" s="33" t="str">
        <f t="shared" si="201"/>
        <v>='C:\Users\jaime.benazar\Quorum Business Solutions\Ecopetrol Prometeo - Documents\Planning Space Implementation\3. Analysis &amp; Design\Design\FC22\DRR Jaime\QUIFA-CAJÚA\Cajua\[CAJUA_CF_SEC_New_27-Feb-2024Rev3.xlsx]D-PS'!$BW$47</v>
      </c>
      <c r="J835" s="37" t="s">
        <v>2368</v>
      </c>
    </row>
    <row r="836" spans="1:10" x14ac:dyDescent="0.25">
      <c r="A836" s="32" t="s">
        <v>34</v>
      </c>
      <c r="B836" s="32">
        <f t="shared" si="202"/>
        <v>2059</v>
      </c>
      <c r="C836" s="33" t="s">
        <v>8</v>
      </c>
      <c r="D836" s="34" t="s">
        <v>1999</v>
      </c>
      <c r="E836" s="35" t="str">
        <f t="shared" si="198"/>
        <v>PS'!</v>
      </c>
      <c r="F836" s="34" t="str">
        <f t="shared" si="199"/>
        <v>C:\Users\jaime.benazar\Quorum Business Solutions\Ecopetrol Prometeo - Documents\Planning Space Implementation\3. Analysis &amp; Design\Design\FC22\DRR Jaime\QUIFA-CAJÚA\Cajua\[CAJUA_CF_SEC_New_27-Feb-2024Rev3.xlsx]D-PS'!</v>
      </c>
      <c r="G836" s="32" t="s">
        <v>37</v>
      </c>
      <c r="H836" s="33">
        <f t="shared" si="200"/>
        <v>48</v>
      </c>
      <c r="I836" s="33" t="str">
        <f t="shared" si="201"/>
        <v>='C:\Users\jaime.benazar\Quorum Business Solutions\Ecopetrol Prometeo - Documents\Planning Space Implementation\3. Analysis &amp; Design\Design\FC22\DRR Jaime\QUIFA-CAJÚA\Cajua\[CAJUA_CF_SEC_New_27-Feb-2024Rev3.xlsx]D-PS'!$BW$48</v>
      </c>
      <c r="J836" s="37" t="s">
        <v>2369</v>
      </c>
    </row>
    <row r="837" spans="1:10" x14ac:dyDescent="0.25">
      <c r="A837" s="32" t="s">
        <v>28</v>
      </c>
      <c r="B837" s="32"/>
      <c r="C837" s="33" t="s">
        <v>8</v>
      </c>
      <c r="D837" s="34"/>
      <c r="E837" s="35"/>
      <c r="F837" s="34"/>
      <c r="G837" s="32"/>
      <c r="H837" s="33"/>
      <c r="I837" s="33"/>
      <c r="J837" s="33"/>
    </row>
    <row r="838" spans="1:10" x14ac:dyDescent="0.2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Jaime\QUIFA-CAJÚA\Cajua\[CAJUA_CF_SEC_New_27-Feb-2024Rev3.xlsx]D-PDP'!</v>
      </c>
      <c r="G838" s="32" t="s">
        <v>112</v>
      </c>
      <c r="H838" s="33">
        <v>12</v>
      </c>
      <c r="I838" s="33" t="str">
        <f>_xlfn.CONCAT("='",F838:H838)</f>
        <v>='C:\Users\jaime.benazar\Quorum Business Solutions\Ecopetrol Prometeo - Documents\Planning Space Implementation\3. Analysis &amp; Design\Design\FC22\DRR Jaime\QUIFA-CAJÚA\Cajua\[CAJUA_CF_SEC_New_27-Feb-2024Rev3.xlsx]D-PDP'!$BZ$12</v>
      </c>
      <c r="J838" s="37" t="s">
        <v>2370</v>
      </c>
    </row>
    <row r="839" spans="1:10" x14ac:dyDescent="0.25">
      <c r="A839" s="32" t="s">
        <v>1</v>
      </c>
      <c r="B839" s="32">
        <f>+B838+1</f>
        <v>2024</v>
      </c>
      <c r="C839" s="33" t="s">
        <v>11</v>
      </c>
      <c r="D839" s="34" t="s">
        <v>1999</v>
      </c>
      <c r="E839" s="35" t="str">
        <f t="shared" ref="E839:E932" si="203">_xlfn.CONCAT(A839,"'!")</f>
        <v>PDP'!</v>
      </c>
      <c r="F839" s="34" t="str">
        <f t="shared" ref="F839:F932" si="204">_xlfn.CONCAT(D839:E839)</f>
        <v>C:\Users\jaime.benazar\Quorum Business Solutions\Ecopetrol Prometeo - Documents\Planning Space Implementation\3. Analysis &amp; Design\Design\FC22\DRR Jaime\QUIFA-CAJÚA\Cajua\[CAJUA_CF_SEC_New_27-Feb-2024Rev3.xlsx]D-PDP'!</v>
      </c>
      <c r="G839" s="32" t="s">
        <v>112</v>
      </c>
      <c r="H839" s="33">
        <f t="shared" ref="H839:H858" si="205">IF(A839&lt;&gt;A838,12,H838+1)</f>
        <v>13</v>
      </c>
      <c r="I839" s="33" t="str">
        <f t="shared" ref="I839:I932" si="206">_xlfn.CONCAT("='",F839:H839)</f>
        <v>='C:\Users\jaime.benazar\Quorum Business Solutions\Ecopetrol Prometeo - Documents\Planning Space Implementation\3. Analysis &amp; Design\Design\FC22\DRR Jaime\QUIFA-CAJÚA\Cajua\[CAJUA_CF_SEC_New_27-Feb-2024Rev3.xlsx]D-PDP'!$BZ$13</v>
      </c>
      <c r="J839" s="37" t="s">
        <v>2371</v>
      </c>
    </row>
    <row r="840" spans="1:10" x14ac:dyDescent="0.25">
      <c r="A840" s="32" t="s">
        <v>1</v>
      </c>
      <c r="B840" s="32">
        <f t="shared" ref="B840:B851" si="207">+B839+1</f>
        <v>2025</v>
      </c>
      <c r="C840" s="33" t="s">
        <v>11</v>
      </c>
      <c r="D840" s="34" t="s">
        <v>1999</v>
      </c>
      <c r="E840" s="35" t="str">
        <f t="shared" si="203"/>
        <v>PDP'!</v>
      </c>
      <c r="F840" s="34" t="str">
        <f t="shared" si="204"/>
        <v>C:\Users\jaime.benazar\Quorum Business Solutions\Ecopetrol Prometeo - Documents\Planning Space Implementation\3. Analysis &amp; Design\Design\FC22\DRR Jaime\QUIFA-CAJÚA\Cajua\[CAJUA_CF_SEC_New_27-Feb-2024Rev3.xlsx]D-PDP'!</v>
      </c>
      <c r="G840" s="32" t="s">
        <v>112</v>
      </c>
      <c r="H840" s="33">
        <f t="shared" si="205"/>
        <v>14</v>
      </c>
      <c r="I840" s="33" t="str">
        <f t="shared" si="206"/>
        <v>='C:\Users\jaime.benazar\Quorum Business Solutions\Ecopetrol Prometeo - Documents\Planning Space Implementation\3. Analysis &amp; Design\Design\FC22\DRR Jaime\QUIFA-CAJÚA\Cajua\[CAJUA_CF_SEC_New_27-Feb-2024Rev3.xlsx]D-PDP'!$BZ$14</v>
      </c>
      <c r="J840" s="37" t="s">
        <v>2372</v>
      </c>
    </row>
    <row r="841" spans="1:10" x14ac:dyDescent="0.25">
      <c r="A841" s="32" t="s">
        <v>1</v>
      </c>
      <c r="B841" s="32">
        <f t="shared" si="207"/>
        <v>2026</v>
      </c>
      <c r="C841" s="33" t="s">
        <v>11</v>
      </c>
      <c r="D841" s="34" t="s">
        <v>1999</v>
      </c>
      <c r="E841" s="35" t="str">
        <f t="shared" si="203"/>
        <v>PDP'!</v>
      </c>
      <c r="F841" s="34" t="str">
        <f t="shared" si="204"/>
        <v>C:\Users\jaime.benazar\Quorum Business Solutions\Ecopetrol Prometeo - Documents\Planning Space Implementation\3. Analysis &amp; Design\Design\FC22\DRR Jaime\QUIFA-CAJÚA\Cajua\[CAJUA_CF_SEC_New_27-Feb-2024Rev3.xlsx]D-PDP'!</v>
      </c>
      <c r="G841" s="32" t="s">
        <v>112</v>
      </c>
      <c r="H841" s="33">
        <f t="shared" si="205"/>
        <v>15</v>
      </c>
      <c r="I841" s="33" t="str">
        <f t="shared" si="206"/>
        <v>='C:\Users\jaime.benazar\Quorum Business Solutions\Ecopetrol Prometeo - Documents\Planning Space Implementation\3. Analysis &amp; Design\Design\FC22\DRR Jaime\QUIFA-CAJÚA\Cajua\[CAJUA_CF_SEC_New_27-Feb-2024Rev3.xlsx]D-PDP'!$BZ$15</v>
      </c>
      <c r="J841" s="37" t="s">
        <v>2373</v>
      </c>
    </row>
    <row r="842" spans="1:10" x14ac:dyDescent="0.25">
      <c r="A842" s="32" t="s">
        <v>1</v>
      </c>
      <c r="B842" s="32">
        <f t="shared" si="207"/>
        <v>2027</v>
      </c>
      <c r="C842" s="33" t="s">
        <v>11</v>
      </c>
      <c r="D842" s="34" t="s">
        <v>1999</v>
      </c>
      <c r="E842" s="35" t="str">
        <f t="shared" si="203"/>
        <v>PDP'!</v>
      </c>
      <c r="F842" s="34" t="str">
        <f t="shared" si="204"/>
        <v>C:\Users\jaime.benazar\Quorum Business Solutions\Ecopetrol Prometeo - Documents\Planning Space Implementation\3. Analysis &amp; Design\Design\FC22\DRR Jaime\QUIFA-CAJÚA\Cajua\[CAJUA_CF_SEC_New_27-Feb-2024Rev3.xlsx]D-PDP'!</v>
      </c>
      <c r="G842" s="32" t="s">
        <v>112</v>
      </c>
      <c r="H842" s="33">
        <f t="shared" si="205"/>
        <v>16</v>
      </c>
      <c r="I842" s="33" t="str">
        <f t="shared" si="206"/>
        <v>='C:\Users\jaime.benazar\Quorum Business Solutions\Ecopetrol Prometeo - Documents\Planning Space Implementation\3. Analysis &amp; Design\Design\FC22\DRR Jaime\QUIFA-CAJÚA\Cajua\[CAJUA_CF_SEC_New_27-Feb-2024Rev3.xlsx]D-PDP'!$BZ$16</v>
      </c>
      <c r="J842" s="37" t="s">
        <v>2374</v>
      </c>
    </row>
    <row r="843" spans="1:10" x14ac:dyDescent="0.25">
      <c r="A843" s="32" t="s">
        <v>1</v>
      </c>
      <c r="B843" s="32">
        <f t="shared" si="207"/>
        <v>2028</v>
      </c>
      <c r="C843" s="33" t="s">
        <v>11</v>
      </c>
      <c r="D843" s="34" t="s">
        <v>1999</v>
      </c>
      <c r="E843" s="35" t="str">
        <f t="shared" si="203"/>
        <v>PDP'!</v>
      </c>
      <c r="F843" s="34" t="str">
        <f t="shared" si="204"/>
        <v>C:\Users\jaime.benazar\Quorum Business Solutions\Ecopetrol Prometeo - Documents\Planning Space Implementation\3. Analysis &amp; Design\Design\FC22\DRR Jaime\QUIFA-CAJÚA\Cajua\[CAJUA_CF_SEC_New_27-Feb-2024Rev3.xlsx]D-PDP'!</v>
      </c>
      <c r="G843" s="32" t="s">
        <v>112</v>
      </c>
      <c r="H843" s="33">
        <f t="shared" si="205"/>
        <v>17</v>
      </c>
      <c r="I843" s="33" t="str">
        <f t="shared" si="206"/>
        <v>='C:\Users\jaime.benazar\Quorum Business Solutions\Ecopetrol Prometeo - Documents\Planning Space Implementation\3. Analysis &amp; Design\Design\FC22\DRR Jaime\QUIFA-CAJÚA\Cajua\[CAJUA_CF_SEC_New_27-Feb-2024Rev3.xlsx]D-PDP'!$BZ$17</v>
      </c>
      <c r="J843" s="37" t="s">
        <v>2375</v>
      </c>
    </row>
    <row r="844" spans="1:10" x14ac:dyDescent="0.25">
      <c r="A844" s="32" t="s">
        <v>1</v>
      </c>
      <c r="B844" s="32">
        <f t="shared" si="207"/>
        <v>2029</v>
      </c>
      <c r="C844" s="33" t="s">
        <v>11</v>
      </c>
      <c r="D844" s="34" t="s">
        <v>1999</v>
      </c>
      <c r="E844" s="35" t="str">
        <f t="shared" si="203"/>
        <v>PDP'!</v>
      </c>
      <c r="F844" s="34" t="str">
        <f t="shared" si="204"/>
        <v>C:\Users\jaime.benazar\Quorum Business Solutions\Ecopetrol Prometeo - Documents\Planning Space Implementation\3. Analysis &amp; Design\Design\FC22\DRR Jaime\QUIFA-CAJÚA\Cajua\[CAJUA_CF_SEC_New_27-Feb-2024Rev3.xlsx]D-PDP'!</v>
      </c>
      <c r="G844" s="32" t="s">
        <v>112</v>
      </c>
      <c r="H844" s="33">
        <f t="shared" si="205"/>
        <v>18</v>
      </c>
      <c r="I844" s="33" t="str">
        <f t="shared" si="206"/>
        <v>='C:\Users\jaime.benazar\Quorum Business Solutions\Ecopetrol Prometeo - Documents\Planning Space Implementation\3. Analysis &amp; Design\Design\FC22\DRR Jaime\QUIFA-CAJÚA\Cajua\[CAJUA_CF_SEC_New_27-Feb-2024Rev3.xlsx]D-PDP'!$BZ$18</v>
      </c>
      <c r="J844" s="37" t="s">
        <v>2376</v>
      </c>
    </row>
    <row r="845" spans="1:10" x14ac:dyDescent="0.25">
      <c r="A845" s="32" t="s">
        <v>1</v>
      </c>
      <c r="B845" s="32">
        <f t="shared" si="207"/>
        <v>2030</v>
      </c>
      <c r="C845" s="33" t="s">
        <v>11</v>
      </c>
      <c r="D845" s="34" t="s">
        <v>1999</v>
      </c>
      <c r="E845" s="35" t="str">
        <f t="shared" si="203"/>
        <v>PDP'!</v>
      </c>
      <c r="F845" s="34" t="str">
        <f t="shared" si="204"/>
        <v>C:\Users\jaime.benazar\Quorum Business Solutions\Ecopetrol Prometeo - Documents\Planning Space Implementation\3. Analysis &amp; Design\Design\FC22\DRR Jaime\QUIFA-CAJÚA\Cajua\[CAJUA_CF_SEC_New_27-Feb-2024Rev3.xlsx]D-PDP'!</v>
      </c>
      <c r="G845" s="32" t="s">
        <v>112</v>
      </c>
      <c r="H845" s="33">
        <f t="shared" si="205"/>
        <v>19</v>
      </c>
      <c r="I845" s="33" t="str">
        <f t="shared" si="206"/>
        <v>='C:\Users\jaime.benazar\Quorum Business Solutions\Ecopetrol Prometeo - Documents\Planning Space Implementation\3. Analysis &amp; Design\Design\FC22\DRR Jaime\QUIFA-CAJÚA\Cajua\[CAJUA_CF_SEC_New_27-Feb-2024Rev3.xlsx]D-PDP'!$BZ$19</v>
      </c>
      <c r="J845" s="37" t="s">
        <v>2377</v>
      </c>
    </row>
    <row r="846" spans="1:10" x14ac:dyDescent="0.25">
      <c r="A846" s="32" t="s">
        <v>1</v>
      </c>
      <c r="B846" s="32">
        <f t="shared" si="207"/>
        <v>2031</v>
      </c>
      <c r="C846" s="33" t="s">
        <v>11</v>
      </c>
      <c r="D846" s="34" t="s">
        <v>1999</v>
      </c>
      <c r="E846" s="35" t="str">
        <f t="shared" si="203"/>
        <v>PDP'!</v>
      </c>
      <c r="F846" s="34" t="str">
        <f t="shared" si="204"/>
        <v>C:\Users\jaime.benazar\Quorum Business Solutions\Ecopetrol Prometeo - Documents\Planning Space Implementation\3. Analysis &amp; Design\Design\FC22\DRR Jaime\QUIFA-CAJÚA\Cajua\[CAJUA_CF_SEC_New_27-Feb-2024Rev3.xlsx]D-PDP'!</v>
      </c>
      <c r="G846" s="32" t="s">
        <v>112</v>
      </c>
      <c r="H846" s="33">
        <f t="shared" si="205"/>
        <v>20</v>
      </c>
      <c r="I846" s="33" t="str">
        <f t="shared" si="206"/>
        <v>='C:\Users\jaime.benazar\Quorum Business Solutions\Ecopetrol Prometeo - Documents\Planning Space Implementation\3. Analysis &amp; Design\Design\FC22\DRR Jaime\QUIFA-CAJÚA\Cajua\[CAJUA_CF_SEC_New_27-Feb-2024Rev3.xlsx]D-PDP'!$BZ$20</v>
      </c>
      <c r="J846" s="37" t="s">
        <v>2378</v>
      </c>
    </row>
    <row r="847" spans="1:10" x14ac:dyDescent="0.25">
      <c r="A847" s="32" t="s">
        <v>1</v>
      </c>
      <c r="B847" s="32">
        <f t="shared" si="207"/>
        <v>2032</v>
      </c>
      <c r="C847" s="33" t="s">
        <v>11</v>
      </c>
      <c r="D847" s="34" t="s">
        <v>1999</v>
      </c>
      <c r="E847" s="35" t="str">
        <f t="shared" si="203"/>
        <v>PDP'!</v>
      </c>
      <c r="F847" s="34" t="str">
        <f t="shared" si="204"/>
        <v>C:\Users\jaime.benazar\Quorum Business Solutions\Ecopetrol Prometeo - Documents\Planning Space Implementation\3. Analysis &amp; Design\Design\FC22\DRR Jaime\QUIFA-CAJÚA\Cajua\[CAJUA_CF_SEC_New_27-Feb-2024Rev3.xlsx]D-PDP'!</v>
      </c>
      <c r="G847" s="32" t="s">
        <v>112</v>
      </c>
      <c r="H847" s="33">
        <f t="shared" si="205"/>
        <v>21</v>
      </c>
      <c r="I847" s="33" t="str">
        <f t="shared" si="206"/>
        <v>='C:\Users\jaime.benazar\Quorum Business Solutions\Ecopetrol Prometeo - Documents\Planning Space Implementation\3. Analysis &amp; Design\Design\FC22\DRR Jaime\QUIFA-CAJÚA\Cajua\[CAJUA_CF_SEC_New_27-Feb-2024Rev3.xlsx]D-PDP'!$BZ$21</v>
      </c>
      <c r="J847" s="37" t="s">
        <v>2379</v>
      </c>
    </row>
    <row r="848" spans="1:10" x14ac:dyDescent="0.25">
      <c r="A848" s="32" t="s">
        <v>1</v>
      </c>
      <c r="B848" s="32">
        <f t="shared" si="207"/>
        <v>2033</v>
      </c>
      <c r="C848" s="33" t="s">
        <v>11</v>
      </c>
      <c r="D848" s="34" t="s">
        <v>1999</v>
      </c>
      <c r="E848" s="35" t="str">
        <f t="shared" si="203"/>
        <v>PDP'!</v>
      </c>
      <c r="F848" s="34" t="str">
        <f t="shared" si="204"/>
        <v>C:\Users\jaime.benazar\Quorum Business Solutions\Ecopetrol Prometeo - Documents\Planning Space Implementation\3. Analysis &amp; Design\Design\FC22\DRR Jaime\QUIFA-CAJÚA\Cajua\[CAJUA_CF_SEC_New_27-Feb-2024Rev3.xlsx]D-PDP'!</v>
      </c>
      <c r="G848" s="32" t="s">
        <v>112</v>
      </c>
      <c r="H848" s="33">
        <f t="shared" si="205"/>
        <v>22</v>
      </c>
      <c r="I848" s="33" t="str">
        <f t="shared" si="206"/>
        <v>='C:\Users\jaime.benazar\Quorum Business Solutions\Ecopetrol Prometeo - Documents\Planning Space Implementation\3. Analysis &amp; Design\Design\FC22\DRR Jaime\QUIFA-CAJÚA\Cajua\[CAJUA_CF_SEC_New_27-Feb-2024Rev3.xlsx]D-PDP'!$BZ$22</v>
      </c>
      <c r="J848" s="37" t="s">
        <v>2380</v>
      </c>
    </row>
    <row r="849" spans="1:10" x14ac:dyDescent="0.25">
      <c r="A849" s="32" t="s">
        <v>1</v>
      </c>
      <c r="B849" s="32">
        <f t="shared" si="207"/>
        <v>2034</v>
      </c>
      <c r="C849" s="33" t="s">
        <v>11</v>
      </c>
      <c r="D849" s="34" t="s">
        <v>1999</v>
      </c>
      <c r="E849" s="35" t="str">
        <f t="shared" si="203"/>
        <v>PDP'!</v>
      </c>
      <c r="F849" s="34" t="str">
        <f t="shared" si="204"/>
        <v>C:\Users\jaime.benazar\Quorum Business Solutions\Ecopetrol Prometeo - Documents\Planning Space Implementation\3. Analysis &amp; Design\Design\FC22\DRR Jaime\QUIFA-CAJÚA\Cajua\[CAJUA_CF_SEC_New_27-Feb-2024Rev3.xlsx]D-PDP'!</v>
      </c>
      <c r="G849" s="32" t="s">
        <v>112</v>
      </c>
      <c r="H849" s="33">
        <f t="shared" si="205"/>
        <v>23</v>
      </c>
      <c r="I849" s="33" t="str">
        <f t="shared" si="206"/>
        <v>='C:\Users\jaime.benazar\Quorum Business Solutions\Ecopetrol Prometeo - Documents\Planning Space Implementation\3. Analysis &amp; Design\Design\FC22\DRR Jaime\QUIFA-CAJÚA\Cajua\[CAJUA_CF_SEC_New_27-Feb-2024Rev3.xlsx]D-PDP'!$BZ$23</v>
      </c>
      <c r="J849" s="37" t="s">
        <v>2381</v>
      </c>
    </row>
    <row r="850" spans="1:10" x14ac:dyDescent="0.25">
      <c r="A850" s="32" t="s">
        <v>1</v>
      </c>
      <c r="B850" s="32">
        <f t="shared" si="207"/>
        <v>2035</v>
      </c>
      <c r="C850" s="33" t="s">
        <v>11</v>
      </c>
      <c r="D850" s="34" t="s">
        <v>1999</v>
      </c>
      <c r="E850" s="35" t="str">
        <f t="shared" si="203"/>
        <v>PDP'!</v>
      </c>
      <c r="F850" s="34" t="str">
        <f t="shared" si="204"/>
        <v>C:\Users\jaime.benazar\Quorum Business Solutions\Ecopetrol Prometeo - Documents\Planning Space Implementation\3. Analysis &amp; Design\Design\FC22\DRR Jaime\QUIFA-CAJÚA\Cajua\[CAJUA_CF_SEC_New_27-Feb-2024Rev3.xlsx]D-PDP'!</v>
      </c>
      <c r="G850" s="32" t="s">
        <v>112</v>
      </c>
      <c r="H850" s="33">
        <f t="shared" si="205"/>
        <v>24</v>
      </c>
      <c r="I850" s="33" t="str">
        <f t="shared" si="206"/>
        <v>='C:\Users\jaime.benazar\Quorum Business Solutions\Ecopetrol Prometeo - Documents\Planning Space Implementation\3. Analysis &amp; Design\Design\FC22\DRR Jaime\QUIFA-CAJÚA\Cajua\[CAJUA_CF_SEC_New_27-Feb-2024Rev3.xlsx]D-PDP'!$BZ$24</v>
      </c>
      <c r="J850" s="37" t="s">
        <v>2382</v>
      </c>
    </row>
    <row r="851" spans="1:10" x14ac:dyDescent="0.25">
      <c r="A851" s="32" t="s">
        <v>1</v>
      </c>
      <c r="B851" s="32">
        <f t="shared" si="207"/>
        <v>2036</v>
      </c>
      <c r="C851" s="33" t="s">
        <v>11</v>
      </c>
      <c r="D851" s="34" t="s">
        <v>1999</v>
      </c>
      <c r="E851" s="35" t="str">
        <f t="shared" si="203"/>
        <v>PDP'!</v>
      </c>
      <c r="F851" s="34" t="str">
        <f t="shared" si="204"/>
        <v>C:\Users\jaime.benazar\Quorum Business Solutions\Ecopetrol Prometeo - Documents\Planning Space Implementation\3. Analysis &amp; Design\Design\FC22\DRR Jaime\QUIFA-CAJÚA\Cajua\[CAJUA_CF_SEC_New_27-Feb-2024Rev3.xlsx]D-PDP'!</v>
      </c>
      <c r="G851" s="32" t="s">
        <v>112</v>
      </c>
      <c r="H851" s="33">
        <f t="shared" si="205"/>
        <v>25</v>
      </c>
      <c r="I851" s="33" t="str">
        <f t="shared" si="206"/>
        <v>='C:\Users\jaime.benazar\Quorum Business Solutions\Ecopetrol Prometeo - Documents\Planning Space Implementation\3. Analysis &amp; Design\Design\FC22\DRR Jaime\QUIFA-CAJÚA\Cajua\[CAJUA_CF_SEC_New_27-Feb-2024Rev3.xlsx]D-PDP'!$BZ$25</v>
      </c>
      <c r="J851" s="37" t="s">
        <v>2383</v>
      </c>
    </row>
    <row r="852" spans="1:10" x14ac:dyDescent="0.25">
      <c r="A852" s="32" t="s">
        <v>1</v>
      </c>
      <c r="B852" s="32">
        <f>+B851+1</f>
        <v>2037</v>
      </c>
      <c r="C852" s="33" t="s">
        <v>11</v>
      </c>
      <c r="D852" s="34" t="s">
        <v>1999</v>
      </c>
      <c r="E852" s="35" t="str">
        <f t="shared" si="203"/>
        <v>PDP'!</v>
      </c>
      <c r="F852" s="34" t="str">
        <f t="shared" si="204"/>
        <v>C:\Users\jaime.benazar\Quorum Business Solutions\Ecopetrol Prometeo - Documents\Planning Space Implementation\3. Analysis &amp; Design\Design\FC22\DRR Jaime\QUIFA-CAJÚA\Cajua\[CAJUA_CF_SEC_New_27-Feb-2024Rev3.xlsx]D-PDP'!</v>
      </c>
      <c r="G852" s="32" t="s">
        <v>112</v>
      </c>
      <c r="H852" s="33">
        <f t="shared" si="205"/>
        <v>26</v>
      </c>
      <c r="I852" s="33" t="str">
        <f t="shared" si="206"/>
        <v>='C:\Users\jaime.benazar\Quorum Business Solutions\Ecopetrol Prometeo - Documents\Planning Space Implementation\3. Analysis &amp; Design\Design\FC22\DRR Jaime\QUIFA-CAJÚA\Cajua\[CAJUA_CF_SEC_New_27-Feb-2024Rev3.xlsx]D-PDP'!$BZ$26</v>
      </c>
      <c r="J852" s="37" t="s">
        <v>2384</v>
      </c>
    </row>
    <row r="853" spans="1:10" x14ac:dyDescent="0.25">
      <c r="A853" s="32" t="s">
        <v>1</v>
      </c>
      <c r="B853" s="32">
        <f t="shared" ref="B853:B855" si="208">+B852+1</f>
        <v>2038</v>
      </c>
      <c r="C853" s="33" t="s">
        <v>11</v>
      </c>
      <c r="D853" s="34" t="s">
        <v>1999</v>
      </c>
      <c r="E853" s="35" t="str">
        <f t="shared" si="203"/>
        <v>PDP'!</v>
      </c>
      <c r="F853" s="34" t="str">
        <f t="shared" si="204"/>
        <v>C:\Users\jaime.benazar\Quorum Business Solutions\Ecopetrol Prometeo - Documents\Planning Space Implementation\3. Analysis &amp; Design\Design\FC22\DRR Jaime\QUIFA-CAJÚA\Cajua\[CAJUA_CF_SEC_New_27-Feb-2024Rev3.xlsx]D-PDP'!</v>
      </c>
      <c r="G853" s="32" t="s">
        <v>112</v>
      </c>
      <c r="H853" s="33">
        <f t="shared" si="205"/>
        <v>27</v>
      </c>
      <c r="I853" s="33" t="str">
        <f t="shared" si="206"/>
        <v>='C:\Users\jaime.benazar\Quorum Business Solutions\Ecopetrol Prometeo - Documents\Planning Space Implementation\3. Analysis &amp; Design\Design\FC22\DRR Jaime\QUIFA-CAJÚA\Cajua\[CAJUA_CF_SEC_New_27-Feb-2024Rev3.xlsx]D-PDP'!$BZ$27</v>
      </c>
      <c r="J853" s="37" t="s">
        <v>2385</v>
      </c>
    </row>
    <row r="854" spans="1:10" x14ac:dyDescent="0.25">
      <c r="A854" s="32" t="s">
        <v>1</v>
      </c>
      <c r="B854" s="32">
        <f t="shared" si="208"/>
        <v>2039</v>
      </c>
      <c r="C854" s="33" t="s">
        <v>11</v>
      </c>
      <c r="D854" s="34" t="s">
        <v>1999</v>
      </c>
      <c r="E854" s="35" t="str">
        <f t="shared" si="203"/>
        <v>PDP'!</v>
      </c>
      <c r="F854" s="34" t="str">
        <f t="shared" si="204"/>
        <v>C:\Users\jaime.benazar\Quorum Business Solutions\Ecopetrol Prometeo - Documents\Planning Space Implementation\3. Analysis &amp; Design\Design\FC22\DRR Jaime\QUIFA-CAJÚA\Cajua\[CAJUA_CF_SEC_New_27-Feb-2024Rev3.xlsx]D-PDP'!</v>
      </c>
      <c r="G854" s="32" t="s">
        <v>112</v>
      </c>
      <c r="H854" s="33">
        <f t="shared" si="205"/>
        <v>28</v>
      </c>
      <c r="I854" s="33" t="str">
        <f t="shared" si="206"/>
        <v>='C:\Users\jaime.benazar\Quorum Business Solutions\Ecopetrol Prometeo - Documents\Planning Space Implementation\3. Analysis &amp; Design\Design\FC22\DRR Jaime\QUIFA-CAJÚA\Cajua\[CAJUA_CF_SEC_New_27-Feb-2024Rev3.xlsx]D-PDP'!$BZ$28</v>
      </c>
      <c r="J854" s="37" t="s">
        <v>2386</v>
      </c>
    </row>
    <row r="855" spans="1:10" x14ac:dyDescent="0.25">
      <c r="A855" s="32" t="s">
        <v>1</v>
      </c>
      <c r="B855" s="32">
        <f t="shared" si="208"/>
        <v>2040</v>
      </c>
      <c r="C855" s="33" t="s">
        <v>11</v>
      </c>
      <c r="D855" s="34" t="s">
        <v>1999</v>
      </c>
      <c r="E855" s="35" t="str">
        <f t="shared" si="203"/>
        <v>PDP'!</v>
      </c>
      <c r="F855" s="34" t="str">
        <f t="shared" si="204"/>
        <v>C:\Users\jaime.benazar\Quorum Business Solutions\Ecopetrol Prometeo - Documents\Planning Space Implementation\3. Analysis &amp; Design\Design\FC22\DRR Jaime\QUIFA-CAJÚA\Cajua\[CAJUA_CF_SEC_New_27-Feb-2024Rev3.xlsx]D-PDP'!</v>
      </c>
      <c r="G855" s="32" t="s">
        <v>112</v>
      </c>
      <c r="H855" s="33">
        <f t="shared" si="205"/>
        <v>29</v>
      </c>
      <c r="I855" s="33" t="str">
        <f t="shared" si="206"/>
        <v>='C:\Users\jaime.benazar\Quorum Business Solutions\Ecopetrol Prometeo - Documents\Planning Space Implementation\3. Analysis &amp; Design\Design\FC22\DRR Jaime\QUIFA-CAJÚA\Cajua\[CAJUA_CF_SEC_New_27-Feb-2024Rev3.xlsx]D-PDP'!$BZ$29</v>
      </c>
      <c r="J855" s="37" t="s">
        <v>2387</v>
      </c>
    </row>
    <row r="856" spans="1:10" x14ac:dyDescent="0.25">
      <c r="A856" s="32" t="s">
        <v>1</v>
      </c>
      <c r="B856" s="32">
        <f>+B855+1</f>
        <v>2041</v>
      </c>
      <c r="C856" s="33" t="s">
        <v>11</v>
      </c>
      <c r="D856" s="34" t="s">
        <v>1999</v>
      </c>
      <c r="E856" s="35" t="str">
        <f t="shared" si="203"/>
        <v>PDP'!</v>
      </c>
      <c r="F856" s="34" t="str">
        <f t="shared" si="204"/>
        <v>C:\Users\jaime.benazar\Quorum Business Solutions\Ecopetrol Prometeo - Documents\Planning Space Implementation\3. Analysis &amp; Design\Design\FC22\DRR Jaime\QUIFA-CAJÚA\Cajua\[CAJUA_CF_SEC_New_27-Feb-2024Rev3.xlsx]D-PDP'!</v>
      </c>
      <c r="G856" s="32" t="s">
        <v>112</v>
      </c>
      <c r="H856" s="33">
        <f t="shared" si="205"/>
        <v>30</v>
      </c>
      <c r="I856" s="33" t="str">
        <f t="shared" si="206"/>
        <v>='C:\Users\jaime.benazar\Quorum Business Solutions\Ecopetrol Prometeo - Documents\Planning Space Implementation\3. Analysis &amp; Design\Design\FC22\DRR Jaime\QUIFA-CAJÚA\Cajua\[CAJUA_CF_SEC_New_27-Feb-2024Rev3.xlsx]D-PDP'!$BZ$30</v>
      </c>
      <c r="J856" s="37" t="s">
        <v>2388</v>
      </c>
    </row>
    <row r="857" spans="1:10" x14ac:dyDescent="0.25">
      <c r="A857" s="32" t="s">
        <v>1</v>
      </c>
      <c r="B857" s="32">
        <f t="shared" ref="B857:B858" si="209">+B856+1</f>
        <v>2042</v>
      </c>
      <c r="C857" s="33" t="s">
        <v>11</v>
      </c>
      <c r="D857" s="34" t="s">
        <v>1999</v>
      </c>
      <c r="E857" s="35" t="str">
        <f t="shared" si="203"/>
        <v>PDP'!</v>
      </c>
      <c r="F857" s="34" t="str">
        <f t="shared" si="204"/>
        <v>C:\Users\jaime.benazar\Quorum Business Solutions\Ecopetrol Prometeo - Documents\Planning Space Implementation\3. Analysis &amp; Design\Design\FC22\DRR Jaime\QUIFA-CAJÚA\Cajua\[CAJUA_CF_SEC_New_27-Feb-2024Rev3.xlsx]D-PDP'!</v>
      </c>
      <c r="G857" s="32" t="s">
        <v>112</v>
      </c>
      <c r="H857" s="33">
        <f t="shared" si="205"/>
        <v>31</v>
      </c>
      <c r="I857" s="33" t="str">
        <f t="shared" si="206"/>
        <v>='C:\Users\jaime.benazar\Quorum Business Solutions\Ecopetrol Prometeo - Documents\Planning Space Implementation\3. Analysis &amp; Design\Design\FC22\DRR Jaime\QUIFA-CAJÚA\Cajua\[CAJUA_CF_SEC_New_27-Feb-2024Rev3.xlsx]D-PDP'!$BZ$31</v>
      </c>
      <c r="J857" s="37" t="s">
        <v>2389</v>
      </c>
    </row>
    <row r="858" spans="1:10" x14ac:dyDescent="0.25">
      <c r="A858" s="32" t="s">
        <v>1</v>
      </c>
      <c r="B858" s="32">
        <f t="shared" si="209"/>
        <v>2043</v>
      </c>
      <c r="C858" s="33" t="s">
        <v>11</v>
      </c>
      <c r="D858" s="34" t="s">
        <v>1999</v>
      </c>
      <c r="E858" s="35" t="str">
        <f t="shared" si="203"/>
        <v>PDP'!</v>
      </c>
      <c r="F858" s="34" t="str">
        <f t="shared" si="204"/>
        <v>C:\Users\jaime.benazar\Quorum Business Solutions\Ecopetrol Prometeo - Documents\Planning Space Implementation\3. Analysis &amp; Design\Design\FC22\DRR Jaime\QUIFA-CAJÚA\Cajua\[CAJUA_CF_SEC_New_27-Feb-2024Rev3.xlsx]D-PDP'!</v>
      </c>
      <c r="G858" s="32" t="s">
        <v>112</v>
      </c>
      <c r="H858" s="33">
        <f t="shared" si="205"/>
        <v>32</v>
      </c>
      <c r="I858" s="33" t="str">
        <f t="shared" si="206"/>
        <v>='C:\Users\jaime.benazar\Quorum Business Solutions\Ecopetrol Prometeo - Documents\Planning Space Implementation\3. Analysis &amp; Design\Design\FC22\DRR Jaime\QUIFA-CAJÚA\Cajua\[CAJUA_CF_SEC_New_27-Feb-2024Rev3.xlsx]D-PDP'!$BZ$32</v>
      </c>
      <c r="J858" s="37" t="s">
        <v>2390</v>
      </c>
    </row>
    <row r="859" spans="1:10" x14ac:dyDescent="0.25">
      <c r="A859" s="32" t="s">
        <v>1</v>
      </c>
      <c r="B859" s="32">
        <f>+B858+1</f>
        <v>2044</v>
      </c>
      <c r="C859" s="33" t="s">
        <v>11</v>
      </c>
      <c r="D859" s="34" t="s">
        <v>1999</v>
      </c>
      <c r="E859" s="35" t="str">
        <f t="shared" ref="E859:E874" si="210">_xlfn.CONCAT(A859,"'!")</f>
        <v>PDP'!</v>
      </c>
      <c r="F859" s="34" t="str">
        <f t="shared" ref="F859:F874" si="211">_xlfn.CONCAT(D859:E859)</f>
        <v>C:\Users\jaime.benazar\Quorum Business Solutions\Ecopetrol Prometeo - Documents\Planning Space Implementation\3. Analysis &amp; Design\Design\FC22\DRR Jaime\QUIFA-CAJÚA\Cajua\[CAJUA_CF_SEC_New_27-Feb-2024Rev3.xlsx]D-PDP'!</v>
      </c>
      <c r="G859" s="32" t="s">
        <v>112</v>
      </c>
      <c r="H859" s="33">
        <f t="shared" ref="H859:H874" si="212">IF(A859&lt;&gt;A858,12,H858+1)</f>
        <v>33</v>
      </c>
      <c r="I859" s="33" t="str">
        <f t="shared" ref="I859:I874" si="213">_xlfn.CONCAT("='",F859:H859)</f>
        <v>='C:\Users\jaime.benazar\Quorum Business Solutions\Ecopetrol Prometeo - Documents\Planning Space Implementation\3. Analysis &amp; Design\Design\FC22\DRR Jaime\QUIFA-CAJÚA\Cajua\[CAJUA_CF_SEC_New_27-Feb-2024Rev3.xlsx]D-PDP'!$BZ$33</v>
      </c>
      <c r="J859" s="37" t="s">
        <v>2391</v>
      </c>
    </row>
    <row r="860" spans="1:10" x14ac:dyDescent="0.25">
      <c r="A860" s="32" t="s">
        <v>1</v>
      </c>
      <c r="B860" s="32">
        <f t="shared" ref="B860:B874" si="214">+B859+1</f>
        <v>2045</v>
      </c>
      <c r="C860" s="33" t="s">
        <v>11</v>
      </c>
      <c r="D860" s="34" t="s">
        <v>1999</v>
      </c>
      <c r="E860" s="35" t="str">
        <f t="shared" si="210"/>
        <v>PDP'!</v>
      </c>
      <c r="F860" s="34" t="str">
        <f t="shared" si="211"/>
        <v>C:\Users\jaime.benazar\Quorum Business Solutions\Ecopetrol Prometeo - Documents\Planning Space Implementation\3. Analysis &amp; Design\Design\FC22\DRR Jaime\QUIFA-CAJÚA\Cajua\[CAJUA_CF_SEC_New_27-Feb-2024Rev3.xlsx]D-PDP'!</v>
      </c>
      <c r="G860" s="32" t="s">
        <v>112</v>
      </c>
      <c r="H860" s="33">
        <f t="shared" si="212"/>
        <v>34</v>
      </c>
      <c r="I860" s="33" t="str">
        <f t="shared" si="213"/>
        <v>='C:\Users\jaime.benazar\Quorum Business Solutions\Ecopetrol Prometeo - Documents\Planning Space Implementation\3. Analysis &amp; Design\Design\FC22\DRR Jaime\QUIFA-CAJÚA\Cajua\[CAJUA_CF_SEC_New_27-Feb-2024Rev3.xlsx]D-PDP'!$BZ$34</v>
      </c>
      <c r="J860" s="37" t="s">
        <v>2392</v>
      </c>
    </row>
    <row r="861" spans="1:10" x14ac:dyDescent="0.25">
      <c r="A861" s="32" t="s">
        <v>1</v>
      </c>
      <c r="B861" s="32">
        <f t="shared" si="214"/>
        <v>2046</v>
      </c>
      <c r="C861" s="33" t="s">
        <v>11</v>
      </c>
      <c r="D861" s="34" t="s">
        <v>1999</v>
      </c>
      <c r="E861" s="35" t="str">
        <f t="shared" si="210"/>
        <v>PDP'!</v>
      </c>
      <c r="F861" s="34" t="str">
        <f t="shared" si="211"/>
        <v>C:\Users\jaime.benazar\Quorum Business Solutions\Ecopetrol Prometeo - Documents\Planning Space Implementation\3. Analysis &amp; Design\Design\FC22\DRR Jaime\QUIFA-CAJÚA\Cajua\[CAJUA_CF_SEC_New_27-Feb-2024Rev3.xlsx]D-PDP'!</v>
      </c>
      <c r="G861" s="32" t="s">
        <v>112</v>
      </c>
      <c r="H861" s="33">
        <f t="shared" si="212"/>
        <v>35</v>
      </c>
      <c r="I861" s="33" t="str">
        <f t="shared" si="213"/>
        <v>='C:\Users\jaime.benazar\Quorum Business Solutions\Ecopetrol Prometeo - Documents\Planning Space Implementation\3. Analysis &amp; Design\Design\FC22\DRR Jaime\QUIFA-CAJÚA\Cajua\[CAJUA_CF_SEC_New_27-Feb-2024Rev3.xlsx]D-PDP'!$BZ$35</v>
      </c>
      <c r="J861" s="37" t="s">
        <v>2393</v>
      </c>
    </row>
    <row r="862" spans="1:10" x14ac:dyDescent="0.25">
      <c r="A862" s="32" t="s">
        <v>1</v>
      </c>
      <c r="B862" s="32">
        <f t="shared" si="214"/>
        <v>2047</v>
      </c>
      <c r="C862" s="33" t="s">
        <v>11</v>
      </c>
      <c r="D862" s="34" t="s">
        <v>1999</v>
      </c>
      <c r="E862" s="35" t="str">
        <f t="shared" si="210"/>
        <v>PDP'!</v>
      </c>
      <c r="F862" s="34" t="str">
        <f t="shared" si="211"/>
        <v>C:\Users\jaime.benazar\Quorum Business Solutions\Ecopetrol Prometeo - Documents\Planning Space Implementation\3. Analysis &amp; Design\Design\FC22\DRR Jaime\QUIFA-CAJÚA\Cajua\[CAJUA_CF_SEC_New_27-Feb-2024Rev3.xlsx]D-PDP'!</v>
      </c>
      <c r="G862" s="32" t="s">
        <v>112</v>
      </c>
      <c r="H862" s="33">
        <f t="shared" si="212"/>
        <v>36</v>
      </c>
      <c r="I862" s="33" t="str">
        <f t="shared" si="213"/>
        <v>='C:\Users\jaime.benazar\Quorum Business Solutions\Ecopetrol Prometeo - Documents\Planning Space Implementation\3. Analysis &amp; Design\Design\FC22\DRR Jaime\QUIFA-CAJÚA\Cajua\[CAJUA_CF_SEC_New_27-Feb-2024Rev3.xlsx]D-PDP'!$BZ$36</v>
      </c>
      <c r="J862" s="37" t="s">
        <v>2394</v>
      </c>
    </row>
    <row r="863" spans="1:10" x14ac:dyDescent="0.25">
      <c r="A863" s="32" t="s">
        <v>1</v>
      </c>
      <c r="B863" s="32">
        <f t="shared" si="214"/>
        <v>2048</v>
      </c>
      <c r="C863" s="33" t="s">
        <v>11</v>
      </c>
      <c r="D863" s="34" t="s">
        <v>1999</v>
      </c>
      <c r="E863" s="35" t="str">
        <f t="shared" si="210"/>
        <v>PDP'!</v>
      </c>
      <c r="F863" s="34" t="str">
        <f t="shared" si="211"/>
        <v>C:\Users\jaime.benazar\Quorum Business Solutions\Ecopetrol Prometeo - Documents\Planning Space Implementation\3. Analysis &amp; Design\Design\FC22\DRR Jaime\QUIFA-CAJÚA\Cajua\[CAJUA_CF_SEC_New_27-Feb-2024Rev3.xlsx]D-PDP'!</v>
      </c>
      <c r="G863" s="32" t="s">
        <v>112</v>
      </c>
      <c r="H863" s="33">
        <f t="shared" si="212"/>
        <v>37</v>
      </c>
      <c r="I863" s="33" t="str">
        <f t="shared" si="213"/>
        <v>='C:\Users\jaime.benazar\Quorum Business Solutions\Ecopetrol Prometeo - Documents\Planning Space Implementation\3. Analysis &amp; Design\Design\FC22\DRR Jaime\QUIFA-CAJÚA\Cajua\[CAJUA_CF_SEC_New_27-Feb-2024Rev3.xlsx]D-PDP'!$BZ$37</v>
      </c>
      <c r="J863" s="37" t="s">
        <v>2395</v>
      </c>
    </row>
    <row r="864" spans="1:10" x14ac:dyDescent="0.25">
      <c r="A864" s="32" t="s">
        <v>1</v>
      </c>
      <c r="B864" s="32">
        <f t="shared" si="214"/>
        <v>2049</v>
      </c>
      <c r="C864" s="33" t="s">
        <v>11</v>
      </c>
      <c r="D864" s="34" t="s">
        <v>1999</v>
      </c>
      <c r="E864" s="35" t="str">
        <f t="shared" si="210"/>
        <v>PDP'!</v>
      </c>
      <c r="F864" s="34" t="str">
        <f t="shared" si="211"/>
        <v>C:\Users\jaime.benazar\Quorum Business Solutions\Ecopetrol Prometeo - Documents\Planning Space Implementation\3. Analysis &amp; Design\Design\FC22\DRR Jaime\QUIFA-CAJÚA\Cajua\[CAJUA_CF_SEC_New_27-Feb-2024Rev3.xlsx]D-PDP'!</v>
      </c>
      <c r="G864" s="32" t="s">
        <v>112</v>
      </c>
      <c r="H864" s="33">
        <f t="shared" si="212"/>
        <v>38</v>
      </c>
      <c r="I864" s="33" t="str">
        <f t="shared" si="213"/>
        <v>='C:\Users\jaime.benazar\Quorum Business Solutions\Ecopetrol Prometeo - Documents\Planning Space Implementation\3. Analysis &amp; Design\Design\FC22\DRR Jaime\QUIFA-CAJÚA\Cajua\[CAJUA_CF_SEC_New_27-Feb-2024Rev3.xlsx]D-PDP'!$BZ$38</v>
      </c>
      <c r="J864" s="37" t="s">
        <v>2396</v>
      </c>
    </row>
    <row r="865" spans="1:10" x14ac:dyDescent="0.25">
      <c r="A865" s="32" t="s">
        <v>1</v>
      </c>
      <c r="B865" s="32">
        <f t="shared" si="214"/>
        <v>2050</v>
      </c>
      <c r="C865" s="33" t="s">
        <v>11</v>
      </c>
      <c r="D865" s="34" t="s">
        <v>1999</v>
      </c>
      <c r="E865" s="35" t="str">
        <f t="shared" si="210"/>
        <v>PDP'!</v>
      </c>
      <c r="F865" s="34" t="str">
        <f t="shared" si="211"/>
        <v>C:\Users\jaime.benazar\Quorum Business Solutions\Ecopetrol Prometeo - Documents\Planning Space Implementation\3. Analysis &amp; Design\Design\FC22\DRR Jaime\QUIFA-CAJÚA\Cajua\[CAJUA_CF_SEC_New_27-Feb-2024Rev3.xlsx]D-PDP'!</v>
      </c>
      <c r="G865" s="32" t="s">
        <v>112</v>
      </c>
      <c r="H865" s="33">
        <f t="shared" si="212"/>
        <v>39</v>
      </c>
      <c r="I865" s="33" t="str">
        <f t="shared" si="213"/>
        <v>='C:\Users\jaime.benazar\Quorum Business Solutions\Ecopetrol Prometeo - Documents\Planning Space Implementation\3. Analysis &amp; Design\Design\FC22\DRR Jaime\QUIFA-CAJÚA\Cajua\[CAJUA_CF_SEC_New_27-Feb-2024Rev3.xlsx]D-PDP'!$BZ$39</v>
      </c>
      <c r="J865" s="37" t="s">
        <v>2397</v>
      </c>
    </row>
    <row r="866" spans="1:10" x14ac:dyDescent="0.25">
      <c r="A866" s="32" t="s">
        <v>1</v>
      </c>
      <c r="B866" s="32">
        <f t="shared" si="214"/>
        <v>2051</v>
      </c>
      <c r="C866" s="33" t="s">
        <v>11</v>
      </c>
      <c r="D866" s="34" t="s">
        <v>1999</v>
      </c>
      <c r="E866" s="35" t="str">
        <f t="shared" si="210"/>
        <v>PDP'!</v>
      </c>
      <c r="F866" s="34" t="str">
        <f t="shared" si="211"/>
        <v>C:\Users\jaime.benazar\Quorum Business Solutions\Ecopetrol Prometeo - Documents\Planning Space Implementation\3. Analysis &amp; Design\Design\FC22\DRR Jaime\QUIFA-CAJÚA\Cajua\[CAJUA_CF_SEC_New_27-Feb-2024Rev3.xlsx]D-PDP'!</v>
      </c>
      <c r="G866" s="32" t="s">
        <v>112</v>
      </c>
      <c r="H866" s="33">
        <f t="shared" si="212"/>
        <v>40</v>
      </c>
      <c r="I866" s="33" t="str">
        <f t="shared" si="213"/>
        <v>='C:\Users\jaime.benazar\Quorum Business Solutions\Ecopetrol Prometeo - Documents\Planning Space Implementation\3. Analysis &amp; Design\Design\FC22\DRR Jaime\QUIFA-CAJÚA\Cajua\[CAJUA_CF_SEC_New_27-Feb-2024Rev3.xlsx]D-PDP'!$BZ$40</v>
      </c>
      <c r="J866" s="37" t="s">
        <v>2398</v>
      </c>
    </row>
    <row r="867" spans="1:10" x14ac:dyDescent="0.25">
      <c r="A867" s="32" t="s">
        <v>1</v>
      </c>
      <c r="B867" s="32">
        <f t="shared" si="214"/>
        <v>2052</v>
      </c>
      <c r="C867" s="33" t="s">
        <v>11</v>
      </c>
      <c r="D867" s="34" t="s">
        <v>1999</v>
      </c>
      <c r="E867" s="35" t="str">
        <f t="shared" si="210"/>
        <v>PDP'!</v>
      </c>
      <c r="F867" s="34" t="str">
        <f t="shared" si="211"/>
        <v>C:\Users\jaime.benazar\Quorum Business Solutions\Ecopetrol Prometeo - Documents\Planning Space Implementation\3. Analysis &amp; Design\Design\FC22\DRR Jaime\QUIFA-CAJÚA\Cajua\[CAJUA_CF_SEC_New_27-Feb-2024Rev3.xlsx]D-PDP'!</v>
      </c>
      <c r="G867" s="32" t="s">
        <v>112</v>
      </c>
      <c r="H867" s="33">
        <f t="shared" si="212"/>
        <v>41</v>
      </c>
      <c r="I867" s="33" t="str">
        <f t="shared" si="213"/>
        <v>='C:\Users\jaime.benazar\Quorum Business Solutions\Ecopetrol Prometeo - Documents\Planning Space Implementation\3. Analysis &amp; Design\Design\FC22\DRR Jaime\QUIFA-CAJÚA\Cajua\[CAJUA_CF_SEC_New_27-Feb-2024Rev3.xlsx]D-PDP'!$BZ$41</v>
      </c>
      <c r="J867" s="37" t="s">
        <v>2399</v>
      </c>
    </row>
    <row r="868" spans="1:10" x14ac:dyDescent="0.25">
      <c r="A868" s="32" t="s">
        <v>1</v>
      </c>
      <c r="B868" s="32">
        <f t="shared" si="214"/>
        <v>2053</v>
      </c>
      <c r="C868" s="33" t="s">
        <v>11</v>
      </c>
      <c r="D868" s="34" t="s">
        <v>1999</v>
      </c>
      <c r="E868" s="35" t="str">
        <f t="shared" si="210"/>
        <v>PDP'!</v>
      </c>
      <c r="F868" s="34" t="str">
        <f t="shared" si="211"/>
        <v>C:\Users\jaime.benazar\Quorum Business Solutions\Ecopetrol Prometeo - Documents\Planning Space Implementation\3. Analysis &amp; Design\Design\FC22\DRR Jaime\QUIFA-CAJÚA\Cajua\[CAJUA_CF_SEC_New_27-Feb-2024Rev3.xlsx]D-PDP'!</v>
      </c>
      <c r="G868" s="32" t="s">
        <v>112</v>
      </c>
      <c r="H868" s="33">
        <f t="shared" si="212"/>
        <v>42</v>
      </c>
      <c r="I868" s="33" t="str">
        <f t="shared" si="213"/>
        <v>='C:\Users\jaime.benazar\Quorum Business Solutions\Ecopetrol Prometeo - Documents\Planning Space Implementation\3. Analysis &amp; Design\Design\FC22\DRR Jaime\QUIFA-CAJÚA\Cajua\[CAJUA_CF_SEC_New_27-Feb-2024Rev3.xlsx]D-PDP'!$BZ$42</v>
      </c>
      <c r="J868" s="37" t="s">
        <v>2400</v>
      </c>
    </row>
    <row r="869" spans="1:10" x14ac:dyDescent="0.25">
      <c r="A869" s="32" t="s">
        <v>1</v>
      </c>
      <c r="B869" s="32">
        <f t="shared" si="214"/>
        <v>2054</v>
      </c>
      <c r="C869" s="33" t="s">
        <v>11</v>
      </c>
      <c r="D869" s="34" t="s">
        <v>1999</v>
      </c>
      <c r="E869" s="35" t="str">
        <f t="shared" si="210"/>
        <v>PDP'!</v>
      </c>
      <c r="F869" s="34" t="str">
        <f t="shared" si="211"/>
        <v>C:\Users\jaime.benazar\Quorum Business Solutions\Ecopetrol Prometeo - Documents\Planning Space Implementation\3. Analysis &amp; Design\Design\FC22\DRR Jaime\QUIFA-CAJÚA\Cajua\[CAJUA_CF_SEC_New_27-Feb-2024Rev3.xlsx]D-PDP'!</v>
      </c>
      <c r="G869" s="32" t="s">
        <v>112</v>
      </c>
      <c r="H869" s="33">
        <f t="shared" si="212"/>
        <v>43</v>
      </c>
      <c r="I869" s="33" t="str">
        <f t="shared" si="213"/>
        <v>='C:\Users\jaime.benazar\Quorum Business Solutions\Ecopetrol Prometeo - Documents\Planning Space Implementation\3. Analysis &amp; Design\Design\FC22\DRR Jaime\QUIFA-CAJÚA\Cajua\[CAJUA_CF_SEC_New_27-Feb-2024Rev3.xlsx]D-PDP'!$BZ$43</v>
      </c>
      <c r="J869" s="37" t="s">
        <v>2401</v>
      </c>
    </row>
    <row r="870" spans="1:10" x14ac:dyDescent="0.25">
      <c r="A870" s="32" t="s">
        <v>1</v>
      </c>
      <c r="B870" s="32">
        <f t="shared" si="214"/>
        <v>2055</v>
      </c>
      <c r="C870" s="33" t="s">
        <v>11</v>
      </c>
      <c r="D870" s="34" t="s">
        <v>1999</v>
      </c>
      <c r="E870" s="35" t="str">
        <f t="shared" si="210"/>
        <v>PDP'!</v>
      </c>
      <c r="F870" s="34" t="str">
        <f t="shared" si="211"/>
        <v>C:\Users\jaime.benazar\Quorum Business Solutions\Ecopetrol Prometeo - Documents\Planning Space Implementation\3. Analysis &amp; Design\Design\FC22\DRR Jaime\QUIFA-CAJÚA\Cajua\[CAJUA_CF_SEC_New_27-Feb-2024Rev3.xlsx]D-PDP'!</v>
      </c>
      <c r="G870" s="32" t="s">
        <v>112</v>
      </c>
      <c r="H870" s="33">
        <f t="shared" si="212"/>
        <v>44</v>
      </c>
      <c r="I870" s="33" t="str">
        <f t="shared" si="213"/>
        <v>='C:\Users\jaime.benazar\Quorum Business Solutions\Ecopetrol Prometeo - Documents\Planning Space Implementation\3. Analysis &amp; Design\Design\FC22\DRR Jaime\QUIFA-CAJÚA\Cajua\[CAJUA_CF_SEC_New_27-Feb-2024Rev3.xlsx]D-PDP'!$BZ$44</v>
      </c>
      <c r="J870" s="37" t="s">
        <v>2402</v>
      </c>
    </row>
    <row r="871" spans="1:10" x14ac:dyDescent="0.25">
      <c r="A871" s="32" t="s">
        <v>1</v>
      </c>
      <c r="B871" s="32">
        <f t="shared" si="214"/>
        <v>2056</v>
      </c>
      <c r="C871" s="33" t="s">
        <v>11</v>
      </c>
      <c r="D871" s="34" t="s">
        <v>1999</v>
      </c>
      <c r="E871" s="35" t="str">
        <f t="shared" si="210"/>
        <v>PDP'!</v>
      </c>
      <c r="F871" s="34" t="str">
        <f t="shared" si="211"/>
        <v>C:\Users\jaime.benazar\Quorum Business Solutions\Ecopetrol Prometeo - Documents\Planning Space Implementation\3. Analysis &amp; Design\Design\FC22\DRR Jaime\QUIFA-CAJÚA\Cajua\[CAJUA_CF_SEC_New_27-Feb-2024Rev3.xlsx]D-PDP'!</v>
      </c>
      <c r="G871" s="32" t="s">
        <v>112</v>
      </c>
      <c r="H871" s="33">
        <f t="shared" si="212"/>
        <v>45</v>
      </c>
      <c r="I871" s="33" t="str">
        <f t="shared" si="213"/>
        <v>='C:\Users\jaime.benazar\Quorum Business Solutions\Ecopetrol Prometeo - Documents\Planning Space Implementation\3. Analysis &amp; Design\Design\FC22\DRR Jaime\QUIFA-CAJÚA\Cajua\[CAJUA_CF_SEC_New_27-Feb-2024Rev3.xlsx]D-PDP'!$BZ$45</v>
      </c>
      <c r="J871" s="37" t="s">
        <v>2403</v>
      </c>
    </row>
    <row r="872" spans="1:10" x14ac:dyDescent="0.25">
      <c r="A872" s="32" t="s">
        <v>1</v>
      </c>
      <c r="B872" s="32">
        <f t="shared" si="214"/>
        <v>2057</v>
      </c>
      <c r="C872" s="33" t="s">
        <v>11</v>
      </c>
      <c r="D872" s="34" t="s">
        <v>1999</v>
      </c>
      <c r="E872" s="35" t="str">
        <f t="shared" si="210"/>
        <v>PDP'!</v>
      </c>
      <c r="F872" s="34" t="str">
        <f t="shared" si="211"/>
        <v>C:\Users\jaime.benazar\Quorum Business Solutions\Ecopetrol Prometeo - Documents\Planning Space Implementation\3. Analysis &amp; Design\Design\FC22\DRR Jaime\QUIFA-CAJÚA\Cajua\[CAJUA_CF_SEC_New_27-Feb-2024Rev3.xlsx]D-PDP'!</v>
      </c>
      <c r="G872" s="32" t="s">
        <v>112</v>
      </c>
      <c r="H872" s="33">
        <f t="shared" si="212"/>
        <v>46</v>
      </c>
      <c r="I872" s="33" t="str">
        <f t="shared" si="213"/>
        <v>='C:\Users\jaime.benazar\Quorum Business Solutions\Ecopetrol Prometeo - Documents\Planning Space Implementation\3. Analysis &amp; Design\Design\FC22\DRR Jaime\QUIFA-CAJÚA\Cajua\[CAJUA_CF_SEC_New_27-Feb-2024Rev3.xlsx]D-PDP'!$BZ$46</v>
      </c>
      <c r="J872" s="37" t="s">
        <v>2404</v>
      </c>
    </row>
    <row r="873" spans="1:10" x14ac:dyDescent="0.25">
      <c r="A873" s="32" t="s">
        <v>1</v>
      </c>
      <c r="B873" s="32">
        <f t="shared" si="214"/>
        <v>2058</v>
      </c>
      <c r="C873" s="33" t="s">
        <v>11</v>
      </c>
      <c r="D873" s="34" t="s">
        <v>1999</v>
      </c>
      <c r="E873" s="35" t="str">
        <f t="shared" si="210"/>
        <v>PDP'!</v>
      </c>
      <c r="F873" s="34" t="str">
        <f t="shared" si="211"/>
        <v>C:\Users\jaime.benazar\Quorum Business Solutions\Ecopetrol Prometeo - Documents\Planning Space Implementation\3. Analysis &amp; Design\Design\FC22\DRR Jaime\QUIFA-CAJÚA\Cajua\[CAJUA_CF_SEC_New_27-Feb-2024Rev3.xlsx]D-PDP'!</v>
      </c>
      <c r="G873" s="32" t="s">
        <v>112</v>
      </c>
      <c r="H873" s="33">
        <f t="shared" si="212"/>
        <v>47</v>
      </c>
      <c r="I873" s="33" t="str">
        <f t="shared" si="213"/>
        <v>='C:\Users\jaime.benazar\Quorum Business Solutions\Ecopetrol Prometeo - Documents\Planning Space Implementation\3. Analysis &amp; Design\Design\FC22\DRR Jaime\QUIFA-CAJÚA\Cajua\[CAJUA_CF_SEC_New_27-Feb-2024Rev3.xlsx]D-PDP'!$BZ$47</v>
      </c>
      <c r="J873" s="37" t="s">
        <v>2405</v>
      </c>
    </row>
    <row r="874" spans="1:10" x14ac:dyDescent="0.25">
      <c r="A874" s="32" t="s">
        <v>1</v>
      </c>
      <c r="B874" s="32">
        <f t="shared" si="214"/>
        <v>2059</v>
      </c>
      <c r="C874" s="33" t="s">
        <v>11</v>
      </c>
      <c r="D874" s="34" t="s">
        <v>1999</v>
      </c>
      <c r="E874" s="35" t="str">
        <f t="shared" si="210"/>
        <v>PDP'!</v>
      </c>
      <c r="F874" s="34" t="str">
        <f t="shared" si="211"/>
        <v>C:\Users\jaime.benazar\Quorum Business Solutions\Ecopetrol Prometeo - Documents\Planning Space Implementation\3. Analysis &amp; Design\Design\FC22\DRR Jaime\QUIFA-CAJÚA\Cajua\[CAJUA_CF_SEC_New_27-Feb-2024Rev3.xlsx]D-PDP'!</v>
      </c>
      <c r="G874" s="32" t="s">
        <v>112</v>
      </c>
      <c r="H874" s="33">
        <f t="shared" si="212"/>
        <v>48</v>
      </c>
      <c r="I874" s="33" t="str">
        <f t="shared" si="213"/>
        <v>='C:\Users\jaime.benazar\Quorum Business Solutions\Ecopetrol Prometeo - Documents\Planning Space Implementation\3. Analysis &amp; Design\Design\FC22\DRR Jaime\QUIFA-CAJÚA\Cajua\[CAJUA_CF_SEC_New_27-Feb-2024Rev3.xlsx]D-PDP'!$BZ$48</v>
      </c>
      <c r="J874" s="37" t="s">
        <v>2406</v>
      </c>
    </row>
    <row r="875" spans="1:10" x14ac:dyDescent="0.25">
      <c r="A875" s="32" t="s">
        <v>28</v>
      </c>
      <c r="B875" s="32"/>
      <c r="C875" s="33" t="s">
        <v>11</v>
      </c>
      <c r="D875" s="34"/>
      <c r="E875" s="35"/>
      <c r="F875" s="34"/>
      <c r="G875" s="32"/>
      <c r="H875" s="33"/>
      <c r="I875" s="33"/>
      <c r="J875" s="33"/>
    </row>
    <row r="876" spans="1:10" x14ac:dyDescent="0.25">
      <c r="A876" s="32" t="s">
        <v>2</v>
      </c>
      <c r="B876" s="32">
        <v>2023</v>
      </c>
      <c r="C876" s="33" t="s">
        <v>11</v>
      </c>
      <c r="D876" s="34" t="s">
        <v>1999</v>
      </c>
      <c r="E876" s="35" t="str">
        <f t="shared" si="203"/>
        <v>PNP'!</v>
      </c>
      <c r="F876" s="34" t="str">
        <f t="shared" si="204"/>
        <v>C:\Users\jaime.benazar\Quorum Business Solutions\Ecopetrol Prometeo - Documents\Planning Space Implementation\3. Analysis &amp; Design\Design\FC22\DRR Jaime\QUIFA-CAJÚA\Cajua\[CAJUA_CF_SEC_New_27-Feb-2024Rev3.xlsx]D-PNP'!</v>
      </c>
      <c r="G876" s="32" t="s">
        <v>112</v>
      </c>
      <c r="H876" s="33">
        <v>12</v>
      </c>
      <c r="I876" s="33" t="str">
        <f t="shared" si="206"/>
        <v>='C:\Users\jaime.benazar\Quorum Business Solutions\Ecopetrol Prometeo - Documents\Planning Space Implementation\3. Analysis &amp; Design\Design\FC22\DRR Jaime\QUIFA-CAJÚA\Cajua\[CAJUA_CF_SEC_New_27-Feb-2024Rev3.xlsx]D-PNP'!$BZ$12</v>
      </c>
      <c r="J876" s="37" t="s">
        <v>2407</v>
      </c>
    </row>
    <row r="877" spans="1:10" x14ac:dyDescent="0.25">
      <c r="A877" s="32" t="s">
        <v>2</v>
      </c>
      <c r="B877" s="32">
        <f>+B876+1</f>
        <v>2024</v>
      </c>
      <c r="C877" s="33" t="s">
        <v>11</v>
      </c>
      <c r="D877" s="34" t="s">
        <v>1999</v>
      </c>
      <c r="E877" s="35" t="str">
        <f t="shared" si="203"/>
        <v>PNP'!</v>
      </c>
      <c r="F877" s="34" t="str">
        <f t="shared" si="204"/>
        <v>C:\Users\jaime.benazar\Quorum Business Solutions\Ecopetrol Prometeo - Documents\Planning Space Implementation\3. Analysis &amp; Design\Design\FC22\DRR Jaime\QUIFA-CAJÚA\Cajua\[CAJUA_CF_SEC_New_27-Feb-2024Rev3.xlsx]D-PNP'!</v>
      </c>
      <c r="G877" s="32" t="s">
        <v>112</v>
      </c>
      <c r="H877" s="33">
        <f t="shared" ref="H877:H896" si="215">IF(A877&lt;&gt;A876,12,H876+1)</f>
        <v>13</v>
      </c>
      <c r="I877" s="33" t="str">
        <f t="shared" si="206"/>
        <v>='C:\Users\jaime.benazar\Quorum Business Solutions\Ecopetrol Prometeo - Documents\Planning Space Implementation\3. Analysis &amp; Design\Design\FC22\DRR Jaime\QUIFA-CAJÚA\Cajua\[CAJUA_CF_SEC_New_27-Feb-2024Rev3.xlsx]D-PNP'!$BZ$13</v>
      </c>
      <c r="J877" s="37" t="s">
        <v>2408</v>
      </c>
    </row>
    <row r="878" spans="1:10" x14ac:dyDescent="0.25">
      <c r="A878" s="32" t="s">
        <v>2</v>
      </c>
      <c r="B878" s="32">
        <f t="shared" ref="B878:B889" si="216">+B877+1</f>
        <v>2025</v>
      </c>
      <c r="C878" s="33" t="s">
        <v>11</v>
      </c>
      <c r="D878" s="34" t="s">
        <v>1999</v>
      </c>
      <c r="E878" s="35" t="str">
        <f t="shared" si="203"/>
        <v>PNP'!</v>
      </c>
      <c r="F878" s="34" t="str">
        <f t="shared" si="204"/>
        <v>C:\Users\jaime.benazar\Quorum Business Solutions\Ecopetrol Prometeo - Documents\Planning Space Implementation\3. Analysis &amp; Design\Design\FC22\DRR Jaime\QUIFA-CAJÚA\Cajua\[CAJUA_CF_SEC_New_27-Feb-2024Rev3.xlsx]D-PNP'!</v>
      </c>
      <c r="G878" s="32" t="s">
        <v>112</v>
      </c>
      <c r="H878" s="33">
        <f t="shared" si="215"/>
        <v>14</v>
      </c>
      <c r="I878" s="33" t="str">
        <f t="shared" si="206"/>
        <v>='C:\Users\jaime.benazar\Quorum Business Solutions\Ecopetrol Prometeo - Documents\Planning Space Implementation\3. Analysis &amp; Design\Design\FC22\DRR Jaime\QUIFA-CAJÚA\Cajua\[CAJUA_CF_SEC_New_27-Feb-2024Rev3.xlsx]D-PNP'!$BZ$14</v>
      </c>
      <c r="J878" s="37" t="s">
        <v>2409</v>
      </c>
    </row>
    <row r="879" spans="1:10" x14ac:dyDescent="0.25">
      <c r="A879" s="32" t="s">
        <v>2</v>
      </c>
      <c r="B879" s="32">
        <f t="shared" si="216"/>
        <v>2026</v>
      </c>
      <c r="C879" s="33" t="s">
        <v>11</v>
      </c>
      <c r="D879" s="34" t="s">
        <v>1999</v>
      </c>
      <c r="E879" s="35" t="str">
        <f t="shared" si="203"/>
        <v>PNP'!</v>
      </c>
      <c r="F879" s="34" t="str">
        <f t="shared" si="204"/>
        <v>C:\Users\jaime.benazar\Quorum Business Solutions\Ecopetrol Prometeo - Documents\Planning Space Implementation\3. Analysis &amp; Design\Design\FC22\DRR Jaime\QUIFA-CAJÚA\Cajua\[CAJUA_CF_SEC_New_27-Feb-2024Rev3.xlsx]D-PNP'!</v>
      </c>
      <c r="G879" s="32" t="s">
        <v>112</v>
      </c>
      <c r="H879" s="33">
        <f t="shared" si="215"/>
        <v>15</v>
      </c>
      <c r="I879" s="33" t="str">
        <f t="shared" si="206"/>
        <v>='C:\Users\jaime.benazar\Quorum Business Solutions\Ecopetrol Prometeo - Documents\Planning Space Implementation\3. Analysis &amp; Design\Design\FC22\DRR Jaime\QUIFA-CAJÚA\Cajua\[CAJUA_CF_SEC_New_27-Feb-2024Rev3.xlsx]D-PNP'!$BZ$15</v>
      </c>
      <c r="J879" s="37" t="s">
        <v>2410</v>
      </c>
    </row>
    <row r="880" spans="1:10" x14ac:dyDescent="0.25">
      <c r="A880" s="32" t="s">
        <v>2</v>
      </c>
      <c r="B880" s="32">
        <f t="shared" si="216"/>
        <v>2027</v>
      </c>
      <c r="C880" s="33" t="s">
        <v>11</v>
      </c>
      <c r="D880" s="34" t="s">
        <v>1999</v>
      </c>
      <c r="E880" s="35" t="str">
        <f t="shared" si="203"/>
        <v>PNP'!</v>
      </c>
      <c r="F880" s="34" t="str">
        <f t="shared" si="204"/>
        <v>C:\Users\jaime.benazar\Quorum Business Solutions\Ecopetrol Prometeo - Documents\Planning Space Implementation\3. Analysis &amp; Design\Design\FC22\DRR Jaime\QUIFA-CAJÚA\Cajua\[CAJUA_CF_SEC_New_27-Feb-2024Rev3.xlsx]D-PNP'!</v>
      </c>
      <c r="G880" s="32" t="s">
        <v>112</v>
      </c>
      <c r="H880" s="33">
        <f t="shared" si="215"/>
        <v>16</v>
      </c>
      <c r="I880" s="33" t="str">
        <f t="shared" si="206"/>
        <v>='C:\Users\jaime.benazar\Quorum Business Solutions\Ecopetrol Prometeo - Documents\Planning Space Implementation\3. Analysis &amp; Design\Design\FC22\DRR Jaime\QUIFA-CAJÚA\Cajua\[CAJUA_CF_SEC_New_27-Feb-2024Rev3.xlsx]D-PNP'!$BZ$16</v>
      </c>
      <c r="J880" s="37" t="s">
        <v>2411</v>
      </c>
    </row>
    <row r="881" spans="1:10" x14ac:dyDescent="0.25">
      <c r="A881" s="32" t="s">
        <v>2</v>
      </c>
      <c r="B881" s="32">
        <f t="shared" si="216"/>
        <v>2028</v>
      </c>
      <c r="C881" s="33" t="s">
        <v>11</v>
      </c>
      <c r="D881" s="34" t="s">
        <v>1999</v>
      </c>
      <c r="E881" s="35" t="str">
        <f t="shared" si="203"/>
        <v>PNP'!</v>
      </c>
      <c r="F881" s="34" t="str">
        <f t="shared" si="204"/>
        <v>C:\Users\jaime.benazar\Quorum Business Solutions\Ecopetrol Prometeo - Documents\Planning Space Implementation\3. Analysis &amp; Design\Design\FC22\DRR Jaime\QUIFA-CAJÚA\Cajua\[CAJUA_CF_SEC_New_27-Feb-2024Rev3.xlsx]D-PNP'!</v>
      </c>
      <c r="G881" s="32" t="s">
        <v>112</v>
      </c>
      <c r="H881" s="33">
        <f t="shared" si="215"/>
        <v>17</v>
      </c>
      <c r="I881" s="33" t="str">
        <f t="shared" si="206"/>
        <v>='C:\Users\jaime.benazar\Quorum Business Solutions\Ecopetrol Prometeo - Documents\Planning Space Implementation\3. Analysis &amp; Design\Design\FC22\DRR Jaime\QUIFA-CAJÚA\Cajua\[CAJUA_CF_SEC_New_27-Feb-2024Rev3.xlsx]D-PNP'!$BZ$17</v>
      </c>
      <c r="J881" s="37" t="s">
        <v>2412</v>
      </c>
    </row>
    <row r="882" spans="1:10" x14ac:dyDescent="0.25">
      <c r="A882" s="32" t="s">
        <v>2</v>
      </c>
      <c r="B882" s="32">
        <f t="shared" si="216"/>
        <v>2029</v>
      </c>
      <c r="C882" s="33" t="s">
        <v>11</v>
      </c>
      <c r="D882" s="34" t="s">
        <v>1999</v>
      </c>
      <c r="E882" s="35" t="str">
        <f t="shared" si="203"/>
        <v>PNP'!</v>
      </c>
      <c r="F882" s="34" t="str">
        <f t="shared" si="204"/>
        <v>C:\Users\jaime.benazar\Quorum Business Solutions\Ecopetrol Prometeo - Documents\Planning Space Implementation\3. Analysis &amp; Design\Design\FC22\DRR Jaime\QUIFA-CAJÚA\Cajua\[CAJUA_CF_SEC_New_27-Feb-2024Rev3.xlsx]D-PNP'!</v>
      </c>
      <c r="G882" s="32" t="s">
        <v>112</v>
      </c>
      <c r="H882" s="33">
        <f t="shared" si="215"/>
        <v>18</v>
      </c>
      <c r="I882" s="33" t="str">
        <f t="shared" si="206"/>
        <v>='C:\Users\jaime.benazar\Quorum Business Solutions\Ecopetrol Prometeo - Documents\Planning Space Implementation\3. Analysis &amp; Design\Design\FC22\DRR Jaime\QUIFA-CAJÚA\Cajua\[CAJUA_CF_SEC_New_27-Feb-2024Rev3.xlsx]D-PNP'!$BZ$18</v>
      </c>
      <c r="J882" s="37" t="s">
        <v>2413</v>
      </c>
    </row>
    <row r="883" spans="1:10" x14ac:dyDescent="0.25">
      <c r="A883" s="32" t="s">
        <v>2</v>
      </c>
      <c r="B883" s="32">
        <f t="shared" si="216"/>
        <v>2030</v>
      </c>
      <c r="C883" s="33" t="s">
        <v>11</v>
      </c>
      <c r="D883" s="34" t="s">
        <v>1999</v>
      </c>
      <c r="E883" s="35" t="str">
        <f t="shared" si="203"/>
        <v>PNP'!</v>
      </c>
      <c r="F883" s="34" t="str">
        <f t="shared" si="204"/>
        <v>C:\Users\jaime.benazar\Quorum Business Solutions\Ecopetrol Prometeo - Documents\Planning Space Implementation\3. Analysis &amp; Design\Design\FC22\DRR Jaime\QUIFA-CAJÚA\Cajua\[CAJUA_CF_SEC_New_27-Feb-2024Rev3.xlsx]D-PNP'!</v>
      </c>
      <c r="G883" s="32" t="s">
        <v>112</v>
      </c>
      <c r="H883" s="33">
        <f t="shared" si="215"/>
        <v>19</v>
      </c>
      <c r="I883" s="33" t="str">
        <f t="shared" si="206"/>
        <v>='C:\Users\jaime.benazar\Quorum Business Solutions\Ecopetrol Prometeo - Documents\Planning Space Implementation\3. Analysis &amp; Design\Design\FC22\DRR Jaime\QUIFA-CAJÚA\Cajua\[CAJUA_CF_SEC_New_27-Feb-2024Rev3.xlsx]D-PNP'!$BZ$19</v>
      </c>
      <c r="J883" s="37" t="s">
        <v>2414</v>
      </c>
    </row>
    <row r="884" spans="1:10" x14ac:dyDescent="0.25">
      <c r="A884" s="32" t="s">
        <v>2</v>
      </c>
      <c r="B884" s="32">
        <f t="shared" si="216"/>
        <v>2031</v>
      </c>
      <c r="C884" s="33" t="s">
        <v>11</v>
      </c>
      <c r="D884" s="34" t="s">
        <v>1999</v>
      </c>
      <c r="E884" s="35" t="str">
        <f t="shared" si="203"/>
        <v>PNP'!</v>
      </c>
      <c r="F884" s="34" t="str">
        <f t="shared" si="204"/>
        <v>C:\Users\jaime.benazar\Quorum Business Solutions\Ecopetrol Prometeo - Documents\Planning Space Implementation\3. Analysis &amp; Design\Design\FC22\DRR Jaime\QUIFA-CAJÚA\Cajua\[CAJUA_CF_SEC_New_27-Feb-2024Rev3.xlsx]D-PNP'!</v>
      </c>
      <c r="G884" s="32" t="s">
        <v>112</v>
      </c>
      <c r="H884" s="33">
        <f t="shared" si="215"/>
        <v>20</v>
      </c>
      <c r="I884" s="33" t="str">
        <f t="shared" si="206"/>
        <v>='C:\Users\jaime.benazar\Quorum Business Solutions\Ecopetrol Prometeo - Documents\Planning Space Implementation\3. Analysis &amp; Design\Design\FC22\DRR Jaime\QUIFA-CAJÚA\Cajua\[CAJUA_CF_SEC_New_27-Feb-2024Rev3.xlsx]D-PNP'!$BZ$20</v>
      </c>
      <c r="J884" s="37" t="s">
        <v>2415</v>
      </c>
    </row>
    <row r="885" spans="1:10" x14ac:dyDescent="0.25">
      <c r="A885" s="32" t="s">
        <v>2</v>
      </c>
      <c r="B885" s="32">
        <f t="shared" si="216"/>
        <v>2032</v>
      </c>
      <c r="C885" s="33" t="s">
        <v>11</v>
      </c>
      <c r="D885" s="34" t="s">
        <v>1999</v>
      </c>
      <c r="E885" s="35" t="str">
        <f t="shared" si="203"/>
        <v>PNP'!</v>
      </c>
      <c r="F885" s="34" t="str">
        <f t="shared" si="204"/>
        <v>C:\Users\jaime.benazar\Quorum Business Solutions\Ecopetrol Prometeo - Documents\Planning Space Implementation\3. Analysis &amp; Design\Design\FC22\DRR Jaime\QUIFA-CAJÚA\Cajua\[CAJUA_CF_SEC_New_27-Feb-2024Rev3.xlsx]D-PNP'!</v>
      </c>
      <c r="G885" s="32" t="s">
        <v>112</v>
      </c>
      <c r="H885" s="33">
        <f t="shared" si="215"/>
        <v>21</v>
      </c>
      <c r="I885" s="33" t="str">
        <f t="shared" si="206"/>
        <v>='C:\Users\jaime.benazar\Quorum Business Solutions\Ecopetrol Prometeo - Documents\Planning Space Implementation\3. Analysis &amp; Design\Design\FC22\DRR Jaime\QUIFA-CAJÚA\Cajua\[CAJUA_CF_SEC_New_27-Feb-2024Rev3.xlsx]D-PNP'!$BZ$21</v>
      </c>
      <c r="J885" s="37" t="s">
        <v>2416</v>
      </c>
    </row>
    <row r="886" spans="1:10" x14ac:dyDescent="0.25">
      <c r="A886" s="32" t="s">
        <v>2</v>
      </c>
      <c r="B886" s="32">
        <f t="shared" si="216"/>
        <v>2033</v>
      </c>
      <c r="C886" s="33" t="s">
        <v>11</v>
      </c>
      <c r="D886" s="34" t="s">
        <v>1999</v>
      </c>
      <c r="E886" s="35" t="str">
        <f t="shared" si="203"/>
        <v>PNP'!</v>
      </c>
      <c r="F886" s="34" t="str">
        <f t="shared" si="204"/>
        <v>C:\Users\jaime.benazar\Quorum Business Solutions\Ecopetrol Prometeo - Documents\Planning Space Implementation\3. Analysis &amp; Design\Design\FC22\DRR Jaime\QUIFA-CAJÚA\Cajua\[CAJUA_CF_SEC_New_27-Feb-2024Rev3.xlsx]D-PNP'!</v>
      </c>
      <c r="G886" s="32" t="s">
        <v>112</v>
      </c>
      <c r="H886" s="33">
        <f t="shared" si="215"/>
        <v>22</v>
      </c>
      <c r="I886" s="33" t="str">
        <f t="shared" si="206"/>
        <v>='C:\Users\jaime.benazar\Quorum Business Solutions\Ecopetrol Prometeo - Documents\Planning Space Implementation\3. Analysis &amp; Design\Design\FC22\DRR Jaime\QUIFA-CAJÚA\Cajua\[CAJUA_CF_SEC_New_27-Feb-2024Rev3.xlsx]D-PNP'!$BZ$22</v>
      </c>
      <c r="J886" s="37" t="s">
        <v>2417</v>
      </c>
    </row>
    <row r="887" spans="1:10" x14ac:dyDescent="0.25">
      <c r="A887" s="32" t="s">
        <v>2</v>
      </c>
      <c r="B887" s="32">
        <f t="shared" si="216"/>
        <v>2034</v>
      </c>
      <c r="C887" s="33" t="s">
        <v>11</v>
      </c>
      <c r="D887" s="34" t="s">
        <v>1999</v>
      </c>
      <c r="E887" s="35" t="str">
        <f t="shared" si="203"/>
        <v>PNP'!</v>
      </c>
      <c r="F887" s="34" t="str">
        <f t="shared" si="204"/>
        <v>C:\Users\jaime.benazar\Quorum Business Solutions\Ecopetrol Prometeo - Documents\Planning Space Implementation\3. Analysis &amp; Design\Design\FC22\DRR Jaime\QUIFA-CAJÚA\Cajua\[CAJUA_CF_SEC_New_27-Feb-2024Rev3.xlsx]D-PNP'!</v>
      </c>
      <c r="G887" s="32" t="s">
        <v>112</v>
      </c>
      <c r="H887" s="33">
        <f t="shared" si="215"/>
        <v>23</v>
      </c>
      <c r="I887" s="33" t="str">
        <f t="shared" si="206"/>
        <v>='C:\Users\jaime.benazar\Quorum Business Solutions\Ecopetrol Prometeo - Documents\Planning Space Implementation\3. Analysis &amp; Design\Design\FC22\DRR Jaime\QUIFA-CAJÚA\Cajua\[CAJUA_CF_SEC_New_27-Feb-2024Rev3.xlsx]D-PNP'!$BZ$23</v>
      </c>
      <c r="J887" s="37" t="s">
        <v>2418</v>
      </c>
    </row>
    <row r="888" spans="1:10" x14ac:dyDescent="0.25">
      <c r="A888" s="32" t="s">
        <v>2</v>
      </c>
      <c r="B888" s="32">
        <f t="shared" si="216"/>
        <v>2035</v>
      </c>
      <c r="C888" s="33" t="s">
        <v>11</v>
      </c>
      <c r="D888" s="34" t="s">
        <v>1999</v>
      </c>
      <c r="E888" s="35" t="str">
        <f t="shared" si="203"/>
        <v>PNP'!</v>
      </c>
      <c r="F888" s="34" t="str">
        <f t="shared" si="204"/>
        <v>C:\Users\jaime.benazar\Quorum Business Solutions\Ecopetrol Prometeo - Documents\Planning Space Implementation\3. Analysis &amp; Design\Design\FC22\DRR Jaime\QUIFA-CAJÚA\Cajua\[CAJUA_CF_SEC_New_27-Feb-2024Rev3.xlsx]D-PNP'!</v>
      </c>
      <c r="G888" s="32" t="s">
        <v>112</v>
      </c>
      <c r="H888" s="33">
        <f t="shared" si="215"/>
        <v>24</v>
      </c>
      <c r="I888" s="33" t="str">
        <f t="shared" si="206"/>
        <v>='C:\Users\jaime.benazar\Quorum Business Solutions\Ecopetrol Prometeo - Documents\Planning Space Implementation\3. Analysis &amp; Design\Design\FC22\DRR Jaime\QUIFA-CAJÚA\Cajua\[CAJUA_CF_SEC_New_27-Feb-2024Rev3.xlsx]D-PNP'!$BZ$24</v>
      </c>
      <c r="J888" s="37" t="s">
        <v>2419</v>
      </c>
    </row>
    <row r="889" spans="1:10" x14ac:dyDescent="0.25">
      <c r="A889" s="32" t="s">
        <v>2</v>
      </c>
      <c r="B889" s="32">
        <f t="shared" si="216"/>
        <v>2036</v>
      </c>
      <c r="C889" s="33" t="s">
        <v>11</v>
      </c>
      <c r="D889" s="34" t="s">
        <v>1999</v>
      </c>
      <c r="E889" s="35" t="str">
        <f t="shared" si="203"/>
        <v>PNP'!</v>
      </c>
      <c r="F889" s="34" t="str">
        <f t="shared" si="204"/>
        <v>C:\Users\jaime.benazar\Quorum Business Solutions\Ecopetrol Prometeo - Documents\Planning Space Implementation\3. Analysis &amp; Design\Design\FC22\DRR Jaime\QUIFA-CAJÚA\Cajua\[CAJUA_CF_SEC_New_27-Feb-2024Rev3.xlsx]D-PNP'!</v>
      </c>
      <c r="G889" s="32" t="s">
        <v>112</v>
      </c>
      <c r="H889" s="33">
        <f t="shared" si="215"/>
        <v>25</v>
      </c>
      <c r="I889" s="33" t="str">
        <f t="shared" si="206"/>
        <v>='C:\Users\jaime.benazar\Quorum Business Solutions\Ecopetrol Prometeo - Documents\Planning Space Implementation\3. Analysis &amp; Design\Design\FC22\DRR Jaime\QUIFA-CAJÚA\Cajua\[CAJUA_CF_SEC_New_27-Feb-2024Rev3.xlsx]D-PNP'!$BZ$25</v>
      </c>
      <c r="J889" s="37" t="s">
        <v>2420</v>
      </c>
    </row>
    <row r="890" spans="1:10" x14ac:dyDescent="0.25">
      <c r="A890" s="32" t="s">
        <v>2</v>
      </c>
      <c r="B890" s="32">
        <f>+B889+1</f>
        <v>2037</v>
      </c>
      <c r="C890" s="33" t="s">
        <v>11</v>
      </c>
      <c r="D890" s="34" t="s">
        <v>1999</v>
      </c>
      <c r="E890" s="35" t="str">
        <f t="shared" si="203"/>
        <v>PNP'!</v>
      </c>
      <c r="F890" s="34" t="str">
        <f t="shared" si="204"/>
        <v>C:\Users\jaime.benazar\Quorum Business Solutions\Ecopetrol Prometeo - Documents\Planning Space Implementation\3. Analysis &amp; Design\Design\FC22\DRR Jaime\QUIFA-CAJÚA\Cajua\[CAJUA_CF_SEC_New_27-Feb-2024Rev3.xlsx]D-PNP'!</v>
      </c>
      <c r="G890" s="32" t="s">
        <v>112</v>
      </c>
      <c r="H890" s="33">
        <f t="shared" si="215"/>
        <v>26</v>
      </c>
      <c r="I890" s="33" t="str">
        <f t="shared" si="206"/>
        <v>='C:\Users\jaime.benazar\Quorum Business Solutions\Ecopetrol Prometeo - Documents\Planning Space Implementation\3. Analysis &amp; Design\Design\FC22\DRR Jaime\QUIFA-CAJÚA\Cajua\[CAJUA_CF_SEC_New_27-Feb-2024Rev3.xlsx]D-PNP'!$BZ$26</v>
      </c>
      <c r="J890" s="37" t="s">
        <v>2421</v>
      </c>
    </row>
    <row r="891" spans="1:10" x14ac:dyDescent="0.25">
      <c r="A891" s="32" t="s">
        <v>2</v>
      </c>
      <c r="B891" s="32">
        <f t="shared" ref="B891:B893" si="217">+B890+1</f>
        <v>2038</v>
      </c>
      <c r="C891" s="33" t="s">
        <v>11</v>
      </c>
      <c r="D891" s="34" t="s">
        <v>1999</v>
      </c>
      <c r="E891" s="35" t="str">
        <f t="shared" si="203"/>
        <v>PNP'!</v>
      </c>
      <c r="F891" s="34" t="str">
        <f t="shared" si="204"/>
        <v>C:\Users\jaime.benazar\Quorum Business Solutions\Ecopetrol Prometeo - Documents\Planning Space Implementation\3. Analysis &amp; Design\Design\FC22\DRR Jaime\QUIFA-CAJÚA\Cajua\[CAJUA_CF_SEC_New_27-Feb-2024Rev3.xlsx]D-PNP'!</v>
      </c>
      <c r="G891" s="32" t="s">
        <v>112</v>
      </c>
      <c r="H891" s="33">
        <f t="shared" si="215"/>
        <v>27</v>
      </c>
      <c r="I891" s="33" t="str">
        <f t="shared" si="206"/>
        <v>='C:\Users\jaime.benazar\Quorum Business Solutions\Ecopetrol Prometeo - Documents\Planning Space Implementation\3. Analysis &amp; Design\Design\FC22\DRR Jaime\QUIFA-CAJÚA\Cajua\[CAJUA_CF_SEC_New_27-Feb-2024Rev3.xlsx]D-PNP'!$BZ$27</v>
      </c>
      <c r="J891" s="37" t="s">
        <v>2422</v>
      </c>
    </row>
    <row r="892" spans="1:10" x14ac:dyDescent="0.25">
      <c r="A892" s="32" t="s">
        <v>2</v>
      </c>
      <c r="B892" s="32">
        <f t="shared" si="217"/>
        <v>2039</v>
      </c>
      <c r="C892" s="33" t="s">
        <v>11</v>
      </c>
      <c r="D892" s="34" t="s">
        <v>1999</v>
      </c>
      <c r="E892" s="35" t="str">
        <f t="shared" si="203"/>
        <v>PNP'!</v>
      </c>
      <c r="F892" s="34" t="str">
        <f t="shared" si="204"/>
        <v>C:\Users\jaime.benazar\Quorum Business Solutions\Ecopetrol Prometeo - Documents\Planning Space Implementation\3. Analysis &amp; Design\Design\FC22\DRR Jaime\QUIFA-CAJÚA\Cajua\[CAJUA_CF_SEC_New_27-Feb-2024Rev3.xlsx]D-PNP'!</v>
      </c>
      <c r="G892" s="32" t="s">
        <v>112</v>
      </c>
      <c r="H892" s="33">
        <f t="shared" si="215"/>
        <v>28</v>
      </c>
      <c r="I892" s="33" t="str">
        <f t="shared" si="206"/>
        <v>='C:\Users\jaime.benazar\Quorum Business Solutions\Ecopetrol Prometeo - Documents\Planning Space Implementation\3. Analysis &amp; Design\Design\FC22\DRR Jaime\QUIFA-CAJÚA\Cajua\[CAJUA_CF_SEC_New_27-Feb-2024Rev3.xlsx]D-PNP'!$BZ$28</v>
      </c>
      <c r="J892" s="37" t="s">
        <v>2423</v>
      </c>
    </row>
    <row r="893" spans="1:10" x14ac:dyDescent="0.25">
      <c r="A893" s="32" t="s">
        <v>2</v>
      </c>
      <c r="B893" s="32">
        <f t="shared" si="217"/>
        <v>2040</v>
      </c>
      <c r="C893" s="33" t="s">
        <v>11</v>
      </c>
      <c r="D893" s="34" t="s">
        <v>1999</v>
      </c>
      <c r="E893" s="35" t="str">
        <f t="shared" si="203"/>
        <v>PNP'!</v>
      </c>
      <c r="F893" s="34" t="str">
        <f t="shared" si="204"/>
        <v>C:\Users\jaime.benazar\Quorum Business Solutions\Ecopetrol Prometeo - Documents\Planning Space Implementation\3. Analysis &amp; Design\Design\FC22\DRR Jaime\QUIFA-CAJÚA\Cajua\[CAJUA_CF_SEC_New_27-Feb-2024Rev3.xlsx]D-PNP'!</v>
      </c>
      <c r="G893" s="32" t="s">
        <v>112</v>
      </c>
      <c r="H893" s="33">
        <f t="shared" si="215"/>
        <v>29</v>
      </c>
      <c r="I893" s="33" t="str">
        <f t="shared" si="206"/>
        <v>='C:\Users\jaime.benazar\Quorum Business Solutions\Ecopetrol Prometeo - Documents\Planning Space Implementation\3. Analysis &amp; Design\Design\FC22\DRR Jaime\QUIFA-CAJÚA\Cajua\[CAJUA_CF_SEC_New_27-Feb-2024Rev3.xlsx]D-PNP'!$BZ$29</v>
      </c>
      <c r="J893" s="37" t="s">
        <v>2424</v>
      </c>
    </row>
    <row r="894" spans="1:10" x14ac:dyDescent="0.25">
      <c r="A894" s="32" t="s">
        <v>2</v>
      </c>
      <c r="B894" s="32">
        <f>+B893+1</f>
        <v>2041</v>
      </c>
      <c r="C894" s="33" t="s">
        <v>11</v>
      </c>
      <c r="D894" s="34" t="s">
        <v>1999</v>
      </c>
      <c r="E894" s="35" t="str">
        <f t="shared" si="203"/>
        <v>PNP'!</v>
      </c>
      <c r="F894" s="34" t="str">
        <f t="shared" si="204"/>
        <v>C:\Users\jaime.benazar\Quorum Business Solutions\Ecopetrol Prometeo - Documents\Planning Space Implementation\3. Analysis &amp; Design\Design\FC22\DRR Jaime\QUIFA-CAJÚA\Cajua\[CAJUA_CF_SEC_New_27-Feb-2024Rev3.xlsx]D-PNP'!</v>
      </c>
      <c r="G894" s="32" t="s">
        <v>112</v>
      </c>
      <c r="H894" s="33">
        <f t="shared" si="215"/>
        <v>30</v>
      </c>
      <c r="I894" s="33" t="str">
        <f t="shared" si="206"/>
        <v>='C:\Users\jaime.benazar\Quorum Business Solutions\Ecopetrol Prometeo - Documents\Planning Space Implementation\3. Analysis &amp; Design\Design\FC22\DRR Jaime\QUIFA-CAJÚA\Cajua\[CAJUA_CF_SEC_New_27-Feb-2024Rev3.xlsx]D-PNP'!$BZ$30</v>
      </c>
      <c r="J894" s="37" t="s">
        <v>2425</v>
      </c>
    </row>
    <row r="895" spans="1:10" x14ac:dyDescent="0.25">
      <c r="A895" s="32" t="s">
        <v>2</v>
      </c>
      <c r="B895" s="32">
        <f t="shared" ref="B895:B896" si="218">+B894+1</f>
        <v>2042</v>
      </c>
      <c r="C895" s="33" t="s">
        <v>11</v>
      </c>
      <c r="D895" s="34" t="s">
        <v>1999</v>
      </c>
      <c r="E895" s="35" t="str">
        <f t="shared" si="203"/>
        <v>PNP'!</v>
      </c>
      <c r="F895" s="34" t="str">
        <f t="shared" si="204"/>
        <v>C:\Users\jaime.benazar\Quorum Business Solutions\Ecopetrol Prometeo - Documents\Planning Space Implementation\3. Analysis &amp; Design\Design\FC22\DRR Jaime\QUIFA-CAJÚA\Cajua\[CAJUA_CF_SEC_New_27-Feb-2024Rev3.xlsx]D-PNP'!</v>
      </c>
      <c r="G895" s="32" t="s">
        <v>112</v>
      </c>
      <c r="H895" s="33">
        <f t="shared" si="215"/>
        <v>31</v>
      </c>
      <c r="I895" s="33" t="str">
        <f t="shared" si="206"/>
        <v>='C:\Users\jaime.benazar\Quorum Business Solutions\Ecopetrol Prometeo - Documents\Planning Space Implementation\3. Analysis &amp; Design\Design\FC22\DRR Jaime\QUIFA-CAJÚA\Cajua\[CAJUA_CF_SEC_New_27-Feb-2024Rev3.xlsx]D-PNP'!$BZ$31</v>
      </c>
      <c r="J895" s="37" t="s">
        <v>2426</v>
      </c>
    </row>
    <row r="896" spans="1:10" x14ac:dyDescent="0.25">
      <c r="A896" s="32" t="s">
        <v>2</v>
      </c>
      <c r="B896" s="32">
        <f t="shared" si="218"/>
        <v>2043</v>
      </c>
      <c r="C896" s="33" t="s">
        <v>11</v>
      </c>
      <c r="D896" s="34" t="s">
        <v>1999</v>
      </c>
      <c r="E896" s="35" t="str">
        <f t="shared" si="203"/>
        <v>PNP'!</v>
      </c>
      <c r="F896" s="34" t="str">
        <f t="shared" si="204"/>
        <v>C:\Users\jaime.benazar\Quorum Business Solutions\Ecopetrol Prometeo - Documents\Planning Space Implementation\3. Analysis &amp; Design\Design\FC22\DRR Jaime\QUIFA-CAJÚA\Cajua\[CAJUA_CF_SEC_New_27-Feb-2024Rev3.xlsx]D-PNP'!</v>
      </c>
      <c r="G896" s="32" t="s">
        <v>112</v>
      </c>
      <c r="H896" s="33">
        <f t="shared" si="215"/>
        <v>32</v>
      </c>
      <c r="I896" s="33" t="str">
        <f t="shared" si="206"/>
        <v>='C:\Users\jaime.benazar\Quorum Business Solutions\Ecopetrol Prometeo - Documents\Planning Space Implementation\3. Analysis &amp; Design\Design\FC22\DRR Jaime\QUIFA-CAJÚA\Cajua\[CAJUA_CF_SEC_New_27-Feb-2024Rev3.xlsx]D-PNP'!$BZ$32</v>
      </c>
      <c r="J896" s="37" t="s">
        <v>2427</v>
      </c>
    </row>
    <row r="897" spans="1:10" x14ac:dyDescent="0.25">
      <c r="A897" s="32" t="s">
        <v>2</v>
      </c>
      <c r="B897" s="32">
        <f>+B896+1</f>
        <v>2044</v>
      </c>
      <c r="C897" s="33" t="s">
        <v>11</v>
      </c>
      <c r="D897" s="34" t="s">
        <v>1999</v>
      </c>
      <c r="E897" s="35" t="str">
        <f t="shared" ref="E897:E912" si="219">_xlfn.CONCAT(A897,"'!")</f>
        <v>PNP'!</v>
      </c>
      <c r="F897" s="34" t="str">
        <f t="shared" ref="F897:F912" si="220">_xlfn.CONCAT(D897:E897)</f>
        <v>C:\Users\jaime.benazar\Quorum Business Solutions\Ecopetrol Prometeo - Documents\Planning Space Implementation\3. Analysis &amp; Design\Design\FC22\DRR Jaime\QUIFA-CAJÚA\Cajua\[CAJUA_CF_SEC_New_27-Feb-2024Rev3.xlsx]D-PNP'!</v>
      </c>
      <c r="G897" s="32" t="s">
        <v>112</v>
      </c>
      <c r="H897" s="33">
        <f t="shared" ref="H897:H912" si="221">IF(A897&lt;&gt;A896,12,H896+1)</f>
        <v>33</v>
      </c>
      <c r="I897" s="33" t="str">
        <f t="shared" ref="I897:I912" si="222">_xlfn.CONCAT("='",F897:H897)</f>
        <v>='C:\Users\jaime.benazar\Quorum Business Solutions\Ecopetrol Prometeo - Documents\Planning Space Implementation\3. Analysis &amp; Design\Design\FC22\DRR Jaime\QUIFA-CAJÚA\Cajua\[CAJUA_CF_SEC_New_27-Feb-2024Rev3.xlsx]D-PNP'!$BZ$33</v>
      </c>
      <c r="J897" s="37" t="s">
        <v>2428</v>
      </c>
    </row>
    <row r="898" spans="1:10" x14ac:dyDescent="0.25">
      <c r="A898" s="32" t="s">
        <v>2</v>
      </c>
      <c r="B898" s="32">
        <f t="shared" ref="B898:B912" si="223">+B897+1</f>
        <v>2045</v>
      </c>
      <c r="C898" s="33" t="s">
        <v>11</v>
      </c>
      <c r="D898" s="34" t="s">
        <v>1999</v>
      </c>
      <c r="E898" s="35" t="str">
        <f t="shared" si="219"/>
        <v>PNP'!</v>
      </c>
      <c r="F898" s="34" t="str">
        <f t="shared" si="220"/>
        <v>C:\Users\jaime.benazar\Quorum Business Solutions\Ecopetrol Prometeo - Documents\Planning Space Implementation\3. Analysis &amp; Design\Design\FC22\DRR Jaime\QUIFA-CAJÚA\Cajua\[CAJUA_CF_SEC_New_27-Feb-2024Rev3.xlsx]D-PNP'!</v>
      </c>
      <c r="G898" s="32" t="s">
        <v>112</v>
      </c>
      <c r="H898" s="33">
        <f t="shared" si="221"/>
        <v>34</v>
      </c>
      <c r="I898" s="33" t="str">
        <f t="shared" si="222"/>
        <v>='C:\Users\jaime.benazar\Quorum Business Solutions\Ecopetrol Prometeo - Documents\Planning Space Implementation\3. Analysis &amp; Design\Design\FC22\DRR Jaime\QUIFA-CAJÚA\Cajua\[CAJUA_CF_SEC_New_27-Feb-2024Rev3.xlsx]D-PNP'!$BZ$34</v>
      </c>
      <c r="J898" s="37" t="s">
        <v>2429</v>
      </c>
    </row>
    <row r="899" spans="1:10" x14ac:dyDescent="0.25">
      <c r="A899" s="32" t="s">
        <v>2</v>
      </c>
      <c r="B899" s="32">
        <f t="shared" si="223"/>
        <v>2046</v>
      </c>
      <c r="C899" s="33" t="s">
        <v>11</v>
      </c>
      <c r="D899" s="34" t="s">
        <v>1999</v>
      </c>
      <c r="E899" s="35" t="str">
        <f t="shared" si="219"/>
        <v>PNP'!</v>
      </c>
      <c r="F899" s="34" t="str">
        <f t="shared" si="220"/>
        <v>C:\Users\jaime.benazar\Quorum Business Solutions\Ecopetrol Prometeo - Documents\Planning Space Implementation\3. Analysis &amp; Design\Design\FC22\DRR Jaime\QUIFA-CAJÚA\Cajua\[CAJUA_CF_SEC_New_27-Feb-2024Rev3.xlsx]D-PNP'!</v>
      </c>
      <c r="G899" s="32" t="s">
        <v>112</v>
      </c>
      <c r="H899" s="33">
        <f t="shared" si="221"/>
        <v>35</v>
      </c>
      <c r="I899" s="33" t="str">
        <f t="shared" si="222"/>
        <v>='C:\Users\jaime.benazar\Quorum Business Solutions\Ecopetrol Prometeo - Documents\Planning Space Implementation\3. Analysis &amp; Design\Design\FC22\DRR Jaime\QUIFA-CAJÚA\Cajua\[CAJUA_CF_SEC_New_27-Feb-2024Rev3.xlsx]D-PNP'!$BZ$35</v>
      </c>
      <c r="J899" s="37" t="s">
        <v>2430</v>
      </c>
    </row>
    <row r="900" spans="1:10" x14ac:dyDescent="0.25">
      <c r="A900" s="32" t="s">
        <v>2</v>
      </c>
      <c r="B900" s="32">
        <f t="shared" si="223"/>
        <v>2047</v>
      </c>
      <c r="C900" s="33" t="s">
        <v>11</v>
      </c>
      <c r="D900" s="34" t="s">
        <v>1999</v>
      </c>
      <c r="E900" s="35" t="str">
        <f t="shared" si="219"/>
        <v>PNP'!</v>
      </c>
      <c r="F900" s="34" t="str">
        <f t="shared" si="220"/>
        <v>C:\Users\jaime.benazar\Quorum Business Solutions\Ecopetrol Prometeo - Documents\Planning Space Implementation\3. Analysis &amp; Design\Design\FC22\DRR Jaime\QUIFA-CAJÚA\Cajua\[CAJUA_CF_SEC_New_27-Feb-2024Rev3.xlsx]D-PNP'!</v>
      </c>
      <c r="G900" s="32" t="s">
        <v>112</v>
      </c>
      <c r="H900" s="33">
        <f t="shared" si="221"/>
        <v>36</v>
      </c>
      <c r="I900" s="33" t="str">
        <f t="shared" si="222"/>
        <v>='C:\Users\jaime.benazar\Quorum Business Solutions\Ecopetrol Prometeo - Documents\Planning Space Implementation\3. Analysis &amp; Design\Design\FC22\DRR Jaime\QUIFA-CAJÚA\Cajua\[CAJUA_CF_SEC_New_27-Feb-2024Rev3.xlsx]D-PNP'!$BZ$36</v>
      </c>
      <c r="J900" s="37" t="s">
        <v>2431</v>
      </c>
    </row>
    <row r="901" spans="1:10" x14ac:dyDescent="0.25">
      <c r="A901" s="32" t="s">
        <v>2</v>
      </c>
      <c r="B901" s="32">
        <f t="shared" si="223"/>
        <v>2048</v>
      </c>
      <c r="C901" s="33" t="s">
        <v>11</v>
      </c>
      <c r="D901" s="34" t="s">
        <v>1999</v>
      </c>
      <c r="E901" s="35" t="str">
        <f t="shared" si="219"/>
        <v>PNP'!</v>
      </c>
      <c r="F901" s="34" t="str">
        <f t="shared" si="220"/>
        <v>C:\Users\jaime.benazar\Quorum Business Solutions\Ecopetrol Prometeo - Documents\Planning Space Implementation\3. Analysis &amp; Design\Design\FC22\DRR Jaime\QUIFA-CAJÚA\Cajua\[CAJUA_CF_SEC_New_27-Feb-2024Rev3.xlsx]D-PNP'!</v>
      </c>
      <c r="G901" s="32" t="s">
        <v>112</v>
      </c>
      <c r="H901" s="33">
        <f t="shared" si="221"/>
        <v>37</v>
      </c>
      <c r="I901" s="33" t="str">
        <f t="shared" si="222"/>
        <v>='C:\Users\jaime.benazar\Quorum Business Solutions\Ecopetrol Prometeo - Documents\Planning Space Implementation\3. Analysis &amp; Design\Design\FC22\DRR Jaime\QUIFA-CAJÚA\Cajua\[CAJUA_CF_SEC_New_27-Feb-2024Rev3.xlsx]D-PNP'!$BZ$37</v>
      </c>
      <c r="J901" s="37" t="s">
        <v>2432</v>
      </c>
    </row>
    <row r="902" spans="1:10" x14ac:dyDescent="0.25">
      <c r="A902" s="32" t="s">
        <v>2</v>
      </c>
      <c r="B902" s="32">
        <f t="shared" si="223"/>
        <v>2049</v>
      </c>
      <c r="C902" s="33" t="s">
        <v>11</v>
      </c>
      <c r="D902" s="34" t="s">
        <v>1999</v>
      </c>
      <c r="E902" s="35" t="str">
        <f t="shared" si="219"/>
        <v>PNP'!</v>
      </c>
      <c r="F902" s="34" t="str">
        <f t="shared" si="220"/>
        <v>C:\Users\jaime.benazar\Quorum Business Solutions\Ecopetrol Prometeo - Documents\Planning Space Implementation\3. Analysis &amp; Design\Design\FC22\DRR Jaime\QUIFA-CAJÚA\Cajua\[CAJUA_CF_SEC_New_27-Feb-2024Rev3.xlsx]D-PNP'!</v>
      </c>
      <c r="G902" s="32" t="s">
        <v>112</v>
      </c>
      <c r="H902" s="33">
        <f t="shared" si="221"/>
        <v>38</v>
      </c>
      <c r="I902" s="33" t="str">
        <f t="shared" si="222"/>
        <v>='C:\Users\jaime.benazar\Quorum Business Solutions\Ecopetrol Prometeo - Documents\Planning Space Implementation\3. Analysis &amp; Design\Design\FC22\DRR Jaime\QUIFA-CAJÚA\Cajua\[CAJUA_CF_SEC_New_27-Feb-2024Rev3.xlsx]D-PNP'!$BZ$38</v>
      </c>
      <c r="J902" s="37" t="s">
        <v>2433</v>
      </c>
    </row>
    <row r="903" spans="1:10" x14ac:dyDescent="0.25">
      <c r="A903" s="32" t="s">
        <v>2</v>
      </c>
      <c r="B903" s="32">
        <f t="shared" si="223"/>
        <v>2050</v>
      </c>
      <c r="C903" s="33" t="s">
        <v>11</v>
      </c>
      <c r="D903" s="34" t="s">
        <v>1999</v>
      </c>
      <c r="E903" s="35" t="str">
        <f t="shared" si="219"/>
        <v>PNP'!</v>
      </c>
      <c r="F903" s="34" t="str">
        <f t="shared" si="220"/>
        <v>C:\Users\jaime.benazar\Quorum Business Solutions\Ecopetrol Prometeo - Documents\Planning Space Implementation\3. Analysis &amp; Design\Design\FC22\DRR Jaime\QUIFA-CAJÚA\Cajua\[CAJUA_CF_SEC_New_27-Feb-2024Rev3.xlsx]D-PNP'!</v>
      </c>
      <c r="G903" s="32" t="s">
        <v>112</v>
      </c>
      <c r="H903" s="33">
        <f t="shared" si="221"/>
        <v>39</v>
      </c>
      <c r="I903" s="33" t="str">
        <f t="shared" si="222"/>
        <v>='C:\Users\jaime.benazar\Quorum Business Solutions\Ecopetrol Prometeo - Documents\Planning Space Implementation\3. Analysis &amp; Design\Design\FC22\DRR Jaime\QUIFA-CAJÚA\Cajua\[CAJUA_CF_SEC_New_27-Feb-2024Rev3.xlsx]D-PNP'!$BZ$39</v>
      </c>
      <c r="J903" s="37" t="s">
        <v>2434</v>
      </c>
    </row>
    <row r="904" spans="1:10" x14ac:dyDescent="0.25">
      <c r="A904" s="32" t="s">
        <v>2</v>
      </c>
      <c r="B904" s="32">
        <f t="shared" si="223"/>
        <v>2051</v>
      </c>
      <c r="C904" s="33" t="s">
        <v>11</v>
      </c>
      <c r="D904" s="34" t="s">
        <v>1999</v>
      </c>
      <c r="E904" s="35" t="str">
        <f t="shared" si="219"/>
        <v>PNP'!</v>
      </c>
      <c r="F904" s="34" t="str">
        <f t="shared" si="220"/>
        <v>C:\Users\jaime.benazar\Quorum Business Solutions\Ecopetrol Prometeo - Documents\Planning Space Implementation\3. Analysis &amp; Design\Design\FC22\DRR Jaime\QUIFA-CAJÚA\Cajua\[CAJUA_CF_SEC_New_27-Feb-2024Rev3.xlsx]D-PNP'!</v>
      </c>
      <c r="G904" s="32" t="s">
        <v>112</v>
      </c>
      <c r="H904" s="33">
        <f t="shared" si="221"/>
        <v>40</v>
      </c>
      <c r="I904" s="33" t="str">
        <f t="shared" si="222"/>
        <v>='C:\Users\jaime.benazar\Quorum Business Solutions\Ecopetrol Prometeo - Documents\Planning Space Implementation\3. Analysis &amp; Design\Design\FC22\DRR Jaime\QUIFA-CAJÚA\Cajua\[CAJUA_CF_SEC_New_27-Feb-2024Rev3.xlsx]D-PNP'!$BZ$40</v>
      </c>
      <c r="J904" s="37" t="s">
        <v>2435</v>
      </c>
    </row>
    <row r="905" spans="1:10" x14ac:dyDescent="0.25">
      <c r="A905" s="32" t="s">
        <v>2</v>
      </c>
      <c r="B905" s="32">
        <f t="shared" si="223"/>
        <v>2052</v>
      </c>
      <c r="C905" s="33" t="s">
        <v>11</v>
      </c>
      <c r="D905" s="34" t="s">
        <v>1999</v>
      </c>
      <c r="E905" s="35" t="str">
        <f t="shared" si="219"/>
        <v>PNP'!</v>
      </c>
      <c r="F905" s="34" t="str">
        <f t="shared" si="220"/>
        <v>C:\Users\jaime.benazar\Quorum Business Solutions\Ecopetrol Prometeo - Documents\Planning Space Implementation\3. Analysis &amp; Design\Design\FC22\DRR Jaime\QUIFA-CAJÚA\Cajua\[CAJUA_CF_SEC_New_27-Feb-2024Rev3.xlsx]D-PNP'!</v>
      </c>
      <c r="G905" s="32" t="s">
        <v>112</v>
      </c>
      <c r="H905" s="33">
        <f t="shared" si="221"/>
        <v>41</v>
      </c>
      <c r="I905" s="33" t="str">
        <f t="shared" si="222"/>
        <v>='C:\Users\jaime.benazar\Quorum Business Solutions\Ecopetrol Prometeo - Documents\Planning Space Implementation\3. Analysis &amp; Design\Design\FC22\DRR Jaime\QUIFA-CAJÚA\Cajua\[CAJUA_CF_SEC_New_27-Feb-2024Rev3.xlsx]D-PNP'!$BZ$41</v>
      </c>
      <c r="J905" s="37" t="s">
        <v>2436</v>
      </c>
    </row>
    <row r="906" spans="1:10" x14ac:dyDescent="0.25">
      <c r="A906" s="32" t="s">
        <v>2</v>
      </c>
      <c r="B906" s="32">
        <f t="shared" si="223"/>
        <v>2053</v>
      </c>
      <c r="C906" s="33" t="s">
        <v>11</v>
      </c>
      <c r="D906" s="34" t="s">
        <v>1999</v>
      </c>
      <c r="E906" s="35" t="str">
        <f t="shared" si="219"/>
        <v>PNP'!</v>
      </c>
      <c r="F906" s="34" t="str">
        <f t="shared" si="220"/>
        <v>C:\Users\jaime.benazar\Quorum Business Solutions\Ecopetrol Prometeo - Documents\Planning Space Implementation\3. Analysis &amp; Design\Design\FC22\DRR Jaime\QUIFA-CAJÚA\Cajua\[CAJUA_CF_SEC_New_27-Feb-2024Rev3.xlsx]D-PNP'!</v>
      </c>
      <c r="G906" s="32" t="s">
        <v>112</v>
      </c>
      <c r="H906" s="33">
        <f t="shared" si="221"/>
        <v>42</v>
      </c>
      <c r="I906" s="33" t="str">
        <f t="shared" si="222"/>
        <v>='C:\Users\jaime.benazar\Quorum Business Solutions\Ecopetrol Prometeo - Documents\Planning Space Implementation\3. Analysis &amp; Design\Design\FC22\DRR Jaime\QUIFA-CAJÚA\Cajua\[CAJUA_CF_SEC_New_27-Feb-2024Rev3.xlsx]D-PNP'!$BZ$42</v>
      </c>
      <c r="J906" s="37" t="s">
        <v>2437</v>
      </c>
    </row>
    <row r="907" spans="1:10" x14ac:dyDescent="0.25">
      <c r="A907" s="32" t="s">
        <v>2</v>
      </c>
      <c r="B907" s="32">
        <f t="shared" si="223"/>
        <v>2054</v>
      </c>
      <c r="C907" s="33" t="s">
        <v>11</v>
      </c>
      <c r="D907" s="34" t="s">
        <v>1999</v>
      </c>
      <c r="E907" s="35" t="str">
        <f t="shared" si="219"/>
        <v>PNP'!</v>
      </c>
      <c r="F907" s="34" t="str">
        <f t="shared" si="220"/>
        <v>C:\Users\jaime.benazar\Quorum Business Solutions\Ecopetrol Prometeo - Documents\Planning Space Implementation\3. Analysis &amp; Design\Design\FC22\DRR Jaime\QUIFA-CAJÚA\Cajua\[CAJUA_CF_SEC_New_27-Feb-2024Rev3.xlsx]D-PNP'!</v>
      </c>
      <c r="G907" s="32" t="s">
        <v>112</v>
      </c>
      <c r="H907" s="33">
        <f t="shared" si="221"/>
        <v>43</v>
      </c>
      <c r="I907" s="33" t="str">
        <f t="shared" si="222"/>
        <v>='C:\Users\jaime.benazar\Quorum Business Solutions\Ecopetrol Prometeo - Documents\Planning Space Implementation\3. Analysis &amp; Design\Design\FC22\DRR Jaime\QUIFA-CAJÚA\Cajua\[CAJUA_CF_SEC_New_27-Feb-2024Rev3.xlsx]D-PNP'!$BZ$43</v>
      </c>
      <c r="J907" s="37" t="s">
        <v>2438</v>
      </c>
    </row>
    <row r="908" spans="1:10" x14ac:dyDescent="0.25">
      <c r="A908" s="32" t="s">
        <v>2</v>
      </c>
      <c r="B908" s="32">
        <f t="shared" si="223"/>
        <v>2055</v>
      </c>
      <c r="C908" s="33" t="s">
        <v>11</v>
      </c>
      <c r="D908" s="34" t="s">
        <v>1999</v>
      </c>
      <c r="E908" s="35" t="str">
        <f t="shared" si="219"/>
        <v>PNP'!</v>
      </c>
      <c r="F908" s="34" t="str">
        <f t="shared" si="220"/>
        <v>C:\Users\jaime.benazar\Quorum Business Solutions\Ecopetrol Prometeo - Documents\Planning Space Implementation\3. Analysis &amp; Design\Design\FC22\DRR Jaime\QUIFA-CAJÚA\Cajua\[CAJUA_CF_SEC_New_27-Feb-2024Rev3.xlsx]D-PNP'!</v>
      </c>
      <c r="G908" s="32" t="s">
        <v>112</v>
      </c>
      <c r="H908" s="33">
        <f t="shared" si="221"/>
        <v>44</v>
      </c>
      <c r="I908" s="33" t="str">
        <f t="shared" si="222"/>
        <v>='C:\Users\jaime.benazar\Quorum Business Solutions\Ecopetrol Prometeo - Documents\Planning Space Implementation\3. Analysis &amp; Design\Design\FC22\DRR Jaime\QUIFA-CAJÚA\Cajua\[CAJUA_CF_SEC_New_27-Feb-2024Rev3.xlsx]D-PNP'!$BZ$44</v>
      </c>
      <c r="J908" s="37" t="s">
        <v>2439</v>
      </c>
    </row>
    <row r="909" spans="1:10" x14ac:dyDescent="0.25">
      <c r="A909" s="32" t="s">
        <v>2</v>
      </c>
      <c r="B909" s="32">
        <f t="shared" si="223"/>
        <v>2056</v>
      </c>
      <c r="C909" s="33" t="s">
        <v>11</v>
      </c>
      <c r="D909" s="34" t="s">
        <v>1999</v>
      </c>
      <c r="E909" s="35" t="str">
        <f t="shared" si="219"/>
        <v>PNP'!</v>
      </c>
      <c r="F909" s="34" t="str">
        <f t="shared" si="220"/>
        <v>C:\Users\jaime.benazar\Quorum Business Solutions\Ecopetrol Prometeo - Documents\Planning Space Implementation\3. Analysis &amp; Design\Design\FC22\DRR Jaime\QUIFA-CAJÚA\Cajua\[CAJUA_CF_SEC_New_27-Feb-2024Rev3.xlsx]D-PNP'!</v>
      </c>
      <c r="G909" s="32" t="s">
        <v>112</v>
      </c>
      <c r="H909" s="33">
        <f t="shared" si="221"/>
        <v>45</v>
      </c>
      <c r="I909" s="33" t="str">
        <f t="shared" si="222"/>
        <v>='C:\Users\jaime.benazar\Quorum Business Solutions\Ecopetrol Prometeo - Documents\Planning Space Implementation\3. Analysis &amp; Design\Design\FC22\DRR Jaime\QUIFA-CAJÚA\Cajua\[CAJUA_CF_SEC_New_27-Feb-2024Rev3.xlsx]D-PNP'!$BZ$45</v>
      </c>
      <c r="J909" s="37" t="s">
        <v>2440</v>
      </c>
    </row>
    <row r="910" spans="1:10" x14ac:dyDescent="0.25">
      <c r="A910" s="32" t="s">
        <v>2</v>
      </c>
      <c r="B910" s="32">
        <f t="shared" si="223"/>
        <v>2057</v>
      </c>
      <c r="C910" s="33" t="s">
        <v>11</v>
      </c>
      <c r="D910" s="34" t="s">
        <v>1999</v>
      </c>
      <c r="E910" s="35" t="str">
        <f t="shared" si="219"/>
        <v>PNP'!</v>
      </c>
      <c r="F910" s="34" t="str">
        <f t="shared" si="220"/>
        <v>C:\Users\jaime.benazar\Quorum Business Solutions\Ecopetrol Prometeo - Documents\Planning Space Implementation\3. Analysis &amp; Design\Design\FC22\DRR Jaime\QUIFA-CAJÚA\Cajua\[CAJUA_CF_SEC_New_27-Feb-2024Rev3.xlsx]D-PNP'!</v>
      </c>
      <c r="G910" s="32" t="s">
        <v>112</v>
      </c>
      <c r="H910" s="33">
        <f t="shared" si="221"/>
        <v>46</v>
      </c>
      <c r="I910" s="33" t="str">
        <f t="shared" si="222"/>
        <v>='C:\Users\jaime.benazar\Quorum Business Solutions\Ecopetrol Prometeo - Documents\Planning Space Implementation\3. Analysis &amp; Design\Design\FC22\DRR Jaime\QUIFA-CAJÚA\Cajua\[CAJUA_CF_SEC_New_27-Feb-2024Rev3.xlsx]D-PNP'!$BZ$46</v>
      </c>
      <c r="J910" s="37" t="s">
        <v>2441</v>
      </c>
    </row>
    <row r="911" spans="1:10" x14ac:dyDescent="0.25">
      <c r="A911" s="32" t="s">
        <v>2</v>
      </c>
      <c r="B911" s="32">
        <f t="shared" si="223"/>
        <v>2058</v>
      </c>
      <c r="C911" s="33" t="s">
        <v>11</v>
      </c>
      <c r="D911" s="34" t="s">
        <v>1999</v>
      </c>
      <c r="E911" s="35" t="str">
        <f t="shared" si="219"/>
        <v>PNP'!</v>
      </c>
      <c r="F911" s="34" t="str">
        <f t="shared" si="220"/>
        <v>C:\Users\jaime.benazar\Quorum Business Solutions\Ecopetrol Prometeo - Documents\Planning Space Implementation\3. Analysis &amp; Design\Design\FC22\DRR Jaime\QUIFA-CAJÚA\Cajua\[CAJUA_CF_SEC_New_27-Feb-2024Rev3.xlsx]D-PNP'!</v>
      </c>
      <c r="G911" s="32" t="s">
        <v>112</v>
      </c>
      <c r="H911" s="33">
        <f t="shared" si="221"/>
        <v>47</v>
      </c>
      <c r="I911" s="33" t="str">
        <f t="shared" si="222"/>
        <v>='C:\Users\jaime.benazar\Quorum Business Solutions\Ecopetrol Prometeo - Documents\Planning Space Implementation\3. Analysis &amp; Design\Design\FC22\DRR Jaime\QUIFA-CAJÚA\Cajua\[CAJUA_CF_SEC_New_27-Feb-2024Rev3.xlsx]D-PNP'!$BZ$47</v>
      </c>
      <c r="J911" s="37" t="s">
        <v>2442</v>
      </c>
    </row>
    <row r="912" spans="1:10" x14ac:dyDescent="0.25">
      <c r="A912" s="32" t="s">
        <v>2</v>
      </c>
      <c r="B912" s="32">
        <f t="shared" si="223"/>
        <v>2059</v>
      </c>
      <c r="C912" s="33" t="s">
        <v>11</v>
      </c>
      <c r="D912" s="34" t="s">
        <v>1999</v>
      </c>
      <c r="E912" s="35" t="str">
        <f t="shared" si="219"/>
        <v>PNP'!</v>
      </c>
      <c r="F912" s="34" t="str">
        <f t="shared" si="220"/>
        <v>C:\Users\jaime.benazar\Quorum Business Solutions\Ecopetrol Prometeo - Documents\Planning Space Implementation\3. Analysis &amp; Design\Design\FC22\DRR Jaime\QUIFA-CAJÚA\Cajua\[CAJUA_CF_SEC_New_27-Feb-2024Rev3.xlsx]D-PNP'!</v>
      </c>
      <c r="G912" s="32" t="s">
        <v>112</v>
      </c>
      <c r="H912" s="33">
        <f t="shared" si="221"/>
        <v>48</v>
      </c>
      <c r="I912" s="33" t="str">
        <f t="shared" si="222"/>
        <v>='C:\Users\jaime.benazar\Quorum Business Solutions\Ecopetrol Prometeo - Documents\Planning Space Implementation\3. Analysis &amp; Design\Design\FC22\DRR Jaime\QUIFA-CAJÚA\Cajua\[CAJUA_CF_SEC_New_27-Feb-2024Rev3.xlsx]D-PNP'!$BZ$48</v>
      </c>
      <c r="J912" s="37" t="s">
        <v>2443</v>
      </c>
    </row>
    <row r="913" spans="1:10" x14ac:dyDescent="0.25">
      <c r="A913" s="32" t="s">
        <v>28</v>
      </c>
      <c r="B913" s="32"/>
      <c r="C913" s="33" t="s">
        <v>11</v>
      </c>
      <c r="D913" s="34"/>
      <c r="E913" s="35"/>
      <c r="F913" s="34"/>
      <c r="G913" s="32"/>
      <c r="H913" s="33"/>
      <c r="I913" s="33"/>
      <c r="J913" s="33"/>
    </row>
    <row r="914" spans="1:10" x14ac:dyDescent="0.25">
      <c r="A914" s="32" t="s">
        <v>3</v>
      </c>
      <c r="B914" s="32">
        <v>2023</v>
      </c>
      <c r="C914" s="33" t="s">
        <v>11</v>
      </c>
      <c r="D914" s="34" t="s">
        <v>1999</v>
      </c>
      <c r="E914" s="35" t="str">
        <f t="shared" si="203"/>
        <v>PND'!</v>
      </c>
      <c r="F914" s="34" t="str">
        <f t="shared" si="204"/>
        <v>C:\Users\jaime.benazar\Quorum Business Solutions\Ecopetrol Prometeo - Documents\Planning Space Implementation\3. Analysis &amp; Design\Design\FC22\DRR Jaime\QUIFA-CAJÚA\Cajua\[CAJUA_CF_SEC_New_27-Feb-2024Rev3.xlsx]D-PND'!</v>
      </c>
      <c r="G914" s="32" t="s">
        <v>112</v>
      </c>
      <c r="H914" s="33">
        <v>12</v>
      </c>
      <c r="I914" s="33" t="str">
        <f t="shared" si="206"/>
        <v>='C:\Users\jaime.benazar\Quorum Business Solutions\Ecopetrol Prometeo - Documents\Planning Space Implementation\3. Analysis &amp; Design\Design\FC22\DRR Jaime\QUIFA-CAJÚA\Cajua\[CAJUA_CF_SEC_New_27-Feb-2024Rev3.xlsx]D-PND'!$BZ$12</v>
      </c>
      <c r="J914" s="37" t="s">
        <v>2444</v>
      </c>
    </row>
    <row r="915" spans="1:10" x14ac:dyDescent="0.25">
      <c r="A915" s="32" t="s">
        <v>3</v>
      </c>
      <c r="B915" s="32">
        <f>+B914+1</f>
        <v>2024</v>
      </c>
      <c r="C915" s="33" t="s">
        <v>11</v>
      </c>
      <c r="D915" s="34" t="s">
        <v>1999</v>
      </c>
      <c r="E915" s="35" t="str">
        <f t="shared" si="203"/>
        <v>PND'!</v>
      </c>
      <c r="F915" s="34" t="str">
        <f t="shared" si="204"/>
        <v>C:\Users\jaime.benazar\Quorum Business Solutions\Ecopetrol Prometeo - Documents\Planning Space Implementation\3. Analysis &amp; Design\Design\FC22\DRR Jaime\QUIFA-CAJÚA\Cajua\[CAJUA_CF_SEC_New_27-Feb-2024Rev3.xlsx]D-PND'!</v>
      </c>
      <c r="G915" s="32" t="s">
        <v>112</v>
      </c>
      <c r="H915" s="33">
        <f t="shared" ref="H915:H934" si="224">IF(A915&lt;&gt;A914,12,H914+1)</f>
        <v>13</v>
      </c>
      <c r="I915" s="33" t="str">
        <f t="shared" si="206"/>
        <v>='C:\Users\jaime.benazar\Quorum Business Solutions\Ecopetrol Prometeo - Documents\Planning Space Implementation\3. Analysis &amp; Design\Design\FC22\DRR Jaime\QUIFA-CAJÚA\Cajua\[CAJUA_CF_SEC_New_27-Feb-2024Rev3.xlsx]D-PND'!$BZ$13</v>
      </c>
      <c r="J915" s="37" t="s">
        <v>2445</v>
      </c>
    </row>
    <row r="916" spans="1:10" x14ac:dyDescent="0.25">
      <c r="A916" s="32" t="s">
        <v>3</v>
      </c>
      <c r="B916" s="32">
        <f t="shared" ref="B916:B927" si="225">+B915+1</f>
        <v>2025</v>
      </c>
      <c r="C916" s="33" t="s">
        <v>11</v>
      </c>
      <c r="D916" s="34" t="s">
        <v>1999</v>
      </c>
      <c r="E916" s="35" t="str">
        <f t="shared" si="203"/>
        <v>PND'!</v>
      </c>
      <c r="F916" s="34" t="str">
        <f t="shared" si="204"/>
        <v>C:\Users\jaime.benazar\Quorum Business Solutions\Ecopetrol Prometeo - Documents\Planning Space Implementation\3. Analysis &amp; Design\Design\FC22\DRR Jaime\QUIFA-CAJÚA\Cajua\[CAJUA_CF_SEC_New_27-Feb-2024Rev3.xlsx]D-PND'!</v>
      </c>
      <c r="G916" s="32" t="s">
        <v>112</v>
      </c>
      <c r="H916" s="33">
        <f t="shared" si="224"/>
        <v>14</v>
      </c>
      <c r="I916" s="33" t="str">
        <f t="shared" si="206"/>
        <v>='C:\Users\jaime.benazar\Quorum Business Solutions\Ecopetrol Prometeo - Documents\Planning Space Implementation\3. Analysis &amp; Design\Design\FC22\DRR Jaime\QUIFA-CAJÚA\Cajua\[CAJUA_CF_SEC_New_27-Feb-2024Rev3.xlsx]D-PND'!$BZ$14</v>
      </c>
      <c r="J916" s="37" t="s">
        <v>2446</v>
      </c>
    </row>
    <row r="917" spans="1:10" x14ac:dyDescent="0.25">
      <c r="A917" s="32" t="s">
        <v>3</v>
      </c>
      <c r="B917" s="32">
        <f t="shared" si="225"/>
        <v>2026</v>
      </c>
      <c r="C917" s="33" t="s">
        <v>11</v>
      </c>
      <c r="D917" s="34" t="s">
        <v>1999</v>
      </c>
      <c r="E917" s="35" t="str">
        <f t="shared" si="203"/>
        <v>PND'!</v>
      </c>
      <c r="F917" s="34" t="str">
        <f t="shared" si="204"/>
        <v>C:\Users\jaime.benazar\Quorum Business Solutions\Ecopetrol Prometeo - Documents\Planning Space Implementation\3. Analysis &amp; Design\Design\FC22\DRR Jaime\QUIFA-CAJÚA\Cajua\[CAJUA_CF_SEC_New_27-Feb-2024Rev3.xlsx]D-PND'!</v>
      </c>
      <c r="G917" s="32" t="s">
        <v>112</v>
      </c>
      <c r="H917" s="33">
        <f t="shared" si="224"/>
        <v>15</v>
      </c>
      <c r="I917" s="33" t="str">
        <f t="shared" si="206"/>
        <v>='C:\Users\jaime.benazar\Quorum Business Solutions\Ecopetrol Prometeo - Documents\Planning Space Implementation\3. Analysis &amp; Design\Design\FC22\DRR Jaime\QUIFA-CAJÚA\Cajua\[CAJUA_CF_SEC_New_27-Feb-2024Rev3.xlsx]D-PND'!$BZ$15</v>
      </c>
      <c r="J917" s="37" t="s">
        <v>2447</v>
      </c>
    </row>
    <row r="918" spans="1:10" x14ac:dyDescent="0.25">
      <c r="A918" s="32" t="s">
        <v>3</v>
      </c>
      <c r="B918" s="32">
        <f t="shared" si="225"/>
        <v>2027</v>
      </c>
      <c r="C918" s="33" t="s">
        <v>11</v>
      </c>
      <c r="D918" s="34" t="s">
        <v>1999</v>
      </c>
      <c r="E918" s="35" t="str">
        <f t="shared" si="203"/>
        <v>PND'!</v>
      </c>
      <c r="F918" s="34" t="str">
        <f t="shared" si="204"/>
        <v>C:\Users\jaime.benazar\Quorum Business Solutions\Ecopetrol Prometeo - Documents\Planning Space Implementation\3. Analysis &amp; Design\Design\FC22\DRR Jaime\QUIFA-CAJÚA\Cajua\[CAJUA_CF_SEC_New_27-Feb-2024Rev3.xlsx]D-PND'!</v>
      </c>
      <c r="G918" s="32" t="s">
        <v>112</v>
      </c>
      <c r="H918" s="33">
        <f t="shared" si="224"/>
        <v>16</v>
      </c>
      <c r="I918" s="33" t="str">
        <f t="shared" si="206"/>
        <v>='C:\Users\jaime.benazar\Quorum Business Solutions\Ecopetrol Prometeo - Documents\Planning Space Implementation\3. Analysis &amp; Design\Design\FC22\DRR Jaime\QUIFA-CAJÚA\Cajua\[CAJUA_CF_SEC_New_27-Feb-2024Rev3.xlsx]D-PND'!$BZ$16</v>
      </c>
      <c r="J918" s="37" t="s">
        <v>2448</v>
      </c>
    </row>
    <row r="919" spans="1:10" x14ac:dyDescent="0.25">
      <c r="A919" s="32" t="s">
        <v>3</v>
      </c>
      <c r="B919" s="32">
        <f t="shared" si="225"/>
        <v>2028</v>
      </c>
      <c r="C919" s="33" t="s">
        <v>11</v>
      </c>
      <c r="D919" s="34" t="s">
        <v>1999</v>
      </c>
      <c r="E919" s="35" t="str">
        <f t="shared" si="203"/>
        <v>PND'!</v>
      </c>
      <c r="F919" s="34" t="str">
        <f t="shared" si="204"/>
        <v>C:\Users\jaime.benazar\Quorum Business Solutions\Ecopetrol Prometeo - Documents\Planning Space Implementation\3. Analysis &amp; Design\Design\FC22\DRR Jaime\QUIFA-CAJÚA\Cajua\[CAJUA_CF_SEC_New_27-Feb-2024Rev3.xlsx]D-PND'!</v>
      </c>
      <c r="G919" s="32" t="s">
        <v>112</v>
      </c>
      <c r="H919" s="33">
        <f t="shared" si="224"/>
        <v>17</v>
      </c>
      <c r="I919" s="33" t="str">
        <f t="shared" si="206"/>
        <v>='C:\Users\jaime.benazar\Quorum Business Solutions\Ecopetrol Prometeo - Documents\Planning Space Implementation\3. Analysis &amp; Design\Design\FC22\DRR Jaime\QUIFA-CAJÚA\Cajua\[CAJUA_CF_SEC_New_27-Feb-2024Rev3.xlsx]D-PND'!$BZ$17</v>
      </c>
      <c r="J919" s="37" t="s">
        <v>2449</v>
      </c>
    </row>
    <row r="920" spans="1:10" x14ac:dyDescent="0.25">
      <c r="A920" s="32" t="s">
        <v>3</v>
      </c>
      <c r="B920" s="32">
        <f t="shared" si="225"/>
        <v>2029</v>
      </c>
      <c r="C920" s="33" t="s">
        <v>11</v>
      </c>
      <c r="D920" s="34" t="s">
        <v>1999</v>
      </c>
      <c r="E920" s="35" t="str">
        <f t="shared" si="203"/>
        <v>PND'!</v>
      </c>
      <c r="F920" s="34" t="str">
        <f t="shared" si="204"/>
        <v>C:\Users\jaime.benazar\Quorum Business Solutions\Ecopetrol Prometeo - Documents\Planning Space Implementation\3. Analysis &amp; Design\Design\FC22\DRR Jaime\QUIFA-CAJÚA\Cajua\[CAJUA_CF_SEC_New_27-Feb-2024Rev3.xlsx]D-PND'!</v>
      </c>
      <c r="G920" s="32" t="s">
        <v>112</v>
      </c>
      <c r="H920" s="33">
        <f t="shared" si="224"/>
        <v>18</v>
      </c>
      <c r="I920" s="33" t="str">
        <f t="shared" si="206"/>
        <v>='C:\Users\jaime.benazar\Quorum Business Solutions\Ecopetrol Prometeo - Documents\Planning Space Implementation\3. Analysis &amp; Design\Design\FC22\DRR Jaime\QUIFA-CAJÚA\Cajua\[CAJUA_CF_SEC_New_27-Feb-2024Rev3.xlsx]D-PND'!$BZ$18</v>
      </c>
      <c r="J920" s="37" t="s">
        <v>2450</v>
      </c>
    </row>
    <row r="921" spans="1:10" x14ac:dyDescent="0.25">
      <c r="A921" s="32" t="s">
        <v>3</v>
      </c>
      <c r="B921" s="32">
        <f t="shared" si="225"/>
        <v>2030</v>
      </c>
      <c r="C921" s="33" t="s">
        <v>11</v>
      </c>
      <c r="D921" s="34" t="s">
        <v>1999</v>
      </c>
      <c r="E921" s="35" t="str">
        <f t="shared" si="203"/>
        <v>PND'!</v>
      </c>
      <c r="F921" s="34" t="str">
        <f t="shared" si="204"/>
        <v>C:\Users\jaime.benazar\Quorum Business Solutions\Ecopetrol Prometeo - Documents\Planning Space Implementation\3. Analysis &amp; Design\Design\FC22\DRR Jaime\QUIFA-CAJÚA\Cajua\[CAJUA_CF_SEC_New_27-Feb-2024Rev3.xlsx]D-PND'!</v>
      </c>
      <c r="G921" s="32" t="s">
        <v>112</v>
      </c>
      <c r="H921" s="33">
        <f t="shared" si="224"/>
        <v>19</v>
      </c>
      <c r="I921" s="33" t="str">
        <f t="shared" si="206"/>
        <v>='C:\Users\jaime.benazar\Quorum Business Solutions\Ecopetrol Prometeo - Documents\Planning Space Implementation\3. Analysis &amp; Design\Design\FC22\DRR Jaime\QUIFA-CAJÚA\Cajua\[CAJUA_CF_SEC_New_27-Feb-2024Rev3.xlsx]D-PND'!$BZ$19</v>
      </c>
      <c r="J921" s="37" t="s">
        <v>2451</v>
      </c>
    </row>
    <row r="922" spans="1:10" x14ac:dyDescent="0.25">
      <c r="A922" s="32" t="s">
        <v>3</v>
      </c>
      <c r="B922" s="32">
        <f t="shared" si="225"/>
        <v>2031</v>
      </c>
      <c r="C922" s="33" t="s">
        <v>11</v>
      </c>
      <c r="D922" s="34" t="s">
        <v>1999</v>
      </c>
      <c r="E922" s="35" t="str">
        <f t="shared" si="203"/>
        <v>PND'!</v>
      </c>
      <c r="F922" s="34" t="str">
        <f t="shared" si="204"/>
        <v>C:\Users\jaime.benazar\Quorum Business Solutions\Ecopetrol Prometeo - Documents\Planning Space Implementation\3. Analysis &amp; Design\Design\FC22\DRR Jaime\QUIFA-CAJÚA\Cajua\[CAJUA_CF_SEC_New_27-Feb-2024Rev3.xlsx]D-PND'!</v>
      </c>
      <c r="G922" s="32" t="s">
        <v>112</v>
      </c>
      <c r="H922" s="33">
        <f t="shared" si="224"/>
        <v>20</v>
      </c>
      <c r="I922" s="33" t="str">
        <f t="shared" si="206"/>
        <v>='C:\Users\jaime.benazar\Quorum Business Solutions\Ecopetrol Prometeo - Documents\Planning Space Implementation\3. Analysis &amp; Design\Design\FC22\DRR Jaime\QUIFA-CAJÚA\Cajua\[CAJUA_CF_SEC_New_27-Feb-2024Rev3.xlsx]D-PND'!$BZ$20</v>
      </c>
      <c r="J922" s="37" t="s">
        <v>2452</v>
      </c>
    </row>
    <row r="923" spans="1:10" x14ac:dyDescent="0.25">
      <c r="A923" s="32" t="s">
        <v>3</v>
      </c>
      <c r="B923" s="32">
        <f t="shared" si="225"/>
        <v>2032</v>
      </c>
      <c r="C923" s="33" t="s">
        <v>11</v>
      </c>
      <c r="D923" s="34" t="s">
        <v>1999</v>
      </c>
      <c r="E923" s="35" t="str">
        <f t="shared" si="203"/>
        <v>PND'!</v>
      </c>
      <c r="F923" s="34" t="str">
        <f t="shared" si="204"/>
        <v>C:\Users\jaime.benazar\Quorum Business Solutions\Ecopetrol Prometeo - Documents\Planning Space Implementation\3. Analysis &amp; Design\Design\FC22\DRR Jaime\QUIFA-CAJÚA\Cajua\[CAJUA_CF_SEC_New_27-Feb-2024Rev3.xlsx]D-PND'!</v>
      </c>
      <c r="G923" s="32" t="s">
        <v>112</v>
      </c>
      <c r="H923" s="33">
        <f t="shared" si="224"/>
        <v>21</v>
      </c>
      <c r="I923" s="33" t="str">
        <f t="shared" si="206"/>
        <v>='C:\Users\jaime.benazar\Quorum Business Solutions\Ecopetrol Prometeo - Documents\Planning Space Implementation\3. Analysis &amp; Design\Design\FC22\DRR Jaime\QUIFA-CAJÚA\Cajua\[CAJUA_CF_SEC_New_27-Feb-2024Rev3.xlsx]D-PND'!$BZ$21</v>
      </c>
      <c r="J923" s="37" t="s">
        <v>2453</v>
      </c>
    </row>
    <row r="924" spans="1:10" x14ac:dyDescent="0.25">
      <c r="A924" s="32" t="s">
        <v>3</v>
      </c>
      <c r="B924" s="32">
        <f t="shared" si="225"/>
        <v>2033</v>
      </c>
      <c r="C924" s="33" t="s">
        <v>11</v>
      </c>
      <c r="D924" s="34" t="s">
        <v>1999</v>
      </c>
      <c r="E924" s="35" t="str">
        <f t="shared" si="203"/>
        <v>PND'!</v>
      </c>
      <c r="F924" s="34" t="str">
        <f t="shared" si="204"/>
        <v>C:\Users\jaime.benazar\Quorum Business Solutions\Ecopetrol Prometeo - Documents\Planning Space Implementation\3. Analysis &amp; Design\Design\FC22\DRR Jaime\QUIFA-CAJÚA\Cajua\[CAJUA_CF_SEC_New_27-Feb-2024Rev3.xlsx]D-PND'!</v>
      </c>
      <c r="G924" s="32" t="s">
        <v>112</v>
      </c>
      <c r="H924" s="33">
        <f t="shared" si="224"/>
        <v>22</v>
      </c>
      <c r="I924" s="33" t="str">
        <f t="shared" si="206"/>
        <v>='C:\Users\jaime.benazar\Quorum Business Solutions\Ecopetrol Prometeo - Documents\Planning Space Implementation\3. Analysis &amp; Design\Design\FC22\DRR Jaime\QUIFA-CAJÚA\Cajua\[CAJUA_CF_SEC_New_27-Feb-2024Rev3.xlsx]D-PND'!$BZ$22</v>
      </c>
      <c r="J924" s="37" t="s">
        <v>2454</v>
      </c>
    </row>
    <row r="925" spans="1:10" x14ac:dyDescent="0.25">
      <c r="A925" s="32" t="s">
        <v>3</v>
      </c>
      <c r="B925" s="32">
        <f t="shared" si="225"/>
        <v>2034</v>
      </c>
      <c r="C925" s="33" t="s">
        <v>11</v>
      </c>
      <c r="D925" s="34" t="s">
        <v>1999</v>
      </c>
      <c r="E925" s="35" t="str">
        <f t="shared" si="203"/>
        <v>PND'!</v>
      </c>
      <c r="F925" s="34" t="str">
        <f t="shared" si="204"/>
        <v>C:\Users\jaime.benazar\Quorum Business Solutions\Ecopetrol Prometeo - Documents\Planning Space Implementation\3. Analysis &amp; Design\Design\FC22\DRR Jaime\QUIFA-CAJÚA\Cajua\[CAJUA_CF_SEC_New_27-Feb-2024Rev3.xlsx]D-PND'!</v>
      </c>
      <c r="G925" s="32" t="s">
        <v>112</v>
      </c>
      <c r="H925" s="33">
        <f t="shared" si="224"/>
        <v>23</v>
      </c>
      <c r="I925" s="33" t="str">
        <f t="shared" si="206"/>
        <v>='C:\Users\jaime.benazar\Quorum Business Solutions\Ecopetrol Prometeo - Documents\Planning Space Implementation\3. Analysis &amp; Design\Design\FC22\DRR Jaime\QUIFA-CAJÚA\Cajua\[CAJUA_CF_SEC_New_27-Feb-2024Rev3.xlsx]D-PND'!$BZ$23</v>
      </c>
      <c r="J925" s="37" t="s">
        <v>2455</v>
      </c>
    </row>
    <row r="926" spans="1:10" x14ac:dyDescent="0.25">
      <c r="A926" s="32" t="s">
        <v>3</v>
      </c>
      <c r="B926" s="32">
        <f t="shared" si="225"/>
        <v>2035</v>
      </c>
      <c r="C926" s="33" t="s">
        <v>11</v>
      </c>
      <c r="D926" s="34" t="s">
        <v>1999</v>
      </c>
      <c r="E926" s="35" t="str">
        <f t="shared" si="203"/>
        <v>PND'!</v>
      </c>
      <c r="F926" s="34" t="str">
        <f t="shared" si="204"/>
        <v>C:\Users\jaime.benazar\Quorum Business Solutions\Ecopetrol Prometeo - Documents\Planning Space Implementation\3. Analysis &amp; Design\Design\FC22\DRR Jaime\QUIFA-CAJÚA\Cajua\[CAJUA_CF_SEC_New_27-Feb-2024Rev3.xlsx]D-PND'!</v>
      </c>
      <c r="G926" s="32" t="s">
        <v>112</v>
      </c>
      <c r="H926" s="33">
        <f t="shared" si="224"/>
        <v>24</v>
      </c>
      <c r="I926" s="33" t="str">
        <f t="shared" si="206"/>
        <v>='C:\Users\jaime.benazar\Quorum Business Solutions\Ecopetrol Prometeo - Documents\Planning Space Implementation\3. Analysis &amp; Design\Design\FC22\DRR Jaime\QUIFA-CAJÚA\Cajua\[CAJUA_CF_SEC_New_27-Feb-2024Rev3.xlsx]D-PND'!$BZ$24</v>
      </c>
      <c r="J926" s="37" t="s">
        <v>2456</v>
      </c>
    </row>
    <row r="927" spans="1:10" x14ac:dyDescent="0.25">
      <c r="A927" s="32" t="s">
        <v>3</v>
      </c>
      <c r="B927" s="32">
        <f t="shared" si="225"/>
        <v>2036</v>
      </c>
      <c r="C927" s="33" t="s">
        <v>11</v>
      </c>
      <c r="D927" s="34" t="s">
        <v>1999</v>
      </c>
      <c r="E927" s="35" t="str">
        <f t="shared" si="203"/>
        <v>PND'!</v>
      </c>
      <c r="F927" s="34" t="str">
        <f t="shared" si="204"/>
        <v>C:\Users\jaime.benazar\Quorum Business Solutions\Ecopetrol Prometeo - Documents\Planning Space Implementation\3. Analysis &amp; Design\Design\FC22\DRR Jaime\QUIFA-CAJÚA\Cajua\[CAJUA_CF_SEC_New_27-Feb-2024Rev3.xlsx]D-PND'!</v>
      </c>
      <c r="G927" s="32" t="s">
        <v>112</v>
      </c>
      <c r="H927" s="33">
        <f t="shared" si="224"/>
        <v>25</v>
      </c>
      <c r="I927" s="33" t="str">
        <f t="shared" si="206"/>
        <v>='C:\Users\jaime.benazar\Quorum Business Solutions\Ecopetrol Prometeo - Documents\Planning Space Implementation\3. Analysis &amp; Design\Design\FC22\DRR Jaime\QUIFA-CAJÚA\Cajua\[CAJUA_CF_SEC_New_27-Feb-2024Rev3.xlsx]D-PND'!$BZ$25</v>
      </c>
      <c r="J927" s="37" t="s">
        <v>2457</v>
      </c>
    </row>
    <row r="928" spans="1:10" x14ac:dyDescent="0.25">
      <c r="A928" s="32" t="s">
        <v>3</v>
      </c>
      <c r="B928" s="32">
        <f>+B927+1</f>
        <v>2037</v>
      </c>
      <c r="C928" s="33" t="s">
        <v>11</v>
      </c>
      <c r="D928" s="34" t="s">
        <v>1999</v>
      </c>
      <c r="E928" s="35" t="str">
        <f t="shared" si="203"/>
        <v>PND'!</v>
      </c>
      <c r="F928" s="34" t="str">
        <f t="shared" si="204"/>
        <v>C:\Users\jaime.benazar\Quorum Business Solutions\Ecopetrol Prometeo - Documents\Planning Space Implementation\3. Analysis &amp; Design\Design\FC22\DRR Jaime\QUIFA-CAJÚA\Cajua\[CAJUA_CF_SEC_New_27-Feb-2024Rev3.xlsx]D-PND'!</v>
      </c>
      <c r="G928" s="32" t="s">
        <v>112</v>
      </c>
      <c r="H928" s="33">
        <f t="shared" si="224"/>
        <v>26</v>
      </c>
      <c r="I928" s="33" t="str">
        <f t="shared" si="206"/>
        <v>='C:\Users\jaime.benazar\Quorum Business Solutions\Ecopetrol Prometeo - Documents\Planning Space Implementation\3. Analysis &amp; Design\Design\FC22\DRR Jaime\QUIFA-CAJÚA\Cajua\[CAJUA_CF_SEC_New_27-Feb-2024Rev3.xlsx]D-PND'!$BZ$26</v>
      </c>
      <c r="J928" s="37" t="s">
        <v>2458</v>
      </c>
    </row>
    <row r="929" spans="1:10" x14ac:dyDescent="0.25">
      <c r="A929" s="32" t="s">
        <v>3</v>
      </c>
      <c r="B929" s="32">
        <f t="shared" ref="B929:B931" si="226">+B928+1</f>
        <v>2038</v>
      </c>
      <c r="C929" s="33" t="s">
        <v>11</v>
      </c>
      <c r="D929" s="34" t="s">
        <v>1999</v>
      </c>
      <c r="E929" s="35" t="str">
        <f t="shared" si="203"/>
        <v>PND'!</v>
      </c>
      <c r="F929" s="34" t="str">
        <f t="shared" si="204"/>
        <v>C:\Users\jaime.benazar\Quorum Business Solutions\Ecopetrol Prometeo - Documents\Planning Space Implementation\3. Analysis &amp; Design\Design\FC22\DRR Jaime\QUIFA-CAJÚA\Cajua\[CAJUA_CF_SEC_New_27-Feb-2024Rev3.xlsx]D-PND'!</v>
      </c>
      <c r="G929" s="32" t="s">
        <v>112</v>
      </c>
      <c r="H929" s="33">
        <f t="shared" si="224"/>
        <v>27</v>
      </c>
      <c r="I929" s="33" t="str">
        <f t="shared" si="206"/>
        <v>='C:\Users\jaime.benazar\Quorum Business Solutions\Ecopetrol Prometeo - Documents\Planning Space Implementation\3. Analysis &amp; Design\Design\FC22\DRR Jaime\QUIFA-CAJÚA\Cajua\[CAJUA_CF_SEC_New_27-Feb-2024Rev3.xlsx]D-PND'!$BZ$27</v>
      </c>
      <c r="J929" s="37" t="s">
        <v>2459</v>
      </c>
    </row>
    <row r="930" spans="1:10" x14ac:dyDescent="0.25">
      <c r="A930" s="32" t="s">
        <v>3</v>
      </c>
      <c r="B930" s="32">
        <f t="shared" si="226"/>
        <v>2039</v>
      </c>
      <c r="C930" s="33" t="s">
        <v>11</v>
      </c>
      <c r="D930" s="34" t="s">
        <v>1999</v>
      </c>
      <c r="E930" s="35" t="str">
        <f t="shared" si="203"/>
        <v>PND'!</v>
      </c>
      <c r="F930" s="34" t="str">
        <f t="shared" si="204"/>
        <v>C:\Users\jaime.benazar\Quorum Business Solutions\Ecopetrol Prometeo - Documents\Planning Space Implementation\3. Analysis &amp; Design\Design\FC22\DRR Jaime\QUIFA-CAJÚA\Cajua\[CAJUA_CF_SEC_New_27-Feb-2024Rev3.xlsx]D-PND'!</v>
      </c>
      <c r="G930" s="32" t="s">
        <v>112</v>
      </c>
      <c r="H930" s="33">
        <f t="shared" si="224"/>
        <v>28</v>
      </c>
      <c r="I930" s="33" t="str">
        <f t="shared" si="206"/>
        <v>='C:\Users\jaime.benazar\Quorum Business Solutions\Ecopetrol Prometeo - Documents\Planning Space Implementation\3. Analysis &amp; Design\Design\FC22\DRR Jaime\QUIFA-CAJÚA\Cajua\[CAJUA_CF_SEC_New_27-Feb-2024Rev3.xlsx]D-PND'!$BZ$28</v>
      </c>
      <c r="J930" s="37" t="s">
        <v>2460</v>
      </c>
    </row>
    <row r="931" spans="1:10" x14ac:dyDescent="0.25">
      <c r="A931" s="32" t="s">
        <v>3</v>
      </c>
      <c r="B931" s="32">
        <f t="shared" si="226"/>
        <v>2040</v>
      </c>
      <c r="C931" s="33" t="s">
        <v>11</v>
      </c>
      <c r="D931" s="34" t="s">
        <v>1999</v>
      </c>
      <c r="E931" s="35" t="str">
        <f t="shared" si="203"/>
        <v>PND'!</v>
      </c>
      <c r="F931" s="34" t="str">
        <f t="shared" si="204"/>
        <v>C:\Users\jaime.benazar\Quorum Business Solutions\Ecopetrol Prometeo - Documents\Planning Space Implementation\3. Analysis &amp; Design\Design\FC22\DRR Jaime\QUIFA-CAJÚA\Cajua\[CAJUA_CF_SEC_New_27-Feb-2024Rev3.xlsx]D-PND'!</v>
      </c>
      <c r="G931" s="32" t="s">
        <v>112</v>
      </c>
      <c r="H931" s="33">
        <f t="shared" si="224"/>
        <v>29</v>
      </c>
      <c r="I931" s="33" t="str">
        <f t="shared" si="206"/>
        <v>='C:\Users\jaime.benazar\Quorum Business Solutions\Ecopetrol Prometeo - Documents\Planning Space Implementation\3. Analysis &amp; Design\Design\FC22\DRR Jaime\QUIFA-CAJÚA\Cajua\[CAJUA_CF_SEC_New_27-Feb-2024Rev3.xlsx]D-PND'!$BZ$29</v>
      </c>
      <c r="J931" s="37" t="s">
        <v>2461</v>
      </c>
    </row>
    <row r="932" spans="1:10" x14ac:dyDescent="0.25">
      <c r="A932" s="32" t="s">
        <v>3</v>
      </c>
      <c r="B932" s="32">
        <f>+B931+1</f>
        <v>2041</v>
      </c>
      <c r="C932" s="33" t="s">
        <v>11</v>
      </c>
      <c r="D932" s="34" t="s">
        <v>1999</v>
      </c>
      <c r="E932" s="35" t="str">
        <f t="shared" si="203"/>
        <v>PND'!</v>
      </c>
      <c r="F932" s="34" t="str">
        <f t="shared" si="204"/>
        <v>C:\Users\jaime.benazar\Quorum Business Solutions\Ecopetrol Prometeo - Documents\Planning Space Implementation\3. Analysis &amp; Design\Design\FC22\DRR Jaime\QUIFA-CAJÚA\Cajua\[CAJUA_CF_SEC_New_27-Feb-2024Rev3.xlsx]D-PND'!</v>
      </c>
      <c r="G932" s="32" t="s">
        <v>112</v>
      </c>
      <c r="H932" s="33">
        <f t="shared" si="224"/>
        <v>30</v>
      </c>
      <c r="I932" s="33" t="str">
        <f t="shared" si="206"/>
        <v>='C:\Users\jaime.benazar\Quorum Business Solutions\Ecopetrol Prometeo - Documents\Planning Space Implementation\3. Analysis &amp; Design\Design\FC22\DRR Jaime\QUIFA-CAJÚA\Cajua\[CAJUA_CF_SEC_New_27-Feb-2024Rev3.xlsx]D-PND'!$BZ$30</v>
      </c>
      <c r="J932" s="37" t="s">
        <v>2462</v>
      </c>
    </row>
    <row r="933" spans="1:10" x14ac:dyDescent="0.25">
      <c r="A933" s="32" t="s">
        <v>3</v>
      </c>
      <c r="B933" s="32">
        <f t="shared" ref="B933:B934" si="227">+B932+1</f>
        <v>2042</v>
      </c>
      <c r="C933" s="33" t="s">
        <v>11</v>
      </c>
      <c r="D933" s="34" t="s">
        <v>1999</v>
      </c>
      <c r="E933" s="35" t="str">
        <f t="shared" ref="E933:E1238" si="228">_xlfn.CONCAT(A933,"'!")</f>
        <v>PND'!</v>
      </c>
      <c r="F933" s="34" t="str">
        <f t="shared" ref="F933:F1238" si="229">_xlfn.CONCAT(D933:E933)</f>
        <v>C:\Users\jaime.benazar\Quorum Business Solutions\Ecopetrol Prometeo - Documents\Planning Space Implementation\3. Analysis &amp; Design\Design\FC22\DRR Jaime\QUIFA-CAJÚA\Cajua\[CAJUA_CF_SEC_New_27-Feb-2024Rev3.xlsx]D-PND'!</v>
      </c>
      <c r="G933" s="32" t="s">
        <v>112</v>
      </c>
      <c r="H933" s="33">
        <f t="shared" si="224"/>
        <v>31</v>
      </c>
      <c r="I933" s="33" t="str">
        <f t="shared" ref="I933:I1238" si="230">_xlfn.CONCAT("='",F933:H933)</f>
        <v>='C:\Users\jaime.benazar\Quorum Business Solutions\Ecopetrol Prometeo - Documents\Planning Space Implementation\3. Analysis &amp; Design\Design\FC22\DRR Jaime\QUIFA-CAJÚA\Cajua\[CAJUA_CF_SEC_New_27-Feb-2024Rev3.xlsx]D-PND'!$BZ$31</v>
      </c>
      <c r="J933" s="37" t="s">
        <v>2463</v>
      </c>
    </row>
    <row r="934" spans="1:10" x14ac:dyDescent="0.25">
      <c r="A934" s="32" t="s">
        <v>3</v>
      </c>
      <c r="B934" s="32">
        <f t="shared" si="227"/>
        <v>2043</v>
      </c>
      <c r="C934" s="33" t="s">
        <v>11</v>
      </c>
      <c r="D934" s="34" t="s">
        <v>1999</v>
      </c>
      <c r="E934" s="35" t="str">
        <f t="shared" si="228"/>
        <v>PND'!</v>
      </c>
      <c r="F934" s="34" t="str">
        <f t="shared" si="229"/>
        <v>C:\Users\jaime.benazar\Quorum Business Solutions\Ecopetrol Prometeo - Documents\Planning Space Implementation\3. Analysis &amp; Design\Design\FC22\DRR Jaime\QUIFA-CAJÚA\Cajua\[CAJUA_CF_SEC_New_27-Feb-2024Rev3.xlsx]D-PND'!</v>
      </c>
      <c r="G934" s="32" t="s">
        <v>112</v>
      </c>
      <c r="H934" s="33">
        <f t="shared" si="224"/>
        <v>32</v>
      </c>
      <c r="I934" s="33" t="str">
        <f t="shared" si="230"/>
        <v>='C:\Users\jaime.benazar\Quorum Business Solutions\Ecopetrol Prometeo - Documents\Planning Space Implementation\3. Analysis &amp; Design\Design\FC22\DRR Jaime\QUIFA-CAJÚA\Cajua\[CAJUA_CF_SEC_New_27-Feb-2024Rev3.xlsx]D-PND'!$BZ$32</v>
      </c>
      <c r="J934" s="37" t="s">
        <v>2464</v>
      </c>
    </row>
    <row r="935" spans="1:10" x14ac:dyDescent="0.25">
      <c r="A935" s="32" t="s">
        <v>3</v>
      </c>
      <c r="B935" s="32">
        <f>+B934+1</f>
        <v>2044</v>
      </c>
      <c r="C935" s="33" t="s">
        <v>11</v>
      </c>
      <c r="D935" s="34" t="s">
        <v>1999</v>
      </c>
      <c r="E935" s="35" t="str">
        <f t="shared" ref="E935:E950" si="231">_xlfn.CONCAT(A935,"'!")</f>
        <v>PND'!</v>
      </c>
      <c r="F935" s="34" t="str">
        <f t="shared" ref="F935:F950" si="232">_xlfn.CONCAT(D935:E935)</f>
        <v>C:\Users\jaime.benazar\Quorum Business Solutions\Ecopetrol Prometeo - Documents\Planning Space Implementation\3. Analysis &amp; Design\Design\FC22\DRR Jaime\QUIFA-CAJÚA\Cajua\[CAJUA_CF_SEC_New_27-Feb-2024Rev3.xlsx]D-PND'!</v>
      </c>
      <c r="G935" s="32" t="s">
        <v>112</v>
      </c>
      <c r="H935" s="33">
        <f t="shared" ref="H935:H950" si="233">IF(A935&lt;&gt;A934,12,H934+1)</f>
        <v>33</v>
      </c>
      <c r="I935" s="33" t="str">
        <f t="shared" ref="I935:I950" si="234">_xlfn.CONCAT("='",F935:H935)</f>
        <v>='C:\Users\jaime.benazar\Quorum Business Solutions\Ecopetrol Prometeo - Documents\Planning Space Implementation\3. Analysis &amp; Design\Design\FC22\DRR Jaime\QUIFA-CAJÚA\Cajua\[CAJUA_CF_SEC_New_27-Feb-2024Rev3.xlsx]D-PND'!$BZ$33</v>
      </c>
      <c r="J935" s="37" t="s">
        <v>2465</v>
      </c>
    </row>
    <row r="936" spans="1:10" x14ac:dyDescent="0.25">
      <c r="A936" s="32" t="s">
        <v>3</v>
      </c>
      <c r="B936" s="32">
        <f t="shared" ref="B936:B950" si="235">+B935+1</f>
        <v>2045</v>
      </c>
      <c r="C936" s="33" t="s">
        <v>11</v>
      </c>
      <c r="D936" s="34" t="s">
        <v>1999</v>
      </c>
      <c r="E936" s="35" t="str">
        <f t="shared" si="231"/>
        <v>PND'!</v>
      </c>
      <c r="F936" s="34" t="str">
        <f t="shared" si="232"/>
        <v>C:\Users\jaime.benazar\Quorum Business Solutions\Ecopetrol Prometeo - Documents\Planning Space Implementation\3. Analysis &amp; Design\Design\FC22\DRR Jaime\QUIFA-CAJÚA\Cajua\[CAJUA_CF_SEC_New_27-Feb-2024Rev3.xlsx]D-PND'!</v>
      </c>
      <c r="G936" s="32" t="s">
        <v>112</v>
      </c>
      <c r="H936" s="33">
        <f t="shared" si="233"/>
        <v>34</v>
      </c>
      <c r="I936" s="33" t="str">
        <f t="shared" si="234"/>
        <v>='C:\Users\jaime.benazar\Quorum Business Solutions\Ecopetrol Prometeo - Documents\Planning Space Implementation\3. Analysis &amp; Design\Design\FC22\DRR Jaime\QUIFA-CAJÚA\Cajua\[CAJUA_CF_SEC_New_27-Feb-2024Rev3.xlsx]D-PND'!$BZ$34</v>
      </c>
      <c r="J936" s="37" t="s">
        <v>2466</v>
      </c>
    </row>
    <row r="937" spans="1:10" x14ac:dyDescent="0.25">
      <c r="A937" s="32" t="s">
        <v>3</v>
      </c>
      <c r="B937" s="32">
        <f t="shared" si="235"/>
        <v>2046</v>
      </c>
      <c r="C937" s="33" t="s">
        <v>11</v>
      </c>
      <c r="D937" s="34" t="s">
        <v>1999</v>
      </c>
      <c r="E937" s="35" t="str">
        <f t="shared" si="231"/>
        <v>PND'!</v>
      </c>
      <c r="F937" s="34" t="str">
        <f t="shared" si="232"/>
        <v>C:\Users\jaime.benazar\Quorum Business Solutions\Ecopetrol Prometeo - Documents\Planning Space Implementation\3. Analysis &amp; Design\Design\FC22\DRR Jaime\QUIFA-CAJÚA\Cajua\[CAJUA_CF_SEC_New_27-Feb-2024Rev3.xlsx]D-PND'!</v>
      </c>
      <c r="G937" s="32" t="s">
        <v>112</v>
      </c>
      <c r="H937" s="33">
        <f t="shared" si="233"/>
        <v>35</v>
      </c>
      <c r="I937" s="33" t="str">
        <f t="shared" si="234"/>
        <v>='C:\Users\jaime.benazar\Quorum Business Solutions\Ecopetrol Prometeo - Documents\Planning Space Implementation\3. Analysis &amp; Design\Design\FC22\DRR Jaime\QUIFA-CAJÚA\Cajua\[CAJUA_CF_SEC_New_27-Feb-2024Rev3.xlsx]D-PND'!$BZ$35</v>
      </c>
      <c r="J937" s="37" t="s">
        <v>2467</v>
      </c>
    </row>
    <row r="938" spans="1:10" x14ac:dyDescent="0.25">
      <c r="A938" s="32" t="s">
        <v>3</v>
      </c>
      <c r="B938" s="32">
        <f t="shared" si="235"/>
        <v>2047</v>
      </c>
      <c r="C938" s="33" t="s">
        <v>11</v>
      </c>
      <c r="D938" s="34" t="s">
        <v>1999</v>
      </c>
      <c r="E938" s="35" t="str">
        <f t="shared" si="231"/>
        <v>PND'!</v>
      </c>
      <c r="F938" s="34" t="str">
        <f t="shared" si="232"/>
        <v>C:\Users\jaime.benazar\Quorum Business Solutions\Ecopetrol Prometeo - Documents\Planning Space Implementation\3. Analysis &amp; Design\Design\FC22\DRR Jaime\QUIFA-CAJÚA\Cajua\[CAJUA_CF_SEC_New_27-Feb-2024Rev3.xlsx]D-PND'!</v>
      </c>
      <c r="G938" s="32" t="s">
        <v>112</v>
      </c>
      <c r="H938" s="33">
        <f t="shared" si="233"/>
        <v>36</v>
      </c>
      <c r="I938" s="33" t="str">
        <f t="shared" si="234"/>
        <v>='C:\Users\jaime.benazar\Quorum Business Solutions\Ecopetrol Prometeo - Documents\Planning Space Implementation\3. Analysis &amp; Design\Design\FC22\DRR Jaime\QUIFA-CAJÚA\Cajua\[CAJUA_CF_SEC_New_27-Feb-2024Rev3.xlsx]D-PND'!$BZ$36</v>
      </c>
      <c r="J938" s="37" t="s">
        <v>2468</v>
      </c>
    </row>
    <row r="939" spans="1:10" x14ac:dyDescent="0.25">
      <c r="A939" s="32" t="s">
        <v>3</v>
      </c>
      <c r="B939" s="32">
        <f t="shared" si="235"/>
        <v>2048</v>
      </c>
      <c r="C939" s="33" t="s">
        <v>11</v>
      </c>
      <c r="D939" s="34" t="s">
        <v>1999</v>
      </c>
      <c r="E939" s="35" t="str">
        <f t="shared" si="231"/>
        <v>PND'!</v>
      </c>
      <c r="F939" s="34" t="str">
        <f t="shared" si="232"/>
        <v>C:\Users\jaime.benazar\Quorum Business Solutions\Ecopetrol Prometeo - Documents\Planning Space Implementation\3. Analysis &amp; Design\Design\FC22\DRR Jaime\QUIFA-CAJÚA\Cajua\[CAJUA_CF_SEC_New_27-Feb-2024Rev3.xlsx]D-PND'!</v>
      </c>
      <c r="G939" s="32" t="s">
        <v>112</v>
      </c>
      <c r="H939" s="33">
        <f t="shared" si="233"/>
        <v>37</v>
      </c>
      <c r="I939" s="33" t="str">
        <f t="shared" si="234"/>
        <v>='C:\Users\jaime.benazar\Quorum Business Solutions\Ecopetrol Prometeo - Documents\Planning Space Implementation\3. Analysis &amp; Design\Design\FC22\DRR Jaime\QUIFA-CAJÚA\Cajua\[CAJUA_CF_SEC_New_27-Feb-2024Rev3.xlsx]D-PND'!$BZ$37</v>
      </c>
      <c r="J939" s="37" t="s">
        <v>2469</v>
      </c>
    </row>
    <row r="940" spans="1:10" x14ac:dyDescent="0.25">
      <c r="A940" s="32" t="s">
        <v>3</v>
      </c>
      <c r="B940" s="32">
        <f t="shared" si="235"/>
        <v>2049</v>
      </c>
      <c r="C940" s="33" t="s">
        <v>11</v>
      </c>
      <c r="D940" s="34" t="s">
        <v>1999</v>
      </c>
      <c r="E940" s="35" t="str">
        <f t="shared" si="231"/>
        <v>PND'!</v>
      </c>
      <c r="F940" s="34" t="str">
        <f t="shared" si="232"/>
        <v>C:\Users\jaime.benazar\Quorum Business Solutions\Ecopetrol Prometeo - Documents\Planning Space Implementation\3. Analysis &amp; Design\Design\FC22\DRR Jaime\QUIFA-CAJÚA\Cajua\[CAJUA_CF_SEC_New_27-Feb-2024Rev3.xlsx]D-PND'!</v>
      </c>
      <c r="G940" s="32" t="s">
        <v>112</v>
      </c>
      <c r="H940" s="33">
        <f t="shared" si="233"/>
        <v>38</v>
      </c>
      <c r="I940" s="33" t="str">
        <f t="shared" si="234"/>
        <v>='C:\Users\jaime.benazar\Quorum Business Solutions\Ecopetrol Prometeo - Documents\Planning Space Implementation\3. Analysis &amp; Design\Design\FC22\DRR Jaime\QUIFA-CAJÚA\Cajua\[CAJUA_CF_SEC_New_27-Feb-2024Rev3.xlsx]D-PND'!$BZ$38</v>
      </c>
      <c r="J940" s="37" t="s">
        <v>2470</v>
      </c>
    </row>
    <row r="941" spans="1:10" x14ac:dyDescent="0.25">
      <c r="A941" s="32" t="s">
        <v>3</v>
      </c>
      <c r="B941" s="32">
        <f t="shared" si="235"/>
        <v>2050</v>
      </c>
      <c r="C941" s="33" t="s">
        <v>11</v>
      </c>
      <c r="D941" s="34" t="s">
        <v>1999</v>
      </c>
      <c r="E941" s="35" t="str">
        <f t="shared" si="231"/>
        <v>PND'!</v>
      </c>
      <c r="F941" s="34" t="str">
        <f t="shared" si="232"/>
        <v>C:\Users\jaime.benazar\Quorum Business Solutions\Ecopetrol Prometeo - Documents\Planning Space Implementation\3. Analysis &amp; Design\Design\FC22\DRR Jaime\QUIFA-CAJÚA\Cajua\[CAJUA_CF_SEC_New_27-Feb-2024Rev3.xlsx]D-PND'!</v>
      </c>
      <c r="G941" s="32" t="s">
        <v>112</v>
      </c>
      <c r="H941" s="33">
        <f t="shared" si="233"/>
        <v>39</v>
      </c>
      <c r="I941" s="33" t="str">
        <f t="shared" si="234"/>
        <v>='C:\Users\jaime.benazar\Quorum Business Solutions\Ecopetrol Prometeo - Documents\Planning Space Implementation\3. Analysis &amp; Design\Design\FC22\DRR Jaime\QUIFA-CAJÚA\Cajua\[CAJUA_CF_SEC_New_27-Feb-2024Rev3.xlsx]D-PND'!$BZ$39</v>
      </c>
      <c r="J941" s="37" t="s">
        <v>2471</v>
      </c>
    </row>
    <row r="942" spans="1:10" x14ac:dyDescent="0.25">
      <c r="A942" s="32" t="s">
        <v>3</v>
      </c>
      <c r="B942" s="32">
        <f t="shared" si="235"/>
        <v>2051</v>
      </c>
      <c r="C942" s="33" t="s">
        <v>11</v>
      </c>
      <c r="D942" s="34" t="s">
        <v>1999</v>
      </c>
      <c r="E942" s="35" t="str">
        <f t="shared" si="231"/>
        <v>PND'!</v>
      </c>
      <c r="F942" s="34" t="str">
        <f t="shared" si="232"/>
        <v>C:\Users\jaime.benazar\Quorum Business Solutions\Ecopetrol Prometeo - Documents\Planning Space Implementation\3. Analysis &amp; Design\Design\FC22\DRR Jaime\QUIFA-CAJÚA\Cajua\[CAJUA_CF_SEC_New_27-Feb-2024Rev3.xlsx]D-PND'!</v>
      </c>
      <c r="G942" s="32" t="s">
        <v>112</v>
      </c>
      <c r="H942" s="33">
        <f t="shared" si="233"/>
        <v>40</v>
      </c>
      <c r="I942" s="33" t="str">
        <f t="shared" si="234"/>
        <v>='C:\Users\jaime.benazar\Quorum Business Solutions\Ecopetrol Prometeo - Documents\Planning Space Implementation\3. Analysis &amp; Design\Design\FC22\DRR Jaime\QUIFA-CAJÚA\Cajua\[CAJUA_CF_SEC_New_27-Feb-2024Rev3.xlsx]D-PND'!$BZ$40</v>
      </c>
      <c r="J942" s="37" t="s">
        <v>2472</v>
      </c>
    </row>
    <row r="943" spans="1:10" x14ac:dyDescent="0.25">
      <c r="A943" s="32" t="s">
        <v>3</v>
      </c>
      <c r="B943" s="32">
        <f t="shared" si="235"/>
        <v>2052</v>
      </c>
      <c r="C943" s="33" t="s">
        <v>11</v>
      </c>
      <c r="D943" s="34" t="s">
        <v>1999</v>
      </c>
      <c r="E943" s="35" t="str">
        <f t="shared" si="231"/>
        <v>PND'!</v>
      </c>
      <c r="F943" s="34" t="str">
        <f t="shared" si="232"/>
        <v>C:\Users\jaime.benazar\Quorum Business Solutions\Ecopetrol Prometeo - Documents\Planning Space Implementation\3. Analysis &amp; Design\Design\FC22\DRR Jaime\QUIFA-CAJÚA\Cajua\[CAJUA_CF_SEC_New_27-Feb-2024Rev3.xlsx]D-PND'!</v>
      </c>
      <c r="G943" s="32" t="s">
        <v>112</v>
      </c>
      <c r="H943" s="33">
        <f t="shared" si="233"/>
        <v>41</v>
      </c>
      <c r="I943" s="33" t="str">
        <f t="shared" si="234"/>
        <v>='C:\Users\jaime.benazar\Quorum Business Solutions\Ecopetrol Prometeo - Documents\Planning Space Implementation\3. Analysis &amp; Design\Design\FC22\DRR Jaime\QUIFA-CAJÚA\Cajua\[CAJUA_CF_SEC_New_27-Feb-2024Rev3.xlsx]D-PND'!$BZ$41</v>
      </c>
      <c r="J943" s="37" t="s">
        <v>2473</v>
      </c>
    </row>
    <row r="944" spans="1:10" x14ac:dyDescent="0.25">
      <c r="A944" s="32" t="s">
        <v>3</v>
      </c>
      <c r="B944" s="32">
        <f t="shared" si="235"/>
        <v>2053</v>
      </c>
      <c r="C944" s="33" t="s">
        <v>11</v>
      </c>
      <c r="D944" s="34" t="s">
        <v>1999</v>
      </c>
      <c r="E944" s="35" t="str">
        <f t="shared" si="231"/>
        <v>PND'!</v>
      </c>
      <c r="F944" s="34" t="str">
        <f t="shared" si="232"/>
        <v>C:\Users\jaime.benazar\Quorum Business Solutions\Ecopetrol Prometeo - Documents\Planning Space Implementation\3. Analysis &amp; Design\Design\FC22\DRR Jaime\QUIFA-CAJÚA\Cajua\[CAJUA_CF_SEC_New_27-Feb-2024Rev3.xlsx]D-PND'!</v>
      </c>
      <c r="G944" s="32" t="s">
        <v>112</v>
      </c>
      <c r="H944" s="33">
        <f t="shared" si="233"/>
        <v>42</v>
      </c>
      <c r="I944" s="33" t="str">
        <f t="shared" si="234"/>
        <v>='C:\Users\jaime.benazar\Quorum Business Solutions\Ecopetrol Prometeo - Documents\Planning Space Implementation\3. Analysis &amp; Design\Design\FC22\DRR Jaime\QUIFA-CAJÚA\Cajua\[CAJUA_CF_SEC_New_27-Feb-2024Rev3.xlsx]D-PND'!$BZ$42</v>
      </c>
      <c r="J944" s="37" t="s">
        <v>2474</v>
      </c>
    </row>
    <row r="945" spans="1:10" x14ac:dyDescent="0.25">
      <c r="A945" s="32" t="s">
        <v>3</v>
      </c>
      <c r="B945" s="32">
        <f t="shared" si="235"/>
        <v>2054</v>
      </c>
      <c r="C945" s="33" t="s">
        <v>11</v>
      </c>
      <c r="D945" s="34" t="s">
        <v>1999</v>
      </c>
      <c r="E945" s="35" t="str">
        <f t="shared" si="231"/>
        <v>PND'!</v>
      </c>
      <c r="F945" s="34" t="str">
        <f t="shared" si="232"/>
        <v>C:\Users\jaime.benazar\Quorum Business Solutions\Ecopetrol Prometeo - Documents\Planning Space Implementation\3. Analysis &amp; Design\Design\FC22\DRR Jaime\QUIFA-CAJÚA\Cajua\[CAJUA_CF_SEC_New_27-Feb-2024Rev3.xlsx]D-PND'!</v>
      </c>
      <c r="G945" s="32" t="s">
        <v>112</v>
      </c>
      <c r="H945" s="33">
        <f t="shared" si="233"/>
        <v>43</v>
      </c>
      <c r="I945" s="33" t="str">
        <f t="shared" si="234"/>
        <v>='C:\Users\jaime.benazar\Quorum Business Solutions\Ecopetrol Prometeo - Documents\Planning Space Implementation\3. Analysis &amp; Design\Design\FC22\DRR Jaime\QUIFA-CAJÚA\Cajua\[CAJUA_CF_SEC_New_27-Feb-2024Rev3.xlsx]D-PND'!$BZ$43</v>
      </c>
      <c r="J945" s="37" t="s">
        <v>2475</v>
      </c>
    </row>
    <row r="946" spans="1:10" x14ac:dyDescent="0.25">
      <c r="A946" s="32" t="s">
        <v>3</v>
      </c>
      <c r="B946" s="32">
        <f t="shared" si="235"/>
        <v>2055</v>
      </c>
      <c r="C946" s="33" t="s">
        <v>11</v>
      </c>
      <c r="D946" s="34" t="s">
        <v>1999</v>
      </c>
      <c r="E946" s="35" t="str">
        <f t="shared" si="231"/>
        <v>PND'!</v>
      </c>
      <c r="F946" s="34" t="str">
        <f t="shared" si="232"/>
        <v>C:\Users\jaime.benazar\Quorum Business Solutions\Ecopetrol Prometeo - Documents\Planning Space Implementation\3. Analysis &amp; Design\Design\FC22\DRR Jaime\QUIFA-CAJÚA\Cajua\[CAJUA_CF_SEC_New_27-Feb-2024Rev3.xlsx]D-PND'!</v>
      </c>
      <c r="G946" s="32" t="s">
        <v>112</v>
      </c>
      <c r="H946" s="33">
        <f t="shared" si="233"/>
        <v>44</v>
      </c>
      <c r="I946" s="33" t="str">
        <f t="shared" si="234"/>
        <v>='C:\Users\jaime.benazar\Quorum Business Solutions\Ecopetrol Prometeo - Documents\Planning Space Implementation\3. Analysis &amp; Design\Design\FC22\DRR Jaime\QUIFA-CAJÚA\Cajua\[CAJUA_CF_SEC_New_27-Feb-2024Rev3.xlsx]D-PND'!$BZ$44</v>
      </c>
      <c r="J946" s="37" t="s">
        <v>2476</v>
      </c>
    </row>
    <row r="947" spans="1:10" x14ac:dyDescent="0.25">
      <c r="A947" s="32" t="s">
        <v>3</v>
      </c>
      <c r="B947" s="32">
        <f t="shared" si="235"/>
        <v>2056</v>
      </c>
      <c r="C947" s="33" t="s">
        <v>11</v>
      </c>
      <c r="D947" s="34" t="s">
        <v>1999</v>
      </c>
      <c r="E947" s="35" t="str">
        <f t="shared" si="231"/>
        <v>PND'!</v>
      </c>
      <c r="F947" s="34" t="str">
        <f t="shared" si="232"/>
        <v>C:\Users\jaime.benazar\Quorum Business Solutions\Ecopetrol Prometeo - Documents\Planning Space Implementation\3. Analysis &amp; Design\Design\FC22\DRR Jaime\QUIFA-CAJÚA\Cajua\[CAJUA_CF_SEC_New_27-Feb-2024Rev3.xlsx]D-PND'!</v>
      </c>
      <c r="G947" s="32" t="s">
        <v>112</v>
      </c>
      <c r="H947" s="33">
        <f t="shared" si="233"/>
        <v>45</v>
      </c>
      <c r="I947" s="33" t="str">
        <f t="shared" si="234"/>
        <v>='C:\Users\jaime.benazar\Quorum Business Solutions\Ecopetrol Prometeo - Documents\Planning Space Implementation\3. Analysis &amp; Design\Design\FC22\DRR Jaime\QUIFA-CAJÚA\Cajua\[CAJUA_CF_SEC_New_27-Feb-2024Rev3.xlsx]D-PND'!$BZ$45</v>
      </c>
      <c r="J947" s="37" t="s">
        <v>2477</v>
      </c>
    </row>
    <row r="948" spans="1:10" x14ac:dyDescent="0.25">
      <c r="A948" s="32" t="s">
        <v>3</v>
      </c>
      <c r="B948" s="32">
        <f t="shared" si="235"/>
        <v>2057</v>
      </c>
      <c r="C948" s="33" t="s">
        <v>11</v>
      </c>
      <c r="D948" s="34" t="s">
        <v>1999</v>
      </c>
      <c r="E948" s="35" t="str">
        <f t="shared" si="231"/>
        <v>PND'!</v>
      </c>
      <c r="F948" s="34" t="str">
        <f t="shared" si="232"/>
        <v>C:\Users\jaime.benazar\Quorum Business Solutions\Ecopetrol Prometeo - Documents\Planning Space Implementation\3. Analysis &amp; Design\Design\FC22\DRR Jaime\QUIFA-CAJÚA\Cajua\[CAJUA_CF_SEC_New_27-Feb-2024Rev3.xlsx]D-PND'!</v>
      </c>
      <c r="G948" s="32" t="s">
        <v>112</v>
      </c>
      <c r="H948" s="33">
        <f t="shared" si="233"/>
        <v>46</v>
      </c>
      <c r="I948" s="33" t="str">
        <f t="shared" si="234"/>
        <v>='C:\Users\jaime.benazar\Quorum Business Solutions\Ecopetrol Prometeo - Documents\Planning Space Implementation\3. Analysis &amp; Design\Design\FC22\DRR Jaime\QUIFA-CAJÚA\Cajua\[CAJUA_CF_SEC_New_27-Feb-2024Rev3.xlsx]D-PND'!$BZ$46</v>
      </c>
      <c r="J948" s="37" t="s">
        <v>2478</v>
      </c>
    </row>
    <row r="949" spans="1:10" x14ac:dyDescent="0.25">
      <c r="A949" s="32" t="s">
        <v>3</v>
      </c>
      <c r="B949" s="32">
        <f t="shared" si="235"/>
        <v>2058</v>
      </c>
      <c r="C949" s="33" t="s">
        <v>11</v>
      </c>
      <c r="D949" s="34" t="s">
        <v>1999</v>
      </c>
      <c r="E949" s="35" t="str">
        <f t="shared" si="231"/>
        <v>PND'!</v>
      </c>
      <c r="F949" s="34" t="str">
        <f t="shared" si="232"/>
        <v>C:\Users\jaime.benazar\Quorum Business Solutions\Ecopetrol Prometeo - Documents\Planning Space Implementation\3. Analysis &amp; Design\Design\FC22\DRR Jaime\QUIFA-CAJÚA\Cajua\[CAJUA_CF_SEC_New_27-Feb-2024Rev3.xlsx]D-PND'!</v>
      </c>
      <c r="G949" s="32" t="s">
        <v>112</v>
      </c>
      <c r="H949" s="33">
        <f t="shared" si="233"/>
        <v>47</v>
      </c>
      <c r="I949" s="33" t="str">
        <f t="shared" si="234"/>
        <v>='C:\Users\jaime.benazar\Quorum Business Solutions\Ecopetrol Prometeo - Documents\Planning Space Implementation\3. Analysis &amp; Design\Design\FC22\DRR Jaime\QUIFA-CAJÚA\Cajua\[CAJUA_CF_SEC_New_27-Feb-2024Rev3.xlsx]D-PND'!$BZ$47</v>
      </c>
      <c r="J949" s="37" t="s">
        <v>2479</v>
      </c>
    </row>
    <row r="950" spans="1:10" x14ac:dyDescent="0.25">
      <c r="A950" s="32" t="s">
        <v>3</v>
      </c>
      <c r="B950" s="32">
        <f t="shared" si="235"/>
        <v>2059</v>
      </c>
      <c r="C950" s="33" t="s">
        <v>11</v>
      </c>
      <c r="D950" s="34" t="s">
        <v>1999</v>
      </c>
      <c r="E950" s="35" t="str">
        <f t="shared" si="231"/>
        <v>PND'!</v>
      </c>
      <c r="F950" s="34" t="str">
        <f t="shared" si="232"/>
        <v>C:\Users\jaime.benazar\Quorum Business Solutions\Ecopetrol Prometeo - Documents\Planning Space Implementation\3. Analysis &amp; Design\Design\FC22\DRR Jaime\QUIFA-CAJÚA\Cajua\[CAJUA_CF_SEC_New_27-Feb-2024Rev3.xlsx]D-PND'!</v>
      </c>
      <c r="G950" s="32" t="s">
        <v>112</v>
      </c>
      <c r="H950" s="33">
        <f t="shared" si="233"/>
        <v>48</v>
      </c>
      <c r="I950" s="33" t="str">
        <f t="shared" si="234"/>
        <v>='C:\Users\jaime.benazar\Quorum Business Solutions\Ecopetrol Prometeo - Documents\Planning Space Implementation\3. Analysis &amp; Design\Design\FC22\DRR Jaime\QUIFA-CAJÚA\Cajua\[CAJUA_CF_SEC_New_27-Feb-2024Rev3.xlsx]D-PND'!$BZ$48</v>
      </c>
      <c r="J950" s="37" t="s">
        <v>2480</v>
      </c>
    </row>
    <row r="951" spans="1:10" x14ac:dyDescent="0.25">
      <c r="A951" s="32" t="s">
        <v>28</v>
      </c>
      <c r="B951" s="32"/>
      <c r="C951" s="33" t="s">
        <v>11</v>
      </c>
      <c r="D951" s="34"/>
      <c r="E951" s="35"/>
      <c r="F951" s="34"/>
      <c r="G951" s="32"/>
      <c r="H951" s="33"/>
      <c r="I951" s="33"/>
      <c r="J951" s="33"/>
    </row>
    <row r="952" spans="1:10" x14ac:dyDescent="0.25">
      <c r="A952" s="32" t="s">
        <v>99</v>
      </c>
      <c r="B952" s="32">
        <v>2023</v>
      </c>
      <c r="C952" s="33" t="s">
        <v>11</v>
      </c>
      <c r="D952" s="34" t="s">
        <v>1999</v>
      </c>
      <c r="E952" s="35" t="str">
        <f t="shared" ref="E952:E972" si="236">_xlfn.CONCAT(A952,"'!")</f>
        <v>PRBDP'!</v>
      </c>
      <c r="F952" s="34" t="str">
        <f t="shared" ref="F952:F972" si="237">_xlfn.CONCAT(D952:E952)</f>
        <v>C:\Users\jaime.benazar\Quorum Business Solutions\Ecopetrol Prometeo - Documents\Planning Space Implementation\3. Analysis &amp; Design\Design\FC22\DRR Jaime\QUIFA-CAJÚA\Cajua\[CAJUA_CF_SEC_New_27-Feb-2024Rev3.xlsx]D-PRBDP'!</v>
      </c>
      <c r="G952" s="32" t="s">
        <v>112</v>
      </c>
      <c r="H952" s="33"/>
      <c r="I952" s="33"/>
      <c r="J952" s="37"/>
    </row>
    <row r="953" spans="1:10" x14ac:dyDescent="0.25">
      <c r="A953" s="32" t="s">
        <v>99</v>
      </c>
      <c r="B953" s="32">
        <f>+B952+1</f>
        <v>2024</v>
      </c>
      <c r="C953" s="33" t="s">
        <v>11</v>
      </c>
      <c r="D953" s="34" t="s">
        <v>1999</v>
      </c>
      <c r="E953" s="35" t="str">
        <f t="shared" si="236"/>
        <v>PRBDP'!</v>
      </c>
      <c r="F953" s="34" t="str">
        <f t="shared" si="237"/>
        <v>C:\Users\jaime.benazar\Quorum Business Solutions\Ecopetrol Prometeo - Documents\Planning Space Implementation\3. Analysis &amp; Design\Design\FC22\DRR Jaime\QUIFA-CAJÚA\Cajua\[CAJUA_CF_SEC_New_27-Feb-2024Rev3.xlsx]D-PRBDP'!</v>
      </c>
      <c r="G953" s="32" t="s">
        <v>112</v>
      </c>
      <c r="H953" s="33"/>
      <c r="I953" s="33"/>
      <c r="J953" s="37"/>
    </row>
    <row r="954" spans="1:10" x14ac:dyDescent="0.25">
      <c r="A954" s="32" t="s">
        <v>99</v>
      </c>
      <c r="B954" s="32">
        <f t="shared" ref="B954:B965" si="238">+B953+1</f>
        <v>2025</v>
      </c>
      <c r="C954" s="33" t="s">
        <v>11</v>
      </c>
      <c r="D954" s="34" t="s">
        <v>1999</v>
      </c>
      <c r="E954" s="35" t="str">
        <f t="shared" si="236"/>
        <v>PRBDP'!</v>
      </c>
      <c r="F954" s="34" t="str">
        <f t="shared" si="237"/>
        <v>C:\Users\jaime.benazar\Quorum Business Solutions\Ecopetrol Prometeo - Documents\Planning Space Implementation\3. Analysis &amp; Design\Design\FC22\DRR Jaime\QUIFA-CAJÚA\Cajua\[CAJUA_CF_SEC_New_27-Feb-2024Rev3.xlsx]D-PRBDP'!</v>
      </c>
      <c r="G954" s="32" t="s">
        <v>112</v>
      </c>
      <c r="H954" s="33"/>
      <c r="I954" s="33"/>
      <c r="J954" s="37"/>
    </row>
    <row r="955" spans="1:10" x14ac:dyDescent="0.25">
      <c r="A955" s="32" t="s">
        <v>99</v>
      </c>
      <c r="B955" s="32">
        <f t="shared" si="238"/>
        <v>2026</v>
      </c>
      <c r="C955" s="33" t="s">
        <v>11</v>
      </c>
      <c r="D955" s="34" t="s">
        <v>1999</v>
      </c>
      <c r="E955" s="35" t="str">
        <f t="shared" si="236"/>
        <v>PRBDP'!</v>
      </c>
      <c r="F955" s="34" t="str">
        <f t="shared" si="237"/>
        <v>C:\Users\jaime.benazar\Quorum Business Solutions\Ecopetrol Prometeo - Documents\Planning Space Implementation\3. Analysis &amp; Design\Design\FC22\DRR Jaime\QUIFA-CAJÚA\Cajua\[CAJUA_CF_SEC_New_27-Feb-2024Rev3.xlsx]D-PRBDP'!</v>
      </c>
      <c r="G955" s="32" t="s">
        <v>112</v>
      </c>
      <c r="H955" s="33"/>
      <c r="I955" s="33"/>
      <c r="J955" s="37"/>
    </row>
    <row r="956" spans="1:10" x14ac:dyDescent="0.25">
      <c r="A956" s="32" t="s">
        <v>99</v>
      </c>
      <c r="B956" s="32">
        <f t="shared" si="238"/>
        <v>2027</v>
      </c>
      <c r="C956" s="33" t="s">
        <v>11</v>
      </c>
      <c r="D956" s="34" t="s">
        <v>1999</v>
      </c>
      <c r="E956" s="35" t="str">
        <f t="shared" si="236"/>
        <v>PRBDP'!</v>
      </c>
      <c r="F956" s="34" t="str">
        <f t="shared" si="237"/>
        <v>C:\Users\jaime.benazar\Quorum Business Solutions\Ecopetrol Prometeo - Documents\Planning Space Implementation\3. Analysis &amp; Design\Design\FC22\DRR Jaime\QUIFA-CAJÚA\Cajua\[CAJUA_CF_SEC_New_27-Feb-2024Rev3.xlsx]D-PRBDP'!</v>
      </c>
      <c r="G956" s="32" t="s">
        <v>112</v>
      </c>
      <c r="H956" s="33"/>
      <c r="I956" s="33"/>
      <c r="J956" s="37"/>
    </row>
    <row r="957" spans="1:10" x14ac:dyDescent="0.25">
      <c r="A957" s="32" t="s">
        <v>99</v>
      </c>
      <c r="B957" s="32">
        <f t="shared" si="238"/>
        <v>2028</v>
      </c>
      <c r="C957" s="33" t="s">
        <v>11</v>
      </c>
      <c r="D957" s="34" t="s">
        <v>1999</v>
      </c>
      <c r="E957" s="35" t="str">
        <f t="shared" si="236"/>
        <v>PRBDP'!</v>
      </c>
      <c r="F957" s="34" t="str">
        <f t="shared" si="237"/>
        <v>C:\Users\jaime.benazar\Quorum Business Solutions\Ecopetrol Prometeo - Documents\Planning Space Implementation\3. Analysis &amp; Design\Design\FC22\DRR Jaime\QUIFA-CAJÚA\Cajua\[CAJUA_CF_SEC_New_27-Feb-2024Rev3.xlsx]D-PRBDP'!</v>
      </c>
      <c r="G957" s="32" t="s">
        <v>112</v>
      </c>
      <c r="H957" s="33"/>
      <c r="I957" s="33"/>
      <c r="J957" s="37"/>
    </row>
    <row r="958" spans="1:10" x14ac:dyDescent="0.25">
      <c r="A958" s="32" t="s">
        <v>99</v>
      </c>
      <c r="B958" s="32">
        <f t="shared" si="238"/>
        <v>2029</v>
      </c>
      <c r="C958" s="33" t="s">
        <v>11</v>
      </c>
      <c r="D958" s="34" t="s">
        <v>1999</v>
      </c>
      <c r="E958" s="35" t="str">
        <f t="shared" si="236"/>
        <v>PRBDP'!</v>
      </c>
      <c r="F958" s="34" t="str">
        <f t="shared" si="237"/>
        <v>C:\Users\jaime.benazar\Quorum Business Solutions\Ecopetrol Prometeo - Documents\Planning Space Implementation\3. Analysis &amp; Design\Design\FC22\DRR Jaime\QUIFA-CAJÚA\Cajua\[CAJUA_CF_SEC_New_27-Feb-2024Rev3.xlsx]D-PRBDP'!</v>
      </c>
      <c r="G958" s="32" t="s">
        <v>112</v>
      </c>
      <c r="H958" s="33"/>
      <c r="I958" s="33"/>
      <c r="J958" s="37"/>
    </row>
    <row r="959" spans="1:10" x14ac:dyDescent="0.25">
      <c r="A959" s="32" t="s">
        <v>99</v>
      </c>
      <c r="B959" s="32">
        <f t="shared" si="238"/>
        <v>2030</v>
      </c>
      <c r="C959" s="33" t="s">
        <v>11</v>
      </c>
      <c r="D959" s="34" t="s">
        <v>1999</v>
      </c>
      <c r="E959" s="35" t="str">
        <f t="shared" si="236"/>
        <v>PRBDP'!</v>
      </c>
      <c r="F959" s="34" t="str">
        <f t="shared" si="237"/>
        <v>C:\Users\jaime.benazar\Quorum Business Solutions\Ecopetrol Prometeo - Documents\Planning Space Implementation\3. Analysis &amp; Design\Design\FC22\DRR Jaime\QUIFA-CAJÚA\Cajua\[CAJUA_CF_SEC_New_27-Feb-2024Rev3.xlsx]D-PRBDP'!</v>
      </c>
      <c r="G959" s="32" t="s">
        <v>112</v>
      </c>
      <c r="H959" s="33"/>
      <c r="I959" s="33"/>
      <c r="J959" s="37"/>
    </row>
    <row r="960" spans="1:10" x14ac:dyDescent="0.25">
      <c r="A960" s="32" t="s">
        <v>99</v>
      </c>
      <c r="B960" s="32">
        <f t="shared" si="238"/>
        <v>2031</v>
      </c>
      <c r="C960" s="33" t="s">
        <v>11</v>
      </c>
      <c r="D960" s="34" t="s">
        <v>1999</v>
      </c>
      <c r="E960" s="35" t="str">
        <f t="shared" si="236"/>
        <v>PRBDP'!</v>
      </c>
      <c r="F960" s="34" t="str">
        <f t="shared" si="237"/>
        <v>C:\Users\jaime.benazar\Quorum Business Solutions\Ecopetrol Prometeo - Documents\Planning Space Implementation\3. Analysis &amp; Design\Design\FC22\DRR Jaime\QUIFA-CAJÚA\Cajua\[CAJUA_CF_SEC_New_27-Feb-2024Rev3.xlsx]D-PRBDP'!</v>
      </c>
      <c r="G960" s="32" t="s">
        <v>112</v>
      </c>
      <c r="H960" s="33"/>
      <c r="I960" s="33"/>
      <c r="J960" s="37"/>
    </row>
    <row r="961" spans="1:10" x14ac:dyDescent="0.25">
      <c r="A961" s="32" t="s">
        <v>99</v>
      </c>
      <c r="B961" s="32">
        <f t="shared" si="238"/>
        <v>2032</v>
      </c>
      <c r="C961" s="33" t="s">
        <v>11</v>
      </c>
      <c r="D961" s="34" t="s">
        <v>1999</v>
      </c>
      <c r="E961" s="35" t="str">
        <f t="shared" si="236"/>
        <v>PRBDP'!</v>
      </c>
      <c r="F961" s="34" t="str">
        <f t="shared" si="237"/>
        <v>C:\Users\jaime.benazar\Quorum Business Solutions\Ecopetrol Prometeo - Documents\Planning Space Implementation\3. Analysis &amp; Design\Design\FC22\DRR Jaime\QUIFA-CAJÚA\Cajua\[CAJUA_CF_SEC_New_27-Feb-2024Rev3.xlsx]D-PRBDP'!</v>
      </c>
      <c r="G961" s="32" t="s">
        <v>112</v>
      </c>
      <c r="H961" s="33"/>
      <c r="I961" s="33"/>
      <c r="J961" s="37"/>
    </row>
    <row r="962" spans="1:10" x14ac:dyDescent="0.25">
      <c r="A962" s="32" t="s">
        <v>99</v>
      </c>
      <c r="B962" s="32">
        <f t="shared" si="238"/>
        <v>2033</v>
      </c>
      <c r="C962" s="33" t="s">
        <v>11</v>
      </c>
      <c r="D962" s="34" t="s">
        <v>1999</v>
      </c>
      <c r="E962" s="35" t="str">
        <f t="shared" si="236"/>
        <v>PRBDP'!</v>
      </c>
      <c r="F962" s="34" t="str">
        <f t="shared" si="237"/>
        <v>C:\Users\jaime.benazar\Quorum Business Solutions\Ecopetrol Prometeo - Documents\Planning Space Implementation\3. Analysis &amp; Design\Design\FC22\DRR Jaime\QUIFA-CAJÚA\Cajua\[CAJUA_CF_SEC_New_27-Feb-2024Rev3.xlsx]D-PRBDP'!</v>
      </c>
      <c r="G962" s="32" t="s">
        <v>112</v>
      </c>
      <c r="H962" s="33"/>
      <c r="I962" s="33"/>
      <c r="J962" s="37"/>
    </row>
    <row r="963" spans="1:10" x14ac:dyDescent="0.25">
      <c r="A963" s="32" t="s">
        <v>99</v>
      </c>
      <c r="B963" s="32">
        <f t="shared" si="238"/>
        <v>2034</v>
      </c>
      <c r="C963" s="33" t="s">
        <v>11</v>
      </c>
      <c r="D963" s="34" t="s">
        <v>1999</v>
      </c>
      <c r="E963" s="35" t="str">
        <f t="shared" si="236"/>
        <v>PRBDP'!</v>
      </c>
      <c r="F963" s="34" t="str">
        <f t="shared" si="237"/>
        <v>C:\Users\jaime.benazar\Quorum Business Solutions\Ecopetrol Prometeo - Documents\Planning Space Implementation\3. Analysis &amp; Design\Design\FC22\DRR Jaime\QUIFA-CAJÚA\Cajua\[CAJUA_CF_SEC_New_27-Feb-2024Rev3.xlsx]D-PRBDP'!</v>
      </c>
      <c r="G963" s="32" t="s">
        <v>112</v>
      </c>
      <c r="H963" s="33"/>
      <c r="I963" s="33"/>
      <c r="J963" s="37"/>
    </row>
    <row r="964" spans="1:10" x14ac:dyDescent="0.25">
      <c r="A964" s="32" t="s">
        <v>99</v>
      </c>
      <c r="B964" s="32">
        <f t="shared" si="238"/>
        <v>2035</v>
      </c>
      <c r="C964" s="33" t="s">
        <v>11</v>
      </c>
      <c r="D964" s="34" t="s">
        <v>1999</v>
      </c>
      <c r="E964" s="35" t="str">
        <f t="shared" si="236"/>
        <v>PRBDP'!</v>
      </c>
      <c r="F964" s="34" t="str">
        <f t="shared" si="237"/>
        <v>C:\Users\jaime.benazar\Quorum Business Solutions\Ecopetrol Prometeo - Documents\Planning Space Implementation\3. Analysis &amp; Design\Design\FC22\DRR Jaime\QUIFA-CAJÚA\Cajua\[CAJUA_CF_SEC_New_27-Feb-2024Rev3.xlsx]D-PRBDP'!</v>
      </c>
      <c r="G964" s="32" t="s">
        <v>112</v>
      </c>
      <c r="H964" s="33"/>
      <c r="I964" s="33"/>
      <c r="J964" s="37"/>
    </row>
    <row r="965" spans="1:10" x14ac:dyDescent="0.25">
      <c r="A965" s="32" t="s">
        <v>99</v>
      </c>
      <c r="B965" s="32">
        <f t="shared" si="238"/>
        <v>2036</v>
      </c>
      <c r="C965" s="33" t="s">
        <v>11</v>
      </c>
      <c r="D965" s="34" t="s">
        <v>1999</v>
      </c>
      <c r="E965" s="35" t="str">
        <f t="shared" si="236"/>
        <v>PRBDP'!</v>
      </c>
      <c r="F965" s="34" t="str">
        <f t="shared" si="237"/>
        <v>C:\Users\jaime.benazar\Quorum Business Solutions\Ecopetrol Prometeo - Documents\Planning Space Implementation\3. Analysis &amp; Design\Design\FC22\DRR Jaime\QUIFA-CAJÚA\Cajua\[CAJUA_CF_SEC_New_27-Feb-2024Rev3.xlsx]D-PRBDP'!</v>
      </c>
      <c r="G965" s="32" t="s">
        <v>112</v>
      </c>
      <c r="H965" s="33"/>
      <c r="I965" s="33"/>
      <c r="J965" s="37"/>
    </row>
    <row r="966" spans="1:10" x14ac:dyDescent="0.25">
      <c r="A966" s="32" t="s">
        <v>99</v>
      </c>
      <c r="B966" s="32">
        <f>+B965+1</f>
        <v>2037</v>
      </c>
      <c r="C966" s="33" t="s">
        <v>11</v>
      </c>
      <c r="D966" s="34" t="s">
        <v>1999</v>
      </c>
      <c r="E966" s="35" t="str">
        <f t="shared" si="236"/>
        <v>PRBDP'!</v>
      </c>
      <c r="F966" s="34" t="str">
        <f t="shared" si="237"/>
        <v>C:\Users\jaime.benazar\Quorum Business Solutions\Ecopetrol Prometeo - Documents\Planning Space Implementation\3. Analysis &amp; Design\Design\FC22\DRR Jaime\QUIFA-CAJÚA\Cajua\[CAJUA_CF_SEC_New_27-Feb-2024Rev3.xlsx]D-PRBDP'!</v>
      </c>
      <c r="G966" s="32" t="s">
        <v>112</v>
      </c>
      <c r="H966" s="33"/>
      <c r="I966" s="33"/>
      <c r="J966" s="37"/>
    </row>
    <row r="967" spans="1:10" x14ac:dyDescent="0.25">
      <c r="A967" s="32" t="s">
        <v>99</v>
      </c>
      <c r="B967" s="32">
        <f t="shared" ref="B967:B969" si="239">+B966+1</f>
        <v>2038</v>
      </c>
      <c r="C967" s="33" t="s">
        <v>11</v>
      </c>
      <c r="D967" s="34" t="s">
        <v>1999</v>
      </c>
      <c r="E967" s="35" t="str">
        <f t="shared" si="236"/>
        <v>PRBDP'!</v>
      </c>
      <c r="F967" s="34" t="str">
        <f t="shared" si="237"/>
        <v>C:\Users\jaime.benazar\Quorum Business Solutions\Ecopetrol Prometeo - Documents\Planning Space Implementation\3. Analysis &amp; Design\Design\FC22\DRR Jaime\QUIFA-CAJÚA\Cajua\[CAJUA_CF_SEC_New_27-Feb-2024Rev3.xlsx]D-PRBDP'!</v>
      </c>
      <c r="G967" s="32" t="s">
        <v>112</v>
      </c>
      <c r="H967" s="33"/>
      <c r="I967" s="33"/>
      <c r="J967" s="37"/>
    </row>
    <row r="968" spans="1:10" x14ac:dyDescent="0.25">
      <c r="A968" s="32" t="s">
        <v>99</v>
      </c>
      <c r="B968" s="32">
        <f t="shared" si="239"/>
        <v>2039</v>
      </c>
      <c r="C968" s="33" t="s">
        <v>11</v>
      </c>
      <c r="D968" s="34" t="s">
        <v>1999</v>
      </c>
      <c r="E968" s="35" t="str">
        <f t="shared" si="236"/>
        <v>PRBDP'!</v>
      </c>
      <c r="F968" s="34" t="str">
        <f t="shared" si="237"/>
        <v>C:\Users\jaime.benazar\Quorum Business Solutions\Ecopetrol Prometeo - Documents\Planning Space Implementation\3. Analysis &amp; Design\Design\FC22\DRR Jaime\QUIFA-CAJÚA\Cajua\[CAJUA_CF_SEC_New_27-Feb-2024Rev3.xlsx]D-PRBDP'!</v>
      </c>
      <c r="G968" s="32" t="s">
        <v>112</v>
      </c>
      <c r="H968" s="33"/>
      <c r="I968" s="33"/>
      <c r="J968" s="37"/>
    </row>
    <row r="969" spans="1:10" x14ac:dyDescent="0.25">
      <c r="A969" s="32" t="s">
        <v>99</v>
      </c>
      <c r="B969" s="32">
        <f t="shared" si="239"/>
        <v>2040</v>
      </c>
      <c r="C969" s="33" t="s">
        <v>11</v>
      </c>
      <c r="D969" s="34" t="s">
        <v>1999</v>
      </c>
      <c r="E969" s="35" t="str">
        <f t="shared" si="236"/>
        <v>PRBDP'!</v>
      </c>
      <c r="F969" s="34" t="str">
        <f t="shared" si="237"/>
        <v>C:\Users\jaime.benazar\Quorum Business Solutions\Ecopetrol Prometeo - Documents\Planning Space Implementation\3. Analysis &amp; Design\Design\FC22\DRR Jaime\QUIFA-CAJÚA\Cajua\[CAJUA_CF_SEC_New_27-Feb-2024Rev3.xlsx]D-PRBDP'!</v>
      </c>
      <c r="G969" s="32" t="s">
        <v>112</v>
      </c>
      <c r="H969" s="33"/>
      <c r="I969" s="33"/>
      <c r="J969" s="37"/>
    </row>
    <row r="970" spans="1:10" x14ac:dyDescent="0.25">
      <c r="A970" s="32" t="s">
        <v>99</v>
      </c>
      <c r="B970" s="32">
        <f>+B969+1</f>
        <v>2041</v>
      </c>
      <c r="C970" s="33" t="s">
        <v>11</v>
      </c>
      <c r="D970" s="34" t="s">
        <v>1999</v>
      </c>
      <c r="E970" s="35" t="str">
        <f t="shared" si="236"/>
        <v>PRBDP'!</v>
      </c>
      <c r="F970" s="34" t="str">
        <f t="shared" si="237"/>
        <v>C:\Users\jaime.benazar\Quorum Business Solutions\Ecopetrol Prometeo - Documents\Planning Space Implementation\3. Analysis &amp; Design\Design\FC22\DRR Jaime\QUIFA-CAJÚA\Cajua\[CAJUA_CF_SEC_New_27-Feb-2024Rev3.xlsx]D-PRBDP'!</v>
      </c>
      <c r="G970" s="32" t="s">
        <v>112</v>
      </c>
      <c r="H970" s="33"/>
      <c r="I970" s="33"/>
      <c r="J970" s="37"/>
    </row>
    <row r="971" spans="1:10" x14ac:dyDescent="0.25">
      <c r="A971" s="32" t="s">
        <v>99</v>
      </c>
      <c r="B971" s="32">
        <f t="shared" ref="B971:B972" si="240">+B970+1</f>
        <v>2042</v>
      </c>
      <c r="C971" s="33" t="s">
        <v>11</v>
      </c>
      <c r="D971" s="34" t="s">
        <v>1999</v>
      </c>
      <c r="E971" s="35" t="str">
        <f t="shared" si="236"/>
        <v>PRBDP'!</v>
      </c>
      <c r="F971" s="34" t="str">
        <f t="shared" si="237"/>
        <v>C:\Users\jaime.benazar\Quorum Business Solutions\Ecopetrol Prometeo - Documents\Planning Space Implementation\3. Analysis &amp; Design\Design\FC22\DRR Jaime\QUIFA-CAJÚA\Cajua\[CAJUA_CF_SEC_New_27-Feb-2024Rev3.xlsx]D-PRBDP'!</v>
      </c>
      <c r="G971" s="32" t="s">
        <v>112</v>
      </c>
      <c r="H971" s="33"/>
      <c r="I971" s="33"/>
      <c r="J971" s="37"/>
    </row>
    <row r="972" spans="1:10" x14ac:dyDescent="0.25">
      <c r="A972" s="32" t="s">
        <v>99</v>
      </c>
      <c r="B972" s="32">
        <f t="shared" si="240"/>
        <v>2043</v>
      </c>
      <c r="C972" s="33" t="s">
        <v>11</v>
      </c>
      <c r="D972" s="34" t="s">
        <v>1999</v>
      </c>
      <c r="E972" s="35" t="str">
        <f t="shared" si="236"/>
        <v>PRBDP'!</v>
      </c>
      <c r="F972" s="34" t="str">
        <f t="shared" si="237"/>
        <v>C:\Users\jaime.benazar\Quorum Business Solutions\Ecopetrol Prometeo - Documents\Planning Space Implementation\3. Analysis &amp; Design\Design\FC22\DRR Jaime\QUIFA-CAJÚA\Cajua\[CAJUA_CF_SEC_New_27-Feb-2024Rev3.xlsx]D-PRBDP'!</v>
      </c>
      <c r="G972" s="32" t="s">
        <v>112</v>
      </c>
      <c r="H972" s="33"/>
      <c r="I972" s="33"/>
      <c r="J972" s="37"/>
    </row>
    <row r="973" spans="1:10" x14ac:dyDescent="0.25">
      <c r="A973" s="32" t="s">
        <v>99</v>
      </c>
      <c r="B973" s="32">
        <f>+B972+1</f>
        <v>2044</v>
      </c>
      <c r="C973" s="33" t="s">
        <v>11</v>
      </c>
      <c r="D973" s="34" t="s">
        <v>1999</v>
      </c>
      <c r="E973" s="35" t="str">
        <f t="shared" ref="E973:E988" si="241">_xlfn.CONCAT(A973,"'!")</f>
        <v>PRBDP'!</v>
      </c>
      <c r="F973" s="34" t="str">
        <f t="shared" ref="F973:F988" si="242">_xlfn.CONCAT(D973:E973)</f>
        <v>C:\Users\jaime.benazar\Quorum Business Solutions\Ecopetrol Prometeo - Documents\Planning Space Implementation\3. Analysis &amp; Design\Design\FC22\DRR Jaime\QUIFA-CAJÚA\Cajua\[CAJUA_CF_SEC_New_27-Feb-2024Rev3.xlsx]D-PRBDP'!</v>
      </c>
      <c r="G973" s="32" t="s">
        <v>112</v>
      </c>
      <c r="H973" s="33"/>
      <c r="I973" s="33"/>
      <c r="J973" s="37"/>
    </row>
    <row r="974" spans="1:10" x14ac:dyDescent="0.25">
      <c r="A974" s="32" t="s">
        <v>99</v>
      </c>
      <c r="B974" s="32">
        <f t="shared" ref="B974:B988" si="243">+B973+1</f>
        <v>2045</v>
      </c>
      <c r="C974" s="33" t="s">
        <v>11</v>
      </c>
      <c r="D974" s="34" t="s">
        <v>1999</v>
      </c>
      <c r="E974" s="35" t="str">
        <f t="shared" si="241"/>
        <v>PRBDP'!</v>
      </c>
      <c r="F974" s="34" t="str">
        <f t="shared" si="242"/>
        <v>C:\Users\jaime.benazar\Quorum Business Solutions\Ecopetrol Prometeo - Documents\Planning Space Implementation\3. Analysis &amp; Design\Design\FC22\DRR Jaime\QUIFA-CAJÚA\Cajua\[CAJUA_CF_SEC_New_27-Feb-2024Rev3.xlsx]D-PRBDP'!</v>
      </c>
      <c r="G974" s="32" t="s">
        <v>112</v>
      </c>
      <c r="H974" s="33"/>
      <c r="I974" s="33"/>
      <c r="J974" s="37"/>
    </row>
    <row r="975" spans="1:10" x14ac:dyDescent="0.25">
      <c r="A975" s="32" t="s">
        <v>99</v>
      </c>
      <c r="B975" s="32">
        <f t="shared" si="243"/>
        <v>2046</v>
      </c>
      <c r="C975" s="33" t="s">
        <v>11</v>
      </c>
      <c r="D975" s="34" t="s">
        <v>1999</v>
      </c>
      <c r="E975" s="35" t="str">
        <f t="shared" si="241"/>
        <v>PRBDP'!</v>
      </c>
      <c r="F975" s="34" t="str">
        <f t="shared" si="242"/>
        <v>C:\Users\jaime.benazar\Quorum Business Solutions\Ecopetrol Prometeo - Documents\Planning Space Implementation\3. Analysis &amp; Design\Design\FC22\DRR Jaime\QUIFA-CAJÚA\Cajua\[CAJUA_CF_SEC_New_27-Feb-2024Rev3.xlsx]D-PRBDP'!</v>
      </c>
      <c r="G975" s="32" t="s">
        <v>112</v>
      </c>
      <c r="H975" s="33"/>
      <c r="I975" s="33"/>
      <c r="J975" s="37"/>
    </row>
    <row r="976" spans="1:10" x14ac:dyDescent="0.25">
      <c r="A976" s="32" t="s">
        <v>99</v>
      </c>
      <c r="B976" s="32">
        <f t="shared" si="243"/>
        <v>2047</v>
      </c>
      <c r="C976" s="33" t="s">
        <v>11</v>
      </c>
      <c r="D976" s="34" t="s">
        <v>1999</v>
      </c>
      <c r="E976" s="35" t="str">
        <f t="shared" si="241"/>
        <v>PRBDP'!</v>
      </c>
      <c r="F976" s="34" t="str">
        <f t="shared" si="242"/>
        <v>C:\Users\jaime.benazar\Quorum Business Solutions\Ecopetrol Prometeo - Documents\Planning Space Implementation\3. Analysis &amp; Design\Design\FC22\DRR Jaime\QUIFA-CAJÚA\Cajua\[CAJUA_CF_SEC_New_27-Feb-2024Rev3.xlsx]D-PRBDP'!</v>
      </c>
      <c r="G976" s="32" t="s">
        <v>112</v>
      </c>
      <c r="H976" s="33"/>
      <c r="I976" s="33"/>
      <c r="J976" s="37"/>
    </row>
    <row r="977" spans="1:10" x14ac:dyDescent="0.25">
      <c r="A977" s="32" t="s">
        <v>99</v>
      </c>
      <c r="B977" s="32">
        <f t="shared" si="243"/>
        <v>2048</v>
      </c>
      <c r="C977" s="33" t="s">
        <v>11</v>
      </c>
      <c r="D977" s="34" t="s">
        <v>1999</v>
      </c>
      <c r="E977" s="35" t="str">
        <f t="shared" si="241"/>
        <v>PRBDP'!</v>
      </c>
      <c r="F977" s="34" t="str">
        <f t="shared" si="242"/>
        <v>C:\Users\jaime.benazar\Quorum Business Solutions\Ecopetrol Prometeo - Documents\Planning Space Implementation\3. Analysis &amp; Design\Design\FC22\DRR Jaime\QUIFA-CAJÚA\Cajua\[CAJUA_CF_SEC_New_27-Feb-2024Rev3.xlsx]D-PRBDP'!</v>
      </c>
      <c r="G977" s="32" t="s">
        <v>112</v>
      </c>
      <c r="H977" s="33"/>
      <c r="I977" s="33"/>
      <c r="J977" s="37"/>
    </row>
    <row r="978" spans="1:10" x14ac:dyDescent="0.25">
      <c r="A978" s="32" t="s">
        <v>99</v>
      </c>
      <c r="B978" s="32">
        <f t="shared" si="243"/>
        <v>2049</v>
      </c>
      <c r="C978" s="33" t="s">
        <v>11</v>
      </c>
      <c r="D978" s="34" t="s">
        <v>1999</v>
      </c>
      <c r="E978" s="35" t="str">
        <f t="shared" si="241"/>
        <v>PRBDP'!</v>
      </c>
      <c r="F978" s="34" t="str">
        <f t="shared" si="242"/>
        <v>C:\Users\jaime.benazar\Quorum Business Solutions\Ecopetrol Prometeo - Documents\Planning Space Implementation\3. Analysis &amp; Design\Design\FC22\DRR Jaime\QUIFA-CAJÚA\Cajua\[CAJUA_CF_SEC_New_27-Feb-2024Rev3.xlsx]D-PRBDP'!</v>
      </c>
      <c r="G978" s="32" t="s">
        <v>112</v>
      </c>
      <c r="H978" s="33"/>
      <c r="I978" s="33"/>
      <c r="J978" s="37"/>
    </row>
    <row r="979" spans="1:10" x14ac:dyDescent="0.25">
      <c r="A979" s="32" t="s">
        <v>99</v>
      </c>
      <c r="B979" s="32">
        <f t="shared" si="243"/>
        <v>2050</v>
      </c>
      <c r="C979" s="33" t="s">
        <v>11</v>
      </c>
      <c r="D979" s="34" t="s">
        <v>1999</v>
      </c>
      <c r="E979" s="35" t="str">
        <f t="shared" si="241"/>
        <v>PRBDP'!</v>
      </c>
      <c r="F979" s="34" t="str">
        <f t="shared" si="242"/>
        <v>C:\Users\jaime.benazar\Quorum Business Solutions\Ecopetrol Prometeo - Documents\Planning Space Implementation\3. Analysis &amp; Design\Design\FC22\DRR Jaime\QUIFA-CAJÚA\Cajua\[CAJUA_CF_SEC_New_27-Feb-2024Rev3.xlsx]D-PRBDP'!</v>
      </c>
      <c r="G979" s="32" t="s">
        <v>112</v>
      </c>
      <c r="H979" s="33"/>
      <c r="I979" s="33"/>
      <c r="J979" s="37"/>
    </row>
    <row r="980" spans="1:10" x14ac:dyDescent="0.25">
      <c r="A980" s="32" t="s">
        <v>99</v>
      </c>
      <c r="B980" s="32">
        <f t="shared" si="243"/>
        <v>2051</v>
      </c>
      <c r="C980" s="33" t="s">
        <v>11</v>
      </c>
      <c r="D980" s="34" t="s">
        <v>1999</v>
      </c>
      <c r="E980" s="35" t="str">
        <f t="shared" si="241"/>
        <v>PRBDP'!</v>
      </c>
      <c r="F980" s="34" t="str">
        <f t="shared" si="242"/>
        <v>C:\Users\jaime.benazar\Quorum Business Solutions\Ecopetrol Prometeo - Documents\Planning Space Implementation\3. Analysis &amp; Design\Design\FC22\DRR Jaime\QUIFA-CAJÚA\Cajua\[CAJUA_CF_SEC_New_27-Feb-2024Rev3.xlsx]D-PRBDP'!</v>
      </c>
      <c r="G980" s="32" t="s">
        <v>112</v>
      </c>
      <c r="H980" s="33"/>
      <c r="I980" s="33"/>
      <c r="J980" s="37"/>
    </row>
    <row r="981" spans="1:10" x14ac:dyDescent="0.25">
      <c r="A981" s="32" t="s">
        <v>99</v>
      </c>
      <c r="B981" s="32">
        <f t="shared" si="243"/>
        <v>2052</v>
      </c>
      <c r="C981" s="33" t="s">
        <v>11</v>
      </c>
      <c r="D981" s="34" t="s">
        <v>1999</v>
      </c>
      <c r="E981" s="35" t="str">
        <f t="shared" si="241"/>
        <v>PRBDP'!</v>
      </c>
      <c r="F981" s="34" t="str">
        <f t="shared" si="242"/>
        <v>C:\Users\jaime.benazar\Quorum Business Solutions\Ecopetrol Prometeo - Documents\Planning Space Implementation\3. Analysis &amp; Design\Design\FC22\DRR Jaime\QUIFA-CAJÚA\Cajua\[CAJUA_CF_SEC_New_27-Feb-2024Rev3.xlsx]D-PRBDP'!</v>
      </c>
      <c r="G981" s="32" t="s">
        <v>112</v>
      </c>
      <c r="H981" s="33"/>
      <c r="I981" s="33"/>
      <c r="J981" s="37"/>
    </row>
    <row r="982" spans="1:10" x14ac:dyDescent="0.25">
      <c r="A982" s="32" t="s">
        <v>99</v>
      </c>
      <c r="B982" s="32">
        <f t="shared" si="243"/>
        <v>2053</v>
      </c>
      <c r="C982" s="33" t="s">
        <v>11</v>
      </c>
      <c r="D982" s="34" t="s">
        <v>1999</v>
      </c>
      <c r="E982" s="35" t="str">
        <f t="shared" si="241"/>
        <v>PRBDP'!</v>
      </c>
      <c r="F982" s="34" t="str">
        <f t="shared" si="242"/>
        <v>C:\Users\jaime.benazar\Quorum Business Solutions\Ecopetrol Prometeo - Documents\Planning Space Implementation\3. Analysis &amp; Design\Design\FC22\DRR Jaime\QUIFA-CAJÚA\Cajua\[CAJUA_CF_SEC_New_27-Feb-2024Rev3.xlsx]D-PRBDP'!</v>
      </c>
      <c r="G982" s="32" t="s">
        <v>112</v>
      </c>
      <c r="H982" s="33"/>
      <c r="I982" s="33"/>
      <c r="J982" s="37"/>
    </row>
    <row r="983" spans="1:10" x14ac:dyDescent="0.25">
      <c r="A983" s="32" t="s">
        <v>99</v>
      </c>
      <c r="B983" s="32">
        <f t="shared" si="243"/>
        <v>2054</v>
      </c>
      <c r="C983" s="33" t="s">
        <v>11</v>
      </c>
      <c r="D983" s="34" t="s">
        <v>1999</v>
      </c>
      <c r="E983" s="35" t="str">
        <f t="shared" si="241"/>
        <v>PRBDP'!</v>
      </c>
      <c r="F983" s="34" t="str">
        <f t="shared" si="242"/>
        <v>C:\Users\jaime.benazar\Quorum Business Solutions\Ecopetrol Prometeo - Documents\Planning Space Implementation\3. Analysis &amp; Design\Design\FC22\DRR Jaime\QUIFA-CAJÚA\Cajua\[CAJUA_CF_SEC_New_27-Feb-2024Rev3.xlsx]D-PRBDP'!</v>
      </c>
      <c r="G983" s="32" t="s">
        <v>112</v>
      </c>
      <c r="H983" s="33"/>
      <c r="I983" s="33"/>
      <c r="J983" s="37"/>
    </row>
    <row r="984" spans="1:10" x14ac:dyDescent="0.25">
      <c r="A984" s="32" t="s">
        <v>99</v>
      </c>
      <c r="B984" s="32">
        <f t="shared" si="243"/>
        <v>2055</v>
      </c>
      <c r="C984" s="33" t="s">
        <v>11</v>
      </c>
      <c r="D984" s="34" t="s">
        <v>1999</v>
      </c>
      <c r="E984" s="35" t="str">
        <f t="shared" si="241"/>
        <v>PRBDP'!</v>
      </c>
      <c r="F984" s="34" t="str">
        <f t="shared" si="242"/>
        <v>C:\Users\jaime.benazar\Quorum Business Solutions\Ecopetrol Prometeo - Documents\Planning Space Implementation\3. Analysis &amp; Design\Design\FC22\DRR Jaime\QUIFA-CAJÚA\Cajua\[CAJUA_CF_SEC_New_27-Feb-2024Rev3.xlsx]D-PRBDP'!</v>
      </c>
      <c r="G984" s="32" t="s">
        <v>112</v>
      </c>
      <c r="H984" s="33"/>
      <c r="I984" s="33"/>
      <c r="J984" s="37"/>
    </row>
    <row r="985" spans="1:10" x14ac:dyDescent="0.25">
      <c r="A985" s="32" t="s">
        <v>99</v>
      </c>
      <c r="B985" s="32">
        <f t="shared" si="243"/>
        <v>2056</v>
      </c>
      <c r="C985" s="33" t="s">
        <v>11</v>
      </c>
      <c r="D985" s="34" t="s">
        <v>1999</v>
      </c>
      <c r="E985" s="35" t="str">
        <f t="shared" si="241"/>
        <v>PRBDP'!</v>
      </c>
      <c r="F985" s="34" t="str">
        <f t="shared" si="242"/>
        <v>C:\Users\jaime.benazar\Quorum Business Solutions\Ecopetrol Prometeo - Documents\Planning Space Implementation\3. Analysis &amp; Design\Design\FC22\DRR Jaime\QUIFA-CAJÚA\Cajua\[CAJUA_CF_SEC_New_27-Feb-2024Rev3.xlsx]D-PRBDP'!</v>
      </c>
      <c r="G985" s="32" t="s">
        <v>112</v>
      </c>
      <c r="H985" s="33"/>
      <c r="I985" s="33"/>
      <c r="J985" s="37"/>
    </row>
    <row r="986" spans="1:10" x14ac:dyDescent="0.25">
      <c r="A986" s="32" t="s">
        <v>99</v>
      </c>
      <c r="B986" s="32">
        <f t="shared" si="243"/>
        <v>2057</v>
      </c>
      <c r="C986" s="33" t="s">
        <v>11</v>
      </c>
      <c r="D986" s="34" t="s">
        <v>1999</v>
      </c>
      <c r="E986" s="35" t="str">
        <f t="shared" si="241"/>
        <v>PRBDP'!</v>
      </c>
      <c r="F986" s="34" t="str">
        <f t="shared" si="242"/>
        <v>C:\Users\jaime.benazar\Quorum Business Solutions\Ecopetrol Prometeo - Documents\Planning Space Implementation\3. Analysis &amp; Design\Design\FC22\DRR Jaime\QUIFA-CAJÚA\Cajua\[CAJUA_CF_SEC_New_27-Feb-2024Rev3.xlsx]D-PRBDP'!</v>
      </c>
      <c r="G986" s="32" t="s">
        <v>112</v>
      </c>
      <c r="H986" s="33"/>
      <c r="I986" s="33"/>
      <c r="J986" s="37"/>
    </row>
    <row r="987" spans="1:10" x14ac:dyDescent="0.25">
      <c r="A987" s="32" t="s">
        <v>99</v>
      </c>
      <c r="B987" s="32">
        <f t="shared" si="243"/>
        <v>2058</v>
      </c>
      <c r="C987" s="33" t="s">
        <v>11</v>
      </c>
      <c r="D987" s="34" t="s">
        <v>1999</v>
      </c>
      <c r="E987" s="35" t="str">
        <f t="shared" si="241"/>
        <v>PRBDP'!</v>
      </c>
      <c r="F987" s="34" t="str">
        <f t="shared" si="242"/>
        <v>C:\Users\jaime.benazar\Quorum Business Solutions\Ecopetrol Prometeo - Documents\Planning Space Implementation\3. Analysis &amp; Design\Design\FC22\DRR Jaime\QUIFA-CAJÚA\Cajua\[CAJUA_CF_SEC_New_27-Feb-2024Rev3.xlsx]D-PRBDP'!</v>
      </c>
      <c r="G987" s="32" t="s">
        <v>112</v>
      </c>
      <c r="H987" s="33"/>
      <c r="I987" s="33"/>
      <c r="J987" s="37"/>
    </row>
    <row r="988" spans="1:10" x14ac:dyDescent="0.25">
      <c r="A988" s="32" t="s">
        <v>99</v>
      </c>
      <c r="B988" s="32">
        <f t="shared" si="243"/>
        <v>2059</v>
      </c>
      <c r="C988" s="33" t="s">
        <v>11</v>
      </c>
      <c r="D988" s="34" t="s">
        <v>1999</v>
      </c>
      <c r="E988" s="35" t="str">
        <f t="shared" si="241"/>
        <v>PRBDP'!</v>
      </c>
      <c r="F988" s="34" t="str">
        <f t="shared" si="242"/>
        <v>C:\Users\jaime.benazar\Quorum Business Solutions\Ecopetrol Prometeo - Documents\Planning Space Implementation\3. Analysis &amp; Design\Design\FC22\DRR Jaime\QUIFA-CAJÚA\Cajua\[CAJUA_CF_SEC_New_27-Feb-2024Rev3.xlsx]D-PRBDP'!</v>
      </c>
      <c r="G988" s="32" t="s">
        <v>112</v>
      </c>
      <c r="H988" s="33"/>
      <c r="I988" s="33"/>
      <c r="J988" s="37"/>
    </row>
    <row r="989" spans="1:10" x14ac:dyDescent="0.25">
      <c r="A989" s="32" t="s">
        <v>28</v>
      </c>
      <c r="B989" s="32"/>
      <c r="C989" s="33" t="s">
        <v>11</v>
      </c>
      <c r="D989" s="34"/>
      <c r="E989" s="35"/>
      <c r="F989" s="34"/>
      <c r="G989" s="32"/>
      <c r="H989" s="33"/>
      <c r="I989" s="33"/>
      <c r="J989" s="33"/>
    </row>
    <row r="990" spans="1:10" x14ac:dyDescent="0.25">
      <c r="A990" s="32" t="s">
        <v>100</v>
      </c>
      <c r="B990" s="32">
        <v>2023</v>
      </c>
      <c r="C990" s="33" t="s">
        <v>11</v>
      </c>
      <c r="D990" s="34" t="s">
        <v>1999</v>
      </c>
      <c r="E990" s="35" t="str">
        <f t="shared" ref="E990:E1010" si="244">_xlfn.CONCAT(A990,"'!")</f>
        <v>PRBNP'!</v>
      </c>
      <c r="F990" s="34" t="str">
        <f t="shared" ref="F990:F1010" si="245">_xlfn.CONCAT(D990:E990)</f>
        <v>C:\Users\jaime.benazar\Quorum Business Solutions\Ecopetrol Prometeo - Documents\Planning Space Implementation\3. Analysis &amp; Design\Design\FC22\DRR Jaime\QUIFA-CAJÚA\Cajua\[CAJUA_CF_SEC_New_27-Feb-2024Rev3.xlsx]D-PRBNP'!</v>
      </c>
      <c r="G990" s="32" t="s">
        <v>112</v>
      </c>
      <c r="H990" s="33"/>
      <c r="I990" s="33"/>
      <c r="J990" s="37"/>
    </row>
    <row r="991" spans="1:10" x14ac:dyDescent="0.25">
      <c r="A991" s="32" t="s">
        <v>100</v>
      </c>
      <c r="B991" s="32">
        <f>+B990+1</f>
        <v>2024</v>
      </c>
      <c r="C991" s="33" t="s">
        <v>11</v>
      </c>
      <c r="D991" s="34" t="s">
        <v>1999</v>
      </c>
      <c r="E991" s="35" t="str">
        <f t="shared" si="244"/>
        <v>PRBNP'!</v>
      </c>
      <c r="F991" s="34" t="str">
        <f t="shared" si="245"/>
        <v>C:\Users\jaime.benazar\Quorum Business Solutions\Ecopetrol Prometeo - Documents\Planning Space Implementation\3. Analysis &amp; Design\Design\FC22\DRR Jaime\QUIFA-CAJÚA\Cajua\[CAJUA_CF_SEC_New_27-Feb-2024Rev3.xlsx]D-PRBNP'!</v>
      </c>
      <c r="G991" s="32" t="s">
        <v>112</v>
      </c>
      <c r="H991" s="33"/>
      <c r="I991" s="33"/>
      <c r="J991" s="37"/>
    </row>
    <row r="992" spans="1:10" x14ac:dyDescent="0.25">
      <c r="A992" s="32" t="s">
        <v>100</v>
      </c>
      <c r="B992" s="32">
        <f t="shared" ref="B992:B1003" si="246">+B991+1</f>
        <v>2025</v>
      </c>
      <c r="C992" s="33" t="s">
        <v>11</v>
      </c>
      <c r="D992" s="34" t="s">
        <v>1999</v>
      </c>
      <c r="E992" s="35" t="str">
        <f t="shared" si="244"/>
        <v>PRBNP'!</v>
      </c>
      <c r="F992" s="34" t="str">
        <f t="shared" si="245"/>
        <v>C:\Users\jaime.benazar\Quorum Business Solutions\Ecopetrol Prometeo - Documents\Planning Space Implementation\3. Analysis &amp; Design\Design\FC22\DRR Jaime\QUIFA-CAJÚA\Cajua\[CAJUA_CF_SEC_New_27-Feb-2024Rev3.xlsx]D-PRBNP'!</v>
      </c>
      <c r="G992" s="32" t="s">
        <v>112</v>
      </c>
      <c r="H992" s="33"/>
      <c r="I992" s="33"/>
      <c r="J992" s="37"/>
    </row>
    <row r="993" spans="1:10" x14ac:dyDescent="0.25">
      <c r="A993" s="32" t="s">
        <v>100</v>
      </c>
      <c r="B993" s="32">
        <f t="shared" si="246"/>
        <v>2026</v>
      </c>
      <c r="C993" s="33" t="s">
        <v>11</v>
      </c>
      <c r="D993" s="34" t="s">
        <v>1999</v>
      </c>
      <c r="E993" s="35" t="str">
        <f t="shared" si="244"/>
        <v>PRBNP'!</v>
      </c>
      <c r="F993" s="34" t="str">
        <f t="shared" si="245"/>
        <v>C:\Users\jaime.benazar\Quorum Business Solutions\Ecopetrol Prometeo - Documents\Planning Space Implementation\3. Analysis &amp; Design\Design\FC22\DRR Jaime\QUIFA-CAJÚA\Cajua\[CAJUA_CF_SEC_New_27-Feb-2024Rev3.xlsx]D-PRBNP'!</v>
      </c>
      <c r="G993" s="32" t="s">
        <v>112</v>
      </c>
      <c r="H993" s="33"/>
      <c r="I993" s="33"/>
      <c r="J993" s="37"/>
    </row>
    <row r="994" spans="1:10" x14ac:dyDescent="0.25">
      <c r="A994" s="32" t="s">
        <v>100</v>
      </c>
      <c r="B994" s="32">
        <f t="shared" si="246"/>
        <v>2027</v>
      </c>
      <c r="C994" s="33" t="s">
        <v>11</v>
      </c>
      <c r="D994" s="34" t="s">
        <v>1999</v>
      </c>
      <c r="E994" s="35" t="str">
        <f t="shared" si="244"/>
        <v>PRBNP'!</v>
      </c>
      <c r="F994" s="34" t="str">
        <f t="shared" si="245"/>
        <v>C:\Users\jaime.benazar\Quorum Business Solutions\Ecopetrol Prometeo - Documents\Planning Space Implementation\3. Analysis &amp; Design\Design\FC22\DRR Jaime\QUIFA-CAJÚA\Cajua\[CAJUA_CF_SEC_New_27-Feb-2024Rev3.xlsx]D-PRBNP'!</v>
      </c>
      <c r="G994" s="32" t="s">
        <v>112</v>
      </c>
      <c r="H994" s="33"/>
      <c r="I994" s="33"/>
      <c r="J994" s="37"/>
    </row>
    <row r="995" spans="1:10" x14ac:dyDescent="0.25">
      <c r="A995" s="32" t="s">
        <v>100</v>
      </c>
      <c r="B995" s="32">
        <f t="shared" si="246"/>
        <v>2028</v>
      </c>
      <c r="C995" s="33" t="s">
        <v>11</v>
      </c>
      <c r="D995" s="34" t="s">
        <v>1999</v>
      </c>
      <c r="E995" s="35" t="str">
        <f t="shared" si="244"/>
        <v>PRBNP'!</v>
      </c>
      <c r="F995" s="34" t="str">
        <f t="shared" si="245"/>
        <v>C:\Users\jaime.benazar\Quorum Business Solutions\Ecopetrol Prometeo - Documents\Planning Space Implementation\3. Analysis &amp; Design\Design\FC22\DRR Jaime\QUIFA-CAJÚA\Cajua\[CAJUA_CF_SEC_New_27-Feb-2024Rev3.xlsx]D-PRBNP'!</v>
      </c>
      <c r="G995" s="32" t="s">
        <v>112</v>
      </c>
      <c r="H995" s="33"/>
      <c r="I995" s="33"/>
      <c r="J995" s="37"/>
    </row>
    <row r="996" spans="1:10" x14ac:dyDescent="0.25">
      <c r="A996" s="32" t="s">
        <v>100</v>
      </c>
      <c r="B996" s="32">
        <f t="shared" si="246"/>
        <v>2029</v>
      </c>
      <c r="C996" s="33" t="s">
        <v>11</v>
      </c>
      <c r="D996" s="34" t="s">
        <v>1999</v>
      </c>
      <c r="E996" s="35" t="str">
        <f t="shared" si="244"/>
        <v>PRBNP'!</v>
      </c>
      <c r="F996" s="34" t="str">
        <f t="shared" si="245"/>
        <v>C:\Users\jaime.benazar\Quorum Business Solutions\Ecopetrol Prometeo - Documents\Planning Space Implementation\3. Analysis &amp; Design\Design\FC22\DRR Jaime\QUIFA-CAJÚA\Cajua\[CAJUA_CF_SEC_New_27-Feb-2024Rev3.xlsx]D-PRBNP'!</v>
      </c>
      <c r="G996" s="32" t="s">
        <v>112</v>
      </c>
      <c r="H996" s="33"/>
      <c r="I996" s="33"/>
      <c r="J996" s="37"/>
    </row>
    <row r="997" spans="1:10" x14ac:dyDescent="0.25">
      <c r="A997" s="32" t="s">
        <v>100</v>
      </c>
      <c r="B997" s="32">
        <f t="shared" si="246"/>
        <v>2030</v>
      </c>
      <c r="C997" s="33" t="s">
        <v>11</v>
      </c>
      <c r="D997" s="34" t="s">
        <v>1999</v>
      </c>
      <c r="E997" s="35" t="str">
        <f t="shared" si="244"/>
        <v>PRBNP'!</v>
      </c>
      <c r="F997" s="34" t="str">
        <f t="shared" si="245"/>
        <v>C:\Users\jaime.benazar\Quorum Business Solutions\Ecopetrol Prometeo - Documents\Planning Space Implementation\3. Analysis &amp; Design\Design\FC22\DRR Jaime\QUIFA-CAJÚA\Cajua\[CAJUA_CF_SEC_New_27-Feb-2024Rev3.xlsx]D-PRBNP'!</v>
      </c>
      <c r="G997" s="32" t="s">
        <v>112</v>
      </c>
      <c r="H997" s="33"/>
      <c r="I997" s="33"/>
      <c r="J997" s="37"/>
    </row>
    <row r="998" spans="1:10" x14ac:dyDescent="0.25">
      <c r="A998" s="32" t="s">
        <v>100</v>
      </c>
      <c r="B998" s="32">
        <f t="shared" si="246"/>
        <v>2031</v>
      </c>
      <c r="C998" s="33" t="s">
        <v>11</v>
      </c>
      <c r="D998" s="34" t="s">
        <v>1999</v>
      </c>
      <c r="E998" s="35" t="str">
        <f t="shared" si="244"/>
        <v>PRBNP'!</v>
      </c>
      <c r="F998" s="34" t="str">
        <f t="shared" si="245"/>
        <v>C:\Users\jaime.benazar\Quorum Business Solutions\Ecopetrol Prometeo - Documents\Planning Space Implementation\3. Analysis &amp; Design\Design\FC22\DRR Jaime\QUIFA-CAJÚA\Cajua\[CAJUA_CF_SEC_New_27-Feb-2024Rev3.xlsx]D-PRBNP'!</v>
      </c>
      <c r="G998" s="32" t="s">
        <v>112</v>
      </c>
      <c r="H998" s="33"/>
      <c r="I998" s="33"/>
      <c r="J998" s="37"/>
    </row>
    <row r="999" spans="1:10" x14ac:dyDescent="0.25">
      <c r="A999" s="32" t="s">
        <v>100</v>
      </c>
      <c r="B999" s="32">
        <f t="shared" si="246"/>
        <v>2032</v>
      </c>
      <c r="C999" s="33" t="s">
        <v>11</v>
      </c>
      <c r="D999" s="34" t="s">
        <v>1999</v>
      </c>
      <c r="E999" s="35" t="str">
        <f t="shared" si="244"/>
        <v>PRBNP'!</v>
      </c>
      <c r="F999" s="34" t="str">
        <f t="shared" si="245"/>
        <v>C:\Users\jaime.benazar\Quorum Business Solutions\Ecopetrol Prometeo - Documents\Planning Space Implementation\3. Analysis &amp; Design\Design\FC22\DRR Jaime\QUIFA-CAJÚA\Cajua\[CAJUA_CF_SEC_New_27-Feb-2024Rev3.xlsx]D-PRBNP'!</v>
      </c>
      <c r="G999" s="32" t="s">
        <v>112</v>
      </c>
      <c r="H999" s="33"/>
      <c r="I999" s="33"/>
      <c r="J999" s="37"/>
    </row>
    <row r="1000" spans="1:10" x14ac:dyDescent="0.25">
      <c r="A1000" s="32" t="s">
        <v>100</v>
      </c>
      <c r="B1000" s="32">
        <f t="shared" si="246"/>
        <v>2033</v>
      </c>
      <c r="C1000" s="33" t="s">
        <v>11</v>
      </c>
      <c r="D1000" s="34" t="s">
        <v>1999</v>
      </c>
      <c r="E1000" s="35" t="str">
        <f t="shared" si="244"/>
        <v>PRBNP'!</v>
      </c>
      <c r="F1000" s="34" t="str">
        <f t="shared" si="245"/>
        <v>C:\Users\jaime.benazar\Quorum Business Solutions\Ecopetrol Prometeo - Documents\Planning Space Implementation\3. Analysis &amp; Design\Design\FC22\DRR Jaime\QUIFA-CAJÚA\Cajua\[CAJUA_CF_SEC_New_27-Feb-2024Rev3.xlsx]D-PRBNP'!</v>
      </c>
      <c r="G1000" s="32" t="s">
        <v>112</v>
      </c>
      <c r="H1000" s="33"/>
      <c r="I1000" s="33"/>
      <c r="J1000" s="37"/>
    </row>
    <row r="1001" spans="1:10" x14ac:dyDescent="0.25">
      <c r="A1001" s="32" t="s">
        <v>100</v>
      </c>
      <c r="B1001" s="32">
        <f t="shared" si="246"/>
        <v>2034</v>
      </c>
      <c r="C1001" s="33" t="s">
        <v>11</v>
      </c>
      <c r="D1001" s="34" t="s">
        <v>1999</v>
      </c>
      <c r="E1001" s="35" t="str">
        <f t="shared" si="244"/>
        <v>PRBNP'!</v>
      </c>
      <c r="F1001" s="34" t="str">
        <f t="shared" si="245"/>
        <v>C:\Users\jaime.benazar\Quorum Business Solutions\Ecopetrol Prometeo - Documents\Planning Space Implementation\3. Analysis &amp; Design\Design\FC22\DRR Jaime\QUIFA-CAJÚA\Cajua\[CAJUA_CF_SEC_New_27-Feb-2024Rev3.xlsx]D-PRBNP'!</v>
      </c>
      <c r="G1001" s="32" t="s">
        <v>112</v>
      </c>
      <c r="H1001" s="33"/>
      <c r="I1001" s="33"/>
      <c r="J1001" s="37"/>
    </row>
    <row r="1002" spans="1:10" x14ac:dyDescent="0.25">
      <c r="A1002" s="32" t="s">
        <v>100</v>
      </c>
      <c r="B1002" s="32">
        <f t="shared" si="246"/>
        <v>2035</v>
      </c>
      <c r="C1002" s="33" t="s">
        <v>11</v>
      </c>
      <c r="D1002" s="34" t="s">
        <v>1999</v>
      </c>
      <c r="E1002" s="35" t="str">
        <f t="shared" si="244"/>
        <v>PRBNP'!</v>
      </c>
      <c r="F1002" s="34" t="str">
        <f t="shared" si="245"/>
        <v>C:\Users\jaime.benazar\Quorum Business Solutions\Ecopetrol Prometeo - Documents\Planning Space Implementation\3. Analysis &amp; Design\Design\FC22\DRR Jaime\QUIFA-CAJÚA\Cajua\[CAJUA_CF_SEC_New_27-Feb-2024Rev3.xlsx]D-PRBNP'!</v>
      </c>
      <c r="G1002" s="32" t="s">
        <v>112</v>
      </c>
      <c r="H1002" s="33"/>
      <c r="I1002" s="33"/>
      <c r="J1002" s="37"/>
    </row>
    <row r="1003" spans="1:10" x14ac:dyDescent="0.25">
      <c r="A1003" s="32" t="s">
        <v>100</v>
      </c>
      <c r="B1003" s="32">
        <f t="shared" si="246"/>
        <v>2036</v>
      </c>
      <c r="C1003" s="33" t="s">
        <v>11</v>
      </c>
      <c r="D1003" s="34" t="s">
        <v>1999</v>
      </c>
      <c r="E1003" s="35" t="str">
        <f t="shared" si="244"/>
        <v>PRBNP'!</v>
      </c>
      <c r="F1003" s="34" t="str">
        <f t="shared" si="245"/>
        <v>C:\Users\jaime.benazar\Quorum Business Solutions\Ecopetrol Prometeo - Documents\Planning Space Implementation\3. Analysis &amp; Design\Design\FC22\DRR Jaime\QUIFA-CAJÚA\Cajua\[CAJUA_CF_SEC_New_27-Feb-2024Rev3.xlsx]D-PRBNP'!</v>
      </c>
      <c r="G1003" s="32" t="s">
        <v>112</v>
      </c>
      <c r="H1003" s="33"/>
      <c r="I1003" s="33"/>
      <c r="J1003" s="37"/>
    </row>
    <row r="1004" spans="1:10" x14ac:dyDescent="0.25">
      <c r="A1004" s="32" t="s">
        <v>100</v>
      </c>
      <c r="B1004" s="32">
        <f>+B1003+1</f>
        <v>2037</v>
      </c>
      <c r="C1004" s="33" t="s">
        <v>11</v>
      </c>
      <c r="D1004" s="34" t="s">
        <v>1999</v>
      </c>
      <c r="E1004" s="35" t="str">
        <f t="shared" si="244"/>
        <v>PRBNP'!</v>
      </c>
      <c r="F1004" s="34" t="str">
        <f t="shared" si="245"/>
        <v>C:\Users\jaime.benazar\Quorum Business Solutions\Ecopetrol Prometeo - Documents\Planning Space Implementation\3. Analysis &amp; Design\Design\FC22\DRR Jaime\QUIFA-CAJÚA\Cajua\[CAJUA_CF_SEC_New_27-Feb-2024Rev3.xlsx]D-PRBNP'!</v>
      </c>
      <c r="G1004" s="32" t="s">
        <v>112</v>
      </c>
      <c r="H1004" s="33"/>
      <c r="I1004" s="33"/>
      <c r="J1004" s="37"/>
    </row>
    <row r="1005" spans="1:10" x14ac:dyDescent="0.25">
      <c r="A1005" s="32" t="s">
        <v>100</v>
      </c>
      <c r="B1005" s="32">
        <f t="shared" ref="B1005:B1007" si="247">+B1004+1</f>
        <v>2038</v>
      </c>
      <c r="C1005" s="33" t="s">
        <v>11</v>
      </c>
      <c r="D1005" s="34" t="s">
        <v>1999</v>
      </c>
      <c r="E1005" s="35" t="str">
        <f t="shared" si="244"/>
        <v>PRBNP'!</v>
      </c>
      <c r="F1005" s="34" t="str">
        <f t="shared" si="245"/>
        <v>C:\Users\jaime.benazar\Quorum Business Solutions\Ecopetrol Prometeo - Documents\Planning Space Implementation\3. Analysis &amp; Design\Design\FC22\DRR Jaime\QUIFA-CAJÚA\Cajua\[CAJUA_CF_SEC_New_27-Feb-2024Rev3.xlsx]D-PRBNP'!</v>
      </c>
      <c r="G1005" s="32" t="s">
        <v>112</v>
      </c>
      <c r="H1005" s="33"/>
      <c r="I1005" s="33"/>
      <c r="J1005" s="37"/>
    </row>
    <row r="1006" spans="1:10" x14ac:dyDescent="0.25">
      <c r="A1006" s="32" t="s">
        <v>100</v>
      </c>
      <c r="B1006" s="32">
        <f t="shared" si="247"/>
        <v>2039</v>
      </c>
      <c r="C1006" s="33" t="s">
        <v>11</v>
      </c>
      <c r="D1006" s="34" t="s">
        <v>1999</v>
      </c>
      <c r="E1006" s="35" t="str">
        <f t="shared" si="244"/>
        <v>PRBNP'!</v>
      </c>
      <c r="F1006" s="34" t="str">
        <f t="shared" si="245"/>
        <v>C:\Users\jaime.benazar\Quorum Business Solutions\Ecopetrol Prometeo - Documents\Planning Space Implementation\3. Analysis &amp; Design\Design\FC22\DRR Jaime\QUIFA-CAJÚA\Cajua\[CAJUA_CF_SEC_New_27-Feb-2024Rev3.xlsx]D-PRBNP'!</v>
      </c>
      <c r="G1006" s="32" t="s">
        <v>112</v>
      </c>
      <c r="H1006" s="33"/>
      <c r="I1006" s="33"/>
      <c r="J1006" s="37"/>
    </row>
    <row r="1007" spans="1:10" x14ac:dyDescent="0.25">
      <c r="A1007" s="32" t="s">
        <v>100</v>
      </c>
      <c r="B1007" s="32">
        <f t="shared" si="247"/>
        <v>2040</v>
      </c>
      <c r="C1007" s="33" t="s">
        <v>11</v>
      </c>
      <c r="D1007" s="34" t="s">
        <v>1999</v>
      </c>
      <c r="E1007" s="35" t="str">
        <f t="shared" si="244"/>
        <v>PRBNP'!</v>
      </c>
      <c r="F1007" s="34" t="str">
        <f t="shared" si="245"/>
        <v>C:\Users\jaime.benazar\Quorum Business Solutions\Ecopetrol Prometeo - Documents\Planning Space Implementation\3. Analysis &amp; Design\Design\FC22\DRR Jaime\QUIFA-CAJÚA\Cajua\[CAJUA_CF_SEC_New_27-Feb-2024Rev3.xlsx]D-PRBNP'!</v>
      </c>
      <c r="G1007" s="32" t="s">
        <v>112</v>
      </c>
      <c r="H1007" s="33"/>
      <c r="I1007" s="33"/>
      <c r="J1007" s="37"/>
    </row>
    <row r="1008" spans="1:10" x14ac:dyDescent="0.25">
      <c r="A1008" s="32" t="s">
        <v>100</v>
      </c>
      <c r="B1008" s="32">
        <f>+B1007+1</f>
        <v>2041</v>
      </c>
      <c r="C1008" s="33" t="s">
        <v>11</v>
      </c>
      <c r="D1008" s="34" t="s">
        <v>1999</v>
      </c>
      <c r="E1008" s="35" t="str">
        <f t="shared" si="244"/>
        <v>PRBNP'!</v>
      </c>
      <c r="F1008" s="34" t="str">
        <f t="shared" si="245"/>
        <v>C:\Users\jaime.benazar\Quorum Business Solutions\Ecopetrol Prometeo - Documents\Planning Space Implementation\3. Analysis &amp; Design\Design\FC22\DRR Jaime\QUIFA-CAJÚA\Cajua\[CAJUA_CF_SEC_New_27-Feb-2024Rev3.xlsx]D-PRBNP'!</v>
      </c>
      <c r="G1008" s="32" t="s">
        <v>112</v>
      </c>
      <c r="H1008" s="33"/>
      <c r="I1008" s="33"/>
      <c r="J1008" s="37"/>
    </row>
    <row r="1009" spans="1:10" x14ac:dyDescent="0.25">
      <c r="A1009" s="32" t="s">
        <v>100</v>
      </c>
      <c r="B1009" s="32">
        <f t="shared" ref="B1009:B1010" si="248">+B1008+1</f>
        <v>2042</v>
      </c>
      <c r="C1009" s="33" t="s">
        <v>11</v>
      </c>
      <c r="D1009" s="34" t="s">
        <v>1999</v>
      </c>
      <c r="E1009" s="35" t="str">
        <f t="shared" si="244"/>
        <v>PRBNP'!</v>
      </c>
      <c r="F1009" s="34" t="str">
        <f t="shared" si="245"/>
        <v>C:\Users\jaime.benazar\Quorum Business Solutions\Ecopetrol Prometeo - Documents\Planning Space Implementation\3. Analysis &amp; Design\Design\FC22\DRR Jaime\QUIFA-CAJÚA\Cajua\[CAJUA_CF_SEC_New_27-Feb-2024Rev3.xlsx]D-PRBNP'!</v>
      </c>
      <c r="G1009" s="32" t="s">
        <v>112</v>
      </c>
      <c r="H1009" s="33"/>
      <c r="I1009" s="33"/>
      <c r="J1009" s="37"/>
    </row>
    <row r="1010" spans="1:10" x14ac:dyDescent="0.25">
      <c r="A1010" s="32" t="s">
        <v>100</v>
      </c>
      <c r="B1010" s="32">
        <f t="shared" si="248"/>
        <v>2043</v>
      </c>
      <c r="C1010" s="33" t="s">
        <v>11</v>
      </c>
      <c r="D1010" s="34" t="s">
        <v>1999</v>
      </c>
      <c r="E1010" s="35" t="str">
        <f t="shared" si="244"/>
        <v>PRBNP'!</v>
      </c>
      <c r="F1010" s="34" t="str">
        <f t="shared" si="245"/>
        <v>C:\Users\jaime.benazar\Quorum Business Solutions\Ecopetrol Prometeo - Documents\Planning Space Implementation\3. Analysis &amp; Design\Design\FC22\DRR Jaime\QUIFA-CAJÚA\Cajua\[CAJUA_CF_SEC_New_27-Feb-2024Rev3.xlsx]D-PRBNP'!</v>
      </c>
      <c r="G1010" s="32" t="s">
        <v>112</v>
      </c>
      <c r="H1010" s="33"/>
      <c r="I1010" s="33"/>
      <c r="J1010" s="37"/>
    </row>
    <row r="1011" spans="1:10" x14ac:dyDescent="0.25">
      <c r="A1011" s="32" t="s">
        <v>100</v>
      </c>
      <c r="B1011" s="32">
        <f>+B1010+1</f>
        <v>2044</v>
      </c>
      <c r="C1011" s="33" t="s">
        <v>11</v>
      </c>
      <c r="D1011" s="34" t="s">
        <v>1999</v>
      </c>
      <c r="E1011" s="35" t="str">
        <f t="shared" ref="E1011:E1026" si="249">_xlfn.CONCAT(A1011,"'!")</f>
        <v>PRBNP'!</v>
      </c>
      <c r="F1011" s="34" t="str">
        <f t="shared" ref="F1011:F1026" si="250">_xlfn.CONCAT(D1011:E1011)</f>
        <v>C:\Users\jaime.benazar\Quorum Business Solutions\Ecopetrol Prometeo - Documents\Planning Space Implementation\3. Analysis &amp; Design\Design\FC22\DRR Jaime\QUIFA-CAJÚA\Cajua\[CAJUA_CF_SEC_New_27-Feb-2024Rev3.xlsx]D-PRBNP'!</v>
      </c>
      <c r="G1011" s="32" t="s">
        <v>112</v>
      </c>
      <c r="H1011" s="33"/>
      <c r="I1011" s="33"/>
      <c r="J1011" s="37"/>
    </row>
    <row r="1012" spans="1:10" x14ac:dyDescent="0.25">
      <c r="A1012" s="32" t="s">
        <v>100</v>
      </c>
      <c r="B1012" s="32">
        <f t="shared" ref="B1012:B1026" si="251">+B1011+1</f>
        <v>2045</v>
      </c>
      <c r="C1012" s="33" t="s">
        <v>11</v>
      </c>
      <c r="D1012" s="34" t="s">
        <v>1999</v>
      </c>
      <c r="E1012" s="35" t="str">
        <f t="shared" si="249"/>
        <v>PRBNP'!</v>
      </c>
      <c r="F1012" s="34" t="str">
        <f t="shared" si="250"/>
        <v>C:\Users\jaime.benazar\Quorum Business Solutions\Ecopetrol Prometeo - Documents\Planning Space Implementation\3. Analysis &amp; Design\Design\FC22\DRR Jaime\QUIFA-CAJÚA\Cajua\[CAJUA_CF_SEC_New_27-Feb-2024Rev3.xlsx]D-PRBNP'!</v>
      </c>
      <c r="G1012" s="32" t="s">
        <v>112</v>
      </c>
      <c r="H1012" s="33"/>
      <c r="I1012" s="33"/>
      <c r="J1012" s="37"/>
    </row>
    <row r="1013" spans="1:10" x14ac:dyDescent="0.25">
      <c r="A1013" s="32" t="s">
        <v>100</v>
      </c>
      <c r="B1013" s="32">
        <f t="shared" si="251"/>
        <v>2046</v>
      </c>
      <c r="C1013" s="33" t="s">
        <v>11</v>
      </c>
      <c r="D1013" s="34" t="s">
        <v>1999</v>
      </c>
      <c r="E1013" s="35" t="str">
        <f t="shared" si="249"/>
        <v>PRBNP'!</v>
      </c>
      <c r="F1013" s="34" t="str">
        <f t="shared" si="250"/>
        <v>C:\Users\jaime.benazar\Quorum Business Solutions\Ecopetrol Prometeo - Documents\Planning Space Implementation\3. Analysis &amp; Design\Design\FC22\DRR Jaime\QUIFA-CAJÚA\Cajua\[CAJUA_CF_SEC_New_27-Feb-2024Rev3.xlsx]D-PRBNP'!</v>
      </c>
      <c r="G1013" s="32" t="s">
        <v>112</v>
      </c>
      <c r="H1013" s="33"/>
      <c r="I1013" s="33"/>
      <c r="J1013" s="37"/>
    </row>
    <row r="1014" spans="1:10" x14ac:dyDescent="0.25">
      <c r="A1014" s="32" t="s">
        <v>100</v>
      </c>
      <c r="B1014" s="32">
        <f t="shared" si="251"/>
        <v>2047</v>
      </c>
      <c r="C1014" s="33" t="s">
        <v>11</v>
      </c>
      <c r="D1014" s="34" t="s">
        <v>1999</v>
      </c>
      <c r="E1014" s="35" t="str">
        <f t="shared" si="249"/>
        <v>PRBNP'!</v>
      </c>
      <c r="F1014" s="34" t="str">
        <f t="shared" si="250"/>
        <v>C:\Users\jaime.benazar\Quorum Business Solutions\Ecopetrol Prometeo - Documents\Planning Space Implementation\3. Analysis &amp; Design\Design\FC22\DRR Jaime\QUIFA-CAJÚA\Cajua\[CAJUA_CF_SEC_New_27-Feb-2024Rev3.xlsx]D-PRBNP'!</v>
      </c>
      <c r="G1014" s="32" t="s">
        <v>112</v>
      </c>
      <c r="H1014" s="33"/>
      <c r="I1014" s="33"/>
      <c r="J1014" s="37"/>
    </row>
    <row r="1015" spans="1:10" x14ac:dyDescent="0.25">
      <c r="A1015" s="32" t="s">
        <v>100</v>
      </c>
      <c r="B1015" s="32">
        <f t="shared" si="251"/>
        <v>2048</v>
      </c>
      <c r="C1015" s="33" t="s">
        <v>11</v>
      </c>
      <c r="D1015" s="34" t="s">
        <v>1999</v>
      </c>
      <c r="E1015" s="35" t="str">
        <f t="shared" si="249"/>
        <v>PRBNP'!</v>
      </c>
      <c r="F1015" s="34" t="str">
        <f t="shared" si="250"/>
        <v>C:\Users\jaime.benazar\Quorum Business Solutions\Ecopetrol Prometeo - Documents\Planning Space Implementation\3. Analysis &amp; Design\Design\FC22\DRR Jaime\QUIFA-CAJÚA\Cajua\[CAJUA_CF_SEC_New_27-Feb-2024Rev3.xlsx]D-PRBNP'!</v>
      </c>
      <c r="G1015" s="32" t="s">
        <v>112</v>
      </c>
      <c r="H1015" s="33"/>
      <c r="I1015" s="33"/>
      <c r="J1015" s="37"/>
    </row>
    <row r="1016" spans="1:10" x14ac:dyDescent="0.25">
      <c r="A1016" s="32" t="s">
        <v>100</v>
      </c>
      <c r="B1016" s="32">
        <f t="shared" si="251"/>
        <v>2049</v>
      </c>
      <c r="C1016" s="33" t="s">
        <v>11</v>
      </c>
      <c r="D1016" s="34" t="s">
        <v>1999</v>
      </c>
      <c r="E1016" s="35" t="str">
        <f t="shared" si="249"/>
        <v>PRBNP'!</v>
      </c>
      <c r="F1016" s="34" t="str">
        <f t="shared" si="250"/>
        <v>C:\Users\jaime.benazar\Quorum Business Solutions\Ecopetrol Prometeo - Documents\Planning Space Implementation\3. Analysis &amp; Design\Design\FC22\DRR Jaime\QUIFA-CAJÚA\Cajua\[CAJUA_CF_SEC_New_27-Feb-2024Rev3.xlsx]D-PRBNP'!</v>
      </c>
      <c r="G1016" s="32" t="s">
        <v>112</v>
      </c>
      <c r="H1016" s="33"/>
      <c r="I1016" s="33"/>
      <c r="J1016" s="37"/>
    </row>
    <row r="1017" spans="1:10" x14ac:dyDescent="0.25">
      <c r="A1017" s="32" t="s">
        <v>100</v>
      </c>
      <c r="B1017" s="32">
        <f t="shared" si="251"/>
        <v>2050</v>
      </c>
      <c r="C1017" s="33" t="s">
        <v>11</v>
      </c>
      <c r="D1017" s="34" t="s">
        <v>1999</v>
      </c>
      <c r="E1017" s="35" t="str">
        <f t="shared" si="249"/>
        <v>PRBNP'!</v>
      </c>
      <c r="F1017" s="34" t="str">
        <f t="shared" si="250"/>
        <v>C:\Users\jaime.benazar\Quorum Business Solutions\Ecopetrol Prometeo - Documents\Planning Space Implementation\3. Analysis &amp; Design\Design\FC22\DRR Jaime\QUIFA-CAJÚA\Cajua\[CAJUA_CF_SEC_New_27-Feb-2024Rev3.xlsx]D-PRBNP'!</v>
      </c>
      <c r="G1017" s="32" t="s">
        <v>112</v>
      </c>
      <c r="H1017" s="33"/>
      <c r="I1017" s="33"/>
      <c r="J1017" s="37"/>
    </row>
    <row r="1018" spans="1:10" x14ac:dyDescent="0.25">
      <c r="A1018" s="32" t="s">
        <v>100</v>
      </c>
      <c r="B1018" s="32">
        <f t="shared" si="251"/>
        <v>2051</v>
      </c>
      <c r="C1018" s="33" t="s">
        <v>11</v>
      </c>
      <c r="D1018" s="34" t="s">
        <v>1999</v>
      </c>
      <c r="E1018" s="35" t="str">
        <f t="shared" si="249"/>
        <v>PRBNP'!</v>
      </c>
      <c r="F1018" s="34" t="str">
        <f t="shared" si="250"/>
        <v>C:\Users\jaime.benazar\Quorum Business Solutions\Ecopetrol Prometeo - Documents\Planning Space Implementation\3. Analysis &amp; Design\Design\FC22\DRR Jaime\QUIFA-CAJÚA\Cajua\[CAJUA_CF_SEC_New_27-Feb-2024Rev3.xlsx]D-PRBNP'!</v>
      </c>
      <c r="G1018" s="32" t="s">
        <v>112</v>
      </c>
      <c r="H1018" s="33"/>
      <c r="I1018" s="33"/>
      <c r="J1018" s="37"/>
    </row>
    <row r="1019" spans="1:10" x14ac:dyDescent="0.25">
      <c r="A1019" s="32" t="s">
        <v>100</v>
      </c>
      <c r="B1019" s="32">
        <f t="shared" si="251"/>
        <v>2052</v>
      </c>
      <c r="C1019" s="33" t="s">
        <v>11</v>
      </c>
      <c r="D1019" s="34" t="s">
        <v>1999</v>
      </c>
      <c r="E1019" s="35" t="str">
        <f t="shared" si="249"/>
        <v>PRBNP'!</v>
      </c>
      <c r="F1019" s="34" t="str">
        <f t="shared" si="250"/>
        <v>C:\Users\jaime.benazar\Quorum Business Solutions\Ecopetrol Prometeo - Documents\Planning Space Implementation\3. Analysis &amp; Design\Design\FC22\DRR Jaime\QUIFA-CAJÚA\Cajua\[CAJUA_CF_SEC_New_27-Feb-2024Rev3.xlsx]D-PRBNP'!</v>
      </c>
      <c r="G1019" s="32" t="s">
        <v>112</v>
      </c>
      <c r="H1019" s="33"/>
      <c r="I1019" s="33"/>
      <c r="J1019" s="37"/>
    </row>
    <row r="1020" spans="1:10" x14ac:dyDescent="0.25">
      <c r="A1020" s="32" t="s">
        <v>100</v>
      </c>
      <c r="B1020" s="32">
        <f t="shared" si="251"/>
        <v>2053</v>
      </c>
      <c r="C1020" s="33" t="s">
        <v>11</v>
      </c>
      <c r="D1020" s="34" t="s">
        <v>1999</v>
      </c>
      <c r="E1020" s="35" t="str">
        <f t="shared" si="249"/>
        <v>PRBNP'!</v>
      </c>
      <c r="F1020" s="34" t="str">
        <f t="shared" si="250"/>
        <v>C:\Users\jaime.benazar\Quorum Business Solutions\Ecopetrol Prometeo - Documents\Planning Space Implementation\3. Analysis &amp; Design\Design\FC22\DRR Jaime\QUIFA-CAJÚA\Cajua\[CAJUA_CF_SEC_New_27-Feb-2024Rev3.xlsx]D-PRBNP'!</v>
      </c>
      <c r="G1020" s="32" t="s">
        <v>112</v>
      </c>
      <c r="H1020" s="33"/>
      <c r="I1020" s="33"/>
      <c r="J1020" s="37"/>
    </row>
    <row r="1021" spans="1:10" x14ac:dyDescent="0.25">
      <c r="A1021" s="32" t="s">
        <v>100</v>
      </c>
      <c r="B1021" s="32">
        <f t="shared" si="251"/>
        <v>2054</v>
      </c>
      <c r="C1021" s="33" t="s">
        <v>11</v>
      </c>
      <c r="D1021" s="34" t="s">
        <v>1999</v>
      </c>
      <c r="E1021" s="35" t="str">
        <f t="shared" si="249"/>
        <v>PRBNP'!</v>
      </c>
      <c r="F1021" s="34" t="str">
        <f t="shared" si="250"/>
        <v>C:\Users\jaime.benazar\Quorum Business Solutions\Ecopetrol Prometeo - Documents\Planning Space Implementation\3. Analysis &amp; Design\Design\FC22\DRR Jaime\QUIFA-CAJÚA\Cajua\[CAJUA_CF_SEC_New_27-Feb-2024Rev3.xlsx]D-PRBNP'!</v>
      </c>
      <c r="G1021" s="32" t="s">
        <v>112</v>
      </c>
      <c r="H1021" s="33"/>
      <c r="I1021" s="33"/>
      <c r="J1021" s="37"/>
    </row>
    <row r="1022" spans="1:10" x14ac:dyDescent="0.25">
      <c r="A1022" s="32" t="s">
        <v>100</v>
      </c>
      <c r="B1022" s="32">
        <f t="shared" si="251"/>
        <v>2055</v>
      </c>
      <c r="C1022" s="33" t="s">
        <v>11</v>
      </c>
      <c r="D1022" s="34" t="s">
        <v>1999</v>
      </c>
      <c r="E1022" s="35" t="str">
        <f t="shared" si="249"/>
        <v>PRBNP'!</v>
      </c>
      <c r="F1022" s="34" t="str">
        <f t="shared" si="250"/>
        <v>C:\Users\jaime.benazar\Quorum Business Solutions\Ecopetrol Prometeo - Documents\Planning Space Implementation\3. Analysis &amp; Design\Design\FC22\DRR Jaime\QUIFA-CAJÚA\Cajua\[CAJUA_CF_SEC_New_27-Feb-2024Rev3.xlsx]D-PRBNP'!</v>
      </c>
      <c r="G1022" s="32" t="s">
        <v>112</v>
      </c>
      <c r="H1022" s="33"/>
      <c r="I1022" s="33"/>
      <c r="J1022" s="37"/>
    </row>
    <row r="1023" spans="1:10" x14ac:dyDescent="0.25">
      <c r="A1023" s="32" t="s">
        <v>100</v>
      </c>
      <c r="B1023" s="32">
        <f t="shared" si="251"/>
        <v>2056</v>
      </c>
      <c r="C1023" s="33" t="s">
        <v>11</v>
      </c>
      <c r="D1023" s="34" t="s">
        <v>1999</v>
      </c>
      <c r="E1023" s="35" t="str">
        <f t="shared" si="249"/>
        <v>PRBNP'!</v>
      </c>
      <c r="F1023" s="34" t="str">
        <f t="shared" si="250"/>
        <v>C:\Users\jaime.benazar\Quorum Business Solutions\Ecopetrol Prometeo - Documents\Planning Space Implementation\3. Analysis &amp; Design\Design\FC22\DRR Jaime\QUIFA-CAJÚA\Cajua\[CAJUA_CF_SEC_New_27-Feb-2024Rev3.xlsx]D-PRBNP'!</v>
      </c>
      <c r="G1023" s="32" t="s">
        <v>112</v>
      </c>
      <c r="H1023" s="33"/>
      <c r="I1023" s="33"/>
      <c r="J1023" s="37"/>
    </row>
    <row r="1024" spans="1:10" x14ac:dyDescent="0.25">
      <c r="A1024" s="32" t="s">
        <v>100</v>
      </c>
      <c r="B1024" s="32">
        <f t="shared" si="251"/>
        <v>2057</v>
      </c>
      <c r="C1024" s="33" t="s">
        <v>11</v>
      </c>
      <c r="D1024" s="34" t="s">
        <v>1999</v>
      </c>
      <c r="E1024" s="35" t="str">
        <f t="shared" si="249"/>
        <v>PRBNP'!</v>
      </c>
      <c r="F1024" s="34" t="str">
        <f t="shared" si="250"/>
        <v>C:\Users\jaime.benazar\Quorum Business Solutions\Ecopetrol Prometeo - Documents\Planning Space Implementation\3. Analysis &amp; Design\Design\FC22\DRR Jaime\QUIFA-CAJÚA\Cajua\[CAJUA_CF_SEC_New_27-Feb-2024Rev3.xlsx]D-PRBNP'!</v>
      </c>
      <c r="G1024" s="32" t="s">
        <v>112</v>
      </c>
      <c r="H1024" s="33"/>
      <c r="I1024" s="33"/>
      <c r="J1024" s="37"/>
    </row>
    <row r="1025" spans="1:10" x14ac:dyDescent="0.25">
      <c r="A1025" s="32" t="s">
        <v>100</v>
      </c>
      <c r="B1025" s="32">
        <f t="shared" si="251"/>
        <v>2058</v>
      </c>
      <c r="C1025" s="33" t="s">
        <v>11</v>
      </c>
      <c r="D1025" s="34" t="s">
        <v>1999</v>
      </c>
      <c r="E1025" s="35" t="str">
        <f t="shared" si="249"/>
        <v>PRBNP'!</v>
      </c>
      <c r="F1025" s="34" t="str">
        <f t="shared" si="250"/>
        <v>C:\Users\jaime.benazar\Quorum Business Solutions\Ecopetrol Prometeo - Documents\Planning Space Implementation\3. Analysis &amp; Design\Design\FC22\DRR Jaime\QUIFA-CAJÚA\Cajua\[CAJUA_CF_SEC_New_27-Feb-2024Rev3.xlsx]D-PRBNP'!</v>
      </c>
      <c r="G1025" s="32" t="s">
        <v>112</v>
      </c>
      <c r="H1025" s="33"/>
      <c r="I1025" s="33"/>
      <c r="J1025" s="37"/>
    </row>
    <row r="1026" spans="1:10" x14ac:dyDescent="0.25">
      <c r="A1026" s="32" t="s">
        <v>100</v>
      </c>
      <c r="B1026" s="32">
        <f t="shared" si="251"/>
        <v>2059</v>
      </c>
      <c r="C1026" s="33" t="s">
        <v>11</v>
      </c>
      <c r="D1026" s="34" t="s">
        <v>1999</v>
      </c>
      <c r="E1026" s="35" t="str">
        <f t="shared" si="249"/>
        <v>PRBNP'!</v>
      </c>
      <c r="F1026" s="34" t="str">
        <f t="shared" si="250"/>
        <v>C:\Users\jaime.benazar\Quorum Business Solutions\Ecopetrol Prometeo - Documents\Planning Space Implementation\3. Analysis &amp; Design\Design\FC22\DRR Jaime\QUIFA-CAJÚA\Cajua\[CAJUA_CF_SEC_New_27-Feb-2024Rev3.xlsx]D-PRBNP'!</v>
      </c>
      <c r="G1026" s="32" t="s">
        <v>112</v>
      </c>
      <c r="H1026" s="33"/>
      <c r="I1026" s="33"/>
      <c r="J1026" s="37"/>
    </row>
    <row r="1027" spans="1:10" x14ac:dyDescent="0.25">
      <c r="A1027" s="32" t="s">
        <v>28</v>
      </c>
      <c r="B1027" s="32"/>
      <c r="C1027" s="33" t="s">
        <v>11</v>
      </c>
      <c r="D1027" s="34"/>
      <c r="E1027" s="35"/>
      <c r="F1027" s="34"/>
      <c r="G1027" s="32"/>
      <c r="H1027" s="33"/>
      <c r="I1027" s="33"/>
      <c r="J1027" s="33"/>
    </row>
    <row r="1028" spans="1:10" x14ac:dyDescent="0.25">
      <c r="A1028" s="32" t="s">
        <v>101</v>
      </c>
      <c r="B1028" s="32">
        <v>2023</v>
      </c>
      <c r="C1028" s="33" t="s">
        <v>11</v>
      </c>
      <c r="D1028" s="34" t="s">
        <v>1999</v>
      </c>
      <c r="E1028" s="35" t="str">
        <f t="shared" ref="E1028:E1048" si="252">_xlfn.CONCAT(A1028,"'!")</f>
        <v>PRBND'!</v>
      </c>
      <c r="F1028" s="34" t="str">
        <f t="shared" ref="F1028:F1048" si="253">_xlfn.CONCAT(D1028:E1028)</f>
        <v>C:\Users\jaime.benazar\Quorum Business Solutions\Ecopetrol Prometeo - Documents\Planning Space Implementation\3. Analysis &amp; Design\Design\FC22\DRR Jaime\QUIFA-CAJÚA\Cajua\[CAJUA_CF_SEC_New_27-Feb-2024Rev3.xlsx]D-PRBND'!</v>
      </c>
      <c r="G1028" s="32" t="s">
        <v>112</v>
      </c>
      <c r="H1028" s="33"/>
      <c r="I1028" s="33"/>
      <c r="J1028" s="37"/>
    </row>
    <row r="1029" spans="1:10" x14ac:dyDescent="0.25">
      <c r="A1029" s="32" t="s">
        <v>101</v>
      </c>
      <c r="B1029" s="32">
        <f>+B1028+1</f>
        <v>2024</v>
      </c>
      <c r="C1029" s="33" t="s">
        <v>11</v>
      </c>
      <c r="D1029" s="34" t="s">
        <v>1999</v>
      </c>
      <c r="E1029" s="35" t="str">
        <f t="shared" si="252"/>
        <v>PRBND'!</v>
      </c>
      <c r="F1029" s="34" t="str">
        <f t="shared" si="253"/>
        <v>C:\Users\jaime.benazar\Quorum Business Solutions\Ecopetrol Prometeo - Documents\Planning Space Implementation\3. Analysis &amp; Design\Design\FC22\DRR Jaime\QUIFA-CAJÚA\Cajua\[CAJUA_CF_SEC_New_27-Feb-2024Rev3.xlsx]D-PRBND'!</v>
      </c>
      <c r="G1029" s="32" t="s">
        <v>112</v>
      </c>
      <c r="H1029" s="33"/>
      <c r="I1029" s="33"/>
      <c r="J1029" s="37"/>
    </row>
    <row r="1030" spans="1:10" x14ac:dyDescent="0.25">
      <c r="A1030" s="32" t="s">
        <v>101</v>
      </c>
      <c r="B1030" s="32">
        <f t="shared" ref="B1030:B1041" si="254">+B1029+1</f>
        <v>2025</v>
      </c>
      <c r="C1030" s="33" t="s">
        <v>11</v>
      </c>
      <c r="D1030" s="34" t="s">
        <v>1999</v>
      </c>
      <c r="E1030" s="35" t="str">
        <f t="shared" si="252"/>
        <v>PRBND'!</v>
      </c>
      <c r="F1030" s="34" t="str">
        <f t="shared" si="253"/>
        <v>C:\Users\jaime.benazar\Quorum Business Solutions\Ecopetrol Prometeo - Documents\Planning Space Implementation\3. Analysis &amp; Design\Design\FC22\DRR Jaime\QUIFA-CAJÚA\Cajua\[CAJUA_CF_SEC_New_27-Feb-2024Rev3.xlsx]D-PRBND'!</v>
      </c>
      <c r="G1030" s="32" t="s">
        <v>112</v>
      </c>
      <c r="H1030" s="33"/>
      <c r="I1030" s="33"/>
      <c r="J1030" s="37"/>
    </row>
    <row r="1031" spans="1:10" x14ac:dyDescent="0.25">
      <c r="A1031" s="32" t="s">
        <v>101</v>
      </c>
      <c r="B1031" s="32">
        <f t="shared" si="254"/>
        <v>2026</v>
      </c>
      <c r="C1031" s="33" t="s">
        <v>11</v>
      </c>
      <c r="D1031" s="34" t="s">
        <v>1999</v>
      </c>
      <c r="E1031" s="35" t="str">
        <f t="shared" si="252"/>
        <v>PRBND'!</v>
      </c>
      <c r="F1031" s="34" t="str">
        <f t="shared" si="253"/>
        <v>C:\Users\jaime.benazar\Quorum Business Solutions\Ecopetrol Prometeo - Documents\Planning Space Implementation\3. Analysis &amp; Design\Design\FC22\DRR Jaime\QUIFA-CAJÚA\Cajua\[CAJUA_CF_SEC_New_27-Feb-2024Rev3.xlsx]D-PRBND'!</v>
      </c>
      <c r="G1031" s="32" t="s">
        <v>112</v>
      </c>
      <c r="H1031" s="33"/>
      <c r="I1031" s="33"/>
      <c r="J1031" s="37"/>
    </row>
    <row r="1032" spans="1:10" x14ac:dyDescent="0.25">
      <c r="A1032" s="32" t="s">
        <v>101</v>
      </c>
      <c r="B1032" s="32">
        <f t="shared" si="254"/>
        <v>2027</v>
      </c>
      <c r="C1032" s="33" t="s">
        <v>11</v>
      </c>
      <c r="D1032" s="34" t="s">
        <v>1999</v>
      </c>
      <c r="E1032" s="35" t="str">
        <f t="shared" si="252"/>
        <v>PRBND'!</v>
      </c>
      <c r="F1032" s="34" t="str">
        <f t="shared" si="253"/>
        <v>C:\Users\jaime.benazar\Quorum Business Solutions\Ecopetrol Prometeo - Documents\Planning Space Implementation\3. Analysis &amp; Design\Design\FC22\DRR Jaime\QUIFA-CAJÚA\Cajua\[CAJUA_CF_SEC_New_27-Feb-2024Rev3.xlsx]D-PRBND'!</v>
      </c>
      <c r="G1032" s="32" t="s">
        <v>112</v>
      </c>
      <c r="H1032" s="33"/>
      <c r="I1032" s="33"/>
      <c r="J1032" s="37"/>
    </row>
    <row r="1033" spans="1:10" x14ac:dyDescent="0.25">
      <c r="A1033" s="32" t="s">
        <v>101</v>
      </c>
      <c r="B1033" s="32">
        <f t="shared" si="254"/>
        <v>2028</v>
      </c>
      <c r="C1033" s="33" t="s">
        <v>11</v>
      </c>
      <c r="D1033" s="34" t="s">
        <v>1999</v>
      </c>
      <c r="E1033" s="35" t="str">
        <f t="shared" si="252"/>
        <v>PRBND'!</v>
      </c>
      <c r="F1033" s="34" t="str">
        <f t="shared" si="253"/>
        <v>C:\Users\jaime.benazar\Quorum Business Solutions\Ecopetrol Prometeo - Documents\Planning Space Implementation\3. Analysis &amp; Design\Design\FC22\DRR Jaime\QUIFA-CAJÚA\Cajua\[CAJUA_CF_SEC_New_27-Feb-2024Rev3.xlsx]D-PRBND'!</v>
      </c>
      <c r="G1033" s="32" t="s">
        <v>112</v>
      </c>
      <c r="H1033" s="33"/>
      <c r="I1033" s="33"/>
      <c r="J1033" s="37"/>
    </row>
    <row r="1034" spans="1:10" x14ac:dyDescent="0.25">
      <c r="A1034" s="32" t="s">
        <v>101</v>
      </c>
      <c r="B1034" s="32">
        <f t="shared" si="254"/>
        <v>2029</v>
      </c>
      <c r="C1034" s="33" t="s">
        <v>11</v>
      </c>
      <c r="D1034" s="34" t="s">
        <v>1999</v>
      </c>
      <c r="E1034" s="35" t="str">
        <f t="shared" si="252"/>
        <v>PRBND'!</v>
      </c>
      <c r="F1034" s="34" t="str">
        <f t="shared" si="253"/>
        <v>C:\Users\jaime.benazar\Quorum Business Solutions\Ecopetrol Prometeo - Documents\Planning Space Implementation\3. Analysis &amp; Design\Design\FC22\DRR Jaime\QUIFA-CAJÚA\Cajua\[CAJUA_CF_SEC_New_27-Feb-2024Rev3.xlsx]D-PRBND'!</v>
      </c>
      <c r="G1034" s="32" t="s">
        <v>112</v>
      </c>
      <c r="H1034" s="33"/>
      <c r="I1034" s="33"/>
      <c r="J1034" s="37"/>
    </row>
    <row r="1035" spans="1:10" x14ac:dyDescent="0.25">
      <c r="A1035" s="32" t="s">
        <v>101</v>
      </c>
      <c r="B1035" s="32">
        <f t="shared" si="254"/>
        <v>2030</v>
      </c>
      <c r="C1035" s="33" t="s">
        <v>11</v>
      </c>
      <c r="D1035" s="34" t="s">
        <v>1999</v>
      </c>
      <c r="E1035" s="35" t="str">
        <f t="shared" si="252"/>
        <v>PRBND'!</v>
      </c>
      <c r="F1035" s="34" t="str">
        <f t="shared" si="253"/>
        <v>C:\Users\jaime.benazar\Quorum Business Solutions\Ecopetrol Prometeo - Documents\Planning Space Implementation\3. Analysis &amp; Design\Design\FC22\DRR Jaime\QUIFA-CAJÚA\Cajua\[CAJUA_CF_SEC_New_27-Feb-2024Rev3.xlsx]D-PRBND'!</v>
      </c>
      <c r="G1035" s="32" t="s">
        <v>112</v>
      </c>
      <c r="H1035" s="33"/>
      <c r="I1035" s="33"/>
      <c r="J1035" s="37"/>
    </row>
    <row r="1036" spans="1:10" x14ac:dyDescent="0.25">
      <c r="A1036" s="32" t="s">
        <v>101</v>
      </c>
      <c r="B1036" s="32">
        <f t="shared" si="254"/>
        <v>2031</v>
      </c>
      <c r="C1036" s="33" t="s">
        <v>11</v>
      </c>
      <c r="D1036" s="34" t="s">
        <v>1999</v>
      </c>
      <c r="E1036" s="35" t="str">
        <f t="shared" si="252"/>
        <v>PRBND'!</v>
      </c>
      <c r="F1036" s="34" t="str">
        <f t="shared" si="253"/>
        <v>C:\Users\jaime.benazar\Quorum Business Solutions\Ecopetrol Prometeo - Documents\Planning Space Implementation\3. Analysis &amp; Design\Design\FC22\DRR Jaime\QUIFA-CAJÚA\Cajua\[CAJUA_CF_SEC_New_27-Feb-2024Rev3.xlsx]D-PRBND'!</v>
      </c>
      <c r="G1036" s="32" t="s">
        <v>112</v>
      </c>
      <c r="H1036" s="33"/>
      <c r="I1036" s="33"/>
      <c r="J1036" s="37"/>
    </row>
    <row r="1037" spans="1:10" x14ac:dyDescent="0.25">
      <c r="A1037" s="32" t="s">
        <v>101</v>
      </c>
      <c r="B1037" s="32">
        <f t="shared" si="254"/>
        <v>2032</v>
      </c>
      <c r="C1037" s="33" t="s">
        <v>11</v>
      </c>
      <c r="D1037" s="34" t="s">
        <v>1999</v>
      </c>
      <c r="E1037" s="35" t="str">
        <f t="shared" si="252"/>
        <v>PRBND'!</v>
      </c>
      <c r="F1037" s="34" t="str">
        <f t="shared" si="253"/>
        <v>C:\Users\jaime.benazar\Quorum Business Solutions\Ecopetrol Prometeo - Documents\Planning Space Implementation\3. Analysis &amp; Design\Design\FC22\DRR Jaime\QUIFA-CAJÚA\Cajua\[CAJUA_CF_SEC_New_27-Feb-2024Rev3.xlsx]D-PRBND'!</v>
      </c>
      <c r="G1037" s="32" t="s">
        <v>112</v>
      </c>
      <c r="H1037" s="33"/>
      <c r="I1037" s="33"/>
      <c r="J1037" s="37"/>
    </row>
    <row r="1038" spans="1:10" x14ac:dyDescent="0.25">
      <c r="A1038" s="32" t="s">
        <v>101</v>
      </c>
      <c r="B1038" s="32">
        <f t="shared" si="254"/>
        <v>2033</v>
      </c>
      <c r="C1038" s="33" t="s">
        <v>11</v>
      </c>
      <c r="D1038" s="34" t="s">
        <v>1999</v>
      </c>
      <c r="E1038" s="35" t="str">
        <f t="shared" si="252"/>
        <v>PRBND'!</v>
      </c>
      <c r="F1038" s="34" t="str">
        <f t="shared" si="253"/>
        <v>C:\Users\jaime.benazar\Quorum Business Solutions\Ecopetrol Prometeo - Documents\Planning Space Implementation\3. Analysis &amp; Design\Design\FC22\DRR Jaime\QUIFA-CAJÚA\Cajua\[CAJUA_CF_SEC_New_27-Feb-2024Rev3.xlsx]D-PRBND'!</v>
      </c>
      <c r="G1038" s="32" t="s">
        <v>112</v>
      </c>
      <c r="H1038" s="33"/>
      <c r="I1038" s="33"/>
      <c r="J1038" s="37"/>
    </row>
    <row r="1039" spans="1:10" x14ac:dyDescent="0.25">
      <c r="A1039" s="32" t="s">
        <v>101</v>
      </c>
      <c r="B1039" s="32">
        <f t="shared" si="254"/>
        <v>2034</v>
      </c>
      <c r="C1039" s="33" t="s">
        <v>11</v>
      </c>
      <c r="D1039" s="34" t="s">
        <v>1999</v>
      </c>
      <c r="E1039" s="35" t="str">
        <f t="shared" si="252"/>
        <v>PRBND'!</v>
      </c>
      <c r="F1039" s="34" t="str">
        <f t="shared" si="253"/>
        <v>C:\Users\jaime.benazar\Quorum Business Solutions\Ecopetrol Prometeo - Documents\Planning Space Implementation\3. Analysis &amp; Design\Design\FC22\DRR Jaime\QUIFA-CAJÚA\Cajua\[CAJUA_CF_SEC_New_27-Feb-2024Rev3.xlsx]D-PRBND'!</v>
      </c>
      <c r="G1039" s="32" t="s">
        <v>112</v>
      </c>
      <c r="H1039" s="33"/>
      <c r="I1039" s="33"/>
      <c r="J1039" s="37"/>
    </row>
    <row r="1040" spans="1:10" x14ac:dyDescent="0.25">
      <c r="A1040" s="32" t="s">
        <v>101</v>
      </c>
      <c r="B1040" s="32">
        <f t="shared" si="254"/>
        <v>2035</v>
      </c>
      <c r="C1040" s="33" t="s">
        <v>11</v>
      </c>
      <c r="D1040" s="34" t="s">
        <v>1999</v>
      </c>
      <c r="E1040" s="35" t="str">
        <f t="shared" si="252"/>
        <v>PRBND'!</v>
      </c>
      <c r="F1040" s="34" t="str">
        <f t="shared" si="253"/>
        <v>C:\Users\jaime.benazar\Quorum Business Solutions\Ecopetrol Prometeo - Documents\Planning Space Implementation\3. Analysis &amp; Design\Design\FC22\DRR Jaime\QUIFA-CAJÚA\Cajua\[CAJUA_CF_SEC_New_27-Feb-2024Rev3.xlsx]D-PRBND'!</v>
      </c>
      <c r="G1040" s="32" t="s">
        <v>112</v>
      </c>
      <c r="H1040" s="33"/>
      <c r="I1040" s="33"/>
      <c r="J1040" s="37"/>
    </row>
    <row r="1041" spans="1:10" x14ac:dyDescent="0.25">
      <c r="A1041" s="32" t="s">
        <v>101</v>
      </c>
      <c r="B1041" s="32">
        <f t="shared" si="254"/>
        <v>2036</v>
      </c>
      <c r="C1041" s="33" t="s">
        <v>11</v>
      </c>
      <c r="D1041" s="34" t="s">
        <v>1999</v>
      </c>
      <c r="E1041" s="35" t="str">
        <f t="shared" si="252"/>
        <v>PRBND'!</v>
      </c>
      <c r="F1041" s="34" t="str">
        <f t="shared" si="253"/>
        <v>C:\Users\jaime.benazar\Quorum Business Solutions\Ecopetrol Prometeo - Documents\Planning Space Implementation\3. Analysis &amp; Design\Design\FC22\DRR Jaime\QUIFA-CAJÚA\Cajua\[CAJUA_CF_SEC_New_27-Feb-2024Rev3.xlsx]D-PRBND'!</v>
      </c>
      <c r="G1041" s="32" t="s">
        <v>112</v>
      </c>
      <c r="H1041" s="33"/>
      <c r="I1041" s="33"/>
      <c r="J1041" s="37"/>
    </row>
    <row r="1042" spans="1:10" x14ac:dyDescent="0.25">
      <c r="A1042" s="32" t="s">
        <v>101</v>
      </c>
      <c r="B1042" s="32">
        <f>+B1041+1</f>
        <v>2037</v>
      </c>
      <c r="C1042" s="33" t="s">
        <v>11</v>
      </c>
      <c r="D1042" s="34" t="s">
        <v>1999</v>
      </c>
      <c r="E1042" s="35" t="str">
        <f t="shared" si="252"/>
        <v>PRBND'!</v>
      </c>
      <c r="F1042" s="34" t="str">
        <f t="shared" si="253"/>
        <v>C:\Users\jaime.benazar\Quorum Business Solutions\Ecopetrol Prometeo - Documents\Planning Space Implementation\3. Analysis &amp; Design\Design\FC22\DRR Jaime\QUIFA-CAJÚA\Cajua\[CAJUA_CF_SEC_New_27-Feb-2024Rev3.xlsx]D-PRBND'!</v>
      </c>
      <c r="G1042" s="32" t="s">
        <v>112</v>
      </c>
      <c r="H1042" s="33"/>
      <c r="I1042" s="33"/>
      <c r="J1042" s="37"/>
    </row>
    <row r="1043" spans="1:10" x14ac:dyDescent="0.25">
      <c r="A1043" s="32" t="s">
        <v>101</v>
      </c>
      <c r="B1043" s="32">
        <f t="shared" ref="B1043:B1045" si="255">+B1042+1</f>
        <v>2038</v>
      </c>
      <c r="C1043" s="33" t="s">
        <v>11</v>
      </c>
      <c r="D1043" s="34" t="s">
        <v>1999</v>
      </c>
      <c r="E1043" s="35" t="str">
        <f t="shared" si="252"/>
        <v>PRBND'!</v>
      </c>
      <c r="F1043" s="34" t="str">
        <f t="shared" si="253"/>
        <v>C:\Users\jaime.benazar\Quorum Business Solutions\Ecopetrol Prometeo - Documents\Planning Space Implementation\3. Analysis &amp; Design\Design\FC22\DRR Jaime\QUIFA-CAJÚA\Cajua\[CAJUA_CF_SEC_New_27-Feb-2024Rev3.xlsx]D-PRBND'!</v>
      </c>
      <c r="G1043" s="32" t="s">
        <v>112</v>
      </c>
      <c r="H1043" s="33"/>
      <c r="I1043" s="33"/>
      <c r="J1043" s="37"/>
    </row>
    <row r="1044" spans="1:10" x14ac:dyDescent="0.25">
      <c r="A1044" s="32" t="s">
        <v>101</v>
      </c>
      <c r="B1044" s="32">
        <f t="shared" si="255"/>
        <v>2039</v>
      </c>
      <c r="C1044" s="33" t="s">
        <v>11</v>
      </c>
      <c r="D1044" s="34" t="s">
        <v>1999</v>
      </c>
      <c r="E1044" s="35" t="str">
        <f t="shared" si="252"/>
        <v>PRBND'!</v>
      </c>
      <c r="F1044" s="34" t="str">
        <f t="shared" si="253"/>
        <v>C:\Users\jaime.benazar\Quorum Business Solutions\Ecopetrol Prometeo - Documents\Planning Space Implementation\3. Analysis &amp; Design\Design\FC22\DRR Jaime\QUIFA-CAJÚA\Cajua\[CAJUA_CF_SEC_New_27-Feb-2024Rev3.xlsx]D-PRBND'!</v>
      </c>
      <c r="G1044" s="32" t="s">
        <v>112</v>
      </c>
      <c r="H1044" s="33"/>
      <c r="I1044" s="33"/>
      <c r="J1044" s="37"/>
    </row>
    <row r="1045" spans="1:10" x14ac:dyDescent="0.25">
      <c r="A1045" s="32" t="s">
        <v>101</v>
      </c>
      <c r="B1045" s="32">
        <f t="shared" si="255"/>
        <v>2040</v>
      </c>
      <c r="C1045" s="33" t="s">
        <v>11</v>
      </c>
      <c r="D1045" s="34" t="s">
        <v>1999</v>
      </c>
      <c r="E1045" s="35" t="str">
        <f t="shared" si="252"/>
        <v>PRBND'!</v>
      </c>
      <c r="F1045" s="34" t="str">
        <f t="shared" si="253"/>
        <v>C:\Users\jaime.benazar\Quorum Business Solutions\Ecopetrol Prometeo - Documents\Planning Space Implementation\3. Analysis &amp; Design\Design\FC22\DRR Jaime\QUIFA-CAJÚA\Cajua\[CAJUA_CF_SEC_New_27-Feb-2024Rev3.xlsx]D-PRBND'!</v>
      </c>
      <c r="G1045" s="32" t="s">
        <v>112</v>
      </c>
      <c r="H1045" s="33"/>
      <c r="I1045" s="33"/>
      <c r="J1045" s="37"/>
    </row>
    <row r="1046" spans="1:10" x14ac:dyDescent="0.25">
      <c r="A1046" s="32" t="s">
        <v>101</v>
      </c>
      <c r="B1046" s="32">
        <f>+B1045+1</f>
        <v>2041</v>
      </c>
      <c r="C1046" s="33" t="s">
        <v>11</v>
      </c>
      <c r="D1046" s="34" t="s">
        <v>1999</v>
      </c>
      <c r="E1046" s="35" t="str">
        <f t="shared" si="252"/>
        <v>PRBND'!</v>
      </c>
      <c r="F1046" s="34" t="str">
        <f t="shared" si="253"/>
        <v>C:\Users\jaime.benazar\Quorum Business Solutions\Ecopetrol Prometeo - Documents\Planning Space Implementation\3. Analysis &amp; Design\Design\FC22\DRR Jaime\QUIFA-CAJÚA\Cajua\[CAJUA_CF_SEC_New_27-Feb-2024Rev3.xlsx]D-PRBND'!</v>
      </c>
      <c r="G1046" s="32" t="s">
        <v>112</v>
      </c>
      <c r="H1046" s="33"/>
      <c r="I1046" s="33"/>
      <c r="J1046" s="37"/>
    </row>
    <row r="1047" spans="1:10" x14ac:dyDescent="0.25">
      <c r="A1047" s="32" t="s">
        <v>101</v>
      </c>
      <c r="B1047" s="32">
        <f t="shared" ref="B1047:B1048" si="256">+B1046+1</f>
        <v>2042</v>
      </c>
      <c r="C1047" s="33" t="s">
        <v>11</v>
      </c>
      <c r="D1047" s="34" t="s">
        <v>1999</v>
      </c>
      <c r="E1047" s="35" t="str">
        <f t="shared" si="252"/>
        <v>PRBND'!</v>
      </c>
      <c r="F1047" s="34" t="str">
        <f t="shared" si="253"/>
        <v>C:\Users\jaime.benazar\Quorum Business Solutions\Ecopetrol Prometeo - Documents\Planning Space Implementation\3. Analysis &amp; Design\Design\FC22\DRR Jaime\QUIFA-CAJÚA\Cajua\[CAJUA_CF_SEC_New_27-Feb-2024Rev3.xlsx]D-PRBND'!</v>
      </c>
      <c r="G1047" s="32" t="s">
        <v>112</v>
      </c>
      <c r="H1047" s="33"/>
      <c r="I1047" s="33"/>
      <c r="J1047" s="37"/>
    </row>
    <row r="1048" spans="1:10" x14ac:dyDescent="0.25">
      <c r="A1048" s="32" t="s">
        <v>101</v>
      </c>
      <c r="B1048" s="32">
        <f t="shared" si="256"/>
        <v>2043</v>
      </c>
      <c r="C1048" s="33" t="s">
        <v>11</v>
      </c>
      <c r="D1048" s="34" t="s">
        <v>1999</v>
      </c>
      <c r="E1048" s="35" t="str">
        <f t="shared" si="252"/>
        <v>PRBND'!</v>
      </c>
      <c r="F1048" s="34" t="str">
        <f t="shared" si="253"/>
        <v>C:\Users\jaime.benazar\Quorum Business Solutions\Ecopetrol Prometeo - Documents\Planning Space Implementation\3. Analysis &amp; Design\Design\FC22\DRR Jaime\QUIFA-CAJÚA\Cajua\[CAJUA_CF_SEC_New_27-Feb-2024Rev3.xlsx]D-PRBND'!</v>
      </c>
      <c r="G1048" s="32" t="s">
        <v>112</v>
      </c>
      <c r="H1048" s="33"/>
      <c r="I1048" s="33"/>
      <c r="J1048" s="37"/>
    </row>
    <row r="1049" spans="1:10" x14ac:dyDescent="0.25">
      <c r="A1049" s="32" t="s">
        <v>101</v>
      </c>
      <c r="B1049" s="32">
        <f>+B1048+1</f>
        <v>2044</v>
      </c>
      <c r="C1049" s="33" t="s">
        <v>11</v>
      </c>
      <c r="D1049" s="34" t="s">
        <v>1999</v>
      </c>
      <c r="E1049" s="35" t="str">
        <f t="shared" ref="E1049:E1064" si="257">_xlfn.CONCAT(A1049,"'!")</f>
        <v>PRBND'!</v>
      </c>
      <c r="F1049" s="34" t="str">
        <f t="shared" ref="F1049:F1064" si="258">_xlfn.CONCAT(D1049:E1049)</f>
        <v>C:\Users\jaime.benazar\Quorum Business Solutions\Ecopetrol Prometeo - Documents\Planning Space Implementation\3. Analysis &amp; Design\Design\FC22\DRR Jaime\QUIFA-CAJÚA\Cajua\[CAJUA_CF_SEC_New_27-Feb-2024Rev3.xlsx]D-PRBND'!</v>
      </c>
      <c r="G1049" s="32" t="s">
        <v>112</v>
      </c>
      <c r="H1049" s="33"/>
      <c r="I1049" s="33"/>
      <c r="J1049" s="37"/>
    </row>
    <row r="1050" spans="1:10" x14ac:dyDescent="0.25">
      <c r="A1050" s="32" t="s">
        <v>101</v>
      </c>
      <c r="B1050" s="32">
        <f t="shared" ref="B1050:B1064" si="259">+B1049+1</f>
        <v>2045</v>
      </c>
      <c r="C1050" s="33" t="s">
        <v>11</v>
      </c>
      <c r="D1050" s="34" t="s">
        <v>1999</v>
      </c>
      <c r="E1050" s="35" t="str">
        <f t="shared" si="257"/>
        <v>PRBND'!</v>
      </c>
      <c r="F1050" s="34" t="str">
        <f t="shared" si="258"/>
        <v>C:\Users\jaime.benazar\Quorum Business Solutions\Ecopetrol Prometeo - Documents\Planning Space Implementation\3. Analysis &amp; Design\Design\FC22\DRR Jaime\QUIFA-CAJÚA\Cajua\[CAJUA_CF_SEC_New_27-Feb-2024Rev3.xlsx]D-PRBND'!</v>
      </c>
      <c r="G1050" s="32" t="s">
        <v>112</v>
      </c>
      <c r="H1050" s="33"/>
      <c r="I1050" s="33"/>
      <c r="J1050" s="37"/>
    </row>
    <row r="1051" spans="1:10" x14ac:dyDescent="0.25">
      <c r="A1051" s="32" t="s">
        <v>101</v>
      </c>
      <c r="B1051" s="32">
        <f t="shared" si="259"/>
        <v>2046</v>
      </c>
      <c r="C1051" s="33" t="s">
        <v>11</v>
      </c>
      <c r="D1051" s="34" t="s">
        <v>1999</v>
      </c>
      <c r="E1051" s="35" t="str">
        <f t="shared" si="257"/>
        <v>PRBND'!</v>
      </c>
      <c r="F1051" s="34" t="str">
        <f t="shared" si="258"/>
        <v>C:\Users\jaime.benazar\Quorum Business Solutions\Ecopetrol Prometeo - Documents\Planning Space Implementation\3. Analysis &amp; Design\Design\FC22\DRR Jaime\QUIFA-CAJÚA\Cajua\[CAJUA_CF_SEC_New_27-Feb-2024Rev3.xlsx]D-PRBND'!</v>
      </c>
      <c r="G1051" s="32" t="s">
        <v>112</v>
      </c>
      <c r="H1051" s="33"/>
      <c r="I1051" s="33"/>
      <c r="J1051" s="37"/>
    </row>
    <row r="1052" spans="1:10" x14ac:dyDescent="0.25">
      <c r="A1052" s="32" t="s">
        <v>101</v>
      </c>
      <c r="B1052" s="32">
        <f t="shared" si="259"/>
        <v>2047</v>
      </c>
      <c r="C1052" s="33" t="s">
        <v>11</v>
      </c>
      <c r="D1052" s="34" t="s">
        <v>1999</v>
      </c>
      <c r="E1052" s="35" t="str">
        <f t="shared" si="257"/>
        <v>PRBND'!</v>
      </c>
      <c r="F1052" s="34" t="str">
        <f t="shared" si="258"/>
        <v>C:\Users\jaime.benazar\Quorum Business Solutions\Ecopetrol Prometeo - Documents\Planning Space Implementation\3. Analysis &amp; Design\Design\FC22\DRR Jaime\QUIFA-CAJÚA\Cajua\[CAJUA_CF_SEC_New_27-Feb-2024Rev3.xlsx]D-PRBND'!</v>
      </c>
      <c r="G1052" s="32" t="s">
        <v>112</v>
      </c>
      <c r="H1052" s="33"/>
      <c r="I1052" s="33"/>
      <c r="J1052" s="37"/>
    </row>
    <row r="1053" spans="1:10" x14ac:dyDescent="0.25">
      <c r="A1053" s="32" t="s">
        <v>101</v>
      </c>
      <c r="B1053" s="32">
        <f t="shared" si="259"/>
        <v>2048</v>
      </c>
      <c r="C1053" s="33" t="s">
        <v>11</v>
      </c>
      <c r="D1053" s="34" t="s">
        <v>1999</v>
      </c>
      <c r="E1053" s="35" t="str">
        <f t="shared" si="257"/>
        <v>PRBND'!</v>
      </c>
      <c r="F1053" s="34" t="str">
        <f t="shared" si="258"/>
        <v>C:\Users\jaime.benazar\Quorum Business Solutions\Ecopetrol Prometeo - Documents\Planning Space Implementation\3. Analysis &amp; Design\Design\FC22\DRR Jaime\QUIFA-CAJÚA\Cajua\[CAJUA_CF_SEC_New_27-Feb-2024Rev3.xlsx]D-PRBND'!</v>
      </c>
      <c r="G1053" s="32" t="s">
        <v>112</v>
      </c>
      <c r="H1053" s="33"/>
      <c r="I1053" s="33"/>
      <c r="J1053" s="37"/>
    </row>
    <row r="1054" spans="1:10" x14ac:dyDescent="0.25">
      <c r="A1054" s="32" t="s">
        <v>101</v>
      </c>
      <c r="B1054" s="32">
        <f t="shared" si="259"/>
        <v>2049</v>
      </c>
      <c r="C1054" s="33" t="s">
        <v>11</v>
      </c>
      <c r="D1054" s="34" t="s">
        <v>1999</v>
      </c>
      <c r="E1054" s="35" t="str">
        <f t="shared" si="257"/>
        <v>PRBND'!</v>
      </c>
      <c r="F1054" s="34" t="str">
        <f t="shared" si="258"/>
        <v>C:\Users\jaime.benazar\Quorum Business Solutions\Ecopetrol Prometeo - Documents\Planning Space Implementation\3. Analysis &amp; Design\Design\FC22\DRR Jaime\QUIFA-CAJÚA\Cajua\[CAJUA_CF_SEC_New_27-Feb-2024Rev3.xlsx]D-PRBND'!</v>
      </c>
      <c r="G1054" s="32" t="s">
        <v>112</v>
      </c>
      <c r="H1054" s="33"/>
      <c r="I1054" s="33"/>
      <c r="J1054" s="37"/>
    </row>
    <row r="1055" spans="1:10" x14ac:dyDescent="0.25">
      <c r="A1055" s="32" t="s">
        <v>101</v>
      </c>
      <c r="B1055" s="32">
        <f t="shared" si="259"/>
        <v>2050</v>
      </c>
      <c r="C1055" s="33" t="s">
        <v>11</v>
      </c>
      <c r="D1055" s="34" t="s">
        <v>1999</v>
      </c>
      <c r="E1055" s="35" t="str">
        <f t="shared" si="257"/>
        <v>PRBND'!</v>
      </c>
      <c r="F1055" s="34" t="str">
        <f t="shared" si="258"/>
        <v>C:\Users\jaime.benazar\Quorum Business Solutions\Ecopetrol Prometeo - Documents\Planning Space Implementation\3. Analysis &amp; Design\Design\FC22\DRR Jaime\QUIFA-CAJÚA\Cajua\[CAJUA_CF_SEC_New_27-Feb-2024Rev3.xlsx]D-PRBND'!</v>
      </c>
      <c r="G1055" s="32" t="s">
        <v>112</v>
      </c>
      <c r="H1055" s="33"/>
      <c r="I1055" s="33"/>
      <c r="J1055" s="37"/>
    </row>
    <row r="1056" spans="1:10" x14ac:dyDescent="0.25">
      <c r="A1056" s="32" t="s">
        <v>101</v>
      </c>
      <c r="B1056" s="32">
        <f t="shared" si="259"/>
        <v>2051</v>
      </c>
      <c r="C1056" s="33" t="s">
        <v>11</v>
      </c>
      <c r="D1056" s="34" t="s">
        <v>1999</v>
      </c>
      <c r="E1056" s="35" t="str">
        <f t="shared" si="257"/>
        <v>PRBND'!</v>
      </c>
      <c r="F1056" s="34" t="str">
        <f t="shared" si="258"/>
        <v>C:\Users\jaime.benazar\Quorum Business Solutions\Ecopetrol Prometeo - Documents\Planning Space Implementation\3. Analysis &amp; Design\Design\FC22\DRR Jaime\QUIFA-CAJÚA\Cajua\[CAJUA_CF_SEC_New_27-Feb-2024Rev3.xlsx]D-PRBND'!</v>
      </c>
      <c r="G1056" s="32" t="s">
        <v>112</v>
      </c>
      <c r="H1056" s="33"/>
      <c r="I1056" s="33"/>
      <c r="J1056" s="37"/>
    </row>
    <row r="1057" spans="1:10" x14ac:dyDescent="0.25">
      <c r="A1057" s="32" t="s">
        <v>101</v>
      </c>
      <c r="B1057" s="32">
        <f t="shared" si="259"/>
        <v>2052</v>
      </c>
      <c r="C1057" s="33" t="s">
        <v>11</v>
      </c>
      <c r="D1057" s="34" t="s">
        <v>1999</v>
      </c>
      <c r="E1057" s="35" t="str">
        <f t="shared" si="257"/>
        <v>PRBND'!</v>
      </c>
      <c r="F1057" s="34" t="str">
        <f t="shared" si="258"/>
        <v>C:\Users\jaime.benazar\Quorum Business Solutions\Ecopetrol Prometeo - Documents\Planning Space Implementation\3. Analysis &amp; Design\Design\FC22\DRR Jaime\QUIFA-CAJÚA\Cajua\[CAJUA_CF_SEC_New_27-Feb-2024Rev3.xlsx]D-PRBND'!</v>
      </c>
      <c r="G1057" s="32" t="s">
        <v>112</v>
      </c>
      <c r="H1057" s="33"/>
      <c r="I1057" s="33"/>
      <c r="J1057" s="37"/>
    </row>
    <row r="1058" spans="1:10" x14ac:dyDescent="0.25">
      <c r="A1058" s="32" t="s">
        <v>101</v>
      </c>
      <c r="B1058" s="32">
        <f t="shared" si="259"/>
        <v>2053</v>
      </c>
      <c r="C1058" s="33" t="s">
        <v>11</v>
      </c>
      <c r="D1058" s="34" t="s">
        <v>1999</v>
      </c>
      <c r="E1058" s="35" t="str">
        <f t="shared" si="257"/>
        <v>PRBND'!</v>
      </c>
      <c r="F1058" s="34" t="str">
        <f t="shared" si="258"/>
        <v>C:\Users\jaime.benazar\Quorum Business Solutions\Ecopetrol Prometeo - Documents\Planning Space Implementation\3. Analysis &amp; Design\Design\FC22\DRR Jaime\QUIFA-CAJÚA\Cajua\[CAJUA_CF_SEC_New_27-Feb-2024Rev3.xlsx]D-PRBND'!</v>
      </c>
      <c r="G1058" s="32" t="s">
        <v>112</v>
      </c>
      <c r="H1058" s="33"/>
      <c r="I1058" s="33"/>
      <c r="J1058" s="37"/>
    </row>
    <row r="1059" spans="1:10" x14ac:dyDescent="0.25">
      <c r="A1059" s="32" t="s">
        <v>101</v>
      </c>
      <c r="B1059" s="32">
        <f t="shared" si="259"/>
        <v>2054</v>
      </c>
      <c r="C1059" s="33" t="s">
        <v>11</v>
      </c>
      <c r="D1059" s="34" t="s">
        <v>1999</v>
      </c>
      <c r="E1059" s="35" t="str">
        <f t="shared" si="257"/>
        <v>PRBND'!</v>
      </c>
      <c r="F1059" s="34" t="str">
        <f t="shared" si="258"/>
        <v>C:\Users\jaime.benazar\Quorum Business Solutions\Ecopetrol Prometeo - Documents\Planning Space Implementation\3. Analysis &amp; Design\Design\FC22\DRR Jaime\QUIFA-CAJÚA\Cajua\[CAJUA_CF_SEC_New_27-Feb-2024Rev3.xlsx]D-PRBND'!</v>
      </c>
      <c r="G1059" s="32" t="s">
        <v>112</v>
      </c>
      <c r="H1059" s="33"/>
      <c r="I1059" s="33"/>
      <c r="J1059" s="37"/>
    </row>
    <row r="1060" spans="1:10" x14ac:dyDescent="0.25">
      <c r="A1060" s="32" t="s">
        <v>101</v>
      </c>
      <c r="B1060" s="32">
        <f t="shared" si="259"/>
        <v>2055</v>
      </c>
      <c r="C1060" s="33" t="s">
        <v>11</v>
      </c>
      <c r="D1060" s="34" t="s">
        <v>1999</v>
      </c>
      <c r="E1060" s="35" t="str">
        <f t="shared" si="257"/>
        <v>PRBND'!</v>
      </c>
      <c r="F1060" s="34" t="str">
        <f t="shared" si="258"/>
        <v>C:\Users\jaime.benazar\Quorum Business Solutions\Ecopetrol Prometeo - Documents\Planning Space Implementation\3. Analysis &amp; Design\Design\FC22\DRR Jaime\QUIFA-CAJÚA\Cajua\[CAJUA_CF_SEC_New_27-Feb-2024Rev3.xlsx]D-PRBND'!</v>
      </c>
      <c r="G1060" s="32" t="s">
        <v>112</v>
      </c>
      <c r="H1060" s="33"/>
      <c r="I1060" s="33"/>
      <c r="J1060" s="37"/>
    </row>
    <row r="1061" spans="1:10" x14ac:dyDescent="0.25">
      <c r="A1061" s="32" t="s">
        <v>101</v>
      </c>
      <c r="B1061" s="32">
        <f t="shared" si="259"/>
        <v>2056</v>
      </c>
      <c r="C1061" s="33" t="s">
        <v>11</v>
      </c>
      <c r="D1061" s="34" t="s">
        <v>1999</v>
      </c>
      <c r="E1061" s="35" t="str">
        <f t="shared" si="257"/>
        <v>PRBND'!</v>
      </c>
      <c r="F1061" s="34" t="str">
        <f t="shared" si="258"/>
        <v>C:\Users\jaime.benazar\Quorum Business Solutions\Ecopetrol Prometeo - Documents\Planning Space Implementation\3. Analysis &amp; Design\Design\FC22\DRR Jaime\QUIFA-CAJÚA\Cajua\[CAJUA_CF_SEC_New_27-Feb-2024Rev3.xlsx]D-PRBND'!</v>
      </c>
      <c r="G1061" s="32" t="s">
        <v>112</v>
      </c>
      <c r="H1061" s="33"/>
      <c r="I1061" s="33"/>
      <c r="J1061" s="37"/>
    </row>
    <row r="1062" spans="1:10" x14ac:dyDescent="0.25">
      <c r="A1062" s="32" t="s">
        <v>101</v>
      </c>
      <c r="B1062" s="32">
        <f t="shared" si="259"/>
        <v>2057</v>
      </c>
      <c r="C1062" s="33" t="s">
        <v>11</v>
      </c>
      <c r="D1062" s="34" t="s">
        <v>1999</v>
      </c>
      <c r="E1062" s="35" t="str">
        <f t="shared" si="257"/>
        <v>PRBND'!</v>
      </c>
      <c r="F1062" s="34" t="str">
        <f t="shared" si="258"/>
        <v>C:\Users\jaime.benazar\Quorum Business Solutions\Ecopetrol Prometeo - Documents\Planning Space Implementation\3. Analysis &amp; Design\Design\FC22\DRR Jaime\QUIFA-CAJÚA\Cajua\[CAJUA_CF_SEC_New_27-Feb-2024Rev3.xlsx]D-PRBND'!</v>
      </c>
      <c r="G1062" s="32" t="s">
        <v>112</v>
      </c>
      <c r="H1062" s="33"/>
      <c r="I1062" s="33"/>
      <c r="J1062" s="37"/>
    </row>
    <row r="1063" spans="1:10" x14ac:dyDescent="0.25">
      <c r="A1063" s="32" t="s">
        <v>101</v>
      </c>
      <c r="B1063" s="32">
        <f t="shared" si="259"/>
        <v>2058</v>
      </c>
      <c r="C1063" s="33" t="s">
        <v>11</v>
      </c>
      <c r="D1063" s="34" t="s">
        <v>1999</v>
      </c>
      <c r="E1063" s="35" t="str">
        <f t="shared" si="257"/>
        <v>PRBND'!</v>
      </c>
      <c r="F1063" s="34" t="str">
        <f t="shared" si="258"/>
        <v>C:\Users\jaime.benazar\Quorum Business Solutions\Ecopetrol Prometeo - Documents\Planning Space Implementation\3. Analysis &amp; Design\Design\FC22\DRR Jaime\QUIFA-CAJÚA\Cajua\[CAJUA_CF_SEC_New_27-Feb-2024Rev3.xlsx]D-PRBND'!</v>
      </c>
      <c r="G1063" s="32" t="s">
        <v>112</v>
      </c>
      <c r="H1063" s="33"/>
      <c r="I1063" s="33"/>
      <c r="J1063" s="37"/>
    </row>
    <row r="1064" spans="1:10" x14ac:dyDescent="0.25">
      <c r="A1064" s="32" t="s">
        <v>101</v>
      </c>
      <c r="B1064" s="32">
        <f t="shared" si="259"/>
        <v>2059</v>
      </c>
      <c r="C1064" s="33" t="s">
        <v>11</v>
      </c>
      <c r="D1064" s="34" t="s">
        <v>1999</v>
      </c>
      <c r="E1064" s="35" t="str">
        <f t="shared" si="257"/>
        <v>PRBND'!</v>
      </c>
      <c r="F1064" s="34" t="str">
        <f t="shared" si="258"/>
        <v>C:\Users\jaime.benazar\Quorum Business Solutions\Ecopetrol Prometeo - Documents\Planning Space Implementation\3. Analysis &amp; Design\Design\FC22\DRR Jaime\QUIFA-CAJÚA\Cajua\[CAJUA_CF_SEC_New_27-Feb-2024Rev3.xlsx]D-PRBND'!</v>
      </c>
      <c r="G1064" s="32" t="s">
        <v>112</v>
      </c>
      <c r="H1064" s="33"/>
      <c r="I1064" s="33"/>
      <c r="J1064" s="37"/>
    </row>
    <row r="1065" spans="1:10" x14ac:dyDescent="0.25">
      <c r="A1065" s="32" t="s">
        <v>28</v>
      </c>
      <c r="B1065" s="32"/>
      <c r="C1065" s="33" t="s">
        <v>11</v>
      </c>
      <c r="D1065" s="34"/>
      <c r="E1065" s="35"/>
      <c r="F1065" s="34"/>
      <c r="G1065" s="32"/>
      <c r="H1065" s="33"/>
      <c r="I1065" s="33"/>
      <c r="J1065" s="33"/>
    </row>
    <row r="1066" spans="1:10" x14ac:dyDescent="0.25">
      <c r="A1066" s="32" t="s">
        <v>4</v>
      </c>
      <c r="B1066" s="32">
        <v>2023</v>
      </c>
      <c r="C1066" s="33" t="s">
        <v>11</v>
      </c>
      <c r="D1066" s="34" t="s">
        <v>1999</v>
      </c>
      <c r="E1066" s="35" t="str">
        <f t="shared" si="228"/>
        <v>PRB'!</v>
      </c>
      <c r="F1066" s="34" t="str">
        <f t="shared" si="229"/>
        <v>C:\Users\jaime.benazar\Quorum Business Solutions\Ecopetrol Prometeo - Documents\Planning Space Implementation\3. Analysis &amp; Design\Design\FC22\DRR Jaime\QUIFA-CAJÚA\Cajua\[CAJUA_CF_SEC_New_27-Feb-2024Rev3.xlsx]D-PRB'!</v>
      </c>
      <c r="G1066" s="32" t="s">
        <v>112</v>
      </c>
      <c r="H1066" s="33">
        <v>12</v>
      </c>
      <c r="I1066" s="33" t="str">
        <f t="shared" si="230"/>
        <v>='C:\Users\jaime.benazar\Quorum Business Solutions\Ecopetrol Prometeo - Documents\Planning Space Implementation\3. Analysis &amp; Design\Design\FC22\DRR Jaime\QUIFA-CAJÚA\Cajua\[CAJUA_CF_SEC_New_27-Feb-2024Rev3.xlsx]D-PRB'!$BZ$12</v>
      </c>
      <c r="J1066" s="37" t="s">
        <v>2481</v>
      </c>
    </row>
    <row r="1067" spans="1:10" x14ac:dyDescent="0.25">
      <c r="A1067" s="32" t="s">
        <v>4</v>
      </c>
      <c r="B1067" s="32">
        <f>+B1066+1</f>
        <v>2024</v>
      </c>
      <c r="C1067" s="33" t="s">
        <v>11</v>
      </c>
      <c r="D1067" s="34" t="s">
        <v>1999</v>
      </c>
      <c r="E1067" s="35" t="str">
        <f t="shared" si="228"/>
        <v>PRB'!</v>
      </c>
      <c r="F1067" s="34" t="str">
        <f t="shared" si="229"/>
        <v>C:\Users\jaime.benazar\Quorum Business Solutions\Ecopetrol Prometeo - Documents\Planning Space Implementation\3. Analysis &amp; Design\Design\FC22\DRR Jaime\QUIFA-CAJÚA\Cajua\[CAJUA_CF_SEC_New_27-Feb-2024Rev3.xlsx]D-PRB'!</v>
      </c>
      <c r="G1067" s="32" t="s">
        <v>112</v>
      </c>
      <c r="H1067" s="33">
        <f t="shared" ref="H1067:H1086" si="260">IF(A1067&lt;&gt;A1066,12,H1066+1)</f>
        <v>13</v>
      </c>
      <c r="I1067" s="33" t="str">
        <f t="shared" si="230"/>
        <v>='C:\Users\jaime.benazar\Quorum Business Solutions\Ecopetrol Prometeo - Documents\Planning Space Implementation\3. Analysis &amp; Design\Design\FC22\DRR Jaime\QUIFA-CAJÚA\Cajua\[CAJUA_CF_SEC_New_27-Feb-2024Rev3.xlsx]D-PRB'!$BZ$13</v>
      </c>
      <c r="J1067" s="37" t="s">
        <v>2482</v>
      </c>
    </row>
    <row r="1068" spans="1:10" x14ac:dyDescent="0.25">
      <c r="A1068" s="32" t="s">
        <v>4</v>
      </c>
      <c r="B1068" s="32">
        <f t="shared" ref="B1068:B1079" si="261">+B1067+1</f>
        <v>2025</v>
      </c>
      <c r="C1068" s="33" t="s">
        <v>11</v>
      </c>
      <c r="D1068" s="34" t="s">
        <v>1999</v>
      </c>
      <c r="E1068" s="35" t="str">
        <f t="shared" si="228"/>
        <v>PRB'!</v>
      </c>
      <c r="F1068" s="34" t="str">
        <f t="shared" si="229"/>
        <v>C:\Users\jaime.benazar\Quorum Business Solutions\Ecopetrol Prometeo - Documents\Planning Space Implementation\3. Analysis &amp; Design\Design\FC22\DRR Jaime\QUIFA-CAJÚA\Cajua\[CAJUA_CF_SEC_New_27-Feb-2024Rev3.xlsx]D-PRB'!</v>
      </c>
      <c r="G1068" s="32" t="s">
        <v>112</v>
      </c>
      <c r="H1068" s="33">
        <f t="shared" si="260"/>
        <v>14</v>
      </c>
      <c r="I1068" s="33" t="str">
        <f t="shared" si="230"/>
        <v>='C:\Users\jaime.benazar\Quorum Business Solutions\Ecopetrol Prometeo - Documents\Planning Space Implementation\3. Analysis &amp; Design\Design\FC22\DRR Jaime\QUIFA-CAJÚA\Cajua\[CAJUA_CF_SEC_New_27-Feb-2024Rev3.xlsx]D-PRB'!$BZ$14</v>
      </c>
      <c r="J1068" s="37" t="s">
        <v>2483</v>
      </c>
    </row>
    <row r="1069" spans="1:10" x14ac:dyDescent="0.25">
      <c r="A1069" s="32" t="s">
        <v>4</v>
      </c>
      <c r="B1069" s="32">
        <f t="shared" si="261"/>
        <v>2026</v>
      </c>
      <c r="C1069" s="33" t="s">
        <v>11</v>
      </c>
      <c r="D1069" s="34" t="s">
        <v>1999</v>
      </c>
      <c r="E1069" s="35" t="str">
        <f t="shared" si="228"/>
        <v>PRB'!</v>
      </c>
      <c r="F1069" s="34" t="str">
        <f t="shared" si="229"/>
        <v>C:\Users\jaime.benazar\Quorum Business Solutions\Ecopetrol Prometeo - Documents\Planning Space Implementation\3. Analysis &amp; Design\Design\FC22\DRR Jaime\QUIFA-CAJÚA\Cajua\[CAJUA_CF_SEC_New_27-Feb-2024Rev3.xlsx]D-PRB'!</v>
      </c>
      <c r="G1069" s="32" t="s">
        <v>112</v>
      </c>
      <c r="H1069" s="33">
        <f t="shared" si="260"/>
        <v>15</v>
      </c>
      <c r="I1069" s="33" t="str">
        <f t="shared" si="230"/>
        <v>='C:\Users\jaime.benazar\Quorum Business Solutions\Ecopetrol Prometeo - Documents\Planning Space Implementation\3. Analysis &amp; Design\Design\FC22\DRR Jaime\QUIFA-CAJÚA\Cajua\[CAJUA_CF_SEC_New_27-Feb-2024Rev3.xlsx]D-PRB'!$BZ$15</v>
      </c>
      <c r="J1069" s="37" t="s">
        <v>2484</v>
      </c>
    </row>
    <row r="1070" spans="1:10" x14ac:dyDescent="0.25">
      <c r="A1070" s="32" t="s">
        <v>4</v>
      </c>
      <c r="B1070" s="32">
        <f t="shared" si="261"/>
        <v>2027</v>
      </c>
      <c r="C1070" s="33" t="s">
        <v>11</v>
      </c>
      <c r="D1070" s="34" t="s">
        <v>1999</v>
      </c>
      <c r="E1070" s="35" t="str">
        <f t="shared" si="228"/>
        <v>PRB'!</v>
      </c>
      <c r="F1070" s="34" t="str">
        <f t="shared" si="229"/>
        <v>C:\Users\jaime.benazar\Quorum Business Solutions\Ecopetrol Prometeo - Documents\Planning Space Implementation\3. Analysis &amp; Design\Design\FC22\DRR Jaime\QUIFA-CAJÚA\Cajua\[CAJUA_CF_SEC_New_27-Feb-2024Rev3.xlsx]D-PRB'!</v>
      </c>
      <c r="G1070" s="32" t="s">
        <v>112</v>
      </c>
      <c r="H1070" s="33">
        <f t="shared" si="260"/>
        <v>16</v>
      </c>
      <c r="I1070" s="33" t="str">
        <f t="shared" si="230"/>
        <v>='C:\Users\jaime.benazar\Quorum Business Solutions\Ecopetrol Prometeo - Documents\Planning Space Implementation\3. Analysis &amp; Design\Design\FC22\DRR Jaime\QUIFA-CAJÚA\Cajua\[CAJUA_CF_SEC_New_27-Feb-2024Rev3.xlsx]D-PRB'!$BZ$16</v>
      </c>
      <c r="J1070" s="37" t="s">
        <v>2485</v>
      </c>
    </row>
    <row r="1071" spans="1:10" x14ac:dyDescent="0.25">
      <c r="A1071" s="32" t="s">
        <v>4</v>
      </c>
      <c r="B1071" s="32">
        <f t="shared" si="261"/>
        <v>2028</v>
      </c>
      <c r="C1071" s="33" t="s">
        <v>11</v>
      </c>
      <c r="D1071" s="34" t="s">
        <v>1999</v>
      </c>
      <c r="E1071" s="35" t="str">
        <f t="shared" si="228"/>
        <v>PRB'!</v>
      </c>
      <c r="F1071" s="34" t="str">
        <f t="shared" si="229"/>
        <v>C:\Users\jaime.benazar\Quorum Business Solutions\Ecopetrol Prometeo - Documents\Planning Space Implementation\3. Analysis &amp; Design\Design\FC22\DRR Jaime\QUIFA-CAJÚA\Cajua\[CAJUA_CF_SEC_New_27-Feb-2024Rev3.xlsx]D-PRB'!</v>
      </c>
      <c r="G1071" s="32" t="s">
        <v>112</v>
      </c>
      <c r="H1071" s="33">
        <f t="shared" si="260"/>
        <v>17</v>
      </c>
      <c r="I1071" s="33" t="str">
        <f t="shared" si="230"/>
        <v>='C:\Users\jaime.benazar\Quorum Business Solutions\Ecopetrol Prometeo - Documents\Planning Space Implementation\3. Analysis &amp; Design\Design\FC22\DRR Jaime\QUIFA-CAJÚA\Cajua\[CAJUA_CF_SEC_New_27-Feb-2024Rev3.xlsx]D-PRB'!$BZ$17</v>
      </c>
      <c r="J1071" s="37" t="s">
        <v>2486</v>
      </c>
    </row>
    <row r="1072" spans="1:10" x14ac:dyDescent="0.25">
      <c r="A1072" s="32" t="s">
        <v>4</v>
      </c>
      <c r="B1072" s="32">
        <f t="shared" si="261"/>
        <v>2029</v>
      </c>
      <c r="C1072" s="33" t="s">
        <v>11</v>
      </c>
      <c r="D1072" s="34" t="s">
        <v>1999</v>
      </c>
      <c r="E1072" s="35" t="str">
        <f t="shared" si="228"/>
        <v>PRB'!</v>
      </c>
      <c r="F1072" s="34" t="str">
        <f t="shared" si="229"/>
        <v>C:\Users\jaime.benazar\Quorum Business Solutions\Ecopetrol Prometeo - Documents\Planning Space Implementation\3. Analysis &amp; Design\Design\FC22\DRR Jaime\QUIFA-CAJÚA\Cajua\[CAJUA_CF_SEC_New_27-Feb-2024Rev3.xlsx]D-PRB'!</v>
      </c>
      <c r="G1072" s="32" t="s">
        <v>112</v>
      </c>
      <c r="H1072" s="33">
        <f t="shared" si="260"/>
        <v>18</v>
      </c>
      <c r="I1072" s="33" t="str">
        <f t="shared" si="230"/>
        <v>='C:\Users\jaime.benazar\Quorum Business Solutions\Ecopetrol Prometeo - Documents\Planning Space Implementation\3. Analysis &amp; Design\Design\FC22\DRR Jaime\QUIFA-CAJÚA\Cajua\[CAJUA_CF_SEC_New_27-Feb-2024Rev3.xlsx]D-PRB'!$BZ$18</v>
      </c>
      <c r="J1072" s="37" t="s">
        <v>2487</v>
      </c>
    </row>
    <row r="1073" spans="1:10" x14ac:dyDescent="0.25">
      <c r="A1073" s="32" t="s">
        <v>4</v>
      </c>
      <c r="B1073" s="32">
        <f t="shared" si="261"/>
        <v>2030</v>
      </c>
      <c r="C1073" s="33" t="s">
        <v>11</v>
      </c>
      <c r="D1073" s="34" t="s">
        <v>1999</v>
      </c>
      <c r="E1073" s="35" t="str">
        <f t="shared" si="228"/>
        <v>PRB'!</v>
      </c>
      <c r="F1073" s="34" t="str">
        <f t="shared" si="229"/>
        <v>C:\Users\jaime.benazar\Quorum Business Solutions\Ecopetrol Prometeo - Documents\Planning Space Implementation\3. Analysis &amp; Design\Design\FC22\DRR Jaime\QUIFA-CAJÚA\Cajua\[CAJUA_CF_SEC_New_27-Feb-2024Rev3.xlsx]D-PRB'!</v>
      </c>
      <c r="G1073" s="32" t="s">
        <v>112</v>
      </c>
      <c r="H1073" s="33">
        <f t="shared" si="260"/>
        <v>19</v>
      </c>
      <c r="I1073" s="33" t="str">
        <f t="shared" si="230"/>
        <v>='C:\Users\jaime.benazar\Quorum Business Solutions\Ecopetrol Prometeo - Documents\Planning Space Implementation\3. Analysis &amp; Design\Design\FC22\DRR Jaime\QUIFA-CAJÚA\Cajua\[CAJUA_CF_SEC_New_27-Feb-2024Rev3.xlsx]D-PRB'!$BZ$19</v>
      </c>
      <c r="J1073" s="37" t="s">
        <v>2488</v>
      </c>
    </row>
    <row r="1074" spans="1:10" x14ac:dyDescent="0.25">
      <c r="A1074" s="32" t="s">
        <v>4</v>
      </c>
      <c r="B1074" s="32">
        <f t="shared" si="261"/>
        <v>2031</v>
      </c>
      <c r="C1074" s="33" t="s">
        <v>11</v>
      </c>
      <c r="D1074" s="34" t="s">
        <v>1999</v>
      </c>
      <c r="E1074" s="35" t="str">
        <f t="shared" si="228"/>
        <v>PRB'!</v>
      </c>
      <c r="F1074" s="34" t="str">
        <f t="shared" si="229"/>
        <v>C:\Users\jaime.benazar\Quorum Business Solutions\Ecopetrol Prometeo - Documents\Planning Space Implementation\3. Analysis &amp; Design\Design\FC22\DRR Jaime\QUIFA-CAJÚA\Cajua\[CAJUA_CF_SEC_New_27-Feb-2024Rev3.xlsx]D-PRB'!</v>
      </c>
      <c r="G1074" s="32" t="s">
        <v>112</v>
      </c>
      <c r="H1074" s="33">
        <f t="shared" si="260"/>
        <v>20</v>
      </c>
      <c r="I1074" s="33" t="str">
        <f t="shared" si="230"/>
        <v>='C:\Users\jaime.benazar\Quorum Business Solutions\Ecopetrol Prometeo - Documents\Planning Space Implementation\3. Analysis &amp; Design\Design\FC22\DRR Jaime\QUIFA-CAJÚA\Cajua\[CAJUA_CF_SEC_New_27-Feb-2024Rev3.xlsx]D-PRB'!$BZ$20</v>
      </c>
      <c r="J1074" s="37" t="s">
        <v>2489</v>
      </c>
    </row>
    <row r="1075" spans="1:10" x14ac:dyDescent="0.25">
      <c r="A1075" s="32" t="s">
        <v>4</v>
      </c>
      <c r="B1075" s="32">
        <f t="shared" si="261"/>
        <v>2032</v>
      </c>
      <c r="C1075" s="33" t="s">
        <v>11</v>
      </c>
      <c r="D1075" s="34" t="s">
        <v>1999</v>
      </c>
      <c r="E1075" s="35" t="str">
        <f t="shared" si="228"/>
        <v>PRB'!</v>
      </c>
      <c r="F1075" s="34" t="str">
        <f t="shared" si="229"/>
        <v>C:\Users\jaime.benazar\Quorum Business Solutions\Ecopetrol Prometeo - Documents\Planning Space Implementation\3. Analysis &amp; Design\Design\FC22\DRR Jaime\QUIFA-CAJÚA\Cajua\[CAJUA_CF_SEC_New_27-Feb-2024Rev3.xlsx]D-PRB'!</v>
      </c>
      <c r="G1075" s="32" t="s">
        <v>112</v>
      </c>
      <c r="H1075" s="33">
        <f t="shared" si="260"/>
        <v>21</v>
      </c>
      <c r="I1075" s="33" t="str">
        <f t="shared" si="230"/>
        <v>='C:\Users\jaime.benazar\Quorum Business Solutions\Ecopetrol Prometeo - Documents\Planning Space Implementation\3. Analysis &amp; Design\Design\FC22\DRR Jaime\QUIFA-CAJÚA\Cajua\[CAJUA_CF_SEC_New_27-Feb-2024Rev3.xlsx]D-PRB'!$BZ$21</v>
      </c>
      <c r="J1075" s="37" t="s">
        <v>2490</v>
      </c>
    </row>
    <row r="1076" spans="1:10" x14ac:dyDescent="0.25">
      <c r="A1076" s="32" t="s">
        <v>4</v>
      </c>
      <c r="B1076" s="32">
        <f t="shared" si="261"/>
        <v>2033</v>
      </c>
      <c r="C1076" s="33" t="s">
        <v>11</v>
      </c>
      <c r="D1076" s="34" t="s">
        <v>1999</v>
      </c>
      <c r="E1076" s="35" t="str">
        <f t="shared" si="228"/>
        <v>PRB'!</v>
      </c>
      <c r="F1076" s="34" t="str">
        <f t="shared" si="229"/>
        <v>C:\Users\jaime.benazar\Quorum Business Solutions\Ecopetrol Prometeo - Documents\Planning Space Implementation\3. Analysis &amp; Design\Design\FC22\DRR Jaime\QUIFA-CAJÚA\Cajua\[CAJUA_CF_SEC_New_27-Feb-2024Rev3.xlsx]D-PRB'!</v>
      </c>
      <c r="G1076" s="32" t="s">
        <v>112</v>
      </c>
      <c r="H1076" s="33">
        <f t="shared" si="260"/>
        <v>22</v>
      </c>
      <c r="I1076" s="33" t="str">
        <f t="shared" si="230"/>
        <v>='C:\Users\jaime.benazar\Quorum Business Solutions\Ecopetrol Prometeo - Documents\Planning Space Implementation\3. Analysis &amp; Design\Design\FC22\DRR Jaime\QUIFA-CAJÚA\Cajua\[CAJUA_CF_SEC_New_27-Feb-2024Rev3.xlsx]D-PRB'!$BZ$22</v>
      </c>
      <c r="J1076" s="37" t="s">
        <v>2491</v>
      </c>
    </row>
    <row r="1077" spans="1:10" x14ac:dyDescent="0.25">
      <c r="A1077" s="32" t="s">
        <v>4</v>
      </c>
      <c r="B1077" s="32">
        <f t="shared" si="261"/>
        <v>2034</v>
      </c>
      <c r="C1077" s="33" t="s">
        <v>11</v>
      </c>
      <c r="D1077" s="34" t="s">
        <v>1999</v>
      </c>
      <c r="E1077" s="35" t="str">
        <f t="shared" si="228"/>
        <v>PRB'!</v>
      </c>
      <c r="F1077" s="34" t="str">
        <f t="shared" si="229"/>
        <v>C:\Users\jaime.benazar\Quorum Business Solutions\Ecopetrol Prometeo - Documents\Planning Space Implementation\3. Analysis &amp; Design\Design\FC22\DRR Jaime\QUIFA-CAJÚA\Cajua\[CAJUA_CF_SEC_New_27-Feb-2024Rev3.xlsx]D-PRB'!</v>
      </c>
      <c r="G1077" s="32" t="s">
        <v>112</v>
      </c>
      <c r="H1077" s="33">
        <f t="shared" si="260"/>
        <v>23</v>
      </c>
      <c r="I1077" s="33" t="str">
        <f t="shared" si="230"/>
        <v>='C:\Users\jaime.benazar\Quorum Business Solutions\Ecopetrol Prometeo - Documents\Planning Space Implementation\3. Analysis &amp; Design\Design\FC22\DRR Jaime\QUIFA-CAJÚA\Cajua\[CAJUA_CF_SEC_New_27-Feb-2024Rev3.xlsx]D-PRB'!$BZ$23</v>
      </c>
      <c r="J1077" s="37" t="s">
        <v>2492</v>
      </c>
    </row>
    <row r="1078" spans="1:10" x14ac:dyDescent="0.25">
      <c r="A1078" s="32" t="s">
        <v>4</v>
      </c>
      <c r="B1078" s="32">
        <f t="shared" si="261"/>
        <v>2035</v>
      </c>
      <c r="C1078" s="33" t="s">
        <v>11</v>
      </c>
      <c r="D1078" s="34" t="s">
        <v>1999</v>
      </c>
      <c r="E1078" s="35" t="str">
        <f t="shared" si="228"/>
        <v>PRB'!</v>
      </c>
      <c r="F1078" s="34" t="str">
        <f t="shared" si="229"/>
        <v>C:\Users\jaime.benazar\Quorum Business Solutions\Ecopetrol Prometeo - Documents\Planning Space Implementation\3. Analysis &amp; Design\Design\FC22\DRR Jaime\QUIFA-CAJÚA\Cajua\[CAJUA_CF_SEC_New_27-Feb-2024Rev3.xlsx]D-PRB'!</v>
      </c>
      <c r="G1078" s="32" t="s">
        <v>112</v>
      </c>
      <c r="H1078" s="33">
        <f t="shared" si="260"/>
        <v>24</v>
      </c>
      <c r="I1078" s="33" t="str">
        <f t="shared" si="230"/>
        <v>='C:\Users\jaime.benazar\Quorum Business Solutions\Ecopetrol Prometeo - Documents\Planning Space Implementation\3. Analysis &amp; Design\Design\FC22\DRR Jaime\QUIFA-CAJÚA\Cajua\[CAJUA_CF_SEC_New_27-Feb-2024Rev3.xlsx]D-PRB'!$BZ$24</v>
      </c>
      <c r="J1078" s="37" t="s">
        <v>2493</v>
      </c>
    </row>
    <row r="1079" spans="1:10" x14ac:dyDescent="0.25">
      <c r="A1079" s="32" t="s">
        <v>4</v>
      </c>
      <c r="B1079" s="32">
        <f t="shared" si="261"/>
        <v>2036</v>
      </c>
      <c r="C1079" s="33" t="s">
        <v>11</v>
      </c>
      <c r="D1079" s="34" t="s">
        <v>1999</v>
      </c>
      <c r="E1079" s="35" t="str">
        <f t="shared" si="228"/>
        <v>PRB'!</v>
      </c>
      <c r="F1079" s="34" t="str">
        <f t="shared" si="229"/>
        <v>C:\Users\jaime.benazar\Quorum Business Solutions\Ecopetrol Prometeo - Documents\Planning Space Implementation\3. Analysis &amp; Design\Design\FC22\DRR Jaime\QUIFA-CAJÚA\Cajua\[CAJUA_CF_SEC_New_27-Feb-2024Rev3.xlsx]D-PRB'!</v>
      </c>
      <c r="G1079" s="32" t="s">
        <v>112</v>
      </c>
      <c r="H1079" s="33">
        <f t="shared" si="260"/>
        <v>25</v>
      </c>
      <c r="I1079" s="33" t="str">
        <f t="shared" si="230"/>
        <v>='C:\Users\jaime.benazar\Quorum Business Solutions\Ecopetrol Prometeo - Documents\Planning Space Implementation\3. Analysis &amp; Design\Design\FC22\DRR Jaime\QUIFA-CAJÚA\Cajua\[CAJUA_CF_SEC_New_27-Feb-2024Rev3.xlsx]D-PRB'!$BZ$25</v>
      </c>
      <c r="J1079" s="37" t="s">
        <v>2494</v>
      </c>
    </row>
    <row r="1080" spans="1:10" x14ac:dyDescent="0.25">
      <c r="A1080" s="32" t="s">
        <v>4</v>
      </c>
      <c r="B1080" s="32">
        <f>+B1079+1</f>
        <v>2037</v>
      </c>
      <c r="C1080" s="33" t="s">
        <v>11</v>
      </c>
      <c r="D1080" s="34" t="s">
        <v>1999</v>
      </c>
      <c r="E1080" s="35" t="str">
        <f t="shared" si="228"/>
        <v>PRB'!</v>
      </c>
      <c r="F1080" s="34" t="str">
        <f t="shared" si="229"/>
        <v>C:\Users\jaime.benazar\Quorum Business Solutions\Ecopetrol Prometeo - Documents\Planning Space Implementation\3. Analysis &amp; Design\Design\FC22\DRR Jaime\QUIFA-CAJÚA\Cajua\[CAJUA_CF_SEC_New_27-Feb-2024Rev3.xlsx]D-PRB'!</v>
      </c>
      <c r="G1080" s="32" t="s">
        <v>112</v>
      </c>
      <c r="H1080" s="33">
        <f t="shared" si="260"/>
        <v>26</v>
      </c>
      <c r="I1080" s="33" t="str">
        <f t="shared" si="230"/>
        <v>='C:\Users\jaime.benazar\Quorum Business Solutions\Ecopetrol Prometeo - Documents\Planning Space Implementation\3. Analysis &amp; Design\Design\FC22\DRR Jaime\QUIFA-CAJÚA\Cajua\[CAJUA_CF_SEC_New_27-Feb-2024Rev3.xlsx]D-PRB'!$BZ$26</v>
      </c>
      <c r="J1080" s="37" t="s">
        <v>2495</v>
      </c>
    </row>
    <row r="1081" spans="1:10" x14ac:dyDescent="0.25">
      <c r="A1081" s="32" t="s">
        <v>4</v>
      </c>
      <c r="B1081" s="32">
        <f t="shared" ref="B1081:B1083" si="262">+B1080+1</f>
        <v>2038</v>
      </c>
      <c r="C1081" s="33" t="s">
        <v>11</v>
      </c>
      <c r="D1081" s="34" t="s">
        <v>1999</v>
      </c>
      <c r="E1081" s="35" t="str">
        <f t="shared" si="228"/>
        <v>PRB'!</v>
      </c>
      <c r="F1081" s="34" t="str">
        <f t="shared" si="229"/>
        <v>C:\Users\jaime.benazar\Quorum Business Solutions\Ecopetrol Prometeo - Documents\Planning Space Implementation\3. Analysis &amp; Design\Design\FC22\DRR Jaime\QUIFA-CAJÚA\Cajua\[CAJUA_CF_SEC_New_27-Feb-2024Rev3.xlsx]D-PRB'!</v>
      </c>
      <c r="G1081" s="32" t="s">
        <v>112</v>
      </c>
      <c r="H1081" s="33">
        <f t="shared" si="260"/>
        <v>27</v>
      </c>
      <c r="I1081" s="33" t="str">
        <f t="shared" si="230"/>
        <v>='C:\Users\jaime.benazar\Quorum Business Solutions\Ecopetrol Prometeo - Documents\Planning Space Implementation\3. Analysis &amp; Design\Design\FC22\DRR Jaime\QUIFA-CAJÚA\Cajua\[CAJUA_CF_SEC_New_27-Feb-2024Rev3.xlsx]D-PRB'!$BZ$27</v>
      </c>
      <c r="J1081" s="37" t="s">
        <v>2496</v>
      </c>
    </row>
    <row r="1082" spans="1:10" x14ac:dyDescent="0.25">
      <c r="A1082" s="32" t="s">
        <v>4</v>
      </c>
      <c r="B1082" s="32">
        <f t="shared" si="262"/>
        <v>2039</v>
      </c>
      <c r="C1082" s="33" t="s">
        <v>11</v>
      </c>
      <c r="D1082" s="34" t="s">
        <v>1999</v>
      </c>
      <c r="E1082" s="35" t="str">
        <f t="shared" si="228"/>
        <v>PRB'!</v>
      </c>
      <c r="F1082" s="34" t="str">
        <f t="shared" si="229"/>
        <v>C:\Users\jaime.benazar\Quorum Business Solutions\Ecopetrol Prometeo - Documents\Planning Space Implementation\3. Analysis &amp; Design\Design\FC22\DRR Jaime\QUIFA-CAJÚA\Cajua\[CAJUA_CF_SEC_New_27-Feb-2024Rev3.xlsx]D-PRB'!</v>
      </c>
      <c r="G1082" s="32" t="s">
        <v>112</v>
      </c>
      <c r="H1082" s="33">
        <f t="shared" si="260"/>
        <v>28</v>
      </c>
      <c r="I1082" s="33" t="str">
        <f t="shared" si="230"/>
        <v>='C:\Users\jaime.benazar\Quorum Business Solutions\Ecopetrol Prometeo - Documents\Planning Space Implementation\3. Analysis &amp; Design\Design\FC22\DRR Jaime\QUIFA-CAJÚA\Cajua\[CAJUA_CF_SEC_New_27-Feb-2024Rev3.xlsx]D-PRB'!$BZ$28</v>
      </c>
      <c r="J1082" s="37" t="s">
        <v>2497</v>
      </c>
    </row>
    <row r="1083" spans="1:10" x14ac:dyDescent="0.25">
      <c r="A1083" s="32" t="s">
        <v>4</v>
      </c>
      <c r="B1083" s="32">
        <f t="shared" si="262"/>
        <v>2040</v>
      </c>
      <c r="C1083" s="33" t="s">
        <v>11</v>
      </c>
      <c r="D1083" s="34" t="s">
        <v>1999</v>
      </c>
      <c r="E1083" s="35" t="str">
        <f t="shared" si="228"/>
        <v>PRB'!</v>
      </c>
      <c r="F1083" s="34" t="str">
        <f t="shared" si="229"/>
        <v>C:\Users\jaime.benazar\Quorum Business Solutions\Ecopetrol Prometeo - Documents\Planning Space Implementation\3. Analysis &amp; Design\Design\FC22\DRR Jaime\QUIFA-CAJÚA\Cajua\[CAJUA_CF_SEC_New_27-Feb-2024Rev3.xlsx]D-PRB'!</v>
      </c>
      <c r="G1083" s="32" t="s">
        <v>112</v>
      </c>
      <c r="H1083" s="33">
        <f t="shared" si="260"/>
        <v>29</v>
      </c>
      <c r="I1083" s="33" t="str">
        <f t="shared" si="230"/>
        <v>='C:\Users\jaime.benazar\Quorum Business Solutions\Ecopetrol Prometeo - Documents\Planning Space Implementation\3. Analysis &amp; Design\Design\FC22\DRR Jaime\QUIFA-CAJÚA\Cajua\[CAJUA_CF_SEC_New_27-Feb-2024Rev3.xlsx]D-PRB'!$BZ$29</v>
      </c>
      <c r="J1083" s="37" t="s">
        <v>2498</v>
      </c>
    </row>
    <row r="1084" spans="1:10" x14ac:dyDescent="0.25">
      <c r="A1084" s="32" t="s">
        <v>4</v>
      </c>
      <c r="B1084" s="32">
        <f>+B1083+1</f>
        <v>2041</v>
      </c>
      <c r="C1084" s="33" t="s">
        <v>11</v>
      </c>
      <c r="D1084" s="34" t="s">
        <v>1999</v>
      </c>
      <c r="E1084" s="35" t="str">
        <f t="shared" si="228"/>
        <v>PRB'!</v>
      </c>
      <c r="F1084" s="34" t="str">
        <f t="shared" si="229"/>
        <v>C:\Users\jaime.benazar\Quorum Business Solutions\Ecopetrol Prometeo - Documents\Planning Space Implementation\3. Analysis &amp; Design\Design\FC22\DRR Jaime\QUIFA-CAJÚA\Cajua\[CAJUA_CF_SEC_New_27-Feb-2024Rev3.xlsx]D-PRB'!</v>
      </c>
      <c r="G1084" s="32" t="s">
        <v>112</v>
      </c>
      <c r="H1084" s="33">
        <f t="shared" si="260"/>
        <v>30</v>
      </c>
      <c r="I1084" s="33" t="str">
        <f t="shared" si="230"/>
        <v>='C:\Users\jaime.benazar\Quorum Business Solutions\Ecopetrol Prometeo - Documents\Planning Space Implementation\3. Analysis &amp; Design\Design\FC22\DRR Jaime\QUIFA-CAJÚA\Cajua\[CAJUA_CF_SEC_New_27-Feb-2024Rev3.xlsx]D-PRB'!$BZ$30</v>
      </c>
      <c r="J1084" s="37" t="s">
        <v>2499</v>
      </c>
    </row>
    <row r="1085" spans="1:10" x14ac:dyDescent="0.25">
      <c r="A1085" s="32" t="s">
        <v>4</v>
      </c>
      <c r="B1085" s="32">
        <f t="shared" ref="B1085:B1086" si="263">+B1084+1</f>
        <v>2042</v>
      </c>
      <c r="C1085" s="33" t="s">
        <v>11</v>
      </c>
      <c r="D1085" s="34" t="s">
        <v>1999</v>
      </c>
      <c r="E1085" s="35" t="str">
        <f t="shared" si="228"/>
        <v>PRB'!</v>
      </c>
      <c r="F1085" s="34" t="str">
        <f t="shared" si="229"/>
        <v>C:\Users\jaime.benazar\Quorum Business Solutions\Ecopetrol Prometeo - Documents\Planning Space Implementation\3. Analysis &amp; Design\Design\FC22\DRR Jaime\QUIFA-CAJÚA\Cajua\[CAJUA_CF_SEC_New_27-Feb-2024Rev3.xlsx]D-PRB'!</v>
      </c>
      <c r="G1085" s="32" t="s">
        <v>112</v>
      </c>
      <c r="H1085" s="33">
        <f t="shared" si="260"/>
        <v>31</v>
      </c>
      <c r="I1085" s="33" t="str">
        <f t="shared" si="230"/>
        <v>='C:\Users\jaime.benazar\Quorum Business Solutions\Ecopetrol Prometeo - Documents\Planning Space Implementation\3. Analysis &amp; Design\Design\FC22\DRR Jaime\QUIFA-CAJÚA\Cajua\[CAJUA_CF_SEC_New_27-Feb-2024Rev3.xlsx]D-PRB'!$BZ$31</v>
      </c>
      <c r="J1085" s="37" t="s">
        <v>2500</v>
      </c>
    </row>
    <row r="1086" spans="1:10" x14ac:dyDescent="0.25">
      <c r="A1086" s="32" t="s">
        <v>4</v>
      </c>
      <c r="B1086" s="32">
        <f t="shared" si="263"/>
        <v>2043</v>
      </c>
      <c r="C1086" s="33" t="s">
        <v>11</v>
      </c>
      <c r="D1086" s="34" t="s">
        <v>1999</v>
      </c>
      <c r="E1086" s="35" t="str">
        <f t="shared" si="228"/>
        <v>PRB'!</v>
      </c>
      <c r="F1086" s="34" t="str">
        <f t="shared" si="229"/>
        <v>C:\Users\jaime.benazar\Quorum Business Solutions\Ecopetrol Prometeo - Documents\Planning Space Implementation\3. Analysis &amp; Design\Design\FC22\DRR Jaime\QUIFA-CAJÚA\Cajua\[CAJUA_CF_SEC_New_27-Feb-2024Rev3.xlsx]D-PRB'!</v>
      </c>
      <c r="G1086" s="32" t="s">
        <v>112</v>
      </c>
      <c r="H1086" s="33">
        <f t="shared" si="260"/>
        <v>32</v>
      </c>
      <c r="I1086" s="33" t="str">
        <f t="shared" si="230"/>
        <v>='C:\Users\jaime.benazar\Quorum Business Solutions\Ecopetrol Prometeo - Documents\Planning Space Implementation\3. Analysis &amp; Design\Design\FC22\DRR Jaime\QUIFA-CAJÚA\Cajua\[CAJUA_CF_SEC_New_27-Feb-2024Rev3.xlsx]D-PRB'!$BZ$32</v>
      </c>
      <c r="J1086" s="37" t="s">
        <v>2501</v>
      </c>
    </row>
    <row r="1087" spans="1:10" x14ac:dyDescent="0.25">
      <c r="A1087" s="32" t="s">
        <v>4</v>
      </c>
      <c r="B1087" s="32">
        <f>+B1086+1</f>
        <v>2044</v>
      </c>
      <c r="C1087" s="33" t="s">
        <v>11</v>
      </c>
      <c r="D1087" s="34" t="s">
        <v>1999</v>
      </c>
      <c r="E1087" s="35" t="str">
        <f t="shared" ref="E1087:E1102" si="264">_xlfn.CONCAT(A1087,"'!")</f>
        <v>PRB'!</v>
      </c>
      <c r="F1087" s="34" t="str">
        <f t="shared" ref="F1087:F1102" si="265">_xlfn.CONCAT(D1087:E1087)</f>
        <v>C:\Users\jaime.benazar\Quorum Business Solutions\Ecopetrol Prometeo - Documents\Planning Space Implementation\3. Analysis &amp; Design\Design\FC22\DRR Jaime\QUIFA-CAJÚA\Cajua\[CAJUA_CF_SEC_New_27-Feb-2024Rev3.xlsx]D-PRB'!</v>
      </c>
      <c r="G1087" s="32" t="s">
        <v>112</v>
      </c>
      <c r="H1087" s="33">
        <f t="shared" ref="H1087:H1102" si="266">IF(A1087&lt;&gt;A1086,12,H1086+1)</f>
        <v>33</v>
      </c>
      <c r="I1087" s="33" t="str">
        <f t="shared" ref="I1087:I1102" si="267">_xlfn.CONCAT("='",F1087:H1087)</f>
        <v>='C:\Users\jaime.benazar\Quorum Business Solutions\Ecopetrol Prometeo - Documents\Planning Space Implementation\3. Analysis &amp; Design\Design\FC22\DRR Jaime\QUIFA-CAJÚA\Cajua\[CAJUA_CF_SEC_New_27-Feb-2024Rev3.xlsx]D-PRB'!$BZ$33</v>
      </c>
      <c r="J1087" s="37" t="s">
        <v>2502</v>
      </c>
    </row>
    <row r="1088" spans="1:10" x14ac:dyDescent="0.25">
      <c r="A1088" s="32" t="s">
        <v>4</v>
      </c>
      <c r="B1088" s="32">
        <f t="shared" ref="B1088:B1102" si="268">+B1087+1</f>
        <v>2045</v>
      </c>
      <c r="C1088" s="33" t="s">
        <v>11</v>
      </c>
      <c r="D1088" s="34" t="s">
        <v>1999</v>
      </c>
      <c r="E1088" s="35" t="str">
        <f t="shared" si="264"/>
        <v>PRB'!</v>
      </c>
      <c r="F1088" s="34" t="str">
        <f t="shared" si="265"/>
        <v>C:\Users\jaime.benazar\Quorum Business Solutions\Ecopetrol Prometeo - Documents\Planning Space Implementation\3. Analysis &amp; Design\Design\FC22\DRR Jaime\QUIFA-CAJÚA\Cajua\[CAJUA_CF_SEC_New_27-Feb-2024Rev3.xlsx]D-PRB'!</v>
      </c>
      <c r="G1088" s="32" t="s">
        <v>112</v>
      </c>
      <c r="H1088" s="33">
        <f t="shared" si="266"/>
        <v>34</v>
      </c>
      <c r="I1088" s="33" t="str">
        <f t="shared" si="267"/>
        <v>='C:\Users\jaime.benazar\Quorum Business Solutions\Ecopetrol Prometeo - Documents\Planning Space Implementation\3. Analysis &amp; Design\Design\FC22\DRR Jaime\QUIFA-CAJÚA\Cajua\[CAJUA_CF_SEC_New_27-Feb-2024Rev3.xlsx]D-PRB'!$BZ$34</v>
      </c>
      <c r="J1088" s="37" t="s">
        <v>2503</v>
      </c>
    </row>
    <row r="1089" spans="1:10" x14ac:dyDescent="0.25">
      <c r="A1089" s="32" t="s">
        <v>4</v>
      </c>
      <c r="B1089" s="32">
        <f t="shared" si="268"/>
        <v>2046</v>
      </c>
      <c r="C1089" s="33" t="s">
        <v>11</v>
      </c>
      <c r="D1089" s="34" t="s">
        <v>1999</v>
      </c>
      <c r="E1089" s="35" t="str">
        <f t="shared" si="264"/>
        <v>PRB'!</v>
      </c>
      <c r="F1089" s="34" t="str">
        <f t="shared" si="265"/>
        <v>C:\Users\jaime.benazar\Quorum Business Solutions\Ecopetrol Prometeo - Documents\Planning Space Implementation\3. Analysis &amp; Design\Design\FC22\DRR Jaime\QUIFA-CAJÚA\Cajua\[CAJUA_CF_SEC_New_27-Feb-2024Rev3.xlsx]D-PRB'!</v>
      </c>
      <c r="G1089" s="32" t="s">
        <v>112</v>
      </c>
      <c r="H1089" s="33">
        <f t="shared" si="266"/>
        <v>35</v>
      </c>
      <c r="I1089" s="33" t="str">
        <f t="shared" si="267"/>
        <v>='C:\Users\jaime.benazar\Quorum Business Solutions\Ecopetrol Prometeo - Documents\Planning Space Implementation\3. Analysis &amp; Design\Design\FC22\DRR Jaime\QUIFA-CAJÚA\Cajua\[CAJUA_CF_SEC_New_27-Feb-2024Rev3.xlsx]D-PRB'!$BZ$35</v>
      </c>
      <c r="J1089" s="37" t="s">
        <v>2504</v>
      </c>
    </row>
    <row r="1090" spans="1:10" x14ac:dyDescent="0.25">
      <c r="A1090" s="32" t="s">
        <v>4</v>
      </c>
      <c r="B1090" s="32">
        <f t="shared" si="268"/>
        <v>2047</v>
      </c>
      <c r="C1090" s="33" t="s">
        <v>11</v>
      </c>
      <c r="D1090" s="34" t="s">
        <v>1999</v>
      </c>
      <c r="E1090" s="35" t="str">
        <f t="shared" si="264"/>
        <v>PRB'!</v>
      </c>
      <c r="F1090" s="34" t="str">
        <f t="shared" si="265"/>
        <v>C:\Users\jaime.benazar\Quorum Business Solutions\Ecopetrol Prometeo - Documents\Planning Space Implementation\3. Analysis &amp; Design\Design\FC22\DRR Jaime\QUIFA-CAJÚA\Cajua\[CAJUA_CF_SEC_New_27-Feb-2024Rev3.xlsx]D-PRB'!</v>
      </c>
      <c r="G1090" s="32" t="s">
        <v>112</v>
      </c>
      <c r="H1090" s="33">
        <f t="shared" si="266"/>
        <v>36</v>
      </c>
      <c r="I1090" s="33" t="str">
        <f t="shared" si="267"/>
        <v>='C:\Users\jaime.benazar\Quorum Business Solutions\Ecopetrol Prometeo - Documents\Planning Space Implementation\3. Analysis &amp; Design\Design\FC22\DRR Jaime\QUIFA-CAJÚA\Cajua\[CAJUA_CF_SEC_New_27-Feb-2024Rev3.xlsx]D-PRB'!$BZ$36</v>
      </c>
      <c r="J1090" s="37" t="s">
        <v>2505</v>
      </c>
    </row>
    <row r="1091" spans="1:10" x14ac:dyDescent="0.25">
      <c r="A1091" s="32" t="s">
        <v>4</v>
      </c>
      <c r="B1091" s="32">
        <f t="shared" si="268"/>
        <v>2048</v>
      </c>
      <c r="C1091" s="33" t="s">
        <v>11</v>
      </c>
      <c r="D1091" s="34" t="s">
        <v>1999</v>
      </c>
      <c r="E1091" s="35" t="str">
        <f t="shared" si="264"/>
        <v>PRB'!</v>
      </c>
      <c r="F1091" s="34" t="str">
        <f t="shared" si="265"/>
        <v>C:\Users\jaime.benazar\Quorum Business Solutions\Ecopetrol Prometeo - Documents\Planning Space Implementation\3. Analysis &amp; Design\Design\FC22\DRR Jaime\QUIFA-CAJÚA\Cajua\[CAJUA_CF_SEC_New_27-Feb-2024Rev3.xlsx]D-PRB'!</v>
      </c>
      <c r="G1091" s="32" t="s">
        <v>112</v>
      </c>
      <c r="H1091" s="33">
        <f t="shared" si="266"/>
        <v>37</v>
      </c>
      <c r="I1091" s="33" t="str">
        <f t="shared" si="267"/>
        <v>='C:\Users\jaime.benazar\Quorum Business Solutions\Ecopetrol Prometeo - Documents\Planning Space Implementation\3. Analysis &amp; Design\Design\FC22\DRR Jaime\QUIFA-CAJÚA\Cajua\[CAJUA_CF_SEC_New_27-Feb-2024Rev3.xlsx]D-PRB'!$BZ$37</v>
      </c>
      <c r="J1091" s="37" t="s">
        <v>2506</v>
      </c>
    </row>
    <row r="1092" spans="1:10" x14ac:dyDescent="0.25">
      <c r="A1092" s="32" t="s">
        <v>4</v>
      </c>
      <c r="B1092" s="32">
        <f t="shared" si="268"/>
        <v>2049</v>
      </c>
      <c r="C1092" s="33" t="s">
        <v>11</v>
      </c>
      <c r="D1092" s="34" t="s">
        <v>1999</v>
      </c>
      <c r="E1092" s="35" t="str">
        <f t="shared" si="264"/>
        <v>PRB'!</v>
      </c>
      <c r="F1092" s="34" t="str">
        <f t="shared" si="265"/>
        <v>C:\Users\jaime.benazar\Quorum Business Solutions\Ecopetrol Prometeo - Documents\Planning Space Implementation\3. Analysis &amp; Design\Design\FC22\DRR Jaime\QUIFA-CAJÚA\Cajua\[CAJUA_CF_SEC_New_27-Feb-2024Rev3.xlsx]D-PRB'!</v>
      </c>
      <c r="G1092" s="32" t="s">
        <v>112</v>
      </c>
      <c r="H1092" s="33">
        <f t="shared" si="266"/>
        <v>38</v>
      </c>
      <c r="I1092" s="33" t="str">
        <f t="shared" si="267"/>
        <v>='C:\Users\jaime.benazar\Quorum Business Solutions\Ecopetrol Prometeo - Documents\Planning Space Implementation\3. Analysis &amp; Design\Design\FC22\DRR Jaime\QUIFA-CAJÚA\Cajua\[CAJUA_CF_SEC_New_27-Feb-2024Rev3.xlsx]D-PRB'!$BZ$38</v>
      </c>
      <c r="J1092" s="37" t="s">
        <v>2507</v>
      </c>
    </row>
    <row r="1093" spans="1:10" x14ac:dyDescent="0.25">
      <c r="A1093" s="32" t="s">
        <v>4</v>
      </c>
      <c r="B1093" s="32">
        <f t="shared" si="268"/>
        <v>2050</v>
      </c>
      <c r="C1093" s="33" t="s">
        <v>11</v>
      </c>
      <c r="D1093" s="34" t="s">
        <v>1999</v>
      </c>
      <c r="E1093" s="35" t="str">
        <f t="shared" si="264"/>
        <v>PRB'!</v>
      </c>
      <c r="F1093" s="34" t="str">
        <f t="shared" si="265"/>
        <v>C:\Users\jaime.benazar\Quorum Business Solutions\Ecopetrol Prometeo - Documents\Planning Space Implementation\3. Analysis &amp; Design\Design\FC22\DRR Jaime\QUIFA-CAJÚA\Cajua\[CAJUA_CF_SEC_New_27-Feb-2024Rev3.xlsx]D-PRB'!</v>
      </c>
      <c r="G1093" s="32" t="s">
        <v>112</v>
      </c>
      <c r="H1093" s="33">
        <f t="shared" si="266"/>
        <v>39</v>
      </c>
      <c r="I1093" s="33" t="str">
        <f t="shared" si="267"/>
        <v>='C:\Users\jaime.benazar\Quorum Business Solutions\Ecopetrol Prometeo - Documents\Planning Space Implementation\3. Analysis &amp; Design\Design\FC22\DRR Jaime\QUIFA-CAJÚA\Cajua\[CAJUA_CF_SEC_New_27-Feb-2024Rev3.xlsx]D-PRB'!$BZ$39</v>
      </c>
      <c r="J1093" s="37" t="s">
        <v>2508</v>
      </c>
    </row>
    <row r="1094" spans="1:10" x14ac:dyDescent="0.25">
      <c r="A1094" s="32" t="s">
        <v>4</v>
      </c>
      <c r="B1094" s="32">
        <f t="shared" si="268"/>
        <v>2051</v>
      </c>
      <c r="C1094" s="33" t="s">
        <v>11</v>
      </c>
      <c r="D1094" s="34" t="s">
        <v>1999</v>
      </c>
      <c r="E1094" s="35" t="str">
        <f t="shared" si="264"/>
        <v>PRB'!</v>
      </c>
      <c r="F1094" s="34" t="str">
        <f t="shared" si="265"/>
        <v>C:\Users\jaime.benazar\Quorum Business Solutions\Ecopetrol Prometeo - Documents\Planning Space Implementation\3. Analysis &amp; Design\Design\FC22\DRR Jaime\QUIFA-CAJÚA\Cajua\[CAJUA_CF_SEC_New_27-Feb-2024Rev3.xlsx]D-PRB'!</v>
      </c>
      <c r="G1094" s="32" t="s">
        <v>112</v>
      </c>
      <c r="H1094" s="33">
        <f t="shared" si="266"/>
        <v>40</v>
      </c>
      <c r="I1094" s="33" t="str">
        <f t="shared" si="267"/>
        <v>='C:\Users\jaime.benazar\Quorum Business Solutions\Ecopetrol Prometeo - Documents\Planning Space Implementation\3. Analysis &amp; Design\Design\FC22\DRR Jaime\QUIFA-CAJÚA\Cajua\[CAJUA_CF_SEC_New_27-Feb-2024Rev3.xlsx]D-PRB'!$BZ$40</v>
      </c>
      <c r="J1094" s="37" t="s">
        <v>2509</v>
      </c>
    </row>
    <row r="1095" spans="1:10" x14ac:dyDescent="0.25">
      <c r="A1095" s="32" t="s">
        <v>4</v>
      </c>
      <c r="B1095" s="32">
        <f t="shared" si="268"/>
        <v>2052</v>
      </c>
      <c r="C1095" s="33" t="s">
        <v>11</v>
      </c>
      <c r="D1095" s="34" t="s">
        <v>1999</v>
      </c>
      <c r="E1095" s="35" t="str">
        <f t="shared" si="264"/>
        <v>PRB'!</v>
      </c>
      <c r="F1095" s="34" t="str">
        <f t="shared" si="265"/>
        <v>C:\Users\jaime.benazar\Quorum Business Solutions\Ecopetrol Prometeo - Documents\Planning Space Implementation\3. Analysis &amp; Design\Design\FC22\DRR Jaime\QUIFA-CAJÚA\Cajua\[CAJUA_CF_SEC_New_27-Feb-2024Rev3.xlsx]D-PRB'!</v>
      </c>
      <c r="G1095" s="32" t="s">
        <v>112</v>
      </c>
      <c r="H1095" s="33">
        <f t="shared" si="266"/>
        <v>41</v>
      </c>
      <c r="I1095" s="33" t="str">
        <f t="shared" si="267"/>
        <v>='C:\Users\jaime.benazar\Quorum Business Solutions\Ecopetrol Prometeo - Documents\Planning Space Implementation\3. Analysis &amp; Design\Design\FC22\DRR Jaime\QUIFA-CAJÚA\Cajua\[CAJUA_CF_SEC_New_27-Feb-2024Rev3.xlsx]D-PRB'!$BZ$41</v>
      </c>
      <c r="J1095" s="37" t="s">
        <v>2510</v>
      </c>
    </row>
    <row r="1096" spans="1:10" x14ac:dyDescent="0.25">
      <c r="A1096" s="32" t="s">
        <v>4</v>
      </c>
      <c r="B1096" s="32">
        <f t="shared" si="268"/>
        <v>2053</v>
      </c>
      <c r="C1096" s="33" t="s">
        <v>11</v>
      </c>
      <c r="D1096" s="34" t="s">
        <v>1999</v>
      </c>
      <c r="E1096" s="35" t="str">
        <f t="shared" si="264"/>
        <v>PRB'!</v>
      </c>
      <c r="F1096" s="34" t="str">
        <f t="shared" si="265"/>
        <v>C:\Users\jaime.benazar\Quorum Business Solutions\Ecopetrol Prometeo - Documents\Planning Space Implementation\3. Analysis &amp; Design\Design\FC22\DRR Jaime\QUIFA-CAJÚA\Cajua\[CAJUA_CF_SEC_New_27-Feb-2024Rev3.xlsx]D-PRB'!</v>
      </c>
      <c r="G1096" s="32" t="s">
        <v>112</v>
      </c>
      <c r="H1096" s="33">
        <f t="shared" si="266"/>
        <v>42</v>
      </c>
      <c r="I1096" s="33" t="str">
        <f t="shared" si="267"/>
        <v>='C:\Users\jaime.benazar\Quorum Business Solutions\Ecopetrol Prometeo - Documents\Planning Space Implementation\3. Analysis &amp; Design\Design\FC22\DRR Jaime\QUIFA-CAJÚA\Cajua\[CAJUA_CF_SEC_New_27-Feb-2024Rev3.xlsx]D-PRB'!$BZ$42</v>
      </c>
      <c r="J1096" s="37" t="s">
        <v>2511</v>
      </c>
    </row>
    <row r="1097" spans="1:10" x14ac:dyDescent="0.25">
      <c r="A1097" s="32" t="s">
        <v>4</v>
      </c>
      <c r="B1097" s="32">
        <f t="shared" si="268"/>
        <v>2054</v>
      </c>
      <c r="C1097" s="33" t="s">
        <v>11</v>
      </c>
      <c r="D1097" s="34" t="s">
        <v>1999</v>
      </c>
      <c r="E1097" s="35" t="str">
        <f t="shared" si="264"/>
        <v>PRB'!</v>
      </c>
      <c r="F1097" s="34" t="str">
        <f t="shared" si="265"/>
        <v>C:\Users\jaime.benazar\Quorum Business Solutions\Ecopetrol Prometeo - Documents\Planning Space Implementation\3. Analysis &amp; Design\Design\FC22\DRR Jaime\QUIFA-CAJÚA\Cajua\[CAJUA_CF_SEC_New_27-Feb-2024Rev3.xlsx]D-PRB'!</v>
      </c>
      <c r="G1097" s="32" t="s">
        <v>112</v>
      </c>
      <c r="H1097" s="33">
        <f t="shared" si="266"/>
        <v>43</v>
      </c>
      <c r="I1097" s="33" t="str">
        <f t="shared" si="267"/>
        <v>='C:\Users\jaime.benazar\Quorum Business Solutions\Ecopetrol Prometeo - Documents\Planning Space Implementation\3. Analysis &amp; Design\Design\FC22\DRR Jaime\QUIFA-CAJÚA\Cajua\[CAJUA_CF_SEC_New_27-Feb-2024Rev3.xlsx]D-PRB'!$BZ$43</v>
      </c>
      <c r="J1097" s="37" t="s">
        <v>2512</v>
      </c>
    </row>
    <row r="1098" spans="1:10" x14ac:dyDescent="0.25">
      <c r="A1098" s="32" t="s">
        <v>4</v>
      </c>
      <c r="B1098" s="32">
        <f t="shared" si="268"/>
        <v>2055</v>
      </c>
      <c r="C1098" s="33" t="s">
        <v>11</v>
      </c>
      <c r="D1098" s="34" t="s">
        <v>1999</v>
      </c>
      <c r="E1098" s="35" t="str">
        <f t="shared" si="264"/>
        <v>PRB'!</v>
      </c>
      <c r="F1098" s="34" t="str">
        <f t="shared" si="265"/>
        <v>C:\Users\jaime.benazar\Quorum Business Solutions\Ecopetrol Prometeo - Documents\Planning Space Implementation\3. Analysis &amp; Design\Design\FC22\DRR Jaime\QUIFA-CAJÚA\Cajua\[CAJUA_CF_SEC_New_27-Feb-2024Rev3.xlsx]D-PRB'!</v>
      </c>
      <c r="G1098" s="32" t="s">
        <v>112</v>
      </c>
      <c r="H1098" s="33">
        <f t="shared" si="266"/>
        <v>44</v>
      </c>
      <c r="I1098" s="33" t="str">
        <f t="shared" si="267"/>
        <v>='C:\Users\jaime.benazar\Quorum Business Solutions\Ecopetrol Prometeo - Documents\Planning Space Implementation\3. Analysis &amp; Design\Design\FC22\DRR Jaime\QUIFA-CAJÚA\Cajua\[CAJUA_CF_SEC_New_27-Feb-2024Rev3.xlsx]D-PRB'!$BZ$44</v>
      </c>
      <c r="J1098" s="37" t="s">
        <v>2513</v>
      </c>
    </row>
    <row r="1099" spans="1:10" x14ac:dyDescent="0.25">
      <c r="A1099" s="32" t="s">
        <v>4</v>
      </c>
      <c r="B1099" s="32">
        <f t="shared" si="268"/>
        <v>2056</v>
      </c>
      <c r="C1099" s="33" t="s">
        <v>11</v>
      </c>
      <c r="D1099" s="34" t="s">
        <v>1999</v>
      </c>
      <c r="E1099" s="35" t="str">
        <f t="shared" si="264"/>
        <v>PRB'!</v>
      </c>
      <c r="F1099" s="34" t="str">
        <f t="shared" si="265"/>
        <v>C:\Users\jaime.benazar\Quorum Business Solutions\Ecopetrol Prometeo - Documents\Planning Space Implementation\3. Analysis &amp; Design\Design\FC22\DRR Jaime\QUIFA-CAJÚA\Cajua\[CAJUA_CF_SEC_New_27-Feb-2024Rev3.xlsx]D-PRB'!</v>
      </c>
      <c r="G1099" s="32" t="s">
        <v>112</v>
      </c>
      <c r="H1099" s="33">
        <f t="shared" si="266"/>
        <v>45</v>
      </c>
      <c r="I1099" s="33" t="str">
        <f t="shared" si="267"/>
        <v>='C:\Users\jaime.benazar\Quorum Business Solutions\Ecopetrol Prometeo - Documents\Planning Space Implementation\3. Analysis &amp; Design\Design\FC22\DRR Jaime\QUIFA-CAJÚA\Cajua\[CAJUA_CF_SEC_New_27-Feb-2024Rev3.xlsx]D-PRB'!$BZ$45</v>
      </c>
      <c r="J1099" s="37" t="s">
        <v>2514</v>
      </c>
    </row>
    <row r="1100" spans="1:10" x14ac:dyDescent="0.25">
      <c r="A1100" s="32" t="s">
        <v>4</v>
      </c>
      <c r="B1100" s="32">
        <f t="shared" si="268"/>
        <v>2057</v>
      </c>
      <c r="C1100" s="33" t="s">
        <v>11</v>
      </c>
      <c r="D1100" s="34" t="s">
        <v>1999</v>
      </c>
      <c r="E1100" s="35" t="str">
        <f t="shared" si="264"/>
        <v>PRB'!</v>
      </c>
      <c r="F1100" s="34" t="str">
        <f t="shared" si="265"/>
        <v>C:\Users\jaime.benazar\Quorum Business Solutions\Ecopetrol Prometeo - Documents\Planning Space Implementation\3. Analysis &amp; Design\Design\FC22\DRR Jaime\QUIFA-CAJÚA\Cajua\[CAJUA_CF_SEC_New_27-Feb-2024Rev3.xlsx]D-PRB'!</v>
      </c>
      <c r="G1100" s="32" t="s">
        <v>112</v>
      </c>
      <c r="H1100" s="33">
        <f t="shared" si="266"/>
        <v>46</v>
      </c>
      <c r="I1100" s="33" t="str">
        <f t="shared" si="267"/>
        <v>='C:\Users\jaime.benazar\Quorum Business Solutions\Ecopetrol Prometeo - Documents\Planning Space Implementation\3. Analysis &amp; Design\Design\FC22\DRR Jaime\QUIFA-CAJÚA\Cajua\[CAJUA_CF_SEC_New_27-Feb-2024Rev3.xlsx]D-PRB'!$BZ$46</v>
      </c>
      <c r="J1100" s="37" t="s">
        <v>2515</v>
      </c>
    </row>
    <row r="1101" spans="1:10" x14ac:dyDescent="0.25">
      <c r="A1101" s="32" t="s">
        <v>4</v>
      </c>
      <c r="B1101" s="32">
        <f t="shared" si="268"/>
        <v>2058</v>
      </c>
      <c r="C1101" s="33" t="s">
        <v>11</v>
      </c>
      <c r="D1101" s="34" t="s">
        <v>1999</v>
      </c>
      <c r="E1101" s="35" t="str">
        <f t="shared" si="264"/>
        <v>PRB'!</v>
      </c>
      <c r="F1101" s="34" t="str">
        <f t="shared" si="265"/>
        <v>C:\Users\jaime.benazar\Quorum Business Solutions\Ecopetrol Prometeo - Documents\Planning Space Implementation\3. Analysis &amp; Design\Design\FC22\DRR Jaime\QUIFA-CAJÚA\Cajua\[CAJUA_CF_SEC_New_27-Feb-2024Rev3.xlsx]D-PRB'!</v>
      </c>
      <c r="G1101" s="32" t="s">
        <v>112</v>
      </c>
      <c r="H1101" s="33">
        <f t="shared" si="266"/>
        <v>47</v>
      </c>
      <c r="I1101" s="33" t="str">
        <f t="shared" si="267"/>
        <v>='C:\Users\jaime.benazar\Quorum Business Solutions\Ecopetrol Prometeo - Documents\Planning Space Implementation\3. Analysis &amp; Design\Design\FC22\DRR Jaime\QUIFA-CAJÚA\Cajua\[CAJUA_CF_SEC_New_27-Feb-2024Rev3.xlsx]D-PRB'!$BZ$47</v>
      </c>
      <c r="J1101" s="37" t="s">
        <v>2516</v>
      </c>
    </row>
    <row r="1102" spans="1:10" x14ac:dyDescent="0.25">
      <c r="A1102" s="32" t="s">
        <v>4</v>
      </c>
      <c r="B1102" s="32">
        <f t="shared" si="268"/>
        <v>2059</v>
      </c>
      <c r="C1102" s="33" t="s">
        <v>11</v>
      </c>
      <c r="D1102" s="34" t="s">
        <v>1999</v>
      </c>
      <c r="E1102" s="35" t="str">
        <f t="shared" si="264"/>
        <v>PRB'!</v>
      </c>
      <c r="F1102" s="34" t="str">
        <f t="shared" si="265"/>
        <v>C:\Users\jaime.benazar\Quorum Business Solutions\Ecopetrol Prometeo - Documents\Planning Space Implementation\3. Analysis &amp; Design\Design\FC22\DRR Jaime\QUIFA-CAJÚA\Cajua\[CAJUA_CF_SEC_New_27-Feb-2024Rev3.xlsx]D-PRB'!</v>
      </c>
      <c r="G1102" s="32" t="s">
        <v>112</v>
      </c>
      <c r="H1102" s="33">
        <f t="shared" si="266"/>
        <v>48</v>
      </c>
      <c r="I1102" s="33" t="str">
        <f t="shared" si="267"/>
        <v>='C:\Users\jaime.benazar\Quorum Business Solutions\Ecopetrol Prometeo - Documents\Planning Space Implementation\3. Analysis &amp; Design\Design\FC22\DRR Jaime\QUIFA-CAJÚA\Cajua\[CAJUA_CF_SEC_New_27-Feb-2024Rev3.xlsx]D-PRB'!$BZ$48</v>
      </c>
      <c r="J1102" s="37" t="s">
        <v>2517</v>
      </c>
    </row>
    <row r="1103" spans="1:10" x14ac:dyDescent="0.25">
      <c r="A1103" s="32" t="s">
        <v>28</v>
      </c>
      <c r="B1103" s="32"/>
      <c r="C1103" s="33" t="s">
        <v>11</v>
      </c>
      <c r="D1103" s="34"/>
      <c r="E1103" s="35"/>
      <c r="F1103" s="34"/>
      <c r="G1103" s="32"/>
      <c r="H1103" s="33"/>
      <c r="I1103" s="33"/>
      <c r="J1103" s="33"/>
    </row>
    <row r="1104" spans="1:10" x14ac:dyDescent="0.25">
      <c r="A1104" s="32" t="s">
        <v>102</v>
      </c>
      <c r="B1104" s="32">
        <v>2023</v>
      </c>
      <c r="C1104" s="33" t="s">
        <v>11</v>
      </c>
      <c r="D1104" s="34" t="s">
        <v>1999</v>
      </c>
      <c r="E1104" s="35" t="str">
        <f t="shared" ref="E1104:E1124" si="269">_xlfn.CONCAT(A1104,"'!")</f>
        <v>PSDP'!</v>
      </c>
      <c r="F1104" s="34" t="str">
        <f t="shared" ref="F1104:F1124" si="270">_xlfn.CONCAT(D1104:E1104)</f>
        <v>C:\Users\jaime.benazar\Quorum Business Solutions\Ecopetrol Prometeo - Documents\Planning Space Implementation\3. Analysis &amp; Design\Design\FC22\DRR Jaime\QUIFA-CAJÚA\Cajua\[CAJUA_CF_SEC_New_27-Feb-2024Rev3.xlsx]D-PSDP'!</v>
      </c>
      <c r="G1104" s="32" t="s">
        <v>112</v>
      </c>
      <c r="H1104" s="33"/>
      <c r="I1104" s="33"/>
      <c r="J1104" s="37"/>
    </row>
    <row r="1105" spans="1:10" x14ac:dyDescent="0.25">
      <c r="A1105" s="32" t="s">
        <v>102</v>
      </c>
      <c r="B1105" s="32">
        <f>+B1104+1</f>
        <v>2024</v>
      </c>
      <c r="C1105" s="33" t="s">
        <v>11</v>
      </c>
      <c r="D1105" s="34" t="s">
        <v>1999</v>
      </c>
      <c r="E1105" s="35" t="str">
        <f t="shared" si="269"/>
        <v>PSDP'!</v>
      </c>
      <c r="F1105" s="34" t="str">
        <f t="shared" si="270"/>
        <v>C:\Users\jaime.benazar\Quorum Business Solutions\Ecopetrol Prometeo - Documents\Planning Space Implementation\3. Analysis &amp; Design\Design\FC22\DRR Jaime\QUIFA-CAJÚA\Cajua\[CAJUA_CF_SEC_New_27-Feb-2024Rev3.xlsx]D-PSDP'!</v>
      </c>
      <c r="G1105" s="32" t="s">
        <v>112</v>
      </c>
      <c r="H1105" s="33"/>
      <c r="I1105" s="33"/>
      <c r="J1105" s="37"/>
    </row>
    <row r="1106" spans="1:10" x14ac:dyDescent="0.25">
      <c r="A1106" s="32" t="s">
        <v>102</v>
      </c>
      <c r="B1106" s="32">
        <f t="shared" ref="B1106:B1117" si="271">+B1105+1</f>
        <v>2025</v>
      </c>
      <c r="C1106" s="33" t="s">
        <v>11</v>
      </c>
      <c r="D1106" s="34" t="s">
        <v>1999</v>
      </c>
      <c r="E1106" s="35" t="str">
        <f t="shared" si="269"/>
        <v>PSDP'!</v>
      </c>
      <c r="F1106" s="34" t="str">
        <f t="shared" si="270"/>
        <v>C:\Users\jaime.benazar\Quorum Business Solutions\Ecopetrol Prometeo - Documents\Planning Space Implementation\3. Analysis &amp; Design\Design\FC22\DRR Jaime\QUIFA-CAJÚA\Cajua\[CAJUA_CF_SEC_New_27-Feb-2024Rev3.xlsx]D-PSDP'!</v>
      </c>
      <c r="G1106" s="32" t="s">
        <v>112</v>
      </c>
      <c r="H1106" s="33"/>
      <c r="I1106" s="33"/>
      <c r="J1106" s="37"/>
    </row>
    <row r="1107" spans="1:10" x14ac:dyDescent="0.25">
      <c r="A1107" s="32" t="s">
        <v>102</v>
      </c>
      <c r="B1107" s="32">
        <f t="shared" si="271"/>
        <v>2026</v>
      </c>
      <c r="C1107" s="33" t="s">
        <v>11</v>
      </c>
      <c r="D1107" s="34" t="s">
        <v>1999</v>
      </c>
      <c r="E1107" s="35" t="str">
        <f t="shared" si="269"/>
        <v>PSDP'!</v>
      </c>
      <c r="F1107" s="34" t="str">
        <f t="shared" si="270"/>
        <v>C:\Users\jaime.benazar\Quorum Business Solutions\Ecopetrol Prometeo - Documents\Planning Space Implementation\3. Analysis &amp; Design\Design\FC22\DRR Jaime\QUIFA-CAJÚA\Cajua\[CAJUA_CF_SEC_New_27-Feb-2024Rev3.xlsx]D-PSDP'!</v>
      </c>
      <c r="G1107" s="32" t="s">
        <v>112</v>
      </c>
      <c r="H1107" s="33"/>
      <c r="I1107" s="33"/>
      <c r="J1107" s="37"/>
    </row>
    <row r="1108" spans="1:10" x14ac:dyDescent="0.25">
      <c r="A1108" s="32" t="s">
        <v>102</v>
      </c>
      <c r="B1108" s="32">
        <f t="shared" si="271"/>
        <v>2027</v>
      </c>
      <c r="C1108" s="33" t="s">
        <v>11</v>
      </c>
      <c r="D1108" s="34" t="s">
        <v>1999</v>
      </c>
      <c r="E1108" s="35" t="str">
        <f t="shared" si="269"/>
        <v>PSDP'!</v>
      </c>
      <c r="F1108" s="34" t="str">
        <f t="shared" si="270"/>
        <v>C:\Users\jaime.benazar\Quorum Business Solutions\Ecopetrol Prometeo - Documents\Planning Space Implementation\3. Analysis &amp; Design\Design\FC22\DRR Jaime\QUIFA-CAJÚA\Cajua\[CAJUA_CF_SEC_New_27-Feb-2024Rev3.xlsx]D-PSDP'!</v>
      </c>
      <c r="G1108" s="32" t="s">
        <v>112</v>
      </c>
      <c r="H1108" s="33"/>
      <c r="I1108" s="33"/>
      <c r="J1108" s="37"/>
    </row>
    <row r="1109" spans="1:10" x14ac:dyDescent="0.25">
      <c r="A1109" s="32" t="s">
        <v>102</v>
      </c>
      <c r="B1109" s="32">
        <f t="shared" si="271"/>
        <v>2028</v>
      </c>
      <c r="C1109" s="33" t="s">
        <v>11</v>
      </c>
      <c r="D1109" s="34" t="s">
        <v>1999</v>
      </c>
      <c r="E1109" s="35" t="str">
        <f t="shared" si="269"/>
        <v>PSDP'!</v>
      </c>
      <c r="F1109" s="34" t="str">
        <f t="shared" si="270"/>
        <v>C:\Users\jaime.benazar\Quorum Business Solutions\Ecopetrol Prometeo - Documents\Planning Space Implementation\3. Analysis &amp; Design\Design\FC22\DRR Jaime\QUIFA-CAJÚA\Cajua\[CAJUA_CF_SEC_New_27-Feb-2024Rev3.xlsx]D-PSDP'!</v>
      </c>
      <c r="G1109" s="32" t="s">
        <v>112</v>
      </c>
      <c r="H1109" s="33"/>
      <c r="I1109" s="33"/>
      <c r="J1109" s="37"/>
    </row>
    <row r="1110" spans="1:10" x14ac:dyDescent="0.25">
      <c r="A1110" s="32" t="s">
        <v>102</v>
      </c>
      <c r="B1110" s="32">
        <f t="shared" si="271"/>
        <v>2029</v>
      </c>
      <c r="C1110" s="33" t="s">
        <v>11</v>
      </c>
      <c r="D1110" s="34" t="s">
        <v>1999</v>
      </c>
      <c r="E1110" s="35" t="str">
        <f t="shared" si="269"/>
        <v>PSDP'!</v>
      </c>
      <c r="F1110" s="34" t="str">
        <f t="shared" si="270"/>
        <v>C:\Users\jaime.benazar\Quorum Business Solutions\Ecopetrol Prometeo - Documents\Planning Space Implementation\3. Analysis &amp; Design\Design\FC22\DRR Jaime\QUIFA-CAJÚA\Cajua\[CAJUA_CF_SEC_New_27-Feb-2024Rev3.xlsx]D-PSDP'!</v>
      </c>
      <c r="G1110" s="32" t="s">
        <v>112</v>
      </c>
      <c r="H1110" s="33"/>
      <c r="I1110" s="33"/>
      <c r="J1110" s="37"/>
    </row>
    <row r="1111" spans="1:10" x14ac:dyDescent="0.25">
      <c r="A1111" s="32" t="s">
        <v>102</v>
      </c>
      <c r="B1111" s="32">
        <f t="shared" si="271"/>
        <v>2030</v>
      </c>
      <c r="C1111" s="33" t="s">
        <v>11</v>
      </c>
      <c r="D1111" s="34" t="s">
        <v>1999</v>
      </c>
      <c r="E1111" s="35" t="str">
        <f t="shared" si="269"/>
        <v>PSDP'!</v>
      </c>
      <c r="F1111" s="34" t="str">
        <f t="shared" si="270"/>
        <v>C:\Users\jaime.benazar\Quorum Business Solutions\Ecopetrol Prometeo - Documents\Planning Space Implementation\3. Analysis &amp; Design\Design\FC22\DRR Jaime\QUIFA-CAJÚA\Cajua\[CAJUA_CF_SEC_New_27-Feb-2024Rev3.xlsx]D-PSDP'!</v>
      </c>
      <c r="G1111" s="32" t="s">
        <v>112</v>
      </c>
      <c r="H1111" s="33"/>
      <c r="I1111" s="33"/>
      <c r="J1111" s="37"/>
    </row>
    <row r="1112" spans="1:10" x14ac:dyDescent="0.25">
      <c r="A1112" s="32" t="s">
        <v>102</v>
      </c>
      <c r="B1112" s="32">
        <f t="shared" si="271"/>
        <v>2031</v>
      </c>
      <c r="C1112" s="33" t="s">
        <v>11</v>
      </c>
      <c r="D1112" s="34" t="s">
        <v>1999</v>
      </c>
      <c r="E1112" s="35" t="str">
        <f t="shared" si="269"/>
        <v>PSDP'!</v>
      </c>
      <c r="F1112" s="34" t="str">
        <f t="shared" si="270"/>
        <v>C:\Users\jaime.benazar\Quorum Business Solutions\Ecopetrol Prometeo - Documents\Planning Space Implementation\3. Analysis &amp; Design\Design\FC22\DRR Jaime\QUIFA-CAJÚA\Cajua\[CAJUA_CF_SEC_New_27-Feb-2024Rev3.xlsx]D-PSDP'!</v>
      </c>
      <c r="G1112" s="32" t="s">
        <v>112</v>
      </c>
      <c r="H1112" s="33"/>
      <c r="I1112" s="33"/>
      <c r="J1112" s="37"/>
    </row>
    <row r="1113" spans="1:10" x14ac:dyDescent="0.25">
      <c r="A1113" s="32" t="s">
        <v>102</v>
      </c>
      <c r="B1113" s="32">
        <f t="shared" si="271"/>
        <v>2032</v>
      </c>
      <c r="C1113" s="33" t="s">
        <v>11</v>
      </c>
      <c r="D1113" s="34" t="s">
        <v>1999</v>
      </c>
      <c r="E1113" s="35" t="str">
        <f t="shared" si="269"/>
        <v>PSDP'!</v>
      </c>
      <c r="F1113" s="34" t="str">
        <f t="shared" si="270"/>
        <v>C:\Users\jaime.benazar\Quorum Business Solutions\Ecopetrol Prometeo - Documents\Planning Space Implementation\3. Analysis &amp; Design\Design\FC22\DRR Jaime\QUIFA-CAJÚA\Cajua\[CAJUA_CF_SEC_New_27-Feb-2024Rev3.xlsx]D-PSDP'!</v>
      </c>
      <c r="G1113" s="32" t="s">
        <v>112</v>
      </c>
      <c r="H1113" s="33"/>
      <c r="I1113" s="33"/>
      <c r="J1113" s="37"/>
    </row>
    <row r="1114" spans="1:10" x14ac:dyDescent="0.25">
      <c r="A1114" s="32" t="s">
        <v>102</v>
      </c>
      <c r="B1114" s="32">
        <f t="shared" si="271"/>
        <v>2033</v>
      </c>
      <c r="C1114" s="33" t="s">
        <v>11</v>
      </c>
      <c r="D1114" s="34" t="s">
        <v>1999</v>
      </c>
      <c r="E1114" s="35" t="str">
        <f t="shared" si="269"/>
        <v>PSDP'!</v>
      </c>
      <c r="F1114" s="34" t="str">
        <f t="shared" si="270"/>
        <v>C:\Users\jaime.benazar\Quorum Business Solutions\Ecopetrol Prometeo - Documents\Planning Space Implementation\3. Analysis &amp; Design\Design\FC22\DRR Jaime\QUIFA-CAJÚA\Cajua\[CAJUA_CF_SEC_New_27-Feb-2024Rev3.xlsx]D-PSDP'!</v>
      </c>
      <c r="G1114" s="32" t="s">
        <v>112</v>
      </c>
      <c r="H1114" s="33"/>
      <c r="I1114" s="33"/>
      <c r="J1114" s="37"/>
    </row>
    <row r="1115" spans="1:10" x14ac:dyDescent="0.25">
      <c r="A1115" s="32" t="s">
        <v>102</v>
      </c>
      <c r="B1115" s="32">
        <f t="shared" si="271"/>
        <v>2034</v>
      </c>
      <c r="C1115" s="33" t="s">
        <v>11</v>
      </c>
      <c r="D1115" s="34" t="s">
        <v>1999</v>
      </c>
      <c r="E1115" s="35" t="str">
        <f t="shared" si="269"/>
        <v>PSDP'!</v>
      </c>
      <c r="F1115" s="34" t="str">
        <f t="shared" si="270"/>
        <v>C:\Users\jaime.benazar\Quorum Business Solutions\Ecopetrol Prometeo - Documents\Planning Space Implementation\3. Analysis &amp; Design\Design\FC22\DRR Jaime\QUIFA-CAJÚA\Cajua\[CAJUA_CF_SEC_New_27-Feb-2024Rev3.xlsx]D-PSDP'!</v>
      </c>
      <c r="G1115" s="32" t="s">
        <v>112</v>
      </c>
      <c r="H1115" s="33"/>
      <c r="I1115" s="33"/>
      <c r="J1115" s="37"/>
    </row>
    <row r="1116" spans="1:10" x14ac:dyDescent="0.25">
      <c r="A1116" s="32" t="s">
        <v>102</v>
      </c>
      <c r="B1116" s="32">
        <f t="shared" si="271"/>
        <v>2035</v>
      </c>
      <c r="C1116" s="33" t="s">
        <v>11</v>
      </c>
      <c r="D1116" s="34" t="s">
        <v>1999</v>
      </c>
      <c r="E1116" s="35" t="str">
        <f t="shared" si="269"/>
        <v>PSDP'!</v>
      </c>
      <c r="F1116" s="34" t="str">
        <f t="shared" si="270"/>
        <v>C:\Users\jaime.benazar\Quorum Business Solutions\Ecopetrol Prometeo - Documents\Planning Space Implementation\3. Analysis &amp; Design\Design\FC22\DRR Jaime\QUIFA-CAJÚA\Cajua\[CAJUA_CF_SEC_New_27-Feb-2024Rev3.xlsx]D-PSDP'!</v>
      </c>
      <c r="G1116" s="32" t="s">
        <v>112</v>
      </c>
      <c r="H1116" s="33"/>
      <c r="I1116" s="33"/>
      <c r="J1116" s="37"/>
    </row>
    <row r="1117" spans="1:10" x14ac:dyDescent="0.25">
      <c r="A1117" s="32" t="s">
        <v>102</v>
      </c>
      <c r="B1117" s="32">
        <f t="shared" si="271"/>
        <v>2036</v>
      </c>
      <c r="C1117" s="33" t="s">
        <v>11</v>
      </c>
      <c r="D1117" s="34" t="s">
        <v>1999</v>
      </c>
      <c r="E1117" s="35" t="str">
        <f t="shared" si="269"/>
        <v>PSDP'!</v>
      </c>
      <c r="F1117" s="34" t="str">
        <f t="shared" si="270"/>
        <v>C:\Users\jaime.benazar\Quorum Business Solutions\Ecopetrol Prometeo - Documents\Planning Space Implementation\3. Analysis &amp; Design\Design\FC22\DRR Jaime\QUIFA-CAJÚA\Cajua\[CAJUA_CF_SEC_New_27-Feb-2024Rev3.xlsx]D-PSDP'!</v>
      </c>
      <c r="G1117" s="32" t="s">
        <v>112</v>
      </c>
      <c r="H1117" s="33"/>
      <c r="I1117" s="33"/>
      <c r="J1117" s="37"/>
    </row>
    <row r="1118" spans="1:10" x14ac:dyDescent="0.25">
      <c r="A1118" s="32" t="s">
        <v>102</v>
      </c>
      <c r="B1118" s="32">
        <f>+B1117+1</f>
        <v>2037</v>
      </c>
      <c r="C1118" s="33" t="s">
        <v>11</v>
      </c>
      <c r="D1118" s="34" t="s">
        <v>1999</v>
      </c>
      <c r="E1118" s="35" t="str">
        <f t="shared" si="269"/>
        <v>PSDP'!</v>
      </c>
      <c r="F1118" s="34" t="str">
        <f t="shared" si="270"/>
        <v>C:\Users\jaime.benazar\Quorum Business Solutions\Ecopetrol Prometeo - Documents\Planning Space Implementation\3. Analysis &amp; Design\Design\FC22\DRR Jaime\QUIFA-CAJÚA\Cajua\[CAJUA_CF_SEC_New_27-Feb-2024Rev3.xlsx]D-PSDP'!</v>
      </c>
      <c r="G1118" s="32" t="s">
        <v>112</v>
      </c>
      <c r="H1118" s="33"/>
      <c r="I1118" s="33"/>
      <c r="J1118" s="37"/>
    </row>
    <row r="1119" spans="1:10" x14ac:dyDescent="0.25">
      <c r="A1119" s="32" t="s">
        <v>102</v>
      </c>
      <c r="B1119" s="32">
        <f t="shared" ref="B1119:B1121" si="272">+B1118+1</f>
        <v>2038</v>
      </c>
      <c r="C1119" s="33" t="s">
        <v>11</v>
      </c>
      <c r="D1119" s="34" t="s">
        <v>1999</v>
      </c>
      <c r="E1119" s="35" t="str">
        <f t="shared" si="269"/>
        <v>PSDP'!</v>
      </c>
      <c r="F1119" s="34" t="str">
        <f t="shared" si="270"/>
        <v>C:\Users\jaime.benazar\Quorum Business Solutions\Ecopetrol Prometeo - Documents\Planning Space Implementation\3. Analysis &amp; Design\Design\FC22\DRR Jaime\QUIFA-CAJÚA\Cajua\[CAJUA_CF_SEC_New_27-Feb-2024Rev3.xlsx]D-PSDP'!</v>
      </c>
      <c r="G1119" s="32" t="s">
        <v>112</v>
      </c>
      <c r="H1119" s="33"/>
      <c r="I1119" s="33"/>
      <c r="J1119" s="37"/>
    </row>
    <row r="1120" spans="1:10" x14ac:dyDescent="0.25">
      <c r="A1120" s="32" t="s">
        <v>102</v>
      </c>
      <c r="B1120" s="32">
        <f t="shared" si="272"/>
        <v>2039</v>
      </c>
      <c r="C1120" s="33" t="s">
        <v>11</v>
      </c>
      <c r="D1120" s="34" t="s">
        <v>1999</v>
      </c>
      <c r="E1120" s="35" t="str">
        <f t="shared" si="269"/>
        <v>PSDP'!</v>
      </c>
      <c r="F1120" s="34" t="str">
        <f t="shared" si="270"/>
        <v>C:\Users\jaime.benazar\Quorum Business Solutions\Ecopetrol Prometeo - Documents\Planning Space Implementation\3. Analysis &amp; Design\Design\FC22\DRR Jaime\QUIFA-CAJÚA\Cajua\[CAJUA_CF_SEC_New_27-Feb-2024Rev3.xlsx]D-PSDP'!</v>
      </c>
      <c r="G1120" s="32" t="s">
        <v>112</v>
      </c>
      <c r="H1120" s="33"/>
      <c r="I1120" s="33"/>
      <c r="J1120" s="37"/>
    </row>
    <row r="1121" spans="1:10" x14ac:dyDescent="0.25">
      <c r="A1121" s="32" t="s">
        <v>102</v>
      </c>
      <c r="B1121" s="32">
        <f t="shared" si="272"/>
        <v>2040</v>
      </c>
      <c r="C1121" s="33" t="s">
        <v>11</v>
      </c>
      <c r="D1121" s="34" t="s">
        <v>1999</v>
      </c>
      <c r="E1121" s="35" t="str">
        <f t="shared" si="269"/>
        <v>PSDP'!</v>
      </c>
      <c r="F1121" s="34" t="str">
        <f t="shared" si="270"/>
        <v>C:\Users\jaime.benazar\Quorum Business Solutions\Ecopetrol Prometeo - Documents\Planning Space Implementation\3. Analysis &amp; Design\Design\FC22\DRR Jaime\QUIFA-CAJÚA\Cajua\[CAJUA_CF_SEC_New_27-Feb-2024Rev3.xlsx]D-PSDP'!</v>
      </c>
      <c r="G1121" s="32" t="s">
        <v>112</v>
      </c>
      <c r="H1121" s="33"/>
      <c r="I1121" s="33"/>
      <c r="J1121" s="37"/>
    </row>
    <row r="1122" spans="1:10" x14ac:dyDescent="0.25">
      <c r="A1122" s="32" t="s">
        <v>102</v>
      </c>
      <c r="B1122" s="32">
        <f>+B1121+1</f>
        <v>2041</v>
      </c>
      <c r="C1122" s="33" t="s">
        <v>11</v>
      </c>
      <c r="D1122" s="34" t="s">
        <v>1999</v>
      </c>
      <c r="E1122" s="35" t="str">
        <f t="shared" si="269"/>
        <v>PSDP'!</v>
      </c>
      <c r="F1122" s="34" t="str">
        <f t="shared" si="270"/>
        <v>C:\Users\jaime.benazar\Quorum Business Solutions\Ecopetrol Prometeo - Documents\Planning Space Implementation\3. Analysis &amp; Design\Design\FC22\DRR Jaime\QUIFA-CAJÚA\Cajua\[CAJUA_CF_SEC_New_27-Feb-2024Rev3.xlsx]D-PSDP'!</v>
      </c>
      <c r="G1122" s="32" t="s">
        <v>112</v>
      </c>
      <c r="H1122" s="33"/>
      <c r="I1122" s="33"/>
      <c r="J1122" s="37"/>
    </row>
    <row r="1123" spans="1:10" x14ac:dyDescent="0.25">
      <c r="A1123" s="32" t="s">
        <v>102</v>
      </c>
      <c r="B1123" s="32">
        <f t="shared" ref="B1123:B1124" si="273">+B1122+1</f>
        <v>2042</v>
      </c>
      <c r="C1123" s="33" t="s">
        <v>11</v>
      </c>
      <c r="D1123" s="34" t="s">
        <v>1999</v>
      </c>
      <c r="E1123" s="35" t="str">
        <f t="shared" si="269"/>
        <v>PSDP'!</v>
      </c>
      <c r="F1123" s="34" t="str">
        <f t="shared" si="270"/>
        <v>C:\Users\jaime.benazar\Quorum Business Solutions\Ecopetrol Prometeo - Documents\Planning Space Implementation\3. Analysis &amp; Design\Design\FC22\DRR Jaime\QUIFA-CAJÚA\Cajua\[CAJUA_CF_SEC_New_27-Feb-2024Rev3.xlsx]D-PSDP'!</v>
      </c>
      <c r="G1123" s="32" t="s">
        <v>112</v>
      </c>
      <c r="H1123" s="33"/>
      <c r="I1123" s="33"/>
      <c r="J1123" s="37"/>
    </row>
    <row r="1124" spans="1:10" x14ac:dyDescent="0.25">
      <c r="A1124" s="32" t="s">
        <v>102</v>
      </c>
      <c r="B1124" s="32">
        <f t="shared" si="273"/>
        <v>2043</v>
      </c>
      <c r="C1124" s="33" t="s">
        <v>11</v>
      </c>
      <c r="D1124" s="34" t="s">
        <v>1999</v>
      </c>
      <c r="E1124" s="35" t="str">
        <f t="shared" si="269"/>
        <v>PSDP'!</v>
      </c>
      <c r="F1124" s="34" t="str">
        <f t="shared" si="270"/>
        <v>C:\Users\jaime.benazar\Quorum Business Solutions\Ecopetrol Prometeo - Documents\Planning Space Implementation\3. Analysis &amp; Design\Design\FC22\DRR Jaime\QUIFA-CAJÚA\Cajua\[CAJUA_CF_SEC_New_27-Feb-2024Rev3.xlsx]D-PSDP'!</v>
      </c>
      <c r="G1124" s="32" t="s">
        <v>112</v>
      </c>
      <c r="H1124" s="33"/>
      <c r="I1124" s="33"/>
      <c r="J1124" s="37"/>
    </row>
    <row r="1125" spans="1:10" x14ac:dyDescent="0.25">
      <c r="A1125" s="32" t="s">
        <v>102</v>
      </c>
      <c r="B1125" s="32">
        <f>+B1124+1</f>
        <v>2044</v>
      </c>
      <c r="C1125" s="33" t="s">
        <v>11</v>
      </c>
      <c r="D1125" s="34" t="s">
        <v>1999</v>
      </c>
      <c r="E1125" s="35" t="str">
        <f t="shared" ref="E1125:E1140" si="274">_xlfn.CONCAT(A1125,"'!")</f>
        <v>PSDP'!</v>
      </c>
      <c r="F1125" s="34" t="str">
        <f t="shared" ref="F1125:F1140" si="275">_xlfn.CONCAT(D1125:E1125)</f>
        <v>C:\Users\jaime.benazar\Quorum Business Solutions\Ecopetrol Prometeo - Documents\Planning Space Implementation\3. Analysis &amp; Design\Design\FC22\DRR Jaime\QUIFA-CAJÚA\Cajua\[CAJUA_CF_SEC_New_27-Feb-2024Rev3.xlsx]D-PSDP'!</v>
      </c>
      <c r="G1125" s="32" t="s">
        <v>112</v>
      </c>
      <c r="H1125" s="33"/>
      <c r="I1125" s="33"/>
      <c r="J1125" s="37"/>
    </row>
    <row r="1126" spans="1:10" x14ac:dyDescent="0.25">
      <c r="A1126" s="32" t="s">
        <v>102</v>
      </c>
      <c r="B1126" s="32">
        <f t="shared" ref="B1126:B1140" si="276">+B1125+1</f>
        <v>2045</v>
      </c>
      <c r="C1126" s="33" t="s">
        <v>11</v>
      </c>
      <c r="D1126" s="34" t="s">
        <v>1999</v>
      </c>
      <c r="E1126" s="35" t="str">
        <f t="shared" si="274"/>
        <v>PSDP'!</v>
      </c>
      <c r="F1126" s="34" t="str">
        <f t="shared" si="275"/>
        <v>C:\Users\jaime.benazar\Quorum Business Solutions\Ecopetrol Prometeo - Documents\Planning Space Implementation\3. Analysis &amp; Design\Design\FC22\DRR Jaime\QUIFA-CAJÚA\Cajua\[CAJUA_CF_SEC_New_27-Feb-2024Rev3.xlsx]D-PSDP'!</v>
      </c>
      <c r="G1126" s="32" t="s">
        <v>112</v>
      </c>
      <c r="H1126" s="33"/>
      <c r="I1126" s="33"/>
      <c r="J1126" s="37"/>
    </row>
    <row r="1127" spans="1:10" x14ac:dyDescent="0.25">
      <c r="A1127" s="32" t="s">
        <v>102</v>
      </c>
      <c r="B1127" s="32">
        <f t="shared" si="276"/>
        <v>2046</v>
      </c>
      <c r="C1127" s="33" t="s">
        <v>11</v>
      </c>
      <c r="D1127" s="34" t="s">
        <v>1999</v>
      </c>
      <c r="E1127" s="35" t="str">
        <f t="shared" si="274"/>
        <v>PSDP'!</v>
      </c>
      <c r="F1127" s="34" t="str">
        <f t="shared" si="275"/>
        <v>C:\Users\jaime.benazar\Quorum Business Solutions\Ecopetrol Prometeo - Documents\Planning Space Implementation\3. Analysis &amp; Design\Design\FC22\DRR Jaime\QUIFA-CAJÚA\Cajua\[CAJUA_CF_SEC_New_27-Feb-2024Rev3.xlsx]D-PSDP'!</v>
      </c>
      <c r="G1127" s="32" t="s">
        <v>112</v>
      </c>
      <c r="H1127" s="33"/>
      <c r="I1127" s="33"/>
      <c r="J1127" s="37"/>
    </row>
    <row r="1128" spans="1:10" x14ac:dyDescent="0.25">
      <c r="A1128" s="32" t="s">
        <v>102</v>
      </c>
      <c r="B1128" s="32">
        <f t="shared" si="276"/>
        <v>2047</v>
      </c>
      <c r="C1128" s="33" t="s">
        <v>11</v>
      </c>
      <c r="D1128" s="34" t="s">
        <v>1999</v>
      </c>
      <c r="E1128" s="35" t="str">
        <f t="shared" si="274"/>
        <v>PSDP'!</v>
      </c>
      <c r="F1128" s="34" t="str">
        <f t="shared" si="275"/>
        <v>C:\Users\jaime.benazar\Quorum Business Solutions\Ecopetrol Prometeo - Documents\Planning Space Implementation\3. Analysis &amp; Design\Design\FC22\DRR Jaime\QUIFA-CAJÚA\Cajua\[CAJUA_CF_SEC_New_27-Feb-2024Rev3.xlsx]D-PSDP'!</v>
      </c>
      <c r="G1128" s="32" t="s">
        <v>112</v>
      </c>
      <c r="H1128" s="33"/>
      <c r="I1128" s="33"/>
      <c r="J1128" s="37"/>
    </row>
    <row r="1129" spans="1:10" x14ac:dyDescent="0.25">
      <c r="A1129" s="32" t="s">
        <v>102</v>
      </c>
      <c r="B1129" s="32">
        <f t="shared" si="276"/>
        <v>2048</v>
      </c>
      <c r="C1129" s="33" t="s">
        <v>11</v>
      </c>
      <c r="D1129" s="34" t="s">
        <v>1999</v>
      </c>
      <c r="E1129" s="35" t="str">
        <f t="shared" si="274"/>
        <v>PSDP'!</v>
      </c>
      <c r="F1129" s="34" t="str">
        <f t="shared" si="275"/>
        <v>C:\Users\jaime.benazar\Quorum Business Solutions\Ecopetrol Prometeo - Documents\Planning Space Implementation\3. Analysis &amp; Design\Design\FC22\DRR Jaime\QUIFA-CAJÚA\Cajua\[CAJUA_CF_SEC_New_27-Feb-2024Rev3.xlsx]D-PSDP'!</v>
      </c>
      <c r="G1129" s="32" t="s">
        <v>112</v>
      </c>
      <c r="H1129" s="33"/>
      <c r="I1129" s="33"/>
      <c r="J1129" s="37"/>
    </row>
    <row r="1130" spans="1:10" x14ac:dyDescent="0.25">
      <c r="A1130" s="32" t="s">
        <v>102</v>
      </c>
      <c r="B1130" s="32">
        <f t="shared" si="276"/>
        <v>2049</v>
      </c>
      <c r="C1130" s="33" t="s">
        <v>11</v>
      </c>
      <c r="D1130" s="34" t="s">
        <v>1999</v>
      </c>
      <c r="E1130" s="35" t="str">
        <f t="shared" si="274"/>
        <v>PSDP'!</v>
      </c>
      <c r="F1130" s="34" t="str">
        <f t="shared" si="275"/>
        <v>C:\Users\jaime.benazar\Quorum Business Solutions\Ecopetrol Prometeo - Documents\Planning Space Implementation\3. Analysis &amp; Design\Design\FC22\DRR Jaime\QUIFA-CAJÚA\Cajua\[CAJUA_CF_SEC_New_27-Feb-2024Rev3.xlsx]D-PSDP'!</v>
      </c>
      <c r="G1130" s="32" t="s">
        <v>112</v>
      </c>
      <c r="H1130" s="33"/>
      <c r="I1130" s="33"/>
      <c r="J1130" s="37"/>
    </row>
    <row r="1131" spans="1:10" x14ac:dyDescent="0.25">
      <c r="A1131" s="32" t="s">
        <v>102</v>
      </c>
      <c r="B1131" s="32">
        <f t="shared" si="276"/>
        <v>2050</v>
      </c>
      <c r="C1131" s="33" t="s">
        <v>11</v>
      </c>
      <c r="D1131" s="34" t="s">
        <v>1999</v>
      </c>
      <c r="E1131" s="35" t="str">
        <f t="shared" si="274"/>
        <v>PSDP'!</v>
      </c>
      <c r="F1131" s="34" t="str">
        <f t="shared" si="275"/>
        <v>C:\Users\jaime.benazar\Quorum Business Solutions\Ecopetrol Prometeo - Documents\Planning Space Implementation\3. Analysis &amp; Design\Design\FC22\DRR Jaime\QUIFA-CAJÚA\Cajua\[CAJUA_CF_SEC_New_27-Feb-2024Rev3.xlsx]D-PSDP'!</v>
      </c>
      <c r="G1131" s="32" t="s">
        <v>112</v>
      </c>
      <c r="H1131" s="33"/>
      <c r="I1131" s="33"/>
      <c r="J1131" s="37"/>
    </row>
    <row r="1132" spans="1:10" x14ac:dyDescent="0.25">
      <c r="A1132" s="32" t="s">
        <v>102</v>
      </c>
      <c r="B1132" s="32">
        <f t="shared" si="276"/>
        <v>2051</v>
      </c>
      <c r="C1132" s="33" t="s">
        <v>11</v>
      </c>
      <c r="D1132" s="34" t="s">
        <v>1999</v>
      </c>
      <c r="E1132" s="35" t="str">
        <f t="shared" si="274"/>
        <v>PSDP'!</v>
      </c>
      <c r="F1132" s="34" t="str">
        <f t="shared" si="275"/>
        <v>C:\Users\jaime.benazar\Quorum Business Solutions\Ecopetrol Prometeo - Documents\Planning Space Implementation\3. Analysis &amp; Design\Design\FC22\DRR Jaime\QUIFA-CAJÚA\Cajua\[CAJUA_CF_SEC_New_27-Feb-2024Rev3.xlsx]D-PSDP'!</v>
      </c>
      <c r="G1132" s="32" t="s">
        <v>112</v>
      </c>
      <c r="H1132" s="33"/>
      <c r="I1132" s="33"/>
      <c r="J1132" s="37"/>
    </row>
    <row r="1133" spans="1:10" x14ac:dyDescent="0.25">
      <c r="A1133" s="32" t="s">
        <v>102</v>
      </c>
      <c r="B1133" s="32">
        <f t="shared" si="276"/>
        <v>2052</v>
      </c>
      <c r="C1133" s="33" t="s">
        <v>11</v>
      </c>
      <c r="D1133" s="34" t="s">
        <v>1999</v>
      </c>
      <c r="E1133" s="35" t="str">
        <f t="shared" si="274"/>
        <v>PSDP'!</v>
      </c>
      <c r="F1133" s="34" t="str">
        <f t="shared" si="275"/>
        <v>C:\Users\jaime.benazar\Quorum Business Solutions\Ecopetrol Prometeo - Documents\Planning Space Implementation\3. Analysis &amp; Design\Design\FC22\DRR Jaime\QUIFA-CAJÚA\Cajua\[CAJUA_CF_SEC_New_27-Feb-2024Rev3.xlsx]D-PSDP'!</v>
      </c>
      <c r="G1133" s="32" t="s">
        <v>112</v>
      </c>
      <c r="H1133" s="33"/>
      <c r="I1133" s="33"/>
      <c r="J1133" s="37"/>
    </row>
    <row r="1134" spans="1:10" x14ac:dyDescent="0.25">
      <c r="A1134" s="32" t="s">
        <v>102</v>
      </c>
      <c r="B1134" s="32">
        <f t="shared" si="276"/>
        <v>2053</v>
      </c>
      <c r="C1134" s="33" t="s">
        <v>11</v>
      </c>
      <c r="D1134" s="34" t="s">
        <v>1999</v>
      </c>
      <c r="E1134" s="35" t="str">
        <f t="shared" si="274"/>
        <v>PSDP'!</v>
      </c>
      <c r="F1134" s="34" t="str">
        <f t="shared" si="275"/>
        <v>C:\Users\jaime.benazar\Quorum Business Solutions\Ecopetrol Prometeo - Documents\Planning Space Implementation\3. Analysis &amp; Design\Design\FC22\DRR Jaime\QUIFA-CAJÚA\Cajua\[CAJUA_CF_SEC_New_27-Feb-2024Rev3.xlsx]D-PSDP'!</v>
      </c>
      <c r="G1134" s="32" t="s">
        <v>112</v>
      </c>
      <c r="H1134" s="33"/>
      <c r="I1134" s="33"/>
      <c r="J1134" s="37"/>
    </row>
    <row r="1135" spans="1:10" x14ac:dyDescent="0.25">
      <c r="A1135" s="32" t="s">
        <v>102</v>
      </c>
      <c r="B1135" s="32">
        <f t="shared" si="276"/>
        <v>2054</v>
      </c>
      <c r="C1135" s="33" t="s">
        <v>11</v>
      </c>
      <c r="D1135" s="34" t="s">
        <v>1999</v>
      </c>
      <c r="E1135" s="35" t="str">
        <f t="shared" si="274"/>
        <v>PSDP'!</v>
      </c>
      <c r="F1135" s="34" t="str">
        <f t="shared" si="275"/>
        <v>C:\Users\jaime.benazar\Quorum Business Solutions\Ecopetrol Prometeo - Documents\Planning Space Implementation\3. Analysis &amp; Design\Design\FC22\DRR Jaime\QUIFA-CAJÚA\Cajua\[CAJUA_CF_SEC_New_27-Feb-2024Rev3.xlsx]D-PSDP'!</v>
      </c>
      <c r="G1135" s="32" t="s">
        <v>112</v>
      </c>
      <c r="H1135" s="33"/>
      <c r="I1135" s="33"/>
      <c r="J1135" s="37"/>
    </row>
    <row r="1136" spans="1:10" x14ac:dyDescent="0.25">
      <c r="A1136" s="32" t="s">
        <v>102</v>
      </c>
      <c r="B1136" s="32">
        <f t="shared" si="276"/>
        <v>2055</v>
      </c>
      <c r="C1136" s="33" t="s">
        <v>11</v>
      </c>
      <c r="D1136" s="34" t="s">
        <v>1999</v>
      </c>
      <c r="E1136" s="35" t="str">
        <f t="shared" si="274"/>
        <v>PSDP'!</v>
      </c>
      <c r="F1136" s="34" t="str">
        <f t="shared" si="275"/>
        <v>C:\Users\jaime.benazar\Quorum Business Solutions\Ecopetrol Prometeo - Documents\Planning Space Implementation\3. Analysis &amp; Design\Design\FC22\DRR Jaime\QUIFA-CAJÚA\Cajua\[CAJUA_CF_SEC_New_27-Feb-2024Rev3.xlsx]D-PSDP'!</v>
      </c>
      <c r="G1136" s="32" t="s">
        <v>112</v>
      </c>
      <c r="H1136" s="33"/>
      <c r="I1136" s="33"/>
      <c r="J1136" s="37"/>
    </row>
    <row r="1137" spans="1:10" x14ac:dyDescent="0.25">
      <c r="A1137" s="32" t="s">
        <v>102</v>
      </c>
      <c r="B1137" s="32">
        <f t="shared" si="276"/>
        <v>2056</v>
      </c>
      <c r="C1137" s="33" t="s">
        <v>11</v>
      </c>
      <c r="D1137" s="34" t="s">
        <v>1999</v>
      </c>
      <c r="E1137" s="35" t="str">
        <f t="shared" si="274"/>
        <v>PSDP'!</v>
      </c>
      <c r="F1137" s="34" t="str">
        <f t="shared" si="275"/>
        <v>C:\Users\jaime.benazar\Quorum Business Solutions\Ecopetrol Prometeo - Documents\Planning Space Implementation\3. Analysis &amp; Design\Design\FC22\DRR Jaime\QUIFA-CAJÚA\Cajua\[CAJUA_CF_SEC_New_27-Feb-2024Rev3.xlsx]D-PSDP'!</v>
      </c>
      <c r="G1137" s="32" t="s">
        <v>112</v>
      </c>
      <c r="H1137" s="33"/>
      <c r="I1137" s="33"/>
      <c r="J1137" s="37"/>
    </row>
    <row r="1138" spans="1:10" x14ac:dyDescent="0.25">
      <c r="A1138" s="32" t="s">
        <v>102</v>
      </c>
      <c r="B1138" s="32">
        <f t="shared" si="276"/>
        <v>2057</v>
      </c>
      <c r="C1138" s="33" t="s">
        <v>11</v>
      </c>
      <c r="D1138" s="34" t="s">
        <v>1999</v>
      </c>
      <c r="E1138" s="35" t="str">
        <f t="shared" si="274"/>
        <v>PSDP'!</v>
      </c>
      <c r="F1138" s="34" t="str">
        <f t="shared" si="275"/>
        <v>C:\Users\jaime.benazar\Quorum Business Solutions\Ecopetrol Prometeo - Documents\Planning Space Implementation\3. Analysis &amp; Design\Design\FC22\DRR Jaime\QUIFA-CAJÚA\Cajua\[CAJUA_CF_SEC_New_27-Feb-2024Rev3.xlsx]D-PSDP'!</v>
      </c>
      <c r="G1138" s="32" t="s">
        <v>112</v>
      </c>
      <c r="H1138" s="33"/>
      <c r="I1138" s="33"/>
      <c r="J1138" s="37"/>
    </row>
    <row r="1139" spans="1:10" x14ac:dyDescent="0.25">
      <c r="A1139" s="32" t="s">
        <v>102</v>
      </c>
      <c r="B1139" s="32">
        <f t="shared" si="276"/>
        <v>2058</v>
      </c>
      <c r="C1139" s="33" t="s">
        <v>11</v>
      </c>
      <c r="D1139" s="34" t="s">
        <v>1999</v>
      </c>
      <c r="E1139" s="35" t="str">
        <f t="shared" si="274"/>
        <v>PSDP'!</v>
      </c>
      <c r="F1139" s="34" t="str">
        <f t="shared" si="275"/>
        <v>C:\Users\jaime.benazar\Quorum Business Solutions\Ecopetrol Prometeo - Documents\Planning Space Implementation\3. Analysis &amp; Design\Design\FC22\DRR Jaime\QUIFA-CAJÚA\Cajua\[CAJUA_CF_SEC_New_27-Feb-2024Rev3.xlsx]D-PSDP'!</v>
      </c>
      <c r="G1139" s="32" t="s">
        <v>112</v>
      </c>
      <c r="H1139" s="33"/>
      <c r="I1139" s="33"/>
      <c r="J1139" s="37"/>
    </row>
    <row r="1140" spans="1:10" x14ac:dyDescent="0.25">
      <c r="A1140" s="32" t="s">
        <v>102</v>
      </c>
      <c r="B1140" s="32">
        <f t="shared" si="276"/>
        <v>2059</v>
      </c>
      <c r="C1140" s="33" t="s">
        <v>11</v>
      </c>
      <c r="D1140" s="34" t="s">
        <v>1999</v>
      </c>
      <c r="E1140" s="35" t="str">
        <f t="shared" si="274"/>
        <v>PSDP'!</v>
      </c>
      <c r="F1140" s="34" t="str">
        <f t="shared" si="275"/>
        <v>C:\Users\jaime.benazar\Quorum Business Solutions\Ecopetrol Prometeo - Documents\Planning Space Implementation\3. Analysis &amp; Design\Design\FC22\DRR Jaime\QUIFA-CAJÚA\Cajua\[CAJUA_CF_SEC_New_27-Feb-2024Rev3.xlsx]D-PSDP'!</v>
      </c>
      <c r="G1140" s="32" t="s">
        <v>112</v>
      </c>
      <c r="H1140" s="33"/>
      <c r="I1140" s="33"/>
      <c r="J1140" s="37"/>
    </row>
    <row r="1141" spans="1:10" x14ac:dyDescent="0.25">
      <c r="A1141" s="32" t="s">
        <v>28</v>
      </c>
      <c r="B1141" s="32"/>
      <c r="C1141" s="33" t="s">
        <v>11</v>
      </c>
      <c r="D1141" s="34"/>
      <c r="E1141" s="35"/>
      <c r="F1141" s="34"/>
      <c r="G1141" s="32"/>
      <c r="H1141" s="33"/>
      <c r="I1141" s="33"/>
      <c r="J1141" s="33"/>
    </row>
    <row r="1142" spans="1:10" x14ac:dyDescent="0.25">
      <c r="A1142" s="32" t="s">
        <v>103</v>
      </c>
      <c r="B1142" s="32">
        <v>2023</v>
      </c>
      <c r="C1142" s="33" t="s">
        <v>11</v>
      </c>
      <c r="D1142" s="34" t="s">
        <v>1999</v>
      </c>
      <c r="E1142" s="35" t="str">
        <f t="shared" ref="E1142:E1162" si="277">_xlfn.CONCAT(A1142,"'!")</f>
        <v>PSNP'!</v>
      </c>
      <c r="F1142" s="34" t="str">
        <f t="shared" ref="F1142:F1162" si="278">_xlfn.CONCAT(D1142:E1142)</f>
        <v>C:\Users\jaime.benazar\Quorum Business Solutions\Ecopetrol Prometeo - Documents\Planning Space Implementation\3. Analysis &amp; Design\Design\FC22\DRR Jaime\QUIFA-CAJÚA\Cajua\[CAJUA_CF_SEC_New_27-Feb-2024Rev3.xlsx]D-PSNP'!</v>
      </c>
      <c r="G1142" s="32" t="s">
        <v>112</v>
      </c>
      <c r="H1142" s="33"/>
      <c r="I1142" s="33"/>
      <c r="J1142" s="37"/>
    </row>
    <row r="1143" spans="1:10" x14ac:dyDescent="0.25">
      <c r="A1143" s="32" t="s">
        <v>103</v>
      </c>
      <c r="B1143" s="32">
        <f>+B1142+1</f>
        <v>2024</v>
      </c>
      <c r="C1143" s="33" t="s">
        <v>11</v>
      </c>
      <c r="D1143" s="34" t="s">
        <v>1999</v>
      </c>
      <c r="E1143" s="35" t="str">
        <f t="shared" si="277"/>
        <v>PSNP'!</v>
      </c>
      <c r="F1143" s="34" t="str">
        <f t="shared" si="278"/>
        <v>C:\Users\jaime.benazar\Quorum Business Solutions\Ecopetrol Prometeo - Documents\Planning Space Implementation\3. Analysis &amp; Design\Design\FC22\DRR Jaime\QUIFA-CAJÚA\Cajua\[CAJUA_CF_SEC_New_27-Feb-2024Rev3.xlsx]D-PSNP'!</v>
      </c>
      <c r="G1143" s="32" t="s">
        <v>112</v>
      </c>
      <c r="H1143" s="33"/>
      <c r="I1143" s="33"/>
      <c r="J1143" s="37"/>
    </row>
    <row r="1144" spans="1:10" x14ac:dyDescent="0.25">
      <c r="A1144" s="32" t="s">
        <v>103</v>
      </c>
      <c r="B1144" s="32">
        <f t="shared" ref="B1144:B1155" si="279">+B1143+1</f>
        <v>2025</v>
      </c>
      <c r="C1144" s="33" t="s">
        <v>11</v>
      </c>
      <c r="D1144" s="34" t="s">
        <v>1999</v>
      </c>
      <c r="E1144" s="35" t="str">
        <f t="shared" si="277"/>
        <v>PSNP'!</v>
      </c>
      <c r="F1144" s="34" t="str">
        <f t="shared" si="278"/>
        <v>C:\Users\jaime.benazar\Quorum Business Solutions\Ecopetrol Prometeo - Documents\Planning Space Implementation\3. Analysis &amp; Design\Design\FC22\DRR Jaime\QUIFA-CAJÚA\Cajua\[CAJUA_CF_SEC_New_27-Feb-2024Rev3.xlsx]D-PSNP'!</v>
      </c>
      <c r="G1144" s="32" t="s">
        <v>112</v>
      </c>
      <c r="H1144" s="33"/>
      <c r="I1144" s="33"/>
      <c r="J1144" s="37"/>
    </row>
    <row r="1145" spans="1:10" x14ac:dyDescent="0.25">
      <c r="A1145" s="32" t="s">
        <v>103</v>
      </c>
      <c r="B1145" s="32">
        <f t="shared" si="279"/>
        <v>2026</v>
      </c>
      <c r="C1145" s="33" t="s">
        <v>11</v>
      </c>
      <c r="D1145" s="34" t="s">
        <v>1999</v>
      </c>
      <c r="E1145" s="35" t="str">
        <f t="shared" si="277"/>
        <v>PSNP'!</v>
      </c>
      <c r="F1145" s="34" t="str">
        <f t="shared" si="278"/>
        <v>C:\Users\jaime.benazar\Quorum Business Solutions\Ecopetrol Prometeo - Documents\Planning Space Implementation\3. Analysis &amp; Design\Design\FC22\DRR Jaime\QUIFA-CAJÚA\Cajua\[CAJUA_CF_SEC_New_27-Feb-2024Rev3.xlsx]D-PSNP'!</v>
      </c>
      <c r="G1145" s="32" t="s">
        <v>112</v>
      </c>
      <c r="H1145" s="33"/>
      <c r="I1145" s="33"/>
      <c r="J1145" s="37"/>
    </row>
    <row r="1146" spans="1:10" x14ac:dyDescent="0.25">
      <c r="A1146" s="32" t="s">
        <v>103</v>
      </c>
      <c r="B1146" s="32">
        <f t="shared" si="279"/>
        <v>2027</v>
      </c>
      <c r="C1146" s="33" t="s">
        <v>11</v>
      </c>
      <c r="D1146" s="34" t="s">
        <v>1999</v>
      </c>
      <c r="E1146" s="35" t="str">
        <f t="shared" si="277"/>
        <v>PSNP'!</v>
      </c>
      <c r="F1146" s="34" t="str">
        <f t="shared" si="278"/>
        <v>C:\Users\jaime.benazar\Quorum Business Solutions\Ecopetrol Prometeo - Documents\Planning Space Implementation\3. Analysis &amp; Design\Design\FC22\DRR Jaime\QUIFA-CAJÚA\Cajua\[CAJUA_CF_SEC_New_27-Feb-2024Rev3.xlsx]D-PSNP'!</v>
      </c>
      <c r="G1146" s="32" t="s">
        <v>112</v>
      </c>
      <c r="H1146" s="33"/>
      <c r="I1146" s="33"/>
      <c r="J1146" s="37"/>
    </row>
    <row r="1147" spans="1:10" x14ac:dyDescent="0.25">
      <c r="A1147" s="32" t="s">
        <v>103</v>
      </c>
      <c r="B1147" s="32">
        <f t="shared" si="279"/>
        <v>2028</v>
      </c>
      <c r="C1147" s="33" t="s">
        <v>11</v>
      </c>
      <c r="D1147" s="34" t="s">
        <v>1999</v>
      </c>
      <c r="E1147" s="35" t="str">
        <f t="shared" si="277"/>
        <v>PSNP'!</v>
      </c>
      <c r="F1147" s="34" t="str">
        <f t="shared" si="278"/>
        <v>C:\Users\jaime.benazar\Quorum Business Solutions\Ecopetrol Prometeo - Documents\Planning Space Implementation\3. Analysis &amp; Design\Design\FC22\DRR Jaime\QUIFA-CAJÚA\Cajua\[CAJUA_CF_SEC_New_27-Feb-2024Rev3.xlsx]D-PSNP'!</v>
      </c>
      <c r="G1147" s="32" t="s">
        <v>112</v>
      </c>
      <c r="H1147" s="33"/>
      <c r="I1147" s="33"/>
      <c r="J1147" s="37"/>
    </row>
    <row r="1148" spans="1:10" x14ac:dyDescent="0.25">
      <c r="A1148" s="32" t="s">
        <v>103</v>
      </c>
      <c r="B1148" s="32">
        <f t="shared" si="279"/>
        <v>2029</v>
      </c>
      <c r="C1148" s="33" t="s">
        <v>11</v>
      </c>
      <c r="D1148" s="34" t="s">
        <v>1999</v>
      </c>
      <c r="E1148" s="35" t="str">
        <f t="shared" si="277"/>
        <v>PSNP'!</v>
      </c>
      <c r="F1148" s="34" t="str">
        <f t="shared" si="278"/>
        <v>C:\Users\jaime.benazar\Quorum Business Solutions\Ecopetrol Prometeo - Documents\Planning Space Implementation\3. Analysis &amp; Design\Design\FC22\DRR Jaime\QUIFA-CAJÚA\Cajua\[CAJUA_CF_SEC_New_27-Feb-2024Rev3.xlsx]D-PSNP'!</v>
      </c>
      <c r="G1148" s="32" t="s">
        <v>112</v>
      </c>
      <c r="H1148" s="33"/>
      <c r="I1148" s="33"/>
      <c r="J1148" s="37"/>
    </row>
    <row r="1149" spans="1:10" x14ac:dyDescent="0.25">
      <c r="A1149" s="32" t="s">
        <v>103</v>
      </c>
      <c r="B1149" s="32">
        <f t="shared" si="279"/>
        <v>2030</v>
      </c>
      <c r="C1149" s="33" t="s">
        <v>11</v>
      </c>
      <c r="D1149" s="34" t="s">
        <v>1999</v>
      </c>
      <c r="E1149" s="35" t="str">
        <f t="shared" si="277"/>
        <v>PSNP'!</v>
      </c>
      <c r="F1149" s="34" t="str">
        <f t="shared" si="278"/>
        <v>C:\Users\jaime.benazar\Quorum Business Solutions\Ecopetrol Prometeo - Documents\Planning Space Implementation\3. Analysis &amp; Design\Design\FC22\DRR Jaime\QUIFA-CAJÚA\Cajua\[CAJUA_CF_SEC_New_27-Feb-2024Rev3.xlsx]D-PSNP'!</v>
      </c>
      <c r="G1149" s="32" t="s">
        <v>112</v>
      </c>
      <c r="H1149" s="33"/>
      <c r="I1149" s="33"/>
      <c r="J1149" s="37"/>
    </row>
    <row r="1150" spans="1:10" x14ac:dyDescent="0.25">
      <c r="A1150" s="32" t="s">
        <v>103</v>
      </c>
      <c r="B1150" s="32">
        <f t="shared" si="279"/>
        <v>2031</v>
      </c>
      <c r="C1150" s="33" t="s">
        <v>11</v>
      </c>
      <c r="D1150" s="34" t="s">
        <v>1999</v>
      </c>
      <c r="E1150" s="35" t="str">
        <f t="shared" si="277"/>
        <v>PSNP'!</v>
      </c>
      <c r="F1150" s="34" t="str">
        <f t="shared" si="278"/>
        <v>C:\Users\jaime.benazar\Quorum Business Solutions\Ecopetrol Prometeo - Documents\Planning Space Implementation\3. Analysis &amp; Design\Design\FC22\DRR Jaime\QUIFA-CAJÚA\Cajua\[CAJUA_CF_SEC_New_27-Feb-2024Rev3.xlsx]D-PSNP'!</v>
      </c>
      <c r="G1150" s="32" t="s">
        <v>112</v>
      </c>
      <c r="H1150" s="33"/>
      <c r="I1150" s="33"/>
      <c r="J1150" s="37"/>
    </row>
    <row r="1151" spans="1:10" x14ac:dyDescent="0.25">
      <c r="A1151" s="32" t="s">
        <v>103</v>
      </c>
      <c r="B1151" s="32">
        <f t="shared" si="279"/>
        <v>2032</v>
      </c>
      <c r="C1151" s="33" t="s">
        <v>11</v>
      </c>
      <c r="D1151" s="34" t="s">
        <v>1999</v>
      </c>
      <c r="E1151" s="35" t="str">
        <f t="shared" si="277"/>
        <v>PSNP'!</v>
      </c>
      <c r="F1151" s="34" t="str">
        <f t="shared" si="278"/>
        <v>C:\Users\jaime.benazar\Quorum Business Solutions\Ecopetrol Prometeo - Documents\Planning Space Implementation\3. Analysis &amp; Design\Design\FC22\DRR Jaime\QUIFA-CAJÚA\Cajua\[CAJUA_CF_SEC_New_27-Feb-2024Rev3.xlsx]D-PSNP'!</v>
      </c>
      <c r="G1151" s="32" t="s">
        <v>112</v>
      </c>
      <c r="H1151" s="33"/>
      <c r="I1151" s="33"/>
      <c r="J1151" s="37"/>
    </row>
    <row r="1152" spans="1:10" x14ac:dyDescent="0.25">
      <c r="A1152" s="32" t="s">
        <v>103</v>
      </c>
      <c r="B1152" s="32">
        <f t="shared" si="279"/>
        <v>2033</v>
      </c>
      <c r="C1152" s="33" t="s">
        <v>11</v>
      </c>
      <c r="D1152" s="34" t="s">
        <v>1999</v>
      </c>
      <c r="E1152" s="35" t="str">
        <f t="shared" si="277"/>
        <v>PSNP'!</v>
      </c>
      <c r="F1152" s="34" t="str">
        <f t="shared" si="278"/>
        <v>C:\Users\jaime.benazar\Quorum Business Solutions\Ecopetrol Prometeo - Documents\Planning Space Implementation\3. Analysis &amp; Design\Design\FC22\DRR Jaime\QUIFA-CAJÚA\Cajua\[CAJUA_CF_SEC_New_27-Feb-2024Rev3.xlsx]D-PSNP'!</v>
      </c>
      <c r="G1152" s="32" t="s">
        <v>112</v>
      </c>
      <c r="H1152" s="33"/>
      <c r="I1152" s="33"/>
      <c r="J1152" s="37"/>
    </row>
    <row r="1153" spans="1:10" x14ac:dyDescent="0.25">
      <c r="A1153" s="32" t="s">
        <v>103</v>
      </c>
      <c r="B1153" s="32">
        <f t="shared" si="279"/>
        <v>2034</v>
      </c>
      <c r="C1153" s="33" t="s">
        <v>11</v>
      </c>
      <c r="D1153" s="34" t="s">
        <v>1999</v>
      </c>
      <c r="E1153" s="35" t="str">
        <f t="shared" si="277"/>
        <v>PSNP'!</v>
      </c>
      <c r="F1153" s="34" t="str">
        <f t="shared" si="278"/>
        <v>C:\Users\jaime.benazar\Quorum Business Solutions\Ecopetrol Prometeo - Documents\Planning Space Implementation\3. Analysis &amp; Design\Design\FC22\DRR Jaime\QUIFA-CAJÚA\Cajua\[CAJUA_CF_SEC_New_27-Feb-2024Rev3.xlsx]D-PSNP'!</v>
      </c>
      <c r="G1153" s="32" t="s">
        <v>112</v>
      </c>
      <c r="H1153" s="33"/>
      <c r="I1153" s="33"/>
      <c r="J1153" s="37"/>
    </row>
    <row r="1154" spans="1:10" x14ac:dyDescent="0.25">
      <c r="A1154" s="32" t="s">
        <v>103</v>
      </c>
      <c r="B1154" s="32">
        <f t="shared" si="279"/>
        <v>2035</v>
      </c>
      <c r="C1154" s="33" t="s">
        <v>11</v>
      </c>
      <c r="D1154" s="34" t="s">
        <v>1999</v>
      </c>
      <c r="E1154" s="35" t="str">
        <f t="shared" si="277"/>
        <v>PSNP'!</v>
      </c>
      <c r="F1154" s="34" t="str">
        <f t="shared" si="278"/>
        <v>C:\Users\jaime.benazar\Quorum Business Solutions\Ecopetrol Prometeo - Documents\Planning Space Implementation\3. Analysis &amp; Design\Design\FC22\DRR Jaime\QUIFA-CAJÚA\Cajua\[CAJUA_CF_SEC_New_27-Feb-2024Rev3.xlsx]D-PSNP'!</v>
      </c>
      <c r="G1154" s="32" t="s">
        <v>112</v>
      </c>
      <c r="H1154" s="33"/>
      <c r="I1154" s="33"/>
      <c r="J1154" s="37"/>
    </row>
    <row r="1155" spans="1:10" x14ac:dyDescent="0.25">
      <c r="A1155" s="32" t="s">
        <v>103</v>
      </c>
      <c r="B1155" s="32">
        <f t="shared" si="279"/>
        <v>2036</v>
      </c>
      <c r="C1155" s="33" t="s">
        <v>11</v>
      </c>
      <c r="D1155" s="34" t="s">
        <v>1999</v>
      </c>
      <c r="E1155" s="35" t="str">
        <f t="shared" si="277"/>
        <v>PSNP'!</v>
      </c>
      <c r="F1155" s="34" t="str">
        <f t="shared" si="278"/>
        <v>C:\Users\jaime.benazar\Quorum Business Solutions\Ecopetrol Prometeo - Documents\Planning Space Implementation\3. Analysis &amp; Design\Design\FC22\DRR Jaime\QUIFA-CAJÚA\Cajua\[CAJUA_CF_SEC_New_27-Feb-2024Rev3.xlsx]D-PSNP'!</v>
      </c>
      <c r="G1155" s="32" t="s">
        <v>112</v>
      </c>
      <c r="H1155" s="33"/>
      <c r="I1155" s="33"/>
      <c r="J1155" s="37"/>
    </row>
    <row r="1156" spans="1:10" x14ac:dyDescent="0.25">
      <c r="A1156" s="32" t="s">
        <v>103</v>
      </c>
      <c r="B1156" s="32">
        <f>+B1155+1</f>
        <v>2037</v>
      </c>
      <c r="C1156" s="33" t="s">
        <v>11</v>
      </c>
      <c r="D1156" s="34" t="s">
        <v>1999</v>
      </c>
      <c r="E1156" s="35" t="str">
        <f t="shared" si="277"/>
        <v>PSNP'!</v>
      </c>
      <c r="F1156" s="34" t="str">
        <f t="shared" si="278"/>
        <v>C:\Users\jaime.benazar\Quorum Business Solutions\Ecopetrol Prometeo - Documents\Planning Space Implementation\3. Analysis &amp; Design\Design\FC22\DRR Jaime\QUIFA-CAJÚA\Cajua\[CAJUA_CF_SEC_New_27-Feb-2024Rev3.xlsx]D-PSNP'!</v>
      </c>
      <c r="G1156" s="32" t="s">
        <v>112</v>
      </c>
      <c r="H1156" s="33"/>
      <c r="I1156" s="33"/>
      <c r="J1156" s="37"/>
    </row>
    <row r="1157" spans="1:10" x14ac:dyDescent="0.25">
      <c r="A1157" s="32" t="s">
        <v>103</v>
      </c>
      <c r="B1157" s="32">
        <f t="shared" ref="B1157:B1159" si="280">+B1156+1</f>
        <v>2038</v>
      </c>
      <c r="C1157" s="33" t="s">
        <v>11</v>
      </c>
      <c r="D1157" s="34" t="s">
        <v>1999</v>
      </c>
      <c r="E1157" s="35" t="str">
        <f t="shared" si="277"/>
        <v>PSNP'!</v>
      </c>
      <c r="F1157" s="34" t="str">
        <f t="shared" si="278"/>
        <v>C:\Users\jaime.benazar\Quorum Business Solutions\Ecopetrol Prometeo - Documents\Planning Space Implementation\3. Analysis &amp; Design\Design\FC22\DRR Jaime\QUIFA-CAJÚA\Cajua\[CAJUA_CF_SEC_New_27-Feb-2024Rev3.xlsx]D-PSNP'!</v>
      </c>
      <c r="G1157" s="32" t="s">
        <v>112</v>
      </c>
      <c r="H1157" s="33"/>
      <c r="I1157" s="33"/>
      <c r="J1157" s="37"/>
    </row>
    <row r="1158" spans="1:10" x14ac:dyDescent="0.25">
      <c r="A1158" s="32" t="s">
        <v>103</v>
      </c>
      <c r="B1158" s="32">
        <f t="shared" si="280"/>
        <v>2039</v>
      </c>
      <c r="C1158" s="33" t="s">
        <v>11</v>
      </c>
      <c r="D1158" s="34" t="s">
        <v>1999</v>
      </c>
      <c r="E1158" s="35" t="str">
        <f t="shared" si="277"/>
        <v>PSNP'!</v>
      </c>
      <c r="F1158" s="34" t="str">
        <f t="shared" si="278"/>
        <v>C:\Users\jaime.benazar\Quorum Business Solutions\Ecopetrol Prometeo - Documents\Planning Space Implementation\3. Analysis &amp; Design\Design\FC22\DRR Jaime\QUIFA-CAJÚA\Cajua\[CAJUA_CF_SEC_New_27-Feb-2024Rev3.xlsx]D-PSNP'!</v>
      </c>
      <c r="G1158" s="32" t="s">
        <v>112</v>
      </c>
      <c r="H1158" s="33"/>
      <c r="I1158" s="33"/>
      <c r="J1158" s="37"/>
    </row>
    <row r="1159" spans="1:10" x14ac:dyDescent="0.25">
      <c r="A1159" s="32" t="s">
        <v>103</v>
      </c>
      <c r="B1159" s="32">
        <f t="shared" si="280"/>
        <v>2040</v>
      </c>
      <c r="C1159" s="33" t="s">
        <v>11</v>
      </c>
      <c r="D1159" s="34" t="s">
        <v>1999</v>
      </c>
      <c r="E1159" s="35" t="str">
        <f t="shared" si="277"/>
        <v>PSNP'!</v>
      </c>
      <c r="F1159" s="34" t="str">
        <f t="shared" si="278"/>
        <v>C:\Users\jaime.benazar\Quorum Business Solutions\Ecopetrol Prometeo - Documents\Planning Space Implementation\3. Analysis &amp; Design\Design\FC22\DRR Jaime\QUIFA-CAJÚA\Cajua\[CAJUA_CF_SEC_New_27-Feb-2024Rev3.xlsx]D-PSNP'!</v>
      </c>
      <c r="G1159" s="32" t="s">
        <v>112</v>
      </c>
      <c r="H1159" s="33"/>
      <c r="I1159" s="33"/>
      <c r="J1159" s="37"/>
    </row>
    <row r="1160" spans="1:10" x14ac:dyDescent="0.25">
      <c r="A1160" s="32" t="s">
        <v>103</v>
      </c>
      <c r="B1160" s="32">
        <f>+B1159+1</f>
        <v>2041</v>
      </c>
      <c r="C1160" s="33" t="s">
        <v>11</v>
      </c>
      <c r="D1160" s="34" t="s">
        <v>1999</v>
      </c>
      <c r="E1160" s="35" t="str">
        <f t="shared" si="277"/>
        <v>PSNP'!</v>
      </c>
      <c r="F1160" s="34" t="str">
        <f t="shared" si="278"/>
        <v>C:\Users\jaime.benazar\Quorum Business Solutions\Ecopetrol Prometeo - Documents\Planning Space Implementation\3. Analysis &amp; Design\Design\FC22\DRR Jaime\QUIFA-CAJÚA\Cajua\[CAJUA_CF_SEC_New_27-Feb-2024Rev3.xlsx]D-PSNP'!</v>
      </c>
      <c r="G1160" s="32" t="s">
        <v>112</v>
      </c>
      <c r="H1160" s="33"/>
      <c r="I1160" s="33"/>
      <c r="J1160" s="37"/>
    </row>
    <row r="1161" spans="1:10" x14ac:dyDescent="0.25">
      <c r="A1161" s="32" t="s">
        <v>103</v>
      </c>
      <c r="B1161" s="32">
        <f t="shared" ref="B1161:B1162" si="281">+B1160+1</f>
        <v>2042</v>
      </c>
      <c r="C1161" s="33" t="s">
        <v>11</v>
      </c>
      <c r="D1161" s="34" t="s">
        <v>1999</v>
      </c>
      <c r="E1161" s="35" t="str">
        <f t="shared" si="277"/>
        <v>PSNP'!</v>
      </c>
      <c r="F1161" s="34" t="str">
        <f t="shared" si="278"/>
        <v>C:\Users\jaime.benazar\Quorum Business Solutions\Ecopetrol Prometeo - Documents\Planning Space Implementation\3. Analysis &amp; Design\Design\FC22\DRR Jaime\QUIFA-CAJÚA\Cajua\[CAJUA_CF_SEC_New_27-Feb-2024Rev3.xlsx]D-PSNP'!</v>
      </c>
      <c r="G1161" s="32" t="s">
        <v>112</v>
      </c>
      <c r="H1161" s="33"/>
      <c r="I1161" s="33"/>
      <c r="J1161" s="37"/>
    </row>
    <row r="1162" spans="1:10" x14ac:dyDescent="0.25">
      <c r="A1162" s="32" t="s">
        <v>103</v>
      </c>
      <c r="B1162" s="32">
        <f t="shared" si="281"/>
        <v>2043</v>
      </c>
      <c r="C1162" s="33" t="s">
        <v>11</v>
      </c>
      <c r="D1162" s="34" t="s">
        <v>1999</v>
      </c>
      <c r="E1162" s="35" t="str">
        <f t="shared" si="277"/>
        <v>PSNP'!</v>
      </c>
      <c r="F1162" s="34" t="str">
        <f t="shared" si="278"/>
        <v>C:\Users\jaime.benazar\Quorum Business Solutions\Ecopetrol Prometeo - Documents\Planning Space Implementation\3. Analysis &amp; Design\Design\FC22\DRR Jaime\QUIFA-CAJÚA\Cajua\[CAJUA_CF_SEC_New_27-Feb-2024Rev3.xlsx]D-PSNP'!</v>
      </c>
      <c r="G1162" s="32" t="s">
        <v>112</v>
      </c>
      <c r="H1162" s="33"/>
      <c r="I1162" s="33"/>
      <c r="J1162" s="37"/>
    </row>
    <row r="1163" spans="1:10" x14ac:dyDescent="0.25">
      <c r="A1163" s="32" t="s">
        <v>103</v>
      </c>
      <c r="B1163" s="32">
        <f>+B1162+1</f>
        <v>2044</v>
      </c>
      <c r="C1163" s="33" t="s">
        <v>11</v>
      </c>
      <c r="D1163" s="34" t="s">
        <v>1999</v>
      </c>
      <c r="E1163" s="35" t="str">
        <f t="shared" ref="E1163:E1178" si="282">_xlfn.CONCAT(A1163,"'!")</f>
        <v>PSNP'!</v>
      </c>
      <c r="F1163" s="34" t="str">
        <f t="shared" ref="F1163:F1178" si="283">_xlfn.CONCAT(D1163:E1163)</f>
        <v>C:\Users\jaime.benazar\Quorum Business Solutions\Ecopetrol Prometeo - Documents\Planning Space Implementation\3. Analysis &amp; Design\Design\FC22\DRR Jaime\QUIFA-CAJÚA\Cajua\[CAJUA_CF_SEC_New_27-Feb-2024Rev3.xlsx]D-PSNP'!</v>
      </c>
      <c r="G1163" s="32" t="s">
        <v>112</v>
      </c>
      <c r="H1163" s="33"/>
      <c r="I1163" s="33"/>
      <c r="J1163" s="37"/>
    </row>
    <row r="1164" spans="1:10" x14ac:dyDescent="0.25">
      <c r="A1164" s="32" t="s">
        <v>103</v>
      </c>
      <c r="B1164" s="32">
        <f t="shared" ref="B1164:B1178" si="284">+B1163+1</f>
        <v>2045</v>
      </c>
      <c r="C1164" s="33" t="s">
        <v>11</v>
      </c>
      <c r="D1164" s="34" t="s">
        <v>1999</v>
      </c>
      <c r="E1164" s="35" t="str">
        <f t="shared" si="282"/>
        <v>PSNP'!</v>
      </c>
      <c r="F1164" s="34" t="str">
        <f t="shared" si="283"/>
        <v>C:\Users\jaime.benazar\Quorum Business Solutions\Ecopetrol Prometeo - Documents\Planning Space Implementation\3. Analysis &amp; Design\Design\FC22\DRR Jaime\QUIFA-CAJÚA\Cajua\[CAJUA_CF_SEC_New_27-Feb-2024Rev3.xlsx]D-PSNP'!</v>
      </c>
      <c r="G1164" s="32" t="s">
        <v>112</v>
      </c>
      <c r="H1164" s="33"/>
      <c r="I1164" s="33"/>
      <c r="J1164" s="37"/>
    </row>
    <row r="1165" spans="1:10" x14ac:dyDescent="0.25">
      <c r="A1165" s="32" t="s">
        <v>103</v>
      </c>
      <c r="B1165" s="32">
        <f t="shared" si="284"/>
        <v>2046</v>
      </c>
      <c r="C1165" s="33" t="s">
        <v>11</v>
      </c>
      <c r="D1165" s="34" t="s">
        <v>1999</v>
      </c>
      <c r="E1165" s="35" t="str">
        <f t="shared" si="282"/>
        <v>PSNP'!</v>
      </c>
      <c r="F1165" s="34" t="str">
        <f t="shared" si="283"/>
        <v>C:\Users\jaime.benazar\Quorum Business Solutions\Ecopetrol Prometeo - Documents\Planning Space Implementation\3. Analysis &amp; Design\Design\FC22\DRR Jaime\QUIFA-CAJÚA\Cajua\[CAJUA_CF_SEC_New_27-Feb-2024Rev3.xlsx]D-PSNP'!</v>
      </c>
      <c r="G1165" s="32" t="s">
        <v>112</v>
      </c>
      <c r="H1165" s="33"/>
      <c r="I1165" s="33"/>
      <c r="J1165" s="37"/>
    </row>
    <row r="1166" spans="1:10" x14ac:dyDescent="0.25">
      <c r="A1166" s="32" t="s">
        <v>103</v>
      </c>
      <c r="B1166" s="32">
        <f t="shared" si="284"/>
        <v>2047</v>
      </c>
      <c r="C1166" s="33" t="s">
        <v>11</v>
      </c>
      <c r="D1166" s="34" t="s">
        <v>1999</v>
      </c>
      <c r="E1166" s="35" t="str">
        <f t="shared" si="282"/>
        <v>PSNP'!</v>
      </c>
      <c r="F1166" s="34" t="str">
        <f t="shared" si="283"/>
        <v>C:\Users\jaime.benazar\Quorum Business Solutions\Ecopetrol Prometeo - Documents\Planning Space Implementation\3. Analysis &amp; Design\Design\FC22\DRR Jaime\QUIFA-CAJÚA\Cajua\[CAJUA_CF_SEC_New_27-Feb-2024Rev3.xlsx]D-PSNP'!</v>
      </c>
      <c r="G1166" s="32" t="s">
        <v>112</v>
      </c>
      <c r="H1166" s="33"/>
      <c r="I1166" s="33"/>
      <c r="J1166" s="37"/>
    </row>
    <row r="1167" spans="1:10" x14ac:dyDescent="0.25">
      <c r="A1167" s="32" t="s">
        <v>103</v>
      </c>
      <c r="B1167" s="32">
        <f t="shared" si="284"/>
        <v>2048</v>
      </c>
      <c r="C1167" s="33" t="s">
        <v>11</v>
      </c>
      <c r="D1167" s="34" t="s">
        <v>1999</v>
      </c>
      <c r="E1167" s="35" t="str">
        <f t="shared" si="282"/>
        <v>PSNP'!</v>
      </c>
      <c r="F1167" s="34" t="str">
        <f t="shared" si="283"/>
        <v>C:\Users\jaime.benazar\Quorum Business Solutions\Ecopetrol Prometeo - Documents\Planning Space Implementation\3. Analysis &amp; Design\Design\FC22\DRR Jaime\QUIFA-CAJÚA\Cajua\[CAJUA_CF_SEC_New_27-Feb-2024Rev3.xlsx]D-PSNP'!</v>
      </c>
      <c r="G1167" s="32" t="s">
        <v>112</v>
      </c>
      <c r="H1167" s="33"/>
      <c r="I1167" s="33"/>
      <c r="J1167" s="37"/>
    </row>
    <row r="1168" spans="1:10" x14ac:dyDescent="0.25">
      <c r="A1168" s="32" t="s">
        <v>103</v>
      </c>
      <c r="B1168" s="32">
        <f t="shared" si="284"/>
        <v>2049</v>
      </c>
      <c r="C1168" s="33" t="s">
        <v>11</v>
      </c>
      <c r="D1168" s="34" t="s">
        <v>1999</v>
      </c>
      <c r="E1168" s="35" t="str">
        <f t="shared" si="282"/>
        <v>PSNP'!</v>
      </c>
      <c r="F1168" s="34" t="str">
        <f t="shared" si="283"/>
        <v>C:\Users\jaime.benazar\Quorum Business Solutions\Ecopetrol Prometeo - Documents\Planning Space Implementation\3. Analysis &amp; Design\Design\FC22\DRR Jaime\QUIFA-CAJÚA\Cajua\[CAJUA_CF_SEC_New_27-Feb-2024Rev3.xlsx]D-PSNP'!</v>
      </c>
      <c r="G1168" s="32" t="s">
        <v>112</v>
      </c>
      <c r="H1168" s="33"/>
      <c r="I1168" s="33"/>
      <c r="J1168" s="37"/>
    </row>
    <row r="1169" spans="1:10" x14ac:dyDescent="0.25">
      <c r="A1169" s="32" t="s">
        <v>103</v>
      </c>
      <c r="B1169" s="32">
        <f t="shared" si="284"/>
        <v>2050</v>
      </c>
      <c r="C1169" s="33" t="s">
        <v>11</v>
      </c>
      <c r="D1169" s="34" t="s">
        <v>1999</v>
      </c>
      <c r="E1169" s="35" t="str">
        <f t="shared" si="282"/>
        <v>PSNP'!</v>
      </c>
      <c r="F1169" s="34" t="str">
        <f t="shared" si="283"/>
        <v>C:\Users\jaime.benazar\Quorum Business Solutions\Ecopetrol Prometeo - Documents\Planning Space Implementation\3. Analysis &amp; Design\Design\FC22\DRR Jaime\QUIFA-CAJÚA\Cajua\[CAJUA_CF_SEC_New_27-Feb-2024Rev3.xlsx]D-PSNP'!</v>
      </c>
      <c r="G1169" s="32" t="s">
        <v>112</v>
      </c>
      <c r="H1169" s="33"/>
      <c r="I1169" s="33"/>
      <c r="J1169" s="37"/>
    </row>
    <row r="1170" spans="1:10" x14ac:dyDescent="0.25">
      <c r="A1170" s="32" t="s">
        <v>103</v>
      </c>
      <c r="B1170" s="32">
        <f t="shared" si="284"/>
        <v>2051</v>
      </c>
      <c r="C1170" s="33" t="s">
        <v>11</v>
      </c>
      <c r="D1170" s="34" t="s">
        <v>1999</v>
      </c>
      <c r="E1170" s="35" t="str">
        <f t="shared" si="282"/>
        <v>PSNP'!</v>
      </c>
      <c r="F1170" s="34" t="str">
        <f t="shared" si="283"/>
        <v>C:\Users\jaime.benazar\Quorum Business Solutions\Ecopetrol Prometeo - Documents\Planning Space Implementation\3. Analysis &amp; Design\Design\FC22\DRR Jaime\QUIFA-CAJÚA\Cajua\[CAJUA_CF_SEC_New_27-Feb-2024Rev3.xlsx]D-PSNP'!</v>
      </c>
      <c r="G1170" s="32" t="s">
        <v>112</v>
      </c>
      <c r="H1170" s="33"/>
      <c r="I1170" s="33"/>
      <c r="J1170" s="37"/>
    </row>
    <row r="1171" spans="1:10" x14ac:dyDescent="0.25">
      <c r="A1171" s="32" t="s">
        <v>103</v>
      </c>
      <c r="B1171" s="32">
        <f t="shared" si="284"/>
        <v>2052</v>
      </c>
      <c r="C1171" s="33" t="s">
        <v>11</v>
      </c>
      <c r="D1171" s="34" t="s">
        <v>1999</v>
      </c>
      <c r="E1171" s="35" t="str">
        <f t="shared" si="282"/>
        <v>PSNP'!</v>
      </c>
      <c r="F1171" s="34" t="str">
        <f t="shared" si="283"/>
        <v>C:\Users\jaime.benazar\Quorum Business Solutions\Ecopetrol Prometeo - Documents\Planning Space Implementation\3. Analysis &amp; Design\Design\FC22\DRR Jaime\QUIFA-CAJÚA\Cajua\[CAJUA_CF_SEC_New_27-Feb-2024Rev3.xlsx]D-PSNP'!</v>
      </c>
      <c r="G1171" s="32" t="s">
        <v>112</v>
      </c>
      <c r="H1171" s="33"/>
      <c r="I1171" s="33"/>
      <c r="J1171" s="37"/>
    </row>
    <row r="1172" spans="1:10" x14ac:dyDescent="0.25">
      <c r="A1172" s="32" t="s">
        <v>103</v>
      </c>
      <c r="B1172" s="32">
        <f t="shared" si="284"/>
        <v>2053</v>
      </c>
      <c r="C1172" s="33" t="s">
        <v>11</v>
      </c>
      <c r="D1172" s="34" t="s">
        <v>1999</v>
      </c>
      <c r="E1172" s="35" t="str">
        <f t="shared" si="282"/>
        <v>PSNP'!</v>
      </c>
      <c r="F1172" s="34" t="str">
        <f t="shared" si="283"/>
        <v>C:\Users\jaime.benazar\Quorum Business Solutions\Ecopetrol Prometeo - Documents\Planning Space Implementation\3. Analysis &amp; Design\Design\FC22\DRR Jaime\QUIFA-CAJÚA\Cajua\[CAJUA_CF_SEC_New_27-Feb-2024Rev3.xlsx]D-PSNP'!</v>
      </c>
      <c r="G1172" s="32" t="s">
        <v>112</v>
      </c>
      <c r="H1172" s="33"/>
      <c r="I1172" s="33"/>
      <c r="J1172" s="37"/>
    </row>
    <row r="1173" spans="1:10" x14ac:dyDescent="0.25">
      <c r="A1173" s="32" t="s">
        <v>103</v>
      </c>
      <c r="B1173" s="32">
        <f t="shared" si="284"/>
        <v>2054</v>
      </c>
      <c r="C1173" s="33" t="s">
        <v>11</v>
      </c>
      <c r="D1173" s="34" t="s">
        <v>1999</v>
      </c>
      <c r="E1173" s="35" t="str">
        <f t="shared" si="282"/>
        <v>PSNP'!</v>
      </c>
      <c r="F1173" s="34" t="str">
        <f t="shared" si="283"/>
        <v>C:\Users\jaime.benazar\Quorum Business Solutions\Ecopetrol Prometeo - Documents\Planning Space Implementation\3. Analysis &amp; Design\Design\FC22\DRR Jaime\QUIFA-CAJÚA\Cajua\[CAJUA_CF_SEC_New_27-Feb-2024Rev3.xlsx]D-PSNP'!</v>
      </c>
      <c r="G1173" s="32" t="s">
        <v>112</v>
      </c>
      <c r="H1173" s="33"/>
      <c r="I1173" s="33"/>
      <c r="J1173" s="37"/>
    </row>
    <row r="1174" spans="1:10" x14ac:dyDescent="0.25">
      <c r="A1174" s="32" t="s">
        <v>103</v>
      </c>
      <c r="B1174" s="32">
        <f t="shared" si="284"/>
        <v>2055</v>
      </c>
      <c r="C1174" s="33" t="s">
        <v>11</v>
      </c>
      <c r="D1174" s="34" t="s">
        <v>1999</v>
      </c>
      <c r="E1174" s="35" t="str">
        <f t="shared" si="282"/>
        <v>PSNP'!</v>
      </c>
      <c r="F1174" s="34" t="str">
        <f t="shared" si="283"/>
        <v>C:\Users\jaime.benazar\Quorum Business Solutions\Ecopetrol Prometeo - Documents\Planning Space Implementation\3. Analysis &amp; Design\Design\FC22\DRR Jaime\QUIFA-CAJÚA\Cajua\[CAJUA_CF_SEC_New_27-Feb-2024Rev3.xlsx]D-PSNP'!</v>
      </c>
      <c r="G1174" s="32" t="s">
        <v>112</v>
      </c>
      <c r="H1174" s="33"/>
      <c r="I1174" s="33"/>
      <c r="J1174" s="37"/>
    </row>
    <row r="1175" spans="1:10" x14ac:dyDescent="0.25">
      <c r="A1175" s="32" t="s">
        <v>103</v>
      </c>
      <c r="B1175" s="32">
        <f t="shared" si="284"/>
        <v>2056</v>
      </c>
      <c r="C1175" s="33" t="s">
        <v>11</v>
      </c>
      <c r="D1175" s="34" t="s">
        <v>1999</v>
      </c>
      <c r="E1175" s="35" t="str">
        <f t="shared" si="282"/>
        <v>PSNP'!</v>
      </c>
      <c r="F1175" s="34" t="str">
        <f t="shared" si="283"/>
        <v>C:\Users\jaime.benazar\Quorum Business Solutions\Ecopetrol Prometeo - Documents\Planning Space Implementation\3. Analysis &amp; Design\Design\FC22\DRR Jaime\QUIFA-CAJÚA\Cajua\[CAJUA_CF_SEC_New_27-Feb-2024Rev3.xlsx]D-PSNP'!</v>
      </c>
      <c r="G1175" s="32" t="s">
        <v>112</v>
      </c>
      <c r="H1175" s="33"/>
      <c r="I1175" s="33"/>
      <c r="J1175" s="37"/>
    </row>
    <row r="1176" spans="1:10" x14ac:dyDescent="0.25">
      <c r="A1176" s="32" t="s">
        <v>103</v>
      </c>
      <c r="B1176" s="32">
        <f t="shared" si="284"/>
        <v>2057</v>
      </c>
      <c r="C1176" s="33" t="s">
        <v>11</v>
      </c>
      <c r="D1176" s="34" t="s">
        <v>1999</v>
      </c>
      <c r="E1176" s="35" t="str">
        <f t="shared" si="282"/>
        <v>PSNP'!</v>
      </c>
      <c r="F1176" s="34" t="str">
        <f t="shared" si="283"/>
        <v>C:\Users\jaime.benazar\Quorum Business Solutions\Ecopetrol Prometeo - Documents\Planning Space Implementation\3. Analysis &amp; Design\Design\FC22\DRR Jaime\QUIFA-CAJÚA\Cajua\[CAJUA_CF_SEC_New_27-Feb-2024Rev3.xlsx]D-PSNP'!</v>
      </c>
      <c r="G1176" s="32" t="s">
        <v>112</v>
      </c>
      <c r="H1176" s="33"/>
      <c r="I1176" s="33"/>
      <c r="J1176" s="37"/>
    </row>
    <row r="1177" spans="1:10" x14ac:dyDescent="0.25">
      <c r="A1177" s="32" t="s">
        <v>103</v>
      </c>
      <c r="B1177" s="32">
        <f t="shared" si="284"/>
        <v>2058</v>
      </c>
      <c r="C1177" s="33" t="s">
        <v>11</v>
      </c>
      <c r="D1177" s="34" t="s">
        <v>1999</v>
      </c>
      <c r="E1177" s="35" t="str">
        <f t="shared" si="282"/>
        <v>PSNP'!</v>
      </c>
      <c r="F1177" s="34" t="str">
        <f t="shared" si="283"/>
        <v>C:\Users\jaime.benazar\Quorum Business Solutions\Ecopetrol Prometeo - Documents\Planning Space Implementation\3. Analysis &amp; Design\Design\FC22\DRR Jaime\QUIFA-CAJÚA\Cajua\[CAJUA_CF_SEC_New_27-Feb-2024Rev3.xlsx]D-PSNP'!</v>
      </c>
      <c r="G1177" s="32" t="s">
        <v>112</v>
      </c>
      <c r="H1177" s="33"/>
      <c r="I1177" s="33"/>
      <c r="J1177" s="37"/>
    </row>
    <row r="1178" spans="1:10" x14ac:dyDescent="0.25">
      <c r="A1178" s="32" t="s">
        <v>103</v>
      </c>
      <c r="B1178" s="32">
        <f t="shared" si="284"/>
        <v>2059</v>
      </c>
      <c r="C1178" s="33" t="s">
        <v>11</v>
      </c>
      <c r="D1178" s="34" t="s">
        <v>1999</v>
      </c>
      <c r="E1178" s="35" t="str">
        <f t="shared" si="282"/>
        <v>PSNP'!</v>
      </c>
      <c r="F1178" s="34" t="str">
        <f t="shared" si="283"/>
        <v>C:\Users\jaime.benazar\Quorum Business Solutions\Ecopetrol Prometeo - Documents\Planning Space Implementation\3. Analysis &amp; Design\Design\FC22\DRR Jaime\QUIFA-CAJÚA\Cajua\[CAJUA_CF_SEC_New_27-Feb-2024Rev3.xlsx]D-PSNP'!</v>
      </c>
      <c r="G1178" s="32" t="s">
        <v>112</v>
      </c>
      <c r="H1178" s="33"/>
      <c r="I1178" s="33"/>
      <c r="J1178" s="37"/>
    </row>
    <row r="1179" spans="1:10" x14ac:dyDescent="0.25">
      <c r="A1179" s="32" t="s">
        <v>28</v>
      </c>
      <c r="B1179" s="32"/>
      <c r="C1179" s="33" t="s">
        <v>11</v>
      </c>
      <c r="D1179" s="34"/>
      <c r="E1179" s="35"/>
      <c r="F1179" s="34"/>
      <c r="G1179" s="32"/>
      <c r="H1179" s="33"/>
      <c r="I1179" s="33"/>
      <c r="J1179" s="33"/>
    </row>
    <row r="1180" spans="1:10" x14ac:dyDescent="0.25">
      <c r="A1180" s="32" t="s">
        <v>104</v>
      </c>
      <c r="B1180" s="32">
        <v>2023</v>
      </c>
      <c r="C1180" s="33" t="s">
        <v>11</v>
      </c>
      <c r="D1180" s="34" t="s">
        <v>1999</v>
      </c>
      <c r="E1180" s="35" t="str">
        <f t="shared" ref="E1180:E1200" si="285">_xlfn.CONCAT(A1180,"'!")</f>
        <v>PSND'!</v>
      </c>
      <c r="F1180" s="34" t="str">
        <f t="shared" ref="F1180:F1200" si="286">_xlfn.CONCAT(D1180:E1180)</f>
        <v>C:\Users\jaime.benazar\Quorum Business Solutions\Ecopetrol Prometeo - Documents\Planning Space Implementation\3. Analysis &amp; Design\Design\FC22\DRR Jaime\QUIFA-CAJÚA\Cajua\[CAJUA_CF_SEC_New_27-Feb-2024Rev3.xlsx]D-PSND'!</v>
      </c>
      <c r="G1180" s="32" t="s">
        <v>112</v>
      </c>
      <c r="H1180" s="33"/>
      <c r="I1180" s="33"/>
      <c r="J1180" s="37"/>
    </row>
    <row r="1181" spans="1:10" x14ac:dyDescent="0.25">
      <c r="A1181" s="32" t="s">
        <v>104</v>
      </c>
      <c r="B1181" s="32">
        <f>+B1180+1</f>
        <v>2024</v>
      </c>
      <c r="C1181" s="33" t="s">
        <v>11</v>
      </c>
      <c r="D1181" s="34" t="s">
        <v>1999</v>
      </c>
      <c r="E1181" s="35" t="str">
        <f t="shared" si="285"/>
        <v>PSND'!</v>
      </c>
      <c r="F1181" s="34" t="str">
        <f t="shared" si="286"/>
        <v>C:\Users\jaime.benazar\Quorum Business Solutions\Ecopetrol Prometeo - Documents\Planning Space Implementation\3. Analysis &amp; Design\Design\FC22\DRR Jaime\QUIFA-CAJÚA\Cajua\[CAJUA_CF_SEC_New_27-Feb-2024Rev3.xlsx]D-PSND'!</v>
      </c>
      <c r="G1181" s="32" t="s">
        <v>112</v>
      </c>
      <c r="H1181" s="33"/>
      <c r="I1181" s="33"/>
      <c r="J1181" s="37"/>
    </row>
    <row r="1182" spans="1:10" x14ac:dyDescent="0.25">
      <c r="A1182" s="32" t="s">
        <v>104</v>
      </c>
      <c r="B1182" s="32">
        <f t="shared" ref="B1182:B1193" si="287">+B1181+1</f>
        <v>2025</v>
      </c>
      <c r="C1182" s="33" t="s">
        <v>11</v>
      </c>
      <c r="D1182" s="34" t="s">
        <v>1999</v>
      </c>
      <c r="E1182" s="35" t="str">
        <f t="shared" si="285"/>
        <v>PSND'!</v>
      </c>
      <c r="F1182" s="34" t="str">
        <f t="shared" si="286"/>
        <v>C:\Users\jaime.benazar\Quorum Business Solutions\Ecopetrol Prometeo - Documents\Planning Space Implementation\3. Analysis &amp; Design\Design\FC22\DRR Jaime\QUIFA-CAJÚA\Cajua\[CAJUA_CF_SEC_New_27-Feb-2024Rev3.xlsx]D-PSND'!</v>
      </c>
      <c r="G1182" s="32" t="s">
        <v>112</v>
      </c>
      <c r="H1182" s="33"/>
      <c r="I1182" s="33"/>
      <c r="J1182" s="37"/>
    </row>
    <row r="1183" spans="1:10" x14ac:dyDescent="0.25">
      <c r="A1183" s="32" t="s">
        <v>104</v>
      </c>
      <c r="B1183" s="32">
        <f t="shared" si="287"/>
        <v>2026</v>
      </c>
      <c r="C1183" s="33" t="s">
        <v>11</v>
      </c>
      <c r="D1183" s="34" t="s">
        <v>1999</v>
      </c>
      <c r="E1183" s="35" t="str">
        <f t="shared" si="285"/>
        <v>PSND'!</v>
      </c>
      <c r="F1183" s="34" t="str">
        <f t="shared" si="286"/>
        <v>C:\Users\jaime.benazar\Quorum Business Solutions\Ecopetrol Prometeo - Documents\Planning Space Implementation\3. Analysis &amp; Design\Design\FC22\DRR Jaime\QUIFA-CAJÚA\Cajua\[CAJUA_CF_SEC_New_27-Feb-2024Rev3.xlsx]D-PSND'!</v>
      </c>
      <c r="G1183" s="32" t="s">
        <v>112</v>
      </c>
      <c r="H1183" s="33"/>
      <c r="I1183" s="33"/>
      <c r="J1183" s="37"/>
    </row>
    <row r="1184" spans="1:10" x14ac:dyDescent="0.25">
      <c r="A1184" s="32" t="s">
        <v>104</v>
      </c>
      <c r="B1184" s="32">
        <f t="shared" si="287"/>
        <v>2027</v>
      </c>
      <c r="C1184" s="33" t="s">
        <v>11</v>
      </c>
      <c r="D1184" s="34" t="s">
        <v>1999</v>
      </c>
      <c r="E1184" s="35" t="str">
        <f t="shared" si="285"/>
        <v>PSND'!</v>
      </c>
      <c r="F1184" s="34" t="str">
        <f t="shared" si="286"/>
        <v>C:\Users\jaime.benazar\Quorum Business Solutions\Ecopetrol Prometeo - Documents\Planning Space Implementation\3. Analysis &amp; Design\Design\FC22\DRR Jaime\QUIFA-CAJÚA\Cajua\[CAJUA_CF_SEC_New_27-Feb-2024Rev3.xlsx]D-PSND'!</v>
      </c>
      <c r="G1184" s="32" t="s">
        <v>112</v>
      </c>
      <c r="H1184" s="33"/>
      <c r="I1184" s="33"/>
      <c r="J1184" s="37"/>
    </row>
    <row r="1185" spans="1:10" x14ac:dyDescent="0.25">
      <c r="A1185" s="32" t="s">
        <v>104</v>
      </c>
      <c r="B1185" s="32">
        <f t="shared" si="287"/>
        <v>2028</v>
      </c>
      <c r="C1185" s="33" t="s">
        <v>11</v>
      </c>
      <c r="D1185" s="34" t="s">
        <v>1999</v>
      </c>
      <c r="E1185" s="35" t="str">
        <f t="shared" si="285"/>
        <v>PSND'!</v>
      </c>
      <c r="F1185" s="34" t="str">
        <f t="shared" si="286"/>
        <v>C:\Users\jaime.benazar\Quorum Business Solutions\Ecopetrol Prometeo - Documents\Planning Space Implementation\3. Analysis &amp; Design\Design\FC22\DRR Jaime\QUIFA-CAJÚA\Cajua\[CAJUA_CF_SEC_New_27-Feb-2024Rev3.xlsx]D-PSND'!</v>
      </c>
      <c r="G1185" s="32" t="s">
        <v>112</v>
      </c>
      <c r="H1185" s="33"/>
      <c r="I1185" s="33"/>
      <c r="J1185" s="37"/>
    </row>
    <row r="1186" spans="1:10" x14ac:dyDescent="0.25">
      <c r="A1186" s="32" t="s">
        <v>104</v>
      </c>
      <c r="B1186" s="32">
        <f t="shared" si="287"/>
        <v>2029</v>
      </c>
      <c r="C1186" s="33" t="s">
        <v>11</v>
      </c>
      <c r="D1186" s="34" t="s">
        <v>1999</v>
      </c>
      <c r="E1186" s="35" t="str">
        <f t="shared" si="285"/>
        <v>PSND'!</v>
      </c>
      <c r="F1186" s="34" t="str">
        <f t="shared" si="286"/>
        <v>C:\Users\jaime.benazar\Quorum Business Solutions\Ecopetrol Prometeo - Documents\Planning Space Implementation\3. Analysis &amp; Design\Design\FC22\DRR Jaime\QUIFA-CAJÚA\Cajua\[CAJUA_CF_SEC_New_27-Feb-2024Rev3.xlsx]D-PSND'!</v>
      </c>
      <c r="G1186" s="32" t="s">
        <v>112</v>
      </c>
      <c r="H1186" s="33"/>
      <c r="I1186" s="33"/>
      <c r="J1186" s="37"/>
    </row>
    <row r="1187" spans="1:10" x14ac:dyDescent="0.25">
      <c r="A1187" s="32" t="s">
        <v>104</v>
      </c>
      <c r="B1187" s="32">
        <f t="shared" si="287"/>
        <v>2030</v>
      </c>
      <c r="C1187" s="33" t="s">
        <v>11</v>
      </c>
      <c r="D1187" s="34" t="s">
        <v>1999</v>
      </c>
      <c r="E1187" s="35" t="str">
        <f t="shared" si="285"/>
        <v>PSND'!</v>
      </c>
      <c r="F1187" s="34" t="str">
        <f t="shared" si="286"/>
        <v>C:\Users\jaime.benazar\Quorum Business Solutions\Ecopetrol Prometeo - Documents\Planning Space Implementation\3. Analysis &amp; Design\Design\FC22\DRR Jaime\QUIFA-CAJÚA\Cajua\[CAJUA_CF_SEC_New_27-Feb-2024Rev3.xlsx]D-PSND'!</v>
      </c>
      <c r="G1187" s="32" t="s">
        <v>112</v>
      </c>
      <c r="H1187" s="33"/>
      <c r="I1187" s="33"/>
      <c r="J1187" s="37"/>
    </row>
    <row r="1188" spans="1:10" x14ac:dyDescent="0.25">
      <c r="A1188" s="32" t="s">
        <v>104</v>
      </c>
      <c r="B1188" s="32">
        <f t="shared" si="287"/>
        <v>2031</v>
      </c>
      <c r="C1188" s="33" t="s">
        <v>11</v>
      </c>
      <c r="D1188" s="34" t="s">
        <v>1999</v>
      </c>
      <c r="E1188" s="35" t="str">
        <f t="shared" si="285"/>
        <v>PSND'!</v>
      </c>
      <c r="F1188" s="34" t="str">
        <f t="shared" si="286"/>
        <v>C:\Users\jaime.benazar\Quorum Business Solutions\Ecopetrol Prometeo - Documents\Planning Space Implementation\3. Analysis &amp; Design\Design\FC22\DRR Jaime\QUIFA-CAJÚA\Cajua\[CAJUA_CF_SEC_New_27-Feb-2024Rev3.xlsx]D-PSND'!</v>
      </c>
      <c r="G1188" s="32" t="s">
        <v>112</v>
      </c>
      <c r="H1188" s="33"/>
      <c r="I1188" s="33"/>
      <c r="J1188" s="37"/>
    </row>
    <row r="1189" spans="1:10" x14ac:dyDescent="0.25">
      <c r="A1189" s="32" t="s">
        <v>104</v>
      </c>
      <c r="B1189" s="32">
        <f t="shared" si="287"/>
        <v>2032</v>
      </c>
      <c r="C1189" s="33" t="s">
        <v>11</v>
      </c>
      <c r="D1189" s="34" t="s">
        <v>1999</v>
      </c>
      <c r="E1189" s="35" t="str">
        <f t="shared" si="285"/>
        <v>PSND'!</v>
      </c>
      <c r="F1189" s="34" t="str">
        <f t="shared" si="286"/>
        <v>C:\Users\jaime.benazar\Quorum Business Solutions\Ecopetrol Prometeo - Documents\Planning Space Implementation\3. Analysis &amp; Design\Design\FC22\DRR Jaime\QUIFA-CAJÚA\Cajua\[CAJUA_CF_SEC_New_27-Feb-2024Rev3.xlsx]D-PSND'!</v>
      </c>
      <c r="G1189" s="32" t="s">
        <v>112</v>
      </c>
      <c r="H1189" s="33"/>
      <c r="I1189" s="33"/>
      <c r="J1189" s="37"/>
    </row>
    <row r="1190" spans="1:10" x14ac:dyDescent="0.25">
      <c r="A1190" s="32" t="s">
        <v>104</v>
      </c>
      <c r="B1190" s="32">
        <f t="shared" si="287"/>
        <v>2033</v>
      </c>
      <c r="C1190" s="33" t="s">
        <v>11</v>
      </c>
      <c r="D1190" s="34" t="s">
        <v>1999</v>
      </c>
      <c r="E1190" s="35" t="str">
        <f t="shared" si="285"/>
        <v>PSND'!</v>
      </c>
      <c r="F1190" s="34" t="str">
        <f t="shared" si="286"/>
        <v>C:\Users\jaime.benazar\Quorum Business Solutions\Ecopetrol Prometeo - Documents\Planning Space Implementation\3. Analysis &amp; Design\Design\FC22\DRR Jaime\QUIFA-CAJÚA\Cajua\[CAJUA_CF_SEC_New_27-Feb-2024Rev3.xlsx]D-PSND'!</v>
      </c>
      <c r="G1190" s="32" t="s">
        <v>112</v>
      </c>
      <c r="H1190" s="33"/>
      <c r="I1190" s="33"/>
      <c r="J1190" s="37"/>
    </row>
    <row r="1191" spans="1:10" x14ac:dyDescent="0.25">
      <c r="A1191" s="32" t="s">
        <v>104</v>
      </c>
      <c r="B1191" s="32">
        <f t="shared" si="287"/>
        <v>2034</v>
      </c>
      <c r="C1191" s="33" t="s">
        <v>11</v>
      </c>
      <c r="D1191" s="34" t="s">
        <v>1999</v>
      </c>
      <c r="E1191" s="35" t="str">
        <f t="shared" si="285"/>
        <v>PSND'!</v>
      </c>
      <c r="F1191" s="34" t="str">
        <f t="shared" si="286"/>
        <v>C:\Users\jaime.benazar\Quorum Business Solutions\Ecopetrol Prometeo - Documents\Planning Space Implementation\3. Analysis &amp; Design\Design\FC22\DRR Jaime\QUIFA-CAJÚA\Cajua\[CAJUA_CF_SEC_New_27-Feb-2024Rev3.xlsx]D-PSND'!</v>
      </c>
      <c r="G1191" s="32" t="s">
        <v>112</v>
      </c>
      <c r="H1191" s="33"/>
      <c r="I1191" s="33"/>
      <c r="J1191" s="37"/>
    </row>
    <row r="1192" spans="1:10" x14ac:dyDescent="0.25">
      <c r="A1192" s="32" t="s">
        <v>104</v>
      </c>
      <c r="B1192" s="32">
        <f t="shared" si="287"/>
        <v>2035</v>
      </c>
      <c r="C1192" s="33" t="s">
        <v>11</v>
      </c>
      <c r="D1192" s="34" t="s">
        <v>1999</v>
      </c>
      <c r="E1192" s="35" t="str">
        <f t="shared" si="285"/>
        <v>PSND'!</v>
      </c>
      <c r="F1192" s="34" t="str">
        <f t="shared" si="286"/>
        <v>C:\Users\jaime.benazar\Quorum Business Solutions\Ecopetrol Prometeo - Documents\Planning Space Implementation\3. Analysis &amp; Design\Design\FC22\DRR Jaime\QUIFA-CAJÚA\Cajua\[CAJUA_CF_SEC_New_27-Feb-2024Rev3.xlsx]D-PSND'!</v>
      </c>
      <c r="G1192" s="32" t="s">
        <v>112</v>
      </c>
      <c r="H1192" s="33"/>
      <c r="I1192" s="33"/>
      <c r="J1192" s="37"/>
    </row>
    <row r="1193" spans="1:10" x14ac:dyDescent="0.25">
      <c r="A1193" s="32" t="s">
        <v>104</v>
      </c>
      <c r="B1193" s="32">
        <f t="shared" si="287"/>
        <v>2036</v>
      </c>
      <c r="C1193" s="33" t="s">
        <v>11</v>
      </c>
      <c r="D1193" s="34" t="s">
        <v>1999</v>
      </c>
      <c r="E1193" s="35" t="str">
        <f t="shared" si="285"/>
        <v>PSND'!</v>
      </c>
      <c r="F1193" s="34" t="str">
        <f t="shared" si="286"/>
        <v>C:\Users\jaime.benazar\Quorum Business Solutions\Ecopetrol Prometeo - Documents\Planning Space Implementation\3. Analysis &amp; Design\Design\FC22\DRR Jaime\QUIFA-CAJÚA\Cajua\[CAJUA_CF_SEC_New_27-Feb-2024Rev3.xlsx]D-PSND'!</v>
      </c>
      <c r="G1193" s="32" t="s">
        <v>112</v>
      </c>
      <c r="H1193" s="33"/>
      <c r="I1193" s="33"/>
      <c r="J1193" s="37"/>
    </row>
    <row r="1194" spans="1:10" x14ac:dyDescent="0.25">
      <c r="A1194" s="32" t="s">
        <v>104</v>
      </c>
      <c r="B1194" s="32">
        <f>+B1193+1</f>
        <v>2037</v>
      </c>
      <c r="C1194" s="33" t="s">
        <v>11</v>
      </c>
      <c r="D1194" s="34" t="s">
        <v>1999</v>
      </c>
      <c r="E1194" s="35" t="str">
        <f t="shared" si="285"/>
        <v>PSND'!</v>
      </c>
      <c r="F1194" s="34" t="str">
        <f t="shared" si="286"/>
        <v>C:\Users\jaime.benazar\Quorum Business Solutions\Ecopetrol Prometeo - Documents\Planning Space Implementation\3. Analysis &amp; Design\Design\FC22\DRR Jaime\QUIFA-CAJÚA\Cajua\[CAJUA_CF_SEC_New_27-Feb-2024Rev3.xlsx]D-PSND'!</v>
      </c>
      <c r="G1194" s="32" t="s">
        <v>112</v>
      </c>
      <c r="H1194" s="33"/>
      <c r="I1194" s="33"/>
      <c r="J1194" s="37"/>
    </row>
    <row r="1195" spans="1:10" x14ac:dyDescent="0.25">
      <c r="A1195" s="32" t="s">
        <v>104</v>
      </c>
      <c r="B1195" s="32">
        <f t="shared" ref="B1195:B1197" si="288">+B1194+1</f>
        <v>2038</v>
      </c>
      <c r="C1195" s="33" t="s">
        <v>11</v>
      </c>
      <c r="D1195" s="34" t="s">
        <v>1999</v>
      </c>
      <c r="E1195" s="35" t="str">
        <f t="shared" si="285"/>
        <v>PSND'!</v>
      </c>
      <c r="F1195" s="34" t="str">
        <f t="shared" si="286"/>
        <v>C:\Users\jaime.benazar\Quorum Business Solutions\Ecopetrol Prometeo - Documents\Planning Space Implementation\3. Analysis &amp; Design\Design\FC22\DRR Jaime\QUIFA-CAJÚA\Cajua\[CAJUA_CF_SEC_New_27-Feb-2024Rev3.xlsx]D-PSND'!</v>
      </c>
      <c r="G1195" s="32" t="s">
        <v>112</v>
      </c>
      <c r="H1195" s="33"/>
      <c r="I1195" s="33"/>
      <c r="J1195" s="37"/>
    </row>
    <row r="1196" spans="1:10" x14ac:dyDescent="0.25">
      <c r="A1196" s="32" t="s">
        <v>104</v>
      </c>
      <c r="B1196" s="32">
        <f t="shared" si="288"/>
        <v>2039</v>
      </c>
      <c r="C1196" s="33" t="s">
        <v>11</v>
      </c>
      <c r="D1196" s="34" t="s">
        <v>1999</v>
      </c>
      <c r="E1196" s="35" t="str">
        <f t="shared" si="285"/>
        <v>PSND'!</v>
      </c>
      <c r="F1196" s="34" t="str">
        <f t="shared" si="286"/>
        <v>C:\Users\jaime.benazar\Quorum Business Solutions\Ecopetrol Prometeo - Documents\Planning Space Implementation\3. Analysis &amp; Design\Design\FC22\DRR Jaime\QUIFA-CAJÚA\Cajua\[CAJUA_CF_SEC_New_27-Feb-2024Rev3.xlsx]D-PSND'!</v>
      </c>
      <c r="G1196" s="32" t="s">
        <v>112</v>
      </c>
      <c r="H1196" s="33"/>
      <c r="I1196" s="33"/>
      <c r="J1196" s="37"/>
    </row>
    <row r="1197" spans="1:10" x14ac:dyDescent="0.25">
      <c r="A1197" s="32" t="s">
        <v>104</v>
      </c>
      <c r="B1197" s="32">
        <f t="shared" si="288"/>
        <v>2040</v>
      </c>
      <c r="C1197" s="33" t="s">
        <v>11</v>
      </c>
      <c r="D1197" s="34" t="s">
        <v>1999</v>
      </c>
      <c r="E1197" s="35" t="str">
        <f t="shared" si="285"/>
        <v>PSND'!</v>
      </c>
      <c r="F1197" s="34" t="str">
        <f t="shared" si="286"/>
        <v>C:\Users\jaime.benazar\Quorum Business Solutions\Ecopetrol Prometeo - Documents\Planning Space Implementation\3. Analysis &amp; Design\Design\FC22\DRR Jaime\QUIFA-CAJÚA\Cajua\[CAJUA_CF_SEC_New_27-Feb-2024Rev3.xlsx]D-PSND'!</v>
      </c>
      <c r="G1197" s="32" t="s">
        <v>112</v>
      </c>
      <c r="H1197" s="33"/>
      <c r="I1197" s="33"/>
      <c r="J1197" s="37"/>
    </row>
    <row r="1198" spans="1:10" x14ac:dyDescent="0.25">
      <c r="A1198" s="32" t="s">
        <v>104</v>
      </c>
      <c r="B1198" s="32">
        <f>+B1197+1</f>
        <v>2041</v>
      </c>
      <c r="C1198" s="33" t="s">
        <v>11</v>
      </c>
      <c r="D1198" s="34" t="s">
        <v>1999</v>
      </c>
      <c r="E1198" s="35" t="str">
        <f t="shared" si="285"/>
        <v>PSND'!</v>
      </c>
      <c r="F1198" s="34" t="str">
        <f t="shared" si="286"/>
        <v>C:\Users\jaime.benazar\Quorum Business Solutions\Ecopetrol Prometeo - Documents\Planning Space Implementation\3. Analysis &amp; Design\Design\FC22\DRR Jaime\QUIFA-CAJÚA\Cajua\[CAJUA_CF_SEC_New_27-Feb-2024Rev3.xlsx]D-PSND'!</v>
      </c>
      <c r="G1198" s="32" t="s">
        <v>112</v>
      </c>
      <c r="H1198" s="33"/>
      <c r="I1198" s="33"/>
      <c r="J1198" s="37"/>
    </row>
    <row r="1199" spans="1:10" x14ac:dyDescent="0.25">
      <c r="A1199" s="32" t="s">
        <v>104</v>
      </c>
      <c r="B1199" s="32">
        <f t="shared" ref="B1199:B1200" si="289">+B1198+1</f>
        <v>2042</v>
      </c>
      <c r="C1199" s="33" t="s">
        <v>11</v>
      </c>
      <c r="D1199" s="34" t="s">
        <v>1999</v>
      </c>
      <c r="E1199" s="35" t="str">
        <f t="shared" si="285"/>
        <v>PSND'!</v>
      </c>
      <c r="F1199" s="34" t="str">
        <f t="shared" si="286"/>
        <v>C:\Users\jaime.benazar\Quorum Business Solutions\Ecopetrol Prometeo - Documents\Planning Space Implementation\3. Analysis &amp; Design\Design\FC22\DRR Jaime\QUIFA-CAJÚA\Cajua\[CAJUA_CF_SEC_New_27-Feb-2024Rev3.xlsx]D-PSND'!</v>
      </c>
      <c r="G1199" s="32" t="s">
        <v>112</v>
      </c>
      <c r="H1199" s="33"/>
      <c r="I1199" s="33"/>
      <c r="J1199" s="37"/>
    </row>
    <row r="1200" spans="1:10" x14ac:dyDescent="0.25">
      <c r="A1200" s="32" t="s">
        <v>104</v>
      </c>
      <c r="B1200" s="32">
        <f t="shared" si="289"/>
        <v>2043</v>
      </c>
      <c r="C1200" s="33" t="s">
        <v>11</v>
      </c>
      <c r="D1200" s="34" t="s">
        <v>1999</v>
      </c>
      <c r="E1200" s="35" t="str">
        <f t="shared" si="285"/>
        <v>PSND'!</v>
      </c>
      <c r="F1200" s="34" t="str">
        <f t="shared" si="286"/>
        <v>C:\Users\jaime.benazar\Quorum Business Solutions\Ecopetrol Prometeo - Documents\Planning Space Implementation\3. Analysis &amp; Design\Design\FC22\DRR Jaime\QUIFA-CAJÚA\Cajua\[CAJUA_CF_SEC_New_27-Feb-2024Rev3.xlsx]D-PSND'!</v>
      </c>
      <c r="G1200" s="32" t="s">
        <v>112</v>
      </c>
      <c r="H1200" s="33"/>
      <c r="I1200" s="33"/>
      <c r="J1200" s="37"/>
    </row>
    <row r="1201" spans="1:10" x14ac:dyDescent="0.25">
      <c r="A1201" s="32" t="s">
        <v>104</v>
      </c>
      <c r="B1201" s="32">
        <f>+B1200+1</f>
        <v>2044</v>
      </c>
      <c r="C1201" s="33" t="s">
        <v>11</v>
      </c>
      <c r="D1201" s="34" t="s">
        <v>1999</v>
      </c>
      <c r="E1201" s="35" t="str">
        <f t="shared" ref="E1201:E1216" si="290">_xlfn.CONCAT(A1201,"'!")</f>
        <v>PSND'!</v>
      </c>
      <c r="F1201" s="34" t="str">
        <f t="shared" ref="F1201:F1216" si="291">_xlfn.CONCAT(D1201:E1201)</f>
        <v>C:\Users\jaime.benazar\Quorum Business Solutions\Ecopetrol Prometeo - Documents\Planning Space Implementation\3. Analysis &amp; Design\Design\FC22\DRR Jaime\QUIFA-CAJÚA\Cajua\[CAJUA_CF_SEC_New_27-Feb-2024Rev3.xlsx]D-PSND'!</v>
      </c>
      <c r="G1201" s="32" t="s">
        <v>112</v>
      </c>
      <c r="H1201" s="33"/>
      <c r="I1201" s="33"/>
      <c r="J1201" s="37"/>
    </row>
    <row r="1202" spans="1:10" x14ac:dyDescent="0.25">
      <c r="A1202" s="32" t="s">
        <v>104</v>
      </c>
      <c r="B1202" s="32">
        <f t="shared" ref="B1202:B1216" si="292">+B1201+1</f>
        <v>2045</v>
      </c>
      <c r="C1202" s="33" t="s">
        <v>11</v>
      </c>
      <c r="D1202" s="34" t="s">
        <v>1999</v>
      </c>
      <c r="E1202" s="35" t="str">
        <f t="shared" si="290"/>
        <v>PSND'!</v>
      </c>
      <c r="F1202" s="34" t="str">
        <f t="shared" si="291"/>
        <v>C:\Users\jaime.benazar\Quorum Business Solutions\Ecopetrol Prometeo - Documents\Planning Space Implementation\3. Analysis &amp; Design\Design\FC22\DRR Jaime\QUIFA-CAJÚA\Cajua\[CAJUA_CF_SEC_New_27-Feb-2024Rev3.xlsx]D-PSND'!</v>
      </c>
      <c r="G1202" s="32" t="s">
        <v>112</v>
      </c>
      <c r="H1202" s="33"/>
      <c r="I1202" s="33"/>
      <c r="J1202" s="37"/>
    </row>
    <row r="1203" spans="1:10" x14ac:dyDescent="0.25">
      <c r="A1203" s="32" t="s">
        <v>104</v>
      </c>
      <c r="B1203" s="32">
        <f t="shared" si="292"/>
        <v>2046</v>
      </c>
      <c r="C1203" s="33" t="s">
        <v>11</v>
      </c>
      <c r="D1203" s="34" t="s">
        <v>1999</v>
      </c>
      <c r="E1203" s="35" t="str">
        <f t="shared" si="290"/>
        <v>PSND'!</v>
      </c>
      <c r="F1203" s="34" t="str">
        <f t="shared" si="291"/>
        <v>C:\Users\jaime.benazar\Quorum Business Solutions\Ecopetrol Prometeo - Documents\Planning Space Implementation\3. Analysis &amp; Design\Design\FC22\DRR Jaime\QUIFA-CAJÚA\Cajua\[CAJUA_CF_SEC_New_27-Feb-2024Rev3.xlsx]D-PSND'!</v>
      </c>
      <c r="G1203" s="32" t="s">
        <v>112</v>
      </c>
      <c r="H1203" s="33"/>
      <c r="I1203" s="33"/>
      <c r="J1203" s="37"/>
    </row>
    <row r="1204" spans="1:10" x14ac:dyDescent="0.25">
      <c r="A1204" s="32" t="s">
        <v>104</v>
      </c>
      <c r="B1204" s="32">
        <f t="shared" si="292"/>
        <v>2047</v>
      </c>
      <c r="C1204" s="33" t="s">
        <v>11</v>
      </c>
      <c r="D1204" s="34" t="s">
        <v>1999</v>
      </c>
      <c r="E1204" s="35" t="str">
        <f t="shared" si="290"/>
        <v>PSND'!</v>
      </c>
      <c r="F1204" s="34" t="str">
        <f t="shared" si="291"/>
        <v>C:\Users\jaime.benazar\Quorum Business Solutions\Ecopetrol Prometeo - Documents\Planning Space Implementation\3. Analysis &amp; Design\Design\FC22\DRR Jaime\QUIFA-CAJÚA\Cajua\[CAJUA_CF_SEC_New_27-Feb-2024Rev3.xlsx]D-PSND'!</v>
      </c>
      <c r="G1204" s="32" t="s">
        <v>112</v>
      </c>
      <c r="H1204" s="33"/>
      <c r="I1204" s="33"/>
      <c r="J1204" s="37"/>
    </row>
    <row r="1205" spans="1:10" x14ac:dyDescent="0.25">
      <c r="A1205" s="32" t="s">
        <v>104</v>
      </c>
      <c r="B1205" s="32">
        <f t="shared" si="292"/>
        <v>2048</v>
      </c>
      <c r="C1205" s="33" t="s">
        <v>11</v>
      </c>
      <c r="D1205" s="34" t="s">
        <v>1999</v>
      </c>
      <c r="E1205" s="35" t="str">
        <f t="shared" si="290"/>
        <v>PSND'!</v>
      </c>
      <c r="F1205" s="34" t="str">
        <f t="shared" si="291"/>
        <v>C:\Users\jaime.benazar\Quorum Business Solutions\Ecopetrol Prometeo - Documents\Planning Space Implementation\3. Analysis &amp; Design\Design\FC22\DRR Jaime\QUIFA-CAJÚA\Cajua\[CAJUA_CF_SEC_New_27-Feb-2024Rev3.xlsx]D-PSND'!</v>
      </c>
      <c r="G1205" s="32" t="s">
        <v>112</v>
      </c>
      <c r="H1205" s="33"/>
      <c r="I1205" s="33"/>
      <c r="J1205" s="37"/>
    </row>
    <row r="1206" spans="1:10" x14ac:dyDescent="0.25">
      <c r="A1206" s="32" t="s">
        <v>104</v>
      </c>
      <c r="B1206" s="32">
        <f t="shared" si="292"/>
        <v>2049</v>
      </c>
      <c r="C1206" s="33" t="s">
        <v>11</v>
      </c>
      <c r="D1206" s="34" t="s">
        <v>1999</v>
      </c>
      <c r="E1206" s="35" t="str">
        <f t="shared" si="290"/>
        <v>PSND'!</v>
      </c>
      <c r="F1206" s="34" t="str">
        <f t="shared" si="291"/>
        <v>C:\Users\jaime.benazar\Quorum Business Solutions\Ecopetrol Prometeo - Documents\Planning Space Implementation\3. Analysis &amp; Design\Design\FC22\DRR Jaime\QUIFA-CAJÚA\Cajua\[CAJUA_CF_SEC_New_27-Feb-2024Rev3.xlsx]D-PSND'!</v>
      </c>
      <c r="G1206" s="32" t="s">
        <v>112</v>
      </c>
      <c r="H1206" s="33"/>
      <c r="I1206" s="33"/>
      <c r="J1206" s="37"/>
    </row>
    <row r="1207" spans="1:10" x14ac:dyDescent="0.25">
      <c r="A1207" s="32" t="s">
        <v>104</v>
      </c>
      <c r="B1207" s="32">
        <f t="shared" si="292"/>
        <v>2050</v>
      </c>
      <c r="C1207" s="33" t="s">
        <v>11</v>
      </c>
      <c r="D1207" s="34" t="s">
        <v>1999</v>
      </c>
      <c r="E1207" s="35" t="str">
        <f t="shared" si="290"/>
        <v>PSND'!</v>
      </c>
      <c r="F1207" s="34" t="str">
        <f t="shared" si="291"/>
        <v>C:\Users\jaime.benazar\Quorum Business Solutions\Ecopetrol Prometeo - Documents\Planning Space Implementation\3. Analysis &amp; Design\Design\FC22\DRR Jaime\QUIFA-CAJÚA\Cajua\[CAJUA_CF_SEC_New_27-Feb-2024Rev3.xlsx]D-PSND'!</v>
      </c>
      <c r="G1207" s="32" t="s">
        <v>112</v>
      </c>
      <c r="H1207" s="33"/>
      <c r="I1207" s="33"/>
      <c r="J1207" s="37"/>
    </row>
    <row r="1208" spans="1:10" x14ac:dyDescent="0.25">
      <c r="A1208" s="32" t="s">
        <v>104</v>
      </c>
      <c r="B1208" s="32">
        <f t="shared" si="292"/>
        <v>2051</v>
      </c>
      <c r="C1208" s="33" t="s">
        <v>11</v>
      </c>
      <c r="D1208" s="34" t="s">
        <v>1999</v>
      </c>
      <c r="E1208" s="35" t="str">
        <f t="shared" si="290"/>
        <v>PSND'!</v>
      </c>
      <c r="F1208" s="34" t="str">
        <f t="shared" si="291"/>
        <v>C:\Users\jaime.benazar\Quorum Business Solutions\Ecopetrol Prometeo - Documents\Planning Space Implementation\3. Analysis &amp; Design\Design\FC22\DRR Jaime\QUIFA-CAJÚA\Cajua\[CAJUA_CF_SEC_New_27-Feb-2024Rev3.xlsx]D-PSND'!</v>
      </c>
      <c r="G1208" s="32" t="s">
        <v>112</v>
      </c>
      <c r="H1208" s="33"/>
      <c r="I1208" s="33"/>
      <c r="J1208" s="37"/>
    </row>
    <row r="1209" spans="1:10" x14ac:dyDescent="0.25">
      <c r="A1209" s="32" t="s">
        <v>104</v>
      </c>
      <c r="B1209" s="32">
        <f t="shared" si="292"/>
        <v>2052</v>
      </c>
      <c r="C1209" s="33" t="s">
        <v>11</v>
      </c>
      <c r="D1209" s="34" t="s">
        <v>1999</v>
      </c>
      <c r="E1209" s="35" t="str">
        <f t="shared" si="290"/>
        <v>PSND'!</v>
      </c>
      <c r="F1209" s="34" t="str">
        <f t="shared" si="291"/>
        <v>C:\Users\jaime.benazar\Quorum Business Solutions\Ecopetrol Prometeo - Documents\Planning Space Implementation\3. Analysis &amp; Design\Design\FC22\DRR Jaime\QUIFA-CAJÚA\Cajua\[CAJUA_CF_SEC_New_27-Feb-2024Rev3.xlsx]D-PSND'!</v>
      </c>
      <c r="G1209" s="32" t="s">
        <v>112</v>
      </c>
      <c r="H1209" s="33"/>
      <c r="I1209" s="33"/>
      <c r="J1209" s="37"/>
    </row>
    <row r="1210" spans="1:10" x14ac:dyDescent="0.25">
      <c r="A1210" s="32" t="s">
        <v>104</v>
      </c>
      <c r="B1210" s="32">
        <f t="shared" si="292"/>
        <v>2053</v>
      </c>
      <c r="C1210" s="33" t="s">
        <v>11</v>
      </c>
      <c r="D1210" s="34" t="s">
        <v>1999</v>
      </c>
      <c r="E1210" s="35" t="str">
        <f t="shared" si="290"/>
        <v>PSND'!</v>
      </c>
      <c r="F1210" s="34" t="str">
        <f t="shared" si="291"/>
        <v>C:\Users\jaime.benazar\Quorum Business Solutions\Ecopetrol Prometeo - Documents\Planning Space Implementation\3. Analysis &amp; Design\Design\FC22\DRR Jaime\QUIFA-CAJÚA\Cajua\[CAJUA_CF_SEC_New_27-Feb-2024Rev3.xlsx]D-PSND'!</v>
      </c>
      <c r="G1210" s="32" t="s">
        <v>112</v>
      </c>
      <c r="H1210" s="33"/>
      <c r="I1210" s="33"/>
      <c r="J1210" s="37"/>
    </row>
    <row r="1211" spans="1:10" x14ac:dyDescent="0.25">
      <c r="A1211" s="32" t="s">
        <v>104</v>
      </c>
      <c r="B1211" s="32">
        <f t="shared" si="292"/>
        <v>2054</v>
      </c>
      <c r="C1211" s="33" t="s">
        <v>11</v>
      </c>
      <c r="D1211" s="34" t="s">
        <v>1999</v>
      </c>
      <c r="E1211" s="35" t="str">
        <f t="shared" si="290"/>
        <v>PSND'!</v>
      </c>
      <c r="F1211" s="34" t="str">
        <f t="shared" si="291"/>
        <v>C:\Users\jaime.benazar\Quorum Business Solutions\Ecopetrol Prometeo - Documents\Planning Space Implementation\3. Analysis &amp; Design\Design\FC22\DRR Jaime\QUIFA-CAJÚA\Cajua\[CAJUA_CF_SEC_New_27-Feb-2024Rev3.xlsx]D-PSND'!</v>
      </c>
      <c r="G1211" s="32" t="s">
        <v>112</v>
      </c>
      <c r="H1211" s="33"/>
      <c r="I1211" s="33"/>
      <c r="J1211" s="37"/>
    </row>
    <row r="1212" spans="1:10" x14ac:dyDescent="0.25">
      <c r="A1212" s="32" t="s">
        <v>104</v>
      </c>
      <c r="B1212" s="32">
        <f t="shared" si="292"/>
        <v>2055</v>
      </c>
      <c r="C1212" s="33" t="s">
        <v>11</v>
      </c>
      <c r="D1212" s="34" t="s">
        <v>1999</v>
      </c>
      <c r="E1212" s="35" t="str">
        <f t="shared" si="290"/>
        <v>PSND'!</v>
      </c>
      <c r="F1212" s="34" t="str">
        <f t="shared" si="291"/>
        <v>C:\Users\jaime.benazar\Quorum Business Solutions\Ecopetrol Prometeo - Documents\Planning Space Implementation\3. Analysis &amp; Design\Design\FC22\DRR Jaime\QUIFA-CAJÚA\Cajua\[CAJUA_CF_SEC_New_27-Feb-2024Rev3.xlsx]D-PSND'!</v>
      </c>
      <c r="G1212" s="32" t="s">
        <v>112</v>
      </c>
      <c r="H1212" s="33"/>
      <c r="I1212" s="33"/>
      <c r="J1212" s="37"/>
    </row>
    <row r="1213" spans="1:10" x14ac:dyDescent="0.25">
      <c r="A1213" s="32" t="s">
        <v>104</v>
      </c>
      <c r="B1213" s="32">
        <f t="shared" si="292"/>
        <v>2056</v>
      </c>
      <c r="C1213" s="33" t="s">
        <v>11</v>
      </c>
      <c r="D1213" s="34" t="s">
        <v>1999</v>
      </c>
      <c r="E1213" s="35" t="str">
        <f t="shared" si="290"/>
        <v>PSND'!</v>
      </c>
      <c r="F1213" s="34" t="str">
        <f t="shared" si="291"/>
        <v>C:\Users\jaime.benazar\Quorum Business Solutions\Ecopetrol Prometeo - Documents\Planning Space Implementation\3. Analysis &amp; Design\Design\FC22\DRR Jaime\QUIFA-CAJÚA\Cajua\[CAJUA_CF_SEC_New_27-Feb-2024Rev3.xlsx]D-PSND'!</v>
      </c>
      <c r="G1213" s="32" t="s">
        <v>112</v>
      </c>
      <c r="H1213" s="33"/>
      <c r="I1213" s="33"/>
      <c r="J1213" s="37"/>
    </row>
    <row r="1214" spans="1:10" x14ac:dyDescent="0.25">
      <c r="A1214" s="32" t="s">
        <v>104</v>
      </c>
      <c r="B1214" s="32">
        <f t="shared" si="292"/>
        <v>2057</v>
      </c>
      <c r="C1214" s="33" t="s">
        <v>11</v>
      </c>
      <c r="D1214" s="34" t="s">
        <v>1999</v>
      </c>
      <c r="E1214" s="35" t="str">
        <f t="shared" si="290"/>
        <v>PSND'!</v>
      </c>
      <c r="F1214" s="34" t="str">
        <f t="shared" si="291"/>
        <v>C:\Users\jaime.benazar\Quorum Business Solutions\Ecopetrol Prometeo - Documents\Planning Space Implementation\3. Analysis &amp; Design\Design\FC22\DRR Jaime\QUIFA-CAJÚA\Cajua\[CAJUA_CF_SEC_New_27-Feb-2024Rev3.xlsx]D-PSND'!</v>
      </c>
      <c r="G1214" s="32" t="s">
        <v>112</v>
      </c>
      <c r="H1214" s="33"/>
      <c r="I1214" s="33"/>
      <c r="J1214" s="37"/>
    </row>
    <row r="1215" spans="1:10" x14ac:dyDescent="0.25">
      <c r="A1215" s="32" t="s">
        <v>104</v>
      </c>
      <c r="B1215" s="32">
        <f t="shared" si="292"/>
        <v>2058</v>
      </c>
      <c r="C1215" s="33" t="s">
        <v>11</v>
      </c>
      <c r="D1215" s="34" t="s">
        <v>1999</v>
      </c>
      <c r="E1215" s="35" t="str">
        <f t="shared" si="290"/>
        <v>PSND'!</v>
      </c>
      <c r="F1215" s="34" t="str">
        <f t="shared" si="291"/>
        <v>C:\Users\jaime.benazar\Quorum Business Solutions\Ecopetrol Prometeo - Documents\Planning Space Implementation\3. Analysis &amp; Design\Design\FC22\DRR Jaime\QUIFA-CAJÚA\Cajua\[CAJUA_CF_SEC_New_27-Feb-2024Rev3.xlsx]D-PSND'!</v>
      </c>
      <c r="G1215" s="32" t="s">
        <v>112</v>
      </c>
      <c r="H1215" s="33"/>
      <c r="I1215" s="33"/>
      <c r="J1215" s="37"/>
    </row>
    <row r="1216" spans="1:10" x14ac:dyDescent="0.25">
      <c r="A1216" s="32" t="s">
        <v>104</v>
      </c>
      <c r="B1216" s="32">
        <f t="shared" si="292"/>
        <v>2059</v>
      </c>
      <c r="C1216" s="33" t="s">
        <v>11</v>
      </c>
      <c r="D1216" s="34" t="s">
        <v>1999</v>
      </c>
      <c r="E1216" s="35" t="str">
        <f t="shared" si="290"/>
        <v>PSND'!</v>
      </c>
      <c r="F1216" s="34" t="str">
        <f t="shared" si="291"/>
        <v>C:\Users\jaime.benazar\Quorum Business Solutions\Ecopetrol Prometeo - Documents\Planning Space Implementation\3. Analysis &amp; Design\Design\FC22\DRR Jaime\QUIFA-CAJÚA\Cajua\[CAJUA_CF_SEC_New_27-Feb-2024Rev3.xlsx]D-PSND'!</v>
      </c>
      <c r="G1216" s="32" t="s">
        <v>112</v>
      </c>
      <c r="H1216" s="33"/>
      <c r="I1216" s="33"/>
      <c r="J1216" s="37"/>
    </row>
    <row r="1217" spans="1:10" x14ac:dyDescent="0.25">
      <c r="A1217" s="32" t="s">
        <v>28</v>
      </c>
      <c r="B1217" s="32"/>
      <c r="C1217" s="33" t="s">
        <v>11</v>
      </c>
      <c r="D1217" s="34"/>
      <c r="E1217" s="35"/>
      <c r="F1217" s="34"/>
      <c r="G1217" s="32"/>
      <c r="H1217" s="33"/>
      <c r="I1217" s="33"/>
      <c r="J1217" s="33"/>
    </row>
    <row r="1218" spans="1:10" x14ac:dyDescent="0.25">
      <c r="A1218" s="32" t="s">
        <v>34</v>
      </c>
      <c r="B1218" s="32">
        <v>2023</v>
      </c>
      <c r="C1218" s="33" t="s">
        <v>11</v>
      </c>
      <c r="D1218" s="34" t="s">
        <v>1999</v>
      </c>
      <c r="E1218" s="35" t="str">
        <f t="shared" si="228"/>
        <v>PS'!</v>
      </c>
      <c r="F1218" s="34" t="str">
        <f t="shared" si="229"/>
        <v>C:\Users\jaime.benazar\Quorum Business Solutions\Ecopetrol Prometeo - Documents\Planning Space Implementation\3. Analysis &amp; Design\Design\FC22\DRR Jaime\QUIFA-CAJÚA\Cajua\[CAJUA_CF_SEC_New_27-Feb-2024Rev3.xlsx]D-PS'!</v>
      </c>
      <c r="G1218" s="32" t="s">
        <v>112</v>
      </c>
      <c r="H1218" s="33">
        <v>12</v>
      </c>
      <c r="I1218" s="33" t="str">
        <f t="shared" si="230"/>
        <v>='C:\Users\jaime.benazar\Quorum Business Solutions\Ecopetrol Prometeo - Documents\Planning Space Implementation\3. Analysis &amp; Design\Design\FC22\DRR Jaime\QUIFA-CAJÚA\Cajua\[CAJUA_CF_SEC_New_27-Feb-2024Rev3.xlsx]D-PS'!$BZ$12</v>
      </c>
      <c r="J1218" s="37" t="s">
        <v>2518</v>
      </c>
    </row>
    <row r="1219" spans="1:10" x14ac:dyDescent="0.25">
      <c r="A1219" s="32" t="s">
        <v>34</v>
      </c>
      <c r="B1219" s="32">
        <f>+B1218+1</f>
        <v>2024</v>
      </c>
      <c r="C1219" s="33" t="s">
        <v>11</v>
      </c>
      <c r="D1219" s="34" t="s">
        <v>1999</v>
      </c>
      <c r="E1219" s="35" t="str">
        <f t="shared" si="228"/>
        <v>PS'!</v>
      </c>
      <c r="F1219" s="34" t="str">
        <f t="shared" si="229"/>
        <v>C:\Users\jaime.benazar\Quorum Business Solutions\Ecopetrol Prometeo - Documents\Planning Space Implementation\3. Analysis &amp; Design\Design\FC22\DRR Jaime\QUIFA-CAJÚA\Cajua\[CAJUA_CF_SEC_New_27-Feb-2024Rev3.xlsx]D-PS'!</v>
      </c>
      <c r="G1219" s="32" t="s">
        <v>112</v>
      </c>
      <c r="H1219" s="33">
        <f t="shared" ref="H1219:H1238" si="293">IF(A1219&lt;&gt;A1218,12,H1218+1)</f>
        <v>13</v>
      </c>
      <c r="I1219" s="33" t="str">
        <f t="shared" si="230"/>
        <v>='C:\Users\jaime.benazar\Quorum Business Solutions\Ecopetrol Prometeo - Documents\Planning Space Implementation\3. Analysis &amp; Design\Design\FC22\DRR Jaime\QUIFA-CAJÚA\Cajua\[CAJUA_CF_SEC_New_27-Feb-2024Rev3.xlsx]D-PS'!$BZ$13</v>
      </c>
      <c r="J1219" s="37" t="s">
        <v>2519</v>
      </c>
    </row>
    <row r="1220" spans="1:10" x14ac:dyDescent="0.25">
      <c r="A1220" s="32" t="s">
        <v>34</v>
      </c>
      <c r="B1220" s="32">
        <f t="shared" ref="B1220:B1231" si="294">+B1219+1</f>
        <v>2025</v>
      </c>
      <c r="C1220" s="33" t="s">
        <v>11</v>
      </c>
      <c r="D1220" s="34" t="s">
        <v>1999</v>
      </c>
      <c r="E1220" s="35" t="str">
        <f t="shared" si="228"/>
        <v>PS'!</v>
      </c>
      <c r="F1220" s="34" t="str">
        <f t="shared" si="229"/>
        <v>C:\Users\jaime.benazar\Quorum Business Solutions\Ecopetrol Prometeo - Documents\Planning Space Implementation\3. Analysis &amp; Design\Design\FC22\DRR Jaime\QUIFA-CAJÚA\Cajua\[CAJUA_CF_SEC_New_27-Feb-2024Rev3.xlsx]D-PS'!</v>
      </c>
      <c r="G1220" s="32" t="s">
        <v>112</v>
      </c>
      <c r="H1220" s="33">
        <f t="shared" si="293"/>
        <v>14</v>
      </c>
      <c r="I1220" s="33" t="str">
        <f t="shared" si="230"/>
        <v>='C:\Users\jaime.benazar\Quorum Business Solutions\Ecopetrol Prometeo - Documents\Planning Space Implementation\3. Analysis &amp; Design\Design\FC22\DRR Jaime\QUIFA-CAJÚA\Cajua\[CAJUA_CF_SEC_New_27-Feb-2024Rev3.xlsx]D-PS'!$BZ$14</v>
      </c>
      <c r="J1220" s="37" t="s">
        <v>2520</v>
      </c>
    </row>
    <row r="1221" spans="1:10" x14ac:dyDescent="0.25">
      <c r="A1221" s="32" t="s">
        <v>34</v>
      </c>
      <c r="B1221" s="32">
        <f t="shared" si="294"/>
        <v>2026</v>
      </c>
      <c r="C1221" s="33" t="s">
        <v>11</v>
      </c>
      <c r="D1221" s="34" t="s">
        <v>1999</v>
      </c>
      <c r="E1221" s="35" t="str">
        <f t="shared" si="228"/>
        <v>PS'!</v>
      </c>
      <c r="F1221" s="34" t="str">
        <f t="shared" si="229"/>
        <v>C:\Users\jaime.benazar\Quorum Business Solutions\Ecopetrol Prometeo - Documents\Planning Space Implementation\3. Analysis &amp; Design\Design\FC22\DRR Jaime\QUIFA-CAJÚA\Cajua\[CAJUA_CF_SEC_New_27-Feb-2024Rev3.xlsx]D-PS'!</v>
      </c>
      <c r="G1221" s="32" t="s">
        <v>112</v>
      </c>
      <c r="H1221" s="33">
        <f t="shared" si="293"/>
        <v>15</v>
      </c>
      <c r="I1221" s="33" t="str">
        <f t="shared" si="230"/>
        <v>='C:\Users\jaime.benazar\Quorum Business Solutions\Ecopetrol Prometeo - Documents\Planning Space Implementation\3. Analysis &amp; Design\Design\FC22\DRR Jaime\QUIFA-CAJÚA\Cajua\[CAJUA_CF_SEC_New_27-Feb-2024Rev3.xlsx]D-PS'!$BZ$15</v>
      </c>
      <c r="J1221" s="37" t="s">
        <v>2521</v>
      </c>
    </row>
    <row r="1222" spans="1:10" x14ac:dyDescent="0.25">
      <c r="A1222" s="32" t="s">
        <v>34</v>
      </c>
      <c r="B1222" s="32">
        <f t="shared" si="294"/>
        <v>2027</v>
      </c>
      <c r="C1222" s="33" t="s">
        <v>11</v>
      </c>
      <c r="D1222" s="34" t="s">
        <v>1999</v>
      </c>
      <c r="E1222" s="35" t="str">
        <f t="shared" si="228"/>
        <v>PS'!</v>
      </c>
      <c r="F1222" s="34" t="str">
        <f t="shared" si="229"/>
        <v>C:\Users\jaime.benazar\Quorum Business Solutions\Ecopetrol Prometeo - Documents\Planning Space Implementation\3. Analysis &amp; Design\Design\FC22\DRR Jaime\QUIFA-CAJÚA\Cajua\[CAJUA_CF_SEC_New_27-Feb-2024Rev3.xlsx]D-PS'!</v>
      </c>
      <c r="G1222" s="32" t="s">
        <v>112</v>
      </c>
      <c r="H1222" s="33">
        <f t="shared" si="293"/>
        <v>16</v>
      </c>
      <c r="I1222" s="33" t="str">
        <f t="shared" si="230"/>
        <v>='C:\Users\jaime.benazar\Quorum Business Solutions\Ecopetrol Prometeo - Documents\Planning Space Implementation\3. Analysis &amp; Design\Design\FC22\DRR Jaime\QUIFA-CAJÚA\Cajua\[CAJUA_CF_SEC_New_27-Feb-2024Rev3.xlsx]D-PS'!$BZ$16</v>
      </c>
      <c r="J1222" s="37" t="s">
        <v>2522</v>
      </c>
    </row>
    <row r="1223" spans="1:10" x14ac:dyDescent="0.25">
      <c r="A1223" s="32" t="s">
        <v>34</v>
      </c>
      <c r="B1223" s="32">
        <f t="shared" si="294"/>
        <v>2028</v>
      </c>
      <c r="C1223" s="33" t="s">
        <v>11</v>
      </c>
      <c r="D1223" s="34" t="s">
        <v>1999</v>
      </c>
      <c r="E1223" s="35" t="str">
        <f t="shared" si="228"/>
        <v>PS'!</v>
      </c>
      <c r="F1223" s="34" t="str">
        <f t="shared" si="229"/>
        <v>C:\Users\jaime.benazar\Quorum Business Solutions\Ecopetrol Prometeo - Documents\Planning Space Implementation\3. Analysis &amp; Design\Design\FC22\DRR Jaime\QUIFA-CAJÚA\Cajua\[CAJUA_CF_SEC_New_27-Feb-2024Rev3.xlsx]D-PS'!</v>
      </c>
      <c r="G1223" s="32" t="s">
        <v>112</v>
      </c>
      <c r="H1223" s="33">
        <f t="shared" si="293"/>
        <v>17</v>
      </c>
      <c r="I1223" s="33" t="str">
        <f t="shared" si="230"/>
        <v>='C:\Users\jaime.benazar\Quorum Business Solutions\Ecopetrol Prometeo - Documents\Planning Space Implementation\3. Analysis &amp; Design\Design\FC22\DRR Jaime\QUIFA-CAJÚA\Cajua\[CAJUA_CF_SEC_New_27-Feb-2024Rev3.xlsx]D-PS'!$BZ$17</v>
      </c>
      <c r="J1223" s="37" t="s">
        <v>2523</v>
      </c>
    </row>
    <row r="1224" spans="1:10" x14ac:dyDescent="0.25">
      <c r="A1224" s="32" t="s">
        <v>34</v>
      </c>
      <c r="B1224" s="32">
        <f t="shared" si="294"/>
        <v>2029</v>
      </c>
      <c r="C1224" s="33" t="s">
        <v>11</v>
      </c>
      <c r="D1224" s="34" t="s">
        <v>1999</v>
      </c>
      <c r="E1224" s="35" t="str">
        <f t="shared" si="228"/>
        <v>PS'!</v>
      </c>
      <c r="F1224" s="34" t="str">
        <f t="shared" si="229"/>
        <v>C:\Users\jaime.benazar\Quorum Business Solutions\Ecopetrol Prometeo - Documents\Planning Space Implementation\3. Analysis &amp; Design\Design\FC22\DRR Jaime\QUIFA-CAJÚA\Cajua\[CAJUA_CF_SEC_New_27-Feb-2024Rev3.xlsx]D-PS'!</v>
      </c>
      <c r="G1224" s="32" t="s">
        <v>112</v>
      </c>
      <c r="H1224" s="33">
        <f t="shared" si="293"/>
        <v>18</v>
      </c>
      <c r="I1224" s="33" t="str">
        <f t="shared" si="230"/>
        <v>='C:\Users\jaime.benazar\Quorum Business Solutions\Ecopetrol Prometeo - Documents\Planning Space Implementation\3. Analysis &amp; Design\Design\FC22\DRR Jaime\QUIFA-CAJÚA\Cajua\[CAJUA_CF_SEC_New_27-Feb-2024Rev3.xlsx]D-PS'!$BZ$18</v>
      </c>
      <c r="J1224" s="37" t="s">
        <v>2524</v>
      </c>
    </row>
    <row r="1225" spans="1:10" x14ac:dyDescent="0.25">
      <c r="A1225" s="32" t="s">
        <v>34</v>
      </c>
      <c r="B1225" s="32">
        <f t="shared" si="294"/>
        <v>2030</v>
      </c>
      <c r="C1225" s="33" t="s">
        <v>11</v>
      </c>
      <c r="D1225" s="34" t="s">
        <v>1999</v>
      </c>
      <c r="E1225" s="35" t="str">
        <f t="shared" si="228"/>
        <v>PS'!</v>
      </c>
      <c r="F1225" s="34" t="str">
        <f t="shared" si="229"/>
        <v>C:\Users\jaime.benazar\Quorum Business Solutions\Ecopetrol Prometeo - Documents\Planning Space Implementation\3. Analysis &amp; Design\Design\FC22\DRR Jaime\QUIFA-CAJÚA\Cajua\[CAJUA_CF_SEC_New_27-Feb-2024Rev3.xlsx]D-PS'!</v>
      </c>
      <c r="G1225" s="32" t="s">
        <v>112</v>
      </c>
      <c r="H1225" s="33">
        <f t="shared" si="293"/>
        <v>19</v>
      </c>
      <c r="I1225" s="33" t="str">
        <f t="shared" si="230"/>
        <v>='C:\Users\jaime.benazar\Quorum Business Solutions\Ecopetrol Prometeo - Documents\Planning Space Implementation\3. Analysis &amp; Design\Design\FC22\DRR Jaime\QUIFA-CAJÚA\Cajua\[CAJUA_CF_SEC_New_27-Feb-2024Rev3.xlsx]D-PS'!$BZ$19</v>
      </c>
      <c r="J1225" s="37" t="s">
        <v>2525</v>
      </c>
    </row>
    <row r="1226" spans="1:10" x14ac:dyDescent="0.25">
      <c r="A1226" s="32" t="s">
        <v>34</v>
      </c>
      <c r="B1226" s="32">
        <f t="shared" si="294"/>
        <v>2031</v>
      </c>
      <c r="C1226" s="33" t="s">
        <v>11</v>
      </c>
      <c r="D1226" s="34" t="s">
        <v>1999</v>
      </c>
      <c r="E1226" s="35" t="str">
        <f t="shared" si="228"/>
        <v>PS'!</v>
      </c>
      <c r="F1226" s="34" t="str">
        <f t="shared" si="229"/>
        <v>C:\Users\jaime.benazar\Quorum Business Solutions\Ecopetrol Prometeo - Documents\Planning Space Implementation\3. Analysis &amp; Design\Design\FC22\DRR Jaime\QUIFA-CAJÚA\Cajua\[CAJUA_CF_SEC_New_27-Feb-2024Rev3.xlsx]D-PS'!</v>
      </c>
      <c r="G1226" s="32" t="s">
        <v>112</v>
      </c>
      <c r="H1226" s="33">
        <f t="shared" si="293"/>
        <v>20</v>
      </c>
      <c r="I1226" s="33" t="str">
        <f t="shared" si="230"/>
        <v>='C:\Users\jaime.benazar\Quorum Business Solutions\Ecopetrol Prometeo - Documents\Planning Space Implementation\3. Analysis &amp; Design\Design\FC22\DRR Jaime\QUIFA-CAJÚA\Cajua\[CAJUA_CF_SEC_New_27-Feb-2024Rev3.xlsx]D-PS'!$BZ$20</v>
      </c>
      <c r="J1226" s="37" t="s">
        <v>2526</v>
      </c>
    </row>
    <row r="1227" spans="1:10" x14ac:dyDescent="0.25">
      <c r="A1227" s="32" t="s">
        <v>34</v>
      </c>
      <c r="B1227" s="32">
        <f t="shared" si="294"/>
        <v>2032</v>
      </c>
      <c r="C1227" s="33" t="s">
        <v>11</v>
      </c>
      <c r="D1227" s="34" t="s">
        <v>1999</v>
      </c>
      <c r="E1227" s="35" t="str">
        <f t="shared" si="228"/>
        <v>PS'!</v>
      </c>
      <c r="F1227" s="34" t="str">
        <f t="shared" si="229"/>
        <v>C:\Users\jaime.benazar\Quorum Business Solutions\Ecopetrol Prometeo - Documents\Planning Space Implementation\3. Analysis &amp; Design\Design\FC22\DRR Jaime\QUIFA-CAJÚA\Cajua\[CAJUA_CF_SEC_New_27-Feb-2024Rev3.xlsx]D-PS'!</v>
      </c>
      <c r="G1227" s="32" t="s">
        <v>112</v>
      </c>
      <c r="H1227" s="33">
        <f t="shared" si="293"/>
        <v>21</v>
      </c>
      <c r="I1227" s="33" t="str">
        <f t="shared" si="230"/>
        <v>='C:\Users\jaime.benazar\Quorum Business Solutions\Ecopetrol Prometeo - Documents\Planning Space Implementation\3. Analysis &amp; Design\Design\FC22\DRR Jaime\QUIFA-CAJÚA\Cajua\[CAJUA_CF_SEC_New_27-Feb-2024Rev3.xlsx]D-PS'!$BZ$21</v>
      </c>
      <c r="J1227" s="37" t="s">
        <v>2527</v>
      </c>
    </row>
    <row r="1228" spans="1:10" x14ac:dyDescent="0.25">
      <c r="A1228" s="32" t="s">
        <v>34</v>
      </c>
      <c r="B1228" s="32">
        <f t="shared" si="294"/>
        <v>2033</v>
      </c>
      <c r="C1228" s="33" t="s">
        <v>11</v>
      </c>
      <c r="D1228" s="34" t="s">
        <v>1999</v>
      </c>
      <c r="E1228" s="35" t="str">
        <f t="shared" si="228"/>
        <v>PS'!</v>
      </c>
      <c r="F1228" s="34" t="str">
        <f t="shared" si="229"/>
        <v>C:\Users\jaime.benazar\Quorum Business Solutions\Ecopetrol Prometeo - Documents\Planning Space Implementation\3. Analysis &amp; Design\Design\FC22\DRR Jaime\QUIFA-CAJÚA\Cajua\[CAJUA_CF_SEC_New_27-Feb-2024Rev3.xlsx]D-PS'!</v>
      </c>
      <c r="G1228" s="32" t="s">
        <v>112</v>
      </c>
      <c r="H1228" s="33">
        <f t="shared" si="293"/>
        <v>22</v>
      </c>
      <c r="I1228" s="33" t="str">
        <f t="shared" si="230"/>
        <v>='C:\Users\jaime.benazar\Quorum Business Solutions\Ecopetrol Prometeo - Documents\Planning Space Implementation\3. Analysis &amp; Design\Design\FC22\DRR Jaime\QUIFA-CAJÚA\Cajua\[CAJUA_CF_SEC_New_27-Feb-2024Rev3.xlsx]D-PS'!$BZ$22</v>
      </c>
      <c r="J1228" s="37" t="s">
        <v>2528</v>
      </c>
    </row>
    <row r="1229" spans="1:10" x14ac:dyDescent="0.25">
      <c r="A1229" s="32" t="s">
        <v>34</v>
      </c>
      <c r="B1229" s="32">
        <f t="shared" si="294"/>
        <v>2034</v>
      </c>
      <c r="C1229" s="33" t="s">
        <v>11</v>
      </c>
      <c r="D1229" s="34" t="s">
        <v>1999</v>
      </c>
      <c r="E1229" s="35" t="str">
        <f t="shared" si="228"/>
        <v>PS'!</v>
      </c>
      <c r="F1229" s="34" t="str">
        <f t="shared" si="229"/>
        <v>C:\Users\jaime.benazar\Quorum Business Solutions\Ecopetrol Prometeo - Documents\Planning Space Implementation\3. Analysis &amp; Design\Design\FC22\DRR Jaime\QUIFA-CAJÚA\Cajua\[CAJUA_CF_SEC_New_27-Feb-2024Rev3.xlsx]D-PS'!</v>
      </c>
      <c r="G1229" s="32" t="s">
        <v>112</v>
      </c>
      <c r="H1229" s="33">
        <f t="shared" si="293"/>
        <v>23</v>
      </c>
      <c r="I1229" s="33" t="str">
        <f t="shared" si="230"/>
        <v>='C:\Users\jaime.benazar\Quorum Business Solutions\Ecopetrol Prometeo - Documents\Planning Space Implementation\3. Analysis &amp; Design\Design\FC22\DRR Jaime\QUIFA-CAJÚA\Cajua\[CAJUA_CF_SEC_New_27-Feb-2024Rev3.xlsx]D-PS'!$BZ$23</v>
      </c>
      <c r="J1229" s="37" t="s">
        <v>2529</v>
      </c>
    </row>
    <row r="1230" spans="1:10" x14ac:dyDescent="0.25">
      <c r="A1230" s="32" t="s">
        <v>34</v>
      </c>
      <c r="B1230" s="32">
        <f t="shared" si="294"/>
        <v>2035</v>
      </c>
      <c r="C1230" s="33" t="s">
        <v>11</v>
      </c>
      <c r="D1230" s="34" t="s">
        <v>1999</v>
      </c>
      <c r="E1230" s="35" t="str">
        <f t="shared" si="228"/>
        <v>PS'!</v>
      </c>
      <c r="F1230" s="34" t="str">
        <f t="shared" si="229"/>
        <v>C:\Users\jaime.benazar\Quorum Business Solutions\Ecopetrol Prometeo - Documents\Planning Space Implementation\3. Analysis &amp; Design\Design\FC22\DRR Jaime\QUIFA-CAJÚA\Cajua\[CAJUA_CF_SEC_New_27-Feb-2024Rev3.xlsx]D-PS'!</v>
      </c>
      <c r="G1230" s="32" t="s">
        <v>112</v>
      </c>
      <c r="H1230" s="33">
        <f t="shared" si="293"/>
        <v>24</v>
      </c>
      <c r="I1230" s="33" t="str">
        <f t="shared" si="230"/>
        <v>='C:\Users\jaime.benazar\Quorum Business Solutions\Ecopetrol Prometeo - Documents\Planning Space Implementation\3. Analysis &amp; Design\Design\FC22\DRR Jaime\QUIFA-CAJÚA\Cajua\[CAJUA_CF_SEC_New_27-Feb-2024Rev3.xlsx]D-PS'!$BZ$24</v>
      </c>
      <c r="J1230" s="37" t="s">
        <v>2530</v>
      </c>
    </row>
    <row r="1231" spans="1:10" x14ac:dyDescent="0.25">
      <c r="A1231" s="32" t="s">
        <v>34</v>
      </c>
      <c r="B1231" s="32">
        <f t="shared" si="294"/>
        <v>2036</v>
      </c>
      <c r="C1231" s="33" t="s">
        <v>11</v>
      </c>
      <c r="D1231" s="34" t="s">
        <v>1999</v>
      </c>
      <c r="E1231" s="35" t="str">
        <f t="shared" si="228"/>
        <v>PS'!</v>
      </c>
      <c r="F1231" s="34" t="str">
        <f t="shared" si="229"/>
        <v>C:\Users\jaime.benazar\Quorum Business Solutions\Ecopetrol Prometeo - Documents\Planning Space Implementation\3. Analysis &amp; Design\Design\FC22\DRR Jaime\QUIFA-CAJÚA\Cajua\[CAJUA_CF_SEC_New_27-Feb-2024Rev3.xlsx]D-PS'!</v>
      </c>
      <c r="G1231" s="32" t="s">
        <v>112</v>
      </c>
      <c r="H1231" s="33">
        <f t="shared" si="293"/>
        <v>25</v>
      </c>
      <c r="I1231" s="33" t="str">
        <f t="shared" si="230"/>
        <v>='C:\Users\jaime.benazar\Quorum Business Solutions\Ecopetrol Prometeo - Documents\Planning Space Implementation\3. Analysis &amp; Design\Design\FC22\DRR Jaime\QUIFA-CAJÚA\Cajua\[CAJUA_CF_SEC_New_27-Feb-2024Rev3.xlsx]D-PS'!$BZ$25</v>
      </c>
      <c r="J1231" s="37" t="s">
        <v>2531</v>
      </c>
    </row>
    <row r="1232" spans="1:10" x14ac:dyDescent="0.25">
      <c r="A1232" s="32" t="s">
        <v>34</v>
      </c>
      <c r="B1232" s="32">
        <f>+B1231+1</f>
        <v>2037</v>
      </c>
      <c r="C1232" s="33" t="s">
        <v>11</v>
      </c>
      <c r="D1232" s="34" t="s">
        <v>1999</v>
      </c>
      <c r="E1232" s="35" t="str">
        <f t="shared" si="228"/>
        <v>PS'!</v>
      </c>
      <c r="F1232" s="34" t="str">
        <f t="shared" si="229"/>
        <v>C:\Users\jaime.benazar\Quorum Business Solutions\Ecopetrol Prometeo - Documents\Planning Space Implementation\3. Analysis &amp; Design\Design\FC22\DRR Jaime\QUIFA-CAJÚA\Cajua\[CAJUA_CF_SEC_New_27-Feb-2024Rev3.xlsx]D-PS'!</v>
      </c>
      <c r="G1232" s="32" t="s">
        <v>112</v>
      </c>
      <c r="H1232" s="33">
        <f t="shared" si="293"/>
        <v>26</v>
      </c>
      <c r="I1232" s="33" t="str">
        <f t="shared" si="230"/>
        <v>='C:\Users\jaime.benazar\Quorum Business Solutions\Ecopetrol Prometeo - Documents\Planning Space Implementation\3. Analysis &amp; Design\Design\FC22\DRR Jaime\QUIFA-CAJÚA\Cajua\[CAJUA_CF_SEC_New_27-Feb-2024Rev3.xlsx]D-PS'!$BZ$26</v>
      </c>
      <c r="J1232" s="37" t="s">
        <v>2532</v>
      </c>
    </row>
    <row r="1233" spans="1:10" x14ac:dyDescent="0.25">
      <c r="A1233" s="32" t="s">
        <v>34</v>
      </c>
      <c r="B1233" s="32">
        <f t="shared" ref="B1233:B1235" si="295">+B1232+1</f>
        <v>2038</v>
      </c>
      <c r="C1233" s="33" t="s">
        <v>11</v>
      </c>
      <c r="D1233" s="34" t="s">
        <v>1999</v>
      </c>
      <c r="E1233" s="35" t="str">
        <f t="shared" si="228"/>
        <v>PS'!</v>
      </c>
      <c r="F1233" s="34" t="str">
        <f t="shared" si="229"/>
        <v>C:\Users\jaime.benazar\Quorum Business Solutions\Ecopetrol Prometeo - Documents\Planning Space Implementation\3. Analysis &amp; Design\Design\FC22\DRR Jaime\QUIFA-CAJÚA\Cajua\[CAJUA_CF_SEC_New_27-Feb-2024Rev3.xlsx]D-PS'!</v>
      </c>
      <c r="G1233" s="32" t="s">
        <v>112</v>
      </c>
      <c r="H1233" s="33">
        <f t="shared" si="293"/>
        <v>27</v>
      </c>
      <c r="I1233" s="33" t="str">
        <f t="shared" si="230"/>
        <v>='C:\Users\jaime.benazar\Quorum Business Solutions\Ecopetrol Prometeo - Documents\Planning Space Implementation\3. Analysis &amp; Design\Design\FC22\DRR Jaime\QUIFA-CAJÚA\Cajua\[CAJUA_CF_SEC_New_27-Feb-2024Rev3.xlsx]D-PS'!$BZ$27</v>
      </c>
      <c r="J1233" s="37" t="s">
        <v>2533</v>
      </c>
    </row>
    <row r="1234" spans="1:10" x14ac:dyDescent="0.25">
      <c r="A1234" s="32" t="s">
        <v>34</v>
      </c>
      <c r="B1234" s="32">
        <f t="shared" si="295"/>
        <v>2039</v>
      </c>
      <c r="C1234" s="33" t="s">
        <v>11</v>
      </c>
      <c r="D1234" s="34" t="s">
        <v>1999</v>
      </c>
      <c r="E1234" s="35" t="str">
        <f t="shared" si="228"/>
        <v>PS'!</v>
      </c>
      <c r="F1234" s="34" t="str">
        <f t="shared" si="229"/>
        <v>C:\Users\jaime.benazar\Quorum Business Solutions\Ecopetrol Prometeo - Documents\Planning Space Implementation\3. Analysis &amp; Design\Design\FC22\DRR Jaime\QUIFA-CAJÚA\Cajua\[CAJUA_CF_SEC_New_27-Feb-2024Rev3.xlsx]D-PS'!</v>
      </c>
      <c r="G1234" s="32" t="s">
        <v>112</v>
      </c>
      <c r="H1234" s="33">
        <f t="shared" si="293"/>
        <v>28</v>
      </c>
      <c r="I1234" s="33" t="str">
        <f t="shared" si="230"/>
        <v>='C:\Users\jaime.benazar\Quorum Business Solutions\Ecopetrol Prometeo - Documents\Planning Space Implementation\3. Analysis &amp; Design\Design\FC22\DRR Jaime\QUIFA-CAJÚA\Cajua\[CAJUA_CF_SEC_New_27-Feb-2024Rev3.xlsx]D-PS'!$BZ$28</v>
      </c>
      <c r="J1234" s="37" t="s">
        <v>2534</v>
      </c>
    </row>
    <row r="1235" spans="1:10" x14ac:dyDescent="0.25">
      <c r="A1235" s="32" t="s">
        <v>34</v>
      </c>
      <c r="B1235" s="32">
        <f t="shared" si="295"/>
        <v>2040</v>
      </c>
      <c r="C1235" s="33" t="s">
        <v>11</v>
      </c>
      <c r="D1235" s="34" t="s">
        <v>1999</v>
      </c>
      <c r="E1235" s="35" t="str">
        <f t="shared" si="228"/>
        <v>PS'!</v>
      </c>
      <c r="F1235" s="34" t="str">
        <f t="shared" si="229"/>
        <v>C:\Users\jaime.benazar\Quorum Business Solutions\Ecopetrol Prometeo - Documents\Planning Space Implementation\3. Analysis &amp; Design\Design\FC22\DRR Jaime\QUIFA-CAJÚA\Cajua\[CAJUA_CF_SEC_New_27-Feb-2024Rev3.xlsx]D-PS'!</v>
      </c>
      <c r="G1235" s="32" t="s">
        <v>112</v>
      </c>
      <c r="H1235" s="33">
        <f t="shared" si="293"/>
        <v>29</v>
      </c>
      <c r="I1235" s="33" t="str">
        <f t="shared" si="230"/>
        <v>='C:\Users\jaime.benazar\Quorum Business Solutions\Ecopetrol Prometeo - Documents\Planning Space Implementation\3. Analysis &amp; Design\Design\FC22\DRR Jaime\QUIFA-CAJÚA\Cajua\[CAJUA_CF_SEC_New_27-Feb-2024Rev3.xlsx]D-PS'!$BZ$29</v>
      </c>
      <c r="J1235" s="37" t="s">
        <v>2535</v>
      </c>
    </row>
    <row r="1236" spans="1:10" x14ac:dyDescent="0.25">
      <c r="A1236" s="32" t="s">
        <v>34</v>
      </c>
      <c r="B1236" s="32">
        <f>+B1235+1</f>
        <v>2041</v>
      </c>
      <c r="C1236" s="33" t="s">
        <v>11</v>
      </c>
      <c r="D1236" s="34" t="s">
        <v>1999</v>
      </c>
      <c r="E1236" s="35" t="str">
        <f t="shared" si="228"/>
        <v>PS'!</v>
      </c>
      <c r="F1236" s="34" t="str">
        <f t="shared" si="229"/>
        <v>C:\Users\jaime.benazar\Quorum Business Solutions\Ecopetrol Prometeo - Documents\Planning Space Implementation\3. Analysis &amp; Design\Design\FC22\DRR Jaime\QUIFA-CAJÚA\Cajua\[CAJUA_CF_SEC_New_27-Feb-2024Rev3.xlsx]D-PS'!</v>
      </c>
      <c r="G1236" s="32" t="s">
        <v>112</v>
      </c>
      <c r="H1236" s="33">
        <f t="shared" si="293"/>
        <v>30</v>
      </c>
      <c r="I1236" s="33" t="str">
        <f t="shared" si="230"/>
        <v>='C:\Users\jaime.benazar\Quorum Business Solutions\Ecopetrol Prometeo - Documents\Planning Space Implementation\3. Analysis &amp; Design\Design\FC22\DRR Jaime\QUIFA-CAJÚA\Cajua\[CAJUA_CF_SEC_New_27-Feb-2024Rev3.xlsx]D-PS'!$BZ$30</v>
      </c>
      <c r="J1236" s="37" t="s">
        <v>2536</v>
      </c>
    </row>
    <row r="1237" spans="1:10" x14ac:dyDescent="0.25">
      <c r="A1237" s="32" t="s">
        <v>34</v>
      </c>
      <c r="B1237" s="32">
        <f t="shared" ref="B1237:B1238" si="296">+B1236+1</f>
        <v>2042</v>
      </c>
      <c r="C1237" s="33" t="s">
        <v>11</v>
      </c>
      <c r="D1237" s="34" t="s">
        <v>1999</v>
      </c>
      <c r="E1237" s="35" t="str">
        <f t="shared" si="228"/>
        <v>PS'!</v>
      </c>
      <c r="F1237" s="34" t="str">
        <f t="shared" si="229"/>
        <v>C:\Users\jaime.benazar\Quorum Business Solutions\Ecopetrol Prometeo - Documents\Planning Space Implementation\3. Analysis &amp; Design\Design\FC22\DRR Jaime\QUIFA-CAJÚA\Cajua\[CAJUA_CF_SEC_New_27-Feb-2024Rev3.xlsx]D-PS'!</v>
      </c>
      <c r="G1237" s="32" t="s">
        <v>112</v>
      </c>
      <c r="H1237" s="33">
        <f t="shared" si="293"/>
        <v>31</v>
      </c>
      <c r="I1237" s="33" t="str">
        <f t="shared" si="230"/>
        <v>='C:\Users\jaime.benazar\Quorum Business Solutions\Ecopetrol Prometeo - Documents\Planning Space Implementation\3. Analysis &amp; Design\Design\FC22\DRR Jaime\QUIFA-CAJÚA\Cajua\[CAJUA_CF_SEC_New_27-Feb-2024Rev3.xlsx]D-PS'!$BZ$31</v>
      </c>
      <c r="J1237" s="37" t="s">
        <v>2537</v>
      </c>
    </row>
    <row r="1238" spans="1:10" x14ac:dyDescent="0.25">
      <c r="A1238" s="32" t="s">
        <v>34</v>
      </c>
      <c r="B1238" s="32">
        <f t="shared" si="296"/>
        <v>2043</v>
      </c>
      <c r="C1238" s="33" t="s">
        <v>11</v>
      </c>
      <c r="D1238" s="34" t="s">
        <v>1999</v>
      </c>
      <c r="E1238" s="35" t="str">
        <f t="shared" si="228"/>
        <v>PS'!</v>
      </c>
      <c r="F1238" s="34" t="str">
        <f t="shared" si="229"/>
        <v>C:\Users\jaime.benazar\Quorum Business Solutions\Ecopetrol Prometeo - Documents\Planning Space Implementation\3. Analysis &amp; Design\Design\FC22\DRR Jaime\QUIFA-CAJÚA\Cajua\[CAJUA_CF_SEC_New_27-Feb-2024Rev3.xlsx]D-PS'!</v>
      </c>
      <c r="G1238" s="32" t="s">
        <v>112</v>
      </c>
      <c r="H1238" s="33">
        <f t="shared" si="293"/>
        <v>32</v>
      </c>
      <c r="I1238" s="33" t="str">
        <f t="shared" si="230"/>
        <v>='C:\Users\jaime.benazar\Quorum Business Solutions\Ecopetrol Prometeo - Documents\Planning Space Implementation\3. Analysis &amp; Design\Design\FC22\DRR Jaime\QUIFA-CAJÚA\Cajua\[CAJUA_CF_SEC_New_27-Feb-2024Rev3.xlsx]D-PS'!$BZ$32</v>
      </c>
      <c r="J1238" s="37" t="s">
        <v>2538</v>
      </c>
    </row>
    <row r="1239" spans="1:10" x14ac:dyDescent="0.25">
      <c r="A1239" s="32" t="s">
        <v>34</v>
      </c>
      <c r="B1239" s="32">
        <f>+B1238+1</f>
        <v>2044</v>
      </c>
      <c r="C1239" s="33" t="s">
        <v>11</v>
      </c>
      <c r="D1239" s="34" t="s">
        <v>1999</v>
      </c>
      <c r="E1239" s="35" t="str">
        <f t="shared" ref="E1239:E1254" si="297">_xlfn.CONCAT(A1239,"'!")</f>
        <v>PS'!</v>
      </c>
      <c r="F1239" s="34" t="str">
        <f t="shared" ref="F1239:F1254" si="298">_xlfn.CONCAT(D1239:E1239)</f>
        <v>C:\Users\jaime.benazar\Quorum Business Solutions\Ecopetrol Prometeo - Documents\Planning Space Implementation\3. Analysis &amp; Design\Design\FC22\DRR Jaime\QUIFA-CAJÚA\Cajua\[CAJUA_CF_SEC_New_27-Feb-2024Rev3.xlsx]D-PS'!</v>
      </c>
      <c r="G1239" s="32" t="s">
        <v>112</v>
      </c>
      <c r="H1239" s="33">
        <f t="shared" ref="H1239:H1254" si="299">IF(A1239&lt;&gt;A1238,12,H1238+1)</f>
        <v>33</v>
      </c>
      <c r="I1239" s="33" t="str">
        <f t="shared" ref="I1239:I1254" si="300">_xlfn.CONCAT("='",F1239:H1239)</f>
        <v>='C:\Users\jaime.benazar\Quorum Business Solutions\Ecopetrol Prometeo - Documents\Planning Space Implementation\3. Analysis &amp; Design\Design\FC22\DRR Jaime\QUIFA-CAJÚA\Cajua\[CAJUA_CF_SEC_New_27-Feb-2024Rev3.xlsx]D-PS'!$BZ$33</v>
      </c>
      <c r="J1239" s="37" t="s">
        <v>2539</v>
      </c>
    </row>
    <row r="1240" spans="1:10" x14ac:dyDescent="0.25">
      <c r="A1240" s="32" t="s">
        <v>34</v>
      </c>
      <c r="B1240" s="32">
        <f t="shared" ref="B1240:B1254" si="301">+B1239+1</f>
        <v>2045</v>
      </c>
      <c r="C1240" s="33" t="s">
        <v>11</v>
      </c>
      <c r="D1240" s="34" t="s">
        <v>1999</v>
      </c>
      <c r="E1240" s="35" t="str">
        <f t="shared" si="297"/>
        <v>PS'!</v>
      </c>
      <c r="F1240" s="34" t="str">
        <f t="shared" si="298"/>
        <v>C:\Users\jaime.benazar\Quorum Business Solutions\Ecopetrol Prometeo - Documents\Planning Space Implementation\3. Analysis &amp; Design\Design\FC22\DRR Jaime\QUIFA-CAJÚA\Cajua\[CAJUA_CF_SEC_New_27-Feb-2024Rev3.xlsx]D-PS'!</v>
      </c>
      <c r="G1240" s="32" t="s">
        <v>112</v>
      </c>
      <c r="H1240" s="33">
        <f t="shared" si="299"/>
        <v>34</v>
      </c>
      <c r="I1240" s="33" t="str">
        <f t="shared" si="300"/>
        <v>='C:\Users\jaime.benazar\Quorum Business Solutions\Ecopetrol Prometeo - Documents\Planning Space Implementation\3. Analysis &amp; Design\Design\FC22\DRR Jaime\QUIFA-CAJÚA\Cajua\[CAJUA_CF_SEC_New_27-Feb-2024Rev3.xlsx]D-PS'!$BZ$34</v>
      </c>
      <c r="J1240" s="37" t="s">
        <v>2540</v>
      </c>
    </row>
    <row r="1241" spans="1:10" x14ac:dyDescent="0.25">
      <c r="A1241" s="32" t="s">
        <v>34</v>
      </c>
      <c r="B1241" s="32">
        <f t="shared" si="301"/>
        <v>2046</v>
      </c>
      <c r="C1241" s="33" t="s">
        <v>11</v>
      </c>
      <c r="D1241" s="34" t="s">
        <v>1999</v>
      </c>
      <c r="E1241" s="35" t="str">
        <f t="shared" si="297"/>
        <v>PS'!</v>
      </c>
      <c r="F1241" s="34" t="str">
        <f t="shared" si="298"/>
        <v>C:\Users\jaime.benazar\Quorum Business Solutions\Ecopetrol Prometeo - Documents\Planning Space Implementation\3. Analysis &amp; Design\Design\FC22\DRR Jaime\QUIFA-CAJÚA\Cajua\[CAJUA_CF_SEC_New_27-Feb-2024Rev3.xlsx]D-PS'!</v>
      </c>
      <c r="G1241" s="32" t="s">
        <v>112</v>
      </c>
      <c r="H1241" s="33">
        <f t="shared" si="299"/>
        <v>35</v>
      </c>
      <c r="I1241" s="33" t="str">
        <f t="shared" si="300"/>
        <v>='C:\Users\jaime.benazar\Quorum Business Solutions\Ecopetrol Prometeo - Documents\Planning Space Implementation\3. Analysis &amp; Design\Design\FC22\DRR Jaime\QUIFA-CAJÚA\Cajua\[CAJUA_CF_SEC_New_27-Feb-2024Rev3.xlsx]D-PS'!$BZ$35</v>
      </c>
      <c r="J1241" s="37" t="s">
        <v>2541</v>
      </c>
    </row>
    <row r="1242" spans="1:10" x14ac:dyDescent="0.25">
      <c r="A1242" s="32" t="s">
        <v>34</v>
      </c>
      <c r="B1242" s="32">
        <f t="shared" si="301"/>
        <v>2047</v>
      </c>
      <c r="C1242" s="33" t="s">
        <v>11</v>
      </c>
      <c r="D1242" s="34" t="s">
        <v>1999</v>
      </c>
      <c r="E1242" s="35" t="str">
        <f t="shared" si="297"/>
        <v>PS'!</v>
      </c>
      <c r="F1242" s="34" t="str">
        <f t="shared" si="298"/>
        <v>C:\Users\jaime.benazar\Quorum Business Solutions\Ecopetrol Prometeo - Documents\Planning Space Implementation\3. Analysis &amp; Design\Design\FC22\DRR Jaime\QUIFA-CAJÚA\Cajua\[CAJUA_CF_SEC_New_27-Feb-2024Rev3.xlsx]D-PS'!</v>
      </c>
      <c r="G1242" s="32" t="s">
        <v>112</v>
      </c>
      <c r="H1242" s="33">
        <f t="shared" si="299"/>
        <v>36</v>
      </c>
      <c r="I1242" s="33" t="str">
        <f t="shared" si="300"/>
        <v>='C:\Users\jaime.benazar\Quorum Business Solutions\Ecopetrol Prometeo - Documents\Planning Space Implementation\3. Analysis &amp; Design\Design\FC22\DRR Jaime\QUIFA-CAJÚA\Cajua\[CAJUA_CF_SEC_New_27-Feb-2024Rev3.xlsx]D-PS'!$BZ$36</v>
      </c>
      <c r="J1242" s="37" t="s">
        <v>2542</v>
      </c>
    </row>
    <row r="1243" spans="1:10" x14ac:dyDescent="0.25">
      <c r="A1243" s="32" t="s">
        <v>34</v>
      </c>
      <c r="B1243" s="32">
        <f t="shared" si="301"/>
        <v>2048</v>
      </c>
      <c r="C1243" s="33" t="s">
        <v>11</v>
      </c>
      <c r="D1243" s="34" t="s">
        <v>1999</v>
      </c>
      <c r="E1243" s="35" t="str">
        <f t="shared" si="297"/>
        <v>PS'!</v>
      </c>
      <c r="F1243" s="34" t="str">
        <f t="shared" si="298"/>
        <v>C:\Users\jaime.benazar\Quorum Business Solutions\Ecopetrol Prometeo - Documents\Planning Space Implementation\3. Analysis &amp; Design\Design\FC22\DRR Jaime\QUIFA-CAJÚA\Cajua\[CAJUA_CF_SEC_New_27-Feb-2024Rev3.xlsx]D-PS'!</v>
      </c>
      <c r="G1243" s="32" t="s">
        <v>112</v>
      </c>
      <c r="H1243" s="33">
        <f t="shared" si="299"/>
        <v>37</v>
      </c>
      <c r="I1243" s="33" t="str">
        <f t="shared" si="300"/>
        <v>='C:\Users\jaime.benazar\Quorum Business Solutions\Ecopetrol Prometeo - Documents\Planning Space Implementation\3. Analysis &amp; Design\Design\FC22\DRR Jaime\QUIFA-CAJÚA\Cajua\[CAJUA_CF_SEC_New_27-Feb-2024Rev3.xlsx]D-PS'!$BZ$37</v>
      </c>
      <c r="J1243" s="37" t="s">
        <v>2543</v>
      </c>
    </row>
    <row r="1244" spans="1:10" x14ac:dyDescent="0.25">
      <c r="A1244" s="32" t="s">
        <v>34</v>
      </c>
      <c r="B1244" s="32">
        <f t="shared" si="301"/>
        <v>2049</v>
      </c>
      <c r="C1244" s="33" t="s">
        <v>11</v>
      </c>
      <c r="D1244" s="34" t="s">
        <v>1999</v>
      </c>
      <c r="E1244" s="35" t="str">
        <f t="shared" si="297"/>
        <v>PS'!</v>
      </c>
      <c r="F1244" s="34" t="str">
        <f t="shared" si="298"/>
        <v>C:\Users\jaime.benazar\Quorum Business Solutions\Ecopetrol Prometeo - Documents\Planning Space Implementation\3. Analysis &amp; Design\Design\FC22\DRR Jaime\QUIFA-CAJÚA\Cajua\[CAJUA_CF_SEC_New_27-Feb-2024Rev3.xlsx]D-PS'!</v>
      </c>
      <c r="G1244" s="32" t="s">
        <v>112</v>
      </c>
      <c r="H1244" s="33">
        <f t="shared" si="299"/>
        <v>38</v>
      </c>
      <c r="I1244" s="33" t="str">
        <f t="shared" si="300"/>
        <v>='C:\Users\jaime.benazar\Quorum Business Solutions\Ecopetrol Prometeo - Documents\Planning Space Implementation\3. Analysis &amp; Design\Design\FC22\DRR Jaime\QUIFA-CAJÚA\Cajua\[CAJUA_CF_SEC_New_27-Feb-2024Rev3.xlsx]D-PS'!$BZ$38</v>
      </c>
      <c r="J1244" s="37" t="s">
        <v>2544</v>
      </c>
    </row>
    <row r="1245" spans="1:10" x14ac:dyDescent="0.25">
      <c r="A1245" s="32" t="s">
        <v>34</v>
      </c>
      <c r="B1245" s="32">
        <f t="shared" si="301"/>
        <v>2050</v>
      </c>
      <c r="C1245" s="33" t="s">
        <v>11</v>
      </c>
      <c r="D1245" s="34" t="s">
        <v>1999</v>
      </c>
      <c r="E1245" s="35" t="str">
        <f t="shared" si="297"/>
        <v>PS'!</v>
      </c>
      <c r="F1245" s="34" t="str">
        <f t="shared" si="298"/>
        <v>C:\Users\jaime.benazar\Quorum Business Solutions\Ecopetrol Prometeo - Documents\Planning Space Implementation\3. Analysis &amp; Design\Design\FC22\DRR Jaime\QUIFA-CAJÚA\Cajua\[CAJUA_CF_SEC_New_27-Feb-2024Rev3.xlsx]D-PS'!</v>
      </c>
      <c r="G1245" s="32" t="s">
        <v>112</v>
      </c>
      <c r="H1245" s="33">
        <f t="shared" si="299"/>
        <v>39</v>
      </c>
      <c r="I1245" s="33" t="str">
        <f t="shared" si="300"/>
        <v>='C:\Users\jaime.benazar\Quorum Business Solutions\Ecopetrol Prometeo - Documents\Planning Space Implementation\3. Analysis &amp; Design\Design\FC22\DRR Jaime\QUIFA-CAJÚA\Cajua\[CAJUA_CF_SEC_New_27-Feb-2024Rev3.xlsx]D-PS'!$BZ$39</v>
      </c>
      <c r="J1245" s="37" t="s">
        <v>2545</v>
      </c>
    </row>
    <row r="1246" spans="1:10" x14ac:dyDescent="0.25">
      <c r="A1246" s="32" t="s">
        <v>34</v>
      </c>
      <c r="B1246" s="32">
        <f t="shared" si="301"/>
        <v>2051</v>
      </c>
      <c r="C1246" s="33" t="s">
        <v>11</v>
      </c>
      <c r="D1246" s="34" t="s">
        <v>1999</v>
      </c>
      <c r="E1246" s="35" t="str">
        <f t="shared" si="297"/>
        <v>PS'!</v>
      </c>
      <c r="F1246" s="34" t="str">
        <f t="shared" si="298"/>
        <v>C:\Users\jaime.benazar\Quorum Business Solutions\Ecopetrol Prometeo - Documents\Planning Space Implementation\3. Analysis &amp; Design\Design\FC22\DRR Jaime\QUIFA-CAJÚA\Cajua\[CAJUA_CF_SEC_New_27-Feb-2024Rev3.xlsx]D-PS'!</v>
      </c>
      <c r="G1246" s="32" t="s">
        <v>112</v>
      </c>
      <c r="H1246" s="33">
        <f t="shared" si="299"/>
        <v>40</v>
      </c>
      <c r="I1246" s="33" t="str">
        <f t="shared" si="300"/>
        <v>='C:\Users\jaime.benazar\Quorum Business Solutions\Ecopetrol Prometeo - Documents\Planning Space Implementation\3. Analysis &amp; Design\Design\FC22\DRR Jaime\QUIFA-CAJÚA\Cajua\[CAJUA_CF_SEC_New_27-Feb-2024Rev3.xlsx]D-PS'!$BZ$40</v>
      </c>
      <c r="J1246" s="37" t="s">
        <v>2546</v>
      </c>
    </row>
    <row r="1247" spans="1:10" x14ac:dyDescent="0.25">
      <c r="A1247" s="32" t="s">
        <v>34</v>
      </c>
      <c r="B1247" s="32">
        <f t="shared" si="301"/>
        <v>2052</v>
      </c>
      <c r="C1247" s="33" t="s">
        <v>11</v>
      </c>
      <c r="D1247" s="34" t="s">
        <v>1999</v>
      </c>
      <c r="E1247" s="35" t="str">
        <f t="shared" si="297"/>
        <v>PS'!</v>
      </c>
      <c r="F1247" s="34" t="str">
        <f t="shared" si="298"/>
        <v>C:\Users\jaime.benazar\Quorum Business Solutions\Ecopetrol Prometeo - Documents\Planning Space Implementation\3. Analysis &amp; Design\Design\FC22\DRR Jaime\QUIFA-CAJÚA\Cajua\[CAJUA_CF_SEC_New_27-Feb-2024Rev3.xlsx]D-PS'!</v>
      </c>
      <c r="G1247" s="32" t="s">
        <v>112</v>
      </c>
      <c r="H1247" s="33">
        <f t="shared" si="299"/>
        <v>41</v>
      </c>
      <c r="I1247" s="33" t="str">
        <f t="shared" si="300"/>
        <v>='C:\Users\jaime.benazar\Quorum Business Solutions\Ecopetrol Prometeo - Documents\Planning Space Implementation\3. Analysis &amp; Design\Design\FC22\DRR Jaime\QUIFA-CAJÚA\Cajua\[CAJUA_CF_SEC_New_27-Feb-2024Rev3.xlsx]D-PS'!$BZ$41</v>
      </c>
      <c r="J1247" s="37" t="s">
        <v>2547</v>
      </c>
    </row>
    <row r="1248" spans="1:10" x14ac:dyDescent="0.25">
      <c r="A1248" s="32" t="s">
        <v>34</v>
      </c>
      <c r="B1248" s="32">
        <f t="shared" si="301"/>
        <v>2053</v>
      </c>
      <c r="C1248" s="33" t="s">
        <v>11</v>
      </c>
      <c r="D1248" s="34" t="s">
        <v>1999</v>
      </c>
      <c r="E1248" s="35" t="str">
        <f t="shared" si="297"/>
        <v>PS'!</v>
      </c>
      <c r="F1248" s="34" t="str">
        <f t="shared" si="298"/>
        <v>C:\Users\jaime.benazar\Quorum Business Solutions\Ecopetrol Prometeo - Documents\Planning Space Implementation\3. Analysis &amp; Design\Design\FC22\DRR Jaime\QUIFA-CAJÚA\Cajua\[CAJUA_CF_SEC_New_27-Feb-2024Rev3.xlsx]D-PS'!</v>
      </c>
      <c r="G1248" s="32" t="s">
        <v>112</v>
      </c>
      <c r="H1248" s="33">
        <f t="shared" si="299"/>
        <v>42</v>
      </c>
      <c r="I1248" s="33" t="str">
        <f t="shared" si="300"/>
        <v>='C:\Users\jaime.benazar\Quorum Business Solutions\Ecopetrol Prometeo - Documents\Planning Space Implementation\3. Analysis &amp; Design\Design\FC22\DRR Jaime\QUIFA-CAJÚA\Cajua\[CAJUA_CF_SEC_New_27-Feb-2024Rev3.xlsx]D-PS'!$BZ$42</v>
      </c>
      <c r="J1248" s="37" t="s">
        <v>2548</v>
      </c>
    </row>
    <row r="1249" spans="1:10" x14ac:dyDescent="0.25">
      <c r="A1249" s="32" t="s">
        <v>34</v>
      </c>
      <c r="B1249" s="32">
        <f t="shared" si="301"/>
        <v>2054</v>
      </c>
      <c r="C1249" s="33" t="s">
        <v>11</v>
      </c>
      <c r="D1249" s="34" t="s">
        <v>1999</v>
      </c>
      <c r="E1249" s="35" t="str">
        <f t="shared" si="297"/>
        <v>PS'!</v>
      </c>
      <c r="F1249" s="34" t="str">
        <f t="shared" si="298"/>
        <v>C:\Users\jaime.benazar\Quorum Business Solutions\Ecopetrol Prometeo - Documents\Planning Space Implementation\3. Analysis &amp; Design\Design\FC22\DRR Jaime\QUIFA-CAJÚA\Cajua\[CAJUA_CF_SEC_New_27-Feb-2024Rev3.xlsx]D-PS'!</v>
      </c>
      <c r="G1249" s="32" t="s">
        <v>112</v>
      </c>
      <c r="H1249" s="33">
        <f t="shared" si="299"/>
        <v>43</v>
      </c>
      <c r="I1249" s="33" t="str">
        <f t="shared" si="300"/>
        <v>='C:\Users\jaime.benazar\Quorum Business Solutions\Ecopetrol Prometeo - Documents\Planning Space Implementation\3. Analysis &amp; Design\Design\FC22\DRR Jaime\QUIFA-CAJÚA\Cajua\[CAJUA_CF_SEC_New_27-Feb-2024Rev3.xlsx]D-PS'!$BZ$43</v>
      </c>
      <c r="J1249" s="37" t="s">
        <v>2549</v>
      </c>
    </row>
    <row r="1250" spans="1:10" x14ac:dyDescent="0.25">
      <c r="A1250" s="32" t="s">
        <v>34</v>
      </c>
      <c r="B1250" s="32">
        <f t="shared" si="301"/>
        <v>2055</v>
      </c>
      <c r="C1250" s="33" t="s">
        <v>11</v>
      </c>
      <c r="D1250" s="34" t="s">
        <v>1999</v>
      </c>
      <c r="E1250" s="35" t="str">
        <f t="shared" si="297"/>
        <v>PS'!</v>
      </c>
      <c r="F1250" s="34" t="str">
        <f t="shared" si="298"/>
        <v>C:\Users\jaime.benazar\Quorum Business Solutions\Ecopetrol Prometeo - Documents\Planning Space Implementation\3. Analysis &amp; Design\Design\FC22\DRR Jaime\QUIFA-CAJÚA\Cajua\[CAJUA_CF_SEC_New_27-Feb-2024Rev3.xlsx]D-PS'!</v>
      </c>
      <c r="G1250" s="32" t="s">
        <v>112</v>
      </c>
      <c r="H1250" s="33">
        <f t="shared" si="299"/>
        <v>44</v>
      </c>
      <c r="I1250" s="33" t="str">
        <f t="shared" si="300"/>
        <v>='C:\Users\jaime.benazar\Quorum Business Solutions\Ecopetrol Prometeo - Documents\Planning Space Implementation\3. Analysis &amp; Design\Design\FC22\DRR Jaime\QUIFA-CAJÚA\Cajua\[CAJUA_CF_SEC_New_27-Feb-2024Rev3.xlsx]D-PS'!$BZ$44</v>
      </c>
      <c r="J1250" s="37" t="s">
        <v>2550</v>
      </c>
    </row>
    <row r="1251" spans="1:10" x14ac:dyDescent="0.25">
      <c r="A1251" s="32" t="s">
        <v>34</v>
      </c>
      <c r="B1251" s="32">
        <f t="shared" si="301"/>
        <v>2056</v>
      </c>
      <c r="C1251" s="33" t="s">
        <v>11</v>
      </c>
      <c r="D1251" s="34" t="s">
        <v>1999</v>
      </c>
      <c r="E1251" s="35" t="str">
        <f t="shared" si="297"/>
        <v>PS'!</v>
      </c>
      <c r="F1251" s="34" t="str">
        <f t="shared" si="298"/>
        <v>C:\Users\jaime.benazar\Quorum Business Solutions\Ecopetrol Prometeo - Documents\Planning Space Implementation\3. Analysis &amp; Design\Design\FC22\DRR Jaime\QUIFA-CAJÚA\Cajua\[CAJUA_CF_SEC_New_27-Feb-2024Rev3.xlsx]D-PS'!</v>
      </c>
      <c r="G1251" s="32" t="s">
        <v>112</v>
      </c>
      <c r="H1251" s="33">
        <f t="shared" si="299"/>
        <v>45</v>
      </c>
      <c r="I1251" s="33" t="str">
        <f t="shared" si="300"/>
        <v>='C:\Users\jaime.benazar\Quorum Business Solutions\Ecopetrol Prometeo - Documents\Planning Space Implementation\3. Analysis &amp; Design\Design\FC22\DRR Jaime\QUIFA-CAJÚA\Cajua\[CAJUA_CF_SEC_New_27-Feb-2024Rev3.xlsx]D-PS'!$BZ$45</v>
      </c>
      <c r="J1251" s="37" t="s">
        <v>2551</v>
      </c>
    </row>
    <row r="1252" spans="1:10" x14ac:dyDescent="0.25">
      <c r="A1252" s="32" t="s">
        <v>34</v>
      </c>
      <c r="B1252" s="32">
        <f t="shared" si="301"/>
        <v>2057</v>
      </c>
      <c r="C1252" s="33" t="s">
        <v>11</v>
      </c>
      <c r="D1252" s="34" t="s">
        <v>1999</v>
      </c>
      <c r="E1252" s="35" t="str">
        <f t="shared" si="297"/>
        <v>PS'!</v>
      </c>
      <c r="F1252" s="34" t="str">
        <f t="shared" si="298"/>
        <v>C:\Users\jaime.benazar\Quorum Business Solutions\Ecopetrol Prometeo - Documents\Planning Space Implementation\3. Analysis &amp; Design\Design\FC22\DRR Jaime\QUIFA-CAJÚA\Cajua\[CAJUA_CF_SEC_New_27-Feb-2024Rev3.xlsx]D-PS'!</v>
      </c>
      <c r="G1252" s="32" t="s">
        <v>112</v>
      </c>
      <c r="H1252" s="33">
        <f t="shared" si="299"/>
        <v>46</v>
      </c>
      <c r="I1252" s="33" t="str">
        <f t="shared" si="300"/>
        <v>='C:\Users\jaime.benazar\Quorum Business Solutions\Ecopetrol Prometeo - Documents\Planning Space Implementation\3. Analysis &amp; Design\Design\FC22\DRR Jaime\QUIFA-CAJÚA\Cajua\[CAJUA_CF_SEC_New_27-Feb-2024Rev3.xlsx]D-PS'!$BZ$46</v>
      </c>
      <c r="J1252" s="37" t="s">
        <v>2552</v>
      </c>
    </row>
    <row r="1253" spans="1:10" x14ac:dyDescent="0.25">
      <c r="A1253" s="32" t="s">
        <v>34</v>
      </c>
      <c r="B1253" s="32">
        <f t="shared" si="301"/>
        <v>2058</v>
      </c>
      <c r="C1253" s="33" t="s">
        <v>11</v>
      </c>
      <c r="D1253" s="34" t="s">
        <v>1999</v>
      </c>
      <c r="E1253" s="35" t="str">
        <f t="shared" si="297"/>
        <v>PS'!</v>
      </c>
      <c r="F1253" s="34" t="str">
        <f t="shared" si="298"/>
        <v>C:\Users\jaime.benazar\Quorum Business Solutions\Ecopetrol Prometeo - Documents\Planning Space Implementation\3. Analysis &amp; Design\Design\FC22\DRR Jaime\QUIFA-CAJÚA\Cajua\[CAJUA_CF_SEC_New_27-Feb-2024Rev3.xlsx]D-PS'!</v>
      </c>
      <c r="G1253" s="32" t="s">
        <v>112</v>
      </c>
      <c r="H1253" s="33">
        <f t="shared" si="299"/>
        <v>47</v>
      </c>
      <c r="I1253" s="33" t="str">
        <f t="shared" si="300"/>
        <v>='C:\Users\jaime.benazar\Quorum Business Solutions\Ecopetrol Prometeo - Documents\Planning Space Implementation\3. Analysis &amp; Design\Design\FC22\DRR Jaime\QUIFA-CAJÚA\Cajua\[CAJUA_CF_SEC_New_27-Feb-2024Rev3.xlsx]D-PS'!$BZ$47</v>
      </c>
      <c r="J1253" s="37" t="s">
        <v>2553</v>
      </c>
    </row>
    <row r="1254" spans="1:10" x14ac:dyDescent="0.25">
      <c r="A1254" s="32" t="s">
        <v>34</v>
      </c>
      <c r="B1254" s="32">
        <f t="shared" si="301"/>
        <v>2059</v>
      </c>
      <c r="C1254" s="33" t="s">
        <v>11</v>
      </c>
      <c r="D1254" s="34" t="s">
        <v>1999</v>
      </c>
      <c r="E1254" s="35" t="str">
        <f t="shared" si="297"/>
        <v>PS'!</v>
      </c>
      <c r="F1254" s="34" t="str">
        <f t="shared" si="298"/>
        <v>C:\Users\jaime.benazar\Quorum Business Solutions\Ecopetrol Prometeo - Documents\Planning Space Implementation\3. Analysis &amp; Design\Design\FC22\DRR Jaime\QUIFA-CAJÚA\Cajua\[CAJUA_CF_SEC_New_27-Feb-2024Rev3.xlsx]D-PS'!</v>
      </c>
      <c r="G1254" s="32" t="s">
        <v>112</v>
      </c>
      <c r="H1254" s="33">
        <f t="shared" si="299"/>
        <v>48</v>
      </c>
      <c r="I1254" s="33" t="str">
        <f t="shared" si="300"/>
        <v>='C:\Users\jaime.benazar\Quorum Business Solutions\Ecopetrol Prometeo - Documents\Planning Space Implementation\3. Analysis &amp; Design\Design\FC22\DRR Jaime\QUIFA-CAJÚA\Cajua\[CAJUA_CF_SEC_New_27-Feb-2024Rev3.xlsx]D-PS'!$BZ$48</v>
      </c>
      <c r="J1254" s="37" t="s">
        <v>2554</v>
      </c>
    </row>
    <row r="1255" spans="1:10" x14ac:dyDescent="0.25">
      <c r="A1255" s="32" t="s">
        <v>28</v>
      </c>
      <c r="B1255" s="32"/>
      <c r="C1255" s="33" t="s">
        <v>11</v>
      </c>
      <c r="D1255" s="34"/>
      <c r="E1255" s="35"/>
      <c r="F1255" s="34"/>
      <c r="G1255" s="32"/>
      <c r="H1255" s="33"/>
      <c r="I1255" s="33"/>
      <c r="J1255" s="33"/>
    </row>
    <row r="1256" spans="1:10" x14ac:dyDescent="0.2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Jaime\QUIFA-CAJÚA\Cajua\[CAJUA_CF_SEC_New_27-Feb-2024Rev3.xlsx]D-PDP'!</v>
      </c>
      <c r="G1256" s="32" t="s">
        <v>113</v>
      </c>
      <c r="H1256" s="33">
        <v>12</v>
      </c>
      <c r="I1256" s="33" t="str">
        <f>_xlfn.CONCAT("='",F1256:H1256)</f>
        <v>='C:\Users\jaime.benazar\Quorum Business Solutions\Ecopetrol Prometeo - Documents\Planning Space Implementation\3. Analysis &amp; Design\Design\FC22\DRR Jaime\QUIFA-CAJÚA\Cajua\[CAJUA_CF_SEC_New_27-Feb-2024Rev3.xlsx]D-PDP'!$CA$12</v>
      </c>
      <c r="J1256" s="37" t="s">
        <v>2555</v>
      </c>
    </row>
    <row r="1257" spans="1:10" x14ac:dyDescent="0.25">
      <c r="A1257" s="32" t="s">
        <v>1</v>
      </c>
      <c r="B1257" s="32">
        <f>+B1256+1</f>
        <v>2024</v>
      </c>
      <c r="C1257" s="33" t="s">
        <v>14</v>
      </c>
      <c r="D1257" s="34" t="s">
        <v>1999</v>
      </c>
      <c r="E1257" s="35" t="str">
        <f t="shared" ref="E1257:E1350" si="302">_xlfn.CONCAT(A1257,"'!")</f>
        <v>PDP'!</v>
      </c>
      <c r="F1257" s="34" t="str">
        <f t="shared" ref="F1257:F1350" si="303">_xlfn.CONCAT(D1257:E1257)</f>
        <v>C:\Users\jaime.benazar\Quorum Business Solutions\Ecopetrol Prometeo - Documents\Planning Space Implementation\3. Analysis &amp; Design\Design\FC22\DRR Jaime\QUIFA-CAJÚA\Cajua\[CAJUA_CF_SEC_New_27-Feb-2024Rev3.xlsx]D-PDP'!</v>
      </c>
      <c r="G1257" s="32" t="s">
        <v>113</v>
      </c>
      <c r="H1257" s="33">
        <f t="shared" ref="H1257:H1276" si="304">IF(A1257&lt;&gt;A1256,12,H1256+1)</f>
        <v>13</v>
      </c>
      <c r="I1257" s="33" t="str">
        <f t="shared" ref="I1257:I1350" si="305">_xlfn.CONCAT("='",F1257:H1257)</f>
        <v>='C:\Users\jaime.benazar\Quorum Business Solutions\Ecopetrol Prometeo - Documents\Planning Space Implementation\3. Analysis &amp; Design\Design\FC22\DRR Jaime\QUIFA-CAJÚA\Cajua\[CAJUA_CF_SEC_New_27-Feb-2024Rev3.xlsx]D-PDP'!$CA$13</v>
      </c>
      <c r="J1257" s="37" t="s">
        <v>2556</v>
      </c>
    </row>
    <row r="1258" spans="1:10" x14ac:dyDescent="0.25">
      <c r="A1258" s="32" t="s">
        <v>1</v>
      </c>
      <c r="B1258" s="32">
        <f t="shared" ref="B1258:B1269" si="306">+B1257+1</f>
        <v>2025</v>
      </c>
      <c r="C1258" s="33" t="s">
        <v>14</v>
      </c>
      <c r="D1258" s="34" t="s">
        <v>1999</v>
      </c>
      <c r="E1258" s="35" t="str">
        <f t="shared" si="302"/>
        <v>PDP'!</v>
      </c>
      <c r="F1258" s="34" t="str">
        <f t="shared" si="303"/>
        <v>C:\Users\jaime.benazar\Quorum Business Solutions\Ecopetrol Prometeo - Documents\Planning Space Implementation\3. Analysis &amp; Design\Design\FC22\DRR Jaime\QUIFA-CAJÚA\Cajua\[CAJUA_CF_SEC_New_27-Feb-2024Rev3.xlsx]D-PDP'!</v>
      </c>
      <c r="G1258" s="32" t="s">
        <v>113</v>
      </c>
      <c r="H1258" s="33">
        <f t="shared" si="304"/>
        <v>14</v>
      </c>
      <c r="I1258" s="33" t="str">
        <f t="shared" si="305"/>
        <v>='C:\Users\jaime.benazar\Quorum Business Solutions\Ecopetrol Prometeo - Documents\Planning Space Implementation\3. Analysis &amp; Design\Design\FC22\DRR Jaime\QUIFA-CAJÚA\Cajua\[CAJUA_CF_SEC_New_27-Feb-2024Rev3.xlsx]D-PDP'!$CA$14</v>
      </c>
      <c r="J1258" s="37" t="s">
        <v>2557</v>
      </c>
    </row>
    <row r="1259" spans="1:10" x14ac:dyDescent="0.25">
      <c r="A1259" s="32" t="s">
        <v>1</v>
      </c>
      <c r="B1259" s="32">
        <f t="shared" si="306"/>
        <v>2026</v>
      </c>
      <c r="C1259" s="33" t="s">
        <v>14</v>
      </c>
      <c r="D1259" s="34" t="s">
        <v>1999</v>
      </c>
      <c r="E1259" s="35" t="str">
        <f t="shared" si="302"/>
        <v>PDP'!</v>
      </c>
      <c r="F1259" s="34" t="str">
        <f t="shared" si="303"/>
        <v>C:\Users\jaime.benazar\Quorum Business Solutions\Ecopetrol Prometeo - Documents\Planning Space Implementation\3. Analysis &amp; Design\Design\FC22\DRR Jaime\QUIFA-CAJÚA\Cajua\[CAJUA_CF_SEC_New_27-Feb-2024Rev3.xlsx]D-PDP'!</v>
      </c>
      <c r="G1259" s="32" t="s">
        <v>113</v>
      </c>
      <c r="H1259" s="33">
        <f t="shared" si="304"/>
        <v>15</v>
      </c>
      <c r="I1259" s="33" t="str">
        <f t="shared" si="305"/>
        <v>='C:\Users\jaime.benazar\Quorum Business Solutions\Ecopetrol Prometeo - Documents\Planning Space Implementation\3. Analysis &amp; Design\Design\FC22\DRR Jaime\QUIFA-CAJÚA\Cajua\[CAJUA_CF_SEC_New_27-Feb-2024Rev3.xlsx]D-PDP'!$CA$15</v>
      </c>
      <c r="J1259" s="37" t="s">
        <v>2558</v>
      </c>
    </row>
    <row r="1260" spans="1:10" x14ac:dyDescent="0.25">
      <c r="A1260" s="32" t="s">
        <v>1</v>
      </c>
      <c r="B1260" s="32">
        <f t="shared" si="306"/>
        <v>2027</v>
      </c>
      <c r="C1260" s="33" t="s">
        <v>14</v>
      </c>
      <c r="D1260" s="34" t="s">
        <v>1999</v>
      </c>
      <c r="E1260" s="35" t="str">
        <f t="shared" si="302"/>
        <v>PDP'!</v>
      </c>
      <c r="F1260" s="34" t="str">
        <f t="shared" si="303"/>
        <v>C:\Users\jaime.benazar\Quorum Business Solutions\Ecopetrol Prometeo - Documents\Planning Space Implementation\3. Analysis &amp; Design\Design\FC22\DRR Jaime\QUIFA-CAJÚA\Cajua\[CAJUA_CF_SEC_New_27-Feb-2024Rev3.xlsx]D-PDP'!</v>
      </c>
      <c r="G1260" s="32" t="s">
        <v>113</v>
      </c>
      <c r="H1260" s="33">
        <f t="shared" si="304"/>
        <v>16</v>
      </c>
      <c r="I1260" s="33" t="str">
        <f t="shared" si="305"/>
        <v>='C:\Users\jaime.benazar\Quorum Business Solutions\Ecopetrol Prometeo - Documents\Planning Space Implementation\3. Analysis &amp; Design\Design\FC22\DRR Jaime\QUIFA-CAJÚA\Cajua\[CAJUA_CF_SEC_New_27-Feb-2024Rev3.xlsx]D-PDP'!$CA$16</v>
      </c>
      <c r="J1260" s="37" t="s">
        <v>2559</v>
      </c>
    </row>
    <row r="1261" spans="1:10" x14ac:dyDescent="0.25">
      <c r="A1261" s="32" t="s">
        <v>1</v>
      </c>
      <c r="B1261" s="32">
        <f t="shared" si="306"/>
        <v>2028</v>
      </c>
      <c r="C1261" s="33" t="s">
        <v>14</v>
      </c>
      <c r="D1261" s="34" t="s">
        <v>1999</v>
      </c>
      <c r="E1261" s="35" t="str">
        <f t="shared" si="302"/>
        <v>PDP'!</v>
      </c>
      <c r="F1261" s="34" t="str">
        <f t="shared" si="303"/>
        <v>C:\Users\jaime.benazar\Quorum Business Solutions\Ecopetrol Prometeo - Documents\Planning Space Implementation\3. Analysis &amp; Design\Design\FC22\DRR Jaime\QUIFA-CAJÚA\Cajua\[CAJUA_CF_SEC_New_27-Feb-2024Rev3.xlsx]D-PDP'!</v>
      </c>
      <c r="G1261" s="32" t="s">
        <v>113</v>
      </c>
      <c r="H1261" s="33">
        <f t="shared" si="304"/>
        <v>17</v>
      </c>
      <c r="I1261" s="33" t="str">
        <f t="shared" si="305"/>
        <v>='C:\Users\jaime.benazar\Quorum Business Solutions\Ecopetrol Prometeo - Documents\Planning Space Implementation\3. Analysis &amp; Design\Design\FC22\DRR Jaime\QUIFA-CAJÚA\Cajua\[CAJUA_CF_SEC_New_27-Feb-2024Rev3.xlsx]D-PDP'!$CA$17</v>
      </c>
      <c r="J1261" s="37" t="s">
        <v>2560</v>
      </c>
    </row>
    <row r="1262" spans="1:10" x14ac:dyDescent="0.25">
      <c r="A1262" s="32" t="s">
        <v>1</v>
      </c>
      <c r="B1262" s="32">
        <f t="shared" si="306"/>
        <v>2029</v>
      </c>
      <c r="C1262" s="33" t="s">
        <v>14</v>
      </c>
      <c r="D1262" s="34" t="s">
        <v>1999</v>
      </c>
      <c r="E1262" s="35" t="str">
        <f t="shared" si="302"/>
        <v>PDP'!</v>
      </c>
      <c r="F1262" s="34" t="str">
        <f t="shared" si="303"/>
        <v>C:\Users\jaime.benazar\Quorum Business Solutions\Ecopetrol Prometeo - Documents\Planning Space Implementation\3. Analysis &amp; Design\Design\FC22\DRR Jaime\QUIFA-CAJÚA\Cajua\[CAJUA_CF_SEC_New_27-Feb-2024Rev3.xlsx]D-PDP'!</v>
      </c>
      <c r="G1262" s="32" t="s">
        <v>113</v>
      </c>
      <c r="H1262" s="33">
        <f t="shared" si="304"/>
        <v>18</v>
      </c>
      <c r="I1262" s="33" t="str">
        <f t="shared" si="305"/>
        <v>='C:\Users\jaime.benazar\Quorum Business Solutions\Ecopetrol Prometeo - Documents\Planning Space Implementation\3. Analysis &amp; Design\Design\FC22\DRR Jaime\QUIFA-CAJÚA\Cajua\[CAJUA_CF_SEC_New_27-Feb-2024Rev3.xlsx]D-PDP'!$CA$18</v>
      </c>
      <c r="J1262" s="37" t="s">
        <v>2561</v>
      </c>
    </row>
    <row r="1263" spans="1:10" x14ac:dyDescent="0.25">
      <c r="A1263" s="32" t="s">
        <v>1</v>
      </c>
      <c r="B1263" s="32">
        <f t="shared" si="306"/>
        <v>2030</v>
      </c>
      <c r="C1263" s="33" t="s">
        <v>14</v>
      </c>
      <c r="D1263" s="34" t="s">
        <v>1999</v>
      </c>
      <c r="E1263" s="35" t="str">
        <f t="shared" si="302"/>
        <v>PDP'!</v>
      </c>
      <c r="F1263" s="34" t="str">
        <f t="shared" si="303"/>
        <v>C:\Users\jaime.benazar\Quorum Business Solutions\Ecopetrol Prometeo - Documents\Planning Space Implementation\3. Analysis &amp; Design\Design\FC22\DRR Jaime\QUIFA-CAJÚA\Cajua\[CAJUA_CF_SEC_New_27-Feb-2024Rev3.xlsx]D-PDP'!</v>
      </c>
      <c r="G1263" s="32" t="s">
        <v>113</v>
      </c>
      <c r="H1263" s="33">
        <f t="shared" si="304"/>
        <v>19</v>
      </c>
      <c r="I1263" s="33" t="str">
        <f t="shared" si="305"/>
        <v>='C:\Users\jaime.benazar\Quorum Business Solutions\Ecopetrol Prometeo - Documents\Planning Space Implementation\3. Analysis &amp; Design\Design\FC22\DRR Jaime\QUIFA-CAJÚA\Cajua\[CAJUA_CF_SEC_New_27-Feb-2024Rev3.xlsx]D-PDP'!$CA$19</v>
      </c>
      <c r="J1263" s="37" t="s">
        <v>2562</v>
      </c>
    </row>
    <row r="1264" spans="1:10" x14ac:dyDescent="0.25">
      <c r="A1264" s="32" t="s">
        <v>1</v>
      </c>
      <c r="B1264" s="32">
        <f t="shared" si="306"/>
        <v>2031</v>
      </c>
      <c r="C1264" s="33" t="s">
        <v>14</v>
      </c>
      <c r="D1264" s="34" t="s">
        <v>1999</v>
      </c>
      <c r="E1264" s="35" t="str">
        <f t="shared" si="302"/>
        <v>PDP'!</v>
      </c>
      <c r="F1264" s="34" t="str">
        <f t="shared" si="303"/>
        <v>C:\Users\jaime.benazar\Quorum Business Solutions\Ecopetrol Prometeo - Documents\Planning Space Implementation\3. Analysis &amp; Design\Design\FC22\DRR Jaime\QUIFA-CAJÚA\Cajua\[CAJUA_CF_SEC_New_27-Feb-2024Rev3.xlsx]D-PDP'!</v>
      </c>
      <c r="G1264" s="32" t="s">
        <v>113</v>
      </c>
      <c r="H1264" s="33">
        <f t="shared" si="304"/>
        <v>20</v>
      </c>
      <c r="I1264" s="33" t="str">
        <f t="shared" si="305"/>
        <v>='C:\Users\jaime.benazar\Quorum Business Solutions\Ecopetrol Prometeo - Documents\Planning Space Implementation\3. Analysis &amp; Design\Design\FC22\DRR Jaime\QUIFA-CAJÚA\Cajua\[CAJUA_CF_SEC_New_27-Feb-2024Rev3.xlsx]D-PDP'!$CA$20</v>
      </c>
      <c r="J1264" s="37" t="s">
        <v>2563</v>
      </c>
    </row>
    <row r="1265" spans="1:10" x14ac:dyDescent="0.25">
      <c r="A1265" s="32" t="s">
        <v>1</v>
      </c>
      <c r="B1265" s="32">
        <f t="shared" si="306"/>
        <v>2032</v>
      </c>
      <c r="C1265" s="33" t="s">
        <v>14</v>
      </c>
      <c r="D1265" s="34" t="s">
        <v>1999</v>
      </c>
      <c r="E1265" s="35" t="str">
        <f t="shared" si="302"/>
        <v>PDP'!</v>
      </c>
      <c r="F1265" s="34" t="str">
        <f t="shared" si="303"/>
        <v>C:\Users\jaime.benazar\Quorum Business Solutions\Ecopetrol Prometeo - Documents\Planning Space Implementation\3. Analysis &amp; Design\Design\FC22\DRR Jaime\QUIFA-CAJÚA\Cajua\[CAJUA_CF_SEC_New_27-Feb-2024Rev3.xlsx]D-PDP'!</v>
      </c>
      <c r="G1265" s="32" t="s">
        <v>113</v>
      </c>
      <c r="H1265" s="33">
        <f t="shared" si="304"/>
        <v>21</v>
      </c>
      <c r="I1265" s="33" t="str">
        <f t="shared" si="305"/>
        <v>='C:\Users\jaime.benazar\Quorum Business Solutions\Ecopetrol Prometeo - Documents\Planning Space Implementation\3. Analysis &amp; Design\Design\FC22\DRR Jaime\QUIFA-CAJÚA\Cajua\[CAJUA_CF_SEC_New_27-Feb-2024Rev3.xlsx]D-PDP'!$CA$21</v>
      </c>
      <c r="J1265" s="37" t="s">
        <v>2564</v>
      </c>
    </row>
    <row r="1266" spans="1:10" x14ac:dyDescent="0.25">
      <c r="A1266" s="32" t="s">
        <v>1</v>
      </c>
      <c r="B1266" s="32">
        <f t="shared" si="306"/>
        <v>2033</v>
      </c>
      <c r="C1266" s="33" t="s">
        <v>14</v>
      </c>
      <c r="D1266" s="34" t="s">
        <v>1999</v>
      </c>
      <c r="E1266" s="35" t="str">
        <f t="shared" si="302"/>
        <v>PDP'!</v>
      </c>
      <c r="F1266" s="34" t="str">
        <f t="shared" si="303"/>
        <v>C:\Users\jaime.benazar\Quorum Business Solutions\Ecopetrol Prometeo - Documents\Planning Space Implementation\3. Analysis &amp; Design\Design\FC22\DRR Jaime\QUIFA-CAJÚA\Cajua\[CAJUA_CF_SEC_New_27-Feb-2024Rev3.xlsx]D-PDP'!</v>
      </c>
      <c r="G1266" s="32" t="s">
        <v>113</v>
      </c>
      <c r="H1266" s="33">
        <f t="shared" si="304"/>
        <v>22</v>
      </c>
      <c r="I1266" s="33" t="str">
        <f t="shared" si="305"/>
        <v>='C:\Users\jaime.benazar\Quorum Business Solutions\Ecopetrol Prometeo - Documents\Planning Space Implementation\3. Analysis &amp; Design\Design\FC22\DRR Jaime\QUIFA-CAJÚA\Cajua\[CAJUA_CF_SEC_New_27-Feb-2024Rev3.xlsx]D-PDP'!$CA$22</v>
      </c>
      <c r="J1266" s="37" t="s">
        <v>2565</v>
      </c>
    </row>
    <row r="1267" spans="1:10" x14ac:dyDescent="0.25">
      <c r="A1267" s="32" t="s">
        <v>1</v>
      </c>
      <c r="B1267" s="32">
        <f t="shared" si="306"/>
        <v>2034</v>
      </c>
      <c r="C1267" s="33" t="s">
        <v>14</v>
      </c>
      <c r="D1267" s="34" t="s">
        <v>1999</v>
      </c>
      <c r="E1267" s="35" t="str">
        <f t="shared" si="302"/>
        <v>PDP'!</v>
      </c>
      <c r="F1267" s="34" t="str">
        <f t="shared" si="303"/>
        <v>C:\Users\jaime.benazar\Quorum Business Solutions\Ecopetrol Prometeo - Documents\Planning Space Implementation\3. Analysis &amp; Design\Design\FC22\DRR Jaime\QUIFA-CAJÚA\Cajua\[CAJUA_CF_SEC_New_27-Feb-2024Rev3.xlsx]D-PDP'!</v>
      </c>
      <c r="G1267" s="32" t="s">
        <v>113</v>
      </c>
      <c r="H1267" s="33">
        <f t="shared" si="304"/>
        <v>23</v>
      </c>
      <c r="I1267" s="33" t="str">
        <f t="shared" si="305"/>
        <v>='C:\Users\jaime.benazar\Quorum Business Solutions\Ecopetrol Prometeo - Documents\Planning Space Implementation\3. Analysis &amp; Design\Design\FC22\DRR Jaime\QUIFA-CAJÚA\Cajua\[CAJUA_CF_SEC_New_27-Feb-2024Rev3.xlsx]D-PDP'!$CA$23</v>
      </c>
      <c r="J1267" s="37" t="s">
        <v>2566</v>
      </c>
    </row>
    <row r="1268" spans="1:10" x14ac:dyDescent="0.25">
      <c r="A1268" s="32" t="s">
        <v>1</v>
      </c>
      <c r="B1268" s="32">
        <f t="shared" si="306"/>
        <v>2035</v>
      </c>
      <c r="C1268" s="33" t="s">
        <v>14</v>
      </c>
      <c r="D1268" s="34" t="s">
        <v>1999</v>
      </c>
      <c r="E1268" s="35" t="str">
        <f t="shared" si="302"/>
        <v>PDP'!</v>
      </c>
      <c r="F1268" s="34" t="str">
        <f t="shared" si="303"/>
        <v>C:\Users\jaime.benazar\Quorum Business Solutions\Ecopetrol Prometeo - Documents\Planning Space Implementation\3. Analysis &amp; Design\Design\FC22\DRR Jaime\QUIFA-CAJÚA\Cajua\[CAJUA_CF_SEC_New_27-Feb-2024Rev3.xlsx]D-PDP'!</v>
      </c>
      <c r="G1268" s="32" t="s">
        <v>113</v>
      </c>
      <c r="H1268" s="33">
        <f t="shared" si="304"/>
        <v>24</v>
      </c>
      <c r="I1268" s="33" t="str">
        <f t="shared" si="305"/>
        <v>='C:\Users\jaime.benazar\Quorum Business Solutions\Ecopetrol Prometeo - Documents\Planning Space Implementation\3. Analysis &amp; Design\Design\FC22\DRR Jaime\QUIFA-CAJÚA\Cajua\[CAJUA_CF_SEC_New_27-Feb-2024Rev3.xlsx]D-PDP'!$CA$24</v>
      </c>
      <c r="J1268" s="37" t="s">
        <v>2567</v>
      </c>
    </row>
    <row r="1269" spans="1:10" x14ac:dyDescent="0.25">
      <c r="A1269" s="32" t="s">
        <v>1</v>
      </c>
      <c r="B1269" s="32">
        <f t="shared" si="306"/>
        <v>2036</v>
      </c>
      <c r="C1269" s="33" t="s">
        <v>14</v>
      </c>
      <c r="D1269" s="34" t="s">
        <v>1999</v>
      </c>
      <c r="E1269" s="35" t="str">
        <f t="shared" si="302"/>
        <v>PDP'!</v>
      </c>
      <c r="F1269" s="34" t="str">
        <f t="shared" si="303"/>
        <v>C:\Users\jaime.benazar\Quorum Business Solutions\Ecopetrol Prometeo - Documents\Planning Space Implementation\3. Analysis &amp; Design\Design\FC22\DRR Jaime\QUIFA-CAJÚA\Cajua\[CAJUA_CF_SEC_New_27-Feb-2024Rev3.xlsx]D-PDP'!</v>
      </c>
      <c r="G1269" s="32" t="s">
        <v>113</v>
      </c>
      <c r="H1269" s="33">
        <f t="shared" si="304"/>
        <v>25</v>
      </c>
      <c r="I1269" s="33" t="str">
        <f t="shared" si="305"/>
        <v>='C:\Users\jaime.benazar\Quorum Business Solutions\Ecopetrol Prometeo - Documents\Planning Space Implementation\3. Analysis &amp; Design\Design\FC22\DRR Jaime\QUIFA-CAJÚA\Cajua\[CAJUA_CF_SEC_New_27-Feb-2024Rev3.xlsx]D-PDP'!$CA$25</v>
      </c>
      <c r="J1269" s="37" t="s">
        <v>2568</v>
      </c>
    </row>
    <row r="1270" spans="1:10" x14ac:dyDescent="0.25">
      <c r="A1270" s="32" t="s">
        <v>1</v>
      </c>
      <c r="B1270" s="32">
        <f>+B1269+1</f>
        <v>2037</v>
      </c>
      <c r="C1270" s="33" t="s">
        <v>14</v>
      </c>
      <c r="D1270" s="34" t="s">
        <v>1999</v>
      </c>
      <c r="E1270" s="35" t="str">
        <f t="shared" si="302"/>
        <v>PDP'!</v>
      </c>
      <c r="F1270" s="34" t="str">
        <f t="shared" si="303"/>
        <v>C:\Users\jaime.benazar\Quorum Business Solutions\Ecopetrol Prometeo - Documents\Planning Space Implementation\3. Analysis &amp; Design\Design\FC22\DRR Jaime\QUIFA-CAJÚA\Cajua\[CAJUA_CF_SEC_New_27-Feb-2024Rev3.xlsx]D-PDP'!</v>
      </c>
      <c r="G1270" s="32" t="s">
        <v>113</v>
      </c>
      <c r="H1270" s="33">
        <f t="shared" si="304"/>
        <v>26</v>
      </c>
      <c r="I1270" s="33" t="str">
        <f t="shared" si="305"/>
        <v>='C:\Users\jaime.benazar\Quorum Business Solutions\Ecopetrol Prometeo - Documents\Planning Space Implementation\3. Analysis &amp; Design\Design\FC22\DRR Jaime\QUIFA-CAJÚA\Cajua\[CAJUA_CF_SEC_New_27-Feb-2024Rev3.xlsx]D-PDP'!$CA$26</v>
      </c>
      <c r="J1270" s="37" t="s">
        <v>2569</v>
      </c>
    </row>
    <row r="1271" spans="1:10" x14ac:dyDescent="0.25">
      <c r="A1271" s="32" t="s">
        <v>1</v>
      </c>
      <c r="B1271" s="32">
        <f t="shared" ref="B1271:B1273" si="307">+B1270+1</f>
        <v>2038</v>
      </c>
      <c r="C1271" s="33" t="s">
        <v>14</v>
      </c>
      <c r="D1271" s="34" t="s">
        <v>1999</v>
      </c>
      <c r="E1271" s="35" t="str">
        <f t="shared" si="302"/>
        <v>PDP'!</v>
      </c>
      <c r="F1271" s="34" t="str">
        <f t="shared" si="303"/>
        <v>C:\Users\jaime.benazar\Quorum Business Solutions\Ecopetrol Prometeo - Documents\Planning Space Implementation\3. Analysis &amp; Design\Design\FC22\DRR Jaime\QUIFA-CAJÚA\Cajua\[CAJUA_CF_SEC_New_27-Feb-2024Rev3.xlsx]D-PDP'!</v>
      </c>
      <c r="G1271" s="32" t="s">
        <v>113</v>
      </c>
      <c r="H1271" s="33">
        <f t="shared" si="304"/>
        <v>27</v>
      </c>
      <c r="I1271" s="33" t="str">
        <f t="shared" si="305"/>
        <v>='C:\Users\jaime.benazar\Quorum Business Solutions\Ecopetrol Prometeo - Documents\Planning Space Implementation\3. Analysis &amp; Design\Design\FC22\DRR Jaime\QUIFA-CAJÚA\Cajua\[CAJUA_CF_SEC_New_27-Feb-2024Rev3.xlsx]D-PDP'!$CA$27</v>
      </c>
      <c r="J1271" s="37" t="s">
        <v>2570</v>
      </c>
    </row>
    <row r="1272" spans="1:10" x14ac:dyDescent="0.25">
      <c r="A1272" s="32" t="s">
        <v>1</v>
      </c>
      <c r="B1272" s="32">
        <f t="shared" si="307"/>
        <v>2039</v>
      </c>
      <c r="C1272" s="33" t="s">
        <v>14</v>
      </c>
      <c r="D1272" s="34" t="s">
        <v>1999</v>
      </c>
      <c r="E1272" s="35" t="str">
        <f t="shared" si="302"/>
        <v>PDP'!</v>
      </c>
      <c r="F1272" s="34" t="str">
        <f t="shared" si="303"/>
        <v>C:\Users\jaime.benazar\Quorum Business Solutions\Ecopetrol Prometeo - Documents\Planning Space Implementation\3. Analysis &amp; Design\Design\FC22\DRR Jaime\QUIFA-CAJÚA\Cajua\[CAJUA_CF_SEC_New_27-Feb-2024Rev3.xlsx]D-PDP'!</v>
      </c>
      <c r="G1272" s="32" t="s">
        <v>113</v>
      </c>
      <c r="H1272" s="33">
        <f t="shared" si="304"/>
        <v>28</v>
      </c>
      <c r="I1272" s="33" t="str">
        <f t="shared" si="305"/>
        <v>='C:\Users\jaime.benazar\Quorum Business Solutions\Ecopetrol Prometeo - Documents\Planning Space Implementation\3. Analysis &amp; Design\Design\FC22\DRR Jaime\QUIFA-CAJÚA\Cajua\[CAJUA_CF_SEC_New_27-Feb-2024Rev3.xlsx]D-PDP'!$CA$28</v>
      </c>
      <c r="J1272" s="37" t="s">
        <v>2571</v>
      </c>
    </row>
    <row r="1273" spans="1:10" x14ac:dyDescent="0.25">
      <c r="A1273" s="32" t="s">
        <v>1</v>
      </c>
      <c r="B1273" s="32">
        <f t="shared" si="307"/>
        <v>2040</v>
      </c>
      <c r="C1273" s="33" t="s">
        <v>14</v>
      </c>
      <c r="D1273" s="34" t="s">
        <v>1999</v>
      </c>
      <c r="E1273" s="35" t="str">
        <f t="shared" si="302"/>
        <v>PDP'!</v>
      </c>
      <c r="F1273" s="34" t="str">
        <f t="shared" si="303"/>
        <v>C:\Users\jaime.benazar\Quorum Business Solutions\Ecopetrol Prometeo - Documents\Planning Space Implementation\3. Analysis &amp; Design\Design\FC22\DRR Jaime\QUIFA-CAJÚA\Cajua\[CAJUA_CF_SEC_New_27-Feb-2024Rev3.xlsx]D-PDP'!</v>
      </c>
      <c r="G1273" s="32" t="s">
        <v>113</v>
      </c>
      <c r="H1273" s="33">
        <f t="shared" si="304"/>
        <v>29</v>
      </c>
      <c r="I1273" s="33" t="str">
        <f t="shared" si="305"/>
        <v>='C:\Users\jaime.benazar\Quorum Business Solutions\Ecopetrol Prometeo - Documents\Planning Space Implementation\3. Analysis &amp; Design\Design\FC22\DRR Jaime\QUIFA-CAJÚA\Cajua\[CAJUA_CF_SEC_New_27-Feb-2024Rev3.xlsx]D-PDP'!$CA$29</v>
      </c>
      <c r="J1273" s="37" t="s">
        <v>2572</v>
      </c>
    </row>
    <row r="1274" spans="1:10" x14ac:dyDescent="0.25">
      <c r="A1274" s="32" t="s">
        <v>1</v>
      </c>
      <c r="B1274" s="32">
        <f>+B1273+1</f>
        <v>2041</v>
      </c>
      <c r="C1274" s="33" t="s">
        <v>14</v>
      </c>
      <c r="D1274" s="34" t="s">
        <v>1999</v>
      </c>
      <c r="E1274" s="35" t="str">
        <f t="shared" si="302"/>
        <v>PDP'!</v>
      </c>
      <c r="F1274" s="34" t="str">
        <f t="shared" si="303"/>
        <v>C:\Users\jaime.benazar\Quorum Business Solutions\Ecopetrol Prometeo - Documents\Planning Space Implementation\3. Analysis &amp; Design\Design\FC22\DRR Jaime\QUIFA-CAJÚA\Cajua\[CAJUA_CF_SEC_New_27-Feb-2024Rev3.xlsx]D-PDP'!</v>
      </c>
      <c r="G1274" s="32" t="s">
        <v>113</v>
      </c>
      <c r="H1274" s="33">
        <f t="shared" si="304"/>
        <v>30</v>
      </c>
      <c r="I1274" s="33" t="str">
        <f t="shared" si="305"/>
        <v>='C:\Users\jaime.benazar\Quorum Business Solutions\Ecopetrol Prometeo - Documents\Planning Space Implementation\3. Analysis &amp; Design\Design\FC22\DRR Jaime\QUIFA-CAJÚA\Cajua\[CAJUA_CF_SEC_New_27-Feb-2024Rev3.xlsx]D-PDP'!$CA$30</v>
      </c>
      <c r="J1274" s="37" t="s">
        <v>2573</v>
      </c>
    </row>
    <row r="1275" spans="1:10" x14ac:dyDescent="0.25">
      <c r="A1275" s="32" t="s">
        <v>1</v>
      </c>
      <c r="B1275" s="32">
        <f t="shared" ref="B1275:B1276" si="308">+B1274+1</f>
        <v>2042</v>
      </c>
      <c r="C1275" s="33" t="s">
        <v>14</v>
      </c>
      <c r="D1275" s="34" t="s">
        <v>1999</v>
      </c>
      <c r="E1275" s="35" t="str">
        <f t="shared" si="302"/>
        <v>PDP'!</v>
      </c>
      <c r="F1275" s="34" t="str">
        <f t="shared" si="303"/>
        <v>C:\Users\jaime.benazar\Quorum Business Solutions\Ecopetrol Prometeo - Documents\Planning Space Implementation\3. Analysis &amp; Design\Design\FC22\DRR Jaime\QUIFA-CAJÚA\Cajua\[CAJUA_CF_SEC_New_27-Feb-2024Rev3.xlsx]D-PDP'!</v>
      </c>
      <c r="G1275" s="32" t="s">
        <v>113</v>
      </c>
      <c r="H1275" s="33">
        <f t="shared" si="304"/>
        <v>31</v>
      </c>
      <c r="I1275" s="33" t="str">
        <f t="shared" si="305"/>
        <v>='C:\Users\jaime.benazar\Quorum Business Solutions\Ecopetrol Prometeo - Documents\Planning Space Implementation\3. Analysis &amp; Design\Design\FC22\DRR Jaime\QUIFA-CAJÚA\Cajua\[CAJUA_CF_SEC_New_27-Feb-2024Rev3.xlsx]D-PDP'!$CA$31</v>
      </c>
      <c r="J1275" s="37" t="s">
        <v>2574</v>
      </c>
    </row>
    <row r="1276" spans="1:10" x14ac:dyDescent="0.25">
      <c r="A1276" s="32" t="s">
        <v>1</v>
      </c>
      <c r="B1276" s="32">
        <f t="shared" si="308"/>
        <v>2043</v>
      </c>
      <c r="C1276" s="33" t="s">
        <v>14</v>
      </c>
      <c r="D1276" s="34" t="s">
        <v>1999</v>
      </c>
      <c r="E1276" s="35" t="str">
        <f t="shared" si="302"/>
        <v>PDP'!</v>
      </c>
      <c r="F1276" s="34" t="str">
        <f t="shared" si="303"/>
        <v>C:\Users\jaime.benazar\Quorum Business Solutions\Ecopetrol Prometeo - Documents\Planning Space Implementation\3. Analysis &amp; Design\Design\FC22\DRR Jaime\QUIFA-CAJÚA\Cajua\[CAJUA_CF_SEC_New_27-Feb-2024Rev3.xlsx]D-PDP'!</v>
      </c>
      <c r="G1276" s="32" t="s">
        <v>113</v>
      </c>
      <c r="H1276" s="33">
        <f t="shared" si="304"/>
        <v>32</v>
      </c>
      <c r="I1276" s="33" t="str">
        <f t="shared" si="305"/>
        <v>='C:\Users\jaime.benazar\Quorum Business Solutions\Ecopetrol Prometeo - Documents\Planning Space Implementation\3. Analysis &amp; Design\Design\FC22\DRR Jaime\QUIFA-CAJÚA\Cajua\[CAJUA_CF_SEC_New_27-Feb-2024Rev3.xlsx]D-PDP'!$CA$32</v>
      </c>
      <c r="J1276" s="37" t="s">
        <v>2575</v>
      </c>
    </row>
    <row r="1277" spans="1:10" x14ac:dyDescent="0.25">
      <c r="A1277" s="32" t="s">
        <v>1</v>
      </c>
      <c r="B1277" s="32">
        <f>+B1276+1</f>
        <v>2044</v>
      </c>
      <c r="C1277" s="33" t="s">
        <v>14</v>
      </c>
      <c r="D1277" s="34" t="s">
        <v>1999</v>
      </c>
      <c r="E1277" s="35" t="str">
        <f t="shared" ref="E1277:E1292" si="309">_xlfn.CONCAT(A1277,"'!")</f>
        <v>PDP'!</v>
      </c>
      <c r="F1277" s="34" t="str">
        <f t="shared" ref="F1277:F1292" si="310">_xlfn.CONCAT(D1277:E1277)</f>
        <v>C:\Users\jaime.benazar\Quorum Business Solutions\Ecopetrol Prometeo - Documents\Planning Space Implementation\3. Analysis &amp; Design\Design\FC22\DRR Jaime\QUIFA-CAJÚA\Cajua\[CAJUA_CF_SEC_New_27-Feb-2024Rev3.xlsx]D-PDP'!</v>
      </c>
      <c r="G1277" s="32" t="s">
        <v>113</v>
      </c>
      <c r="H1277" s="33">
        <f t="shared" ref="H1277:H1292" si="311">IF(A1277&lt;&gt;A1276,12,H1276+1)</f>
        <v>33</v>
      </c>
      <c r="I1277" s="33" t="str">
        <f t="shared" ref="I1277:I1292" si="312">_xlfn.CONCAT("='",F1277:H1277)</f>
        <v>='C:\Users\jaime.benazar\Quorum Business Solutions\Ecopetrol Prometeo - Documents\Planning Space Implementation\3. Analysis &amp; Design\Design\FC22\DRR Jaime\QUIFA-CAJÚA\Cajua\[CAJUA_CF_SEC_New_27-Feb-2024Rev3.xlsx]D-PDP'!$CA$33</v>
      </c>
      <c r="J1277" s="37" t="s">
        <v>2576</v>
      </c>
    </row>
    <row r="1278" spans="1:10" x14ac:dyDescent="0.25">
      <c r="A1278" s="32" t="s">
        <v>1</v>
      </c>
      <c r="B1278" s="32">
        <f t="shared" ref="B1278:B1292" si="313">+B1277+1</f>
        <v>2045</v>
      </c>
      <c r="C1278" s="33" t="s">
        <v>14</v>
      </c>
      <c r="D1278" s="34" t="s">
        <v>1999</v>
      </c>
      <c r="E1278" s="35" t="str">
        <f t="shared" si="309"/>
        <v>PDP'!</v>
      </c>
      <c r="F1278" s="34" t="str">
        <f t="shared" si="310"/>
        <v>C:\Users\jaime.benazar\Quorum Business Solutions\Ecopetrol Prometeo - Documents\Planning Space Implementation\3. Analysis &amp; Design\Design\FC22\DRR Jaime\QUIFA-CAJÚA\Cajua\[CAJUA_CF_SEC_New_27-Feb-2024Rev3.xlsx]D-PDP'!</v>
      </c>
      <c r="G1278" s="32" t="s">
        <v>113</v>
      </c>
      <c r="H1278" s="33">
        <f t="shared" si="311"/>
        <v>34</v>
      </c>
      <c r="I1278" s="33" t="str">
        <f t="shared" si="312"/>
        <v>='C:\Users\jaime.benazar\Quorum Business Solutions\Ecopetrol Prometeo - Documents\Planning Space Implementation\3. Analysis &amp; Design\Design\FC22\DRR Jaime\QUIFA-CAJÚA\Cajua\[CAJUA_CF_SEC_New_27-Feb-2024Rev3.xlsx]D-PDP'!$CA$34</v>
      </c>
      <c r="J1278" s="37" t="s">
        <v>2577</v>
      </c>
    </row>
    <row r="1279" spans="1:10" x14ac:dyDescent="0.25">
      <c r="A1279" s="32" t="s">
        <v>1</v>
      </c>
      <c r="B1279" s="32">
        <f t="shared" si="313"/>
        <v>2046</v>
      </c>
      <c r="C1279" s="33" t="s">
        <v>14</v>
      </c>
      <c r="D1279" s="34" t="s">
        <v>1999</v>
      </c>
      <c r="E1279" s="35" t="str">
        <f t="shared" si="309"/>
        <v>PDP'!</v>
      </c>
      <c r="F1279" s="34" t="str">
        <f t="shared" si="310"/>
        <v>C:\Users\jaime.benazar\Quorum Business Solutions\Ecopetrol Prometeo - Documents\Planning Space Implementation\3. Analysis &amp; Design\Design\FC22\DRR Jaime\QUIFA-CAJÚA\Cajua\[CAJUA_CF_SEC_New_27-Feb-2024Rev3.xlsx]D-PDP'!</v>
      </c>
      <c r="G1279" s="32" t="s">
        <v>113</v>
      </c>
      <c r="H1279" s="33">
        <f t="shared" si="311"/>
        <v>35</v>
      </c>
      <c r="I1279" s="33" t="str">
        <f t="shared" si="312"/>
        <v>='C:\Users\jaime.benazar\Quorum Business Solutions\Ecopetrol Prometeo - Documents\Planning Space Implementation\3. Analysis &amp; Design\Design\FC22\DRR Jaime\QUIFA-CAJÚA\Cajua\[CAJUA_CF_SEC_New_27-Feb-2024Rev3.xlsx]D-PDP'!$CA$35</v>
      </c>
      <c r="J1279" s="37" t="s">
        <v>2578</v>
      </c>
    </row>
    <row r="1280" spans="1:10" x14ac:dyDescent="0.25">
      <c r="A1280" s="32" t="s">
        <v>1</v>
      </c>
      <c r="B1280" s="32">
        <f t="shared" si="313"/>
        <v>2047</v>
      </c>
      <c r="C1280" s="33" t="s">
        <v>14</v>
      </c>
      <c r="D1280" s="34" t="s">
        <v>1999</v>
      </c>
      <c r="E1280" s="35" t="str">
        <f t="shared" si="309"/>
        <v>PDP'!</v>
      </c>
      <c r="F1280" s="34" t="str">
        <f t="shared" si="310"/>
        <v>C:\Users\jaime.benazar\Quorum Business Solutions\Ecopetrol Prometeo - Documents\Planning Space Implementation\3. Analysis &amp; Design\Design\FC22\DRR Jaime\QUIFA-CAJÚA\Cajua\[CAJUA_CF_SEC_New_27-Feb-2024Rev3.xlsx]D-PDP'!</v>
      </c>
      <c r="G1280" s="32" t="s">
        <v>113</v>
      </c>
      <c r="H1280" s="33">
        <f t="shared" si="311"/>
        <v>36</v>
      </c>
      <c r="I1280" s="33" t="str">
        <f t="shared" si="312"/>
        <v>='C:\Users\jaime.benazar\Quorum Business Solutions\Ecopetrol Prometeo - Documents\Planning Space Implementation\3. Analysis &amp; Design\Design\FC22\DRR Jaime\QUIFA-CAJÚA\Cajua\[CAJUA_CF_SEC_New_27-Feb-2024Rev3.xlsx]D-PDP'!$CA$36</v>
      </c>
      <c r="J1280" s="37" t="s">
        <v>2579</v>
      </c>
    </row>
    <row r="1281" spans="1:10" x14ac:dyDescent="0.25">
      <c r="A1281" s="32" t="s">
        <v>1</v>
      </c>
      <c r="B1281" s="32">
        <f t="shared" si="313"/>
        <v>2048</v>
      </c>
      <c r="C1281" s="33" t="s">
        <v>14</v>
      </c>
      <c r="D1281" s="34" t="s">
        <v>1999</v>
      </c>
      <c r="E1281" s="35" t="str">
        <f t="shared" si="309"/>
        <v>PDP'!</v>
      </c>
      <c r="F1281" s="34" t="str">
        <f t="shared" si="310"/>
        <v>C:\Users\jaime.benazar\Quorum Business Solutions\Ecopetrol Prometeo - Documents\Planning Space Implementation\3. Analysis &amp; Design\Design\FC22\DRR Jaime\QUIFA-CAJÚA\Cajua\[CAJUA_CF_SEC_New_27-Feb-2024Rev3.xlsx]D-PDP'!</v>
      </c>
      <c r="G1281" s="32" t="s">
        <v>113</v>
      </c>
      <c r="H1281" s="33">
        <f t="shared" si="311"/>
        <v>37</v>
      </c>
      <c r="I1281" s="33" t="str">
        <f t="shared" si="312"/>
        <v>='C:\Users\jaime.benazar\Quorum Business Solutions\Ecopetrol Prometeo - Documents\Planning Space Implementation\3. Analysis &amp; Design\Design\FC22\DRR Jaime\QUIFA-CAJÚA\Cajua\[CAJUA_CF_SEC_New_27-Feb-2024Rev3.xlsx]D-PDP'!$CA$37</v>
      </c>
      <c r="J1281" s="37" t="s">
        <v>2580</v>
      </c>
    </row>
    <row r="1282" spans="1:10" x14ac:dyDescent="0.25">
      <c r="A1282" s="32" t="s">
        <v>1</v>
      </c>
      <c r="B1282" s="32">
        <f t="shared" si="313"/>
        <v>2049</v>
      </c>
      <c r="C1282" s="33" t="s">
        <v>14</v>
      </c>
      <c r="D1282" s="34" t="s">
        <v>1999</v>
      </c>
      <c r="E1282" s="35" t="str">
        <f t="shared" si="309"/>
        <v>PDP'!</v>
      </c>
      <c r="F1282" s="34" t="str">
        <f t="shared" si="310"/>
        <v>C:\Users\jaime.benazar\Quorum Business Solutions\Ecopetrol Prometeo - Documents\Planning Space Implementation\3. Analysis &amp; Design\Design\FC22\DRR Jaime\QUIFA-CAJÚA\Cajua\[CAJUA_CF_SEC_New_27-Feb-2024Rev3.xlsx]D-PDP'!</v>
      </c>
      <c r="G1282" s="32" t="s">
        <v>113</v>
      </c>
      <c r="H1282" s="33">
        <f t="shared" si="311"/>
        <v>38</v>
      </c>
      <c r="I1282" s="33" t="str">
        <f t="shared" si="312"/>
        <v>='C:\Users\jaime.benazar\Quorum Business Solutions\Ecopetrol Prometeo - Documents\Planning Space Implementation\3. Analysis &amp; Design\Design\FC22\DRR Jaime\QUIFA-CAJÚA\Cajua\[CAJUA_CF_SEC_New_27-Feb-2024Rev3.xlsx]D-PDP'!$CA$38</v>
      </c>
      <c r="J1282" s="37" t="s">
        <v>2581</v>
      </c>
    </row>
    <row r="1283" spans="1:10" x14ac:dyDescent="0.25">
      <c r="A1283" s="32" t="s">
        <v>1</v>
      </c>
      <c r="B1283" s="32">
        <f t="shared" si="313"/>
        <v>2050</v>
      </c>
      <c r="C1283" s="33" t="s">
        <v>14</v>
      </c>
      <c r="D1283" s="34" t="s">
        <v>1999</v>
      </c>
      <c r="E1283" s="35" t="str">
        <f t="shared" si="309"/>
        <v>PDP'!</v>
      </c>
      <c r="F1283" s="34" t="str">
        <f t="shared" si="310"/>
        <v>C:\Users\jaime.benazar\Quorum Business Solutions\Ecopetrol Prometeo - Documents\Planning Space Implementation\3. Analysis &amp; Design\Design\FC22\DRR Jaime\QUIFA-CAJÚA\Cajua\[CAJUA_CF_SEC_New_27-Feb-2024Rev3.xlsx]D-PDP'!</v>
      </c>
      <c r="G1283" s="32" t="s">
        <v>113</v>
      </c>
      <c r="H1283" s="33">
        <f t="shared" si="311"/>
        <v>39</v>
      </c>
      <c r="I1283" s="33" t="str">
        <f t="shared" si="312"/>
        <v>='C:\Users\jaime.benazar\Quorum Business Solutions\Ecopetrol Prometeo - Documents\Planning Space Implementation\3. Analysis &amp; Design\Design\FC22\DRR Jaime\QUIFA-CAJÚA\Cajua\[CAJUA_CF_SEC_New_27-Feb-2024Rev3.xlsx]D-PDP'!$CA$39</v>
      </c>
      <c r="J1283" s="37" t="s">
        <v>2582</v>
      </c>
    </row>
    <row r="1284" spans="1:10" x14ac:dyDescent="0.25">
      <c r="A1284" s="32" t="s">
        <v>1</v>
      </c>
      <c r="B1284" s="32">
        <f t="shared" si="313"/>
        <v>2051</v>
      </c>
      <c r="C1284" s="33" t="s">
        <v>14</v>
      </c>
      <c r="D1284" s="34" t="s">
        <v>1999</v>
      </c>
      <c r="E1284" s="35" t="str">
        <f t="shared" si="309"/>
        <v>PDP'!</v>
      </c>
      <c r="F1284" s="34" t="str">
        <f t="shared" si="310"/>
        <v>C:\Users\jaime.benazar\Quorum Business Solutions\Ecopetrol Prometeo - Documents\Planning Space Implementation\3. Analysis &amp; Design\Design\FC22\DRR Jaime\QUIFA-CAJÚA\Cajua\[CAJUA_CF_SEC_New_27-Feb-2024Rev3.xlsx]D-PDP'!</v>
      </c>
      <c r="G1284" s="32" t="s">
        <v>113</v>
      </c>
      <c r="H1284" s="33">
        <f t="shared" si="311"/>
        <v>40</v>
      </c>
      <c r="I1284" s="33" t="str">
        <f t="shared" si="312"/>
        <v>='C:\Users\jaime.benazar\Quorum Business Solutions\Ecopetrol Prometeo - Documents\Planning Space Implementation\3. Analysis &amp; Design\Design\FC22\DRR Jaime\QUIFA-CAJÚA\Cajua\[CAJUA_CF_SEC_New_27-Feb-2024Rev3.xlsx]D-PDP'!$CA$40</v>
      </c>
      <c r="J1284" s="37" t="s">
        <v>2583</v>
      </c>
    </row>
    <row r="1285" spans="1:10" x14ac:dyDescent="0.25">
      <c r="A1285" s="32" t="s">
        <v>1</v>
      </c>
      <c r="B1285" s="32">
        <f t="shared" si="313"/>
        <v>2052</v>
      </c>
      <c r="C1285" s="33" t="s">
        <v>14</v>
      </c>
      <c r="D1285" s="34" t="s">
        <v>1999</v>
      </c>
      <c r="E1285" s="35" t="str">
        <f t="shared" si="309"/>
        <v>PDP'!</v>
      </c>
      <c r="F1285" s="34" t="str">
        <f t="shared" si="310"/>
        <v>C:\Users\jaime.benazar\Quorum Business Solutions\Ecopetrol Prometeo - Documents\Planning Space Implementation\3. Analysis &amp; Design\Design\FC22\DRR Jaime\QUIFA-CAJÚA\Cajua\[CAJUA_CF_SEC_New_27-Feb-2024Rev3.xlsx]D-PDP'!</v>
      </c>
      <c r="G1285" s="32" t="s">
        <v>113</v>
      </c>
      <c r="H1285" s="33">
        <f t="shared" si="311"/>
        <v>41</v>
      </c>
      <c r="I1285" s="33" t="str">
        <f t="shared" si="312"/>
        <v>='C:\Users\jaime.benazar\Quorum Business Solutions\Ecopetrol Prometeo - Documents\Planning Space Implementation\3. Analysis &amp; Design\Design\FC22\DRR Jaime\QUIFA-CAJÚA\Cajua\[CAJUA_CF_SEC_New_27-Feb-2024Rev3.xlsx]D-PDP'!$CA$41</v>
      </c>
      <c r="J1285" s="37" t="s">
        <v>2584</v>
      </c>
    </row>
    <row r="1286" spans="1:10" x14ac:dyDescent="0.25">
      <c r="A1286" s="32" t="s">
        <v>1</v>
      </c>
      <c r="B1286" s="32">
        <f t="shared" si="313"/>
        <v>2053</v>
      </c>
      <c r="C1286" s="33" t="s">
        <v>14</v>
      </c>
      <c r="D1286" s="34" t="s">
        <v>1999</v>
      </c>
      <c r="E1286" s="35" t="str">
        <f t="shared" si="309"/>
        <v>PDP'!</v>
      </c>
      <c r="F1286" s="34" t="str">
        <f t="shared" si="310"/>
        <v>C:\Users\jaime.benazar\Quorum Business Solutions\Ecopetrol Prometeo - Documents\Planning Space Implementation\3. Analysis &amp; Design\Design\FC22\DRR Jaime\QUIFA-CAJÚA\Cajua\[CAJUA_CF_SEC_New_27-Feb-2024Rev3.xlsx]D-PDP'!</v>
      </c>
      <c r="G1286" s="32" t="s">
        <v>113</v>
      </c>
      <c r="H1286" s="33">
        <f t="shared" si="311"/>
        <v>42</v>
      </c>
      <c r="I1286" s="33" t="str">
        <f t="shared" si="312"/>
        <v>='C:\Users\jaime.benazar\Quorum Business Solutions\Ecopetrol Prometeo - Documents\Planning Space Implementation\3. Analysis &amp; Design\Design\FC22\DRR Jaime\QUIFA-CAJÚA\Cajua\[CAJUA_CF_SEC_New_27-Feb-2024Rev3.xlsx]D-PDP'!$CA$42</v>
      </c>
      <c r="J1286" s="37" t="s">
        <v>2585</v>
      </c>
    </row>
    <row r="1287" spans="1:10" x14ac:dyDescent="0.25">
      <c r="A1287" s="32" t="s">
        <v>1</v>
      </c>
      <c r="B1287" s="32">
        <f t="shared" si="313"/>
        <v>2054</v>
      </c>
      <c r="C1287" s="33" t="s">
        <v>14</v>
      </c>
      <c r="D1287" s="34" t="s">
        <v>1999</v>
      </c>
      <c r="E1287" s="35" t="str">
        <f t="shared" si="309"/>
        <v>PDP'!</v>
      </c>
      <c r="F1287" s="34" t="str">
        <f t="shared" si="310"/>
        <v>C:\Users\jaime.benazar\Quorum Business Solutions\Ecopetrol Prometeo - Documents\Planning Space Implementation\3. Analysis &amp; Design\Design\FC22\DRR Jaime\QUIFA-CAJÚA\Cajua\[CAJUA_CF_SEC_New_27-Feb-2024Rev3.xlsx]D-PDP'!</v>
      </c>
      <c r="G1287" s="32" t="s">
        <v>113</v>
      </c>
      <c r="H1287" s="33">
        <f t="shared" si="311"/>
        <v>43</v>
      </c>
      <c r="I1287" s="33" t="str">
        <f t="shared" si="312"/>
        <v>='C:\Users\jaime.benazar\Quorum Business Solutions\Ecopetrol Prometeo - Documents\Planning Space Implementation\3. Analysis &amp; Design\Design\FC22\DRR Jaime\QUIFA-CAJÚA\Cajua\[CAJUA_CF_SEC_New_27-Feb-2024Rev3.xlsx]D-PDP'!$CA$43</v>
      </c>
      <c r="J1287" s="37" t="s">
        <v>2586</v>
      </c>
    </row>
    <row r="1288" spans="1:10" x14ac:dyDescent="0.25">
      <c r="A1288" s="32" t="s">
        <v>1</v>
      </c>
      <c r="B1288" s="32">
        <f t="shared" si="313"/>
        <v>2055</v>
      </c>
      <c r="C1288" s="33" t="s">
        <v>14</v>
      </c>
      <c r="D1288" s="34" t="s">
        <v>1999</v>
      </c>
      <c r="E1288" s="35" t="str">
        <f t="shared" si="309"/>
        <v>PDP'!</v>
      </c>
      <c r="F1288" s="34" t="str">
        <f t="shared" si="310"/>
        <v>C:\Users\jaime.benazar\Quorum Business Solutions\Ecopetrol Prometeo - Documents\Planning Space Implementation\3. Analysis &amp; Design\Design\FC22\DRR Jaime\QUIFA-CAJÚA\Cajua\[CAJUA_CF_SEC_New_27-Feb-2024Rev3.xlsx]D-PDP'!</v>
      </c>
      <c r="G1288" s="32" t="s">
        <v>113</v>
      </c>
      <c r="H1288" s="33">
        <f t="shared" si="311"/>
        <v>44</v>
      </c>
      <c r="I1288" s="33" t="str">
        <f t="shared" si="312"/>
        <v>='C:\Users\jaime.benazar\Quorum Business Solutions\Ecopetrol Prometeo - Documents\Planning Space Implementation\3. Analysis &amp; Design\Design\FC22\DRR Jaime\QUIFA-CAJÚA\Cajua\[CAJUA_CF_SEC_New_27-Feb-2024Rev3.xlsx]D-PDP'!$CA$44</v>
      </c>
      <c r="J1288" s="37" t="s">
        <v>2587</v>
      </c>
    </row>
    <row r="1289" spans="1:10" x14ac:dyDescent="0.25">
      <c r="A1289" s="32" t="s">
        <v>1</v>
      </c>
      <c r="B1289" s="32">
        <f t="shared" si="313"/>
        <v>2056</v>
      </c>
      <c r="C1289" s="33" t="s">
        <v>14</v>
      </c>
      <c r="D1289" s="34" t="s">
        <v>1999</v>
      </c>
      <c r="E1289" s="35" t="str">
        <f t="shared" si="309"/>
        <v>PDP'!</v>
      </c>
      <c r="F1289" s="34" t="str">
        <f t="shared" si="310"/>
        <v>C:\Users\jaime.benazar\Quorum Business Solutions\Ecopetrol Prometeo - Documents\Planning Space Implementation\3. Analysis &amp; Design\Design\FC22\DRR Jaime\QUIFA-CAJÚA\Cajua\[CAJUA_CF_SEC_New_27-Feb-2024Rev3.xlsx]D-PDP'!</v>
      </c>
      <c r="G1289" s="32" t="s">
        <v>113</v>
      </c>
      <c r="H1289" s="33">
        <f t="shared" si="311"/>
        <v>45</v>
      </c>
      <c r="I1289" s="33" t="str">
        <f t="shared" si="312"/>
        <v>='C:\Users\jaime.benazar\Quorum Business Solutions\Ecopetrol Prometeo - Documents\Planning Space Implementation\3. Analysis &amp; Design\Design\FC22\DRR Jaime\QUIFA-CAJÚA\Cajua\[CAJUA_CF_SEC_New_27-Feb-2024Rev3.xlsx]D-PDP'!$CA$45</v>
      </c>
      <c r="J1289" s="37" t="s">
        <v>2588</v>
      </c>
    </row>
    <row r="1290" spans="1:10" x14ac:dyDescent="0.25">
      <c r="A1290" s="32" t="s">
        <v>1</v>
      </c>
      <c r="B1290" s="32">
        <f t="shared" si="313"/>
        <v>2057</v>
      </c>
      <c r="C1290" s="33" t="s">
        <v>14</v>
      </c>
      <c r="D1290" s="34" t="s">
        <v>1999</v>
      </c>
      <c r="E1290" s="35" t="str">
        <f t="shared" si="309"/>
        <v>PDP'!</v>
      </c>
      <c r="F1290" s="34" t="str">
        <f t="shared" si="310"/>
        <v>C:\Users\jaime.benazar\Quorum Business Solutions\Ecopetrol Prometeo - Documents\Planning Space Implementation\3. Analysis &amp; Design\Design\FC22\DRR Jaime\QUIFA-CAJÚA\Cajua\[CAJUA_CF_SEC_New_27-Feb-2024Rev3.xlsx]D-PDP'!</v>
      </c>
      <c r="G1290" s="32" t="s">
        <v>113</v>
      </c>
      <c r="H1290" s="33">
        <f t="shared" si="311"/>
        <v>46</v>
      </c>
      <c r="I1290" s="33" t="str">
        <f t="shared" si="312"/>
        <v>='C:\Users\jaime.benazar\Quorum Business Solutions\Ecopetrol Prometeo - Documents\Planning Space Implementation\3. Analysis &amp; Design\Design\FC22\DRR Jaime\QUIFA-CAJÚA\Cajua\[CAJUA_CF_SEC_New_27-Feb-2024Rev3.xlsx]D-PDP'!$CA$46</v>
      </c>
      <c r="J1290" s="37" t="s">
        <v>2589</v>
      </c>
    </row>
    <row r="1291" spans="1:10" x14ac:dyDescent="0.25">
      <c r="A1291" s="32" t="s">
        <v>1</v>
      </c>
      <c r="B1291" s="32">
        <f t="shared" si="313"/>
        <v>2058</v>
      </c>
      <c r="C1291" s="33" t="s">
        <v>14</v>
      </c>
      <c r="D1291" s="34" t="s">
        <v>1999</v>
      </c>
      <c r="E1291" s="35" t="str">
        <f t="shared" si="309"/>
        <v>PDP'!</v>
      </c>
      <c r="F1291" s="34" t="str">
        <f t="shared" si="310"/>
        <v>C:\Users\jaime.benazar\Quorum Business Solutions\Ecopetrol Prometeo - Documents\Planning Space Implementation\3. Analysis &amp; Design\Design\FC22\DRR Jaime\QUIFA-CAJÚA\Cajua\[CAJUA_CF_SEC_New_27-Feb-2024Rev3.xlsx]D-PDP'!</v>
      </c>
      <c r="G1291" s="32" t="s">
        <v>113</v>
      </c>
      <c r="H1291" s="33">
        <f t="shared" si="311"/>
        <v>47</v>
      </c>
      <c r="I1291" s="33" t="str">
        <f t="shared" si="312"/>
        <v>='C:\Users\jaime.benazar\Quorum Business Solutions\Ecopetrol Prometeo - Documents\Planning Space Implementation\3. Analysis &amp; Design\Design\FC22\DRR Jaime\QUIFA-CAJÚA\Cajua\[CAJUA_CF_SEC_New_27-Feb-2024Rev3.xlsx]D-PDP'!$CA$47</v>
      </c>
      <c r="J1291" s="37" t="s">
        <v>2590</v>
      </c>
    </row>
    <row r="1292" spans="1:10" x14ac:dyDescent="0.25">
      <c r="A1292" s="32" t="s">
        <v>1</v>
      </c>
      <c r="B1292" s="32">
        <f t="shared" si="313"/>
        <v>2059</v>
      </c>
      <c r="C1292" s="33" t="s">
        <v>14</v>
      </c>
      <c r="D1292" s="34" t="s">
        <v>1999</v>
      </c>
      <c r="E1292" s="35" t="str">
        <f t="shared" si="309"/>
        <v>PDP'!</v>
      </c>
      <c r="F1292" s="34" t="str">
        <f t="shared" si="310"/>
        <v>C:\Users\jaime.benazar\Quorum Business Solutions\Ecopetrol Prometeo - Documents\Planning Space Implementation\3. Analysis &amp; Design\Design\FC22\DRR Jaime\QUIFA-CAJÚA\Cajua\[CAJUA_CF_SEC_New_27-Feb-2024Rev3.xlsx]D-PDP'!</v>
      </c>
      <c r="G1292" s="32" t="s">
        <v>113</v>
      </c>
      <c r="H1292" s="33">
        <f t="shared" si="311"/>
        <v>48</v>
      </c>
      <c r="I1292" s="33" t="str">
        <f t="shared" si="312"/>
        <v>='C:\Users\jaime.benazar\Quorum Business Solutions\Ecopetrol Prometeo - Documents\Planning Space Implementation\3. Analysis &amp; Design\Design\FC22\DRR Jaime\QUIFA-CAJÚA\Cajua\[CAJUA_CF_SEC_New_27-Feb-2024Rev3.xlsx]D-PDP'!$CA$48</v>
      </c>
      <c r="J1292" s="37" t="s">
        <v>2591</v>
      </c>
    </row>
    <row r="1293" spans="1:10" x14ac:dyDescent="0.25">
      <c r="A1293" s="32" t="s">
        <v>28</v>
      </c>
      <c r="B1293" s="32"/>
      <c r="C1293" s="33" t="s">
        <v>14</v>
      </c>
      <c r="D1293" s="34"/>
      <c r="E1293" s="35"/>
      <c r="F1293" s="34"/>
      <c r="G1293" s="32"/>
      <c r="H1293" s="33"/>
      <c r="I1293" s="33"/>
      <c r="J1293" s="33"/>
    </row>
    <row r="1294" spans="1:10" x14ac:dyDescent="0.25">
      <c r="A1294" s="32" t="s">
        <v>2</v>
      </c>
      <c r="B1294" s="32">
        <v>2023</v>
      </c>
      <c r="C1294" s="33" t="s">
        <v>14</v>
      </c>
      <c r="D1294" s="34" t="s">
        <v>1999</v>
      </c>
      <c r="E1294" s="35" t="str">
        <f t="shared" si="302"/>
        <v>PNP'!</v>
      </c>
      <c r="F1294" s="34" t="str">
        <f t="shared" si="303"/>
        <v>C:\Users\jaime.benazar\Quorum Business Solutions\Ecopetrol Prometeo - Documents\Planning Space Implementation\3. Analysis &amp; Design\Design\FC22\DRR Jaime\QUIFA-CAJÚA\Cajua\[CAJUA_CF_SEC_New_27-Feb-2024Rev3.xlsx]D-PNP'!</v>
      </c>
      <c r="G1294" s="32" t="s">
        <v>113</v>
      </c>
      <c r="H1294" s="33">
        <v>12</v>
      </c>
      <c r="I1294" s="33" t="str">
        <f t="shared" si="305"/>
        <v>='C:\Users\jaime.benazar\Quorum Business Solutions\Ecopetrol Prometeo - Documents\Planning Space Implementation\3. Analysis &amp; Design\Design\FC22\DRR Jaime\QUIFA-CAJÚA\Cajua\[CAJUA_CF_SEC_New_27-Feb-2024Rev3.xlsx]D-PNP'!$CA$12</v>
      </c>
      <c r="J1294" s="37" t="s">
        <v>2592</v>
      </c>
    </row>
    <row r="1295" spans="1:10" x14ac:dyDescent="0.25">
      <c r="A1295" s="32" t="s">
        <v>2</v>
      </c>
      <c r="B1295" s="32">
        <f>+B1294+1</f>
        <v>2024</v>
      </c>
      <c r="C1295" s="33" t="s">
        <v>14</v>
      </c>
      <c r="D1295" s="34" t="s">
        <v>1999</v>
      </c>
      <c r="E1295" s="35" t="str">
        <f t="shared" si="302"/>
        <v>PNP'!</v>
      </c>
      <c r="F1295" s="34" t="str">
        <f t="shared" si="303"/>
        <v>C:\Users\jaime.benazar\Quorum Business Solutions\Ecopetrol Prometeo - Documents\Planning Space Implementation\3. Analysis &amp; Design\Design\FC22\DRR Jaime\QUIFA-CAJÚA\Cajua\[CAJUA_CF_SEC_New_27-Feb-2024Rev3.xlsx]D-PNP'!</v>
      </c>
      <c r="G1295" s="32" t="s">
        <v>113</v>
      </c>
      <c r="H1295" s="33">
        <f t="shared" ref="H1295:H1314" si="314">IF(A1295&lt;&gt;A1294,12,H1294+1)</f>
        <v>13</v>
      </c>
      <c r="I1295" s="33" t="str">
        <f t="shared" si="305"/>
        <v>='C:\Users\jaime.benazar\Quorum Business Solutions\Ecopetrol Prometeo - Documents\Planning Space Implementation\3. Analysis &amp; Design\Design\FC22\DRR Jaime\QUIFA-CAJÚA\Cajua\[CAJUA_CF_SEC_New_27-Feb-2024Rev3.xlsx]D-PNP'!$CA$13</v>
      </c>
      <c r="J1295" s="37" t="s">
        <v>2593</v>
      </c>
    </row>
    <row r="1296" spans="1:10" x14ac:dyDescent="0.25">
      <c r="A1296" s="32" t="s">
        <v>2</v>
      </c>
      <c r="B1296" s="32">
        <f t="shared" ref="B1296:B1307" si="315">+B1295+1</f>
        <v>2025</v>
      </c>
      <c r="C1296" s="33" t="s">
        <v>14</v>
      </c>
      <c r="D1296" s="34" t="s">
        <v>1999</v>
      </c>
      <c r="E1296" s="35" t="str">
        <f t="shared" si="302"/>
        <v>PNP'!</v>
      </c>
      <c r="F1296" s="34" t="str">
        <f t="shared" si="303"/>
        <v>C:\Users\jaime.benazar\Quorum Business Solutions\Ecopetrol Prometeo - Documents\Planning Space Implementation\3. Analysis &amp; Design\Design\FC22\DRR Jaime\QUIFA-CAJÚA\Cajua\[CAJUA_CF_SEC_New_27-Feb-2024Rev3.xlsx]D-PNP'!</v>
      </c>
      <c r="G1296" s="32" t="s">
        <v>113</v>
      </c>
      <c r="H1296" s="33">
        <f t="shared" si="314"/>
        <v>14</v>
      </c>
      <c r="I1296" s="33" t="str">
        <f t="shared" si="305"/>
        <v>='C:\Users\jaime.benazar\Quorum Business Solutions\Ecopetrol Prometeo - Documents\Planning Space Implementation\3. Analysis &amp; Design\Design\FC22\DRR Jaime\QUIFA-CAJÚA\Cajua\[CAJUA_CF_SEC_New_27-Feb-2024Rev3.xlsx]D-PNP'!$CA$14</v>
      </c>
      <c r="J1296" s="37" t="s">
        <v>2594</v>
      </c>
    </row>
    <row r="1297" spans="1:10" x14ac:dyDescent="0.25">
      <c r="A1297" s="32" t="s">
        <v>2</v>
      </c>
      <c r="B1297" s="32">
        <f t="shared" si="315"/>
        <v>2026</v>
      </c>
      <c r="C1297" s="33" t="s">
        <v>14</v>
      </c>
      <c r="D1297" s="34" t="s">
        <v>1999</v>
      </c>
      <c r="E1297" s="35" t="str">
        <f t="shared" si="302"/>
        <v>PNP'!</v>
      </c>
      <c r="F1297" s="34" t="str">
        <f t="shared" si="303"/>
        <v>C:\Users\jaime.benazar\Quorum Business Solutions\Ecopetrol Prometeo - Documents\Planning Space Implementation\3. Analysis &amp; Design\Design\FC22\DRR Jaime\QUIFA-CAJÚA\Cajua\[CAJUA_CF_SEC_New_27-Feb-2024Rev3.xlsx]D-PNP'!</v>
      </c>
      <c r="G1297" s="32" t="s">
        <v>113</v>
      </c>
      <c r="H1297" s="33">
        <f t="shared" si="314"/>
        <v>15</v>
      </c>
      <c r="I1297" s="33" t="str">
        <f t="shared" si="305"/>
        <v>='C:\Users\jaime.benazar\Quorum Business Solutions\Ecopetrol Prometeo - Documents\Planning Space Implementation\3. Analysis &amp; Design\Design\FC22\DRR Jaime\QUIFA-CAJÚA\Cajua\[CAJUA_CF_SEC_New_27-Feb-2024Rev3.xlsx]D-PNP'!$CA$15</v>
      </c>
      <c r="J1297" s="37" t="s">
        <v>2595</v>
      </c>
    </row>
    <row r="1298" spans="1:10" x14ac:dyDescent="0.25">
      <c r="A1298" s="32" t="s">
        <v>2</v>
      </c>
      <c r="B1298" s="32">
        <f t="shared" si="315"/>
        <v>2027</v>
      </c>
      <c r="C1298" s="33" t="s">
        <v>14</v>
      </c>
      <c r="D1298" s="34" t="s">
        <v>1999</v>
      </c>
      <c r="E1298" s="35" t="str">
        <f t="shared" si="302"/>
        <v>PNP'!</v>
      </c>
      <c r="F1298" s="34" t="str">
        <f t="shared" si="303"/>
        <v>C:\Users\jaime.benazar\Quorum Business Solutions\Ecopetrol Prometeo - Documents\Planning Space Implementation\3. Analysis &amp; Design\Design\FC22\DRR Jaime\QUIFA-CAJÚA\Cajua\[CAJUA_CF_SEC_New_27-Feb-2024Rev3.xlsx]D-PNP'!</v>
      </c>
      <c r="G1298" s="32" t="s">
        <v>113</v>
      </c>
      <c r="H1298" s="33">
        <f t="shared" si="314"/>
        <v>16</v>
      </c>
      <c r="I1298" s="33" t="str">
        <f t="shared" si="305"/>
        <v>='C:\Users\jaime.benazar\Quorum Business Solutions\Ecopetrol Prometeo - Documents\Planning Space Implementation\3. Analysis &amp; Design\Design\FC22\DRR Jaime\QUIFA-CAJÚA\Cajua\[CAJUA_CF_SEC_New_27-Feb-2024Rev3.xlsx]D-PNP'!$CA$16</v>
      </c>
      <c r="J1298" s="37" t="s">
        <v>2596</v>
      </c>
    </row>
    <row r="1299" spans="1:10" x14ac:dyDescent="0.25">
      <c r="A1299" s="32" t="s">
        <v>2</v>
      </c>
      <c r="B1299" s="32">
        <f t="shared" si="315"/>
        <v>2028</v>
      </c>
      <c r="C1299" s="33" t="s">
        <v>14</v>
      </c>
      <c r="D1299" s="34" t="s">
        <v>1999</v>
      </c>
      <c r="E1299" s="35" t="str">
        <f t="shared" si="302"/>
        <v>PNP'!</v>
      </c>
      <c r="F1299" s="34" t="str">
        <f t="shared" si="303"/>
        <v>C:\Users\jaime.benazar\Quorum Business Solutions\Ecopetrol Prometeo - Documents\Planning Space Implementation\3. Analysis &amp; Design\Design\FC22\DRR Jaime\QUIFA-CAJÚA\Cajua\[CAJUA_CF_SEC_New_27-Feb-2024Rev3.xlsx]D-PNP'!</v>
      </c>
      <c r="G1299" s="32" t="s">
        <v>113</v>
      </c>
      <c r="H1299" s="33">
        <f t="shared" si="314"/>
        <v>17</v>
      </c>
      <c r="I1299" s="33" t="str">
        <f t="shared" si="305"/>
        <v>='C:\Users\jaime.benazar\Quorum Business Solutions\Ecopetrol Prometeo - Documents\Planning Space Implementation\3. Analysis &amp; Design\Design\FC22\DRR Jaime\QUIFA-CAJÚA\Cajua\[CAJUA_CF_SEC_New_27-Feb-2024Rev3.xlsx]D-PNP'!$CA$17</v>
      </c>
      <c r="J1299" s="37" t="s">
        <v>2597</v>
      </c>
    </row>
    <row r="1300" spans="1:10" x14ac:dyDescent="0.25">
      <c r="A1300" s="32" t="s">
        <v>2</v>
      </c>
      <c r="B1300" s="32">
        <f t="shared" si="315"/>
        <v>2029</v>
      </c>
      <c r="C1300" s="33" t="s">
        <v>14</v>
      </c>
      <c r="D1300" s="34" t="s">
        <v>1999</v>
      </c>
      <c r="E1300" s="35" t="str">
        <f t="shared" si="302"/>
        <v>PNP'!</v>
      </c>
      <c r="F1300" s="34" t="str">
        <f t="shared" si="303"/>
        <v>C:\Users\jaime.benazar\Quorum Business Solutions\Ecopetrol Prometeo - Documents\Planning Space Implementation\3. Analysis &amp; Design\Design\FC22\DRR Jaime\QUIFA-CAJÚA\Cajua\[CAJUA_CF_SEC_New_27-Feb-2024Rev3.xlsx]D-PNP'!</v>
      </c>
      <c r="G1300" s="32" t="s">
        <v>113</v>
      </c>
      <c r="H1300" s="33">
        <f t="shared" si="314"/>
        <v>18</v>
      </c>
      <c r="I1300" s="33" t="str">
        <f t="shared" si="305"/>
        <v>='C:\Users\jaime.benazar\Quorum Business Solutions\Ecopetrol Prometeo - Documents\Planning Space Implementation\3. Analysis &amp; Design\Design\FC22\DRR Jaime\QUIFA-CAJÚA\Cajua\[CAJUA_CF_SEC_New_27-Feb-2024Rev3.xlsx]D-PNP'!$CA$18</v>
      </c>
      <c r="J1300" s="37" t="s">
        <v>2598</v>
      </c>
    </row>
    <row r="1301" spans="1:10" x14ac:dyDescent="0.25">
      <c r="A1301" s="32" t="s">
        <v>2</v>
      </c>
      <c r="B1301" s="32">
        <f t="shared" si="315"/>
        <v>2030</v>
      </c>
      <c r="C1301" s="33" t="s">
        <v>14</v>
      </c>
      <c r="D1301" s="34" t="s">
        <v>1999</v>
      </c>
      <c r="E1301" s="35" t="str">
        <f t="shared" si="302"/>
        <v>PNP'!</v>
      </c>
      <c r="F1301" s="34" t="str">
        <f t="shared" si="303"/>
        <v>C:\Users\jaime.benazar\Quorum Business Solutions\Ecopetrol Prometeo - Documents\Planning Space Implementation\3. Analysis &amp; Design\Design\FC22\DRR Jaime\QUIFA-CAJÚA\Cajua\[CAJUA_CF_SEC_New_27-Feb-2024Rev3.xlsx]D-PNP'!</v>
      </c>
      <c r="G1301" s="32" t="s">
        <v>113</v>
      </c>
      <c r="H1301" s="33">
        <f t="shared" si="314"/>
        <v>19</v>
      </c>
      <c r="I1301" s="33" t="str">
        <f t="shared" si="305"/>
        <v>='C:\Users\jaime.benazar\Quorum Business Solutions\Ecopetrol Prometeo - Documents\Planning Space Implementation\3. Analysis &amp; Design\Design\FC22\DRR Jaime\QUIFA-CAJÚA\Cajua\[CAJUA_CF_SEC_New_27-Feb-2024Rev3.xlsx]D-PNP'!$CA$19</v>
      </c>
      <c r="J1301" s="37" t="s">
        <v>2599</v>
      </c>
    </row>
    <row r="1302" spans="1:10" x14ac:dyDescent="0.25">
      <c r="A1302" s="32" t="s">
        <v>2</v>
      </c>
      <c r="B1302" s="32">
        <f t="shared" si="315"/>
        <v>2031</v>
      </c>
      <c r="C1302" s="33" t="s">
        <v>14</v>
      </c>
      <c r="D1302" s="34" t="s">
        <v>1999</v>
      </c>
      <c r="E1302" s="35" t="str">
        <f t="shared" si="302"/>
        <v>PNP'!</v>
      </c>
      <c r="F1302" s="34" t="str">
        <f t="shared" si="303"/>
        <v>C:\Users\jaime.benazar\Quorum Business Solutions\Ecopetrol Prometeo - Documents\Planning Space Implementation\3. Analysis &amp; Design\Design\FC22\DRR Jaime\QUIFA-CAJÚA\Cajua\[CAJUA_CF_SEC_New_27-Feb-2024Rev3.xlsx]D-PNP'!</v>
      </c>
      <c r="G1302" s="32" t="s">
        <v>113</v>
      </c>
      <c r="H1302" s="33">
        <f t="shared" si="314"/>
        <v>20</v>
      </c>
      <c r="I1302" s="33" t="str">
        <f t="shared" si="305"/>
        <v>='C:\Users\jaime.benazar\Quorum Business Solutions\Ecopetrol Prometeo - Documents\Planning Space Implementation\3. Analysis &amp; Design\Design\FC22\DRR Jaime\QUIFA-CAJÚA\Cajua\[CAJUA_CF_SEC_New_27-Feb-2024Rev3.xlsx]D-PNP'!$CA$20</v>
      </c>
      <c r="J1302" s="37" t="s">
        <v>2600</v>
      </c>
    </row>
    <row r="1303" spans="1:10" x14ac:dyDescent="0.25">
      <c r="A1303" s="32" t="s">
        <v>2</v>
      </c>
      <c r="B1303" s="32">
        <f t="shared" si="315"/>
        <v>2032</v>
      </c>
      <c r="C1303" s="33" t="s">
        <v>14</v>
      </c>
      <c r="D1303" s="34" t="s">
        <v>1999</v>
      </c>
      <c r="E1303" s="35" t="str">
        <f t="shared" si="302"/>
        <v>PNP'!</v>
      </c>
      <c r="F1303" s="34" t="str">
        <f t="shared" si="303"/>
        <v>C:\Users\jaime.benazar\Quorum Business Solutions\Ecopetrol Prometeo - Documents\Planning Space Implementation\3. Analysis &amp; Design\Design\FC22\DRR Jaime\QUIFA-CAJÚA\Cajua\[CAJUA_CF_SEC_New_27-Feb-2024Rev3.xlsx]D-PNP'!</v>
      </c>
      <c r="G1303" s="32" t="s">
        <v>113</v>
      </c>
      <c r="H1303" s="33">
        <f t="shared" si="314"/>
        <v>21</v>
      </c>
      <c r="I1303" s="33" t="str">
        <f t="shared" si="305"/>
        <v>='C:\Users\jaime.benazar\Quorum Business Solutions\Ecopetrol Prometeo - Documents\Planning Space Implementation\3. Analysis &amp; Design\Design\FC22\DRR Jaime\QUIFA-CAJÚA\Cajua\[CAJUA_CF_SEC_New_27-Feb-2024Rev3.xlsx]D-PNP'!$CA$21</v>
      </c>
      <c r="J1303" s="37" t="s">
        <v>2601</v>
      </c>
    </row>
    <row r="1304" spans="1:10" x14ac:dyDescent="0.25">
      <c r="A1304" s="32" t="s">
        <v>2</v>
      </c>
      <c r="B1304" s="32">
        <f t="shared" si="315"/>
        <v>2033</v>
      </c>
      <c r="C1304" s="33" t="s">
        <v>14</v>
      </c>
      <c r="D1304" s="34" t="s">
        <v>1999</v>
      </c>
      <c r="E1304" s="35" t="str">
        <f t="shared" si="302"/>
        <v>PNP'!</v>
      </c>
      <c r="F1304" s="34" t="str">
        <f t="shared" si="303"/>
        <v>C:\Users\jaime.benazar\Quorum Business Solutions\Ecopetrol Prometeo - Documents\Planning Space Implementation\3. Analysis &amp; Design\Design\FC22\DRR Jaime\QUIFA-CAJÚA\Cajua\[CAJUA_CF_SEC_New_27-Feb-2024Rev3.xlsx]D-PNP'!</v>
      </c>
      <c r="G1304" s="32" t="s">
        <v>113</v>
      </c>
      <c r="H1304" s="33">
        <f t="shared" si="314"/>
        <v>22</v>
      </c>
      <c r="I1304" s="33" t="str">
        <f t="shared" si="305"/>
        <v>='C:\Users\jaime.benazar\Quorum Business Solutions\Ecopetrol Prometeo - Documents\Planning Space Implementation\3. Analysis &amp; Design\Design\FC22\DRR Jaime\QUIFA-CAJÚA\Cajua\[CAJUA_CF_SEC_New_27-Feb-2024Rev3.xlsx]D-PNP'!$CA$22</v>
      </c>
      <c r="J1304" s="37" t="s">
        <v>2602</v>
      </c>
    </row>
    <row r="1305" spans="1:10" x14ac:dyDescent="0.25">
      <c r="A1305" s="32" t="s">
        <v>2</v>
      </c>
      <c r="B1305" s="32">
        <f t="shared" si="315"/>
        <v>2034</v>
      </c>
      <c r="C1305" s="33" t="s">
        <v>14</v>
      </c>
      <c r="D1305" s="34" t="s">
        <v>1999</v>
      </c>
      <c r="E1305" s="35" t="str">
        <f t="shared" si="302"/>
        <v>PNP'!</v>
      </c>
      <c r="F1305" s="34" t="str">
        <f t="shared" si="303"/>
        <v>C:\Users\jaime.benazar\Quorum Business Solutions\Ecopetrol Prometeo - Documents\Planning Space Implementation\3. Analysis &amp; Design\Design\FC22\DRR Jaime\QUIFA-CAJÚA\Cajua\[CAJUA_CF_SEC_New_27-Feb-2024Rev3.xlsx]D-PNP'!</v>
      </c>
      <c r="G1305" s="32" t="s">
        <v>113</v>
      </c>
      <c r="H1305" s="33">
        <f t="shared" si="314"/>
        <v>23</v>
      </c>
      <c r="I1305" s="33" t="str">
        <f t="shared" si="305"/>
        <v>='C:\Users\jaime.benazar\Quorum Business Solutions\Ecopetrol Prometeo - Documents\Planning Space Implementation\3. Analysis &amp; Design\Design\FC22\DRR Jaime\QUIFA-CAJÚA\Cajua\[CAJUA_CF_SEC_New_27-Feb-2024Rev3.xlsx]D-PNP'!$CA$23</v>
      </c>
      <c r="J1305" s="37" t="s">
        <v>2603</v>
      </c>
    </row>
    <row r="1306" spans="1:10" x14ac:dyDescent="0.25">
      <c r="A1306" s="32" t="s">
        <v>2</v>
      </c>
      <c r="B1306" s="32">
        <f t="shared" si="315"/>
        <v>2035</v>
      </c>
      <c r="C1306" s="33" t="s">
        <v>14</v>
      </c>
      <c r="D1306" s="34" t="s">
        <v>1999</v>
      </c>
      <c r="E1306" s="35" t="str">
        <f t="shared" si="302"/>
        <v>PNP'!</v>
      </c>
      <c r="F1306" s="34" t="str">
        <f t="shared" si="303"/>
        <v>C:\Users\jaime.benazar\Quorum Business Solutions\Ecopetrol Prometeo - Documents\Planning Space Implementation\3. Analysis &amp; Design\Design\FC22\DRR Jaime\QUIFA-CAJÚA\Cajua\[CAJUA_CF_SEC_New_27-Feb-2024Rev3.xlsx]D-PNP'!</v>
      </c>
      <c r="G1306" s="32" t="s">
        <v>113</v>
      </c>
      <c r="H1306" s="33">
        <f t="shared" si="314"/>
        <v>24</v>
      </c>
      <c r="I1306" s="33" t="str">
        <f t="shared" si="305"/>
        <v>='C:\Users\jaime.benazar\Quorum Business Solutions\Ecopetrol Prometeo - Documents\Planning Space Implementation\3. Analysis &amp; Design\Design\FC22\DRR Jaime\QUIFA-CAJÚA\Cajua\[CAJUA_CF_SEC_New_27-Feb-2024Rev3.xlsx]D-PNP'!$CA$24</v>
      </c>
      <c r="J1306" s="37" t="s">
        <v>2604</v>
      </c>
    </row>
    <row r="1307" spans="1:10" x14ac:dyDescent="0.25">
      <c r="A1307" s="32" t="s">
        <v>2</v>
      </c>
      <c r="B1307" s="32">
        <f t="shared" si="315"/>
        <v>2036</v>
      </c>
      <c r="C1307" s="33" t="s">
        <v>14</v>
      </c>
      <c r="D1307" s="34" t="s">
        <v>1999</v>
      </c>
      <c r="E1307" s="35" t="str">
        <f t="shared" si="302"/>
        <v>PNP'!</v>
      </c>
      <c r="F1307" s="34" t="str">
        <f t="shared" si="303"/>
        <v>C:\Users\jaime.benazar\Quorum Business Solutions\Ecopetrol Prometeo - Documents\Planning Space Implementation\3. Analysis &amp; Design\Design\FC22\DRR Jaime\QUIFA-CAJÚA\Cajua\[CAJUA_CF_SEC_New_27-Feb-2024Rev3.xlsx]D-PNP'!</v>
      </c>
      <c r="G1307" s="32" t="s">
        <v>113</v>
      </c>
      <c r="H1307" s="33">
        <f t="shared" si="314"/>
        <v>25</v>
      </c>
      <c r="I1307" s="33" t="str">
        <f t="shared" si="305"/>
        <v>='C:\Users\jaime.benazar\Quorum Business Solutions\Ecopetrol Prometeo - Documents\Planning Space Implementation\3. Analysis &amp; Design\Design\FC22\DRR Jaime\QUIFA-CAJÚA\Cajua\[CAJUA_CF_SEC_New_27-Feb-2024Rev3.xlsx]D-PNP'!$CA$25</v>
      </c>
      <c r="J1307" s="37" t="s">
        <v>2605</v>
      </c>
    </row>
    <row r="1308" spans="1:10" x14ac:dyDescent="0.25">
      <c r="A1308" s="32" t="s">
        <v>2</v>
      </c>
      <c r="B1308" s="32">
        <f>+B1307+1</f>
        <v>2037</v>
      </c>
      <c r="C1308" s="33" t="s">
        <v>14</v>
      </c>
      <c r="D1308" s="34" t="s">
        <v>1999</v>
      </c>
      <c r="E1308" s="35" t="str">
        <f t="shared" si="302"/>
        <v>PNP'!</v>
      </c>
      <c r="F1308" s="34" t="str">
        <f t="shared" si="303"/>
        <v>C:\Users\jaime.benazar\Quorum Business Solutions\Ecopetrol Prometeo - Documents\Planning Space Implementation\3. Analysis &amp; Design\Design\FC22\DRR Jaime\QUIFA-CAJÚA\Cajua\[CAJUA_CF_SEC_New_27-Feb-2024Rev3.xlsx]D-PNP'!</v>
      </c>
      <c r="G1308" s="32" t="s">
        <v>113</v>
      </c>
      <c r="H1308" s="33">
        <f t="shared" si="314"/>
        <v>26</v>
      </c>
      <c r="I1308" s="33" t="str">
        <f t="shared" si="305"/>
        <v>='C:\Users\jaime.benazar\Quorum Business Solutions\Ecopetrol Prometeo - Documents\Planning Space Implementation\3. Analysis &amp; Design\Design\FC22\DRR Jaime\QUIFA-CAJÚA\Cajua\[CAJUA_CF_SEC_New_27-Feb-2024Rev3.xlsx]D-PNP'!$CA$26</v>
      </c>
      <c r="J1308" s="37" t="s">
        <v>2606</v>
      </c>
    </row>
    <row r="1309" spans="1:10" x14ac:dyDescent="0.25">
      <c r="A1309" s="32" t="s">
        <v>2</v>
      </c>
      <c r="B1309" s="32">
        <f t="shared" ref="B1309:B1311" si="316">+B1308+1</f>
        <v>2038</v>
      </c>
      <c r="C1309" s="33" t="s">
        <v>14</v>
      </c>
      <c r="D1309" s="34" t="s">
        <v>1999</v>
      </c>
      <c r="E1309" s="35" t="str">
        <f t="shared" si="302"/>
        <v>PNP'!</v>
      </c>
      <c r="F1309" s="34" t="str">
        <f t="shared" si="303"/>
        <v>C:\Users\jaime.benazar\Quorum Business Solutions\Ecopetrol Prometeo - Documents\Planning Space Implementation\3. Analysis &amp; Design\Design\FC22\DRR Jaime\QUIFA-CAJÚA\Cajua\[CAJUA_CF_SEC_New_27-Feb-2024Rev3.xlsx]D-PNP'!</v>
      </c>
      <c r="G1309" s="32" t="s">
        <v>113</v>
      </c>
      <c r="H1309" s="33">
        <f t="shared" si="314"/>
        <v>27</v>
      </c>
      <c r="I1309" s="33" t="str">
        <f t="shared" si="305"/>
        <v>='C:\Users\jaime.benazar\Quorum Business Solutions\Ecopetrol Prometeo - Documents\Planning Space Implementation\3. Analysis &amp; Design\Design\FC22\DRR Jaime\QUIFA-CAJÚA\Cajua\[CAJUA_CF_SEC_New_27-Feb-2024Rev3.xlsx]D-PNP'!$CA$27</v>
      </c>
      <c r="J1309" s="37" t="s">
        <v>2607</v>
      </c>
    </row>
    <row r="1310" spans="1:10" x14ac:dyDescent="0.25">
      <c r="A1310" s="32" t="s">
        <v>2</v>
      </c>
      <c r="B1310" s="32">
        <f t="shared" si="316"/>
        <v>2039</v>
      </c>
      <c r="C1310" s="33" t="s">
        <v>14</v>
      </c>
      <c r="D1310" s="34" t="s">
        <v>1999</v>
      </c>
      <c r="E1310" s="35" t="str">
        <f t="shared" si="302"/>
        <v>PNP'!</v>
      </c>
      <c r="F1310" s="34" t="str">
        <f t="shared" si="303"/>
        <v>C:\Users\jaime.benazar\Quorum Business Solutions\Ecopetrol Prometeo - Documents\Planning Space Implementation\3. Analysis &amp; Design\Design\FC22\DRR Jaime\QUIFA-CAJÚA\Cajua\[CAJUA_CF_SEC_New_27-Feb-2024Rev3.xlsx]D-PNP'!</v>
      </c>
      <c r="G1310" s="32" t="s">
        <v>113</v>
      </c>
      <c r="H1310" s="33">
        <f t="shared" si="314"/>
        <v>28</v>
      </c>
      <c r="I1310" s="33" t="str">
        <f t="shared" si="305"/>
        <v>='C:\Users\jaime.benazar\Quorum Business Solutions\Ecopetrol Prometeo - Documents\Planning Space Implementation\3. Analysis &amp; Design\Design\FC22\DRR Jaime\QUIFA-CAJÚA\Cajua\[CAJUA_CF_SEC_New_27-Feb-2024Rev3.xlsx]D-PNP'!$CA$28</v>
      </c>
      <c r="J1310" s="37" t="s">
        <v>2608</v>
      </c>
    </row>
    <row r="1311" spans="1:10" x14ac:dyDescent="0.25">
      <c r="A1311" s="32" t="s">
        <v>2</v>
      </c>
      <c r="B1311" s="32">
        <f t="shared" si="316"/>
        <v>2040</v>
      </c>
      <c r="C1311" s="33" t="s">
        <v>14</v>
      </c>
      <c r="D1311" s="34" t="s">
        <v>1999</v>
      </c>
      <c r="E1311" s="35" t="str">
        <f t="shared" si="302"/>
        <v>PNP'!</v>
      </c>
      <c r="F1311" s="34" t="str">
        <f t="shared" si="303"/>
        <v>C:\Users\jaime.benazar\Quorum Business Solutions\Ecopetrol Prometeo - Documents\Planning Space Implementation\3. Analysis &amp; Design\Design\FC22\DRR Jaime\QUIFA-CAJÚA\Cajua\[CAJUA_CF_SEC_New_27-Feb-2024Rev3.xlsx]D-PNP'!</v>
      </c>
      <c r="G1311" s="32" t="s">
        <v>113</v>
      </c>
      <c r="H1311" s="33">
        <f t="shared" si="314"/>
        <v>29</v>
      </c>
      <c r="I1311" s="33" t="str">
        <f t="shared" si="305"/>
        <v>='C:\Users\jaime.benazar\Quorum Business Solutions\Ecopetrol Prometeo - Documents\Planning Space Implementation\3. Analysis &amp; Design\Design\FC22\DRR Jaime\QUIFA-CAJÚA\Cajua\[CAJUA_CF_SEC_New_27-Feb-2024Rev3.xlsx]D-PNP'!$CA$29</v>
      </c>
      <c r="J1311" s="37" t="s">
        <v>2609</v>
      </c>
    </row>
    <row r="1312" spans="1:10" x14ac:dyDescent="0.25">
      <c r="A1312" s="32" t="s">
        <v>2</v>
      </c>
      <c r="B1312" s="32">
        <f>+B1311+1</f>
        <v>2041</v>
      </c>
      <c r="C1312" s="33" t="s">
        <v>14</v>
      </c>
      <c r="D1312" s="34" t="s">
        <v>1999</v>
      </c>
      <c r="E1312" s="35" t="str">
        <f t="shared" si="302"/>
        <v>PNP'!</v>
      </c>
      <c r="F1312" s="34" t="str">
        <f t="shared" si="303"/>
        <v>C:\Users\jaime.benazar\Quorum Business Solutions\Ecopetrol Prometeo - Documents\Planning Space Implementation\3. Analysis &amp; Design\Design\FC22\DRR Jaime\QUIFA-CAJÚA\Cajua\[CAJUA_CF_SEC_New_27-Feb-2024Rev3.xlsx]D-PNP'!</v>
      </c>
      <c r="G1312" s="32" t="s">
        <v>113</v>
      </c>
      <c r="H1312" s="33">
        <f t="shared" si="314"/>
        <v>30</v>
      </c>
      <c r="I1312" s="33" t="str">
        <f t="shared" si="305"/>
        <v>='C:\Users\jaime.benazar\Quorum Business Solutions\Ecopetrol Prometeo - Documents\Planning Space Implementation\3. Analysis &amp; Design\Design\FC22\DRR Jaime\QUIFA-CAJÚA\Cajua\[CAJUA_CF_SEC_New_27-Feb-2024Rev3.xlsx]D-PNP'!$CA$30</v>
      </c>
      <c r="J1312" s="37" t="s">
        <v>2610</v>
      </c>
    </row>
    <row r="1313" spans="1:10" x14ac:dyDescent="0.25">
      <c r="A1313" s="32" t="s">
        <v>2</v>
      </c>
      <c r="B1313" s="32">
        <f t="shared" ref="B1313:B1314" si="317">+B1312+1</f>
        <v>2042</v>
      </c>
      <c r="C1313" s="33" t="s">
        <v>14</v>
      </c>
      <c r="D1313" s="34" t="s">
        <v>1999</v>
      </c>
      <c r="E1313" s="35" t="str">
        <f t="shared" si="302"/>
        <v>PNP'!</v>
      </c>
      <c r="F1313" s="34" t="str">
        <f t="shared" si="303"/>
        <v>C:\Users\jaime.benazar\Quorum Business Solutions\Ecopetrol Prometeo - Documents\Planning Space Implementation\3. Analysis &amp; Design\Design\FC22\DRR Jaime\QUIFA-CAJÚA\Cajua\[CAJUA_CF_SEC_New_27-Feb-2024Rev3.xlsx]D-PNP'!</v>
      </c>
      <c r="G1313" s="32" t="s">
        <v>113</v>
      </c>
      <c r="H1313" s="33">
        <f t="shared" si="314"/>
        <v>31</v>
      </c>
      <c r="I1313" s="33" t="str">
        <f t="shared" si="305"/>
        <v>='C:\Users\jaime.benazar\Quorum Business Solutions\Ecopetrol Prometeo - Documents\Planning Space Implementation\3. Analysis &amp; Design\Design\FC22\DRR Jaime\QUIFA-CAJÚA\Cajua\[CAJUA_CF_SEC_New_27-Feb-2024Rev3.xlsx]D-PNP'!$CA$31</v>
      </c>
      <c r="J1313" s="37" t="s">
        <v>2611</v>
      </c>
    </row>
    <row r="1314" spans="1:10" x14ac:dyDescent="0.25">
      <c r="A1314" s="32" t="s">
        <v>2</v>
      </c>
      <c r="B1314" s="32">
        <f t="shared" si="317"/>
        <v>2043</v>
      </c>
      <c r="C1314" s="33" t="s">
        <v>14</v>
      </c>
      <c r="D1314" s="34" t="s">
        <v>1999</v>
      </c>
      <c r="E1314" s="35" t="str">
        <f t="shared" si="302"/>
        <v>PNP'!</v>
      </c>
      <c r="F1314" s="34" t="str">
        <f t="shared" si="303"/>
        <v>C:\Users\jaime.benazar\Quorum Business Solutions\Ecopetrol Prometeo - Documents\Planning Space Implementation\3. Analysis &amp; Design\Design\FC22\DRR Jaime\QUIFA-CAJÚA\Cajua\[CAJUA_CF_SEC_New_27-Feb-2024Rev3.xlsx]D-PNP'!</v>
      </c>
      <c r="G1314" s="32" t="s">
        <v>113</v>
      </c>
      <c r="H1314" s="33">
        <f t="shared" si="314"/>
        <v>32</v>
      </c>
      <c r="I1314" s="33" t="str">
        <f t="shared" si="305"/>
        <v>='C:\Users\jaime.benazar\Quorum Business Solutions\Ecopetrol Prometeo - Documents\Planning Space Implementation\3. Analysis &amp; Design\Design\FC22\DRR Jaime\QUIFA-CAJÚA\Cajua\[CAJUA_CF_SEC_New_27-Feb-2024Rev3.xlsx]D-PNP'!$CA$32</v>
      </c>
      <c r="J1314" s="37" t="s">
        <v>2612</v>
      </c>
    </row>
    <row r="1315" spans="1:10" x14ac:dyDescent="0.25">
      <c r="A1315" s="32" t="s">
        <v>2</v>
      </c>
      <c r="B1315" s="32">
        <f>+B1314+1</f>
        <v>2044</v>
      </c>
      <c r="C1315" s="33" t="s">
        <v>14</v>
      </c>
      <c r="D1315" s="34" t="s">
        <v>1999</v>
      </c>
      <c r="E1315" s="35" t="str">
        <f t="shared" ref="E1315:E1330" si="318">_xlfn.CONCAT(A1315,"'!")</f>
        <v>PNP'!</v>
      </c>
      <c r="F1315" s="34" t="str">
        <f t="shared" ref="F1315:F1330" si="319">_xlfn.CONCAT(D1315:E1315)</f>
        <v>C:\Users\jaime.benazar\Quorum Business Solutions\Ecopetrol Prometeo - Documents\Planning Space Implementation\3. Analysis &amp; Design\Design\FC22\DRR Jaime\QUIFA-CAJÚA\Cajua\[CAJUA_CF_SEC_New_27-Feb-2024Rev3.xlsx]D-PNP'!</v>
      </c>
      <c r="G1315" s="32" t="s">
        <v>113</v>
      </c>
      <c r="H1315" s="33">
        <f t="shared" ref="H1315:H1330" si="320">IF(A1315&lt;&gt;A1314,12,H1314+1)</f>
        <v>33</v>
      </c>
      <c r="I1315" s="33" t="str">
        <f t="shared" ref="I1315:I1330" si="321">_xlfn.CONCAT("='",F1315:H1315)</f>
        <v>='C:\Users\jaime.benazar\Quorum Business Solutions\Ecopetrol Prometeo - Documents\Planning Space Implementation\3. Analysis &amp; Design\Design\FC22\DRR Jaime\QUIFA-CAJÚA\Cajua\[CAJUA_CF_SEC_New_27-Feb-2024Rev3.xlsx]D-PNP'!$CA$33</v>
      </c>
      <c r="J1315" s="37" t="s">
        <v>2613</v>
      </c>
    </row>
    <row r="1316" spans="1:10" x14ac:dyDescent="0.25">
      <c r="A1316" s="32" t="s">
        <v>2</v>
      </c>
      <c r="B1316" s="32">
        <f t="shared" ref="B1316:B1330" si="322">+B1315+1</f>
        <v>2045</v>
      </c>
      <c r="C1316" s="33" t="s">
        <v>14</v>
      </c>
      <c r="D1316" s="34" t="s">
        <v>1999</v>
      </c>
      <c r="E1316" s="35" t="str">
        <f t="shared" si="318"/>
        <v>PNP'!</v>
      </c>
      <c r="F1316" s="34" t="str">
        <f t="shared" si="319"/>
        <v>C:\Users\jaime.benazar\Quorum Business Solutions\Ecopetrol Prometeo - Documents\Planning Space Implementation\3. Analysis &amp; Design\Design\FC22\DRR Jaime\QUIFA-CAJÚA\Cajua\[CAJUA_CF_SEC_New_27-Feb-2024Rev3.xlsx]D-PNP'!</v>
      </c>
      <c r="G1316" s="32" t="s">
        <v>113</v>
      </c>
      <c r="H1316" s="33">
        <f t="shared" si="320"/>
        <v>34</v>
      </c>
      <c r="I1316" s="33" t="str">
        <f t="shared" si="321"/>
        <v>='C:\Users\jaime.benazar\Quorum Business Solutions\Ecopetrol Prometeo - Documents\Planning Space Implementation\3. Analysis &amp; Design\Design\FC22\DRR Jaime\QUIFA-CAJÚA\Cajua\[CAJUA_CF_SEC_New_27-Feb-2024Rev3.xlsx]D-PNP'!$CA$34</v>
      </c>
      <c r="J1316" s="37" t="s">
        <v>2614</v>
      </c>
    </row>
    <row r="1317" spans="1:10" x14ac:dyDescent="0.25">
      <c r="A1317" s="32" t="s">
        <v>2</v>
      </c>
      <c r="B1317" s="32">
        <f t="shared" si="322"/>
        <v>2046</v>
      </c>
      <c r="C1317" s="33" t="s">
        <v>14</v>
      </c>
      <c r="D1317" s="34" t="s">
        <v>1999</v>
      </c>
      <c r="E1317" s="35" t="str">
        <f t="shared" si="318"/>
        <v>PNP'!</v>
      </c>
      <c r="F1317" s="34" t="str">
        <f t="shared" si="319"/>
        <v>C:\Users\jaime.benazar\Quorum Business Solutions\Ecopetrol Prometeo - Documents\Planning Space Implementation\3. Analysis &amp; Design\Design\FC22\DRR Jaime\QUIFA-CAJÚA\Cajua\[CAJUA_CF_SEC_New_27-Feb-2024Rev3.xlsx]D-PNP'!</v>
      </c>
      <c r="G1317" s="32" t="s">
        <v>113</v>
      </c>
      <c r="H1317" s="33">
        <f t="shared" si="320"/>
        <v>35</v>
      </c>
      <c r="I1317" s="33" t="str">
        <f t="shared" si="321"/>
        <v>='C:\Users\jaime.benazar\Quorum Business Solutions\Ecopetrol Prometeo - Documents\Planning Space Implementation\3. Analysis &amp; Design\Design\FC22\DRR Jaime\QUIFA-CAJÚA\Cajua\[CAJUA_CF_SEC_New_27-Feb-2024Rev3.xlsx]D-PNP'!$CA$35</v>
      </c>
      <c r="J1317" s="37" t="s">
        <v>2615</v>
      </c>
    </row>
    <row r="1318" spans="1:10" x14ac:dyDescent="0.25">
      <c r="A1318" s="32" t="s">
        <v>2</v>
      </c>
      <c r="B1318" s="32">
        <f t="shared" si="322"/>
        <v>2047</v>
      </c>
      <c r="C1318" s="33" t="s">
        <v>14</v>
      </c>
      <c r="D1318" s="34" t="s">
        <v>1999</v>
      </c>
      <c r="E1318" s="35" t="str">
        <f t="shared" si="318"/>
        <v>PNP'!</v>
      </c>
      <c r="F1318" s="34" t="str">
        <f t="shared" si="319"/>
        <v>C:\Users\jaime.benazar\Quorum Business Solutions\Ecopetrol Prometeo - Documents\Planning Space Implementation\3. Analysis &amp; Design\Design\FC22\DRR Jaime\QUIFA-CAJÚA\Cajua\[CAJUA_CF_SEC_New_27-Feb-2024Rev3.xlsx]D-PNP'!</v>
      </c>
      <c r="G1318" s="32" t="s">
        <v>113</v>
      </c>
      <c r="H1318" s="33">
        <f t="shared" si="320"/>
        <v>36</v>
      </c>
      <c r="I1318" s="33" t="str">
        <f t="shared" si="321"/>
        <v>='C:\Users\jaime.benazar\Quorum Business Solutions\Ecopetrol Prometeo - Documents\Planning Space Implementation\3. Analysis &amp; Design\Design\FC22\DRR Jaime\QUIFA-CAJÚA\Cajua\[CAJUA_CF_SEC_New_27-Feb-2024Rev3.xlsx]D-PNP'!$CA$36</v>
      </c>
      <c r="J1318" s="37" t="s">
        <v>2616</v>
      </c>
    </row>
    <row r="1319" spans="1:10" x14ac:dyDescent="0.25">
      <c r="A1319" s="32" t="s">
        <v>2</v>
      </c>
      <c r="B1319" s="32">
        <f t="shared" si="322"/>
        <v>2048</v>
      </c>
      <c r="C1319" s="33" t="s">
        <v>14</v>
      </c>
      <c r="D1319" s="34" t="s">
        <v>1999</v>
      </c>
      <c r="E1319" s="35" t="str">
        <f t="shared" si="318"/>
        <v>PNP'!</v>
      </c>
      <c r="F1319" s="34" t="str">
        <f t="shared" si="319"/>
        <v>C:\Users\jaime.benazar\Quorum Business Solutions\Ecopetrol Prometeo - Documents\Planning Space Implementation\3. Analysis &amp; Design\Design\FC22\DRR Jaime\QUIFA-CAJÚA\Cajua\[CAJUA_CF_SEC_New_27-Feb-2024Rev3.xlsx]D-PNP'!</v>
      </c>
      <c r="G1319" s="32" t="s">
        <v>113</v>
      </c>
      <c r="H1319" s="33">
        <f t="shared" si="320"/>
        <v>37</v>
      </c>
      <c r="I1319" s="33" t="str">
        <f t="shared" si="321"/>
        <v>='C:\Users\jaime.benazar\Quorum Business Solutions\Ecopetrol Prometeo - Documents\Planning Space Implementation\3. Analysis &amp; Design\Design\FC22\DRR Jaime\QUIFA-CAJÚA\Cajua\[CAJUA_CF_SEC_New_27-Feb-2024Rev3.xlsx]D-PNP'!$CA$37</v>
      </c>
      <c r="J1319" s="37" t="s">
        <v>2617</v>
      </c>
    </row>
    <row r="1320" spans="1:10" x14ac:dyDescent="0.25">
      <c r="A1320" s="32" t="s">
        <v>2</v>
      </c>
      <c r="B1320" s="32">
        <f t="shared" si="322"/>
        <v>2049</v>
      </c>
      <c r="C1320" s="33" t="s">
        <v>14</v>
      </c>
      <c r="D1320" s="34" t="s">
        <v>1999</v>
      </c>
      <c r="E1320" s="35" t="str">
        <f t="shared" si="318"/>
        <v>PNP'!</v>
      </c>
      <c r="F1320" s="34" t="str">
        <f t="shared" si="319"/>
        <v>C:\Users\jaime.benazar\Quorum Business Solutions\Ecopetrol Prometeo - Documents\Planning Space Implementation\3. Analysis &amp; Design\Design\FC22\DRR Jaime\QUIFA-CAJÚA\Cajua\[CAJUA_CF_SEC_New_27-Feb-2024Rev3.xlsx]D-PNP'!</v>
      </c>
      <c r="G1320" s="32" t="s">
        <v>113</v>
      </c>
      <c r="H1320" s="33">
        <f t="shared" si="320"/>
        <v>38</v>
      </c>
      <c r="I1320" s="33" t="str">
        <f t="shared" si="321"/>
        <v>='C:\Users\jaime.benazar\Quorum Business Solutions\Ecopetrol Prometeo - Documents\Planning Space Implementation\3. Analysis &amp; Design\Design\FC22\DRR Jaime\QUIFA-CAJÚA\Cajua\[CAJUA_CF_SEC_New_27-Feb-2024Rev3.xlsx]D-PNP'!$CA$38</v>
      </c>
      <c r="J1320" s="37" t="s">
        <v>2618</v>
      </c>
    </row>
    <row r="1321" spans="1:10" x14ac:dyDescent="0.25">
      <c r="A1321" s="32" t="s">
        <v>2</v>
      </c>
      <c r="B1321" s="32">
        <f t="shared" si="322"/>
        <v>2050</v>
      </c>
      <c r="C1321" s="33" t="s">
        <v>14</v>
      </c>
      <c r="D1321" s="34" t="s">
        <v>1999</v>
      </c>
      <c r="E1321" s="35" t="str">
        <f t="shared" si="318"/>
        <v>PNP'!</v>
      </c>
      <c r="F1321" s="34" t="str">
        <f t="shared" si="319"/>
        <v>C:\Users\jaime.benazar\Quorum Business Solutions\Ecopetrol Prometeo - Documents\Planning Space Implementation\3. Analysis &amp; Design\Design\FC22\DRR Jaime\QUIFA-CAJÚA\Cajua\[CAJUA_CF_SEC_New_27-Feb-2024Rev3.xlsx]D-PNP'!</v>
      </c>
      <c r="G1321" s="32" t="s">
        <v>113</v>
      </c>
      <c r="H1321" s="33">
        <f t="shared" si="320"/>
        <v>39</v>
      </c>
      <c r="I1321" s="33" t="str">
        <f t="shared" si="321"/>
        <v>='C:\Users\jaime.benazar\Quorum Business Solutions\Ecopetrol Prometeo - Documents\Planning Space Implementation\3. Analysis &amp; Design\Design\FC22\DRR Jaime\QUIFA-CAJÚA\Cajua\[CAJUA_CF_SEC_New_27-Feb-2024Rev3.xlsx]D-PNP'!$CA$39</v>
      </c>
      <c r="J1321" s="37" t="s">
        <v>2619</v>
      </c>
    </row>
    <row r="1322" spans="1:10" x14ac:dyDescent="0.25">
      <c r="A1322" s="32" t="s">
        <v>2</v>
      </c>
      <c r="B1322" s="32">
        <f t="shared" si="322"/>
        <v>2051</v>
      </c>
      <c r="C1322" s="33" t="s">
        <v>14</v>
      </c>
      <c r="D1322" s="34" t="s">
        <v>1999</v>
      </c>
      <c r="E1322" s="35" t="str">
        <f t="shared" si="318"/>
        <v>PNP'!</v>
      </c>
      <c r="F1322" s="34" t="str">
        <f t="shared" si="319"/>
        <v>C:\Users\jaime.benazar\Quorum Business Solutions\Ecopetrol Prometeo - Documents\Planning Space Implementation\3. Analysis &amp; Design\Design\FC22\DRR Jaime\QUIFA-CAJÚA\Cajua\[CAJUA_CF_SEC_New_27-Feb-2024Rev3.xlsx]D-PNP'!</v>
      </c>
      <c r="G1322" s="32" t="s">
        <v>113</v>
      </c>
      <c r="H1322" s="33">
        <f t="shared" si="320"/>
        <v>40</v>
      </c>
      <c r="I1322" s="33" t="str">
        <f t="shared" si="321"/>
        <v>='C:\Users\jaime.benazar\Quorum Business Solutions\Ecopetrol Prometeo - Documents\Planning Space Implementation\3. Analysis &amp; Design\Design\FC22\DRR Jaime\QUIFA-CAJÚA\Cajua\[CAJUA_CF_SEC_New_27-Feb-2024Rev3.xlsx]D-PNP'!$CA$40</v>
      </c>
      <c r="J1322" s="37" t="s">
        <v>2620</v>
      </c>
    </row>
    <row r="1323" spans="1:10" x14ac:dyDescent="0.25">
      <c r="A1323" s="32" t="s">
        <v>2</v>
      </c>
      <c r="B1323" s="32">
        <f t="shared" si="322"/>
        <v>2052</v>
      </c>
      <c r="C1323" s="33" t="s">
        <v>14</v>
      </c>
      <c r="D1323" s="34" t="s">
        <v>1999</v>
      </c>
      <c r="E1323" s="35" t="str">
        <f t="shared" si="318"/>
        <v>PNP'!</v>
      </c>
      <c r="F1323" s="34" t="str">
        <f t="shared" si="319"/>
        <v>C:\Users\jaime.benazar\Quorum Business Solutions\Ecopetrol Prometeo - Documents\Planning Space Implementation\3. Analysis &amp; Design\Design\FC22\DRR Jaime\QUIFA-CAJÚA\Cajua\[CAJUA_CF_SEC_New_27-Feb-2024Rev3.xlsx]D-PNP'!</v>
      </c>
      <c r="G1323" s="32" t="s">
        <v>113</v>
      </c>
      <c r="H1323" s="33">
        <f t="shared" si="320"/>
        <v>41</v>
      </c>
      <c r="I1323" s="33" t="str">
        <f t="shared" si="321"/>
        <v>='C:\Users\jaime.benazar\Quorum Business Solutions\Ecopetrol Prometeo - Documents\Planning Space Implementation\3. Analysis &amp; Design\Design\FC22\DRR Jaime\QUIFA-CAJÚA\Cajua\[CAJUA_CF_SEC_New_27-Feb-2024Rev3.xlsx]D-PNP'!$CA$41</v>
      </c>
      <c r="J1323" s="37" t="s">
        <v>2621</v>
      </c>
    </row>
    <row r="1324" spans="1:10" x14ac:dyDescent="0.25">
      <c r="A1324" s="32" t="s">
        <v>2</v>
      </c>
      <c r="B1324" s="32">
        <f t="shared" si="322"/>
        <v>2053</v>
      </c>
      <c r="C1324" s="33" t="s">
        <v>14</v>
      </c>
      <c r="D1324" s="34" t="s">
        <v>1999</v>
      </c>
      <c r="E1324" s="35" t="str">
        <f t="shared" si="318"/>
        <v>PNP'!</v>
      </c>
      <c r="F1324" s="34" t="str">
        <f t="shared" si="319"/>
        <v>C:\Users\jaime.benazar\Quorum Business Solutions\Ecopetrol Prometeo - Documents\Planning Space Implementation\3. Analysis &amp; Design\Design\FC22\DRR Jaime\QUIFA-CAJÚA\Cajua\[CAJUA_CF_SEC_New_27-Feb-2024Rev3.xlsx]D-PNP'!</v>
      </c>
      <c r="G1324" s="32" t="s">
        <v>113</v>
      </c>
      <c r="H1324" s="33">
        <f t="shared" si="320"/>
        <v>42</v>
      </c>
      <c r="I1324" s="33" t="str">
        <f t="shared" si="321"/>
        <v>='C:\Users\jaime.benazar\Quorum Business Solutions\Ecopetrol Prometeo - Documents\Planning Space Implementation\3. Analysis &amp; Design\Design\FC22\DRR Jaime\QUIFA-CAJÚA\Cajua\[CAJUA_CF_SEC_New_27-Feb-2024Rev3.xlsx]D-PNP'!$CA$42</v>
      </c>
      <c r="J1324" s="37" t="s">
        <v>2622</v>
      </c>
    </row>
    <row r="1325" spans="1:10" x14ac:dyDescent="0.25">
      <c r="A1325" s="32" t="s">
        <v>2</v>
      </c>
      <c r="B1325" s="32">
        <f t="shared" si="322"/>
        <v>2054</v>
      </c>
      <c r="C1325" s="33" t="s">
        <v>14</v>
      </c>
      <c r="D1325" s="34" t="s">
        <v>1999</v>
      </c>
      <c r="E1325" s="35" t="str">
        <f t="shared" si="318"/>
        <v>PNP'!</v>
      </c>
      <c r="F1325" s="34" t="str">
        <f t="shared" si="319"/>
        <v>C:\Users\jaime.benazar\Quorum Business Solutions\Ecopetrol Prometeo - Documents\Planning Space Implementation\3. Analysis &amp; Design\Design\FC22\DRR Jaime\QUIFA-CAJÚA\Cajua\[CAJUA_CF_SEC_New_27-Feb-2024Rev3.xlsx]D-PNP'!</v>
      </c>
      <c r="G1325" s="32" t="s">
        <v>113</v>
      </c>
      <c r="H1325" s="33">
        <f t="shared" si="320"/>
        <v>43</v>
      </c>
      <c r="I1325" s="33" t="str">
        <f t="shared" si="321"/>
        <v>='C:\Users\jaime.benazar\Quorum Business Solutions\Ecopetrol Prometeo - Documents\Planning Space Implementation\3. Analysis &amp; Design\Design\FC22\DRR Jaime\QUIFA-CAJÚA\Cajua\[CAJUA_CF_SEC_New_27-Feb-2024Rev3.xlsx]D-PNP'!$CA$43</v>
      </c>
      <c r="J1325" s="37" t="s">
        <v>2623</v>
      </c>
    </row>
    <row r="1326" spans="1:10" x14ac:dyDescent="0.25">
      <c r="A1326" s="32" t="s">
        <v>2</v>
      </c>
      <c r="B1326" s="32">
        <f t="shared" si="322"/>
        <v>2055</v>
      </c>
      <c r="C1326" s="33" t="s">
        <v>14</v>
      </c>
      <c r="D1326" s="34" t="s">
        <v>1999</v>
      </c>
      <c r="E1326" s="35" t="str">
        <f t="shared" si="318"/>
        <v>PNP'!</v>
      </c>
      <c r="F1326" s="34" t="str">
        <f t="shared" si="319"/>
        <v>C:\Users\jaime.benazar\Quorum Business Solutions\Ecopetrol Prometeo - Documents\Planning Space Implementation\3. Analysis &amp; Design\Design\FC22\DRR Jaime\QUIFA-CAJÚA\Cajua\[CAJUA_CF_SEC_New_27-Feb-2024Rev3.xlsx]D-PNP'!</v>
      </c>
      <c r="G1326" s="32" t="s">
        <v>113</v>
      </c>
      <c r="H1326" s="33">
        <f t="shared" si="320"/>
        <v>44</v>
      </c>
      <c r="I1326" s="33" t="str">
        <f t="shared" si="321"/>
        <v>='C:\Users\jaime.benazar\Quorum Business Solutions\Ecopetrol Prometeo - Documents\Planning Space Implementation\3. Analysis &amp; Design\Design\FC22\DRR Jaime\QUIFA-CAJÚA\Cajua\[CAJUA_CF_SEC_New_27-Feb-2024Rev3.xlsx]D-PNP'!$CA$44</v>
      </c>
      <c r="J1326" s="37" t="s">
        <v>2624</v>
      </c>
    </row>
    <row r="1327" spans="1:10" x14ac:dyDescent="0.25">
      <c r="A1327" s="32" t="s">
        <v>2</v>
      </c>
      <c r="B1327" s="32">
        <f t="shared" si="322"/>
        <v>2056</v>
      </c>
      <c r="C1327" s="33" t="s">
        <v>14</v>
      </c>
      <c r="D1327" s="34" t="s">
        <v>1999</v>
      </c>
      <c r="E1327" s="35" t="str">
        <f t="shared" si="318"/>
        <v>PNP'!</v>
      </c>
      <c r="F1327" s="34" t="str">
        <f t="shared" si="319"/>
        <v>C:\Users\jaime.benazar\Quorum Business Solutions\Ecopetrol Prometeo - Documents\Planning Space Implementation\3. Analysis &amp; Design\Design\FC22\DRR Jaime\QUIFA-CAJÚA\Cajua\[CAJUA_CF_SEC_New_27-Feb-2024Rev3.xlsx]D-PNP'!</v>
      </c>
      <c r="G1327" s="32" t="s">
        <v>113</v>
      </c>
      <c r="H1327" s="33">
        <f t="shared" si="320"/>
        <v>45</v>
      </c>
      <c r="I1327" s="33" t="str">
        <f t="shared" si="321"/>
        <v>='C:\Users\jaime.benazar\Quorum Business Solutions\Ecopetrol Prometeo - Documents\Planning Space Implementation\3. Analysis &amp; Design\Design\FC22\DRR Jaime\QUIFA-CAJÚA\Cajua\[CAJUA_CF_SEC_New_27-Feb-2024Rev3.xlsx]D-PNP'!$CA$45</v>
      </c>
      <c r="J1327" s="37" t="s">
        <v>2625</v>
      </c>
    </row>
    <row r="1328" spans="1:10" x14ac:dyDescent="0.25">
      <c r="A1328" s="32" t="s">
        <v>2</v>
      </c>
      <c r="B1328" s="32">
        <f t="shared" si="322"/>
        <v>2057</v>
      </c>
      <c r="C1328" s="33" t="s">
        <v>14</v>
      </c>
      <c r="D1328" s="34" t="s">
        <v>1999</v>
      </c>
      <c r="E1328" s="35" t="str">
        <f t="shared" si="318"/>
        <v>PNP'!</v>
      </c>
      <c r="F1328" s="34" t="str">
        <f t="shared" si="319"/>
        <v>C:\Users\jaime.benazar\Quorum Business Solutions\Ecopetrol Prometeo - Documents\Planning Space Implementation\3. Analysis &amp; Design\Design\FC22\DRR Jaime\QUIFA-CAJÚA\Cajua\[CAJUA_CF_SEC_New_27-Feb-2024Rev3.xlsx]D-PNP'!</v>
      </c>
      <c r="G1328" s="32" t="s">
        <v>113</v>
      </c>
      <c r="H1328" s="33">
        <f t="shared" si="320"/>
        <v>46</v>
      </c>
      <c r="I1328" s="33" t="str">
        <f t="shared" si="321"/>
        <v>='C:\Users\jaime.benazar\Quorum Business Solutions\Ecopetrol Prometeo - Documents\Planning Space Implementation\3. Analysis &amp; Design\Design\FC22\DRR Jaime\QUIFA-CAJÚA\Cajua\[CAJUA_CF_SEC_New_27-Feb-2024Rev3.xlsx]D-PNP'!$CA$46</v>
      </c>
      <c r="J1328" s="37" t="s">
        <v>2626</v>
      </c>
    </row>
    <row r="1329" spans="1:10" x14ac:dyDescent="0.25">
      <c r="A1329" s="32" t="s">
        <v>2</v>
      </c>
      <c r="B1329" s="32">
        <f t="shared" si="322"/>
        <v>2058</v>
      </c>
      <c r="C1329" s="33" t="s">
        <v>14</v>
      </c>
      <c r="D1329" s="34" t="s">
        <v>1999</v>
      </c>
      <c r="E1329" s="35" t="str">
        <f t="shared" si="318"/>
        <v>PNP'!</v>
      </c>
      <c r="F1329" s="34" t="str">
        <f t="shared" si="319"/>
        <v>C:\Users\jaime.benazar\Quorum Business Solutions\Ecopetrol Prometeo - Documents\Planning Space Implementation\3. Analysis &amp; Design\Design\FC22\DRR Jaime\QUIFA-CAJÚA\Cajua\[CAJUA_CF_SEC_New_27-Feb-2024Rev3.xlsx]D-PNP'!</v>
      </c>
      <c r="G1329" s="32" t="s">
        <v>113</v>
      </c>
      <c r="H1329" s="33">
        <f t="shared" si="320"/>
        <v>47</v>
      </c>
      <c r="I1329" s="33" t="str">
        <f t="shared" si="321"/>
        <v>='C:\Users\jaime.benazar\Quorum Business Solutions\Ecopetrol Prometeo - Documents\Planning Space Implementation\3. Analysis &amp; Design\Design\FC22\DRR Jaime\QUIFA-CAJÚA\Cajua\[CAJUA_CF_SEC_New_27-Feb-2024Rev3.xlsx]D-PNP'!$CA$47</v>
      </c>
      <c r="J1329" s="37" t="s">
        <v>2627</v>
      </c>
    </row>
    <row r="1330" spans="1:10" x14ac:dyDescent="0.25">
      <c r="A1330" s="32" t="s">
        <v>2</v>
      </c>
      <c r="B1330" s="32">
        <f t="shared" si="322"/>
        <v>2059</v>
      </c>
      <c r="C1330" s="33" t="s">
        <v>14</v>
      </c>
      <c r="D1330" s="34" t="s">
        <v>1999</v>
      </c>
      <c r="E1330" s="35" t="str">
        <f t="shared" si="318"/>
        <v>PNP'!</v>
      </c>
      <c r="F1330" s="34" t="str">
        <f t="shared" si="319"/>
        <v>C:\Users\jaime.benazar\Quorum Business Solutions\Ecopetrol Prometeo - Documents\Planning Space Implementation\3. Analysis &amp; Design\Design\FC22\DRR Jaime\QUIFA-CAJÚA\Cajua\[CAJUA_CF_SEC_New_27-Feb-2024Rev3.xlsx]D-PNP'!</v>
      </c>
      <c r="G1330" s="32" t="s">
        <v>113</v>
      </c>
      <c r="H1330" s="33">
        <f t="shared" si="320"/>
        <v>48</v>
      </c>
      <c r="I1330" s="33" t="str">
        <f t="shared" si="321"/>
        <v>='C:\Users\jaime.benazar\Quorum Business Solutions\Ecopetrol Prometeo - Documents\Planning Space Implementation\3. Analysis &amp; Design\Design\FC22\DRR Jaime\QUIFA-CAJÚA\Cajua\[CAJUA_CF_SEC_New_27-Feb-2024Rev3.xlsx]D-PNP'!$CA$48</v>
      </c>
      <c r="J1330" s="37" t="s">
        <v>2628</v>
      </c>
    </row>
    <row r="1331" spans="1:10" x14ac:dyDescent="0.25">
      <c r="A1331" s="32" t="s">
        <v>28</v>
      </c>
      <c r="B1331" s="32"/>
      <c r="C1331" s="33" t="s">
        <v>14</v>
      </c>
      <c r="D1331" s="34"/>
      <c r="E1331" s="35"/>
      <c r="F1331" s="34"/>
      <c r="G1331" s="32"/>
      <c r="H1331" s="33"/>
      <c r="I1331" s="33"/>
      <c r="J1331" s="33"/>
    </row>
    <row r="1332" spans="1:10" x14ac:dyDescent="0.25">
      <c r="A1332" s="32" t="s">
        <v>3</v>
      </c>
      <c r="B1332" s="32">
        <v>2023</v>
      </c>
      <c r="C1332" s="33" t="s">
        <v>14</v>
      </c>
      <c r="D1332" s="34" t="s">
        <v>1999</v>
      </c>
      <c r="E1332" s="35" t="str">
        <f t="shared" si="302"/>
        <v>PND'!</v>
      </c>
      <c r="F1332" s="34" t="str">
        <f t="shared" si="303"/>
        <v>C:\Users\jaime.benazar\Quorum Business Solutions\Ecopetrol Prometeo - Documents\Planning Space Implementation\3. Analysis &amp; Design\Design\FC22\DRR Jaime\QUIFA-CAJÚA\Cajua\[CAJUA_CF_SEC_New_27-Feb-2024Rev3.xlsx]D-PND'!</v>
      </c>
      <c r="G1332" s="32" t="s">
        <v>113</v>
      </c>
      <c r="H1332" s="33">
        <v>12</v>
      </c>
      <c r="I1332" s="33" t="str">
        <f t="shared" si="305"/>
        <v>='C:\Users\jaime.benazar\Quorum Business Solutions\Ecopetrol Prometeo - Documents\Planning Space Implementation\3. Analysis &amp; Design\Design\FC22\DRR Jaime\QUIFA-CAJÚA\Cajua\[CAJUA_CF_SEC_New_27-Feb-2024Rev3.xlsx]D-PND'!$CA$12</v>
      </c>
      <c r="J1332" s="37" t="s">
        <v>2629</v>
      </c>
    </row>
    <row r="1333" spans="1:10" x14ac:dyDescent="0.25">
      <c r="A1333" s="32" t="s">
        <v>3</v>
      </c>
      <c r="B1333" s="32">
        <f>+B1332+1</f>
        <v>2024</v>
      </c>
      <c r="C1333" s="33" t="s">
        <v>14</v>
      </c>
      <c r="D1333" s="34" t="s">
        <v>1999</v>
      </c>
      <c r="E1333" s="35" t="str">
        <f t="shared" si="302"/>
        <v>PND'!</v>
      </c>
      <c r="F1333" s="34" t="str">
        <f t="shared" si="303"/>
        <v>C:\Users\jaime.benazar\Quorum Business Solutions\Ecopetrol Prometeo - Documents\Planning Space Implementation\3. Analysis &amp; Design\Design\FC22\DRR Jaime\QUIFA-CAJÚA\Cajua\[CAJUA_CF_SEC_New_27-Feb-2024Rev3.xlsx]D-PND'!</v>
      </c>
      <c r="G1333" s="32" t="s">
        <v>113</v>
      </c>
      <c r="H1333" s="33">
        <f t="shared" ref="H1333:H1352" si="323">IF(A1333&lt;&gt;A1332,12,H1332+1)</f>
        <v>13</v>
      </c>
      <c r="I1333" s="33" t="str">
        <f t="shared" si="305"/>
        <v>='C:\Users\jaime.benazar\Quorum Business Solutions\Ecopetrol Prometeo - Documents\Planning Space Implementation\3. Analysis &amp; Design\Design\FC22\DRR Jaime\QUIFA-CAJÚA\Cajua\[CAJUA_CF_SEC_New_27-Feb-2024Rev3.xlsx]D-PND'!$CA$13</v>
      </c>
      <c r="J1333" s="37" t="s">
        <v>2630</v>
      </c>
    </row>
    <row r="1334" spans="1:10" x14ac:dyDescent="0.25">
      <c r="A1334" s="32" t="s">
        <v>3</v>
      </c>
      <c r="B1334" s="32">
        <f t="shared" ref="B1334:B1345" si="324">+B1333+1</f>
        <v>2025</v>
      </c>
      <c r="C1334" s="33" t="s">
        <v>14</v>
      </c>
      <c r="D1334" s="34" t="s">
        <v>1999</v>
      </c>
      <c r="E1334" s="35" t="str">
        <f t="shared" si="302"/>
        <v>PND'!</v>
      </c>
      <c r="F1334" s="34" t="str">
        <f t="shared" si="303"/>
        <v>C:\Users\jaime.benazar\Quorum Business Solutions\Ecopetrol Prometeo - Documents\Planning Space Implementation\3. Analysis &amp; Design\Design\FC22\DRR Jaime\QUIFA-CAJÚA\Cajua\[CAJUA_CF_SEC_New_27-Feb-2024Rev3.xlsx]D-PND'!</v>
      </c>
      <c r="G1334" s="32" t="s">
        <v>113</v>
      </c>
      <c r="H1334" s="33">
        <f t="shared" si="323"/>
        <v>14</v>
      </c>
      <c r="I1334" s="33" t="str">
        <f t="shared" si="305"/>
        <v>='C:\Users\jaime.benazar\Quorum Business Solutions\Ecopetrol Prometeo - Documents\Planning Space Implementation\3. Analysis &amp; Design\Design\FC22\DRR Jaime\QUIFA-CAJÚA\Cajua\[CAJUA_CF_SEC_New_27-Feb-2024Rev3.xlsx]D-PND'!$CA$14</v>
      </c>
      <c r="J1334" s="37" t="s">
        <v>2631</v>
      </c>
    </row>
    <row r="1335" spans="1:10" x14ac:dyDescent="0.25">
      <c r="A1335" s="32" t="s">
        <v>3</v>
      </c>
      <c r="B1335" s="32">
        <f t="shared" si="324"/>
        <v>2026</v>
      </c>
      <c r="C1335" s="33" t="s">
        <v>14</v>
      </c>
      <c r="D1335" s="34" t="s">
        <v>1999</v>
      </c>
      <c r="E1335" s="35" t="str">
        <f t="shared" si="302"/>
        <v>PND'!</v>
      </c>
      <c r="F1335" s="34" t="str">
        <f t="shared" si="303"/>
        <v>C:\Users\jaime.benazar\Quorum Business Solutions\Ecopetrol Prometeo - Documents\Planning Space Implementation\3. Analysis &amp; Design\Design\FC22\DRR Jaime\QUIFA-CAJÚA\Cajua\[CAJUA_CF_SEC_New_27-Feb-2024Rev3.xlsx]D-PND'!</v>
      </c>
      <c r="G1335" s="32" t="s">
        <v>113</v>
      </c>
      <c r="H1335" s="33">
        <f t="shared" si="323"/>
        <v>15</v>
      </c>
      <c r="I1335" s="33" t="str">
        <f t="shared" si="305"/>
        <v>='C:\Users\jaime.benazar\Quorum Business Solutions\Ecopetrol Prometeo - Documents\Planning Space Implementation\3. Analysis &amp; Design\Design\FC22\DRR Jaime\QUIFA-CAJÚA\Cajua\[CAJUA_CF_SEC_New_27-Feb-2024Rev3.xlsx]D-PND'!$CA$15</v>
      </c>
      <c r="J1335" s="37" t="s">
        <v>2632</v>
      </c>
    </row>
    <row r="1336" spans="1:10" x14ac:dyDescent="0.25">
      <c r="A1336" s="32" t="s">
        <v>3</v>
      </c>
      <c r="B1336" s="32">
        <f t="shared" si="324"/>
        <v>2027</v>
      </c>
      <c r="C1336" s="33" t="s">
        <v>14</v>
      </c>
      <c r="D1336" s="34" t="s">
        <v>1999</v>
      </c>
      <c r="E1336" s="35" t="str">
        <f t="shared" si="302"/>
        <v>PND'!</v>
      </c>
      <c r="F1336" s="34" t="str">
        <f t="shared" si="303"/>
        <v>C:\Users\jaime.benazar\Quorum Business Solutions\Ecopetrol Prometeo - Documents\Planning Space Implementation\3. Analysis &amp; Design\Design\FC22\DRR Jaime\QUIFA-CAJÚA\Cajua\[CAJUA_CF_SEC_New_27-Feb-2024Rev3.xlsx]D-PND'!</v>
      </c>
      <c r="G1336" s="32" t="s">
        <v>113</v>
      </c>
      <c r="H1336" s="33">
        <f t="shared" si="323"/>
        <v>16</v>
      </c>
      <c r="I1336" s="33" t="str">
        <f t="shared" si="305"/>
        <v>='C:\Users\jaime.benazar\Quorum Business Solutions\Ecopetrol Prometeo - Documents\Planning Space Implementation\3. Analysis &amp; Design\Design\FC22\DRR Jaime\QUIFA-CAJÚA\Cajua\[CAJUA_CF_SEC_New_27-Feb-2024Rev3.xlsx]D-PND'!$CA$16</v>
      </c>
      <c r="J1336" s="37" t="s">
        <v>2633</v>
      </c>
    </row>
    <row r="1337" spans="1:10" x14ac:dyDescent="0.25">
      <c r="A1337" s="32" t="s">
        <v>3</v>
      </c>
      <c r="B1337" s="32">
        <f t="shared" si="324"/>
        <v>2028</v>
      </c>
      <c r="C1337" s="33" t="s">
        <v>14</v>
      </c>
      <c r="D1337" s="34" t="s">
        <v>1999</v>
      </c>
      <c r="E1337" s="35" t="str">
        <f t="shared" si="302"/>
        <v>PND'!</v>
      </c>
      <c r="F1337" s="34" t="str">
        <f t="shared" si="303"/>
        <v>C:\Users\jaime.benazar\Quorum Business Solutions\Ecopetrol Prometeo - Documents\Planning Space Implementation\3. Analysis &amp; Design\Design\FC22\DRR Jaime\QUIFA-CAJÚA\Cajua\[CAJUA_CF_SEC_New_27-Feb-2024Rev3.xlsx]D-PND'!</v>
      </c>
      <c r="G1337" s="32" t="s">
        <v>113</v>
      </c>
      <c r="H1337" s="33">
        <f t="shared" si="323"/>
        <v>17</v>
      </c>
      <c r="I1337" s="33" t="str">
        <f t="shared" si="305"/>
        <v>='C:\Users\jaime.benazar\Quorum Business Solutions\Ecopetrol Prometeo - Documents\Planning Space Implementation\3. Analysis &amp; Design\Design\FC22\DRR Jaime\QUIFA-CAJÚA\Cajua\[CAJUA_CF_SEC_New_27-Feb-2024Rev3.xlsx]D-PND'!$CA$17</v>
      </c>
      <c r="J1337" s="37" t="s">
        <v>2634</v>
      </c>
    </row>
    <row r="1338" spans="1:10" x14ac:dyDescent="0.25">
      <c r="A1338" s="32" t="s">
        <v>3</v>
      </c>
      <c r="B1338" s="32">
        <f t="shared" si="324"/>
        <v>2029</v>
      </c>
      <c r="C1338" s="33" t="s">
        <v>14</v>
      </c>
      <c r="D1338" s="34" t="s">
        <v>1999</v>
      </c>
      <c r="E1338" s="35" t="str">
        <f t="shared" si="302"/>
        <v>PND'!</v>
      </c>
      <c r="F1338" s="34" t="str">
        <f t="shared" si="303"/>
        <v>C:\Users\jaime.benazar\Quorum Business Solutions\Ecopetrol Prometeo - Documents\Planning Space Implementation\3. Analysis &amp; Design\Design\FC22\DRR Jaime\QUIFA-CAJÚA\Cajua\[CAJUA_CF_SEC_New_27-Feb-2024Rev3.xlsx]D-PND'!</v>
      </c>
      <c r="G1338" s="32" t="s">
        <v>113</v>
      </c>
      <c r="H1338" s="33">
        <f t="shared" si="323"/>
        <v>18</v>
      </c>
      <c r="I1338" s="33" t="str">
        <f t="shared" si="305"/>
        <v>='C:\Users\jaime.benazar\Quorum Business Solutions\Ecopetrol Prometeo - Documents\Planning Space Implementation\3. Analysis &amp; Design\Design\FC22\DRR Jaime\QUIFA-CAJÚA\Cajua\[CAJUA_CF_SEC_New_27-Feb-2024Rev3.xlsx]D-PND'!$CA$18</v>
      </c>
      <c r="J1338" s="37" t="s">
        <v>2635</v>
      </c>
    </row>
    <row r="1339" spans="1:10" x14ac:dyDescent="0.25">
      <c r="A1339" s="32" t="s">
        <v>3</v>
      </c>
      <c r="B1339" s="32">
        <f t="shared" si="324"/>
        <v>2030</v>
      </c>
      <c r="C1339" s="33" t="s">
        <v>14</v>
      </c>
      <c r="D1339" s="34" t="s">
        <v>1999</v>
      </c>
      <c r="E1339" s="35" t="str">
        <f t="shared" si="302"/>
        <v>PND'!</v>
      </c>
      <c r="F1339" s="34" t="str">
        <f t="shared" si="303"/>
        <v>C:\Users\jaime.benazar\Quorum Business Solutions\Ecopetrol Prometeo - Documents\Planning Space Implementation\3. Analysis &amp; Design\Design\FC22\DRR Jaime\QUIFA-CAJÚA\Cajua\[CAJUA_CF_SEC_New_27-Feb-2024Rev3.xlsx]D-PND'!</v>
      </c>
      <c r="G1339" s="32" t="s">
        <v>113</v>
      </c>
      <c r="H1339" s="33">
        <f t="shared" si="323"/>
        <v>19</v>
      </c>
      <c r="I1339" s="33" t="str">
        <f t="shared" si="305"/>
        <v>='C:\Users\jaime.benazar\Quorum Business Solutions\Ecopetrol Prometeo - Documents\Planning Space Implementation\3. Analysis &amp; Design\Design\FC22\DRR Jaime\QUIFA-CAJÚA\Cajua\[CAJUA_CF_SEC_New_27-Feb-2024Rev3.xlsx]D-PND'!$CA$19</v>
      </c>
      <c r="J1339" s="37" t="s">
        <v>2636</v>
      </c>
    </row>
    <row r="1340" spans="1:10" x14ac:dyDescent="0.25">
      <c r="A1340" s="32" t="s">
        <v>3</v>
      </c>
      <c r="B1340" s="32">
        <f t="shared" si="324"/>
        <v>2031</v>
      </c>
      <c r="C1340" s="33" t="s">
        <v>14</v>
      </c>
      <c r="D1340" s="34" t="s">
        <v>1999</v>
      </c>
      <c r="E1340" s="35" t="str">
        <f t="shared" si="302"/>
        <v>PND'!</v>
      </c>
      <c r="F1340" s="34" t="str">
        <f t="shared" si="303"/>
        <v>C:\Users\jaime.benazar\Quorum Business Solutions\Ecopetrol Prometeo - Documents\Planning Space Implementation\3. Analysis &amp; Design\Design\FC22\DRR Jaime\QUIFA-CAJÚA\Cajua\[CAJUA_CF_SEC_New_27-Feb-2024Rev3.xlsx]D-PND'!</v>
      </c>
      <c r="G1340" s="32" t="s">
        <v>113</v>
      </c>
      <c r="H1340" s="33">
        <f t="shared" si="323"/>
        <v>20</v>
      </c>
      <c r="I1340" s="33" t="str">
        <f t="shared" si="305"/>
        <v>='C:\Users\jaime.benazar\Quorum Business Solutions\Ecopetrol Prometeo - Documents\Planning Space Implementation\3. Analysis &amp; Design\Design\FC22\DRR Jaime\QUIFA-CAJÚA\Cajua\[CAJUA_CF_SEC_New_27-Feb-2024Rev3.xlsx]D-PND'!$CA$20</v>
      </c>
      <c r="J1340" s="37" t="s">
        <v>2637</v>
      </c>
    </row>
    <row r="1341" spans="1:10" x14ac:dyDescent="0.25">
      <c r="A1341" s="32" t="s">
        <v>3</v>
      </c>
      <c r="B1341" s="32">
        <f t="shared" si="324"/>
        <v>2032</v>
      </c>
      <c r="C1341" s="33" t="s">
        <v>14</v>
      </c>
      <c r="D1341" s="34" t="s">
        <v>1999</v>
      </c>
      <c r="E1341" s="35" t="str">
        <f t="shared" si="302"/>
        <v>PND'!</v>
      </c>
      <c r="F1341" s="34" t="str">
        <f t="shared" si="303"/>
        <v>C:\Users\jaime.benazar\Quorum Business Solutions\Ecopetrol Prometeo - Documents\Planning Space Implementation\3. Analysis &amp; Design\Design\FC22\DRR Jaime\QUIFA-CAJÚA\Cajua\[CAJUA_CF_SEC_New_27-Feb-2024Rev3.xlsx]D-PND'!</v>
      </c>
      <c r="G1341" s="32" t="s">
        <v>113</v>
      </c>
      <c r="H1341" s="33">
        <f t="shared" si="323"/>
        <v>21</v>
      </c>
      <c r="I1341" s="33" t="str">
        <f t="shared" si="305"/>
        <v>='C:\Users\jaime.benazar\Quorum Business Solutions\Ecopetrol Prometeo - Documents\Planning Space Implementation\3. Analysis &amp; Design\Design\FC22\DRR Jaime\QUIFA-CAJÚA\Cajua\[CAJUA_CF_SEC_New_27-Feb-2024Rev3.xlsx]D-PND'!$CA$21</v>
      </c>
      <c r="J1341" s="37" t="s">
        <v>2638</v>
      </c>
    </row>
    <row r="1342" spans="1:10" x14ac:dyDescent="0.25">
      <c r="A1342" s="32" t="s">
        <v>3</v>
      </c>
      <c r="B1342" s="32">
        <f t="shared" si="324"/>
        <v>2033</v>
      </c>
      <c r="C1342" s="33" t="s">
        <v>14</v>
      </c>
      <c r="D1342" s="34" t="s">
        <v>1999</v>
      </c>
      <c r="E1342" s="35" t="str">
        <f t="shared" si="302"/>
        <v>PND'!</v>
      </c>
      <c r="F1342" s="34" t="str">
        <f t="shared" si="303"/>
        <v>C:\Users\jaime.benazar\Quorum Business Solutions\Ecopetrol Prometeo - Documents\Planning Space Implementation\3. Analysis &amp; Design\Design\FC22\DRR Jaime\QUIFA-CAJÚA\Cajua\[CAJUA_CF_SEC_New_27-Feb-2024Rev3.xlsx]D-PND'!</v>
      </c>
      <c r="G1342" s="32" t="s">
        <v>113</v>
      </c>
      <c r="H1342" s="33">
        <f t="shared" si="323"/>
        <v>22</v>
      </c>
      <c r="I1342" s="33" t="str">
        <f t="shared" si="305"/>
        <v>='C:\Users\jaime.benazar\Quorum Business Solutions\Ecopetrol Prometeo - Documents\Planning Space Implementation\3. Analysis &amp; Design\Design\FC22\DRR Jaime\QUIFA-CAJÚA\Cajua\[CAJUA_CF_SEC_New_27-Feb-2024Rev3.xlsx]D-PND'!$CA$22</v>
      </c>
      <c r="J1342" s="37" t="s">
        <v>2639</v>
      </c>
    </row>
    <row r="1343" spans="1:10" x14ac:dyDescent="0.25">
      <c r="A1343" s="32" t="s">
        <v>3</v>
      </c>
      <c r="B1343" s="32">
        <f t="shared" si="324"/>
        <v>2034</v>
      </c>
      <c r="C1343" s="33" t="s">
        <v>14</v>
      </c>
      <c r="D1343" s="34" t="s">
        <v>1999</v>
      </c>
      <c r="E1343" s="35" t="str">
        <f t="shared" si="302"/>
        <v>PND'!</v>
      </c>
      <c r="F1343" s="34" t="str">
        <f t="shared" si="303"/>
        <v>C:\Users\jaime.benazar\Quorum Business Solutions\Ecopetrol Prometeo - Documents\Planning Space Implementation\3. Analysis &amp; Design\Design\FC22\DRR Jaime\QUIFA-CAJÚA\Cajua\[CAJUA_CF_SEC_New_27-Feb-2024Rev3.xlsx]D-PND'!</v>
      </c>
      <c r="G1343" s="32" t="s">
        <v>113</v>
      </c>
      <c r="H1343" s="33">
        <f t="shared" si="323"/>
        <v>23</v>
      </c>
      <c r="I1343" s="33" t="str">
        <f t="shared" si="305"/>
        <v>='C:\Users\jaime.benazar\Quorum Business Solutions\Ecopetrol Prometeo - Documents\Planning Space Implementation\3. Analysis &amp; Design\Design\FC22\DRR Jaime\QUIFA-CAJÚA\Cajua\[CAJUA_CF_SEC_New_27-Feb-2024Rev3.xlsx]D-PND'!$CA$23</v>
      </c>
      <c r="J1343" s="37" t="s">
        <v>2640</v>
      </c>
    </row>
    <row r="1344" spans="1:10" x14ac:dyDescent="0.25">
      <c r="A1344" s="32" t="s">
        <v>3</v>
      </c>
      <c r="B1344" s="32">
        <f t="shared" si="324"/>
        <v>2035</v>
      </c>
      <c r="C1344" s="33" t="s">
        <v>14</v>
      </c>
      <c r="D1344" s="34" t="s">
        <v>1999</v>
      </c>
      <c r="E1344" s="35" t="str">
        <f t="shared" si="302"/>
        <v>PND'!</v>
      </c>
      <c r="F1344" s="34" t="str">
        <f t="shared" si="303"/>
        <v>C:\Users\jaime.benazar\Quorum Business Solutions\Ecopetrol Prometeo - Documents\Planning Space Implementation\3. Analysis &amp; Design\Design\FC22\DRR Jaime\QUIFA-CAJÚA\Cajua\[CAJUA_CF_SEC_New_27-Feb-2024Rev3.xlsx]D-PND'!</v>
      </c>
      <c r="G1344" s="32" t="s">
        <v>113</v>
      </c>
      <c r="H1344" s="33">
        <f t="shared" si="323"/>
        <v>24</v>
      </c>
      <c r="I1344" s="33" t="str">
        <f t="shared" si="305"/>
        <v>='C:\Users\jaime.benazar\Quorum Business Solutions\Ecopetrol Prometeo - Documents\Planning Space Implementation\3. Analysis &amp; Design\Design\FC22\DRR Jaime\QUIFA-CAJÚA\Cajua\[CAJUA_CF_SEC_New_27-Feb-2024Rev3.xlsx]D-PND'!$CA$24</v>
      </c>
      <c r="J1344" s="37" t="s">
        <v>2641</v>
      </c>
    </row>
    <row r="1345" spans="1:10" x14ac:dyDescent="0.25">
      <c r="A1345" s="32" t="s">
        <v>3</v>
      </c>
      <c r="B1345" s="32">
        <f t="shared" si="324"/>
        <v>2036</v>
      </c>
      <c r="C1345" s="33" t="s">
        <v>14</v>
      </c>
      <c r="D1345" s="34" t="s">
        <v>1999</v>
      </c>
      <c r="E1345" s="35" t="str">
        <f t="shared" si="302"/>
        <v>PND'!</v>
      </c>
      <c r="F1345" s="34" t="str">
        <f t="shared" si="303"/>
        <v>C:\Users\jaime.benazar\Quorum Business Solutions\Ecopetrol Prometeo - Documents\Planning Space Implementation\3. Analysis &amp; Design\Design\FC22\DRR Jaime\QUIFA-CAJÚA\Cajua\[CAJUA_CF_SEC_New_27-Feb-2024Rev3.xlsx]D-PND'!</v>
      </c>
      <c r="G1345" s="32" t="s">
        <v>113</v>
      </c>
      <c r="H1345" s="33">
        <f t="shared" si="323"/>
        <v>25</v>
      </c>
      <c r="I1345" s="33" t="str">
        <f t="shared" si="305"/>
        <v>='C:\Users\jaime.benazar\Quorum Business Solutions\Ecopetrol Prometeo - Documents\Planning Space Implementation\3. Analysis &amp; Design\Design\FC22\DRR Jaime\QUIFA-CAJÚA\Cajua\[CAJUA_CF_SEC_New_27-Feb-2024Rev3.xlsx]D-PND'!$CA$25</v>
      </c>
      <c r="J1345" s="37" t="s">
        <v>2642</v>
      </c>
    </row>
    <row r="1346" spans="1:10" x14ac:dyDescent="0.25">
      <c r="A1346" s="32" t="s">
        <v>3</v>
      </c>
      <c r="B1346" s="32">
        <f>+B1345+1</f>
        <v>2037</v>
      </c>
      <c r="C1346" s="33" t="s">
        <v>14</v>
      </c>
      <c r="D1346" s="34" t="s">
        <v>1999</v>
      </c>
      <c r="E1346" s="35" t="str">
        <f t="shared" si="302"/>
        <v>PND'!</v>
      </c>
      <c r="F1346" s="34" t="str">
        <f t="shared" si="303"/>
        <v>C:\Users\jaime.benazar\Quorum Business Solutions\Ecopetrol Prometeo - Documents\Planning Space Implementation\3. Analysis &amp; Design\Design\FC22\DRR Jaime\QUIFA-CAJÚA\Cajua\[CAJUA_CF_SEC_New_27-Feb-2024Rev3.xlsx]D-PND'!</v>
      </c>
      <c r="G1346" s="32" t="s">
        <v>113</v>
      </c>
      <c r="H1346" s="33">
        <f t="shared" si="323"/>
        <v>26</v>
      </c>
      <c r="I1346" s="33" t="str">
        <f t="shared" si="305"/>
        <v>='C:\Users\jaime.benazar\Quorum Business Solutions\Ecopetrol Prometeo - Documents\Planning Space Implementation\3. Analysis &amp; Design\Design\FC22\DRR Jaime\QUIFA-CAJÚA\Cajua\[CAJUA_CF_SEC_New_27-Feb-2024Rev3.xlsx]D-PND'!$CA$26</v>
      </c>
      <c r="J1346" s="37" t="s">
        <v>2643</v>
      </c>
    </row>
    <row r="1347" spans="1:10" x14ac:dyDescent="0.25">
      <c r="A1347" s="32" t="s">
        <v>3</v>
      </c>
      <c r="B1347" s="32">
        <f t="shared" ref="B1347:B1349" si="325">+B1346+1</f>
        <v>2038</v>
      </c>
      <c r="C1347" s="33" t="s">
        <v>14</v>
      </c>
      <c r="D1347" s="34" t="s">
        <v>1999</v>
      </c>
      <c r="E1347" s="35" t="str">
        <f t="shared" si="302"/>
        <v>PND'!</v>
      </c>
      <c r="F1347" s="34" t="str">
        <f t="shared" si="303"/>
        <v>C:\Users\jaime.benazar\Quorum Business Solutions\Ecopetrol Prometeo - Documents\Planning Space Implementation\3. Analysis &amp; Design\Design\FC22\DRR Jaime\QUIFA-CAJÚA\Cajua\[CAJUA_CF_SEC_New_27-Feb-2024Rev3.xlsx]D-PND'!</v>
      </c>
      <c r="G1347" s="32" t="s">
        <v>113</v>
      </c>
      <c r="H1347" s="33">
        <f t="shared" si="323"/>
        <v>27</v>
      </c>
      <c r="I1347" s="33" t="str">
        <f t="shared" si="305"/>
        <v>='C:\Users\jaime.benazar\Quorum Business Solutions\Ecopetrol Prometeo - Documents\Planning Space Implementation\3. Analysis &amp; Design\Design\FC22\DRR Jaime\QUIFA-CAJÚA\Cajua\[CAJUA_CF_SEC_New_27-Feb-2024Rev3.xlsx]D-PND'!$CA$27</v>
      </c>
      <c r="J1347" s="37" t="s">
        <v>2644</v>
      </c>
    </row>
    <row r="1348" spans="1:10" x14ac:dyDescent="0.25">
      <c r="A1348" s="32" t="s">
        <v>3</v>
      </c>
      <c r="B1348" s="32">
        <f t="shared" si="325"/>
        <v>2039</v>
      </c>
      <c r="C1348" s="33" t="s">
        <v>14</v>
      </c>
      <c r="D1348" s="34" t="s">
        <v>1999</v>
      </c>
      <c r="E1348" s="35" t="str">
        <f t="shared" si="302"/>
        <v>PND'!</v>
      </c>
      <c r="F1348" s="34" t="str">
        <f t="shared" si="303"/>
        <v>C:\Users\jaime.benazar\Quorum Business Solutions\Ecopetrol Prometeo - Documents\Planning Space Implementation\3. Analysis &amp; Design\Design\FC22\DRR Jaime\QUIFA-CAJÚA\Cajua\[CAJUA_CF_SEC_New_27-Feb-2024Rev3.xlsx]D-PND'!</v>
      </c>
      <c r="G1348" s="32" t="s">
        <v>113</v>
      </c>
      <c r="H1348" s="33">
        <f t="shared" si="323"/>
        <v>28</v>
      </c>
      <c r="I1348" s="33" t="str">
        <f t="shared" si="305"/>
        <v>='C:\Users\jaime.benazar\Quorum Business Solutions\Ecopetrol Prometeo - Documents\Planning Space Implementation\3. Analysis &amp; Design\Design\FC22\DRR Jaime\QUIFA-CAJÚA\Cajua\[CAJUA_CF_SEC_New_27-Feb-2024Rev3.xlsx]D-PND'!$CA$28</v>
      </c>
      <c r="J1348" s="37" t="s">
        <v>2645</v>
      </c>
    </row>
    <row r="1349" spans="1:10" x14ac:dyDescent="0.25">
      <c r="A1349" s="32" t="s">
        <v>3</v>
      </c>
      <c r="B1349" s="32">
        <f t="shared" si="325"/>
        <v>2040</v>
      </c>
      <c r="C1349" s="33" t="s">
        <v>14</v>
      </c>
      <c r="D1349" s="34" t="s">
        <v>1999</v>
      </c>
      <c r="E1349" s="35" t="str">
        <f t="shared" si="302"/>
        <v>PND'!</v>
      </c>
      <c r="F1349" s="34" t="str">
        <f t="shared" si="303"/>
        <v>C:\Users\jaime.benazar\Quorum Business Solutions\Ecopetrol Prometeo - Documents\Planning Space Implementation\3. Analysis &amp; Design\Design\FC22\DRR Jaime\QUIFA-CAJÚA\Cajua\[CAJUA_CF_SEC_New_27-Feb-2024Rev3.xlsx]D-PND'!</v>
      </c>
      <c r="G1349" s="32" t="s">
        <v>113</v>
      </c>
      <c r="H1349" s="33">
        <f t="shared" si="323"/>
        <v>29</v>
      </c>
      <c r="I1349" s="33" t="str">
        <f t="shared" si="305"/>
        <v>='C:\Users\jaime.benazar\Quorum Business Solutions\Ecopetrol Prometeo - Documents\Planning Space Implementation\3. Analysis &amp; Design\Design\FC22\DRR Jaime\QUIFA-CAJÚA\Cajua\[CAJUA_CF_SEC_New_27-Feb-2024Rev3.xlsx]D-PND'!$CA$29</v>
      </c>
      <c r="J1349" s="37" t="s">
        <v>2646</v>
      </c>
    </row>
    <row r="1350" spans="1:10" x14ac:dyDescent="0.25">
      <c r="A1350" s="32" t="s">
        <v>3</v>
      </c>
      <c r="B1350" s="32">
        <f>+B1349+1</f>
        <v>2041</v>
      </c>
      <c r="C1350" s="33" t="s">
        <v>14</v>
      </c>
      <c r="D1350" s="34" t="s">
        <v>1999</v>
      </c>
      <c r="E1350" s="35" t="str">
        <f t="shared" si="302"/>
        <v>PND'!</v>
      </c>
      <c r="F1350" s="34" t="str">
        <f t="shared" si="303"/>
        <v>C:\Users\jaime.benazar\Quorum Business Solutions\Ecopetrol Prometeo - Documents\Planning Space Implementation\3. Analysis &amp; Design\Design\FC22\DRR Jaime\QUIFA-CAJÚA\Cajua\[CAJUA_CF_SEC_New_27-Feb-2024Rev3.xlsx]D-PND'!</v>
      </c>
      <c r="G1350" s="32" t="s">
        <v>113</v>
      </c>
      <c r="H1350" s="33">
        <f t="shared" si="323"/>
        <v>30</v>
      </c>
      <c r="I1350" s="33" t="str">
        <f t="shared" si="305"/>
        <v>='C:\Users\jaime.benazar\Quorum Business Solutions\Ecopetrol Prometeo - Documents\Planning Space Implementation\3. Analysis &amp; Design\Design\FC22\DRR Jaime\QUIFA-CAJÚA\Cajua\[CAJUA_CF_SEC_New_27-Feb-2024Rev3.xlsx]D-PND'!$CA$30</v>
      </c>
      <c r="J1350" s="37" t="s">
        <v>2647</v>
      </c>
    </row>
    <row r="1351" spans="1:10" x14ac:dyDescent="0.25">
      <c r="A1351" s="32" t="s">
        <v>3</v>
      </c>
      <c r="B1351" s="32">
        <f t="shared" ref="B1351:B1352" si="326">+B1350+1</f>
        <v>2042</v>
      </c>
      <c r="C1351" s="33" t="s">
        <v>14</v>
      </c>
      <c r="D1351" s="34" t="s">
        <v>1999</v>
      </c>
      <c r="E1351" s="35" t="str">
        <f t="shared" ref="E1351:E1656" si="327">_xlfn.CONCAT(A1351,"'!")</f>
        <v>PND'!</v>
      </c>
      <c r="F1351" s="34" t="str">
        <f t="shared" ref="F1351:F1656" si="328">_xlfn.CONCAT(D1351:E1351)</f>
        <v>C:\Users\jaime.benazar\Quorum Business Solutions\Ecopetrol Prometeo - Documents\Planning Space Implementation\3. Analysis &amp; Design\Design\FC22\DRR Jaime\QUIFA-CAJÚA\Cajua\[CAJUA_CF_SEC_New_27-Feb-2024Rev3.xlsx]D-PND'!</v>
      </c>
      <c r="G1351" s="32" t="s">
        <v>113</v>
      </c>
      <c r="H1351" s="33">
        <f t="shared" si="323"/>
        <v>31</v>
      </c>
      <c r="I1351" s="33" t="str">
        <f t="shared" ref="I1351:I1656" si="329">_xlfn.CONCAT("='",F1351:H1351)</f>
        <v>='C:\Users\jaime.benazar\Quorum Business Solutions\Ecopetrol Prometeo - Documents\Planning Space Implementation\3. Analysis &amp; Design\Design\FC22\DRR Jaime\QUIFA-CAJÚA\Cajua\[CAJUA_CF_SEC_New_27-Feb-2024Rev3.xlsx]D-PND'!$CA$31</v>
      </c>
      <c r="J1351" s="37" t="s">
        <v>2648</v>
      </c>
    </row>
    <row r="1352" spans="1:10" x14ac:dyDescent="0.25">
      <c r="A1352" s="32" t="s">
        <v>3</v>
      </c>
      <c r="B1352" s="32">
        <f t="shared" si="326"/>
        <v>2043</v>
      </c>
      <c r="C1352" s="33" t="s">
        <v>14</v>
      </c>
      <c r="D1352" s="34" t="s">
        <v>1999</v>
      </c>
      <c r="E1352" s="35" t="str">
        <f t="shared" si="327"/>
        <v>PND'!</v>
      </c>
      <c r="F1352" s="34" t="str">
        <f t="shared" si="328"/>
        <v>C:\Users\jaime.benazar\Quorum Business Solutions\Ecopetrol Prometeo - Documents\Planning Space Implementation\3. Analysis &amp; Design\Design\FC22\DRR Jaime\QUIFA-CAJÚA\Cajua\[CAJUA_CF_SEC_New_27-Feb-2024Rev3.xlsx]D-PND'!</v>
      </c>
      <c r="G1352" s="32" t="s">
        <v>113</v>
      </c>
      <c r="H1352" s="33">
        <f t="shared" si="323"/>
        <v>32</v>
      </c>
      <c r="I1352" s="33" t="str">
        <f t="shared" si="329"/>
        <v>='C:\Users\jaime.benazar\Quorum Business Solutions\Ecopetrol Prometeo - Documents\Planning Space Implementation\3. Analysis &amp; Design\Design\FC22\DRR Jaime\QUIFA-CAJÚA\Cajua\[CAJUA_CF_SEC_New_27-Feb-2024Rev3.xlsx]D-PND'!$CA$32</v>
      </c>
      <c r="J1352" s="37" t="s">
        <v>2649</v>
      </c>
    </row>
    <row r="1353" spans="1:10" x14ac:dyDescent="0.25">
      <c r="A1353" s="32" t="s">
        <v>3</v>
      </c>
      <c r="B1353" s="32">
        <f>+B1352+1</f>
        <v>2044</v>
      </c>
      <c r="C1353" s="33" t="s">
        <v>14</v>
      </c>
      <c r="D1353" s="34" t="s">
        <v>1999</v>
      </c>
      <c r="E1353" s="35" t="str">
        <f t="shared" ref="E1353:E1368" si="330">_xlfn.CONCAT(A1353,"'!")</f>
        <v>PND'!</v>
      </c>
      <c r="F1353" s="34" t="str">
        <f t="shared" ref="F1353:F1368" si="331">_xlfn.CONCAT(D1353:E1353)</f>
        <v>C:\Users\jaime.benazar\Quorum Business Solutions\Ecopetrol Prometeo - Documents\Planning Space Implementation\3. Analysis &amp; Design\Design\FC22\DRR Jaime\QUIFA-CAJÚA\Cajua\[CAJUA_CF_SEC_New_27-Feb-2024Rev3.xlsx]D-PND'!</v>
      </c>
      <c r="G1353" s="32" t="s">
        <v>113</v>
      </c>
      <c r="H1353" s="33">
        <f t="shared" ref="H1353:H1368" si="332">IF(A1353&lt;&gt;A1352,12,H1352+1)</f>
        <v>33</v>
      </c>
      <c r="I1353" s="33" t="str">
        <f t="shared" ref="I1353:I1368" si="333">_xlfn.CONCAT("='",F1353:H1353)</f>
        <v>='C:\Users\jaime.benazar\Quorum Business Solutions\Ecopetrol Prometeo - Documents\Planning Space Implementation\3. Analysis &amp; Design\Design\FC22\DRR Jaime\QUIFA-CAJÚA\Cajua\[CAJUA_CF_SEC_New_27-Feb-2024Rev3.xlsx]D-PND'!$CA$33</v>
      </c>
      <c r="J1353" s="37" t="s">
        <v>2650</v>
      </c>
    </row>
    <row r="1354" spans="1:10" x14ac:dyDescent="0.25">
      <c r="A1354" s="32" t="s">
        <v>3</v>
      </c>
      <c r="B1354" s="32">
        <f t="shared" ref="B1354:B1368" si="334">+B1353+1</f>
        <v>2045</v>
      </c>
      <c r="C1354" s="33" t="s">
        <v>14</v>
      </c>
      <c r="D1354" s="34" t="s">
        <v>1999</v>
      </c>
      <c r="E1354" s="35" t="str">
        <f t="shared" si="330"/>
        <v>PND'!</v>
      </c>
      <c r="F1354" s="34" t="str">
        <f t="shared" si="331"/>
        <v>C:\Users\jaime.benazar\Quorum Business Solutions\Ecopetrol Prometeo - Documents\Planning Space Implementation\3. Analysis &amp; Design\Design\FC22\DRR Jaime\QUIFA-CAJÚA\Cajua\[CAJUA_CF_SEC_New_27-Feb-2024Rev3.xlsx]D-PND'!</v>
      </c>
      <c r="G1354" s="32" t="s">
        <v>113</v>
      </c>
      <c r="H1354" s="33">
        <f t="shared" si="332"/>
        <v>34</v>
      </c>
      <c r="I1354" s="33" t="str">
        <f t="shared" si="333"/>
        <v>='C:\Users\jaime.benazar\Quorum Business Solutions\Ecopetrol Prometeo - Documents\Planning Space Implementation\3. Analysis &amp; Design\Design\FC22\DRR Jaime\QUIFA-CAJÚA\Cajua\[CAJUA_CF_SEC_New_27-Feb-2024Rev3.xlsx]D-PND'!$CA$34</v>
      </c>
      <c r="J1354" s="37" t="s">
        <v>2651</v>
      </c>
    </row>
    <row r="1355" spans="1:10" x14ac:dyDescent="0.25">
      <c r="A1355" s="32" t="s">
        <v>3</v>
      </c>
      <c r="B1355" s="32">
        <f t="shared" si="334"/>
        <v>2046</v>
      </c>
      <c r="C1355" s="33" t="s">
        <v>14</v>
      </c>
      <c r="D1355" s="34" t="s">
        <v>1999</v>
      </c>
      <c r="E1355" s="35" t="str">
        <f t="shared" si="330"/>
        <v>PND'!</v>
      </c>
      <c r="F1355" s="34" t="str">
        <f t="shared" si="331"/>
        <v>C:\Users\jaime.benazar\Quorum Business Solutions\Ecopetrol Prometeo - Documents\Planning Space Implementation\3. Analysis &amp; Design\Design\FC22\DRR Jaime\QUIFA-CAJÚA\Cajua\[CAJUA_CF_SEC_New_27-Feb-2024Rev3.xlsx]D-PND'!</v>
      </c>
      <c r="G1355" s="32" t="s">
        <v>113</v>
      </c>
      <c r="H1355" s="33">
        <f t="shared" si="332"/>
        <v>35</v>
      </c>
      <c r="I1355" s="33" t="str">
        <f t="shared" si="333"/>
        <v>='C:\Users\jaime.benazar\Quorum Business Solutions\Ecopetrol Prometeo - Documents\Planning Space Implementation\3. Analysis &amp; Design\Design\FC22\DRR Jaime\QUIFA-CAJÚA\Cajua\[CAJUA_CF_SEC_New_27-Feb-2024Rev3.xlsx]D-PND'!$CA$35</v>
      </c>
      <c r="J1355" s="37" t="s">
        <v>2652</v>
      </c>
    </row>
    <row r="1356" spans="1:10" x14ac:dyDescent="0.25">
      <c r="A1356" s="32" t="s">
        <v>3</v>
      </c>
      <c r="B1356" s="32">
        <f t="shared" si="334"/>
        <v>2047</v>
      </c>
      <c r="C1356" s="33" t="s">
        <v>14</v>
      </c>
      <c r="D1356" s="34" t="s">
        <v>1999</v>
      </c>
      <c r="E1356" s="35" t="str">
        <f t="shared" si="330"/>
        <v>PND'!</v>
      </c>
      <c r="F1356" s="34" t="str">
        <f t="shared" si="331"/>
        <v>C:\Users\jaime.benazar\Quorum Business Solutions\Ecopetrol Prometeo - Documents\Planning Space Implementation\3. Analysis &amp; Design\Design\FC22\DRR Jaime\QUIFA-CAJÚA\Cajua\[CAJUA_CF_SEC_New_27-Feb-2024Rev3.xlsx]D-PND'!</v>
      </c>
      <c r="G1356" s="32" t="s">
        <v>113</v>
      </c>
      <c r="H1356" s="33">
        <f t="shared" si="332"/>
        <v>36</v>
      </c>
      <c r="I1356" s="33" t="str">
        <f t="shared" si="333"/>
        <v>='C:\Users\jaime.benazar\Quorum Business Solutions\Ecopetrol Prometeo - Documents\Planning Space Implementation\3. Analysis &amp; Design\Design\FC22\DRR Jaime\QUIFA-CAJÚA\Cajua\[CAJUA_CF_SEC_New_27-Feb-2024Rev3.xlsx]D-PND'!$CA$36</v>
      </c>
      <c r="J1356" s="37" t="s">
        <v>2653</v>
      </c>
    </row>
    <row r="1357" spans="1:10" x14ac:dyDescent="0.25">
      <c r="A1357" s="32" t="s">
        <v>3</v>
      </c>
      <c r="B1357" s="32">
        <f t="shared" si="334"/>
        <v>2048</v>
      </c>
      <c r="C1357" s="33" t="s">
        <v>14</v>
      </c>
      <c r="D1357" s="34" t="s">
        <v>1999</v>
      </c>
      <c r="E1357" s="35" t="str">
        <f t="shared" si="330"/>
        <v>PND'!</v>
      </c>
      <c r="F1357" s="34" t="str">
        <f t="shared" si="331"/>
        <v>C:\Users\jaime.benazar\Quorum Business Solutions\Ecopetrol Prometeo - Documents\Planning Space Implementation\3. Analysis &amp; Design\Design\FC22\DRR Jaime\QUIFA-CAJÚA\Cajua\[CAJUA_CF_SEC_New_27-Feb-2024Rev3.xlsx]D-PND'!</v>
      </c>
      <c r="G1357" s="32" t="s">
        <v>113</v>
      </c>
      <c r="H1357" s="33">
        <f t="shared" si="332"/>
        <v>37</v>
      </c>
      <c r="I1357" s="33" t="str">
        <f t="shared" si="333"/>
        <v>='C:\Users\jaime.benazar\Quorum Business Solutions\Ecopetrol Prometeo - Documents\Planning Space Implementation\3. Analysis &amp; Design\Design\FC22\DRR Jaime\QUIFA-CAJÚA\Cajua\[CAJUA_CF_SEC_New_27-Feb-2024Rev3.xlsx]D-PND'!$CA$37</v>
      </c>
      <c r="J1357" s="37" t="s">
        <v>2654</v>
      </c>
    </row>
    <row r="1358" spans="1:10" x14ac:dyDescent="0.25">
      <c r="A1358" s="32" t="s">
        <v>3</v>
      </c>
      <c r="B1358" s="32">
        <f t="shared" si="334"/>
        <v>2049</v>
      </c>
      <c r="C1358" s="33" t="s">
        <v>14</v>
      </c>
      <c r="D1358" s="34" t="s">
        <v>1999</v>
      </c>
      <c r="E1358" s="35" t="str">
        <f t="shared" si="330"/>
        <v>PND'!</v>
      </c>
      <c r="F1358" s="34" t="str">
        <f t="shared" si="331"/>
        <v>C:\Users\jaime.benazar\Quorum Business Solutions\Ecopetrol Prometeo - Documents\Planning Space Implementation\3. Analysis &amp; Design\Design\FC22\DRR Jaime\QUIFA-CAJÚA\Cajua\[CAJUA_CF_SEC_New_27-Feb-2024Rev3.xlsx]D-PND'!</v>
      </c>
      <c r="G1358" s="32" t="s">
        <v>113</v>
      </c>
      <c r="H1358" s="33">
        <f t="shared" si="332"/>
        <v>38</v>
      </c>
      <c r="I1358" s="33" t="str">
        <f t="shared" si="333"/>
        <v>='C:\Users\jaime.benazar\Quorum Business Solutions\Ecopetrol Prometeo - Documents\Planning Space Implementation\3. Analysis &amp; Design\Design\FC22\DRR Jaime\QUIFA-CAJÚA\Cajua\[CAJUA_CF_SEC_New_27-Feb-2024Rev3.xlsx]D-PND'!$CA$38</v>
      </c>
      <c r="J1358" s="37" t="s">
        <v>2655</v>
      </c>
    </row>
    <row r="1359" spans="1:10" x14ac:dyDescent="0.25">
      <c r="A1359" s="32" t="s">
        <v>3</v>
      </c>
      <c r="B1359" s="32">
        <f t="shared" si="334"/>
        <v>2050</v>
      </c>
      <c r="C1359" s="33" t="s">
        <v>14</v>
      </c>
      <c r="D1359" s="34" t="s">
        <v>1999</v>
      </c>
      <c r="E1359" s="35" t="str">
        <f t="shared" si="330"/>
        <v>PND'!</v>
      </c>
      <c r="F1359" s="34" t="str">
        <f t="shared" si="331"/>
        <v>C:\Users\jaime.benazar\Quorum Business Solutions\Ecopetrol Prometeo - Documents\Planning Space Implementation\3. Analysis &amp; Design\Design\FC22\DRR Jaime\QUIFA-CAJÚA\Cajua\[CAJUA_CF_SEC_New_27-Feb-2024Rev3.xlsx]D-PND'!</v>
      </c>
      <c r="G1359" s="32" t="s">
        <v>113</v>
      </c>
      <c r="H1359" s="33">
        <f t="shared" si="332"/>
        <v>39</v>
      </c>
      <c r="I1359" s="33" t="str">
        <f t="shared" si="333"/>
        <v>='C:\Users\jaime.benazar\Quorum Business Solutions\Ecopetrol Prometeo - Documents\Planning Space Implementation\3. Analysis &amp; Design\Design\FC22\DRR Jaime\QUIFA-CAJÚA\Cajua\[CAJUA_CF_SEC_New_27-Feb-2024Rev3.xlsx]D-PND'!$CA$39</v>
      </c>
      <c r="J1359" s="37" t="s">
        <v>2656</v>
      </c>
    </row>
    <row r="1360" spans="1:10" x14ac:dyDescent="0.25">
      <c r="A1360" s="32" t="s">
        <v>3</v>
      </c>
      <c r="B1360" s="32">
        <f t="shared" si="334"/>
        <v>2051</v>
      </c>
      <c r="C1360" s="33" t="s">
        <v>14</v>
      </c>
      <c r="D1360" s="34" t="s">
        <v>1999</v>
      </c>
      <c r="E1360" s="35" t="str">
        <f t="shared" si="330"/>
        <v>PND'!</v>
      </c>
      <c r="F1360" s="34" t="str">
        <f t="shared" si="331"/>
        <v>C:\Users\jaime.benazar\Quorum Business Solutions\Ecopetrol Prometeo - Documents\Planning Space Implementation\3. Analysis &amp; Design\Design\FC22\DRR Jaime\QUIFA-CAJÚA\Cajua\[CAJUA_CF_SEC_New_27-Feb-2024Rev3.xlsx]D-PND'!</v>
      </c>
      <c r="G1360" s="32" t="s">
        <v>113</v>
      </c>
      <c r="H1360" s="33">
        <f t="shared" si="332"/>
        <v>40</v>
      </c>
      <c r="I1360" s="33" t="str">
        <f t="shared" si="333"/>
        <v>='C:\Users\jaime.benazar\Quorum Business Solutions\Ecopetrol Prometeo - Documents\Planning Space Implementation\3. Analysis &amp; Design\Design\FC22\DRR Jaime\QUIFA-CAJÚA\Cajua\[CAJUA_CF_SEC_New_27-Feb-2024Rev3.xlsx]D-PND'!$CA$40</v>
      </c>
      <c r="J1360" s="37" t="s">
        <v>2657</v>
      </c>
    </row>
    <row r="1361" spans="1:10" x14ac:dyDescent="0.25">
      <c r="A1361" s="32" t="s">
        <v>3</v>
      </c>
      <c r="B1361" s="32">
        <f t="shared" si="334"/>
        <v>2052</v>
      </c>
      <c r="C1361" s="33" t="s">
        <v>14</v>
      </c>
      <c r="D1361" s="34" t="s">
        <v>1999</v>
      </c>
      <c r="E1361" s="35" t="str">
        <f t="shared" si="330"/>
        <v>PND'!</v>
      </c>
      <c r="F1361" s="34" t="str">
        <f t="shared" si="331"/>
        <v>C:\Users\jaime.benazar\Quorum Business Solutions\Ecopetrol Prometeo - Documents\Planning Space Implementation\3. Analysis &amp; Design\Design\FC22\DRR Jaime\QUIFA-CAJÚA\Cajua\[CAJUA_CF_SEC_New_27-Feb-2024Rev3.xlsx]D-PND'!</v>
      </c>
      <c r="G1361" s="32" t="s">
        <v>113</v>
      </c>
      <c r="H1361" s="33">
        <f t="shared" si="332"/>
        <v>41</v>
      </c>
      <c r="I1361" s="33" t="str">
        <f t="shared" si="333"/>
        <v>='C:\Users\jaime.benazar\Quorum Business Solutions\Ecopetrol Prometeo - Documents\Planning Space Implementation\3. Analysis &amp; Design\Design\FC22\DRR Jaime\QUIFA-CAJÚA\Cajua\[CAJUA_CF_SEC_New_27-Feb-2024Rev3.xlsx]D-PND'!$CA$41</v>
      </c>
      <c r="J1361" s="37" t="s">
        <v>2658</v>
      </c>
    </row>
    <row r="1362" spans="1:10" x14ac:dyDescent="0.25">
      <c r="A1362" s="32" t="s">
        <v>3</v>
      </c>
      <c r="B1362" s="32">
        <f t="shared" si="334"/>
        <v>2053</v>
      </c>
      <c r="C1362" s="33" t="s">
        <v>14</v>
      </c>
      <c r="D1362" s="34" t="s">
        <v>1999</v>
      </c>
      <c r="E1362" s="35" t="str">
        <f t="shared" si="330"/>
        <v>PND'!</v>
      </c>
      <c r="F1362" s="34" t="str">
        <f t="shared" si="331"/>
        <v>C:\Users\jaime.benazar\Quorum Business Solutions\Ecopetrol Prometeo - Documents\Planning Space Implementation\3. Analysis &amp; Design\Design\FC22\DRR Jaime\QUIFA-CAJÚA\Cajua\[CAJUA_CF_SEC_New_27-Feb-2024Rev3.xlsx]D-PND'!</v>
      </c>
      <c r="G1362" s="32" t="s">
        <v>113</v>
      </c>
      <c r="H1362" s="33">
        <f t="shared" si="332"/>
        <v>42</v>
      </c>
      <c r="I1362" s="33" t="str">
        <f t="shared" si="333"/>
        <v>='C:\Users\jaime.benazar\Quorum Business Solutions\Ecopetrol Prometeo - Documents\Planning Space Implementation\3. Analysis &amp; Design\Design\FC22\DRR Jaime\QUIFA-CAJÚA\Cajua\[CAJUA_CF_SEC_New_27-Feb-2024Rev3.xlsx]D-PND'!$CA$42</v>
      </c>
      <c r="J1362" s="37" t="s">
        <v>2659</v>
      </c>
    </row>
    <row r="1363" spans="1:10" x14ac:dyDescent="0.25">
      <c r="A1363" s="32" t="s">
        <v>3</v>
      </c>
      <c r="B1363" s="32">
        <f t="shared" si="334"/>
        <v>2054</v>
      </c>
      <c r="C1363" s="33" t="s">
        <v>14</v>
      </c>
      <c r="D1363" s="34" t="s">
        <v>1999</v>
      </c>
      <c r="E1363" s="35" t="str">
        <f t="shared" si="330"/>
        <v>PND'!</v>
      </c>
      <c r="F1363" s="34" t="str">
        <f t="shared" si="331"/>
        <v>C:\Users\jaime.benazar\Quorum Business Solutions\Ecopetrol Prometeo - Documents\Planning Space Implementation\3. Analysis &amp; Design\Design\FC22\DRR Jaime\QUIFA-CAJÚA\Cajua\[CAJUA_CF_SEC_New_27-Feb-2024Rev3.xlsx]D-PND'!</v>
      </c>
      <c r="G1363" s="32" t="s">
        <v>113</v>
      </c>
      <c r="H1363" s="33">
        <f t="shared" si="332"/>
        <v>43</v>
      </c>
      <c r="I1363" s="33" t="str">
        <f t="shared" si="333"/>
        <v>='C:\Users\jaime.benazar\Quorum Business Solutions\Ecopetrol Prometeo - Documents\Planning Space Implementation\3. Analysis &amp; Design\Design\FC22\DRR Jaime\QUIFA-CAJÚA\Cajua\[CAJUA_CF_SEC_New_27-Feb-2024Rev3.xlsx]D-PND'!$CA$43</v>
      </c>
      <c r="J1363" s="37" t="s">
        <v>2660</v>
      </c>
    </row>
    <row r="1364" spans="1:10" x14ac:dyDescent="0.25">
      <c r="A1364" s="32" t="s">
        <v>3</v>
      </c>
      <c r="B1364" s="32">
        <f t="shared" si="334"/>
        <v>2055</v>
      </c>
      <c r="C1364" s="33" t="s">
        <v>14</v>
      </c>
      <c r="D1364" s="34" t="s">
        <v>1999</v>
      </c>
      <c r="E1364" s="35" t="str">
        <f t="shared" si="330"/>
        <v>PND'!</v>
      </c>
      <c r="F1364" s="34" t="str">
        <f t="shared" si="331"/>
        <v>C:\Users\jaime.benazar\Quorum Business Solutions\Ecopetrol Prometeo - Documents\Planning Space Implementation\3. Analysis &amp; Design\Design\FC22\DRR Jaime\QUIFA-CAJÚA\Cajua\[CAJUA_CF_SEC_New_27-Feb-2024Rev3.xlsx]D-PND'!</v>
      </c>
      <c r="G1364" s="32" t="s">
        <v>113</v>
      </c>
      <c r="H1364" s="33">
        <f t="shared" si="332"/>
        <v>44</v>
      </c>
      <c r="I1364" s="33" t="str">
        <f t="shared" si="333"/>
        <v>='C:\Users\jaime.benazar\Quorum Business Solutions\Ecopetrol Prometeo - Documents\Planning Space Implementation\3. Analysis &amp; Design\Design\FC22\DRR Jaime\QUIFA-CAJÚA\Cajua\[CAJUA_CF_SEC_New_27-Feb-2024Rev3.xlsx]D-PND'!$CA$44</v>
      </c>
      <c r="J1364" s="37" t="s">
        <v>2661</v>
      </c>
    </row>
    <row r="1365" spans="1:10" x14ac:dyDescent="0.25">
      <c r="A1365" s="32" t="s">
        <v>3</v>
      </c>
      <c r="B1365" s="32">
        <f t="shared" si="334"/>
        <v>2056</v>
      </c>
      <c r="C1365" s="33" t="s">
        <v>14</v>
      </c>
      <c r="D1365" s="34" t="s">
        <v>1999</v>
      </c>
      <c r="E1365" s="35" t="str">
        <f t="shared" si="330"/>
        <v>PND'!</v>
      </c>
      <c r="F1365" s="34" t="str">
        <f t="shared" si="331"/>
        <v>C:\Users\jaime.benazar\Quorum Business Solutions\Ecopetrol Prometeo - Documents\Planning Space Implementation\3. Analysis &amp; Design\Design\FC22\DRR Jaime\QUIFA-CAJÚA\Cajua\[CAJUA_CF_SEC_New_27-Feb-2024Rev3.xlsx]D-PND'!</v>
      </c>
      <c r="G1365" s="32" t="s">
        <v>113</v>
      </c>
      <c r="H1365" s="33">
        <f t="shared" si="332"/>
        <v>45</v>
      </c>
      <c r="I1365" s="33" t="str">
        <f t="shared" si="333"/>
        <v>='C:\Users\jaime.benazar\Quorum Business Solutions\Ecopetrol Prometeo - Documents\Planning Space Implementation\3. Analysis &amp; Design\Design\FC22\DRR Jaime\QUIFA-CAJÚA\Cajua\[CAJUA_CF_SEC_New_27-Feb-2024Rev3.xlsx]D-PND'!$CA$45</v>
      </c>
      <c r="J1365" s="37" t="s">
        <v>2662</v>
      </c>
    </row>
    <row r="1366" spans="1:10" x14ac:dyDescent="0.25">
      <c r="A1366" s="32" t="s">
        <v>3</v>
      </c>
      <c r="B1366" s="32">
        <f t="shared" si="334"/>
        <v>2057</v>
      </c>
      <c r="C1366" s="33" t="s">
        <v>14</v>
      </c>
      <c r="D1366" s="34" t="s">
        <v>1999</v>
      </c>
      <c r="E1366" s="35" t="str">
        <f t="shared" si="330"/>
        <v>PND'!</v>
      </c>
      <c r="F1366" s="34" t="str">
        <f t="shared" si="331"/>
        <v>C:\Users\jaime.benazar\Quorum Business Solutions\Ecopetrol Prometeo - Documents\Planning Space Implementation\3. Analysis &amp; Design\Design\FC22\DRR Jaime\QUIFA-CAJÚA\Cajua\[CAJUA_CF_SEC_New_27-Feb-2024Rev3.xlsx]D-PND'!</v>
      </c>
      <c r="G1366" s="32" t="s">
        <v>113</v>
      </c>
      <c r="H1366" s="33">
        <f t="shared" si="332"/>
        <v>46</v>
      </c>
      <c r="I1366" s="33" t="str">
        <f t="shared" si="333"/>
        <v>='C:\Users\jaime.benazar\Quorum Business Solutions\Ecopetrol Prometeo - Documents\Planning Space Implementation\3. Analysis &amp; Design\Design\FC22\DRR Jaime\QUIFA-CAJÚA\Cajua\[CAJUA_CF_SEC_New_27-Feb-2024Rev3.xlsx]D-PND'!$CA$46</v>
      </c>
      <c r="J1366" s="37" t="s">
        <v>2663</v>
      </c>
    </row>
    <row r="1367" spans="1:10" x14ac:dyDescent="0.25">
      <c r="A1367" s="32" t="s">
        <v>3</v>
      </c>
      <c r="B1367" s="32">
        <f t="shared" si="334"/>
        <v>2058</v>
      </c>
      <c r="C1367" s="33" t="s">
        <v>14</v>
      </c>
      <c r="D1367" s="34" t="s">
        <v>1999</v>
      </c>
      <c r="E1367" s="35" t="str">
        <f t="shared" si="330"/>
        <v>PND'!</v>
      </c>
      <c r="F1367" s="34" t="str">
        <f t="shared" si="331"/>
        <v>C:\Users\jaime.benazar\Quorum Business Solutions\Ecopetrol Prometeo - Documents\Planning Space Implementation\3. Analysis &amp; Design\Design\FC22\DRR Jaime\QUIFA-CAJÚA\Cajua\[CAJUA_CF_SEC_New_27-Feb-2024Rev3.xlsx]D-PND'!</v>
      </c>
      <c r="G1367" s="32" t="s">
        <v>113</v>
      </c>
      <c r="H1367" s="33">
        <f t="shared" si="332"/>
        <v>47</v>
      </c>
      <c r="I1367" s="33" t="str">
        <f t="shared" si="333"/>
        <v>='C:\Users\jaime.benazar\Quorum Business Solutions\Ecopetrol Prometeo - Documents\Planning Space Implementation\3. Analysis &amp; Design\Design\FC22\DRR Jaime\QUIFA-CAJÚA\Cajua\[CAJUA_CF_SEC_New_27-Feb-2024Rev3.xlsx]D-PND'!$CA$47</v>
      </c>
      <c r="J1367" s="37" t="s">
        <v>2664</v>
      </c>
    </row>
    <row r="1368" spans="1:10" x14ac:dyDescent="0.25">
      <c r="A1368" s="32" t="s">
        <v>3</v>
      </c>
      <c r="B1368" s="32">
        <f t="shared" si="334"/>
        <v>2059</v>
      </c>
      <c r="C1368" s="33" t="s">
        <v>14</v>
      </c>
      <c r="D1368" s="34" t="s">
        <v>1999</v>
      </c>
      <c r="E1368" s="35" t="str">
        <f t="shared" si="330"/>
        <v>PND'!</v>
      </c>
      <c r="F1368" s="34" t="str">
        <f t="shared" si="331"/>
        <v>C:\Users\jaime.benazar\Quorum Business Solutions\Ecopetrol Prometeo - Documents\Planning Space Implementation\3. Analysis &amp; Design\Design\FC22\DRR Jaime\QUIFA-CAJÚA\Cajua\[CAJUA_CF_SEC_New_27-Feb-2024Rev3.xlsx]D-PND'!</v>
      </c>
      <c r="G1368" s="32" t="s">
        <v>113</v>
      </c>
      <c r="H1368" s="33">
        <f t="shared" si="332"/>
        <v>48</v>
      </c>
      <c r="I1368" s="33" t="str">
        <f t="shared" si="333"/>
        <v>='C:\Users\jaime.benazar\Quorum Business Solutions\Ecopetrol Prometeo - Documents\Planning Space Implementation\3. Analysis &amp; Design\Design\FC22\DRR Jaime\QUIFA-CAJÚA\Cajua\[CAJUA_CF_SEC_New_27-Feb-2024Rev3.xlsx]D-PND'!$CA$48</v>
      </c>
      <c r="J1368" s="37" t="s">
        <v>2665</v>
      </c>
    </row>
    <row r="1369" spans="1:10" x14ac:dyDescent="0.25">
      <c r="A1369" s="32" t="s">
        <v>28</v>
      </c>
      <c r="B1369" s="32"/>
      <c r="C1369" s="33" t="s">
        <v>14</v>
      </c>
      <c r="D1369" s="34"/>
      <c r="E1369" s="35"/>
      <c r="F1369" s="34"/>
      <c r="G1369" s="32"/>
      <c r="H1369" s="33"/>
      <c r="I1369" s="33"/>
      <c r="J1369" s="33"/>
    </row>
    <row r="1370" spans="1:10" x14ac:dyDescent="0.25">
      <c r="A1370" s="32" t="s">
        <v>99</v>
      </c>
      <c r="B1370" s="32">
        <v>2023</v>
      </c>
      <c r="C1370" s="33" t="s">
        <v>14</v>
      </c>
      <c r="D1370" s="34" t="s">
        <v>1999</v>
      </c>
      <c r="E1370" s="35" t="str">
        <f t="shared" ref="E1370:E1390" si="335">_xlfn.CONCAT(A1370,"'!")</f>
        <v>PRBDP'!</v>
      </c>
      <c r="F1370" s="34" t="str">
        <f t="shared" ref="F1370:F1390" si="336">_xlfn.CONCAT(D1370:E1370)</f>
        <v>C:\Users\jaime.benazar\Quorum Business Solutions\Ecopetrol Prometeo - Documents\Planning Space Implementation\3. Analysis &amp; Design\Design\FC22\DRR Jaime\QUIFA-CAJÚA\Cajua\[CAJUA_CF_SEC_New_27-Feb-2024Rev3.xlsx]D-PRBDP'!</v>
      </c>
      <c r="G1370" s="32" t="s">
        <v>113</v>
      </c>
      <c r="H1370" s="33"/>
      <c r="I1370" s="33"/>
      <c r="J1370" s="37"/>
    </row>
    <row r="1371" spans="1:10" x14ac:dyDescent="0.25">
      <c r="A1371" s="32" t="s">
        <v>99</v>
      </c>
      <c r="B1371" s="32">
        <f>+B1370+1</f>
        <v>2024</v>
      </c>
      <c r="C1371" s="33" t="s">
        <v>14</v>
      </c>
      <c r="D1371" s="34" t="s">
        <v>1999</v>
      </c>
      <c r="E1371" s="35" t="str">
        <f t="shared" si="335"/>
        <v>PRBDP'!</v>
      </c>
      <c r="F1371" s="34" t="str">
        <f t="shared" si="336"/>
        <v>C:\Users\jaime.benazar\Quorum Business Solutions\Ecopetrol Prometeo - Documents\Planning Space Implementation\3. Analysis &amp; Design\Design\FC22\DRR Jaime\QUIFA-CAJÚA\Cajua\[CAJUA_CF_SEC_New_27-Feb-2024Rev3.xlsx]D-PRBDP'!</v>
      </c>
      <c r="G1371" s="32" t="s">
        <v>113</v>
      </c>
      <c r="H1371" s="33"/>
      <c r="I1371" s="33"/>
      <c r="J1371" s="37"/>
    </row>
    <row r="1372" spans="1:10" x14ac:dyDescent="0.25">
      <c r="A1372" s="32" t="s">
        <v>99</v>
      </c>
      <c r="B1372" s="32">
        <f t="shared" ref="B1372:B1383" si="337">+B1371+1</f>
        <v>2025</v>
      </c>
      <c r="C1372" s="33" t="s">
        <v>14</v>
      </c>
      <c r="D1372" s="34" t="s">
        <v>1999</v>
      </c>
      <c r="E1372" s="35" t="str">
        <f t="shared" si="335"/>
        <v>PRBDP'!</v>
      </c>
      <c r="F1372" s="34" t="str">
        <f t="shared" si="336"/>
        <v>C:\Users\jaime.benazar\Quorum Business Solutions\Ecopetrol Prometeo - Documents\Planning Space Implementation\3. Analysis &amp; Design\Design\FC22\DRR Jaime\QUIFA-CAJÚA\Cajua\[CAJUA_CF_SEC_New_27-Feb-2024Rev3.xlsx]D-PRBDP'!</v>
      </c>
      <c r="G1372" s="32" t="s">
        <v>113</v>
      </c>
      <c r="H1372" s="33"/>
      <c r="I1372" s="33"/>
      <c r="J1372" s="37"/>
    </row>
    <row r="1373" spans="1:10" x14ac:dyDescent="0.25">
      <c r="A1373" s="32" t="s">
        <v>99</v>
      </c>
      <c r="B1373" s="32">
        <f t="shared" si="337"/>
        <v>2026</v>
      </c>
      <c r="C1373" s="33" t="s">
        <v>14</v>
      </c>
      <c r="D1373" s="34" t="s">
        <v>1999</v>
      </c>
      <c r="E1373" s="35" t="str">
        <f t="shared" si="335"/>
        <v>PRBDP'!</v>
      </c>
      <c r="F1373" s="34" t="str">
        <f t="shared" si="336"/>
        <v>C:\Users\jaime.benazar\Quorum Business Solutions\Ecopetrol Prometeo - Documents\Planning Space Implementation\3. Analysis &amp; Design\Design\FC22\DRR Jaime\QUIFA-CAJÚA\Cajua\[CAJUA_CF_SEC_New_27-Feb-2024Rev3.xlsx]D-PRBDP'!</v>
      </c>
      <c r="G1373" s="32" t="s">
        <v>113</v>
      </c>
      <c r="H1373" s="33"/>
      <c r="I1373" s="33"/>
      <c r="J1373" s="37"/>
    </row>
    <row r="1374" spans="1:10" x14ac:dyDescent="0.25">
      <c r="A1374" s="32" t="s">
        <v>99</v>
      </c>
      <c r="B1374" s="32">
        <f t="shared" si="337"/>
        <v>2027</v>
      </c>
      <c r="C1374" s="33" t="s">
        <v>14</v>
      </c>
      <c r="D1374" s="34" t="s">
        <v>1999</v>
      </c>
      <c r="E1374" s="35" t="str">
        <f t="shared" si="335"/>
        <v>PRBDP'!</v>
      </c>
      <c r="F1374" s="34" t="str">
        <f t="shared" si="336"/>
        <v>C:\Users\jaime.benazar\Quorum Business Solutions\Ecopetrol Prometeo - Documents\Planning Space Implementation\3. Analysis &amp; Design\Design\FC22\DRR Jaime\QUIFA-CAJÚA\Cajua\[CAJUA_CF_SEC_New_27-Feb-2024Rev3.xlsx]D-PRBDP'!</v>
      </c>
      <c r="G1374" s="32" t="s">
        <v>113</v>
      </c>
      <c r="H1374" s="33"/>
      <c r="I1374" s="33"/>
      <c r="J1374" s="37"/>
    </row>
    <row r="1375" spans="1:10" x14ac:dyDescent="0.25">
      <c r="A1375" s="32" t="s">
        <v>99</v>
      </c>
      <c r="B1375" s="32">
        <f t="shared" si="337"/>
        <v>2028</v>
      </c>
      <c r="C1375" s="33" t="s">
        <v>14</v>
      </c>
      <c r="D1375" s="34" t="s">
        <v>1999</v>
      </c>
      <c r="E1375" s="35" t="str">
        <f t="shared" si="335"/>
        <v>PRBDP'!</v>
      </c>
      <c r="F1375" s="34" t="str">
        <f t="shared" si="336"/>
        <v>C:\Users\jaime.benazar\Quorum Business Solutions\Ecopetrol Prometeo - Documents\Planning Space Implementation\3. Analysis &amp; Design\Design\FC22\DRR Jaime\QUIFA-CAJÚA\Cajua\[CAJUA_CF_SEC_New_27-Feb-2024Rev3.xlsx]D-PRBDP'!</v>
      </c>
      <c r="G1375" s="32" t="s">
        <v>113</v>
      </c>
      <c r="H1375" s="33"/>
      <c r="I1375" s="33"/>
      <c r="J1375" s="37"/>
    </row>
    <row r="1376" spans="1:10" x14ac:dyDescent="0.25">
      <c r="A1376" s="32" t="s">
        <v>99</v>
      </c>
      <c r="B1376" s="32">
        <f t="shared" si="337"/>
        <v>2029</v>
      </c>
      <c r="C1376" s="33" t="s">
        <v>14</v>
      </c>
      <c r="D1376" s="34" t="s">
        <v>1999</v>
      </c>
      <c r="E1376" s="35" t="str">
        <f t="shared" si="335"/>
        <v>PRBDP'!</v>
      </c>
      <c r="F1376" s="34" t="str">
        <f t="shared" si="336"/>
        <v>C:\Users\jaime.benazar\Quorum Business Solutions\Ecopetrol Prometeo - Documents\Planning Space Implementation\3. Analysis &amp; Design\Design\FC22\DRR Jaime\QUIFA-CAJÚA\Cajua\[CAJUA_CF_SEC_New_27-Feb-2024Rev3.xlsx]D-PRBDP'!</v>
      </c>
      <c r="G1376" s="32" t="s">
        <v>113</v>
      </c>
      <c r="H1376" s="33"/>
      <c r="I1376" s="33"/>
      <c r="J1376" s="37"/>
    </row>
    <row r="1377" spans="1:10" x14ac:dyDescent="0.25">
      <c r="A1377" s="32" t="s">
        <v>99</v>
      </c>
      <c r="B1377" s="32">
        <f t="shared" si="337"/>
        <v>2030</v>
      </c>
      <c r="C1377" s="33" t="s">
        <v>14</v>
      </c>
      <c r="D1377" s="34" t="s">
        <v>1999</v>
      </c>
      <c r="E1377" s="35" t="str">
        <f t="shared" si="335"/>
        <v>PRBDP'!</v>
      </c>
      <c r="F1377" s="34" t="str">
        <f t="shared" si="336"/>
        <v>C:\Users\jaime.benazar\Quorum Business Solutions\Ecopetrol Prometeo - Documents\Planning Space Implementation\3. Analysis &amp; Design\Design\FC22\DRR Jaime\QUIFA-CAJÚA\Cajua\[CAJUA_CF_SEC_New_27-Feb-2024Rev3.xlsx]D-PRBDP'!</v>
      </c>
      <c r="G1377" s="32" t="s">
        <v>113</v>
      </c>
      <c r="H1377" s="33"/>
      <c r="I1377" s="33"/>
      <c r="J1377" s="37"/>
    </row>
    <row r="1378" spans="1:10" x14ac:dyDescent="0.25">
      <c r="A1378" s="32" t="s">
        <v>99</v>
      </c>
      <c r="B1378" s="32">
        <f t="shared" si="337"/>
        <v>2031</v>
      </c>
      <c r="C1378" s="33" t="s">
        <v>14</v>
      </c>
      <c r="D1378" s="34" t="s">
        <v>1999</v>
      </c>
      <c r="E1378" s="35" t="str">
        <f t="shared" si="335"/>
        <v>PRBDP'!</v>
      </c>
      <c r="F1378" s="34" t="str">
        <f t="shared" si="336"/>
        <v>C:\Users\jaime.benazar\Quorum Business Solutions\Ecopetrol Prometeo - Documents\Planning Space Implementation\3. Analysis &amp; Design\Design\FC22\DRR Jaime\QUIFA-CAJÚA\Cajua\[CAJUA_CF_SEC_New_27-Feb-2024Rev3.xlsx]D-PRBDP'!</v>
      </c>
      <c r="G1378" s="32" t="s">
        <v>113</v>
      </c>
      <c r="H1378" s="33"/>
      <c r="I1378" s="33"/>
      <c r="J1378" s="37"/>
    </row>
    <row r="1379" spans="1:10" x14ac:dyDescent="0.25">
      <c r="A1379" s="32" t="s">
        <v>99</v>
      </c>
      <c r="B1379" s="32">
        <f t="shared" si="337"/>
        <v>2032</v>
      </c>
      <c r="C1379" s="33" t="s">
        <v>14</v>
      </c>
      <c r="D1379" s="34" t="s">
        <v>1999</v>
      </c>
      <c r="E1379" s="35" t="str">
        <f t="shared" si="335"/>
        <v>PRBDP'!</v>
      </c>
      <c r="F1379" s="34" t="str">
        <f t="shared" si="336"/>
        <v>C:\Users\jaime.benazar\Quorum Business Solutions\Ecopetrol Prometeo - Documents\Planning Space Implementation\3. Analysis &amp; Design\Design\FC22\DRR Jaime\QUIFA-CAJÚA\Cajua\[CAJUA_CF_SEC_New_27-Feb-2024Rev3.xlsx]D-PRBDP'!</v>
      </c>
      <c r="G1379" s="32" t="s">
        <v>113</v>
      </c>
      <c r="H1379" s="33"/>
      <c r="I1379" s="33"/>
      <c r="J1379" s="37"/>
    </row>
    <row r="1380" spans="1:10" x14ac:dyDescent="0.25">
      <c r="A1380" s="32" t="s">
        <v>99</v>
      </c>
      <c r="B1380" s="32">
        <f t="shared" si="337"/>
        <v>2033</v>
      </c>
      <c r="C1380" s="33" t="s">
        <v>14</v>
      </c>
      <c r="D1380" s="34" t="s">
        <v>1999</v>
      </c>
      <c r="E1380" s="35" t="str">
        <f t="shared" si="335"/>
        <v>PRBDP'!</v>
      </c>
      <c r="F1380" s="34" t="str">
        <f t="shared" si="336"/>
        <v>C:\Users\jaime.benazar\Quorum Business Solutions\Ecopetrol Prometeo - Documents\Planning Space Implementation\3. Analysis &amp; Design\Design\FC22\DRR Jaime\QUIFA-CAJÚA\Cajua\[CAJUA_CF_SEC_New_27-Feb-2024Rev3.xlsx]D-PRBDP'!</v>
      </c>
      <c r="G1380" s="32" t="s">
        <v>113</v>
      </c>
      <c r="H1380" s="33"/>
      <c r="I1380" s="33"/>
      <c r="J1380" s="37"/>
    </row>
    <row r="1381" spans="1:10" x14ac:dyDescent="0.25">
      <c r="A1381" s="32" t="s">
        <v>99</v>
      </c>
      <c r="B1381" s="32">
        <f t="shared" si="337"/>
        <v>2034</v>
      </c>
      <c r="C1381" s="33" t="s">
        <v>14</v>
      </c>
      <c r="D1381" s="34" t="s">
        <v>1999</v>
      </c>
      <c r="E1381" s="35" t="str">
        <f t="shared" si="335"/>
        <v>PRBDP'!</v>
      </c>
      <c r="F1381" s="34" t="str">
        <f t="shared" si="336"/>
        <v>C:\Users\jaime.benazar\Quorum Business Solutions\Ecopetrol Prometeo - Documents\Planning Space Implementation\3. Analysis &amp; Design\Design\FC22\DRR Jaime\QUIFA-CAJÚA\Cajua\[CAJUA_CF_SEC_New_27-Feb-2024Rev3.xlsx]D-PRBDP'!</v>
      </c>
      <c r="G1381" s="32" t="s">
        <v>113</v>
      </c>
      <c r="H1381" s="33"/>
      <c r="I1381" s="33"/>
      <c r="J1381" s="37"/>
    </row>
    <row r="1382" spans="1:10" x14ac:dyDescent="0.25">
      <c r="A1382" s="32" t="s">
        <v>99</v>
      </c>
      <c r="B1382" s="32">
        <f t="shared" si="337"/>
        <v>2035</v>
      </c>
      <c r="C1382" s="33" t="s">
        <v>14</v>
      </c>
      <c r="D1382" s="34" t="s">
        <v>1999</v>
      </c>
      <c r="E1382" s="35" t="str">
        <f t="shared" si="335"/>
        <v>PRBDP'!</v>
      </c>
      <c r="F1382" s="34" t="str">
        <f t="shared" si="336"/>
        <v>C:\Users\jaime.benazar\Quorum Business Solutions\Ecopetrol Prometeo - Documents\Planning Space Implementation\3. Analysis &amp; Design\Design\FC22\DRR Jaime\QUIFA-CAJÚA\Cajua\[CAJUA_CF_SEC_New_27-Feb-2024Rev3.xlsx]D-PRBDP'!</v>
      </c>
      <c r="G1382" s="32" t="s">
        <v>113</v>
      </c>
      <c r="H1382" s="33"/>
      <c r="I1382" s="33"/>
      <c r="J1382" s="37"/>
    </row>
    <row r="1383" spans="1:10" x14ac:dyDescent="0.25">
      <c r="A1383" s="32" t="s">
        <v>99</v>
      </c>
      <c r="B1383" s="32">
        <f t="shared" si="337"/>
        <v>2036</v>
      </c>
      <c r="C1383" s="33" t="s">
        <v>14</v>
      </c>
      <c r="D1383" s="34" t="s">
        <v>1999</v>
      </c>
      <c r="E1383" s="35" t="str">
        <f t="shared" si="335"/>
        <v>PRBDP'!</v>
      </c>
      <c r="F1383" s="34" t="str">
        <f t="shared" si="336"/>
        <v>C:\Users\jaime.benazar\Quorum Business Solutions\Ecopetrol Prometeo - Documents\Planning Space Implementation\3. Analysis &amp; Design\Design\FC22\DRR Jaime\QUIFA-CAJÚA\Cajua\[CAJUA_CF_SEC_New_27-Feb-2024Rev3.xlsx]D-PRBDP'!</v>
      </c>
      <c r="G1383" s="32" t="s">
        <v>113</v>
      </c>
      <c r="H1383" s="33"/>
      <c r="I1383" s="33"/>
      <c r="J1383" s="37"/>
    </row>
    <row r="1384" spans="1:10" x14ac:dyDescent="0.25">
      <c r="A1384" s="32" t="s">
        <v>99</v>
      </c>
      <c r="B1384" s="32">
        <f>+B1383+1</f>
        <v>2037</v>
      </c>
      <c r="C1384" s="33" t="s">
        <v>14</v>
      </c>
      <c r="D1384" s="34" t="s">
        <v>1999</v>
      </c>
      <c r="E1384" s="35" t="str">
        <f t="shared" si="335"/>
        <v>PRBDP'!</v>
      </c>
      <c r="F1384" s="34" t="str">
        <f t="shared" si="336"/>
        <v>C:\Users\jaime.benazar\Quorum Business Solutions\Ecopetrol Prometeo - Documents\Planning Space Implementation\3. Analysis &amp; Design\Design\FC22\DRR Jaime\QUIFA-CAJÚA\Cajua\[CAJUA_CF_SEC_New_27-Feb-2024Rev3.xlsx]D-PRBDP'!</v>
      </c>
      <c r="G1384" s="32" t="s">
        <v>113</v>
      </c>
      <c r="H1384" s="33"/>
      <c r="I1384" s="33"/>
      <c r="J1384" s="37"/>
    </row>
    <row r="1385" spans="1:10" x14ac:dyDescent="0.25">
      <c r="A1385" s="32" t="s">
        <v>99</v>
      </c>
      <c r="B1385" s="32">
        <f t="shared" ref="B1385:B1387" si="338">+B1384+1</f>
        <v>2038</v>
      </c>
      <c r="C1385" s="33" t="s">
        <v>14</v>
      </c>
      <c r="D1385" s="34" t="s">
        <v>1999</v>
      </c>
      <c r="E1385" s="35" t="str">
        <f t="shared" si="335"/>
        <v>PRBDP'!</v>
      </c>
      <c r="F1385" s="34" t="str">
        <f t="shared" si="336"/>
        <v>C:\Users\jaime.benazar\Quorum Business Solutions\Ecopetrol Prometeo - Documents\Planning Space Implementation\3. Analysis &amp; Design\Design\FC22\DRR Jaime\QUIFA-CAJÚA\Cajua\[CAJUA_CF_SEC_New_27-Feb-2024Rev3.xlsx]D-PRBDP'!</v>
      </c>
      <c r="G1385" s="32" t="s">
        <v>113</v>
      </c>
      <c r="H1385" s="33"/>
      <c r="I1385" s="33"/>
      <c r="J1385" s="37"/>
    </row>
    <row r="1386" spans="1:10" x14ac:dyDescent="0.25">
      <c r="A1386" s="32" t="s">
        <v>99</v>
      </c>
      <c r="B1386" s="32">
        <f t="shared" si="338"/>
        <v>2039</v>
      </c>
      <c r="C1386" s="33" t="s">
        <v>14</v>
      </c>
      <c r="D1386" s="34" t="s">
        <v>1999</v>
      </c>
      <c r="E1386" s="35" t="str">
        <f t="shared" si="335"/>
        <v>PRBDP'!</v>
      </c>
      <c r="F1386" s="34" t="str">
        <f t="shared" si="336"/>
        <v>C:\Users\jaime.benazar\Quorum Business Solutions\Ecopetrol Prometeo - Documents\Planning Space Implementation\3. Analysis &amp; Design\Design\FC22\DRR Jaime\QUIFA-CAJÚA\Cajua\[CAJUA_CF_SEC_New_27-Feb-2024Rev3.xlsx]D-PRBDP'!</v>
      </c>
      <c r="G1386" s="32" t="s">
        <v>113</v>
      </c>
      <c r="H1386" s="33"/>
      <c r="I1386" s="33"/>
      <c r="J1386" s="37"/>
    </row>
    <row r="1387" spans="1:10" x14ac:dyDescent="0.25">
      <c r="A1387" s="32" t="s">
        <v>99</v>
      </c>
      <c r="B1387" s="32">
        <f t="shared" si="338"/>
        <v>2040</v>
      </c>
      <c r="C1387" s="33" t="s">
        <v>14</v>
      </c>
      <c r="D1387" s="34" t="s">
        <v>1999</v>
      </c>
      <c r="E1387" s="35" t="str">
        <f t="shared" si="335"/>
        <v>PRBDP'!</v>
      </c>
      <c r="F1387" s="34" t="str">
        <f t="shared" si="336"/>
        <v>C:\Users\jaime.benazar\Quorum Business Solutions\Ecopetrol Prometeo - Documents\Planning Space Implementation\3. Analysis &amp; Design\Design\FC22\DRR Jaime\QUIFA-CAJÚA\Cajua\[CAJUA_CF_SEC_New_27-Feb-2024Rev3.xlsx]D-PRBDP'!</v>
      </c>
      <c r="G1387" s="32" t="s">
        <v>113</v>
      </c>
      <c r="H1387" s="33"/>
      <c r="I1387" s="33"/>
      <c r="J1387" s="37"/>
    </row>
    <row r="1388" spans="1:10" x14ac:dyDescent="0.25">
      <c r="A1388" s="32" t="s">
        <v>99</v>
      </c>
      <c r="B1388" s="32">
        <f>+B1387+1</f>
        <v>2041</v>
      </c>
      <c r="C1388" s="33" t="s">
        <v>14</v>
      </c>
      <c r="D1388" s="34" t="s">
        <v>1999</v>
      </c>
      <c r="E1388" s="35" t="str">
        <f t="shared" si="335"/>
        <v>PRBDP'!</v>
      </c>
      <c r="F1388" s="34" t="str">
        <f t="shared" si="336"/>
        <v>C:\Users\jaime.benazar\Quorum Business Solutions\Ecopetrol Prometeo - Documents\Planning Space Implementation\3. Analysis &amp; Design\Design\FC22\DRR Jaime\QUIFA-CAJÚA\Cajua\[CAJUA_CF_SEC_New_27-Feb-2024Rev3.xlsx]D-PRBDP'!</v>
      </c>
      <c r="G1388" s="32" t="s">
        <v>113</v>
      </c>
      <c r="H1388" s="33"/>
      <c r="I1388" s="33"/>
      <c r="J1388" s="37"/>
    </row>
    <row r="1389" spans="1:10" x14ac:dyDescent="0.25">
      <c r="A1389" s="32" t="s">
        <v>99</v>
      </c>
      <c r="B1389" s="32">
        <f t="shared" ref="B1389:B1390" si="339">+B1388+1</f>
        <v>2042</v>
      </c>
      <c r="C1389" s="33" t="s">
        <v>14</v>
      </c>
      <c r="D1389" s="34" t="s">
        <v>1999</v>
      </c>
      <c r="E1389" s="35" t="str">
        <f t="shared" si="335"/>
        <v>PRBDP'!</v>
      </c>
      <c r="F1389" s="34" t="str">
        <f t="shared" si="336"/>
        <v>C:\Users\jaime.benazar\Quorum Business Solutions\Ecopetrol Prometeo - Documents\Planning Space Implementation\3. Analysis &amp; Design\Design\FC22\DRR Jaime\QUIFA-CAJÚA\Cajua\[CAJUA_CF_SEC_New_27-Feb-2024Rev3.xlsx]D-PRBDP'!</v>
      </c>
      <c r="G1389" s="32" t="s">
        <v>113</v>
      </c>
      <c r="H1389" s="33"/>
      <c r="I1389" s="33"/>
      <c r="J1389" s="37"/>
    </row>
    <row r="1390" spans="1:10" x14ac:dyDescent="0.25">
      <c r="A1390" s="32" t="s">
        <v>99</v>
      </c>
      <c r="B1390" s="32">
        <f t="shared" si="339"/>
        <v>2043</v>
      </c>
      <c r="C1390" s="33" t="s">
        <v>14</v>
      </c>
      <c r="D1390" s="34" t="s">
        <v>1999</v>
      </c>
      <c r="E1390" s="35" t="str">
        <f t="shared" si="335"/>
        <v>PRBDP'!</v>
      </c>
      <c r="F1390" s="34" t="str">
        <f t="shared" si="336"/>
        <v>C:\Users\jaime.benazar\Quorum Business Solutions\Ecopetrol Prometeo - Documents\Planning Space Implementation\3. Analysis &amp; Design\Design\FC22\DRR Jaime\QUIFA-CAJÚA\Cajua\[CAJUA_CF_SEC_New_27-Feb-2024Rev3.xlsx]D-PRBDP'!</v>
      </c>
      <c r="G1390" s="32" t="s">
        <v>113</v>
      </c>
      <c r="H1390" s="33"/>
      <c r="I1390" s="33"/>
      <c r="J1390" s="37"/>
    </row>
    <row r="1391" spans="1:10" x14ac:dyDescent="0.25">
      <c r="A1391" s="32" t="s">
        <v>99</v>
      </c>
      <c r="B1391" s="32">
        <f>+B1390+1</f>
        <v>2044</v>
      </c>
      <c r="C1391" s="33" t="s">
        <v>14</v>
      </c>
      <c r="D1391" s="34" t="s">
        <v>1999</v>
      </c>
      <c r="E1391" s="35" t="str">
        <f t="shared" ref="E1391:E1406" si="340">_xlfn.CONCAT(A1391,"'!")</f>
        <v>PRBDP'!</v>
      </c>
      <c r="F1391" s="34" t="str">
        <f t="shared" ref="F1391:F1406" si="341">_xlfn.CONCAT(D1391:E1391)</f>
        <v>C:\Users\jaime.benazar\Quorum Business Solutions\Ecopetrol Prometeo - Documents\Planning Space Implementation\3. Analysis &amp; Design\Design\FC22\DRR Jaime\QUIFA-CAJÚA\Cajua\[CAJUA_CF_SEC_New_27-Feb-2024Rev3.xlsx]D-PRBDP'!</v>
      </c>
      <c r="G1391" s="32" t="s">
        <v>113</v>
      </c>
      <c r="H1391" s="33"/>
      <c r="I1391" s="33"/>
      <c r="J1391" s="37"/>
    </row>
    <row r="1392" spans="1:10" x14ac:dyDescent="0.25">
      <c r="A1392" s="32" t="s">
        <v>99</v>
      </c>
      <c r="B1392" s="32">
        <f t="shared" ref="B1392:B1406" si="342">+B1391+1</f>
        <v>2045</v>
      </c>
      <c r="C1392" s="33" t="s">
        <v>14</v>
      </c>
      <c r="D1392" s="34" t="s">
        <v>1999</v>
      </c>
      <c r="E1392" s="35" t="str">
        <f t="shared" si="340"/>
        <v>PRBDP'!</v>
      </c>
      <c r="F1392" s="34" t="str">
        <f t="shared" si="341"/>
        <v>C:\Users\jaime.benazar\Quorum Business Solutions\Ecopetrol Prometeo - Documents\Planning Space Implementation\3. Analysis &amp; Design\Design\FC22\DRR Jaime\QUIFA-CAJÚA\Cajua\[CAJUA_CF_SEC_New_27-Feb-2024Rev3.xlsx]D-PRBDP'!</v>
      </c>
      <c r="G1392" s="32" t="s">
        <v>113</v>
      </c>
      <c r="H1392" s="33"/>
      <c r="I1392" s="33"/>
      <c r="J1392" s="37"/>
    </row>
    <row r="1393" spans="1:10" x14ac:dyDescent="0.25">
      <c r="A1393" s="32" t="s">
        <v>99</v>
      </c>
      <c r="B1393" s="32">
        <f t="shared" si="342"/>
        <v>2046</v>
      </c>
      <c r="C1393" s="33" t="s">
        <v>14</v>
      </c>
      <c r="D1393" s="34" t="s">
        <v>1999</v>
      </c>
      <c r="E1393" s="35" t="str">
        <f t="shared" si="340"/>
        <v>PRBDP'!</v>
      </c>
      <c r="F1393" s="34" t="str">
        <f t="shared" si="341"/>
        <v>C:\Users\jaime.benazar\Quorum Business Solutions\Ecopetrol Prometeo - Documents\Planning Space Implementation\3. Analysis &amp; Design\Design\FC22\DRR Jaime\QUIFA-CAJÚA\Cajua\[CAJUA_CF_SEC_New_27-Feb-2024Rev3.xlsx]D-PRBDP'!</v>
      </c>
      <c r="G1393" s="32" t="s">
        <v>113</v>
      </c>
      <c r="H1393" s="33"/>
      <c r="I1393" s="33"/>
      <c r="J1393" s="37"/>
    </row>
    <row r="1394" spans="1:10" x14ac:dyDescent="0.25">
      <c r="A1394" s="32" t="s">
        <v>99</v>
      </c>
      <c r="B1394" s="32">
        <f t="shared" si="342"/>
        <v>2047</v>
      </c>
      <c r="C1394" s="33" t="s">
        <v>14</v>
      </c>
      <c r="D1394" s="34" t="s">
        <v>1999</v>
      </c>
      <c r="E1394" s="35" t="str">
        <f t="shared" si="340"/>
        <v>PRBDP'!</v>
      </c>
      <c r="F1394" s="34" t="str">
        <f t="shared" si="341"/>
        <v>C:\Users\jaime.benazar\Quorum Business Solutions\Ecopetrol Prometeo - Documents\Planning Space Implementation\3. Analysis &amp; Design\Design\FC22\DRR Jaime\QUIFA-CAJÚA\Cajua\[CAJUA_CF_SEC_New_27-Feb-2024Rev3.xlsx]D-PRBDP'!</v>
      </c>
      <c r="G1394" s="32" t="s">
        <v>113</v>
      </c>
      <c r="H1394" s="33"/>
      <c r="I1394" s="33"/>
      <c r="J1394" s="37"/>
    </row>
    <row r="1395" spans="1:10" x14ac:dyDescent="0.25">
      <c r="A1395" s="32" t="s">
        <v>99</v>
      </c>
      <c r="B1395" s="32">
        <f t="shared" si="342"/>
        <v>2048</v>
      </c>
      <c r="C1395" s="33" t="s">
        <v>14</v>
      </c>
      <c r="D1395" s="34" t="s">
        <v>1999</v>
      </c>
      <c r="E1395" s="35" t="str">
        <f t="shared" si="340"/>
        <v>PRBDP'!</v>
      </c>
      <c r="F1395" s="34" t="str">
        <f t="shared" si="341"/>
        <v>C:\Users\jaime.benazar\Quorum Business Solutions\Ecopetrol Prometeo - Documents\Planning Space Implementation\3. Analysis &amp; Design\Design\FC22\DRR Jaime\QUIFA-CAJÚA\Cajua\[CAJUA_CF_SEC_New_27-Feb-2024Rev3.xlsx]D-PRBDP'!</v>
      </c>
      <c r="G1395" s="32" t="s">
        <v>113</v>
      </c>
      <c r="H1395" s="33"/>
      <c r="I1395" s="33"/>
      <c r="J1395" s="37"/>
    </row>
    <row r="1396" spans="1:10" x14ac:dyDescent="0.25">
      <c r="A1396" s="32" t="s">
        <v>99</v>
      </c>
      <c r="B1396" s="32">
        <f t="shared" si="342"/>
        <v>2049</v>
      </c>
      <c r="C1396" s="33" t="s">
        <v>14</v>
      </c>
      <c r="D1396" s="34" t="s">
        <v>1999</v>
      </c>
      <c r="E1396" s="35" t="str">
        <f t="shared" si="340"/>
        <v>PRBDP'!</v>
      </c>
      <c r="F1396" s="34" t="str">
        <f t="shared" si="341"/>
        <v>C:\Users\jaime.benazar\Quorum Business Solutions\Ecopetrol Prometeo - Documents\Planning Space Implementation\3. Analysis &amp; Design\Design\FC22\DRR Jaime\QUIFA-CAJÚA\Cajua\[CAJUA_CF_SEC_New_27-Feb-2024Rev3.xlsx]D-PRBDP'!</v>
      </c>
      <c r="G1396" s="32" t="s">
        <v>113</v>
      </c>
      <c r="H1396" s="33"/>
      <c r="I1396" s="33"/>
      <c r="J1396" s="37"/>
    </row>
    <row r="1397" spans="1:10" x14ac:dyDescent="0.25">
      <c r="A1397" s="32" t="s">
        <v>99</v>
      </c>
      <c r="B1397" s="32">
        <f t="shared" si="342"/>
        <v>2050</v>
      </c>
      <c r="C1397" s="33" t="s">
        <v>14</v>
      </c>
      <c r="D1397" s="34" t="s">
        <v>1999</v>
      </c>
      <c r="E1397" s="35" t="str">
        <f t="shared" si="340"/>
        <v>PRBDP'!</v>
      </c>
      <c r="F1397" s="34" t="str">
        <f t="shared" si="341"/>
        <v>C:\Users\jaime.benazar\Quorum Business Solutions\Ecopetrol Prometeo - Documents\Planning Space Implementation\3. Analysis &amp; Design\Design\FC22\DRR Jaime\QUIFA-CAJÚA\Cajua\[CAJUA_CF_SEC_New_27-Feb-2024Rev3.xlsx]D-PRBDP'!</v>
      </c>
      <c r="G1397" s="32" t="s">
        <v>113</v>
      </c>
      <c r="H1397" s="33"/>
      <c r="I1397" s="33"/>
      <c r="J1397" s="37"/>
    </row>
    <row r="1398" spans="1:10" x14ac:dyDescent="0.25">
      <c r="A1398" s="32" t="s">
        <v>99</v>
      </c>
      <c r="B1398" s="32">
        <f t="shared" si="342"/>
        <v>2051</v>
      </c>
      <c r="C1398" s="33" t="s">
        <v>14</v>
      </c>
      <c r="D1398" s="34" t="s">
        <v>1999</v>
      </c>
      <c r="E1398" s="35" t="str">
        <f t="shared" si="340"/>
        <v>PRBDP'!</v>
      </c>
      <c r="F1398" s="34" t="str">
        <f t="shared" si="341"/>
        <v>C:\Users\jaime.benazar\Quorum Business Solutions\Ecopetrol Prometeo - Documents\Planning Space Implementation\3. Analysis &amp; Design\Design\FC22\DRR Jaime\QUIFA-CAJÚA\Cajua\[CAJUA_CF_SEC_New_27-Feb-2024Rev3.xlsx]D-PRBDP'!</v>
      </c>
      <c r="G1398" s="32" t="s">
        <v>113</v>
      </c>
      <c r="H1398" s="33"/>
      <c r="I1398" s="33"/>
      <c r="J1398" s="37"/>
    </row>
    <row r="1399" spans="1:10" x14ac:dyDescent="0.25">
      <c r="A1399" s="32" t="s">
        <v>99</v>
      </c>
      <c r="B1399" s="32">
        <f t="shared" si="342"/>
        <v>2052</v>
      </c>
      <c r="C1399" s="33" t="s">
        <v>14</v>
      </c>
      <c r="D1399" s="34" t="s">
        <v>1999</v>
      </c>
      <c r="E1399" s="35" t="str">
        <f t="shared" si="340"/>
        <v>PRBDP'!</v>
      </c>
      <c r="F1399" s="34" t="str">
        <f t="shared" si="341"/>
        <v>C:\Users\jaime.benazar\Quorum Business Solutions\Ecopetrol Prometeo - Documents\Planning Space Implementation\3. Analysis &amp; Design\Design\FC22\DRR Jaime\QUIFA-CAJÚA\Cajua\[CAJUA_CF_SEC_New_27-Feb-2024Rev3.xlsx]D-PRBDP'!</v>
      </c>
      <c r="G1399" s="32" t="s">
        <v>113</v>
      </c>
      <c r="H1399" s="33"/>
      <c r="I1399" s="33"/>
      <c r="J1399" s="37"/>
    </row>
    <row r="1400" spans="1:10" x14ac:dyDescent="0.25">
      <c r="A1400" s="32" t="s">
        <v>99</v>
      </c>
      <c r="B1400" s="32">
        <f t="shared" si="342"/>
        <v>2053</v>
      </c>
      <c r="C1400" s="33" t="s">
        <v>14</v>
      </c>
      <c r="D1400" s="34" t="s">
        <v>1999</v>
      </c>
      <c r="E1400" s="35" t="str">
        <f t="shared" si="340"/>
        <v>PRBDP'!</v>
      </c>
      <c r="F1400" s="34" t="str">
        <f t="shared" si="341"/>
        <v>C:\Users\jaime.benazar\Quorum Business Solutions\Ecopetrol Prometeo - Documents\Planning Space Implementation\3. Analysis &amp; Design\Design\FC22\DRR Jaime\QUIFA-CAJÚA\Cajua\[CAJUA_CF_SEC_New_27-Feb-2024Rev3.xlsx]D-PRBDP'!</v>
      </c>
      <c r="G1400" s="32" t="s">
        <v>113</v>
      </c>
      <c r="H1400" s="33"/>
      <c r="I1400" s="33"/>
      <c r="J1400" s="37"/>
    </row>
    <row r="1401" spans="1:10" x14ac:dyDescent="0.25">
      <c r="A1401" s="32" t="s">
        <v>99</v>
      </c>
      <c r="B1401" s="32">
        <f t="shared" si="342"/>
        <v>2054</v>
      </c>
      <c r="C1401" s="33" t="s">
        <v>14</v>
      </c>
      <c r="D1401" s="34" t="s">
        <v>1999</v>
      </c>
      <c r="E1401" s="35" t="str">
        <f t="shared" si="340"/>
        <v>PRBDP'!</v>
      </c>
      <c r="F1401" s="34" t="str">
        <f t="shared" si="341"/>
        <v>C:\Users\jaime.benazar\Quorum Business Solutions\Ecopetrol Prometeo - Documents\Planning Space Implementation\3. Analysis &amp; Design\Design\FC22\DRR Jaime\QUIFA-CAJÚA\Cajua\[CAJUA_CF_SEC_New_27-Feb-2024Rev3.xlsx]D-PRBDP'!</v>
      </c>
      <c r="G1401" s="32" t="s">
        <v>113</v>
      </c>
      <c r="H1401" s="33"/>
      <c r="I1401" s="33"/>
      <c r="J1401" s="37"/>
    </row>
    <row r="1402" spans="1:10" x14ac:dyDescent="0.25">
      <c r="A1402" s="32" t="s">
        <v>99</v>
      </c>
      <c r="B1402" s="32">
        <f t="shared" si="342"/>
        <v>2055</v>
      </c>
      <c r="C1402" s="33" t="s">
        <v>14</v>
      </c>
      <c r="D1402" s="34" t="s">
        <v>1999</v>
      </c>
      <c r="E1402" s="35" t="str">
        <f t="shared" si="340"/>
        <v>PRBDP'!</v>
      </c>
      <c r="F1402" s="34" t="str">
        <f t="shared" si="341"/>
        <v>C:\Users\jaime.benazar\Quorum Business Solutions\Ecopetrol Prometeo - Documents\Planning Space Implementation\3. Analysis &amp; Design\Design\FC22\DRR Jaime\QUIFA-CAJÚA\Cajua\[CAJUA_CF_SEC_New_27-Feb-2024Rev3.xlsx]D-PRBDP'!</v>
      </c>
      <c r="G1402" s="32" t="s">
        <v>113</v>
      </c>
      <c r="H1402" s="33"/>
      <c r="I1402" s="33"/>
      <c r="J1402" s="37"/>
    </row>
    <row r="1403" spans="1:10" x14ac:dyDescent="0.25">
      <c r="A1403" s="32" t="s">
        <v>99</v>
      </c>
      <c r="B1403" s="32">
        <f t="shared" si="342"/>
        <v>2056</v>
      </c>
      <c r="C1403" s="33" t="s">
        <v>14</v>
      </c>
      <c r="D1403" s="34" t="s">
        <v>1999</v>
      </c>
      <c r="E1403" s="35" t="str">
        <f t="shared" si="340"/>
        <v>PRBDP'!</v>
      </c>
      <c r="F1403" s="34" t="str">
        <f t="shared" si="341"/>
        <v>C:\Users\jaime.benazar\Quorum Business Solutions\Ecopetrol Prometeo - Documents\Planning Space Implementation\3. Analysis &amp; Design\Design\FC22\DRR Jaime\QUIFA-CAJÚA\Cajua\[CAJUA_CF_SEC_New_27-Feb-2024Rev3.xlsx]D-PRBDP'!</v>
      </c>
      <c r="G1403" s="32" t="s">
        <v>113</v>
      </c>
      <c r="H1403" s="33"/>
      <c r="I1403" s="33"/>
      <c r="J1403" s="37"/>
    </row>
    <row r="1404" spans="1:10" x14ac:dyDescent="0.25">
      <c r="A1404" s="32" t="s">
        <v>99</v>
      </c>
      <c r="B1404" s="32">
        <f t="shared" si="342"/>
        <v>2057</v>
      </c>
      <c r="C1404" s="33" t="s">
        <v>14</v>
      </c>
      <c r="D1404" s="34" t="s">
        <v>1999</v>
      </c>
      <c r="E1404" s="35" t="str">
        <f t="shared" si="340"/>
        <v>PRBDP'!</v>
      </c>
      <c r="F1404" s="34" t="str">
        <f t="shared" si="341"/>
        <v>C:\Users\jaime.benazar\Quorum Business Solutions\Ecopetrol Prometeo - Documents\Planning Space Implementation\3. Analysis &amp; Design\Design\FC22\DRR Jaime\QUIFA-CAJÚA\Cajua\[CAJUA_CF_SEC_New_27-Feb-2024Rev3.xlsx]D-PRBDP'!</v>
      </c>
      <c r="G1404" s="32" t="s">
        <v>113</v>
      </c>
      <c r="H1404" s="33"/>
      <c r="I1404" s="33"/>
      <c r="J1404" s="37"/>
    </row>
    <row r="1405" spans="1:10" x14ac:dyDescent="0.25">
      <c r="A1405" s="32" t="s">
        <v>99</v>
      </c>
      <c r="B1405" s="32">
        <f t="shared" si="342"/>
        <v>2058</v>
      </c>
      <c r="C1405" s="33" t="s">
        <v>14</v>
      </c>
      <c r="D1405" s="34" t="s">
        <v>1999</v>
      </c>
      <c r="E1405" s="35" t="str">
        <f t="shared" si="340"/>
        <v>PRBDP'!</v>
      </c>
      <c r="F1405" s="34" t="str">
        <f t="shared" si="341"/>
        <v>C:\Users\jaime.benazar\Quorum Business Solutions\Ecopetrol Prometeo - Documents\Planning Space Implementation\3. Analysis &amp; Design\Design\FC22\DRR Jaime\QUIFA-CAJÚA\Cajua\[CAJUA_CF_SEC_New_27-Feb-2024Rev3.xlsx]D-PRBDP'!</v>
      </c>
      <c r="G1405" s="32" t="s">
        <v>113</v>
      </c>
      <c r="H1405" s="33"/>
      <c r="I1405" s="33"/>
      <c r="J1405" s="37"/>
    </row>
    <row r="1406" spans="1:10" x14ac:dyDescent="0.25">
      <c r="A1406" s="32" t="s">
        <v>99</v>
      </c>
      <c r="B1406" s="32">
        <f t="shared" si="342"/>
        <v>2059</v>
      </c>
      <c r="C1406" s="33" t="s">
        <v>14</v>
      </c>
      <c r="D1406" s="34" t="s">
        <v>1999</v>
      </c>
      <c r="E1406" s="35" t="str">
        <f t="shared" si="340"/>
        <v>PRBDP'!</v>
      </c>
      <c r="F1406" s="34" t="str">
        <f t="shared" si="341"/>
        <v>C:\Users\jaime.benazar\Quorum Business Solutions\Ecopetrol Prometeo - Documents\Planning Space Implementation\3. Analysis &amp; Design\Design\FC22\DRR Jaime\QUIFA-CAJÚA\Cajua\[CAJUA_CF_SEC_New_27-Feb-2024Rev3.xlsx]D-PRBDP'!</v>
      </c>
      <c r="G1406" s="32" t="s">
        <v>113</v>
      </c>
      <c r="H1406" s="33"/>
      <c r="I1406" s="33"/>
      <c r="J1406" s="37"/>
    </row>
    <row r="1407" spans="1:10" x14ac:dyDescent="0.25">
      <c r="A1407" s="32" t="s">
        <v>28</v>
      </c>
      <c r="B1407" s="32"/>
      <c r="C1407" s="33" t="s">
        <v>14</v>
      </c>
      <c r="D1407" s="34"/>
      <c r="E1407" s="35"/>
      <c r="F1407" s="34"/>
      <c r="G1407" s="32"/>
      <c r="H1407" s="33"/>
      <c r="I1407" s="33"/>
      <c r="J1407" s="33"/>
    </row>
    <row r="1408" spans="1:10" x14ac:dyDescent="0.25">
      <c r="A1408" s="32" t="s">
        <v>100</v>
      </c>
      <c r="B1408" s="32">
        <v>2023</v>
      </c>
      <c r="C1408" s="33" t="s">
        <v>14</v>
      </c>
      <c r="D1408" s="34" t="s">
        <v>1999</v>
      </c>
      <c r="E1408" s="35" t="str">
        <f t="shared" ref="E1408:E1428" si="343">_xlfn.CONCAT(A1408,"'!")</f>
        <v>PRBNP'!</v>
      </c>
      <c r="F1408" s="34" t="str">
        <f t="shared" ref="F1408:F1428" si="344">_xlfn.CONCAT(D1408:E1408)</f>
        <v>C:\Users\jaime.benazar\Quorum Business Solutions\Ecopetrol Prometeo - Documents\Planning Space Implementation\3. Analysis &amp; Design\Design\FC22\DRR Jaime\QUIFA-CAJÚA\Cajua\[CAJUA_CF_SEC_New_27-Feb-2024Rev3.xlsx]D-PRBNP'!</v>
      </c>
      <c r="G1408" s="32" t="s">
        <v>113</v>
      </c>
      <c r="H1408" s="33"/>
      <c r="I1408" s="33"/>
      <c r="J1408" s="37"/>
    </row>
    <row r="1409" spans="1:10" x14ac:dyDescent="0.25">
      <c r="A1409" s="32" t="s">
        <v>100</v>
      </c>
      <c r="B1409" s="32">
        <f>+B1408+1</f>
        <v>2024</v>
      </c>
      <c r="C1409" s="33" t="s">
        <v>14</v>
      </c>
      <c r="D1409" s="34" t="s">
        <v>1999</v>
      </c>
      <c r="E1409" s="35" t="str">
        <f t="shared" si="343"/>
        <v>PRBNP'!</v>
      </c>
      <c r="F1409" s="34" t="str">
        <f t="shared" si="344"/>
        <v>C:\Users\jaime.benazar\Quorum Business Solutions\Ecopetrol Prometeo - Documents\Planning Space Implementation\3. Analysis &amp; Design\Design\FC22\DRR Jaime\QUIFA-CAJÚA\Cajua\[CAJUA_CF_SEC_New_27-Feb-2024Rev3.xlsx]D-PRBNP'!</v>
      </c>
      <c r="G1409" s="32" t="s">
        <v>113</v>
      </c>
      <c r="H1409" s="33"/>
      <c r="I1409" s="33"/>
      <c r="J1409" s="37"/>
    </row>
    <row r="1410" spans="1:10" x14ac:dyDescent="0.25">
      <c r="A1410" s="32" t="s">
        <v>100</v>
      </c>
      <c r="B1410" s="32">
        <f t="shared" ref="B1410:B1421" si="345">+B1409+1</f>
        <v>2025</v>
      </c>
      <c r="C1410" s="33" t="s">
        <v>14</v>
      </c>
      <c r="D1410" s="34" t="s">
        <v>1999</v>
      </c>
      <c r="E1410" s="35" t="str">
        <f t="shared" si="343"/>
        <v>PRBNP'!</v>
      </c>
      <c r="F1410" s="34" t="str">
        <f t="shared" si="344"/>
        <v>C:\Users\jaime.benazar\Quorum Business Solutions\Ecopetrol Prometeo - Documents\Planning Space Implementation\3. Analysis &amp; Design\Design\FC22\DRR Jaime\QUIFA-CAJÚA\Cajua\[CAJUA_CF_SEC_New_27-Feb-2024Rev3.xlsx]D-PRBNP'!</v>
      </c>
      <c r="G1410" s="32" t="s">
        <v>113</v>
      </c>
      <c r="H1410" s="33"/>
      <c r="I1410" s="33"/>
      <c r="J1410" s="37"/>
    </row>
    <row r="1411" spans="1:10" x14ac:dyDescent="0.25">
      <c r="A1411" s="32" t="s">
        <v>100</v>
      </c>
      <c r="B1411" s="32">
        <f t="shared" si="345"/>
        <v>2026</v>
      </c>
      <c r="C1411" s="33" t="s">
        <v>14</v>
      </c>
      <c r="D1411" s="34" t="s">
        <v>1999</v>
      </c>
      <c r="E1411" s="35" t="str">
        <f t="shared" si="343"/>
        <v>PRBNP'!</v>
      </c>
      <c r="F1411" s="34" t="str">
        <f t="shared" si="344"/>
        <v>C:\Users\jaime.benazar\Quorum Business Solutions\Ecopetrol Prometeo - Documents\Planning Space Implementation\3. Analysis &amp; Design\Design\FC22\DRR Jaime\QUIFA-CAJÚA\Cajua\[CAJUA_CF_SEC_New_27-Feb-2024Rev3.xlsx]D-PRBNP'!</v>
      </c>
      <c r="G1411" s="32" t="s">
        <v>113</v>
      </c>
      <c r="H1411" s="33"/>
      <c r="I1411" s="33"/>
      <c r="J1411" s="37"/>
    </row>
    <row r="1412" spans="1:10" x14ac:dyDescent="0.25">
      <c r="A1412" s="32" t="s">
        <v>100</v>
      </c>
      <c r="B1412" s="32">
        <f t="shared" si="345"/>
        <v>2027</v>
      </c>
      <c r="C1412" s="33" t="s">
        <v>14</v>
      </c>
      <c r="D1412" s="34" t="s">
        <v>1999</v>
      </c>
      <c r="E1412" s="35" t="str">
        <f t="shared" si="343"/>
        <v>PRBNP'!</v>
      </c>
      <c r="F1412" s="34" t="str">
        <f t="shared" si="344"/>
        <v>C:\Users\jaime.benazar\Quorum Business Solutions\Ecopetrol Prometeo - Documents\Planning Space Implementation\3. Analysis &amp; Design\Design\FC22\DRR Jaime\QUIFA-CAJÚA\Cajua\[CAJUA_CF_SEC_New_27-Feb-2024Rev3.xlsx]D-PRBNP'!</v>
      </c>
      <c r="G1412" s="32" t="s">
        <v>113</v>
      </c>
      <c r="H1412" s="33"/>
      <c r="I1412" s="33"/>
      <c r="J1412" s="37"/>
    </row>
    <row r="1413" spans="1:10" x14ac:dyDescent="0.25">
      <c r="A1413" s="32" t="s">
        <v>100</v>
      </c>
      <c r="B1413" s="32">
        <f t="shared" si="345"/>
        <v>2028</v>
      </c>
      <c r="C1413" s="33" t="s">
        <v>14</v>
      </c>
      <c r="D1413" s="34" t="s">
        <v>1999</v>
      </c>
      <c r="E1413" s="35" t="str">
        <f t="shared" si="343"/>
        <v>PRBNP'!</v>
      </c>
      <c r="F1413" s="34" t="str">
        <f t="shared" si="344"/>
        <v>C:\Users\jaime.benazar\Quorum Business Solutions\Ecopetrol Prometeo - Documents\Planning Space Implementation\3. Analysis &amp; Design\Design\FC22\DRR Jaime\QUIFA-CAJÚA\Cajua\[CAJUA_CF_SEC_New_27-Feb-2024Rev3.xlsx]D-PRBNP'!</v>
      </c>
      <c r="G1413" s="32" t="s">
        <v>113</v>
      </c>
      <c r="H1413" s="33"/>
      <c r="I1413" s="33"/>
      <c r="J1413" s="37"/>
    </row>
    <row r="1414" spans="1:10" x14ac:dyDescent="0.25">
      <c r="A1414" s="32" t="s">
        <v>100</v>
      </c>
      <c r="B1414" s="32">
        <f t="shared" si="345"/>
        <v>2029</v>
      </c>
      <c r="C1414" s="33" t="s">
        <v>14</v>
      </c>
      <c r="D1414" s="34" t="s">
        <v>1999</v>
      </c>
      <c r="E1414" s="35" t="str">
        <f t="shared" si="343"/>
        <v>PRBNP'!</v>
      </c>
      <c r="F1414" s="34" t="str">
        <f t="shared" si="344"/>
        <v>C:\Users\jaime.benazar\Quorum Business Solutions\Ecopetrol Prometeo - Documents\Planning Space Implementation\3. Analysis &amp; Design\Design\FC22\DRR Jaime\QUIFA-CAJÚA\Cajua\[CAJUA_CF_SEC_New_27-Feb-2024Rev3.xlsx]D-PRBNP'!</v>
      </c>
      <c r="G1414" s="32" t="s">
        <v>113</v>
      </c>
      <c r="H1414" s="33"/>
      <c r="I1414" s="33"/>
      <c r="J1414" s="37"/>
    </row>
    <row r="1415" spans="1:10" x14ac:dyDescent="0.25">
      <c r="A1415" s="32" t="s">
        <v>100</v>
      </c>
      <c r="B1415" s="32">
        <f t="shared" si="345"/>
        <v>2030</v>
      </c>
      <c r="C1415" s="33" t="s">
        <v>14</v>
      </c>
      <c r="D1415" s="34" t="s">
        <v>1999</v>
      </c>
      <c r="E1415" s="35" t="str">
        <f t="shared" si="343"/>
        <v>PRBNP'!</v>
      </c>
      <c r="F1415" s="34" t="str">
        <f t="shared" si="344"/>
        <v>C:\Users\jaime.benazar\Quorum Business Solutions\Ecopetrol Prometeo - Documents\Planning Space Implementation\3. Analysis &amp; Design\Design\FC22\DRR Jaime\QUIFA-CAJÚA\Cajua\[CAJUA_CF_SEC_New_27-Feb-2024Rev3.xlsx]D-PRBNP'!</v>
      </c>
      <c r="G1415" s="32" t="s">
        <v>113</v>
      </c>
      <c r="H1415" s="33"/>
      <c r="I1415" s="33"/>
      <c r="J1415" s="37"/>
    </row>
    <row r="1416" spans="1:10" x14ac:dyDescent="0.25">
      <c r="A1416" s="32" t="s">
        <v>100</v>
      </c>
      <c r="B1416" s="32">
        <f t="shared" si="345"/>
        <v>2031</v>
      </c>
      <c r="C1416" s="33" t="s">
        <v>14</v>
      </c>
      <c r="D1416" s="34" t="s">
        <v>1999</v>
      </c>
      <c r="E1416" s="35" t="str">
        <f t="shared" si="343"/>
        <v>PRBNP'!</v>
      </c>
      <c r="F1416" s="34" t="str">
        <f t="shared" si="344"/>
        <v>C:\Users\jaime.benazar\Quorum Business Solutions\Ecopetrol Prometeo - Documents\Planning Space Implementation\3. Analysis &amp; Design\Design\FC22\DRR Jaime\QUIFA-CAJÚA\Cajua\[CAJUA_CF_SEC_New_27-Feb-2024Rev3.xlsx]D-PRBNP'!</v>
      </c>
      <c r="G1416" s="32" t="s">
        <v>113</v>
      </c>
      <c r="H1416" s="33"/>
      <c r="I1416" s="33"/>
      <c r="J1416" s="37"/>
    </row>
    <row r="1417" spans="1:10" x14ac:dyDescent="0.25">
      <c r="A1417" s="32" t="s">
        <v>100</v>
      </c>
      <c r="B1417" s="32">
        <f t="shared" si="345"/>
        <v>2032</v>
      </c>
      <c r="C1417" s="33" t="s">
        <v>14</v>
      </c>
      <c r="D1417" s="34" t="s">
        <v>1999</v>
      </c>
      <c r="E1417" s="35" t="str">
        <f t="shared" si="343"/>
        <v>PRBNP'!</v>
      </c>
      <c r="F1417" s="34" t="str">
        <f t="shared" si="344"/>
        <v>C:\Users\jaime.benazar\Quorum Business Solutions\Ecopetrol Prometeo - Documents\Planning Space Implementation\3. Analysis &amp; Design\Design\FC22\DRR Jaime\QUIFA-CAJÚA\Cajua\[CAJUA_CF_SEC_New_27-Feb-2024Rev3.xlsx]D-PRBNP'!</v>
      </c>
      <c r="G1417" s="32" t="s">
        <v>113</v>
      </c>
      <c r="H1417" s="33"/>
      <c r="I1417" s="33"/>
      <c r="J1417" s="37"/>
    </row>
    <row r="1418" spans="1:10" x14ac:dyDescent="0.25">
      <c r="A1418" s="32" t="s">
        <v>100</v>
      </c>
      <c r="B1418" s="32">
        <f t="shared" si="345"/>
        <v>2033</v>
      </c>
      <c r="C1418" s="33" t="s">
        <v>14</v>
      </c>
      <c r="D1418" s="34" t="s">
        <v>1999</v>
      </c>
      <c r="E1418" s="35" t="str">
        <f t="shared" si="343"/>
        <v>PRBNP'!</v>
      </c>
      <c r="F1418" s="34" t="str">
        <f t="shared" si="344"/>
        <v>C:\Users\jaime.benazar\Quorum Business Solutions\Ecopetrol Prometeo - Documents\Planning Space Implementation\3. Analysis &amp; Design\Design\FC22\DRR Jaime\QUIFA-CAJÚA\Cajua\[CAJUA_CF_SEC_New_27-Feb-2024Rev3.xlsx]D-PRBNP'!</v>
      </c>
      <c r="G1418" s="32" t="s">
        <v>113</v>
      </c>
      <c r="H1418" s="33"/>
      <c r="I1418" s="33"/>
      <c r="J1418" s="37"/>
    </row>
    <row r="1419" spans="1:10" x14ac:dyDescent="0.25">
      <c r="A1419" s="32" t="s">
        <v>100</v>
      </c>
      <c r="B1419" s="32">
        <f t="shared" si="345"/>
        <v>2034</v>
      </c>
      <c r="C1419" s="33" t="s">
        <v>14</v>
      </c>
      <c r="D1419" s="34" t="s">
        <v>1999</v>
      </c>
      <c r="E1419" s="35" t="str">
        <f t="shared" si="343"/>
        <v>PRBNP'!</v>
      </c>
      <c r="F1419" s="34" t="str">
        <f t="shared" si="344"/>
        <v>C:\Users\jaime.benazar\Quorum Business Solutions\Ecopetrol Prometeo - Documents\Planning Space Implementation\3. Analysis &amp; Design\Design\FC22\DRR Jaime\QUIFA-CAJÚA\Cajua\[CAJUA_CF_SEC_New_27-Feb-2024Rev3.xlsx]D-PRBNP'!</v>
      </c>
      <c r="G1419" s="32" t="s">
        <v>113</v>
      </c>
      <c r="H1419" s="33"/>
      <c r="I1419" s="33"/>
      <c r="J1419" s="37"/>
    </row>
    <row r="1420" spans="1:10" x14ac:dyDescent="0.25">
      <c r="A1420" s="32" t="s">
        <v>100</v>
      </c>
      <c r="B1420" s="32">
        <f t="shared" si="345"/>
        <v>2035</v>
      </c>
      <c r="C1420" s="33" t="s">
        <v>14</v>
      </c>
      <c r="D1420" s="34" t="s">
        <v>1999</v>
      </c>
      <c r="E1420" s="35" t="str">
        <f t="shared" si="343"/>
        <v>PRBNP'!</v>
      </c>
      <c r="F1420" s="34" t="str">
        <f t="shared" si="344"/>
        <v>C:\Users\jaime.benazar\Quorum Business Solutions\Ecopetrol Prometeo - Documents\Planning Space Implementation\3. Analysis &amp; Design\Design\FC22\DRR Jaime\QUIFA-CAJÚA\Cajua\[CAJUA_CF_SEC_New_27-Feb-2024Rev3.xlsx]D-PRBNP'!</v>
      </c>
      <c r="G1420" s="32" t="s">
        <v>113</v>
      </c>
      <c r="H1420" s="33"/>
      <c r="I1420" s="33"/>
      <c r="J1420" s="37"/>
    </row>
    <row r="1421" spans="1:10" x14ac:dyDescent="0.25">
      <c r="A1421" s="32" t="s">
        <v>100</v>
      </c>
      <c r="B1421" s="32">
        <f t="shared" si="345"/>
        <v>2036</v>
      </c>
      <c r="C1421" s="33" t="s">
        <v>14</v>
      </c>
      <c r="D1421" s="34" t="s">
        <v>1999</v>
      </c>
      <c r="E1421" s="35" t="str">
        <f t="shared" si="343"/>
        <v>PRBNP'!</v>
      </c>
      <c r="F1421" s="34" t="str">
        <f t="shared" si="344"/>
        <v>C:\Users\jaime.benazar\Quorum Business Solutions\Ecopetrol Prometeo - Documents\Planning Space Implementation\3. Analysis &amp; Design\Design\FC22\DRR Jaime\QUIFA-CAJÚA\Cajua\[CAJUA_CF_SEC_New_27-Feb-2024Rev3.xlsx]D-PRBNP'!</v>
      </c>
      <c r="G1421" s="32" t="s">
        <v>113</v>
      </c>
      <c r="H1421" s="33"/>
      <c r="I1421" s="33"/>
      <c r="J1421" s="37"/>
    </row>
    <row r="1422" spans="1:10" x14ac:dyDescent="0.25">
      <c r="A1422" s="32" t="s">
        <v>100</v>
      </c>
      <c r="B1422" s="32">
        <f>+B1421+1</f>
        <v>2037</v>
      </c>
      <c r="C1422" s="33" t="s">
        <v>14</v>
      </c>
      <c r="D1422" s="34" t="s">
        <v>1999</v>
      </c>
      <c r="E1422" s="35" t="str">
        <f t="shared" si="343"/>
        <v>PRBNP'!</v>
      </c>
      <c r="F1422" s="34" t="str">
        <f t="shared" si="344"/>
        <v>C:\Users\jaime.benazar\Quorum Business Solutions\Ecopetrol Prometeo - Documents\Planning Space Implementation\3. Analysis &amp; Design\Design\FC22\DRR Jaime\QUIFA-CAJÚA\Cajua\[CAJUA_CF_SEC_New_27-Feb-2024Rev3.xlsx]D-PRBNP'!</v>
      </c>
      <c r="G1422" s="32" t="s">
        <v>113</v>
      </c>
      <c r="H1422" s="33"/>
      <c r="I1422" s="33"/>
      <c r="J1422" s="37"/>
    </row>
    <row r="1423" spans="1:10" x14ac:dyDescent="0.25">
      <c r="A1423" s="32" t="s">
        <v>100</v>
      </c>
      <c r="B1423" s="32">
        <f t="shared" ref="B1423:B1425" si="346">+B1422+1</f>
        <v>2038</v>
      </c>
      <c r="C1423" s="33" t="s">
        <v>14</v>
      </c>
      <c r="D1423" s="34" t="s">
        <v>1999</v>
      </c>
      <c r="E1423" s="35" t="str">
        <f t="shared" si="343"/>
        <v>PRBNP'!</v>
      </c>
      <c r="F1423" s="34" t="str">
        <f t="shared" si="344"/>
        <v>C:\Users\jaime.benazar\Quorum Business Solutions\Ecopetrol Prometeo - Documents\Planning Space Implementation\3. Analysis &amp; Design\Design\FC22\DRR Jaime\QUIFA-CAJÚA\Cajua\[CAJUA_CF_SEC_New_27-Feb-2024Rev3.xlsx]D-PRBNP'!</v>
      </c>
      <c r="G1423" s="32" t="s">
        <v>113</v>
      </c>
      <c r="H1423" s="33"/>
      <c r="I1423" s="33"/>
      <c r="J1423" s="37"/>
    </row>
    <row r="1424" spans="1:10" x14ac:dyDescent="0.25">
      <c r="A1424" s="32" t="s">
        <v>100</v>
      </c>
      <c r="B1424" s="32">
        <f t="shared" si="346"/>
        <v>2039</v>
      </c>
      <c r="C1424" s="33" t="s">
        <v>14</v>
      </c>
      <c r="D1424" s="34" t="s">
        <v>1999</v>
      </c>
      <c r="E1424" s="35" t="str">
        <f t="shared" si="343"/>
        <v>PRBNP'!</v>
      </c>
      <c r="F1424" s="34" t="str">
        <f t="shared" si="344"/>
        <v>C:\Users\jaime.benazar\Quorum Business Solutions\Ecopetrol Prometeo - Documents\Planning Space Implementation\3. Analysis &amp; Design\Design\FC22\DRR Jaime\QUIFA-CAJÚA\Cajua\[CAJUA_CF_SEC_New_27-Feb-2024Rev3.xlsx]D-PRBNP'!</v>
      </c>
      <c r="G1424" s="32" t="s">
        <v>113</v>
      </c>
      <c r="H1424" s="33"/>
      <c r="I1424" s="33"/>
      <c r="J1424" s="37"/>
    </row>
    <row r="1425" spans="1:10" x14ac:dyDescent="0.25">
      <c r="A1425" s="32" t="s">
        <v>100</v>
      </c>
      <c r="B1425" s="32">
        <f t="shared" si="346"/>
        <v>2040</v>
      </c>
      <c r="C1425" s="33" t="s">
        <v>14</v>
      </c>
      <c r="D1425" s="34" t="s">
        <v>1999</v>
      </c>
      <c r="E1425" s="35" t="str">
        <f t="shared" si="343"/>
        <v>PRBNP'!</v>
      </c>
      <c r="F1425" s="34" t="str">
        <f t="shared" si="344"/>
        <v>C:\Users\jaime.benazar\Quorum Business Solutions\Ecopetrol Prometeo - Documents\Planning Space Implementation\3. Analysis &amp; Design\Design\FC22\DRR Jaime\QUIFA-CAJÚA\Cajua\[CAJUA_CF_SEC_New_27-Feb-2024Rev3.xlsx]D-PRBNP'!</v>
      </c>
      <c r="G1425" s="32" t="s">
        <v>113</v>
      </c>
      <c r="H1425" s="33"/>
      <c r="I1425" s="33"/>
      <c r="J1425" s="37"/>
    </row>
    <row r="1426" spans="1:10" x14ac:dyDescent="0.25">
      <c r="A1426" s="32" t="s">
        <v>100</v>
      </c>
      <c r="B1426" s="32">
        <f>+B1425+1</f>
        <v>2041</v>
      </c>
      <c r="C1426" s="33" t="s">
        <v>14</v>
      </c>
      <c r="D1426" s="34" t="s">
        <v>1999</v>
      </c>
      <c r="E1426" s="35" t="str">
        <f t="shared" si="343"/>
        <v>PRBNP'!</v>
      </c>
      <c r="F1426" s="34" t="str">
        <f t="shared" si="344"/>
        <v>C:\Users\jaime.benazar\Quorum Business Solutions\Ecopetrol Prometeo - Documents\Planning Space Implementation\3. Analysis &amp; Design\Design\FC22\DRR Jaime\QUIFA-CAJÚA\Cajua\[CAJUA_CF_SEC_New_27-Feb-2024Rev3.xlsx]D-PRBNP'!</v>
      </c>
      <c r="G1426" s="32" t="s">
        <v>113</v>
      </c>
      <c r="H1426" s="33"/>
      <c r="I1426" s="33"/>
      <c r="J1426" s="37"/>
    </row>
    <row r="1427" spans="1:10" x14ac:dyDescent="0.25">
      <c r="A1427" s="32" t="s">
        <v>100</v>
      </c>
      <c r="B1427" s="32">
        <f t="shared" ref="B1427:B1428" si="347">+B1426+1</f>
        <v>2042</v>
      </c>
      <c r="C1427" s="33" t="s">
        <v>14</v>
      </c>
      <c r="D1427" s="34" t="s">
        <v>1999</v>
      </c>
      <c r="E1427" s="35" t="str">
        <f t="shared" si="343"/>
        <v>PRBNP'!</v>
      </c>
      <c r="F1427" s="34" t="str">
        <f t="shared" si="344"/>
        <v>C:\Users\jaime.benazar\Quorum Business Solutions\Ecopetrol Prometeo - Documents\Planning Space Implementation\3. Analysis &amp; Design\Design\FC22\DRR Jaime\QUIFA-CAJÚA\Cajua\[CAJUA_CF_SEC_New_27-Feb-2024Rev3.xlsx]D-PRBNP'!</v>
      </c>
      <c r="G1427" s="32" t="s">
        <v>113</v>
      </c>
      <c r="H1427" s="33"/>
      <c r="I1427" s="33"/>
      <c r="J1427" s="37"/>
    </row>
    <row r="1428" spans="1:10" x14ac:dyDescent="0.25">
      <c r="A1428" s="32" t="s">
        <v>100</v>
      </c>
      <c r="B1428" s="32">
        <f t="shared" si="347"/>
        <v>2043</v>
      </c>
      <c r="C1428" s="33" t="s">
        <v>14</v>
      </c>
      <c r="D1428" s="34" t="s">
        <v>1999</v>
      </c>
      <c r="E1428" s="35" t="str">
        <f t="shared" si="343"/>
        <v>PRBNP'!</v>
      </c>
      <c r="F1428" s="34" t="str">
        <f t="shared" si="344"/>
        <v>C:\Users\jaime.benazar\Quorum Business Solutions\Ecopetrol Prometeo - Documents\Planning Space Implementation\3. Analysis &amp; Design\Design\FC22\DRR Jaime\QUIFA-CAJÚA\Cajua\[CAJUA_CF_SEC_New_27-Feb-2024Rev3.xlsx]D-PRBNP'!</v>
      </c>
      <c r="G1428" s="32" t="s">
        <v>113</v>
      </c>
      <c r="H1428" s="33"/>
      <c r="I1428" s="33"/>
      <c r="J1428" s="37"/>
    </row>
    <row r="1429" spans="1:10" x14ac:dyDescent="0.25">
      <c r="A1429" s="32" t="s">
        <v>100</v>
      </c>
      <c r="B1429" s="32">
        <f>+B1428+1</f>
        <v>2044</v>
      </c>
      <c r="C1429" s="33" t="s">
        <v>14</v>
      </c>
      <c r="D1429" s="34" t="s">
        <v>1999</v>
      </c>
      <c r="E1429" s="35" t="str">
        <f t="shared" ref="E1429:E1444" si="348">_xlfn.CONCAT(A1429,"'!")</f>
        <v>PRBNP'!</v>
      </c>
      <c r="F1429" s="34" t="str">
        <f t="shared" ref="F1429:F1444" si="349">_xlfn.CONCAT(D1429:E1429)</f>
        <v>C:\Users\jaime.benazar\Quorum Business Solutions\Ecopetrol Prometeo - Documents\Planning Space Implementation\3. Analysis &amp; Design\Design\FC22\DRR Jaime\QUIFA-CAJÚA\Cajua\[CAJUA_CF_SEC_New_27-Feb-2024Rev3.xlsx]D-PRBNP'!</v>
      </c>
      <c r="G1429" s="32" t="s">
        <v>113</v>
      </c>
      <c r="H1429" s="33"/>
      <c r="I1429" s="33"/>
      <c r="J1429" s="37"/>
    </row>
    <row r="1430" spans="1:10" x14ac:dyDescent="0.25">
      <c r="A1430" s="32" t="s">
        <v>100</v>
      </c>
      <c r="B1430" s="32">
        <f t="shared" ref="B1430:B1444" si="350">+B1429+1</f>
        <v>2045</v>
      </c>
      <c r="C1430" s="33" t="s">
        <v>14</v>
      </c>
      <c r="D1430" s="34" t="s">
        <v>1999</v>
      </c>
      <c r="E1430" s="35" t="str">
        <f t="shared" si="348"/>
        <v>PRBNP'!</v>
      </c>
      <c r="F1430" s="34" t="str">
        <f t="shared" si="349"/>
        <v>C:\Users\jaime.benazar\Quorum Business Solutions\Ecopetrol Prometeo - Documents\Planning Space Implementation\3. Analysis &amp; Design\Design\FC22\DRR Jaime\QUIFA-CAJÚA\Cajua\[CAJUA_CF_SEC_New_27-Feb-2024Rev3.xlsx]D-PRBNP'!</v>
      </c>
      <c r="G1430" s="32" t="s">
        <v>113</v>
      </c>
      <c r="H1430" s="33"/>
      <c r="I1430" s="33"/>
      <c r="J1430" s="37"/>
    </row>
    <row r="1431" spans="1:10" x14ac:dyDescent="0.25">
      <c r="A1431" s="32" t="s">
        <v>100</v>
      </c>
      <c r="B1431" s="32">
        <f t="shared" si="350"/>
        <v>2046</v>
      </c>
      <c r="C1431" s="33" t="s">
        <v>14</v>
      </c>
      <c r="D1431" s="34" t="s">
        <v>1999</v>
      </c>
      <c r="E1431" s="35" t="str">
        <f t="shared" si="348"/>
        <v>PRBNP'!</v>
      </c>
      <c r="F1431" s="34" t="str">
        <f t="shared" si="349"/>
        <v>C:\Users\jaime.benazar\Quorum Business Solutions\Ecopetrol Prometeo - Documents\Planning Space Implementation\3. Analysis &amp; Design\Design\FC22\DRR Jaime\QUIFA-CAJÚA\Cajua\[CAJUA_CF_SEC_New_27-Feb-2024Rev3.xlsx]D-PRBNP'!</v>
      </c>
      <c r="G1431" s="32" t="s">
        <v>113</v>
      </c>
      <c r="H1431" s="33"/>
      <c r="I1431" s="33"/>
      <c r="J1431" s="37"/>
    </row>
    <row r="1432" spans="1:10" x14ac:dyDescent="0.25">
      <c r="A1432" s="32" t="s">
        <v>100</v>
      </c>
      <c r="B1432" s="32">
        <f t="shared" si="350"/>
        <v>2047</v>
      </c>
      <c r="C1432" s="33" t="s">
        <v>14</v>
      </c>
      <c r="D1432" s="34" t="s">
        <v>1999</v>
      </c>
      <c r="E1432" s="35" t="str">
        <f t="shared" si="348"/>
        <v>PRBNP'!</v>
      </c>
      <c r="F1432" s="34" t="str">
        <f t="shared" si="349"/>
        <v>C:\Users\jaime.benazar\Quorum Business Solutions\Ecopetrol Prometeo - Documents\Planning Space Implementation\3. Analysis &amp; Design\Design\FC22\DRR Jaime\QUIFA-CAJÚA\Cajua\[CAJUA_CF_SEC_New_27-Feb-2024Rev3.xlsx]D-PRBNP'!</v>
      </c>
      <c r="G1432" s="32" t="s">
        <v>113</v>
      </c>
      <c r="H1432" s="33"/>
      <c r="I1432" s="33"/>
      <c r="J1432" s="37"/>
    </row>
    <row r="1433" spans="1:10" x14ac:dyDescent="0.25">
      <c r="A1433" s="32" t="s">
        <v>100</v>
      </c>
      <c r="B1433" s="32">
        <f t="shared" si="350"/>
        <v>2048</v>
      </c>
      <c r="C1433" s="33" t="s">
        <v>14</v>
      </c>
      <c r="D1433" s="34" t="s">
        <v>1999</v>
      </c>
      <c r="E1433" s="35" t="str">
        <f t="shared" si="348"/>
        <v>PRBNP'!</v>
      </c>
      <c r="F1433" s="34" t="str">
        <f t="shared" si="349"/>
        <v>C:\Users\jaime.benazar\Quorum Business Solutions\Ecopetrol Prometeo - Documents\Planning Space Implementation\3. Analysis &amp; Design\Design\FC22\DRR Jaime\QUIFA-CAJÚA\Cajua\[CAJUA_CF_SEC_New_27-Feb-2024Rev3.xlsx]D-PRBNP'!</v>
      </c>
      <c r="G1433" s="32" t="s">
        <v>113</v>
      </c>
      <c r="H1433" s="33"/>
      <c r="I1433" s="33"/>
      <c r="J1433" s="37"/>
    </row>
    <row r="1434" spans="1:10" x14ac:dyDescent="0.25">
      <c r="A1434" s="32" t="s">
        <v>100</v>
      </c>
      <c r="B1434" s="32">
        <f t="shared" si="350"/>
        <v>2049</v>
      </c>
      <c r="C1434" s="33" t="s">
        <v>14</v>
      </c>
      <c r="D1434" s="34" t="s">
        <v>1999</v>
      </c>
      <c r="E1434" s="35" t="str">
        <f t="shared" si="348"/>
        <v>PRBNP'!</v>
      </c>
      <c r="F1434" s="34" t="str">
        <f t="shared" si="349"/>
        <v>C:\Users\jaime.benazar\Quorum Business Solutions\Ecopetrol Prometeo - Documents\Planning Space Implementation\3. Analysis &amp; Design\Design\FC22\DRR Jaime\QUIFA-CAJÚA\Cajua\[CAJUA_CF_SEC_New_27-Feb-2024Rev3.xlsx]D-PRBNP'!</v>
      </c>
      <c r="G1434" s="32" t="s">
        <v>113</v>
      </c>
      <c r="H1434" s="33"/>
      <c r="I1434" s="33"/>
      <c r="J1434" s="37"/>
    </row>
    <row r="1435" spans="1:10" x14ac:dyDescent="0.25">
      <c r="A1435" s="32" t="s">
        <v>100</v>
      </c>
      <c r="B1435" s="32">
        <f t="shared" si="350"/>
        <v>2050</v>
      </c>
      <c r="C1435" s="33" t="s">
        <v>14</v>
      </c>
      <c r="D1435" s="34" t="s">
        <v>1999</v>
      </c>
      <c r="E1435" s="35" t="str">
        <f t="shared" si="348"/>
        <v>PRBNP'!</v>
      </c>
      <c r="F1435" s="34" t="str">
        <f t="shared" si="349"/>
        <v>C:\Users\jaime.benazar\Quorum Business Solutions\Ecopetrol Prometeo - Documents\Planning Space Implementation\3. Analysis &amp; Design\Design\FC22\DRR Jaime\QUIFA-CAJÚA\Cajua\[CAJUA_CF_SEC_New_27-Feb-2024Rev3.xlsx]D-PRBNP'!</v>
      </c>
      <c r="G1435" s="32" t="s">
        <v>113</v>
      </c>
      <c r="H1435" s="33"/>
      <c r="I1435" s="33"/>
      <c r="J1435" s="37"/>
    </row>
    <row r="1436" spans="1:10" x14ac:dyDescent="0.25">
      <c r="A1436" s="32" t="s">
        <v>100</v>
      </c>
      <c r="B1436" s="32">
        <f t="shared" si="350"/>
        <v>2051</v>
      </c>
      <c r="C1436" s="33" t="s">
        <v>14</v>
      </c>
      <c r="D1436" s="34" t="s">
        <v>1999</v>
      </c>
      <c r="E1436" s="35" t="str">
        <f t="shared" si="348"/>
        <v>PRBNP'!</v>
      </c>
      <c r="F1436" s="34" t="str">
        <f t="shared" si="349"/>
        <v>C:\Users\jaime.benazar\Quorum Business Solutions\Ecopetrol Prometeo - Documents\Planning Space Implementation\3. Analysis &amp; Design\Design\FC22\DRR Jaime\QUIFA-CAJÚA\Cajua\[CAJUA_CF_SEC_New_27-Feb-2024Rev3.xlsx]D-PRBNP'!</v>
      </c>
      <c r="G1436" s="32" t="s">
        <v>113</v>
      </c>
      <c r="H1436" s="33"/>
      <c r="I1436" s="33"/>
      <c r="J1436" s="37"/>
    </row>
    <row r="1437" spans="1:10" x14ac:dyDescent="0.25">
      <c r="A1437" s="32" t="s">
        <v>100</v>
      </c>
      <c r="B1437" s="32">
        <f t="shared" si="350"/>
        <v>2052</v>
      </c>
      <c r="C1437" s="33" t="s">
        <v>14</v>
      </c>
      <c r="D1437" s="34" t="s">
        <v>1999</v>
      </c>
      <c r="E1437" s="35" t="str">
        <f t="shared" si="348"/>
        <v>PRBNP'!</v>
      </c>
      <c r="F1437" s="34" t="str">
        <f t="shared" si="349"/>
        <v>C:\Users\jaime.benazar\Quorum Business Solutions\Ecopetrol Prometeo - Documents\Planning Space Implementation\3. Analysis &amp; Design\Design\FC22\DRR Jaime\QUIFA-CAJÚA\Cajua\[CAJUA_CF_SEC_New_27-Feb-2024Rev3.xlsx]D-PRBNP'!</v>
      </c>
      <c r="G1437" s="32" t="s">
        <v>113</v>
      </c>
      <c r="H1437" s="33"/>
      <c r="I1437" s="33"/>
      <c r="J1437" s="37"/>
    </row>
    <row r="1438" spans="1:10" x14ac:dyDescent="0.25">
      <c r="A1438" s="32" t="s">
        <v>100</v>
      </c>
      <c r="B1438" s="32">
        <f t="shared" si="350"/>
        <v>2053</v>
      </c>
      <c r="C1438" s="33" t="s">
        <v>14</v>
      </c>
      <c r="D1438" s="34" t="s">
        <v>1999</v>
      </c>
      <c r="E1438" s="35" t="str">
        <f t="shared" si="348"/>
        <v>PRBNP'!</v>
      </c>
      <c r="F1438" s="34" t="str">
        <f t="shared" si="349"/>
        <v>C:\Users\jaime.benazar\Quorum Business Solutions\Ecopetrol Prometeo - Documents\Planning Space Implementation\3. Analysis &amp; Design\Design\FC22\DRR Jaime\QUIFA-CAJÚA\Cajua\[CAJUA_CF_SEC_New_27-Feb-2024Rev3.xlsx]D-PRBNP'!</v>
      </c>
      <c r="G1438" s="32" t="s">
        <v>113</v>
      </c>
      <c r="H1438" s="33"/>
      <c r="I1438" s="33"/>
      <c r="J1438" s="37"/>
    </row>
    <row r="1439" spans="1:10" x14ac:dyDescent="0.25">
      <c r="A1439" s="32" t="s">
        <v>100</v>
      </c>
      <c r="B1439" s="32">
        <f t="shared" si="350"/>
        <v>2054</v>
      </c>
      <c r="C1439" s="33" t="s">
        <v>14</v>
      </c>
      <c r="D1439" s="34" t="s">
        <v>1999</v>
      </c>
      <c r="E1439" s="35" t="str">
        <f t="shared" si="348"/>
        <v>PRBNP'!</v>
      </c>
      <c r="F1439" s="34" t="str">
        <f t="shared" si="349"/>
        <v>C:\Users\jaime.benazar\Quorum Business Solutions\Ecopetrol Prometeo - Documents\Planning Space Implementation\3. Analysis &amp; Design\Design\FC22\DRR Jaime\QUIFA-CAJÚA\Cajua\[CAJUA_CF_SEC_New_27-Feb-2024Rev3.xlsx]D-PRBNP'!</v>
      </c>
      <c r="G1439" s="32" t="s">
        <v>113</v>
      </c>
      <c r="H1439" s="33"/>
      <c r="I1439" s="33"/>
      <c r="J1439" s="37"/>
    </row>
    <row r="1440" spans="1:10" x14ac:dyDescent="0.25">
      <c r="A1440" s="32" t="s">
        <v>100</v>
      </c>
      <c r="B1440" s="32">
        <f t="shared" si="350"/>
        <v>2055</v>
      </c>
      <c r="C1440" s="33" t="s">
        <v>14</v>
      </c>
      <c r="D1440" s="34" t="s">
        <v>1999</v>
      </c>
      <c r="E1440" s="35" t="str">
        <f t="shared" si="348"/>
        <v>PRBNP'!</v>
      </c>
      <c r="F1440" s="34" t="str">
        <f t="shared" si="349"/>
        <v>C:\Users\jaime.benazar\Quorum Business Solutions\Ecopetrol Prometeo - Documents\Planning Space Implementation\3. Analysis &amp; Design\Design\FC22\DRR Jaime\QUIFA-CAJÚA\Cajua\[CAJUA_CF_SEC_New_27-Feb-2024Rev3.xlsx]D-PRBNP'!</v>
      </c>
      <c r="G1440" s="32" t="s">
        <v>113</v>
      </c>
      <c r="H1440" s="33"/>
      <c r="I1440" s="33"/>
      <c r="J1440" s="37"/>
    </row>
    <row r="1441" spans="1:10" x14ac:dyDescent="0.25">
      <c r="A1441" s="32" t="s">
        <v>100</v>
      </c>
      <c r="B1441" s="32">
        <f t="shared" si="350"/>
        <v>2056</v>
      </c>
      <c r="C1441" s="33" t="s">
        <v>14</v>
      </c>
      <c r="D1441" s="34" t="s">
        <v>1999</v>
      </c>
      <c r="E1441" s="35" t="str">
        <f t="shared" si="348"/>
        <v>PRBNP'!</v>
      </c>
      <c r="F1441" s="34" t="str">
        <f t="shared" si="349"/>
        <v>C:\Users\jaime.benazar\Quorum Business Solutions\Ecopetrol Prometeo - Documents\Planning Space Implementation\3. Analysis &amp; Design\Design\FC22\DRR Jaime\QUIFA-CAJÚA\Cajua\[CAJUA_CF_SEC_New_27-Feb-2024Rev3.xlsx]D-PRBNP'!</v>
      </c>
      <c r="G1441" s="32" t="s">
        <v>113</v>
      </c>
      <c r="H1441" s="33"/>
      <c r="I1441" s="33"/>
      <c r="J1441" s="37"/>
    </row>
    <row r="1442" spans="1:10" x14ac:dyDescent="0.25">
      <c r="A1442" s="32" t="s">
        <v>100</v>
      </c>
      <c r="B1442" s="32">
        <f t="shared" si="350"/>
        <v>2057</v>
      </c>
      <c r="C1442" s="33" t="s">
        <v>14</v>
      </c>
      <c r="D1442" s="34" t="s">
        <v>1999</v>
      </c>
      <c r="E1442" s="35" t="str">
        <f t="shared" si="348"/>
        <v>PRBNP'!</v>
      </c>
      <c r="F1442" s="34" t="str">
        <f t="shared" si="349"/>
        <v>C:\Users\jaime.benazar\Quorum Business Solutions\Ecopetrol Prometeo - Documents\Planning Space Implementation\3. Analysis &amp; Design\Design\FC22\DRR Jaime\QUIFA-CAJÚA\Cajua\[CAJUA_CF_SEC_New_27-Feb-2024Rev3.xlsx]D-PRBNP'!</v>
      </c>
      <c r="G1442" s="32" t="s">
        <v>113</v>
      </c>
      <c r="H1442" s="33"/>
      <c r="I1442" s="33"/>
      <c r="J1442" s="37"/>
    </row>
    <row r="1443" spans="1:10" x14ac:dyDescent="0.25">
      <c r="A1443" s="32" t="s">
        <v>100</v>
      </c>
      <c r="B1443" s="32">
        <f t="shared" si="350"/>
        <v>2058</v>
      </c>
      <c r="C1443" s="33" t="s">
        <v>14</v>
      </c>
      <c r="D1443" s="34" t="s">
        <v>1999</v>
      </c>
      <c r="E1443" s="35" t="str">
        <f t="shared" si="348"/>
        <v>PRBNP'!</v>
      </c>
      <c r="F1443" s="34" t="str">
        <f t="shared" si="349"/>
        <v>C:\Users\jaime.benazar\Quorum Business Solutions\Ecopetrol Prometeo - Documents\Planning Space Implementation\3. Analysis &amp; Design\Design\FC22\DRR Jaime\QUIFA-CAJÚA\Cajua\[CAJUA_CF_SEC_New_27-Feb-2024Rev3.xlsx]D-PRBNP'!</v>
      </c>
      <c r="G1443" s="32" t="s">
        <v>113</v>
      </c>
      <c r="H1443" s="33"/>
      <c r="I1443" s="33"/>
      <c r="J1443" s="37"/>
    </row>
    <row r="1444" spans="1:10" x14ac:dyDescent="0.25">
      <c r="A1444" s="32" t="s">
        <v>100</v>
      </c>
      <c r="B1444" s="32">
        <f t="shared" si="350"/>
        <v>2059</v>
      </c>
      <c r="C1444" s="33" t="s">
        <v>14</v>
      </c>
      <c r="D1444" s="34" t="s">
        <v>1999</v>
      </c>
      <c r="E1444" s="35" t="str">
        <f t="shared" si="348"/>
        <v>PRBNP'!</v>
      </c>
      <c r="F1444" s="34" t="str">
        <f t="shared" si="349"/>
        <v>C:\Users\jaime.benazar\Quorum Business Solutions\Ecopetrol Prometeo - Documents\Planning Space Implementation\3. Analysis &amp; Design\Design\FC22\DRR Jaime\QUIFA-CAJÚA\Cajua\[CAJUA_CF_SEC_New_27-Feb-2024Rev3.xlsx]D-PRBNP'!</v>
      </c>
      <c r="G1444" s="32" t="s">
        <v>113</v>
      </c>
      <c r="H1444" s="33"/>
      <c r="I1444" s="33"/>
      <c r="J1444" s="37"/>
    </row>
    <row r="1445" spans="1:10" x14ac:dyDescent="0.25">
      <c r="A1445" s="32" t="s">
        <v>28</v>
      </c>
      <c r="B1445" s="32"/>
      <c r="C1445" s="33" t="s">
        <v>14</v>
      </c>
      <c r="D1445" s="34"/>
      <c r="E1445" s="35"/>
      <c r="F1445" s="34"/>
      <c r="G1445" s="32"/>
      <c r="H1445" s="33"/>
      <c r="I1445" s="33"/>
      <c r="J1445" s="33"/>
    </row>
    <row r="1446" spans="1:10" x14ac:dyDescent="0.25">
      <c r="A1446" s="32" t="s">
        <v>101</v>
      </c>
      <c r="B1446" s="32">
        <v>2023</v>
      </c>
      <c r="C1446" s="33" t="s">
        <v>14</v>
      </c>
      <c r="D1446" s="34" t="s">
        <v>1999</v>
      </c>
      <c r="E1446" s="35" t="str">
        <f t="shared" ref="E1446:E1466" si="351">_xlfn.CONCAT(A1446,"'!")</f>
        <v>PRBND'!</v>
      </c>
      <c r="F1446" s="34" t="str">
        <f t="shared" ref="F1446:F1466" si="352">_xlfn.CONCAT(D1446:E1446)</f>
        <v>C:\Users\jaime.benazar\Quorum Business Solutions\Ecopetrol Prometeo - Documents\Planning Space Implementation\3. Analysis &amp; Design\Design\FC22\DRR Jaime\QUIFA-CAJÚA\Cajua\[CAJUA_CF_SEC_New_27-Feb-2024Rev3.xlsx]D-PRBND'!</v>
      </c>
      <c r="G1446" s="32" t="s">
        <v>113</v>
      </c>
      <c r="H1446" s="33"/>
      <c r="I1446" s="33"/>
      <c r="J1446" s="37"/>
    </row>
    <row r="1447" spans="1:10" x14ac:dyDescent="0.25">
      <c r="A1447" s="32" t="s">
        <v>101</v>
      </c>
      <c r="B1447" s="32">
        <f>+B1446+1</f>
        <v>2024</v>
      </c>
      <c r="C1447" s="33" t="s">
        <v>14</v>
      </c>
      <c r="D1447" s="34" t="s">
        <v>1999</v>
      </c>
      <c r="E1447" s="35" t="str">
        <f t="shared" si="351"/>
        <v>PRBND'!</v>
      </c>
      <c r="F1447" s="34" t="str">
        <f t="shared" si="352"/>
        <v>C:\Users\jaime.benazar\Quorum Business Solutions\Ecopetrol Prometeo - Documents\Planning Space Implementation\3. Analysis &amp; Design\Design\FC22\DRR Jaime\QUIFA-CAJÚA\Cajua\[CAJUA_CF_SEC_New_27-Feb-2024Rev3.xlsx]D-PRBND'!</v>
      </c>
      <c r="G1447" s="32" t="s">
        <v>113</v>
      </c>
      <c r="H1447" s="33"/>
      <c r="I1447" s="33"/>
      <c r="J1447" s="37"/>
    </row>
    <row r="1448" spans="1:10" x14ac:dyDescent="0.25">
      <c r="A1448" s="32" t="s">
        <v>101</v>
      </c>
      <c r="B1448" s="32">
        <f t="shared" ref="B1448:B1459" si="353">+B1447+1</f>
        <v>2025</v>
      </c>
      <c r="C1448" s="33" t="s">
        <v>14</v>
      </c>
      <c r="D1448" s="34" t="s">
        <v>1999</v>
      </c>
      <c r="E1448" s="35" t="str">
        <f t="shared" si="351"/>
        <v>PRBND'!</v>
      </c>
      <c r="F1448" s="34" t="str">
        <f t="shared" si="352"/>
        <v>C:\Users\jaime.benazar\Quorum Business Solutions\Ecopetrol Prometeo - Documents\Planning Space Implementation\3. Analysis &amp; Design\Design\FC22\DRR Jaime\QUIFA-CAJÚA\Cajua\[CAJUA_CF_SEC_New_27-Feb-2024Rev3.xlsx]D-PRBND'!</v>
      </c>
      <c r="G1448" s="32" t="s">
        <v>113</v>
      </c>
      <c r="H1448" s="33"/>
      <c r="I1448" s="33"/>
      <c r="J1448" s="37"/>
    </row>
    <row r="1449" spans="1:10" x14ac:dyDescent="0.25">
      <c r="A1449" s="32" t="s">
        <v>101</v>
      </c>
      <c r="B1449" s="32">
        <f t="shared" si="353"/>
        <v>2026</v>
      </c>
      <c r="C1449" s="33" t="s">
        <v>14</v>
      </c>
      <c r="D1449" s="34" t="s">
        <v>1999</v>
      </c>
      <c r="E1449" s="35" t="str">
        <f t="shared" si="351"/>
        <v>PRBND'!</v>
      </c>
      <c r="F1449" s="34" t="str">
        <f t="shared" si="352"/>
        <v>C:\Users\jaime.benazar\Quorum Business Solutions\Ecopetrol Prometeo - Documents\Planning Space Implementation\3. Analysis &amp; Design\Design\FC22\DRR Jaime\QUIFA-CAJÚA\Cajua\[CAJUA_CF_SEC_New_27-Feb-2024Rev3.xlsx]D-PRBND'!</v>
      </c>
      <c r="G1449" s="32" t="s">
        <v>113</v>
      </c>
      <c r="H1449" s="33"/>
      <c r="I1449" s="33"/>
      <c r="J1449" s="37"/>
    </row>
    <row r="1450" spans="1:10" x14ac:dyDescent="0.25">
      <c r="A1450" s="32" t="s">
        <v>101</v>
      </c>
      <c r="B1450" s="32">
        <f t="shared" si="353"/>
        <v>2027</v>
      </c>
      <c r="C1450" s="33" t="s">
        <v>14</v>
      </c>
      <c r="D1450" s="34" t="s">
        <v>1999</v>
      </c>
      <c r="E1450" s="35" t="str">
        <f t="shared" si="351"/>
        <v>PRBND'!</v>
      </c>
      <c r="F1450" s="34" t="str">
        <f t="shared" si="352"/>
        <v>C:\Users\jaime.benazar\Quorum Business Solutions\Ecopetrol Prometeo - Documents\Planning Space Implementation\3. Analysis &amp; Design\Design\FC22\DRR Jaime\QUIFA-CAJÚA\Cajua\[CAJUA_CF_SEC_New_27-Feb-2024Rev3.xlsx]D-PRBND'!</v>
      </c>
      <c r="G1450" s="32" t="s">
        <v>113</v>
      </c>
      <c r="H1450" s="33"/>
      <c r="I1450" s="33"/>
      <c r="J1450" s="37"/>
    </row>
    <row r="1451" spans="1:10" x14ac:dyDescent="0.25">
      <c r="A1451" s="32" t="s">
        <v>101</v>
      </c>
      <c r="B1451" s="32">
        <f t="shared" si="353"/>
        <v>2028</v>
      </c>
      <c r="C1451" s="33" t="s">
        <v>14</v>
      </c>
      <c r="D1451" s="34" t="s">
        <v>1999</v>
      </c>
      <c r="E1451" s="35" t="str">
        <f t="shared" si="351"/>
        <v>PRBND'!</v>
      </c>
      <c r="F1451" s="34" t="str">
        <f t="shared" si="352"/>
        <v>C:\Users\jaime.benazar\Quorum Business Solutions\Ecopetrol Prometeo - Documents\Planning Space Implementation\3. Analysis &amp; Design\Design\FC22\DRR Jaime\QUIFA-CAJÚA\Cajua\[CAJUA_CF_SEC_New_27-Feb-2024Rev3.xlsx]D-PRBND'!</v>
      </c>
      <c r="G1451" s="32" t="s">
        <v>113</v>
      </c>
      <c r="H1451" s="33"/>
      <c r="I1451" s="33"/>
      <c r="J1451" s="37"/>
    </row>
    <row r="1452" spans="1:10" x14ac:dyDescent="0.25">
      <c r="A1452" s="32" t="s">
        <v>101</v>
      </c>
      <c r="B1452" s="32">
        <f t="shared" si="353"/>
        <v>2029</v>
      </c>
      <c r="C1452" s="33" t="s">
        <v>14</v>
      </c>
      <c r="D1452" s="34" t="s">
        <v>1999</v>
      </c>
      <c r="E1452" s="35" t="str">
        <f t="shared" si="351"/>
        <v>PRBND'!</v>
      </c>
      <c r="F1452" s="34" t="str">
        <f t="shared" si="352"/>
        <v>C:\Users\jaime.benazar\Quorum Business Solutions\Ecopetrol Prometeo - Documents\Planning Space Implementation\3. Analysis &amp; Design\Design\FC22\DRR Jaime\QUIFA-CAJÚA\Cajua\[CAJUA_CF_SEC_New_27-Feb-2024Rev3.xlsx]D-PRBND'!</v>
      </c>
      <c r="G1452" s="32" t="s">
        <v>113</v>
      </c>
      <c r="H1452" s="33"/>
      <c r="I1452" s="33"/>
      <c r="J1452" s="37"/>
    </row>
    <row r="1453" spans="1:10" x14ac:dyDescent="0.25">
      <c r="A1453" s="32" t="s">
        <v>101</v>
      </c>
      <c r="B1453" s="32">
        <f t="shared" si="353"/>
        <v>2030</v>
      </c>
      <c r="C1453" s="33" t="s">
        <v>14</v>
      </c>
      <c r="D1453" s="34" t="s">
        <v>1999</v>
      </c>
      <c r="E1453" s="35" t="str">
        <f t="shared" si="351"/>
        <v>PRBND'!</v>
      </c>
      <c r="F1453" s="34" t="str">
        <f t="shared" si="352"/>
        <v>C:\Users\jaime.benazar\Quorum Business Solutions\Ecopetrol Prometeo - Documents\Planning Space Implementation\3. Analysis &amp; Design\Design\FC22\DRR Jaime\QUIFA-CAJÚA\Cajua\[CAJUA_CF_SEC_New_27-Feb-2024Rev3.xlsx]D-PRBND'!</v>
      </c>
      <c r="G1453" s="32" t="s">
        <v>113</v>
      </c>
      <c r="H1453" s="33"/>
      <c r="I1453" s="33"/>
      <c r="J1453" s="37"/>
    </row>
    <row r="1454" spans="1:10" x14ac:dyDescent="0.25">
      <c r="A1454" s="32" t="s">
        <v>101</v>
      </c>
      <c r="B1454" s="32">
        <f t="shared" si="353"/>
        <v>2031</v>
      </c>
      <c r="C1454" s="33" t="s">
        <v>14</v>
      </c>
      <c r="D1454" s="34" t="s">
        <v>1999</v>
      </c>
      <c r="E1454" s="35" t="str">
        <f t="shared" si="351"/>
        <v>PRBND'!</v>
      </c>
      <c r="F1454" s="34" t="str">
        <f t="shared" si="352"/>
        <v>C:\Users\jaime.benazar\Quorum Business Solutions\Ecopetrol Prometeo - Documents\Planning Space Implementation\3. Analysis &amp; Design\Design\FC22\DRR Jaime\QUIFA-CAJÚA\Cajua\[CAJUA_CF_SEC_New_27-Feb-2024Rev3.xlsx]D-PRBND'!</v>
      </c>
      <c r="G1454" s="32" t="s">
        <v>113</v>
      </c>
      <c r="H1454" s="33"/>
      <c r="I1454" s="33"/>
      <c r="J1454" s="37"/>
    </row>
    <row r="1455" spans="1:10" x14ac:dyDescent="0.25">
      <c r="A1455" s="32" t="s">
        <v>101</v>
      </c>
      <c r="B1455" s="32">
        <f t="shared" si="353"/>
        <v>2032</v>
      </c>
      <c r="C1455" s="33" t="s">
        <v>14</v>
      </c>
      <c r="D1455" s="34" t="s">
        <v>1999</v>
      </c>
      <c r="E1455" s="35" t="str">
        <f t="shared" si="351"/>
        <v>PRBND'!</v>
      </c>
      <c r="F1455" s="34" t="str">
        <f t="shared" si="352"/>
        <v>C:\Users\jaime.benazar\Quorum Business Solutions\Ecopetrol Prometeo - Documents\Planning Space Implementation\3. Analysis &amp; Design\Design\FC22\DRR Jaime\QUIFA-CAJÚA\Cajua\[CAJUA_CF_SEC_New_27-Feb-2024Rev3.xlsx]D-PRBND'!</v>
      </c>
      <c r="G1455" s="32" t="s">
        <v>113</v>
      </c>
      <c r="H1455" s="33"/>
      <c r="I1455" s="33"/>
      <c r="J1455" s="37"/>
    </row>
    <row r="1456" spans="1:10" x14ac:dyDescent="0.25">
      <c r="A1456" s="32" t="s">
        <v>101</v>
      </c>
      <c r="B1456" s="32">
        <f t="shared" si="353"/>
        <v>2033</v>
      </c>
      <c r="C1456" s="33" t="s">
        <v>14</v>
      </c>
      <c r="D1456" s="34" t="s">
        <v>1999</v>
      </c>
      <c r="E1456" s="35" t="str">
        <f t="shared" si="351"/>
        <v>PRBND'!</v>
      </c>
      <c r="F1456" s="34" t="str">
        <f t="shared" si="352"/>
        <v>C:\Users\jaime.benazar\Quorum Business Solutions\Ecopetrol Prometeo - Documents\Planning Space Implementation\3. Analysis &amp; Design\Design\FC22\DRR Jaime\QUIFA-CAJÚA\Cajua\[CAJUA_CF_SEC_New_27-Feb-2024Rev3.xlsx]D-PRBND'!</v>
      </c>
      <c r="G1456" s="32" t="s">
        <v>113</v>
      </c>
      <c r="H1456" s="33"/>
      <c r="I1456" s="33"/>
      <c r="J1456" s="37"/>
    </row>
    <row r="1457" spans="1:10" x14ac:dyDescent="0.25">
      <c r="A1457" s="32" t="s">
        <v>101</v>
      </c>
      <c r="B1457" s="32">
        <f t="shared" si="353"/>
        <v>2034</v>
      </c>
      <c r="C1457" s="33" t="s">
        <v>14</v>
      </c>
      <c r="D1457" s="34" t="s">
        <v>1999</v>
      </c>
      <c r="E1457" s="35" t="str">
        <f t="shared" si="351"/>
        <v>PRBND'!</v>
      </c>
      <c r="F1457" s="34" t="str">
        <f t="shared" si="352"/>
        <v>C:\Users\jaime.benazar\Quorum Business Solutions\Ecopetrol Prometeo - Documents\Planning Space Implementation\3. Analysis &amp; Design\Design\FC22\DRR Jaime\QUIFA-CAJÚA\Cajua\[CAJUA_CF_SEC_New_27-Feb-2024Rev3.xlsx]D-PRBND'!</v>
      </c>
      <c r="G1457" s="32" t="s">
        <v>113</v>
      </c>
      <c r="H1457" s="33"/>
      <c r="I1457" s="33"/>
      <c r="J1457" s="37"/>
    </row>
    <row r="1458" spans="1:10" x14ac:dyDescent="0.25">
      <c r="A1458" s="32" t="s">
        <v>101</v>
      </c>
      <c r="B1458" s="32">
        <f t="shared" si="353"/>
        <v>2035</v>
      </c>
      <c r="C1458" s="33" t="s">
        <v>14</v>
      </c>
      <c r="D1458" s="34" t="s">
        <v>1999</v>
      </c>
      <c r="E1458" s="35" t="str">
        <f t="shared" si="351"/>
        <v>PRBND'!</v>
      </c>
      <c r="F1458" s="34" t="str">
        <f t="shared" si="352"/>
        <v>C:\Users\jaime.benazar\Quorum Business Solutions\Ecopetrol Prometeo - Documents\Planning Space Implementation\3. Analysis &amp; Design\Design\FC22\DRR Jaime\QUIFA-CAJÚA\Cajua\[CAJUA_CF_SEC_New_27-Feb-2024Rev3.xlsx]D-PRBND'!</v>
      </c>
      <c r="G1458" s="32" t="s">
        <v>113</v>
      </c>
      <c r="H1458" s="33"/>
      <c r="I1458" s="33"/>
      <c r="J1458" s="37"/>
    </row>
    <row r="1459" spans="1:10" x14ac:dyDescent="0.25">
      <c r="A1459" s="32" t="s">
        <v>101</v>
      </c>
      <c r="B1459" s="32">
        <f t="shared" si="353"/>
        <v>2036</v>
      </c>
      <c r="C1459" s="33" t="s">
        <v>14</v>
      </c>
      <c r="D1459" s="34" t="s">
        <v>1999</v>
      </c>
      <c r="E1459" s="35" t="str">
        <f t="shared" si="351"/>
        <v>PRBND'!</v>
      </c>
      <c r="F1459" s="34" t="str">
        <f t="shared" si="352"/>
        <v>C:\Users\jaime.benazar\Quorum Business Solutions\Ecopetrol Prometeo - Documents\Planning Space Implementation\3. Analysis &amp; Design\Design\FC22\DRR Jaime\QUIFA-CAJÚA\Cajua\[CAJUA_CF_SEC_New_27-Feb-2024Rev3.xlsx]D-PRBND'!</v>
      </c>
      <c r="G1459" s="32" t="s">
        <v>113</v>
      </c>
      <c r="H1459" s="33"/>
      <c r="I1459" s="33"/>
      <c r="J1459" s="37"/>
    </row>
    <row r="1460" spans="1:10" x14ac:dyDescent="0.25">
      <c r="A1460" s="32" t="s">
        <v>101</v>
      </c>
      <c r="B1460" s="32">
        <f>+B1459+1</f>
        <v>2037</v>
      </c>
      <c r="C1460" s="33" t="s">
        <v>14</v>
      </c>
      <c r="D1460" s="34" t="s">
        <v>1999</v>
      </c>
      <c r="E1460" s="35" t="str">
        <f t="shared" si="351"/>
        <v>PRBND'!</v>
      </c>
      <c r="F1460" s="34" t="str">
        <f t="shared" si="352"/>
        <v>C:\Users\jaime.benazar\Quorum Business Solutions\Ecopetrol Prometeo - Documents\Planning Space Implementation\3. Analysis &amp; Design\Design\FC22\DRR Jaime\QUIFA-CAJÚA\Cajua\[CAJUA_CF_SEC_New_27-Feb-2024Rev3.xlsx]D-PRBND'!</v>
      </c>
      <c r="G1460" s="32" t="s">
        <v>113</v>
      </c>
      <c r="H1460" s="33"/>
      <c r="I1460" s="33"/>
      <c r="J1460" s="37"/>
    </row>
    <row r="1461" spans="1:10" x14ac:dyDescent="0.25">
      <c r="A1461" s="32" t="s">
        <v>101</v>
      </c>
      <c r="B1461" s="32">
        <f t="shared" ref="B1461:B1463" si="354">+B1460+1</f>
        <v>2038</v>
      </c>
      <c r="C1461" s="33" t="s">
        <v>14</v>
      </c>
      <c r="D1461" s="34" t="s">
        <v>1999</v>
      </c>
      <c r="E1461" s="35" t="str">
        <f t="shared" si="351"/>
        <v>PRBND'!</v>
      </c>
      <c r="F1461" s="34" t="str">
        <f t="shared" si="352"/>
        <v>C:\Users\jaime.benazar\Quorum Business Solutions\Ecopetrol Prometeo - Documents\Planning Space Implementation\3. Analysis &amp; Design\Design\FC22\DRR Jaime\QUIFA-CAJÚA\Cajua\[CAJUA_CF_SEC_New_27-Feb-2024Rev3.xlsx]D-PRBND'!</v>
      </c>
      <c r="G1461" s="32" t="s">
        <v>113</v>
      </c>
      <c r="H1461" s="33"/>
      <c r="I1461" s="33"/>
      <c r="J1461" s="37"/>
    </row>
    <row r="1462" spans="1:10" x14ac:dyDescent="0.25">
      <c r="A1462" s="32" t="s">
        <v>101</v>
      </c>
      <c r="B1462" s="32">
        <f t="shared" si="354"/>
        <v>2039</v>
      </c>
      <c r="C1462" s="33" t="s">
        <v>14</v>
      </c>
      <c r="D1462" s="34" t="s">
        <v>1999</v>
      </c>
      <c r="E1462" s="35" t="str">
        <f t="shared" si="351"/>
        <v>PRBND'!</v>
      </c>
      <c r="F1462" s="34" t="str">
        <f t="shared" si="352"/>
        <v>C:\Users\jaime.benazar\Quorum Business Solutions\Ecopetrol Prometeo - Documents\Planning Space Implementation\3. Analysis &amp; Design\Design\FC22\DRR Jaime\QUIFA-CAJÚA\Cajua\[CAJUA_CF_SEC_New_27-Feb-2024Rev3.xlsx]D-PRBND'!</v>
      </c>
      <c r="G1462" s="32" t="s">
        <v>113</v>
      </c>
      <c r="H1462" s="33"/>
      <c r="I1462" s="33"/>
      <c r="J1462" s="37"/>
    </row>
    <row r="1463" spans="1:10" x14ac:dyDescent="0.25">
      <c r="A1463" s="32" t="s">
        <v>101</v>
      </c>
      <c r="B1463" s="32">
        <f t="shared" si="354"/>
        <v>2040</v>
      </c>
      <c r="C1463" s="33" t="s">
        <v>14</v>
      </c>
      <c r="D1463" s="34" t="s">
        <v>1999</v>
      </c>
      <c r="E1463" s="35" t="str">
        <f t="shared" si="351"/>
        <v>PRBND'!</v>
      </c>
      <c r="F1463" s="34" t="str">
        <f t="shared" si="352"/>
        <v>C:\Users\jaime.benazar\Quorum Business Solutions\Ecopetrol Prometeo - Documents\Planning Space Implementation\3. Analysis &amp; Design\Design\FC22\DRR Jaime\QUIFA-CAJÚA\Cajua\[CAJUA_CF_SEC_New_27-Feb-2024Rev3.xlsx]D-PRBND'!</v>
      </c>
      <c r="G1463" s="32" t="s">
        <v>113</v>
      </c>
      <c r="H1463" s="33"/>
      <c r="I1463" s="33"/>
      <c r="J1463" s="37"/>
    </row>
    <row r="1464" spans="1:10" x14ac:dyDescent="0.25">
      <c r="A1464" s="32" t="s">
        <v>101</v>
      </c>
      <c r="B1464" s="32">
        <f>+B1463+1</f>
        <v>2041</v>
      </c>
      <c r="C1464" s="33" t="s">
        <v>14</v>
      </c>
      <c r="D1464" s="34" t="s">
        <v>1999</v>
      </c>
      <c r="E1464" s="35" t="str">
        <f t="shared" si="351"/>
        <v>PRBND'!</v>
      </c>
      <c r="F1464" s="34" t="str">
        <f t="shared" si="352"/>
        <v>C:\Users\jaime.benazar\Quorum Business Solutions\Ecopetrol Prometeo - Documents\Planning Space Implementation\3. Analysis &amp; Design\Design\FC22\DRR Jaime\QUIFA-CAJÚA\Cajua\[CAJUA_CF_SEC_New_27-Feb-2024Rev3.xlsx]D-PRBND'!</v>
      </c>
      <c r="G1464" s="32" t="s">
        <v>113</v>
      </c>
      <c r="H1464" s="33"/>
      <c r="I1464" s="33"/>
      <c r="J1464" s="37"/>
    </row>
    <row r="1465" spans="1:10" x14ac:dyDescent="0.25">
      <c r="A1465" s="32" t="s">
        <v>101</v>
      </c>
      <c r="B1465" s="32">
        <f t="shared" ref="B1465:B1466" si="355">+B1464+1</f>
        <v>2042</v>
      </c>
      <c r="C1465" s="33" t="s">
        <v>14</v>
      </c>
      <c r="D1465" s="34" t="s">
        <v>1999</v>
      </c>
      <c r="E1465" s="35" t="str">
        <f t="shared" si="351"/>
        <v>PRBND'!</v>
      </c>
      <c r="F1465" s="34" t="str">
        <f t="shared" si="352"/>
        <v>C:\Users\jaime.benazar\Quorum Business Solutions\Ecopetrol Prometeo - Documents\Planning Space Implementation\3. Analysis &amp; Design\Design\FC22\DRR Jaime\QUIFA-CAJÚA\Cajua\[CAJUA_CF_SEC_New_27-Feb-2024Rev3.xlsx]D-PRBND'!</v>
      </c>
      <c r="G1465" s="32" t="s">
        <v>113</v>
      </c>
      <c r="H1465" s="33"/>
      <c r="I1465" s="33"/>
      <c r="J1465" s="37"/>
    </row>
    <row r="1466" spans="1:10" x14ac:dyDescent="0.25">
      <c r="A1466" s="32" t="s">
        <v>101</v>
      </c>
      <c r="B1466" s="32">
        <f t="shared" si="355"/>
        <v>2043</v>
      </c>
      <c r="C1466" s="33" t="s">
        <v>14</v>
      </c>
      <c r="D1466" s="34" t="s">
        <v>1999</v>
      </c>
      <c r="E1466" s="35" t="str">
        <f t="shared" si="351"/>
        <v>PRBND'!</v>
      </c>
      <c r="F1466" s="34" t="str">
        <f t="shared" si="352"/>
        <v>C:\Users\jaime.benazar\Quorum Business Solutions\Ecopetrol Prometeo - Documents\Planning Space Implementation\3. Analysis &amp; Design\Design\FC22\DRR Jaime\QUIFA-CAJÚA\Cajua\[CAJUA_CF_SEC_New_27-Feb-2024Rev3.xlsx]D-PRBND'!</v>
      </c>
      <c r="G1466" s="32" t="s">
        <v>113</v>
      </c>
      <c r="H1466" s="33"/>
      <c r="I1466" s="33"/>
      <c r="J1466" s="37"/>
    </row>
    <row r="1467" spans="1:10" x14ac:dyDescent="0.25">
      <c r="A1467" s="32" t="s">
        <v>101</v>
      </c>
      <c r="B1467" s="32">
        <f>+B1466+1</f>
        <v>2044</v>
      </c>
      <c r="C1467" s="33" t="s">
        <v>14</v>
      </c>
      <c r="D1467" s="34" t="s">
        <v>1999</v>
      </c>
      <c r="E1467" s="35" t="str">
        <f t="shared" ref="E1467:E1482" si="356">_xlfn.CONCAT(A1467,"'!")</f>
        <v>PRBND'!</v>
      </c>
      <c r="F1467" s="34" t="str">
        <f t="shared" ref="F1467:F1482" si="357">_xlfn.CONCAT(D1467:E1467)</f>
        <v>C:\Users\jaime.benazar\Quorum Business Solutions\Ecopetrol Prometeo - Documents\Planning Space Implementation\3. Analysis &amp; Design\Design\FC22\DRR Jaime\QUIFA-CAJÚA\Cajua\[CAJUA_CF_SEC_New_27-Feb-2024Rev3.xlsx]D-PRBND'!</v>
      </c>
      <c r="G1467" s="32" t="s">
        <v>113</v>
      </c>
      <c r="H1467" s="33"/>
      <c r="I1467" s="33"/>
      <c r="J1467" s="37"/>
    </row>
    <row r="1468" spans="1:10" x14ac:dyDescent="0.25">
      <c r="A1468" s="32" t="s">
        <v>101</v>
      </c>
      <c r="B1468" s="32">
        <f t="shared" ref="B1468:B1482" si="358">+B1467+1</f>
        <v>2045</v>
      </c>
      <c r="C1468" s="33" t="s">
        <v>14</v>
      </c>
      <c r="D1468" s="34" t="s">
        <v>1999</v>
      </c>
      <c r="E1468" s="35" t="str">
        <f t="shared" si="356"/>
        <v>PRBND'!</v>
      </c>
      <c r="F1468" s="34" t="str">
        <f t="shared" si="357"/>
        <v>C:\Users\jaime.benazar\Quorum Business Solutions\Ecopetrol Prometeo - Documents\Planning Space Implementation\3. Analysis &amp; Design\Design\FC22\DRR Jaime\QUIFA-CAJÚA\Cajua\[CAJUA_CF_SEC_New_27-Feb-2024Rev3.xlsx]D-PRBND'!</v>
      </c>
      <c r="G1468" s="32" t="s">
        <v>113</v>
      </c>
      <c r="H1468" s="33"/>
      <c r="I1468" s="33"/>
      <c r="J1468" s="37"/>
    </row>
    <row r="1469" spans="1:10" x14ac:dyDescent="0.25">
      <c r="A1469" s="32" t="s">
        <v>101</v>
      </c>
      <c r="B1469" s="32">
        <f t="shared" si="358"/>
        <v>2046</v>
      </c>
      <c r="C1469" s="33" t="s">
        <v>14</v>
      </c>
      <c r="D1469" s="34" t="s">
        <v>1999</v>
      </c>
      <c r="E1469" s="35" t="str">
        <f t="shared" si="356"/>
        <v>PRBND'!</v>
      </c>
      <c r="F1469" s="34" t="str">
        <f t="shared" si="357"/>
        <v>C:\Users\jaime.benazar\Quorum Business Solutions\Ecopetrol Prometeo - Documents\Planning Space Implementation\3. Analysis &amp; Design\Design\FC22\DRR Jaime\QUIFA-CAJÚA\Cajua\[CAJUA_CF_SEC_New_27-Feb-2024Rev3.xlsx]D-PRBND'!</v>
      </c>
      <c r="G1469" s="32" t="s">
        <v>113</v>
      </c>
      <c r="H1469" s="33"/>
      <c r="I1469" s="33"/>
      <c r="J1469" s="37"/>
    </row>
    <row r="1470" spans="1:10" x14ac:dyDescent="0.25">
      <c r="A1470" s="32" t="s">
        <v>101</v>
      </c>
      <c r="B1470" s="32">
        <f t="shared" si="358"/>
        <v>2047</v>
      </c>
      <c r="C1470" s="33" t="s">
        <v>14</v>
      </c>
      <c r="D1470" s="34" t="s">
        <v>1999</v>
      </c>
      <c r="E1470" s="35" t="str">
        <f t="shared" si="356"/>
        <v>PRBND'!</v>
      </c>
      <c r="F1470" s="34" t="str">
        <f t="shared" si="357"/>
        <v>C:\Users\jaime.benazar\Quorum Business Solutions\Ecopetrol Prometeo - Documents\Planning Space Implementation\3. Analysis &amp; Design\Design\FC22\DRR Jaime\QUIFA-CAJÚA\Cajua\[CAJUA_CF_SEC_New_27-Feb-2024Rev3.xlsx]D-PRBND'!</v>
      </c>
      <c r="G1470" s="32" t="s">
        <v>113</v>
      </c>
      <c r="H1470" s="33"/>
      <c r="I1470" s="33"/>
      <c r="J1470" s="37"/>
    </row>
    <row r="1471" spans="1:10" x14ac:dyDescent="0.25">
      <c r="A1471" s="32" t="s">
        <v>101</v>
      </c>
      <c r="B1471" s="32">
        <f t="shared" si="358"/>
        <v>2048</v>
      </c>
      <c r="C1471" s="33" t="s">
        <v>14</v>
      </c>
      <c r="D1471" s="34" t="s">
        <v>1999</v>
      </c>
      <c r="E1471" s="35" t="str">
        <f t="shared" si="356"/>
        <v>PRBND'!</v>
      </c>
      <c r="F1471" s="34" t="str">
        <f t="shared" si="357"/>
        <v>C:\Users\jaime.benazar\Quorum Business Solutions\Ecopetrol Prometeo - Documents\Planning Space Implementation\3. Analysis &amp; Design\Design\FC22\DRR Jaime\QUIFA-CAJÚA\Cajua\[CAJUA_CF_SEC_New_27-Feb-2024Rev3.xlsx]D-PRBND'!</v>
      </c>
      <c r="G1471" s="32" t="s">
        <v>113</v>
      </c>
      <c r="H1471" s="33"/>
      <c r="I1471" s="33"/>
      <c r="J1471" s="37"/>
    </row>
    <row r="1472" spans="1:10" x14ac:dyDescent="0.25">
      <c r="A1472" s="32" t="s">
        <v>101</v>
      </c>
      <c r="B1472" s="32">
        <f t="shared" si="358"/>
        <v>2049</v>
      </c>
      <c r="C1472" s="33" t="s">
        <v>14</v>
      </c>
      <c r="D1472" s="34" t="s">
        <v>1999</v>
      </c>
      <c r="E1472" s="35" t="str">
        <f t="shared" si="356"/>
        <v>PRBND'!</v>
      </c>
      <c r="F1472" s="34" t="str">
        <f t="shared" si="357"/>
        <v>C:\Users\jaime.benazar\Quorum Business Solutions\Ecopetrol Prometeo - Documents\Planning Space Implementation\3. Analysis &amp; Design\Design\FC22\DRR Jaime\QUIFA-CAJÚA\Cajua\[CAJUA_CF_SEC_New_27-Feb-2024Rev3.xlsx]D-PRBND'!</v>
      </c>
      <c r="G1472" s="32" t="s">
        <v>113</v>
      </c>
      <c r="H1472" s="33"/>
      <c r="I1472" s="33"/>
      <c r="J1472" s="37"/>
    </row>
    <row r="1473" spans="1:10" x14ac:dyDescent="0.25">
      <c r="A1473" s="32" t="s">
        <v>101</v>
      </c>
      <c r="B1473" s="32">
        <f t="shared" si="358"/>
        <v>2050</v>
      </c>
      <c r="C1473" s="33" t="s">
        <v>14</v>
      </c>
      <c r="D1473" s="34" t="s">
        <v>1999</v>
      </c>
      <c r="E1473" s="35" t="str">
        <f t="shared" si="356"/>
        <v>PRBND'!</v>
      </c>
      <c r="F1473" s="34" t="str">
        <f t="shared" si="357"/>
        <v>C:\Users\jaime.benazar\Quorum Business Solutions\Ecopetrol Prometeo - Documents\Planning Space Implementation\3. Analysis &amp; Design\Design\FC22\DRR Jaime\QUIFA-CAJÚA\Cajua\[CAJUA_CF_SEC_New_27-Feb-2024Rev3.xlsx]D-PRBND'!</v>
      </c>
      <c r="G1473" s="32" t="s">
        <v>113</v>
      </c>
      <c r="H1473" s="33"/>
      <c r="I1473" s="33"/>
      <c r="J1473" s="37"/>
    </row>
    <row r="1474" spans="1:10" x14ac:dyDescent="0.25">
      <c r="A1474" s="32" t="s">
        <v>101</v>
      </c>
      <c r="B1474" s="32">
        <f t="shared" si="358"/>
        <v>2051</v>
      </c>
      <c r="C1474" s="33" t="s">
        <v>14</v>
      </c>
      <c r="D1474" s="34" t="s">
        <v>1999</v>
      </c>
      <c r="E1474" s="35" t="str">
        <f t="shared" si="356"/>
        <v>PRBND'!</v>
      </c>
      <c r="F1474" s="34" t="str">
        <f t="shared" si="357"/>
        <v>C:\Users\jaime.benazar\Quorum Business Solutions\Ecopetrol Prometeo - Documents\Planning Space Implementation\3. Analysis &amp; Design\Design\FC22\DRR Jaime\QUIFA-CAJÚA\Cajua\[CAJUA_CF_SEC_New_27-Feb-2024Rev3.xlsx]D-PRBND'!</v>
      </c>
      <c r="G1474" s="32" t="s">
        <v>113</v>
      </c>
      <c r="H1474" s="33"/>
      <c r="I1474" s="33"/>
      <c r="J1474" s="37"/>
    </row>
    <row r="1475" spans="1:10" x14ac:dyDescent="0.25">
      <c r="A1475" s="32" t="s">
        <v>101</v>
      </c>
      <c r="B1475" s="32">
        <f t="shared" si="358"/>
        <v>2052</v>
      </c>
      <c r="C1475" s="33" t="s">
        <v>14</v>
      </c>
      <c r="D1475" s="34" t="s">
        <v>1999</v>
      </c>
      <c r="E1475" s="35" t="str">
        <f t="shared" si="356"/>
        <v>PRBND'!</v>
      </c>
      <c r="F1475" s="34" t="str">
        <f t="shared" si="357"/>
        <v>C:\Users\jaime.benazar\Quorum Business Solutions\Ecopetrol Prometeo - Documents\Planning Space Implementation\3. Analysis &amp; Design\Design\FC22\DRR Jaime\QUIFA-CAJÚA\Cajua\[CAJUA_CF_SEC_New_27-Feb-2024Rev3.xlsx]D-PRBND'!</v>
      </c>
      <c r="G1475" s="32" t="s">
        <v>113</v>
      </c>
      <c r="H1475" s="33"/>
      <c r="I1475" s="33"/>
      <c r="J1475" s="37"/>
    </row>
    <row r="1476" spans="1:10" x14ac:dyDescent="0.25">
      <c r="A1476" s="32" t="s">
        <v>101</v>
      </c>
      <c r="B1476" s="32">
        <f t="shared" si="358"/>
        <v>2053</v>
      </c>
      <c r="C1476" s="33" t="s">
        <v>14</v>
      </c>
      <c r="D1476" s="34" t="s">
        <v>1999</v>
      </c>
      <c r="E1476" s="35" t="str">
        <f t="shared" si="356"/>
        <v>PRBND'!</v>
      </c>
      <c r="F1476" s="34" t="str">
        <f t="shared" si="357"/>
        <v>C:\Users\jaime.benazar\Quorum Business Solutions\Ecopetrol Prometeo - Documents\Planning Space Implementation\3. Analysis &amp; Design\Design\FC22\DRR Jaime\QUIFA-CAJÚA\Cajua\[CAJUA_CF_SEC_New_27-Feb-2024Rev3.xlsx]D-PRBND'!</v>
      </c>
      <c r="G1476" s="32" t="s">
        <v>113</v>
      </c>
      <c r="H1476" s="33"/>
      <c r="I1476" s="33"/>
      <c r="J1476" s="37"/>
    </row>
    <row r="1477" spans="1:10" x14ac:dyDescent="0.25">
      <c r="A1477" s="32" t="s">
        <v>101</v>
      </c>
      <c r="B1477" s="32">
        <f t="shared" si="358"/>
        <v>2054</v>
      </c>
      <c r="C1477" s="33" t="s">
        <v>14</v>
      </c>
      <c r="D1477" s="34" t="s">
        <v>1999</v>
      </c>
      <c r="E1477" s="35" t="str">
        <f t="shared" si="356"/>
        <v>PRBND'!</v>
      </c>
      <c r="F1477" s="34" t="str">
        <f t="shared" si="357"/>
        <v>C:\Users\jaime.benazar\Quorum Business Solutions\Ecopetrol Prometeo - Documents\Planning Space Implementation\3. Analysis &amp; Design\Design\FC22\DRR Jaime\QUIFA-CAJÚA\Cajua\[CAJUA_CF_SEC_New_27-Feb-2024Rev3.xlsx]D-PRBND'!</v>
      </c>
      <c r="G1477" s="32" t="s">
        <v>113</v>
      </c>
      <c r="H1477" s="33"/>
      <c r="I1477" s="33"/>
      <c r="J1477" s="37"/>
    </row>
    <row r="1478" spans="1:10" x14ac:dyDescent="0.25">
      <c r="A1478" s="32" t="s">
        <v>101</v>
      </c>
      <c r="B1478" s="32">
        <f t="shared" si="358"/>
        <v>2055</v>
      </c>
      <c r="C1478" s="33" t="s">
        <v>14</v>
      </c>
      <c r="D1478" s="34" t="s">
        <v>1999</v>
      </c>
      <c r="E1478" s="35" t="str">
        <f t="shared" si="356"/>
        <v>PRBND'!</v>
      </c>
      <c r="F1478" s="34" t="str">
        <f t="shared" si="357"/>
        <v>C:\Users\jaime.benazar\Quorum Business Solutions\Ecopetrol Prometeo - Documents\Planning Space Implementation\3. Analysis &amp; Design\Design\FC22\DRR Jaime\QUIFA-CAJÚA\Cajua\[CAJUA_CF_SEC_New_27-Feb-2024Rev3.xlsx]D-PRBND'!</v>
      </c>
      <c r="G1478" s="32" t="s">
        <v>113</v>
      </c>
      <c r="H1478" s="33"/>
      <c r="I1478" s="33"/>
      <c r="J1478" s="37"/>
    </row>
    <row r="1479" spans="1:10" x14ac:dyDescent="0.25">
      <c r="A1479" s="32" t="s">
        <v>101</v>
      </c>
      <c r="B1479" s="32">
        <f t="shared" si="358"/>
        <v>2056</v>
      </c>
      <c r="C1479" s="33" t="s">
        <v>14</v>
      </c>
      <c r="D1479" s="34" t="s">
        <v>1999</v>
      </c>
      <c r="E1479" s="35" t="str">
        <f t="shared" si="356"/>
        <v>PRBND'!</v>
      </c>
      <c r="F1479" s="34" t="str">
        <f t="shared" si="357"/>
        <v>C:\Users\jaime.benazar\Quorum Business Solutions\Ecopetrol Prometeo - Documents\Planning Space Implementation\3. Analysis &amp; Design\Design\FC22\DRR Jaime\QUIFA-CAJÚA\Cajua\[CAJUA_CF_SEC_New_27-Feb-2024Rev3.xlsx]D-PRBND'!</v>
      </c>
      <c r="G1479" s="32" t="s">
        <v>113</v>
      </c>
      <c r="H1479" s="33"/>
      <c r="I1479" s="33"/>
      <c r="J1479" s="37"/>
    </row>
    <row r="1480" spans="1:10" x14ac:dyDescent="0.25">
      <c r="A1480" s="32" t="s">
        <v>101</v>
      </c>
      <c r="B1480" s="32">
        <f t="shared" si="358"/>
        <v>2057</v>
      </c>
      <c r="C1480" s="33" t="s">
        <v>14</v>
      </c>
      <c r="D1480" s="34" t="s">
        <v>1999</v>
      </c>
      <c r="E1480" s="35" t="str">
        <f t="shared" si="356"/>
        <v>PRBND'!</v>
      </c>
      <c r="F1480" s="34" t="str">
        <f t="shared" si="357"/>
        <v>C:\Users\jaime.benazar\Quorum Business Solutions\Ecopetrol Prometeo - Documents\Planning Space Implementation\3. Analysis &amp; Design\Design\FC22\DRR Jaime\QUIFA-CAJÚA\Cajua\[CAJUA_CF_SEC_New_27-Feb-2024Rev3.xlsx]D-PRBND'!</v>
      </c>
      <c r="G1480" s="32" t="s">
        <v>113</v>
      </c>
      <c r="H1480" s="33"/>
      <c r="I1480" s="33"/>
      <c r="J1480" s="37"/>
    </row>
    <row r="1481" spans="1:10" x14ac:dyDescent="0.25">
      <c r="A1481" s="32" t="s">
        <v>101</v>
      </c>
      <c r="B1481" s="32">
        <f t="shared" si="358"/>
        <v>2058</v>
      </c>
      <c r="C1481" s="33" t="s">
        <v>14</v>
      </c>
      <c r="D1481" s="34" t="s">
        <v>1999</v>
      </c>
      <c r="E1481" s="35" t="str">
        <f t="shared" si="356"/>
        <v>PRBND'!</v>
      </c>
      <c r="F1481" s="34" t="str">
        <f t="shared" si="357"/>
        <v>C:\Users\jaime.benazar\Quorum Business Solutions\Ecopetrol Prometeo - Documents\Planning Space Implementation\3. Analysis &amp; Design\Design\FC22\DRR Jaime\QUIFA-CAJÚA\Cajua\[CAJUA_CF_SEC_New_27-Feb-2024Rev3.xlsx]D-PRBND'!</v>
      </c>
      <c r="G1481" s="32" t="s">
        <v>113</v>
      </c>
      <c r="H1481" s="33"/>
      <c r="I1481" s="33"/>
      <c r="J1481" s="37"/>
    </row>
    <row r="1482" spans="1:10" x14ac:dyDescent="0.25">
      <c r="A1482" s="32" t="s">
        <v>101</v>
      </c>
      <c r="B1482" s="32">
        <f t="shared" si="358"/>
        <v>2059</v>
      </c>
      <c r="C1482" s="33" t="s">
        <v>14</v>
      </c>
      <c r="D1482" s="34" t="s">
        <v>1999</v>
      </c>
      <c r="E1482" s="35" t="str">
        <f t="shared" si="356"/>
        <v>PRBND'!</v>
      </c>
      <c r="F1482" s="34" t="str">
        <f t="shared" si="357"/>
        <v>C:\Users\jaime.benazar\Quorum Business Solutions\Ecopetrol Prometeo - Documents\Planning Space Implementation\3. Analysis &amp; Design\Design\FC22\DRR Jaime\QUIFA-CAJÚA\Cajua\[CAJUA_CF_SEC_New_27-Feb-2024Rev3.xlsx]D-PRBND'!</v>
      </c>
      <c r="G1482" s="32" t="s">
        <v>113</v>
      </c>
      <c r="H1482" s="33"/>
      <c r="I1482" s="33"/>
      <c r="J1482" s="37"/>
    </row>
    <row r="1483" spans="1:10" x14ac:dyDescent="0.25">
      <c r="A1483" s="32" t="s">
        <v>28</v>
      </c>
      <c r="B1483" s="32"/>
      <c r="C1483" s="33" t="s">
        <v>14</v>
      </c>
      <c r="D1483" s="34"/>
      <c r="E1483" s="35"/>
      <c r="F1483" s="34"/>
      <c r="G1483" s="32"/>
      <c r="H1483" s="33"/>
      <c r="I1483" s="33"/>
      <c r="J1483" s="33"/>
    </row>
    <row r="1484" spans="1:10" x14ac:dyDescent="0.25">
      <c r="A1484" s="32" t="s">
        <v>4</v>
      </c>
      <c r="B1484" s="32">
        <v>2023</v>
      </c>
      <c r="C1484" s="33" t="s">
        <v>14</v>
      </c>
      <c r="D1484" s="34" t="s">
        <v>1999</v>
      </c>
      <c r="E1484" s="35" t="str">
        <f t="shared" si="327"/>
        <v>PRB'!</v>
      </c>
      <c r="F1484" s="34" t="str">
        <f t="shared" si="328"/>
        <v>C:\Users\jaime.benazar\Quorum Business Solutions\Ecopetrol Prometeo - Documents\Planning Space Implementation\3. Analysis &amp; Design\Design\FC22\DRR Jaime\QUIFA-CAJÚA\Cajua\[CAJUA_CF_SEC_New_27-Feb-2024Rev3.xlsx]D-PRB'!</v>
      </c>
      <c r="G1484" s="32" t="s">
        <v>113</v>
      </c>
      <c r="H1484" s="33">
        <v>12</v>
      </c>
      <c r="I1484" s="33" t="str">
        <f t="shared" si="329"/>
        <v>='C:\Users\jaime.benazar\Quorum Business Solutions\Ecopetrol Prometeo - Documents\Planning Space Implementation\3. Analysis &amp; Design\Design\FC22\DRR Jaime\QUIFA-CAJÚA\Cajua\[CAJUA_CF_SEC_New_27-Feb-2024Rev3.xlsx]D-PRB'!$CA$12</v>
      </c>
      <c r="J1484" s="37" t="s">
        <v>2666</v>
      </c>
    </row>
    <row r="1485" spans="1:10" x14ac:dyDescent="0.25">
      <c r="A1485" s="32" t="s">
        <v>4</v>
      </c>
      <c r="B1485" s="32">
        <f>+B1484+1</f>
        <v>2024</v>
      </c>
      <c r="C1485" s="33" t="s">
        <v>14</v>
      </c>
      <c r="D1485" s="34" t="s">
        <v>1999</v>
      </c>
      <c r="E1485" s="35" t="str">
        <f t="shared" si="327"/>
        <v>PRB'!</v>
      </c>
      <c r="F1485" s="34" t="str">
        <f t="shared" si="328"/>
        <v>C:\Users\jaime.benazar\Quorum Business Solutions\Ecopetrol Prometeo - Documents\Planning Space Implementation\3. Analysis &amp; Design\Design\FC22\DRR Jaime\QUIFA-CAJÚA\Cajua\[CAJUA_CF_SEC_New_27-Feb-2024Rev3.xlsx]D-PRB'!</v>
      </c>
      <c r="G1485" s="32" t="s">
        <v>113</v>
      </c>
      <c r="H1485" s="33">
        <f t="shared" ref="H1485:H1504" si="359">IF(A1485&lt;&gt;A1484,12,H1484+1)</f>
        <v>13</v>
      </c>
      <c r="I1485" s="33" t="str">
        <f t="shared" si="329"/>
        <v>='C:\Users\jaime.benazar\Quorum Business Solutions\Ecopetrol Prometeo - Documents\Planning Space Implementation\3. Analysis &amp; Design\Design\FC22\DRR Jaime\QUIFA-CAJÚA\Cajua\[CAJUA_CF_SEC_New_27-Feb-2024Rev3.xlsx]D-PRB'!$CA$13</v>
      </c>
      <c r="J1485" s="37" t="s">
        <v>2667</v>
      </c>
    </row>
    <row r="1486" spans="1:10" x14ac:dyDescent="0.25">
      <c r="A1486" s="32" t="s">
        <v>4</v>
      </c>
      <c r="B1486" s="32">
        <f t="shared" ref="B1486:B1497" si="360">+B1485+1</f>
        <v>2025</v>
      </c>
      <c r="C1486" s="33" t="s">
        <v>14</v>
      </c>
      <c r="D1486" s="34" t="s">
        <v>1999</v>
      </c>
      <c r="E1486" s="35" t="str">
        <f t="shared" si="327"/>
        <v>PRB'!</v>
      </c>
      <c r="F1486" s="34" t="str">
        <f t="shared" si="328"/>
        <v>C:\Users\jaime.benazar\Quorum Business Solutions\Ecopetrol Prometeo - Documents\Planning Space Implementation\3. Analysis &amp; Design\Design\FC22\DRR Jaime\QUIFA-CAJÚA\Cajua\[CAJUA_CF_SEC_New_27-Feb-2024Rev3.xlsx]D-PRB'!</v>
      </c>
      <c r="G1486" s="32" t="s">
        <v>113</v>
      </c>
      <c r="H1486" s="33">
        <f t="shared" si="359"/>
        <v>14</v>
      </c>
      <c r="I1486" s="33" t="str">
        <f t="shared" si="329"/>
        <v>='C:\Users\jaime.benazar\Quorum Business Solutions\Ecopetrol Prometeo - Documents\Planning Space Implementation\3. Analysis &amp; Design\Design\FC22\DRR Jaime\QUIFA-CAJÚA\Cajua\[CAJUA_CF_SEC_New_27-Feb-2024Rev3.xlsx]D-PRB'!$CA$14</v>
      </c>
      <c r="J1486" s="37" t="s">
        <v>2668</v>
      </c>
    </row>
    <row r="1487" spans="1:10" x14ac:dyDescent="0.25">
      <c r="A1487" s="32" t="s">
        <v>4</v>
      </c>
      <c r="B1487" s="32">
        <f t="shared" si="360"/>
        <v>2026</v>
      </c>
      <c r="C1487" s="33" t="s">
        <v>14</v>
      </c>
      <c r="D1487" s="34" t="s">
        <v>1999</v>
      </c>
      <c r="E1487" s="35" t="str">
        <f t="shared" si="327"/>
        <v>PRB'!</v>
      </c>
      <c r="F1487" s="34" t="str">
        <f t="shared" si="328"/>
        <v>C:\Users\jaime.benazar\Quorum Business Solutions\Ecopetrol Prometeo - Documents\Planning Space Implementation\3. Analysis &amp; Design\Design\FC22\DRR Jaime\QUIFA-CAJÚA\Cajua\[CAJUA_CF_SEC_New_27-Feb-2024Rev3.xlsx]D-PRB'!</v>
      </c>
      <c r="G1487" s="32" t="s">
        <v>113</v>
      </c>
      <c r="H1487" s="33">
        <f t="shared" si="359"/>
        <v>15</v>
      </c>
      <c r="I1487" s="33" t="str">
        <f t="shared" si="329"/>
        <v>='C:\Users\jaime.benazar\Quorum Business Solutions\Ecopetrol Prometeo - Documents\Planning Space Implementation\3. Analysis &amp; Design\Design\FC22\DRR Jaime\QUIFA-CAJÚA\Cajua\[CAJUA_CF_SEC_New_27-Feb-2024Rev3.xlsx]D-PRB'!$CA$15</v>
      </c>
      <c r="J1487" s="37" t="s">
        <v>2669</v>
      </c>
    </row>
    <row r="1488" spans="1:10" x14ac:dyDescent="0.25">
      <c r="A1488" s="32" t="s">
        <v>4</v>
      </c>
      <c r="B1488" s="32">
        <f t="shared" si="360"/>
        <v>2027</v>
      </c>
      <c r="C1488" s="33" t="s">
        <v>14</v>
      </c>
      <c r="D1488" s="34" t="s">
        <v>1999</v>
      </c>
      <c r="E1488" s="35" t="str">
        <f t="shared" si="327"/>
        <v>PRB'!</v>
      </c>
      <c r="F1488" s="34" t="str">
        <f t="shared" si="328"/>
        <v>C:\Users\jaime.benazar\Quorum Business Solutions\Ecopetrol Prometeo - Documents\Planning Space Implementation\3. Analysis &amp; Design\Design\FC22\DRR Jaime\QUIFA-CAJÚA\Cajua\[CAJUA_CF_SEC_New_27-Feb-2024Rev3.xlsx]D-PRB'!</v>
      </c>
      <c r="G1488" s="32" t="s">
        <v>113</v>
      </c>
      <c r="H1488" s="33">
        <f t="shared" si="359"/>
        <v>16</v>
      </c>
      <c r="I1488" s="33" t="str">
        <f t="shared" si="329"/>
        <v>='C:\Users\jaime.benazar\Quorum Business Solutions\Ecopetrol Prometeo - Documents\Planning Space Implementation\3. Analysis &amp; Design\Design\FC22\DRR Jaime\QUIFA-CAJÚA\Cajua\[CAJUA_CF_SEC_New_27-Feb-2024Rev3.xlsx]D-PRB'!$CA$16</v>
      </c>
      <c r="J1488" s="37" t="s">
        <v>2670</v>
      </c>
    </row>
    <row r="1489" spans="1:10" x14ac:dyDescent="0.25">
      <c r="A1489" s="32" t="s">
        <v>4</v>
      </c>
      <c r="B1489" s="32">
        <f t="shared" si="360"/>
        <v>2028</v>
      </c>
      <c r="C1489" s="33" t="s">
        <v>14</v>
      </c>
      <c r="D1489" s="34" t="s">
        <v>1999</v>
      </c>
      <c r="E1489" s="35" t="str">
        <f t="shared" si="327"/>
        <v>PRB'!</v>
      </c>
      <c r="F1489" s="34" t="str">
        <f t="shared" si="328"/>
        <v>C:\Users\jaime.benazar\Quorum Business Solutions\Ecopetrol Prometeo - Documents\Planning Space Implementation\3. Analysis &amp; Design\Design\FC22\DRR Jaime\QUIFA-CAJÚA\Cajua\[CAJUA_CF_SEC_New_27-Feb-2024Rev3.xlsx]D-PRB'!</v>
      </c>
      <c r="G1489" s="32" t="s">
        <v>113</v>
      </c>
      <c r="H1489" s="33">
        <f t="shared" si="359"/>
        <v>17</v>
      </c>
      <c r="I1489" s="33" t="str">
        <f t="shared" si="329"/>
        <v>='C:\Users\jaime.benazar\Quorum Business Solutions\Ecopetrol Prometeo - Documents\Planning Space Implementation\3. Analysis &amp; Design\Design\FC22\DRR Jaime\QUIFA-CAJÚA\Cajua\[CAJUA_CF_SEC_New_27-Feb-2024Rev3.xlsx]D-PRB'!$CA$17</v>
      </c>
      <c r="J1489" s="37" t="s">
        <v>2671</v>
      </c>
    </row>
    <row r="1490" spans="1:10" x14ac:dyDescent="0.25">
      <c r="A1490" s="32" t="s">
        <v>4</v>
      </c>
      <c r="B1490" s="32">
        <f t="shared" si="360"/>
        <v>2029</v>
      </c>
      <c r="C1490" s="33" t="s">
        <v>14</v>
      </c>
      <c r="D1490" s="34" t="s">
        <v>1999</v>
      </c>
      <c r="E1490" s="35" t="str">
        <f t="shared" si="327"/>
        <v>PRB'!</v>
      </c>
      <c r="F1490" s="34" t="str">
        <f t="shared" si="328"/>
        <v>C:\Users\jaime.benazar\Quorum Business Solutions\Ecopetrol Prometeo - Documents\Planning Space Implementation\3. Analysis &amp; Design\Design\FC22\DRR Jaime\QUIFA-CAJÚA\Cajua\[CAJUA_CF_SEC_New_27-Feb-2024Rev3.xlsx]D-PRB'!</v>
      </c>
      <c r="G1490" s="32" t="s">
        <v>113</v>
      </c>
      <c r="H1490" s="33">
        <f t="shared" si="359"/>
        <v>18</v>
      </c>
      <c r="I1490" s="33" t="str">
        <f t="shared" si="329"/>
        <v>='C:\Users\jaime.benazar\Quorum Business Solutions\Ecopetrol Prometeo - Documents\Planning Space Implementation\3. Analysis &amp; Design\Design\FC22\DRR Jaime\QUIFA-CAJÚA\Cajua\[CAJUA_CF_SEC_New_27-Feb-2024Rev3.xlsx]D-PRB'!$CA$18</v>
      </c>
      <c r="J1490" s="37" t="s">
        <v>2672</v>
      </c>
    </row>
    <row r="1491" spans="1:10" x14ac:dyDescent="0.25">
      <c r="A1491" s="32" t="s">
        <v>4</v>
      </c>
      <c r="B1491" s="32">
        <f t="shared" si="360"/>
        <v>2030</v>
      </c>
      <c r="C1491" s="33" t="s">
        <v>14</v>
      </c>
      <c r="D1491" s="34" t="s">
        <v>1999</v>
      </c>
      <c r="E1491" s="35" t="str">
        <f t="shared" si="327"/>
        <v>PRB'!</v>
      </c>
      <c r="F1491" s="34" t="str">
        <f t="shared" si="328"/>
        <v>C:\Users\jaime.benazar\Quorum Business Solutions\Ecopetrol Prometeo - Documents\Planning Space Implementation\3. Analysis &amp; Design\Design\FC22\DRR Jaime\QUIFA-CAJÚA\Cajua\[CAJUA_CF_SEC_New_27-Feb-2024Rev3.xlsx]D-PRB'!</v>
      </c>
      <c r="G1491" s="32" t="s">
        <v>113</v>
      </c>
      <c r="H1491" s="33">
        <f t="shared" si="359"/>
        <v>19</v>
      </c>
      <c r="I1491" s="33" t="str">
        <f t="shared" si="329"/>
        <v>='C:\Users\jaime.benazar\Quorum Business Solutions\Ecopetrol Prometeo - Documents\Planning Space Implementation\3. Analysis &amp; Design\Design\FC22\DRR Jaime\QUIFA-CAJÚA\Cajua\[CAJUA_CF_SEC_New_27-Feb-2024Rev3.xlsx]D-PRB'!$CA$19</v>
      </c>
      <c r="J1491" s="37" t="s">
        <v>2673</v>
      </c>
    </row>
    <row r="1492" spans="1:10" x14ac:dyDescent="0.25">
      <c r="A1492" s="32" t="s">
        <v>4</v>
      </c>
      <c r="B1492" s="32">
        <f t="shared" si="360"/>
        <v>2031</v>
      </c>
      <c r="C1492" s="33" t="s">
        <v>14</v>
      </c>
      <c r="D1492" s="34" t="s">
        <v>1999</v>
      </c>
      <c r="E1492" s="35" t="str">
        <f t="shared" si="327"/>
        <v>PRB'!</v>
      </c>
      <c r="F1492" s="34" t="str">
        <f t="shared" si="328"/>
        <v>C:\Users\jaime.benazar\Quorum Business Solutions\Ecopetrol Prometeo - Documents\Planning Space Implementation\3. Analysis &amp; Design\Design\FC22\DRR Jaime\QUIFA-CAJÚA\Cajua\[CAJUA_CF_SEC_New_27-Feb-2024Rev3.xlsx]D-PRB'!</v>
      </c>
      <c r="G1492" s="32" t="s">
        <v>113</v>
      </c>
      <c r="H1492" s="33">
        <f t="shared" si="359"/>
        <v>20</v>
      </c>
      <c r="I1492" s="33" t="str">
        <f t="shared" si="329"/>
        <v>='C:\Users\jaime.benazar\Quorum Business Solutions\Ecopetrol Prometeo - Documents\Planning Space Implementation\3. Analysis &amp; Design\Design\FC22\DRR Jaime\QUIFA-CAJÚA\Cajua\[CAJUA_CF_SEC_New_27-Feb-2024Rev3.xlsx]D-PRB'!$CA$20</v>
      </c>
      <c r="J1492" s="37" t="s">
        <v>2674</v>
      </c>
    </row>
    <row r="1493" spans="1:10" x14ac:dyDescent="0.25">
      <c r="A1493" s="32" t="s">
        <v>4</v>
      </c>
      <c r="B1493" s="32">
        <f t="shared" si="360"/>
        <v>2032</v>
      </c>
      <c r="C1493" s="33" t="s">
        <v>14</v>
      </c>
      <c r="D1493" s="34" t="s">
        <v>1999</v>
      </c>
      <c r="E1493" s="35" t="str">
        <f t="shared" si="327"/>
        <v>PRB'!</v>
      </c>
      <c r="F1493" s="34" t="str">
        <f t="shared" si="328"/>
        <v>C:\Users\jaime.benazar\Quorum Business Solutions\Ecopetrol Prometeo - Documents\Planning Space Implementation\3. Analysis &amp; Design\Design\FC22\DRR Jaime\QUIFA-CAJÚA\Cajua\[CAJUA_CF_SEC_New_27-Feb-2024Rev3.xlsx]D-PRB'!</v>
      </c>
      <c r="G1493" s="32" t="s">
        <v>113</v>
      </c>
      <c r="H1493" s="33">
        <f t="shared" si="359"/>
        <v>21</v>
      </c>
      <c r="I1493" s="33" t="str">
        <f t="shared" si="329"/>
        <v>='C:\Users\jaime.benazar\Quorum Business Solutions\Ecopetrol Prometeo - Documents\Planning Space Implementation\3. Analysis &amp; Design\Design\FC22\DRR Jaime\QUIFA-CAJÚA\Cajua\[CAJUA_CF_SEC_New_27-Feb-2024Rev3.xlsx]D-PRB'!$CA$21</v>
      </c>
      <c r="J1493" s="37" t="s">
        <v>2675</v>
      </c>
    </row>
    <row r="1494" spans="1:10" x14ac:dyDescent="0.25">
      <c r="A1494" s="32" t="s">
        <v>4</v>
      </c>
      <c r="B1494" s="32">
        <f t="shared" si="360"/>
        <v>2033</v>
      </c>
      <c r="C1494" s="33" t="s">
        <v>14</v>
      </c>
      <c r="D1494" s="34" t="s">
        <v>1999</v>
      </c>
      <c r="E1494" s="35" t="str">
        <f t="shared" si="327"/>
        <v>PRB'!</v>
      </c>
      <c r="F1494" s="34" t="str">
        <f t="shared" si="328"/>
        <v>C:\Users\jaime.benazar\Quorum Business Solutions\Ecopetrol Prometeo - Documents\Planning Space Implementation\3. Analysis &amp; Design\Design\FC22\DRR Jaime\QUIFA-CAJÚA\Cajua\[CAJUA_CF_SEC_New_27-Feb-2024Rev3.xlsx]D-PRB'!</v>
      </c>
      <c r="G1494" s="32" t="s">
        <v>113</v>
      </c>
      <c r="H1494" s="33">
        <f t="shared" si="359"/>
        <v>22</v>
      </c>
      <c r="I1494" s="33" t="str">
        <f t="shared" si="329"/>
        <v>='C:\Users\jaime.benazar\Quorum Business Solutions\Ecopetrol Prometeo - Documents\Planning Space Implementation\3. Analysis &amp; Design\Design\FC22\DRR Jaime\QUIFA-CAJÚA\Cajua\[CAJUA_CF_SEC_New_27-Feb-2024Rev3.xlsx]D-PRB'!$CA$22</v>
      </c>
      <c r="J1494" s="37" t="s">
        <v>2676</v>
      </c>
    </row>
    <row r="1495" spans="1:10" x14ac:dyDescent="0.25">
      <c r="A1495" s="32" t="s">
        <v>4</v>
      </c>
      <c r="B1495" s="32">
        <f t="shared" si="360"/>
        <v>2034</v>
      </c>
      <c r="C1495" s="33" t="s">
        <v>14</v>
      </c>
      <c r="D1495" s="34" t="s">
        <v>1999</v>
      </c>
      <c r="E1495" s="35" t="str">
        <f t="shared" si="327"/>
        <v>PRB'!</v>
      </c>
      <c r="F1495" s="34" t="str">
        <f t="shared" si="328"/>
        <v>C:\Users\jaime.benazar\Quorum Business Solutions\Ecopetrol Prometeo - Documents\Planning Space Implementation\3. Analysis &amp; Design\Design\FC22\DRR Jaime\QUIFA-CAJÚA\Cajua\[CAJUA_CF_SEC_New_27-Feb-2024Rev3.xlsx]D-PRB'!</v>
      </c>
      <c r="G1495" s="32" t="s">
        <v>113</v>
      </c>
      <c r="H1495" s="33">
        <f t="shared" si="359"/>
        <v>23</v>
      </c>
      <c r="I1495" s="33" t="str">
        <f t="shared" si="329"/>
        <v>='C:\Users\jaime.benazar\Quorum Business Solutions\Ecopetrol Prometeo - Documents\Planning Space Implementation\3. Analysis &amp; Design\Design\FC22\DRR Jaime\QUIFA-CAJÚA\Cajua\[CAJUA_CF_SEC_New_27-Feb-2024Rev3.xlsx]D-PRB'!$CA$23</v>
      </c>
      <c r="J1495" s="37" t="s">
        <v>2677</v>
      </c>
    </row>
    <row r="1496" spans="1:10" x14ac:dyDescent="0.25">
      <c r="A1496" s="32" t="s">
        <v>4</v>
      </c>
      <c r="B1496" s="32">
        <f t="shared" si="360"/>
        <v>2035</v>
      </c>
      <c r="C1496" s="33" t="s">
        <v>14</v>
      </c>
      <c r="D1496" s="34" t="s">
        <v>1999</v>
      </c>
      <c r="E1496" s="35" t="str">
        <f t="shared" si="327"/>
        <v>PRB'!</v>
      </c>
      <c r="F1496" s="34" t="str">
        <f t="shared" si="328"/>
        <v>C:\Users\jaime.benazar\Quorum Business Solutions\Ecopetrol Prometeo - Documents\Planning Space Implementation\3. Analysis &amp; Design\Design\FC22\DRR Jaime\QUIFA-CAJÚA\Cajua\[CAJUA_CF_SEC_New_27-Feb-2024Rev3.xlsx]D-PRB'!</v>
      </c>
      <c r="G1496" s="32" t="s">
        <v>113</v>
      </c>
      <c r="H1496" s="33">
        <f t="shared" si="359"/>
        <v>24</v>
      </c>
      <c r="I1496" s="33" t="str">
        <f t="shared" si="329"/>
        <v>='C:\Users\jaime.benazar\Quorum Business Solutions\Ecopetrol Prometeo - Documents\Planning Space Implementation\3. Analysis &amp; Design\Design\FC22\DRR Jaime\QUIFA-CAJÚA\Cajua\[CAJUA_CF_SEC_New_27-Feb-2024Rev3.xlsx]D-PRB'!$CA$24</v>
      </c>
      <c r="J1496" s="37" t="s">
        <v>2678</v>
      </c>
    </row>
    <row r="1497" spans="1:10" x14ac:dyDescent="0.25">
      <c r="A1497" s="32" t="s">
        <v>4</v>
      </c>
      <c r="B1497" s="32">
        <f t="shared" si="360"/>
        <v>2036</v>
      </c>
      <c r="C1497" s="33" t="s">
        <v>14</v>
      </c>
      <c r="D1497" s="34" t="s">
        <v>1999</v>
      </c>
      <c r="E1497" s="35" t="str">
        <f t="shared" si="327"/>
        <v>PRB'!</v>
      </c>
      <c r="F1497" s="34" t="str">
        <f t="shared" si="328"/>
        <v>C:\Users\jaime.benazar\Quorum Business Solutions\Ecopetrol Prometeo - Documents\Planning Space Implementation\3. Analysis &amp; Design\Design\FC22\DRR Jaime\QUIFA-CAJÚA\Cajua\[CAJUA_CF_SEC_New_27-Feb-2024Rev3.xlsx]D-PRB'!</v>
      </c>
      <c r="G1497" s="32" t="s">
        <v>113</v>
      </c>
      <c r="H1497" s="33">
        <f t="shared" si="359"/>
        <v>25</v>
      </c>
      <c r="I1497" s="33" t="str">
        <f t="shared" si="329"/>
        <v>='C:\Users\jaime.benazar\Quorum Business Solutions\Ecopetrol Prometeo - Documents\Planning Space Implementation\3. Analysis &amp; Design\Design\FC22\DRR Jaime\QUIFA-CAJÚA\Cajua\[CAJUA_CF_SEC_New_27-Feb-2024Rev3.xlsx]D-PRB'!$CA$25</v>
      </c>
      <c r="J1497" s="37" t="s">
        <v>2679</v>
      </c>
    </row>
    <row r="1498" spans="1:10" x14ac:dyDescent="0.25">
      <c r="A1498" s="32" t="s">
        <v>4</v>
      </c>
      <c r="B1498" s="32">
        <f>+B1497+1</f>
        <v>2037</v>
      </c>
      <c r="C1498" s="33" t="s">
        <v>14</v>
      </c>
      <c r="D1498" s="34" t="s">
        <v>1999</v>
      </c>
      <c r="E1498" s="35" t="str">
        <f t="shared" si="327"/>
        <v>PRB'!</v>
      </c>
      <c r="F1498" s="34" t="str">
        <f t="shared" si="328"/>
        <v>C:\Users\jaime.benazar\Quorum Business Solutions\Ecopetrol Prometeo - Documents\Planning Space Implementation\3. Analysis &amp; Design\Design\FC22\DRR Jaime\QUIFA-CAJÚA\Cajua\[CAJUA_CF_SEC_New_27-Feb-2024Rev3.xlsx]D-PRB'!</v>
      </c>
      <c r="G1498" s="32" t="s">
        <v>113</v>
      </c>
      <c r="H1498" s="33">
        <f t="shared" si="359"/>
        <v>26</v>
      </c>
      <c r="I1498" s="33" t="str">
        <f t="shared" si="329"/>
        <v>='C:\Users\jaime.benazar\Quorum Business Solutions\Ecopetrol Prometeo - Documents\Planning Space Implementation\3. Analysis &amp; Design\Design\FC22\DRR Jaime\QUIFA-CAJÚA\Cajua\[CAJUA_CF_SEC_New_27-Feb-2024Rev3.xlsx]D-PRB'!$CA$26</v>
      </c>
      <c r="J1498" s="37" t="s">
        <v>2680</v>
      </c>
    </row>
    <row r="1499" spans="1:10" x14ac:dyDescent="0.25">
      <c r="A1499" s="32" t="s">
        <v>4</v>
      </c>
      <c r="B1499" s="32">
        <f t="shared" ref="B1499:B1501" si="361">+B1498+1</f>
        <v>2038</v>
      </c>
      <c r="C1499" s="33" t="s">
        <v>14</v>
      </c>
      <c r="D1499" s="34" t="s">
        <v>1999</v>
      </c>
      <c r="E1499" s="35" t="str">
        <f t="shared" si="327"/>
        <v>PRB'!</v>
      </c>
      <c r="F1499" s="34" t="str">
        <f t="shared" si="328"/>
        <v>C:\Users\jaime.benazar\Quorum Business Solutions\Ecopetrol Prometeo - Documents\Planning Space Implementation\3. Analysis &amp; Design\Design\FC22\DRR Jaime\QUIFA-CAJÚA\Cajua\[CAJUA_CF_SEC_New_27-Feb-2024Rev3.xlsx]D-PRB'!</v>
      </c>
      <c r="G1499" s="32" t="s">
        <v>113</v>
      </c>
      <c r="H1499" s="33">
        <f t="shared" si="359"/>
        <v>27</v>
      </c>
      <c r="I1499" s="33" t="str">
        <f t="shared" si="329"/>
        <v>='C:\Users\jaime.benazar\Quorum Business Solutions\Ecopetrol Prometeo - Documents\Planning Space Implementation\3. Analysis &amp; Design\Design\FC22\DRR Jaime\QUIFA-CAJÚA\Cajua\[CAJUA_CF_SEC_New_27-Feb-2024Rev3.xlsx]D-PRB'!$CA$27</v>
      </c>
      <c r="J1499" s="37" t="s">
        <v>2681</v>
      </c>
    </row>
    <row r="1500" spans="1:10" x14ac:dyDescent="0.25">
      <c r="A1500" s="32" t="s">
        <v>4</v>
      </c>
      <c r="B1500" s="32">
        <f t="shared" si="361"/>
        <v>2039</v>
      </c>
      <c r="C1500" s="33" t="s">
        <v>14</v>
      </c>
      <c r="D1500" s="34" t="s">
        <v>1999</v>
      </c>
      <c r="E1500" s="35" t="str">
        <f t="shared" si="327"/>
        <v>PRB'!</v>
      </c>
      <c r="F1500" s="34" t="str">
        <f t="shared" si="328"/>
        <v>C:\Users\jaime.benazar\Quorum Business Solutions\Ecopetrol Prometeo - Documents\Planning Space Implementation\3. Analysis &amp; Design\Design\FC22\DRR Jaime\QUIFA-CAJÚA\Cajua\[CAJUA_CF_SEC_New_27-Feb-2024Rev3.xlsx]D-PRB'!</v>
      </c>
      <c r="G1500" s="32" t="s">
        <v>113</v>
      </c>
      <c r="H1500" s="33">
        <f t="shared" si="359"/>
        <v>28</v>
      </c>
      <c r="I1500" s="33" t="str">
        <f t="shared" si="329"/>
        <v>='C:\Users\jaime.benazar\Quorum Business Solutions\Ecopetrol Prometeo - Documents\Planning Space Implementation\3. Analysis &amp; Design\Design\FC22\DRR Jaime\QUIFA-CAJÚA\Cajua\[CAJUA_CF_SEC_New_27-Feb-2024Rev3.xlsx]D-PRB'!$CA$28</v>
      </c>
      <c r="J1500" s="37" t="s">
        <v>2682</v>
      </c>
    </row>
    <row r="1501" spans="1:10" x14ac:dyDescent="0.25">
      <c r="A1501" s="32" t="s">
        <v>4</v>
      </c>
      <c r="B1501" s="32">
        <f t="shared" si="361"/>
        <v>2040</v>
      </c>
      <c r="C1501" s="33" t="s">
        <v>14</v>
      </c>
      <c r="D1501" s="34" t="s">
        <v>1999</v>
      </c>
      <c r="E1501" s="35" t="str">
        <f t="shared" si="327"/>
        <v>PRB'!</v>
      </c>
      <c r="F1501" s="34" t="str">
        <f t="shared" si="328"/>
        <v>C:\Users\jaime.benazar\Quorum Business Solutions\Ecopetrol Prometeo - Documents\Planning Space Implementation\3. Analysis &amp; Design\Design\FC22\DRR Jaime\QUIFA-CAJÚA\Cajua\[CAJUA_CF_SEC_New_27-Feb-2024Rev3.xlsx]D-PRB'!</v>
      </c>
      <c r="G1501" s="32" t="s">
        <v>113</v>
      </c>
      <c r="H1501" s="33">
        <f t="shared" si="359"/>
        <v>29</v>
      </c>
      <c r="I1501" s="33" t="str">
        <f t="shared" si="329"/>
        <v>='C:\Users\jaime.benazar\Quorum Business Solutions\Ecopetrol Prometeo - Documents\Planning Space Implementation\3. Analysis &amp; Design\Design\FC22\DRR Jaime\QUIFA-CAJÚA\Cajua\[CAJUA_CF_SEC_New_27-Feb-2024Rev3.xlsx]D-PRB'!$CA$29</v>
      </c>
      <c r="J1501" s="37" t="s">
        <v>2683</v>
      </c>
    </row>
    <row r="1502" spans="1:10" x14ac:dyDescent="0.25">
      <c r="A1502" s="32" t="s">
        <v>4</v>
      </c>
      <c r="B1502" s="32">
        <f>+B1501+1</f>
        <v>2041</v>
      </c>
      <c r="C1502" s="33" t="s">
        <v>14</v>
      </c>
      <c r="D1502" s="34" t="s">
        <v>1999</v>
      </c>
      <c r="E1502" s="35" t="str">
        <f t="shared" si="327"/>
        <v>PRB'!</v>
      </c>
      <c r="F1502" s="34" t="str">
        <f t="shared" si="328"/>
        <v>C:\Users\jaime.benazar\Quorum Business Solutions\Ecopetrol Prometeo - Documents\Planning Space Implementation\3. Analysis &amp; Design\Design\FC22\DRR Jaime\QUIFA-CAJÚA\Cajua\[CAJUA_CF_SEC_New_27-Feb-2024Rev3.xlsx]D-PRB'!</v>
      </c>
      <c r="G1502" s="32" t="s">
        <v>113</v>
      </c>
      <c r="H1502" s="33">
        <f t="shared" si="359"/>
        <v>30</v>
      </c>
      <c r="I1502" s="33" t="str">
        <f t="shared" si="329"/>
        <v>='C:\Users\jaime.benazar\Quorum Business Solutions\Ecopetrol Prometeo - Documents\Planning Space Implementation\3. Analysis &amp; Design\Design\FC22\DRR Jaime\QUIFA-CAJÚA\Cajua\[CAJUA_CF_SEC_New_27-Feb-2024Rev3.xlsx]D-PRB'!$CA$30</v>
      </c>
      <c r="J1502" s="37" t="s">
        <v>2684</v>
      </c>
    </row>
    <row r="1503" spans="1:10" x14ac:dyDescent="0.25">
      <c r="A1503" s="32" t="s">
        <v>4</v>
      </c>
      <c r="B1503" s="32">
        <f t="shared" ref="B1503:B1504" si="362">+B1502+1</f>
        <v>2042</v>
      </c>
      <c r="C1503" s="33" t="s">
        <v>14</v>
      </c>
      <c r="D1503" s="34" t="s">
        <v>1999</v>
      </c>
      <c r="E1503" s="35" t="str">
        <f t="shared" si="327"/>
        <v>PRB'!</v>
      </c>
      <c r="F1503" s="34" t="str">
        <f t="shared" si="328"/>
        <v>C:\Users\jaime.benazar\Quorum Business Solutions\Ecopetrol Prometeo - Documents\Planning Space Implementation\3. Analysis &amp; Design\Design\FC22\DRR Jaime\QUIFA-CAJÚA\Cajua\[CAJUA_CF_SEC_New_27-Feb-2024Rev3.xlsx]D-PRB'!</v>
      </c>
      <c r="G1503" s="32" t="s">
        <v>113</v>
      </c>
      <c r="H1503" s="33">
        <f t="shared" si="359"/>
        <v>31</v>
      </c>
      <c r="I1503" s="33" t="str">
        <f t="shared" si="329"/>
        <v>='C:\Users\jaime.benazar\Quorum Business Solutions\Ecopetrol Prometeo - Documents\Planning Space Implementation\3. Analysis &amp; Design\Design\FC22\DRR Jaime\QUIFA-CAJÚA\Cajua\[CAJUA_CF_SEC_New_27-Feb-2024Rev3.xlsx]D-PRB'!$CA$31</v>
      </c>
      <c r="J1503" s="37" t="s">
        <v>2685</v>
      </c>
    </row>
    <row r="1504" spans="1:10" x14ac:dyDescent="0.25">
      <c r="A1504" s="32" t="s">
        <v>4</v>
      </c>
      <c r="B1504" s="32">
        <f t="shared" si="362"/>
        <v>2043</v>
      </c>
      <c r="C1504" s="33" t="s">
        <v>14</v>
      </c>
      <c r="D1504" s="34" t="s">
        <v>1999</v>
      </c>
      <c r="E1504" s="35" t="str">
        <f t="shared" si="327"/>
        <v>PRB'!</v>
      </c>
      <c r="F1504" s="34" t="str">
        <f t="shared" si="328"/>
        <v>C:\Users\jaime.benazar\Quorum Business Solutions\Ecopetrol Prometeo - Documents\Planning Space Implementation\3. Analysis &amp; Design\Design\FC22\DRR Jaime\QUIFA-CAJÚA\Cajua\[CAJUA_CF_SEC_New_27-Feb-2024Rev3.xlsx]D-PRB'!</v>
      </c>
      <c r="G1504" s="32" t="s">
        <v>113</v>
      </c>
      <c r="H1504" s="33">
        <f t="shared" si="359"/>
        <v>32</v>
      </c>
      <c r="I1504" s="33" t="str">
        <f t="shared" si="329"/>
        <v>='C:\Users\jaime.benazar\Quorum Business Solutions\Ecopetrol Prometeo - Documents\Planning Space Implementation\3. Analysis &amp; Design\Design\FC22\DRR Jaime\QUIFA-CAJÚA\Cajua\[CAJUA_CF_SEC_New_27-Feb-2024Rev3.xlsx]D-PRB'!$CA$32</v>
      </c>
      <c r="J1504" s="37" t="s">
        <v>2686</v>
      </c>
    </row>
    <row r="1505" spans="1:10" x14ac:dyDescent="0.25">
      <c r="A1505" s="32" t="s">
        <v>4</v>
      </c>
      <c r="B1505" s="32">
        <f>+B1504+1</f>
        <v>2044</v>
      </c>
      <c r="C1505" s="33" t="s">
        <v>14</v>
      </c>
      <c r="D1505" s="34" t="s">
        <v>1999</v>
      </c>
      <c r="E1505" s="35" t="str">
        <f t="shared" ref="E1505:E1520" si="363">_xlfn.CONCAT(A1505,"'!")</f>
        <v>PRB'!</v>
      </c>
      <c r="F1505" s="34" t="str">
        <f t="shared" ref="F1505:F1520" si="364">_xlfn.CONCAT(D1505:E1505)</f>
        <v>C:\Users\jaime.benazar\Quorum Business Solutions\Ecopetrol Prometeo - Documents\Planning Space Implementation\3. Analysis &amp; Design\Design\FC22\DRR Jaime\QUIFA-CAJÚA\Cajua\[CAJUA_CF_SEC_New_27-Feb-2024Rev3.xlsx]D-PRB'!</v>
      </c>
      <c r="G1505" s="32" t="s">
        <v>113</v>
      </c>
      <c r="H1505" s="33">
        <f t="shared" ref="H1505:H1520" si="365">IF(A1505&lt;&gt;A1504,12,H1504+1)</f>
        <v>33</v>
      </c>
      <c r="I1505" s="33" t="str">
        <f t="shared" ref="I1505:I1520" si="366">_xlfn.CONCAT("='",F1505:H1505)</f>
        <v>='C:\Users\jaime.benazar\Quorum Business Solutions\Ecopetrol Prometeo - Documents\Planning Space Implementation\3. Analysis &amp; Design\Design\FC22\DRR Jaime\QUIFA-CAJÚA\Cajua\[CAJUA_CF_SEC_New_27-Feb-2024Rev3.xlsx]D-PRB'!$CA$33</v>
      </c>
      <c r="J1505" s="37" t="s">
        <v>2687</v>
      </c>
    </row>
    <row r="1506" spans="1:10" x14ac:dyDescent="0.25">
      <c r="A1506" s="32" t="s">
        <v>4</v>
      </c>
      <c r="B1506" s="32">
        <f t="shared" ref="B1506:B1520" si="367">+B1505+1</f>
        <v>2045</v>
      </c>
      <c r="C1506" s="33" t="s">
        <v>14</v>
      </c>
      <c r="D1506" s="34" t="s">
        <v>1999</v>
      </c>
      <c r="E1506" s="35" t="str">
        <f t="shared" si="363"/>
        <v>PRB'!</v>
      </c>
      <c r="F1506" s="34" t="str">
        <f t="shared" si="364"/>
        <v>C:\Users\jaime.benazar\Quorum Business Solutions\Ecopetrol Prometeo - Documents\Planning Space Implementation\3. Analysis &amp; Design\Design\FC22\DRR Jaime\QUIFA-CAJÚA\Cajua\[CAJUA_CF_SEC_New_27-Feb-2024Rev3.xlsx]D-PRB'!</v>
      </c>
      <c r="G1506" s="32" t="s">
        <v>113</v>
      </c>
      <c r="H1506" s="33">
        <f t="shared" si="365"/>
        <v>34</v>
      </c>
      <c r="I1506" s="33" t="str">
        <f t="shared" si="366"/>
        <v>='C:\Users\jaime.benazar\Quorum Business Solutions\Ecopetrol Prometeo - Documents\Planning Space Implementation\3. Analysis &amp; Design\Design\FC22\DRR Jaime\QUIFA-CAJÚA\Cajua\[CAJUA_CF_SEC_New_27-Feb-2024Rev3.xlsx]D-PRB'!$CA$34</v>
      </c>
      <c r="J1506" s="37" t="s">
        <v>2688</v>
      </c>
    </row>
    <row r="1507" spans="1:10" x14ac:dyDescent="0.25">
      <c r="A1507" s="32" t="s">
        <v>4</v>
      </c>
      <c r="B1507" s="32">
        <f t="shared" si="367"/>
        <v>2046</v>
      </c>
      <c r="C1507" s="33" t="s">
        <v>14</v>
      </c>
      <c r="D1507" s="34" t="s">
        <v>1999</v>
      </c>
      <c r="E1507" s="35" t="str">
        <f t="shared" si="363"/>
        <v>PRB'!</v>
      </c>
      <c r="F1507" s="34" t="str">
        <f t="shared" si="364"/>
        <v>C:\Users\jaime.benazar\Quorum Business Solutions\Ecopetrol Prometeo - Documents\Planning Space Implementation\3. Analysis &amp; Design\Design\FC22\DRR Jaime\QUIFA-CAJÚA\Cajua\[CAJUA_CF_SEC_New_27-Feb-2024Rev3.xlsx]D-PRB'!</v>
      </c>
      <c r="G1507" s="32" t="s">
        <v>113</v>
      </c>
      <c r="H1507" s="33">
        <f t="shared" si="365"/>
        <v>35</v>
      </c>
      <c r="I1507" s="33" t="str">
        <f t="shared" si="366"/>
        <v>='C:\Users\jaime.benazar\Quorum Business Solutions\Ecopetrol Prometeo - Documents\Planning Space Implementation\3. Analysis &amp; Design\Design\FC22\DRR Jaime\QUIFA-CAJÚA\Cajua\[CAJUA_CF_SEC_New_27-Feb-2024Rev3.xlsx]D-PRB'!$CA$35</v>
      </c>
      <c r="J1507" s="37" t="s">
        <v>2689</v>
      </c>
    </row>
    <row r="1508" spans="1:10" x14ac:dyDescent="0.25">
      <c r="A1508" s="32" t="s">
        <v>4</v>
      </c>
      <c r="B1508" s="32">
        <f t="shared" si="367"/>
        <v>2047</v>
      </c>
      <c r="C1508" s="33" t="s">
        <v>14</v>
      </c>
      <c r="D1508" s="34" t="s">
        <v>1999</v>
      </c>
      <c r="E1508" s="35" t="str">
        <f t="shared" si="363"/>
        <v>PRB'!</v>
      </c>
      <c r="F1508" s="34" t="str">
        <f t="shared" si="364"/>
        <v>C:\Users\jaime.benazar\Quorum Business Solutions\Ecopetrol Prometeo - Documents\Planning Space Implementation\3. Analysis &amp; Design\Design\FC22\DRR Jaime\QUIFA-CAJÚA\Cajua\[CAJUA_CF_SEC_New_27-Feb-2024Rev3.xlsx]D-PRB'!</v>
      </c>
      <c r="G1508" s="32" t="s">
        <v>113</v>
      </c>
      <c r="H1508" s="33">
        <f t="shared" si="365"/>
        <v>36</v>
      </c>
      <c r="I1508" s="33" t="str">
        <f t="shared" si="366"/>
        <v>='C:\Users\jaime.benazar\Quorum Business Solutions\Ecopetrol Prometeo - Documents\Planning Space Implementation\3. Analysis &amp; Design\Design\FC22\DRR Jaime\QUIFA-CAJÚA\Cajua\[CAJUA_CF_SEC_New_27-Feb-2024Rev3.xlsx]D-PRB'!$CA$36</v>
      </c>
      <c r="J1508" s="37" t="s">
        <v>2690</v>
      </c>
    </row>
    <row r="1509" spans="1:10" x14ac:dyDescent="0.25">
      <c r="A1509" s="32" t="s">
        <v>4</v>
      </c>
      <c r="B1509" s="32">
        <f t="shared" si="367"/>
        <v>2048</v>
      </c>
      <c r="C1509" s="33" t="s">
        <v>14</v>
      </c>
      <c r="D1509" s="34" t="s">
        <v>1999</v>
      </c>
      <c r="E1509" s="35" t="str">
        <f t="shared" si="363"/>
        <v>PRB'!</v>
      </c>
      <c r="F1509" s="34" t="str">
        <f t="shared" si="364"/>
        <v>C:\Users\jaime.benazar\Quorum Business Solutions\Ecopetrol Prometeo - Documents\Planning Space Implementation\3. Analysis &amp; Design\Design\FC22\DRR Jaime\QUIFA-CAJÚA\Cajua\[CAJUA_CF_SEC_New_27-Feb-2024Rev3.xlsx]D-PRB'!</v>
      </c>
      <c r="G1509" s="32" t="s">
        <v>113</v>
      </c>
      <c r="H1509" s="33">
        <f t="shared" si="365"/>
        <v>37</v>
      </c>
      <c r="I1509" s="33" t="str">
        <f t="shared" si="366"/>
        <v>='C:\Users\jaime.benazar\Quorum Business Solutions\Ecopetrol Prometeo - Documents\Planning Space Implementation\3. Analysis &amp; Design\Design\FC22\DRR Jaime\QUIFA-CAJÚA\Cajua\[CAJUA_CF_SEC_New_27-Feb-2024Rev3.xlsx]D-PRB'!$CA$37</v>
      </c>
      <c r="J1509" s="37" t="s">
        <v>2691</v>
      </c>
    </row>
    <row r="1510" spans="1:10" x14ac:dyDescent="0.25">
      <c r="A1510" s="32" t="s">
        <v>4</v>
      </c>
      <c r="B1510" s="32">
        <f t="shared" si="367"/>
        <v>2049</v>
      </c>
      <c r="C1510" s="33" t="s">
        <v>14</v>
      </c>
      <c r="D1510" s="34" t="s">
        <v>1999</v>
      </c>
      <c r="E1510" s="35" t="str">
        <f t="shared" si="363"/>
        <v>PRB'!</v>
      </c>
      <c r="F1510" s="34" t="str">
        <f t="shared" si="364"/>
        <v>C:\Users\jaime.benazar\Quorum Business Solutions\Ecopetrol Prometeo - Documents\Planning Space Implementation\3. Analysis &amp; Design\Design\FC22\DRR Jaime\QUIFA-CAJÚA\Cajua\[CAJUA_CF_SEC_New_27-Feb-2024Rev3.xlsx]D-PRB'!</v>
      </c>
      <c r="G1510" s="32" t="s">
        <v>113</v>
      </c>
      <c r="H1510" s="33">
        <f t="shared" si="365"/>
        <v>38</v>
      </c>
      <c r="I1510" s="33" t="str">
        <f t="shared" si="366"/>
        <v>='C:\Users\jaime.benazar\Quorum Business Solutions\Ecopetrol Prometeo - Documents\Planning Space Implementation\3. Analysis &amp; Design\Design\FC22\DRR Jaime\QUIFA-CAJÚA\Cajua\[CAJUA_CF_SEC_New_27-Feb-2024Rev3.xlsx]D-PRB'!$CA$38</v>
      </c>
      <c r="J1510" s="37" t="s">
        <v>2692</v>
      </c>
    </row>
    <row r="1511" spans="1:10" x14ac:dyDescent="0.25">
      <c r="A1511" s="32" t="s">
        <v>4</v>
      </c>
      <c r="B1511" s="32">
        <f t="shared" si="367"/>
        <v>2050</v>
      </c>
      <c r="C1511" s="33" t="s">
        <v>14</v>
      </c>
      <c r="D1511" s="34" t="s">
        <v>1999</v>
      </c>
      <c r="E1511" s="35" t="str">
        <f t="shared" si="363"/>
        <v>PRB'!</v>
      </c>
      <c r="F1511" s="34" t="str">
        <f t="shared" si="364"/>
        <v>C:\Users\jaime.benazar\Quorum Business Solutions\Ecopetrol Prometeo - Documents\Planning Space Implementation\3. Analysis &amp; Design\Design\FC22\DRR Jaime\QUIFA-CAJÚA\Cajua\[CAJUA_CF_SEC_New_27-Feb-2024Rev3.xlsx]D-PRB'!</v>
      </c>
      <c r="G1511" s="32" t="s">
        <v>113</v>
      </c>
      <c r="H1511" s="33">
        <f t="shared" si="365"/>
        <v>39</v>
      </c>
      <c r="I1511" s="33" t="str">
        <f t="shared" si="366"/>
        <v>='C:\Users\jaime.benazar\Quorum Business Solutions\Ecopetrol Prometeo - Documents\Planning Space Implementation\3. Analysis &amp; Design\Design\FC22\DRR Jaime\QUIFA-CAJÚA\Cajua\[CAJUA_CF_SEC_New_27-Feb-2024Rev3.xlsx]D-PRB'!$CA$39</v>
      </c>
      <c r="J1511" s="37" t="s">
        <v>2693</v>
      </c>
    </row>
    <row r="1512" spans="1:10" x14ac:dyDescent="0.25">
      <c r="A1512" s="32" t="s">
        <v>4</v>
      </c>
      <c r="B1512" s="32">
        <f t="shared" si="367"/>
        <v>2051</v>
      </c>
      <c r="C1512" s="33" t="s">
        <v>14</v>
      </c>
      <c r="D1512" s="34" t="s">
        <v>1999</v>
      </c>
      <c r="E1512" s="35" t="str">
        <f t="shared" si="363"/>
        <v>PRB'!</v>
      </c>
      <c r="F1512" s="34" t="str">
        <f t="shared" si="364"/>
        <v>C:\Users\jaime.benazar\Quorum Business Solutions\Ecopetrol Prometeo - Documents\Planning Space Implementation\3. Analysis &amp; Design\Design\FC22\DRR Jaime\QUIFA-CAJÚA\Cajua\[CAJUA_CF_SEC_New_27-Feb-2024Rev3.xlsx]D-PRB'!</v>
      </c>
      <c r="G1512" s="32" t="s">
        <v>113</v>
      </c>
      <c r="H1512" s="33">
        <f t="shared" si="365"/>
        <v>40</v>
      </c>
      <c r="I1512" s="33" t="str">
        <f t="shared" si="366"/>
        <v>='C:\Users\jaime.benazar\Quorum Business Solutions\Ecopetrol Prometeo - Documents\Planning Space Implementation\3. Analysis &amp; Design\Design\FC22\DRR Jaime\QUIFA-CAJÚA\Cajua\[CAJUA_CF_SEC_New_27-Feb-2024Rev3.xlsx]D-PRB'!$CA$40</v>
      </c>
      <c r="J1512" s="37" t="s">
        <v>2694</v>
      </c>
    </row>
    <row r="1513" spans="1:10" x14ac:dyDescent="0.25">
      <c r="A1513" s="32" t="s">
        <v>4</v>
      </c>
      <c r="B1513" s="32">
        <f t="shared" si="367"/>
        <v>2052</v>
      </c>
      <c r="C1513" s="33" t="s">
        <v>14</v>
      </c>
      <c r="D1513" s="34" t="s">
        <v>1999</v>
      </c>
      <c r="E1513" s="35" t="str">
        <f t="shared" si="363"/>
        <v>PRB'!</v>
      </c>
      <c r="F1513" s="34" t="str">
        <f t="shared" si="364"/>
        <v>C:\Users\jaime.benazar\Quorum Business Solutions\Ecopetrol Prometeo - Documents\Planning Space Implementation\3. Analysis &amp; Design\Design\FC22\DRR Jaime\QUIFA-CAJÚA\Cajua\[CAJUA_CF_SEC_New_27-Feb-2024Rev3.xlsx]D-PRB'!</v>
      </c>
      <c r="G1513" s="32" t="s">
        <v>113</v>
      </c>
      <c r="H1513" s="33">
        <f t="shared" si="365"/>
        <v>41</v>
      </c>
      <c r="I1513" s="33" t="str">
        <f t="shared" si="366"/>
        <v>='C:\Users\jaime.benazar\Quorum Business Solutions\Ecopetrol Prometeo - Documents\Planning Space Implementation\3. Analysis &amp; Design\Design\FC22\DRR Jaime\QUIFA-CAJÚA\Cajua\[CAJUA_CF_SEC_New_27-Feb-2024Rev3.xlsx]D-PRB'!$CA$41</v>
      </c>
      <c r="J1513" s="37" t="s">
        <v>2695</v>
      </c>
    </row>
    <row r="1514" spans="1:10" x14ac:dyDescent="0.25">
      <c r="A1514" s="32" t="s">
        <v>4</v>
      </c>
      <c r="B1514" s="32">
        <f t="shared" si="367"/>
        <v>2053</v>
      </c>
      <c r="C1514" s="33" t="s">
        <v>14</v>
      </c>
      <c r="D1514" s="34" t="s">
        <v>1999</v>
      </c>
      <c r="E1514" s="35" t="str">
        <f t="shared" si="363"/>
        <v>PRB'!</v>
      </c>
      <c r="F1514" s="34" t="str">
        <f t="shared" si="364"/>
        <v>C:\Users\jaime.benazar\Quorum Business Solutions\Ecopetrol Prometeo - Documents\Planning Space Implementation\3. Analysis &amp; Design\Design\FC22\DRR Jaime\QUIFA-CAJÚA\Cajua\[CAJUA_CF_SEC_New_27-Feb-2024Rev3.xlsx]D-PRB'!</v>
      </c>
      <c r="G1514" s="32" t="s">
        <v>113</v>
      </c>
      <c r="H1514" s="33">
        <f t="shared" si="365"/>
        <v>42</v>
      </c>
      <c r="I1514" s="33" t="str">
        <f t="shared" si="366"/>
        <v>='C:\Users\jaime.benazar\Quorum Business Solutions\Ecopetrol Prometeo - Documents\Planning Space Implementation\3. Analysis &amp; Design\Design\FC22\DRR Jaime\QUIFA-CAJÚA\Cajua\[CAJUA_CF_SEC_New_27-Feb-2024Rev3.xlsx]D-PRB'!$CA$42</v>
      </c>
      <c r="J1514" s="37" t="s">
        <v>2696</v>
      </c>
    </row>
    <row r="1515" spans="1:10" x14ac:dyDescent="0.25">
      <c r="A1515" s="32" t="s">
        <v>4</v>
      </c>
      <c r="B1515" s="32">
        <f t="shared" si="367"/>
        <v>2054</v>
      </c>
      <c r="C1515" s="33" t="s">
        <v>14</v>
      </c>
      <c r="D1515" s="34" t="s">
        <v>1999</v>
      </c>
      <c r="E1515" s="35" t="str">
        <f t="shared" si="363"/>
        <v>PRB'!</v>
      </c>
      <c r="F1515" s="34" t="str">
        <f t="shared" si="364"/>
        <v>C:\Users\jaime.benazar\Quorum Business Solutions\Ecopetrol Prometeo - Documents\Planning Space Implementation\3. Analysis &amp; Design\Design\FC22\DRR Jaime\QUIFA-CAJÚA\Cajua\[CAJUA_CF_SEC_New_27-Feb-2024Rev3.xlsx]D-PRB'!</v>
      </c>
      <c r="G1515" s="32" t="s">
        <v>113</v>
      </c>
      <c r="H1515" s="33">
        <f t="shared" si="365"/>
        <v>43</v>
      </c>
      <c r="I1515" s="33" t="str">
        <f t="shared" si="366"/>
        <v>='C:\Users\jaime.benazar\Quorum Business Solutions\Ecopetrol Prometeo - Documents\Planning Space Implementation\3. Analysis &amp; Design\Design\FC22\DRR Jaime\QUIFA-CAJÚA\Cajua\[CAJUA_CF_SEC_New_27-Feb-2024Rev3.xlsx]D-PRB'!$CA$43</v>
      </c>
      <c r="J1515" s="37" t="s">
        <v>2697</v>
      </c>
    </row>
    <row r="1516" spans="1:10" x14ac:dyDescent="0.25">
      <c r="A1516" s="32" t="s">
        <v>4</v>
      </c>
      <c r="B1516" s="32">
        <f t="shared" si="367"/>
        <v>2055</v>
      </c>
      <c r="C1516" s="33" t="s">
        <v>14</v>
      </c>
      <c r="D1516" s="34" t="s">
        <v>1999</v>
      </c>
      <c r="E1516" s="35" t="str">
        <f t="shared" si="363"/>
        <v>PRB'!</v>
      </c>
      <c r="F1516" s="34" t="str">
        <f t="shared" si="364"/>
        <v>C:\Users\jaime.benazar\Quorum Business Solutions\Ecopetrol Prometeo - Documents\Planning Space Implementation\3. Analysis &amp; Design\Design\FC22\DRR Jaime\QUIFA-CAJÚA\Cajua\[CAJUA_CF_SEC_New_27-Feb-2024Rev3.xlsx]D-PRB'!</v>
      </c>
      <c r="G1516" s="32" t="s">
        <v>113</v>
      </c>
      <c r="H1516" s="33">
        <f t="shared" si="365"/>
        <v>44</v>
      </c>
      <c r="I1516" s="33" t="str">
        <f t="shared" si="366"/>
        <v>='C:\Users\jaime.benazar\Quorum Business Solutions\Ecopetrol Prometeo - Documents\Planning Space Implementation\3. Analysis &amp; Design\Design\FC22\DRR Jaime\QUIFA-CAJÚA\Cajua\[CAJUA_CF_SEC_New_27-Feb-2024Rev3.xlsx]D-PRB'!$CA$44</v>
      </c>
      <c r="J1516" s="37" t="s">
        <v>2698</v>
      </c>
    </row>
    <row r="1517" spans="1:10" x14ac:dyDescent="0.25">
      <c r="A1517" s="32" t="s">
        <v>4</v>
      </c>
      <c r="B1517" s="32">
        <f t="shared" si="367"/>
        <v>2056</v>
      </c>
      <c r="C1517" s="33" t="s">
        <v>14</v>
      </c>
      <c r="D1517" s="34" t="s">
        <v>1999</v>
      </c>
      <c r="E1517" s="35" t="str">
        <f t="shared" si="363"/>
        <v>PRB'!</v>
      </c>
      <c r="F1517" s="34" t="str">
        <f t="shared" si="364"/>
        <v>C:\Users\jaime.benazar\Quorum Business Solutions\Ecopetrol Prometeo - Documents\Planning Space Implementation\3. Analysis &amp; Design\Design\FC22\DRR Jaime\QUIFA-CAJÚA\Cajua\[CAJUA_CF_SEC_New_27-Feb-2024Rev3.xlsx]D-PRB'!</v>
      </c>
      <c r="G1517" s="32" t="s">
        <v>113</v>
      </c>
      <c r="H1517" s="33">
        <f t="shared" si="365"/>
        <v>45</v>
      </c>
      <c r="I1517" s="33" t="str">
        <f t="shared" si="366"/>
        <v>='C:\Users\jaime.benazar\Quorum Business Solutions\Ecopetrol Prometeo - Documents\Planning Space Implementation\3. Analysis &amp; Design\Design\FC22\DRR Jaime\QUIFA-CAJÚA\Cajua\[CAJUA_CF_SEC_New_27-Feb-2024Rev3.xlsx]D-PRB'!$CA$45</v>
      </c>
      <c r="J1517" s="37" t="s">
        <v>2699</v>
      </c>
    </row>
    <row r="1518" spans="1:10" x14ac:dyDescent="0.25">
      <c r="A1518" s="32" t="s">
        <v>4</v>
      </c>
      <c r="B1518" s="32">
        <f t="shared" si="367"/>
        <v>2057</v>
      </c>
      <c r="C1518" s="33" t="s">
        <v>14</v>
      </c>
      <c r="D1518" s="34" t="s">
        <v>1999</v>
      </c>
      <c r="E1518" s="35" t="str">
        <f t="shared" si="363"/>
        <v>PRB'!</v>
      </c>
      <c r="F1518" s="34" t="str">
        <f t="shared" si="364"/>
        <v>C:\Users\jaime.benazar\Quorum Business Solutions\Ecopetrol Prometeo - Documents\Planning Space Implementation\3. Analysis &amp; Design\Design\FC22\DRR Jaime\QUIFA-CAJÚA\Cajua\[CAJUA_CF_SEC_New_27-Feb-2024Rev3.xlsx]D-PRB'!</v>
      </c>
      <c r="G1518" s="32" t="s">
        <v>113</v>
      </c>
      <c r="H1518" s="33">
        <f t="shared" si="365"/>
        <v>46</v>
      </c>
      <c r="I1518" s="33" t="str">
        <f t="shared" si="366"/>
        <v>='C:\Users\jaime.benazar\Quorum Business Solutions\Ecopetrol Prometeo - Documents\Planning Space Implementation\3. Analysis &amp; Design\Design\FC22\DRR Jaime\QUIFA-CAJÚA\Cajua\[CAJUA_CF_SEC_New_27-Feb-2024Rev3.xlsx]D-PRB'!$CA$46</v>
      </c>
      <c r="J1518" s="37" t="s">
        <v>2700</v>
      </c>
    </row>
    <row r="1519" spans="1:10" x14ac:dyDescent="0.25">
      <c r="A1519" s="32" t="s">
        <v>4</v>
      </c>
      <c r="B1519" s="32">
        <f t="shared" si="367"/>
        <v>2058</v>
      </c>
      <c r="C1519" s="33" t="s">
        <v>14</v>
      </c>
      <c r="D1519" s="34" t="s">
        <v>1999</v>
      </c>
      <c r="E1519" s="35" t="str">
        <f t="shared" si="363"/>
        <v>PRB'!</v>
      </c>
      <c r="F1519" s="34" t="str">
        <f t="shared" si="364"/>
        <v>C:\Users\jaime.benazar\Quorum Business Solutions\Ecopetrol Prometeo - Documents\Planning Space Implementation\3. Analysis &amp; Design\Design\FC22\DRR Jaime\QUIFA-CAJÚA\Cajua\[CAJUA_CF_SEC_New_27-Feb-2024Rev3.xlsx]D-PRB'!</v>
      </c>
      <c r="G1519" s="32" t="s">
        <v>113</v>
      </c>
      <c r="H1519" s="33">
        <f t="shared" si="365"/>
        <v>47</v>
      </c>
      <c r="I1519" s="33" t="str">
        <f t="shared" si="366"/>
        <v>='C:\Users\jaime.benazar\Quorum Business Solutions\Ecopetrol Prometeo - Documents\Planning Space Implementation\3. Analysis &amp; Design\Design\FC22\DRR Jaime\QUIFA-CAJÚA\Cajua\[CAJUA_CF_SEC_New_27-Feb-2024Rev3.xlsx]D-PRB'!$CA$47</v>
      </c>
      <c r="J1519" s="37" t="s">
        <v>2701</v>
      </c>
    </row>
    <row r="1520" spans="1:10" x14ac:dyDescent="0.25">
      <c r="A1520" s="32" t="s">
        <v>4</v>
      </c>
      <c r="B1520" s="32">
        <f t="shared" si="367"/>
        <v>2059</v>
      </c>
      <c r="C1520" s="33" t="s">
        <v>14</v>
      </c>
      <c r="D1520" s="34" t="s">
        <v>1999</v>
      </c>
      <c r="E1520" s="35" t="str">
        <f t="shared" si="363"/>
        <v>PRB'!</v>
      </c>
      <c r="F1520" s="34" t="str">
        <f t="shared" si="364"/>
        <v>C:\Users\jaime.benazar\Quorum Business Solutions\Ecopetrol Prometeo - Documents\Planning Space Implementation\3. Analysis &amp; Design\Design\FC22\DRR Jaime\QUIFA-CAJÚA\Cajua\[CAJUA_CF_SEC_New_27-Feb-2024Rev3.xlsx]D-PRB'!</v>
      </c>
      <c r="G1520" s="32" t="s">
        <v>113</v>
      </c>
      <c r="H1520" s="33">
        <f t="shared" si="365"/>
        <v>48</v>
      </c>
      <c r="I1520" s="33" t="str">
        <f t="shared" si="366"/>
        <v>='C:\Users\jaime.benazar\Quorum Business Solutions\Ecopetrol Prometeo - Documents\Planning Space Implementation\3. Analysis &amp; Design\Design\FC22\DRR Jaime\QUIFA-CAJÚA\Cajua\[CAJUA_CF_SEC_New_27-Feb-2024Rev3.xlsx]D-PRB'!$CA$48</v>
      </c>
      <c r="J1520" s="37" t="s">
        <v>2702</v>
      </c>
    </row>
    <row r="1521" spans="1:10" x14ac:dyDescent="0.25">
      <c r="A1521" s="32" t="s">
        <v>28</v>
      </c>
      <c r="B1521" s="32"/>
      <c r="C1521" s="33" t="s">
        <v>14</v>
      </c>
      <c r="D1521" s="34"/>
      <c r="E1521" s="35"/>
      <c r="F1521" s="34"/>
      <c r="G1521" s="32"/>
      <c r="H1521" s="33"/>
      <c r="I1521" s="33"/>
      <c r="J1521" s="33"/>
    </row>
    <row r="1522" spans="1:10" x14ac:dyDescent="0.25">
      <c r="A1522" s="32" t="s">
        <v>102</v>
      </c>
      <c r="B1522" s="32">
        <v>2023</v>
      </c>
      <c r="C1522" s="33" t="s">
        <v>14</v>
      </c>
      <c r="D1522" s="34" t="s">
        <v>1999</v>
      </c>
      <c r="E1522" s="35" t="str">
        <f t="shared" ref="E1522:E1542" si="368">_xlfn.CONCAT(A1522,"'!")</f>
        <v>PSDP'!</v>
      </c>
      <c r="F1522" s="34" t="str">
        <f t="shared" ref="F1522:F1542" si="369">_xlfn.CONCAT(D1522:E1522)</f>
        <v>C:\Users\jaime.benazar\Quorum Business Solutions\Ecopetrol Prometeo - Documents\Planning Space Implementation\3. Analysis &amp; Design\Design\FC22\DRR Jaime\QUIFA-CAJÚA\Cajua\[CAJUA_CF_SEC_New_27-Feb-2024Rev3.xlsx]D-PSDP'!</v>
      </c>
      <c r="G1522" s="32" t="s">
        <v>113</v>
      </c>
      <c r="H1522" s="33"/>
      <c r="I1522" s="33"/>
      <c r="J1522" s="37"/>
    </row>
    <row r="1523" spans="1:10" x14ac:dyDescent="0.25">
      <c r="A1523" s="32" t="s">
        <v>102</v>
      </c>
      <c r="B1523" s="32">
        <f>+B1522+1</f>
        <v>2024</v>
      </c>
      <c r="C1523" s="33" t="s">
        <v>14</v>
      </c>
      <c r="D1523" s="34" t="s">
        <v>1999</v>
      </c>
      <c r="E1523" s="35" t="str">
        <f t="shared" si="368"/>
        <v>PSDP'!</v>
      </c>
      <c r="F1523" s="34" t="str">
        <f t="shared" si="369"/>
        <v>C:\Users\jaime.benazar\Quorum Business Solutions\Ecopetrol Prometeo - Documents\Planning Space Implementation\3. Analysis &amp; Design\Design\FC22\DRR Jaime\QUIFA-CAJÚA\Cajua\[CAJUA_CF_SEC_New_27-Feb-2024Rev3.xlsx]D-PSDP'!</v>
      </c>
      <c r="G1523" s="32" t="s">
        <v>113</v>
      </c>
      <c r="H1523" s="33"/>
      <c r="I1523" s="33"/>
      <c r="J1523" s="37"/>
    </row>
    <row r="1524" spans="1:10" x14ac:dyDescent="0.25">
      <c r="A1524" s="32" t="s">
        <v>102</v>
      </c>
      <c r="B1524" s="32">
        <f t="shared" ref="B1524:B1535" si="370">+B1523+1</f>
        <v>2025</v>
      </c>
      <c r="C1524" s="33" t="s">
        <v>14</v>
      </c>
      <c r="D1524" s="34" t="s">
        <v>1999</v>
      </c>
      <c r="E1524" s="35" t="str">
        <f t="shared" si="368"/>
        <v>PSDP'!</v>
      </c>
      <c r="F1524" s="34" t="str">
        <f t="shared" si="369"/>
        <v>C:\Users\jaime.benazar\Quorum Business Solutions\Ecopetrol Prometeo - Documents\Planning Space Implementation\3. Analysis &amp; Design\Design\FC22\DRR Jaime\QUIFA-CAJÚA\Cajua\[CAJUA_CF_SEC_New_27-Feb-2024Rev3.xlsx]D-PSDP'!</v>
      </c>
      <c r="G1524" s="32" t="s">
        <v>113</v>
      </c>
      <c r="H1524" s="33"/>
      <c r="I1524" s="33"/>
      <c r="J1524" s="37"/>
    </row>
    <row r="1525" spans="1:10" x14ac:dyDescent="0.25">
      <c r="A1525" s="32" t="s">
        <v>102</v>
      </c>
      <c r="B1525" s="32">
        <f t="shared" si="370"/>
        <v>2026</v>
      </c>
      <c r="C1525" s="33" t="s">
        <v>14</v>
      </c>
      <c r="D1525" s="34" t="s">
        <v>1999</v>
      </c>
      <c r="E1525" s="35" t="str">
        <f t="shared" si="368"/>
        <v>PSDP'!</v>
      </c>
      <c r="F1525" s="34" t="str">
        <f t="shared" si="369"/>
        <v>C:\Users\jaime.benazar\Quorum Business Solutions\Ecopetrol Prometeo - Documents\Planning Space Implementation\3. Analysis &amp; Design\Design\FC22\DRR Jaime\QUIFA-CAJÚA\Cajua\[CAJUA_CF_SEC_New_27-Feb-2024Rev3.xlsx]D-PSDP'!</v>
      </c>
      <c r="G1525" s="32" t="s">
        <v>113</v>
      </c>
      <c r="H1525" s="33"/>
      <c r="I1525" s="33"/>
      <c r="J1525" s="37"/>
    </row>
    <row r="1526" spans="1:10" x14ac:dyDescent="0.25">
      <c r="A1526" s="32" t="s">
        <v>102</v>
      </c>
      <c r="B1526" s="32">
        <f t="shared" si="370"/>
        <v>2027</v>
      </c>
      <c r="C1526" s="33" t="s">
        <v>14</v>
      </c>
      <c r="D1526" s="34" t="s">
        <v>1999</v>
      </c>
      <c r="E1526" s="35" t="str">
        <f t="shared" si="368"/>
        <v>PSDP'!</v>
      </c>
      <c r="F1526" s="34" t="str">
        <f t="shared" si="369"/>
        <v>C:\Users\jaime.benazar\Quorum Business Solutions\Ecopetrol Prometeo - Documents\Planning Space Implementation\3. Analysis &amp; Design\Design\FC22\DRR Jaime\QUIFA-CAJÚA\Cajua\[CAJUA_CF_SEC_New_27-Feb-2024Rev3.xlsx]D-PSDP'!</v>
      </c>
      <c r="G1526" s="32" t="s">
        <v>113</v>
      </c>
      <c r="H1526" s="33"/>
      <c r="I1526" s="33"/>
      <c r="J1526" s="37"/>
    </row>
    <row r="1527" spans="1:10" x14ac:dyDescent="0.25">
      <c r="A1527" s="32" t="s">
        <v>102</v>
      </c>
      <c r="B1527" s="32">
        <f t="shared" si="370"/>
        <v>2028</v>
      </c>
      <c r="C1527" s="33" t="s">
        <v>14</v>
      </c>
      <c r="D1527" s="34" t="s">
        <v>1999</v>
      </c>
      <c r="E1527" s="35" t="str">
        <f t="shared" si="368"/>
        <v>PSDP'!</v>
      </c>
      <c r="F1527" s="34" t="str">
        <f t="shared" si="369"/>
        <v>C:\Users\jaime.benazar\Quorum Business Solutions\Ecopetrol Prometeo - Documents\Planning Space Implementation\3. Analysis &amp; Design\Design\FC22\DRR Jaime\QUIFA-CAJÚA\Cajua\[CAJUA_CF_SEC_New_27-Feb-2024Rev3.xlsx]D-PSDP'!</v>
      </c>
      <c r="G1527" s="32" t="s">
        <v>113</v>
      </c>
      <c r="H1527" s="33"/>
      <c r="I1527" s="33"/>
      <c r="J1527" s="37"/>
    </row>
    <row r="1528" spans="1:10" x14ac:dyDescent="0.25">
      <c r="A1528" s="32" t="s">
        <v>102</v>
      </c>
      <c r="B1528" s="32">
        <f t="shared" si="370"/>
        <v>2029</v>
      </c>
      <c r="C1528" s="33" t="s">
        <v>14</v>
      </c>
      <c r="D1528" s="34" t="s">
        <v>1999</v>
      </c>
      <c r="E1528" s="35" t="str">
        <f t="shared" si="368"/>
        <v>PSDP'!</v>
      </c>
      <c r="F1528" s="34" t="str">
        <f t="shared" si="369"/>
        <v>C:\Users\jaime.benazar\Quorum Business Solutions\Ecopetrol Prometeo - Documents\Planning Space Implementation\3. Analysis &amp; Design\Design\FC22\DRR Jaime\QUIFA-CAJÚA\Cajua\[CAJUA_CF_SEC_New_27-Feb-2024Rev3.xlsx]D-PSDP'!</v>
      </c>
      <c r="G1528" s="32" t="s">
        <v>113</v>
      </c>
      <c r="H1528" s="33"/>
      <c r="I1528" s="33"/>
      <c r="J1528" s="37"/>
    </row>
    <row r="1529" spans="1:10" x14ac:dyDescent="0.25">
      <c r="A1529" s="32" t="s">
        <v>102</v>
      </c>
      <c r="B1529" s="32">
        <f t="shared" si="370"/>
        <v>2030</v>
      </c>
      <c r="C1529" s="33" t="s">
        <v>14</v>
      </c>
      <c r="D1529" s="34" t="s">
        <v>1999</v>
      </c>
      <c r="E1529" s="35" t="str">
        <f t="shared" si="368"/>
        <v>PSDP'!</v>
      </c>
      <c r="F1529" s="34" t="str">
        <f t="shared" si="369"/>
        <v>C:\Users\jaime.benazar\Quorum Business Solutions\Ecopetrol Prometeo - Documents\Planning Space Implementation\3. Analysis &amp; Design\Design\FC22\DRR Jaime\QUIFA-CAJÚA\Cajua\[CAJUA_CF_SEC_New_27-Feb-2024Rev3.xlsx]D-PSDP'!</v>
      </c>
      <c r="G1529" s="32" t="s">
        <v>113</v>
      </c>
      <c r="H1529" s="33"/>
      <c r="I1529" s="33"/>
      <c r="J1529" s="37"/>
    </row>
    <row r="1530" spans="1:10" x14ac:dyDescent="0.25">
      <c r="A1530" s="32" t="s">
        <v>102</v>
      </c>
      <c r="B1530" s="32">
        <f t="shared" si="370"/>
        <v>2031</v>
      </c>
      <c r="C1530" s="33" t="s">
        <v>14</v>
      </c>
      <c r="D1530" s="34" t="s">
        <v>1999</v>
      </c>
      <c r="E1530" s="35" t="str">
        <f t="shared" si="368"/>
        <v>PSDP'!</v>
      </c>
      <c r="F1530" s="34" t="str">
        <f t="shared" si="369"/>
        <v>C:\Users\jaime.benazar\Quorum Business Solutions\Ecopetrol Prometeo - Documents\Planning Space Implementation\3. Analysis &amp; Design\Design\FC22\DRR Jaime\QUIFA-CAJÚA\Cajua\[CAJUA_CF_SEC_New_27-Feb-2024Rev3.xlsx]D-PSDP'!</v>
      </c>
      <c r="G1530" s="32" t="s">
        <v>113</v>
      </c>
      <c r="H1530" s="33"/>
      <c r="I1530" s="33"/>
      <c r="J1530" s="37"/>
    </row>
    <row r="1531" spans="1:10" x14ac:dyDescent="0.25">
      <c r="A1531" s="32" t="s">
        <v>102</v>
      </c>
      <c r="B1531" s="32">
        <f t="shared" si="370"/>
        <v>2032</v>
      </c>
      <c r="C1531" s="33" t="s">
        <v>14</v>
      </c>
      <c r="D1531" s="34" t="s">
        <v>1999</v>
      </c>
      <c r="E1531" s="35" t="str">
        <f t="shared" si="368"/>
        <v>PSDP'!</v>
      </c>
      <c r="F1531" s="34" t="str">
        <f t="shared" si="369"/>
        <v>C:\Users\jaime.benazar\Quorum Business Solutions\Ecopetrol Prometeo - Documents\Planning Space Implementation\3. Analysis &amp; Design\Design\FC22\DRR Jaime\QUIFA-CAJÚA\Cajua\[CAJUA_CF_SEC_New_27-Feb-2024Rev3.xlsx]D-PSDP'!</v>
      </c>
      <c r="G1531" s="32" t="s">
        <v>113</v>
      </c>
      <c r="H1531" s="33"/>
      <c r="I1531" s="33"/>
      <c r="J1531" s="37"/>
    </row>
    <row r="1532" spans="1:10" x14ac:dyDescent="0.25">
      <c r="A1532" s="32" t="s">
        <v>102</v>
      </c>
      <c r="B1532" s="32">
        <f t="shared" si="370"/>
        <v>2033</v>
      </c>
      <c r="C1532" s="33" t="s">
        <v>14</v>
      </c>
      <c r="D1532" s="34" t="s">
        <v>1999</v>
      </c>
      <c r="E1532" s="35" t="str">
        <f t="shared" si="368"/>
        <v>PSDP'!</v>
      </c>
      <c r="F1532" s="34" t="str">
        <f t="shared" si="369"/>
        <v>C:\Users\jaime.benazar\Quorum Business Solutions\Ecopetrol Prometeo - Documents\Planning Space Implementation\3. Analysis &amp; Design\Design\FC22\DRR Jaime\QUIFA-CAJÚA\Cajua\[CAJUA_CF_SEC_New_27-Feb-2024Rev3.xlsx]D-PSDP'!</v>
      </c>
      <c r="G1532" s="32" t="s">
        <v>113</v>
      </c>
      <c r="H1532" s="33"/>
      <c r="I1532" s="33"/>
      <c r="J1532" s="37"/>
    </row>
    <row r="1533" spans="1:10" x14ac:dyDescent="0.25">
      <c r="A1533" s="32" t="s">
        <v>102</v>
      </c>
      <c r="B1533" s="32">
        <f t="shared" si="370"/>
        <v>2034</v>
      </c>
      <c r="C1533" s="33" t="s">
        <v>14</v>
      </c>
      <c r="D1533" s="34" t="s">
        <v>1999</v>
      </c>
      <c r="E1533" s="35" t="str">
        <f t="shared" si="368"/>
        <v>PSDP'!</v>
      </c>
      <c r="F1533" s="34" t="str">
        <f t="shared" si="369"/>
        <v>C:\Users\jaime.benazar\Quorum Business Solutions\Ecopetrol Prometeo - Documents\Planning Space Implementation\3. Analysis &amp; Design\Design\FC22\DRR Jaime\QUIFA-CAJÚA\Cajua\[CAJUA_CF_SEC_New_27-Feb-2024Rev3.xlsx]D-PSDP'!</v>
      </c>
      <c r="G1533" s="32" t="s">
        <v>113</v>
      </c>
      <c r="H1533" s="33"/>
      <c r="I1533" s="33"/>
      <c r="J1533" s="37"/>
    </row>
    <row r="1534" spans="1:10" x14ac:dyDescent="0.25">
      <c r="A1534" s="32" t="s">
        <v>102</v>
      </c>
      <c r="B1534" s="32">
        <f t="shared" si="370"/>
        <v>2035</v>
      </c>
      <c r="C1534" s="33" t="s">
        <v>14</v>
      </c>
      <c r="D1534" s="34" t="s">
        <v>1999</v>
      </c>
      <c r="E1534" s="35" t="str">
        <f t="shared" si="368"/>
        <v>PSDP'!</v>
      </c>
      <c r="F1534" s="34" t="str">
        <f t="shared" si="369"/>
        <v>C:\Users\jaime.benazar\Quorum Business Solutions\Ecopetrol Prometeo - Documents\Planning Space Implementation\3. Analysis &amp; Design\Design\FC22\DRR Jaime\QUIFA-CAJÚA\Cajua\[CAJUA_CF_SEC_New_27-Feb-2024Rev3.xlsx]D-PSDP'!</v>
      </c>
      <c r="G1534" s="32" t="s">
        <v>113</v>
      </c>
      <c r="H1534" s="33"/>
      <c r="I1534" s="33"/>
      <c r="J1534" s="37"/>
    </row>
    <row r="1535" spans="1:10" x14ac:dyDescent="0.25">
      <c r="A1535" s="32" t="s">
        <v>102</v>
      </c>
      <c r="B1535" s="32">
        <f t="shared" si="370"/>
        <v>2036</v>
      </c>
      <c r="C1535" s="33" t="s">
        <v>14</v>
      </c>
      <c r="D1535" s="34" t="s">
        <v>1999</v>
      </c>
      <c r="E1535" s="35" t="str">
        <f t="shared" si="368"/>
        <v>PSDP'!</v>
      </c>
      <c r="F1535" s="34" t="str">
        <f t="shared" si="369"/>
        <v>C:\Users\jaime.benazar\Quorum Business Solutions\Ecopetrol Prometeo - Documents\Planning Space Implementation\3. Analysis &amp; Design\Design\FC22\DRR Jaime\QUIFA-CAJÚA\Cajua\[CAJUA_CF_SEC_New_27-Feb-2024Rev3.xlsx]D-PSDP'!</v>
      </c>
      <c r="G1535" s="32" t="s">
        <v>113</v>
      </c>
      <c r="H1535" s="33"/>
      <c r="I1535" s="33"/>
      <c r="J1535" s="37"/>
    </row>
    <row r="1536" spans="1:10" x14ac:dyDescent="0.25">
      <c r="A1536" s="32" t="s">
        <v>102</v>
      </c>
      <c r="B1536" s="32">
        <f>+B1535+1</f>
        <v>2037</v>
      </c>
      <c r="C1536" s="33" t="s">
        <v>14</v>
      </c>
      <c r="D1536" s="34" t="s">
        <v>1999</v>
      </c>
      <c r="E1536" s="35" t="str">
        <f t="shared" si="368"/>
        <v>PSDP'!</v>
      </c>
      <c r="F1536" s="34" t="str">
        <f t="shared" si="369"/>
        <v>C:\Users\jaime.benazar\Quorum Business Solutions\Ecopetrol Prometeo - Documents\Planning Space Implementation\3. Analysis &amp; Design\Design\FC22\DRR Jaime\QUIFA-CAJÚA\Cajua\[CAJUA_CF_SEC_New_27-Feb-2024Rev3.xlsx]D-PSDP'!</v>
      </c>
      <c r="G1536" s="32" t="s">
        <v>113</v>
      </c>
      <c r="H1536" s="33"/>
      <c r="I1536" s="33"/>
      <c r="J1536" s="37"/>
    </row>
    <row r="1537" spans="1:10" x14ac:dyDescent="0.25">
      <c r="A1537" s="32" t="s">
        <v>102</v>
      </c>
      <c r="B1537" s="32">
        <f t="shared" ref="B1537:B1539" si="371">+B1536+1</f>
        <v>2038</v>
      </c>
      <c r="C1537" s="33" t="s">
        <v>14</v>
      </c>
      <c r="D1537" s="34" t="s">
        <v>1999</v>
      </c>
      <c r="E1537" s="35" t="str">
        <f t="shared" si="368"/>
        <v>PSDP'!</v>
      </c>
      <c r="F1537" s="34" t="str">
        <f t="shared" si="369"/>
        <v>C:\Users\jaime.benazar\Quorum Business Solutions\Ecopetrol Prometeo - Documents\Planning Space Implementation\3. Analysis &amp; Design\Design\FC22\DRR Jaime\QUIFA-CAJÚA\Cajua\[CAJUA_CF_SEC_New_27-Feb-2024Rev3.xlsx]D-PSDP'!</v>
      </c>
      <c r="G1537" s="32" t="s">
        <v>113</v>
      </c>
      <c r="H1537" s="33"/>
      <c r="I1537" s="33"/>
      <c r="J1537" s="37"/>
    </row>
    <row r="1538" spans="1:10" x14ac:dyDescent="0.25">
      <c r="A1538" s="32" t="s">
        <v>102</v>
      </c>
      <c r="B1538" s="32">
        <f t="shared" si="371"/>
        <v>2039</v>
      </c>
      <c r="C1538" s="33" t="s">
        <v>14</v>
      </c>
      <c r="D1538" s="34" t="s">
        <v>1999</v>
      </c>
      <c r="E1538" s="35" t="str">
        <f t="shared" si="368"/>
        <v>PSDP'!</v>
      </c>
      <c r="F1538" s="34" t="str">
        <f t="shared" si="369"/>
        <v>C:\Users\jaime.benazar\Quorum Business Solutions\Ecopetrol Prometeo - Documents\Planning Space Implementation\3. Analysis &amp; Design\Design\FC22\DRR Jaime\QUIFA-CAJÚA\Cajua\[CAJUA_CF_SEC_New_27-Feb-2024Rev3.xlsx]D-PSDP'!</v>
      </c>
      <c r="G1538" s="32" t="s">
        <v>113</v>
      </c>
      <c r="H1538" s="33"/>
      <c r="I1538" s="33"/>
      <c r="J1538" s="37"/>
    </row>
    <row r="1539" spans="1:10" x14ac:dyDescent="0.25">
      <c r="A1539" s="32" t="s">
        <v>102</v>
      </c>
      <c r="B1539" s="32">
        <f t="shared" si="371"/>
        <v>2040</v>
      </c>
      <c r="C1539" s="33" t="s">
        <v>14</v>
      </c>
      <c r="D1539" s="34" t="s">
        <v>1999</v>
      </c>
      <c r="E1539" s="35" t="str">
        <f t="shared" si="368"/>
        <v>PSDP'!</v>
      </c>
      <c r="F1539" s="34" t="str">
        <f t="shared" si="369"/>
        <v>C:\Users\jaime.benazar\Quorum Business Solutions\Ecopetrol Prometeo - Documents\Planning Space Implementation\3. Analysis &amp; Design\Design\FC22\DRR Jaime\QUIFA-CAJÚA\Cajua\[CAJUA_CF_SEC_New_27-Feb-2024Rev3.xlsx]D-PSDP'!</v>
      </c>
      <c r="G1539" s="32" t="s">
        <v>113</v>
      </c>
      <c r="H1539" s="33"/>
      <c r="I1539" s="33"/>
      <c r="J1539" s="37"/>
    </row>
    <row r="1540" spans="1:10" x14ac:dyDescent="0.25">
      <c r="A1540" s="32" t="s">
        <v>102</v>
      </c>
      <c r="B1540" s="32">
        <f>+B1539+1</f>
        <v>2041</v>
      </c>
      <c r="C1540" s="33" t="s">
        <v>14</v>
      </c>
      <c r="D1540" s="34" t="s">
        <v>1999</v>
      </c>
      <c r="E1540" s="35" t="str">
        <f t="shared" si="368"/>
        <v>PSDP'!</v>
      </c>
      <c r="F1540" s="34" t="str">
        <f t="shared" si="369"/>
        <v>C:\Users\jaime.benazar\Quorum Business Solutions\Ecopetrol Prometeo - Documents\Planning Space Implementation\3. Analysis &amp; Design\Design\FC22\DRR Jaime\QUIFA-CAJÚA\Cajua\[CAJUA_CF_SEC_New_27-Feb-2024Rev3.xlsx]D-PSDP'!</v>
      </c>
      <c r="G1540" s="32" t="s">
        <v>113</v>
      </c>
      <c r="H1540" s="33"/>
      <c r="I1540" s="33"/>
      <c r="J1540" s="37"/>
    </row>
    <row r="1541" spans="1:10" x14ac:dyDescent="0.25">
      <c r="A1541" s="32" t="s">
        <v>102</v>
      </c>
      <c r="B1541" s="32">
        <f t="shared" ref="B1541:B1542" si="372">+B1540+1</f>
        <v>2042</v>
      </c>
      <c r="C1541" s="33" t="s">
        <v>14</v>
      </c>
      <c r="D1541" s="34" t="s">
        <v>1999</v>
      </c>
      <c r="E1541" s="35" t="str">
        <f t="shared" si="368"/>
        <v>PSDP'!</v>
      </c>
      <c r="F1541" s="34" t="str">
        <f t="shared" si="369"/>
        <v>C:\Users\jaime.benazar\Quorum Business Solutions\Ecopetrol Prometeo - Documents\Planning Space Implementation\3. Analysis &amp; Design\Design\FC22\DRR Jaime\QUIFA-CAJÚA\Cajua\[CAJUA_CF_SEC_New_27-Feb-2024Rev3.xlsx]D-PSDP'!</v>
      </c>
      <c r="G1541" s="32" t="s">
        <v>113</v>
      </c>
      <c r="H1541" s="33"/>
      <c r="I1541" s="33"/>
      <c r="J1541" s="37"/>
    </row>
    <row r="1542" spans="1:10" x14ac:dyDescent="0.25">
      <c r="A1542" s="32" t="s">
        <v>102</v>
      </c>
      <c r="B1542" s="32">
        <f t="shared" si="372"/>
        <v>2043</v>
      </c>
      <c r="C1542" s="33" t="s">
        <v>14</v>
      </c>
      <c r="D1542" s="34" t="s">
        <v>1999</v>
      </c>
      <c r="E1542" s="35" t="str">
        <f t="shared" si="368"/>
        <v>PSDP'!</v>
      </c>
      <c r="F1542" s="34" t="str">
        <f t="shared" si="369"/>
        <v>C:\Users\jaime.benazar\Quorum Business Solutions\Ecopetrol Prometeo - Documents\Planning Space Implementation\3. Analysis &amp; Design\Design\FC22\DRR Jaime\QUIFA-CAJÚA\Cajua\[CAJUA_CF_SEC_New_27-Feb-2024Rev3.xlsx]D-PSDP'!</v>
      </c>
      <c r="G1542" s="32" t="s">
        <v>113</v>
      </c>
      <c r="H1542" s="33"/>
      <c r="I1542" s="33"/>
      <c r="J1542" s="37"/>
    </row>
    <row r="1543" spans="1:10" x14ac:dyDescent="0.25">
      <c r="A1543" s="32" t="s">
        <v>102</v>
      </c>
      <c r="B1543" s="32">
        <f>+B1542+1</f>
        <v>2044</v>
      </c>
      <c r="C1543" s="33" t="s">
        <v>14</v>
      </c>
      <c r="D1543" s="34" t="s">
        <v>1999</v>
      </c>
      <c r="E1543" s="35" t="str">
        <f t="shared" ref="E1543:E1558" si="373">_xlfn.CONCAT(A1543,"'!")</f>
        <v>PSDP'!</v>
      </c>
      <c r="F1543" s="34" t="str">
        <f t="shared" ref="F1543:F1558" si="374">_xlfn.CONCAT(D1543:E1543)</f>
        <v>C:\Users\jaime.benazar\Quorum Business Solutions\Ecopetrol Prometeo - Documents\Planning Space Implementation\3. Analysis &amp; Design\Design\FC22\DRR Jaime\QUIFA-CAJÚA\Cajua\[CAJUA_CF_SEC_New_27-Feb-2024Rev3.xlsx]D-PSDP'!</v>
      </c>
      <c r="G1543" s="32" t="s">
        <v>113</v>
      </c>
      <c r="H1543" s="33"/>
      <c r="I1543" s="33"/>
      <c r="J1543" s="37"/>
    </row>
    <row r="1544" spans="1:10" x14ac:dyDescent="0.25">
      <c r="A1544" s="32" t="s">
        <v>102</v>
      </c>
      <c r="B1544" s="32">
        <f t="shared" ref="B1544:B1558" si="375">+B1543+1</f>
        <v>2045</v>
      </c>
      <c r="C1544" s="33" t="s">
        <v>14</v>
      </c>
      <c r="D1544" s="34" t="s">
        <v>1999</v>
      </c>
      <c r="E1544" s="35" t="str">
        <f t="shared" si="373"/>
        <v>PSDP'!</v>
      </c>
      <c r="F1544" s="34" t="str">
        <f t="shared" si="374"/>
        <v>C:\Users\jaime.benazar\Quorum Business Solutions\Ecopetrol Prometeo - Documents\Planning Space Implementation\3. Analysis &amp; Design\Design\FC22\DRR Jaime\QUIFA-CAJÚA\Cajua\[CAJUA_CF_SEC_New_27-Feb-2024Rev3.xlsx]D-PSDP'!</v>
      </c>
      <c r="G1544" s="32" t="s">
        <v>113</v>
      </c>
      <c r="H1544" s="33"/>
      <c r="I1544" s="33"/>
      <c r="J1544" s="37"/>
    </row>
    <row r="1545" spans="1:10" x14ac:dyDescent="0.25">
      <c r="A1545" s="32" t="s">
        <v>102</v>
      </c>
      <c r="B1545" s="32">
        <f t="shared" si="375"/>
        <v>2046</v>
      </c>
      <c r="C1545" s="33" t="s">
        <v>14</v>
      </c>
      <c r="D1545" s="34" t="s">
        <v>1999</v>
      </c>
      <c r="E1545" s="35" t="str">
        <f t="shared" si="373"/>
        <v>PSDP'!</v>
      </c>
      <c r="F1545" s="34" t="str">
        <f t="shared" si="374"/>
        <v>C:\Users\jaime.benazar\Quorum Business Solutions\Ecopetrol Prometeo - Documents\Planning Space Implementation\3. Analysis &amp; Design\Design\FC22\DRR Jaime\QUIFA-CAJÚA\Cajua\[CAJUA_CF_SEC_New_27-Feb-2024Rev3.xlsx]D-PSDP'!</v>
      </c>
      <c r="G1545" s="32" t="s">
        <v>113</v>
      </c>
      <c r="H1545" s="33"/>
      <c r="I1545" s="33"/>
      <c r="J1545" s="37"/>
    </row>
    <row r="1546" spans="1:10" x14ac:dyDescent="0.25">
      <c r="A1546" s="32" t="s">
        <v>102</v>
      </c>
      <c r="B1546" s="32">
        <f t="shared" si="375"/>
        <v>2047</v>
      </c>
      <c r="C1546" s="33" t="s">
        <v>14</v>
      </c>
      <c r="D1546" s="34" t="s">
        <v>1999</v>
      </c>
      <c r="E1546" s="35" t="str">
        <f t="shared" si="373"/>
        <v>PSDP'!</v>
      </c>
      <c r="F1546" s="34" t="str">
        <f t="shared" si="374"/>
        <v>C:\Users\jaime.benazar\Quorum Business Solutions\Ecopetrol Prometeo - Documents\Planning Space Implementation\3. Analysis &amp; Design\Design\FC22\DRR Jaime\QUIFA-CAJÚA\Cajua\[CAJUA_CF_SEC_New_27-Feb-2024Rev3.xlsx]D-PSDP'!</v>
      </c>
      <c r="G1546" s="32" t="s">
        <v>113</v>
      </c>
      <c r="H1546" s="33"/>
      <c r="I1546" s="33"/>
      <c r="J1546" s="37"/>
    </row>
    <row r="1547" spans="1:10" x14ac:dyDescent="0.25">
      <c r="A1547" s="32" t="s">
        <v>102</v>
      </c>
      <c r="B1547" s="32">
        <f t="shared" si="375"/>
        <v>2048</v>
      </c>
      <c r="C1547" s="33" t="s">
        <v>14</v>
      </c>
      <c r="D1547" s="34" t="s">
        <v>1999</v>
      </c>
      <c r="E1547" s="35" t="str">
        <f t="shared" si="373"/>
        <v>PSDP'!</v>
      </c>
      <c r="F1547" s="34" t="str">
        <f t="shared" si="374"/>
        <v>C:\Users\jaime.benazar\Quorum Business Solutions\Ecopetrol Prometeo - Documents\Planning Space Implementation\3. Analysis &amp; Design\Design\FC22\DRR Jaime\QUIFA-CAJÚA\Cajua\[CAJUA_CF_SEC_New_27-Feb-2024Rev3.xlsx]D-PSDP'!</v>
      </c>
      <c r="G1547" s="32" t="s">
        <v>113</v>
      </c>
      <c r="H1547" s="33"/>
      <c r="I1547" s="33"/>
      <c r="J1547" s="37"/>
    </row>
    <row r="1548" spans="1:10" x14ac:dyDescent="0.25">
      <c r="A1548" s="32" t="s">
        <v>102</v>
      </c>
      <c r="B1548" s="32">
        <f t="shared" si="375"/>
        <v>2049</v>
      </c>
      <c r="C1548" s="33" t="s">
        <v>14</v>
      </c>
      <c r="D1548" s="34" t="s">
        <v>1999</v>
      </c>
      <c r="E1548" s="35" t="str">
        <f t="shared" si="373"/>
        <v>PSDP'!</v>
      </c>
      <c r="F1548" s="34" t="str">
        <f t="shared" si="374"/>
        <v>C:\Users\jaime.benazar\Quorum Business Solutions\Ecopetrol Prometeo - Documents\Planning Space Implementation\3. Analysis &amp; Design\Design\FC22\DRR Jaime\QUIFA-CAJÚA\Cajua\[CAJUA_CF_SEC_New_27-Feb-2024Rev3.xlsx]D-PSDP'!</v>
      </c>
      <c r="G1548" s="32" t="s">
        <v>113</v>
      </c>
      <c r="H1548" s="33"/>
      <c r="I1548" s="33"/>
      <c r="J1548" s="37"/>
    </row>
    <row r="1549" spans="1:10" x14ac:dyDescent="0.25">
      <c r="A1549" s="32" t="s">
        <v>102</v>
      </c>
      <c r="B1549" s="32">
        <f t="shared" si="375"/>
        <v>2050</v>
      </c>
      <c r="C1549" s="33" t="s">
        <v>14</v>
      </c>
      <c r="D1549" s="34" t="s">
        <v>1999</v>
      </c>
      <c r="E1549" s="35" t="str">
        <f t="shared" si="373"/>
        <v>PSDP'!</v>
      </c>
      <c r="F1549" s="34" t="str">
        <f t="shared" si="374"/>
        <v>C:\Users\jaime.benazar\Quorum Business Solutions\Ecopetrol Prometeo - Documents\Planning Space Implementation\3. Analysis &amp; Design\Design\FC22\DRR Jaime\QUIFA-CAJÚA\Cajua\[CAJUA_CF_SEC_New_27-Feb-2024Rev3.xlsx]D-PSDP'!</v>
      </c>
      <c r="G1549" s="32" t="s">
        <v>113</v>
      </c>
      <c r="H1549" s="33"/>
      <c r="I1549" s="33"/>
      <c r="J1549" s="37"/>
    </row>
    <row r="1550" spans="1:10" x14ac:dyDescent="0.25">
      <c r="A1550" s="32" t="s">
        <v>102</v>
      </c>
      <c r="B1550" s="32">
        <f t="shared" si="375"/>
        <v>2051</v>
      </c>
      <c r="C1550" s="33" t="s">
        <v>14</v>
      </c>
      <c r="D1550" s="34" t="s">
        <v>1999</v>
      </c>
      <c r="E1550" s="35" t="str">
        <f t="shared" si="373"/>
        <v>PSDP'!</v>
      </c>
      <c r="F1550" s="34" t="str">
        <f t="shared" si="374"/>
        <v>C:\Users\jaime.benazar\Quorum Business Solutions\Ecopetrol Prometeo - Documents\Planning Space Implementation\3. Analysis &amp; Design\Design\FC22\DRR Jaime\QUIFA-CAJÚA\Cajua\[CAJUA_CF_SEC_New_27-Feb-2024Rev3.xlsx]D-PSDP'!</v>
      </c>
      <c r="G1550" s="32" t="s">
        <v>113</v>
      </c>
      <c r="H1550" s="33"/>
      <c r="I1550" s="33"/>
      <c r="J1550" s="37"/>
    </row>
    <row r="1551" spans="1:10" x14ac:dyDescent="0.25">
      <c r="A1551" s="32" t="s">
        <v>102</v>
      </c>
      <c r="B1551" s="32">
        <f t="shared" si="375"/>
        <v>2052</v>
      </c>
      <c r="C1551" s="33" t="s">
        <v>14</v>
      </c>
      <c r="D1551" s="34" t="s">
        <v>1999</v>
      </c>
      <c r="E1551" s="35" t="str">
        <f t="shared" si="373"/>
        <v>PSDP'!</v>
      </c>
      <c r="F1551" s="34" t="str">
        <f t="shared" si="374"/>
        <v>C:\Users\jaime.benazar\Quorum Business Solutions\Ecopetrol Prometeo - Documents\Planning Space Implementation\3. Analysis &amp; Design\Design\FC22\DRR Jaime\QUIFA-CAJÚA\Cajua\[CAJUA_CF_SEC_New_27-Feb-2024Rev3.xlsx]D-PSDP'!</v>
      </c>
      <c r="G1551" s="32" t="s">
        <v>113</v>
      </c>
      <c r="H1551" s="33"/>
      <c r="I1551" s="33"/>
      <c r="J1551" s="37"/>
    </row>
    <row r="1552" spans="1:10" x14ac:dyDescent="0.25">
      <c r="A1552" s="32" t="s">
        <v>102</v>
      </c>
      <c r="B1552" s="32">
        <f t="shared" si="375"/>
        <v>2053</v>
      </c>
      <c r="C1552" s="33" t="s">
        <v>14</v>
      </c>
      <c r="D1552" s="34" t="s">
        <v>1999</v>
      </c>
      <c r="E1552" s="35" t="str">
        <f t="shared" si="373"/>
        <v>PSDP'!</v>
      </c>
      <c r="F1552" s="34" t="str">
        <f t="shared" si="374"/>
        <v>C:\Users\jaime.benazar\Quorum Business Solutions\Ecopetrol Prometeo - Documents\Planning Space Implementation\3. Analysis &amp; Design\Design\FC22\DRR Jaime\QUIFA-CAJÚA\Cajua\[CAJUA_CF_SEC_New_27-Feb-2024Rev3.xlsx]D-PSDP'!</v>
      </c>
      <c r="G1552" s="32" t="s">
        <v>113</v>
      </c>
      <c r="H1552" s="33"/>
      <c r="I1552" s="33"/>
      <c r="J1552" s="37"/>
    </row>
    <row r="1553" spans="1:10" x14ac:dyDescent="0.25">
      <c r="A1553" s="32" t="s">
        <v>102</v>
      </c>
      <c r="B1553" s="32">
        <f t="shared" si="375"/>
        <v>2054</v>
      </c>
      <c r="C1553" s="33" t="s">
        <v>14</v>
      </c>
      <c r="D1553" s="34" t="s">
        <v>1999</v>
      </c>
      <c r="E1553" s="35" t="str">
        <f t="shared" si="373"/>
        <v>PSDP'!</v>
      </c>
      <c r="F1553" s="34" t="str">
        <f t="shared" si="374"/>
        <v>C:\Users\jaime.benazar\Quorum Business Solutions\Ecopetrol Prometeo - Documents\Planning Space Implementation\3. Analysis &amp; Design\Design\FC22\DRR Jaime\QUIFA-CAJÚA\Cajua\[CAJUA_CF_SEC_New_27-Feb-2024Rev3.xlsx]D-PSDP'!</v>
      </c>
      <c r="G1553" s="32" t="s">
        <v>113</v>
      </c>
      <c r="H1553" s="33"/>
      <c r="I1553" s="33"/>
      <c r="J1553" s="37"/>
    </row>
    <row r="1554" spans="1:10" x14ac:dyDescent="0.25">
      <c r="A1554" s="32" t="s">
        <v>102</v>
      </c>
      <c r="B1554" s="32">
        <f t="shared" si="375"/>
        <v>2055</v>
      </c>
      <c r="C1554" s="33" t="s">
        <v>14</v>
      </c>
      <c r="D1554" s="34" t="s">
        <v>1999</v>
      </c>
      <c r="E1554" s="35" t="str">
        <f t="shared" si="373"/>
        <v>PSDP'!</v>
      </c>
      <c r="F1554" s="34" t="str">
        <f t="shared" si="374"/>
        <v>C:\Users\jaime.benazar\Quorum Business Solutions\Ecopetrol Prometeo - Documents\Planning Space Implementation\3. Analysis &amp; Design\Design\FC22\DRR Jaime\QUIFA-CAJÚA\Cajua\[CAJUA_CF_SEC_New_27-Feb-2024Rev3.xlsx]D-PSDP'!</v>
      </c>
      <c r="G1554" s="32" t="s">
        <v>113</v>
      </c>
      <c r="H1554" s="33"/>
      <c r="I1554" s="33"/>
      <c r="J1554" s="37"/>
    </row>
    <row r="1555" spans="1:10" x14ac:dyDescent="0.25">
      <c r="A1555" s="32" t="s">
        <v>102</v>
      </c>
      <c r="B1555" s="32">
        <f t="shared" si="375"/>
        <v>2056</v>
      </c>
      <c r="C1555" s="33" t="s">
        <v>14</v>
      </c>
      <c r="D1555" s="34" t="s">
        <v>1999</v>
      </c>
      <c r="E1555" s="35" t="str">
        <f t="shared" si="373"/>
        <v>PSDP'!</v>
      </c>
      <c r="F1555" s="34" t="str">
        <f t="shared" si="374"/>
        <v>C:\Users\jaime.benazar\Quorum Business Solutions\Ecopetrol Prometeo - Documents\Planning Space Implementation\3. Analysis &amp; Design\Design\FC22\DRR Jaime\QUIFA-CAJÚA\Cajua\[CAJUA_CF_SEC_New_27-Feb-2024Rev3.xlsx]D-PSDP'!</v>
      </c>
      <c r="G1555" s="32" t="s">
        <v>113</v>
      </c>
      <c r="H1555" s="33"/>
      <c r="I1555" s="33"/>
      <c r="J1555" s="37"/>
    </row>
    <row r="1556" spans="1:10" x14ac:dyDescent="0.25">
      <c r="A1556" s="32" t="s">
        <v>102</v>
      </c>
      <c r="B1556" s="32">
        <f t="shared" si="375"/>
        <v>2057</v>
      </c>
      <c r="C1556" s="33" t="s">
        <v>14</v>
      </c>
      <c r="D1556" s="34" t="s">
        <v>1999</v>
      </c>
      <c r="E1556" s="35" t="str">
        <f t="shared" si="373"/>
        <v>PSDP'!</v>
      </c>
      <c r="F1556" s="34" t="str">
        <f t="shared" si="374"/>
        <v>C:\Users\jaime.benazar\Quorum Business Solutions\Ecopetrol Prometeo - Documents\Planning Space Implementation\3. Analysis &amp; Design\Design\FC22\DRR Jaime\QUIFA-CAJÚA\Cajua\[CAJUA_CF_SEC_New_27-Feb-2024Rev3.xlsx]D-PSDP'!</v>
      </c>
      <c r="G1556" s="32" t="s">
        <v>113</v>
      </c>
      <c r="H1556" s="33"/>
      <c r="I1556" s="33"/>
      <c r="J1556" s="37"/>
    </row>
    <row r="1557" spans="1:10" x14ac:dyDescent="0.25">
      <c r="A1557" s="32" t="s">
        <v>102</v>
      </c>
      <c r="B1557" s="32">
        <f t="shared" si="375"/>
        <v>2058</v>
      </c>
      <c r="C1557" s="33" t="s">
        <v>14</v>
      </c>
      <c r="D1557" s="34" t="s">
        <v>1999</v>
      </c>
      <c r="E1557" s="35" t="str">
        <f t="shared" si="373"/>
        <v>PSDP'!</v>
      </c>
      <c r="F1557" s="34" t="str">
        <f t="shared" si="374"/>
        <v>C:\Users\jaime.benazar\Quorum Business Solutions\Ecopetrol Prometeo - Documents\Planning Space Implementation\3. Analysis &amp; Design\Design\FC22\DRR Jaime\QUIFA-CAJÚA\Cajua\[CAJUA_CF_SEC_New_27-Feb-2024Rev3.xlsx]D-PSDP'!</v>
      </c>
      <c r="G1557" s="32" t="s">
        <v>113</v>
      </c>
      <c r="H1557" s="33"/>
      <c r="I1557" s="33"/>
      <c r="J1557" s="37"/>
    </row>
    <row r="1558" spans="1:10" x14ac:dyDescent="0.25">
      <c r="A1558" s="32" t="s">
        <v>102</v>
      </c>
      <c r="B1558" s="32">
        <f t="shared" si="375"/>
        <v>2059</v>
      </c>
      <c r="C1558" s="33" t="s">
        <v>14</v>
      </c>
      <c r="D1558" s="34" t="s">
        <v>1999</v>
      </c>
      <c r="E1558" s="35" t="str">
        <f t="shared" si="373"/>
        <v>PSDP'!</v>
      </c>
      <c r="F1558" s="34" t="str">
        <f t="shared" si="374"/>
        <v>C:\Users\jaime.benazar\Quorum Business Solutions\Ecopetrol Prometeo - Documents\Planning Space Implementation\3. Analysis &amp; Design\Design\FC22\DRR Jaime\QUIFA-CAJÚA\Cajua\[CAJUA_CF_SEC_New_27-Feb-2024Rev3.xlsx]D-PSDP'!</v>
      </c>
      <c r="G1558" s="32" t="s">
        <v>113</v>
      </c>
      <c r="H1558" s="33"/>
      <c r="I1558" s="33"/>
      <c r="J1558" s="37"/>
    </row>
    <row r="1559" spans="1:10" x14ac:dyDescent="0.25">
      <c r="A1559" s="32" t="s">
        <v>28</v>
      </c>
      <c r="B1559" s="32"/>
      <c r="C1559" s="33" t="s">
        <v>14</v>
      </c>
      <c r="D1559" s="34"/>
      <c r="E1559" s="35"/>
      <c r="F1559" s="34"/>
      <c r="G1559" s="32"/>
      <c r="H1559" s="33"/>
      <c r="I1559" s="33"/>
      <c r="J1559" s="33"/>
    </row>
    <row r="1560" spans="1:10" x14ac:dyDescent="0.25">
      <c r="A1560" s="32" t="s">
        <v>103</v>
      </c>
      <c r="B1560" s="32">
        <v>2023</v>
      </c>
      <c r="C1560" s="33" t="s">
        <v>14</v>
      </c>
      <c r="D1560" s="34" t="s">
        <v>1999</v>
      </c>
      <c r="E1560" s="35" t="str">
        <f t="shared" ref="E1560:E1580" si="376">_xlfn.CONCAT(A1560,"'!")</f>
        <v>PSNP'!</v>
      </c>
      <c r="F1560" s="34" t="str">
        <f t="shared" ref="F1560:F1580" si="377">_xlfn.CONCAT(D1560:E1560)</f>
        <v>C:\Users\jaime.benazar\Quorum Business Solutions\Ecopetrol Prometeo - Documents\Planning Space Implementation\3. Analysis &amp; Design\Design\FC22\DRR Jaime\QUIFA-CAJÚA\Cajua\[CAJUA_CF_SEC_New_27-Feb-2024Rev3.xlsx]D-PSNP'!</v>
      </c>
      <c r="G1560" s="32" t="s">
        <v>113</v>
      </c>
      <c r="H1560" s="33"/>
      <c r="I1560" s="33"/>
      <c r="J1560" s="37"/>
    </row>
    <row r="1561" spans="1:10" x14ac:dyDescent="0.25">
      <c r="A1561" s="32" t="s">
        <v>103</v>
      </c>
      <c r="B1561" s="32">
        <f>+B1560+1</f>
        <v>2024</v>
      </c>
      <c r="C1561" s="33" t="s">
        <v>14</v>
      </c>
      <c r="D1561" s="34" t="s">
        <v>1999</v>
      </c>
      <c r="E1561" s="35" t="str">
        <f t="shared" si="376"/>
        <v>PSNP'!</v>
      </c>
      <c r="F1561" s="34" t="str">
        <f t="shared" si="377"/>
        <v>C:\Users\jaime.benazar\Quorum Business Solutions\Ecopetrol Prometeo - Documents\Planning Space Implementation\3. Analysis &amp; Design\Design\FC22\DRR Jaime\QUIFA-CAJÚA\Cajua\[CAJUA_CF_SEC_New_27-Feb-2024Rev3.xlsx]D-PSNP'!</v>
      </c>
      <c r="G1561" s="32" t="s">
        <v>113</v>
      </c>
      <c r="H1561" s="33"/>
      <c r="I1561" s="33"/>
      <c r="J1561" s="37"/>
    </row>
    <row r="1562" spans="1:10" x14ac:dyDescent="0.25">
      <c r="A1562" s="32" t="s">
        <v>103</v>
      </c>
      <c r="B1562" s="32">
        <f t="shared" ref="B1562:B1573" si="378">+B1561+1</f>
        <v>2025</v>
      </c>
      <c r="C1562" s="33" t="s">
        <v>14</v>
      </c>
      <c r="D1562" s="34" t="s">
        <v>1999</v>
      </c>
      <c r="E1562" s="35" t="str">
        <f t="shared" si="376"/>
        <v>PSNP'!</v>
      </c>
      <c r="F1562" s="34" t="str">
        <f t="shared" si="377"/>
        <v>C:\Users\jaime.benazar\Quorum Business Solutions\Ecopetrol Prometeo - Documents\Planning Space Implementation\3. Analysis &amp; Design\Design\FC22\DRR Jaime\QUIFA-CAJÚA\Cajua\[CAJUA_CF_SEC_New_27-Feb-2024Rev3.xlsx]D-PSNP'!</v>
      </c>
      <c r="G1562" s="32" t="s">
        <v>113</v>
      </c>
      <c r="H1562" s="33"/>
      <c r="I1562" s="33"/>
      <c r="J1562" s="37"/>
    </row>
    <row r="1563" spans="1:10" x14ac:dyDescent="0.25">
      <c r="A1563" s="32" t="s">
        <v>103</v>
      </c>
      <c r="B1563" s="32">
        <f t="shared" si="378"/>
        <v>2026</v>
      </c>
      <c r="C1563" s="33" t="s">
        <v>14</v>
      </c>
      <c r="D1563" s="34" t="s">
        <v>1999</v>
      </c>
      <c r="E1563" s="35" t="str">
        <f t="shared" si="376"/>
        <v>PSNP'!</v>
      </c>
      <c r="F1563" s="34" t="str">
        <f t="shared" si="377"/>
        <v>C:\Users\jaime.benazar\Quorum Business Solutions\Ecopetrol Prometeo - Documents\Planning Space Implementation\3. Analysis &amp; Design\Design\FC22\DRR Jaime\QUIFA-CAJÚA\Cajua\[CAJUA_CF_SEC_New_27-Feb-2024Rev3.xlsx]D-PSNP'!</v>
      </c>
      <c r="G1563" s="32" t="s">
        <v>113</v>
      </c>
      <c r="H1563" s="33"/>
      <c r="I1563" s="33"/>
      <c r="J1563" s="37"/>
    </row>
    <row r="1564" spans="1:10" x14ac:dyDescent="0.25">
      <c r="A1564" s="32" t="s">
        <v>103</v>
      </c>
      <c r="B1564" s="32">
        <f t="shared" si="378"/>
        <v>2027</v>
      </c>
      <c r="C1564" s="33" t="s">
        <v>14</v>
      </c>
      <c r="D1564" s="34" t="s">
        <v>1999</v>
      </c>
      <c r="E1564" s="35" t="str">
        <f t="shared" si="376"/>
        <v>PSNP'!</v>
      </c>
      <c r="F1564" s="34" t="str">
        <f t="shared" si="377"/>
        <v>C:\Users\jaime.benazar\Quorum Business Solutions\Ecopetrol Prometeo - Documents\Planning Space Implementation\3. Analysis &amp; Design\Design\FC22\DRR Jaime\QUIFA-CAJÚA\Cajua\[CAJUA_CF_SEC_New_27-Feb-2024Rev3.xlsx]D-PSNP'!</v>
      </c>
      <c r="G1564" s="32" t="s">
        <v>113</v>
      </c>
      <c r="H1564" s="33"/>
      <c r="I1564" s="33"/>
      <c r="J1564" s="37"/>
    </row>
    <row r="1565" spans="1:10" x14ac:dyDescent="0.25">
      <c r="A1565" s="32" t="s">
        <v>103</v>
      </c>
      <c r="B1565" s="32">
        <f t="shared" si="378"/>
        <v>2028</v>
      </c>
      <c r="C1565" s="33" t="s">
        <v>14</v>
      </c>
      <c r="D1565" s="34" t="s">
        <v>1999</v>
      </c>
      <c r="E1565" s="35" t="str">
        <f t="shared" si="376"/>
        <v>PSNP'!</v>
      </c>
      <c r="F1565" s="34" t="str">
        <f t="shared" si="377"/>
        <v>C:\Users\jaime.benazar\Quorum Business Solutions\Ecopetrol Prometeo - Documents\Planning Space Implementation\3. Analysis &amp; Design\Design\FC22\DRR Jaime\QUIFA-CAJÚA\Cajua\[CAJUA_CF_SEC_New_27-Feb-2024Rev3.xlsx]D-PSNP'!</v>
      </c>
      <c r="G1565" s="32" t="s">
        <v>113</v>
      </c>
      <c r="H1565" s="33"/>
      <c r="I1565" s="33"/>
      <c r="J1565" s="37"/>
    </row>
    <row r="1566" spans="1:10" x14ac:dyDescent="0.25">
      <c r="A1566" s="32" t="s">
        <v>103</v>
      </c>
      <c r="B1566" s="32">
        <f t="shared" si="378"/>
        <v>2029</v>
      </c>
      <c r="C1566" s="33" t="s">
        <v>14</v>
      </c>
      <c r="D1566" s="34" t="s">
        <v>1999</v>
      </c>
      <c r="E1566" s="35" t="str">
        <f t="shared" si="376"/>
        <v>PSNP'!</v>
      </c>
      <c r="F1566" s="34" t="str">
        <f t="shared" si="377"/>
        <v>C:\Users\jaime.benazar\Quorum Business Solutions\Ecopetrol Prometeo - Documents\Planning Space Implementation\3. Analysis &amp; Design\Design\FC22\DRR Jaime\QUIFA-CAJÚA\Cajua\[CAJUA_CF_SEC_New_27-Feb-2024Rev3.xlsx]D-PSNP'!</v>
      </c>
      <c r="G1566" s="32" t="s">
        <v>113</v>
      </c>
      <c r="H1566" s="33"/>
      <c r="I1566" s="33"/>
      <c r="J1566" s="37"/>
    </row>
    <row r="1567" spans="1:10" x14ac:dyDescent="0.25">
      <c r="A1567" s="32" t="s">
        <v>103</v>
      </c>
      <c r="B1567" s="32">
        <f t="shared" si="378"/>
        <v>2030</v>
      </c>
      <c r="C1567" s="33" t="s">
        <v>14</v>
      </c>
      <c r="D1567" s="34" t="s">
        <v>1999</v>
      </c>
      <c r="E1567" s="35" t="str">
        <f t="shared" si="376"/>
        <v>PSNP'!</v>
      </c>
      <c r="F1567" s="34" t="str">
        <f t="shared" si="377"/>
        <v>C:\Users\jaime.benazar\Quorum Business Solutions\Ecopetrol Prometeo - Documents\Planning Space Implementation\3. Analysis &amp; Design\Design\FC22\DRR Jaime\QUIFA-CAJÚA\Cajua\[CAJUA_CF_SEC_New_27-Feb-2024Rev3.xlsx]D-PSNP'!</v>
      </c>
      <c r="G1567" s="32" t="s">
        <v>113</v>
      </c>
      <c r="H1567" s="33"/>
      <c r="I1567" s="33"/>
      <c r="J1567" s="37"/>
    </row>
    <row r="1568" spans="1:10" x14ac:dyDescent="0.25">
      <c r="A1568" s="32" t="s">
        <v>103</v>
      </c>
      <c r="B1568" s="32">
        <f t="shared" si="378"/>
        <v>2031</v>
      </c>
      <c r="C1568" s="33" t="s">
        <v>14</v>
      </c>
      <c r="D1568" s="34" t="s">
        <v>1999</v>
      </c>
      <c r="E1568" s="35" t="str">
        <f t="shared" si="376"/>
        <v>PSNP'!</v>
      </c>
      <c r="F1568" s="34" t="str">
        <f t="shared" si="377"/>
        <v>C:\Users\jaime.benazar\Quorum Business Solutions\Ecopetrol Prometeo - Documents\Planning Space Implementation\3. Analysis &amp; Design\Design\FC22\DRR Jaime\QUIFA-CAJÚA\Cajua\[CAJUA_CF_SEC_New_27-Feb-2024Rev3.xlsx]D-PSNP'!</v>
      </c>
      <c r="G1568" s="32" t="s">
        <v>113</v>
      </c>
      <c r="H1568" s="33"/>
      <c r="I1568" s="33"/>
      <c r="J1568" s="37"/>
    </row>
    <row r="1569" spans="1:10" x14ac:dyDescent="0.25">
      <c r="A1569" s="32" t="s">
        <v>103</v>
      </c>
      <c r="B1569" s="32">
        <f t="shared" si="378"/>
        <v>2032</v>
      </c>
      <c r="C1569" s="33" t="s">
        <v>14</v>
      </c>
      <c r="D1569" s="34" t="s">
        <v>1999</v>
      </c>
      <c r="E1569" s="35" t="str">
        <f t="shared" si="376"/>
        <v>PSNP'!</v>
      </c>
      <c r="F1569" s="34" t="str">
        <f t="shared" si="377"/>
        <v>C:\Users\jaime.benazar\Quorum Business Solutions\Ecopetrol Prometeo - Documents\Planning Space Implementation\3. Analysis &amp; Design\Design\FC22\DRR Jaime\QUIFA-CAJÚA\Cajua\[CAJUA_CF_SEC_New_27-Feb-2024Rev3.xlsx]D-PSNP'!</v>
      </c>
      <c r="G1569" s="32" t="s">
        <v>113</v>
      </c>
      <c r="H1569" s="33"/>
      <c r="I1569" s="33"/>
      <c r="J1569" s="37"/>
    </row>
    <row r="1570" spans="1:10" x14ac:dyDescent="0.25">
      <c r="A1570" s="32" t="s">
        <v>103</v>
      </c>
      <c r="B1570" s="32">
        <f t="shared" si="378"/>
        <v>2033</v>
      </c>
      <c r="C1570" s="33" t="s">
        <v>14</v>
      </c>
      <c r="D1570" s="34" t="s">
        <v>1999</v>
      </c>
      <c r="E1570" s="35" t="str">
        <f t="shared" si="376"/>
        <v>PSNP'!</v>
      </c>
      <c r="F1570" s="34" t="str">
        <f t="shared" si="377"/>
        <v>C:\Users\jaime.benazar\Quorum Business Solutions\Ecopetrol Prometeo - Documents\Planning Space Implementation\3. Analysis &amp; Design\Design\FC22\DRR Jaime\QUIFA-CAJÚA\Cajua\[CAJUA_CF_SEC_New_27-Feb-2024Rev3.xlsx]D-PSNP'!</v>
      </c>
      <c r="G1570" s="32" t="s">
        <v>113</v>
      </c>
      <c r="H1570" s="33"/>
      <c r="I1570" s="33"/>
      <c r="J1570" s="37"/>
    </row>
    <row r="1571" spans="1:10" x14ac:dyDescent="0.25">
      <c r="A1571" s="32" t="s">
        <v>103</v>
      </c>
      <c r="B1571" s="32">
        <f t="shared" si="378"/>
        <v>2034</v>
      </c>
      <c r="C1571" s="33" t="s">
        <v>14</v>
      </c>
      <c r="D1571" s="34" t="s">
        <v>1999</v>
      </c>
      <c r="E1571" s="35" t="str">
        <f t="shared" si="376"/>
        <v>PSNP'!</v>
      </c>
      <c r="F1571" s="34" t="str">
        <f t="shared" si="377"/>
        <v>C:\Users\jaime.benazar\Quorum Business Solutions\Ecopetrol Prometeo - Documents\Planning Space Implementation\3. Analysis &amp; Design\Design\FC22\DRR Jaime\QUIFA-CAJÚA\Cajua\[CAJUA_CF_SEC_New_27-Feb-2024Rev3.xlsx]D-PSNP'!</v>
      </c>
      <c r="G1571" s="32" t="s">
        <v>113</v>
      </c>
      <c r="H1571" s="33"/>
      <c r="I1571" s="33"/>
      <c r="J1571" s="37"/>
    </row>
    <row r="1572" spans="1:10" x14ac:dyDescent="0.25">
      <c r="A1572" s="32" t="s">
        <v>103</v>
      </c>
      <c r="B1572" s="32">
        <f t="shared" si="378"/>
        <v>2035</v>
      </c>
      <c r="C1572" s="33" t="s">
        <v>14</v>
      </c>
      <c r="D1572" s="34" t="s">
        <v>1999</v>
      </c>
      <c r="E1572" s="35" t="str">
        <f t="shared" si="376"/>
        <v>PSNP'!</v>
      </c>
      <c r="F1572" s="34" t="str">
        <f t="shared" si="377"/>
        <v>C:\Users\jaime.benazar\Quorum Business Solutions\Ecopetrol Prometeo - Documents\Planning Space Implementation\3. Analysis &amp; Design\Design\FC22\DRR Jaime\QUIFA-CAJÚA\Cajua\[CAJUA_CF_SEC_New_27-Feb-2024Rev3.xlsx]D-PSNP'!</v>
      </c>
      <c r="G1572" s="32" t="s">
        <v>113</v>
      </c>
      <c r="H1572" s="33"/>
      <c r="I1572" s="33"/>
      <c r="J1572" s="37"/>
    </row>
    <row r="1573" spans="1:10" x14ac:dyDescent="0.25">
      <c r="A1573" s="32" t="s">
        <v>103</v>
      </c>
      <c r="B1573" s="32">
        <f t="shared" si="378"/>
        <v>2036</v>
      </c>
      <c r="C1573" s="33" t="s">
        <v>14</v>
      </c>
      <c r="D1573" s="34" t="s">
        <v>1999</v>
      </c>
      <c r="E1573" s="35" t="str">
        <f t="shared" si="376"/>
        <v>PSNP'!</v>
      </c>
      <c r="F1573" s="34" t="str">
        <f t="shared" si="377"/>
        <v>C:\Users\jaime.benazar\Quorum Business Solutions\Ecopetrol Prometeo - Documents\Planning Space Implementation\3. Analysis &amp; Design\Design\FC22\DRR Jaime\QUIFA-CAJÚA\Cajua\[CAJUA_CF_SEC_New_27-Feb-2024Rev3.xlsx]D-PSNP'!</v>
      </c>
      <c r="G1573" s="32" t="s">
        <v>113</v>
      </c>
      <c r="H1573" s="33"/>
      <c r="I1573" s="33"/>
      <c r="J1573" s="37"/>
    </row>
    <row r="1574" spans="1:10" x14ac:dyDescent="0.25">
      <c r="A1574" s="32" t="s">
        <v>103</v>
      </c>
      <c r="B1574" s="32">
        <f>+B1573+1</f>
        <v>2037</v>
      </c>
      <c r="C1574" s="33" t="s">
        <v>14</v>
      </c>
      <c r="D1574" s="34" t="s">
        <v>1999</v>
      </c>
      <c r="E1574" s="35" t="str">
        <f t="shared" si="376"/>
        <v>PSNP'!</v>
      </c>
      <c r="F1574" s="34" t="str">
        <f t="shared" si="377"/>
        <v>C:\Users\jaime.benazar\Quorum Business Solutions\Ecopetrol Prometeo - Documents\Planning Space Implementation\3. Analysis &amp; Design\Design\FC22\DRR Jaime\QUIFA-CAJÚA\Cajua\[CAJUA_CF_SEC_New_27-Feb-2024Rev3.xlsx]D-PSNP'!</v>
      </c>
      <c r="G1574" s="32" t="s">
        <v>113</v>
      </c>
      <c r="H1574" s="33"/>
      <c r="I1574" s="33"/>
      <c r="J1574" s="37"/>
    </row>
    <row r="1575" spans="1:10" x14ac:dyDescent="0.25">
      <c r="A1575" s="32" t="s">
        <v>103</v>
      </c>
      <c r="B1575" s="32">
        <f t="shared" ref="B1575:B1577" si="379">+B1574+1</f>
        <v>2038</v>
      </c>
      <c r="C1575" s="33" t="s">
        <v>14</v>
      </c>
      <c r="D1575" s="34" t="s">
        <v>1999</v>
      </c>
      <c r="E1575" s="35" t="str">
        <f t="shared" si="376"/>
        <v>PSNP'!</v>
      </c>
      <c r="F1575" s="34" t="str">
        <f t="shared" si="377"/>
        <v>C:\Users\jaime.benazar\Quorum Business Solutions\Ecopetrol Prometeo - Documents\Planning Space Implementation\3. Analysis &amp; Design\Design\FC22\DRR Jaime\QUIFA-CAJÚA\Cajua\[CAJUA_CF_SEC_New_27-Feb-2024Rev3.xlsx]D-PSNP'!</v>
      </c>
      <c r="G1575" s="32" t="s">
        <v>113</v>
      </c>
      <c r="H1575" s="33"/>
      <c r="I1575" s="33"/>
      <c r="J1575" s="37"/>
    </row>
    <row r="1576" spans="1:10" x14ac:dyDescent="0.25">
      <c r="A1576" s="32" t="s">
        <v>103</v>
      </c>
      <c r="B1576" s="32">
        <f t="shared" si="379"/>
        <v>2039</v>
      </c>
      <c r="C1576" s="33" t="s">
        <v>14</v>
      </c>
      <c r="D1576" s="34" t="s">
        <v>1999</v>
      </c>
      <c r="E1576" s="35" t="str">
        <f t="shared" si="376"/>
        <v>PSNP'!</v>
      </c>
      <c r="F1576" s="34" t="str">
        <f t="shared" si="377"/>
        <v>C:\Users\jaime.benazar\Quorum Business Solutions\Ecopetrol Prometeo - Documents\Planning Space Implementation\3. Analysis &amp; Design\Design\FC22\DRR Jaime\QUIFA-CAJÚA\Cajua\[CAJUA_CF_SEC_New_27-Feb-2024Rev3.xlsx]D-PSNP'!</v>
      </c>
      <c r="G1576" s="32" t="s">
        <v>113</v>
      </c>
      <c r="H1576" s="33"/>
      <c r="I1576" s="33"/>
      <c r="J1576" s="37"/>
    </row>
    <row r="1577" spans="1:10" x14ac:dyDescent="0.25">
      <c r="A1577" s="32" t="s">
        <v>103</v>
      </c>
      <c r="B1577" s="32">
        <f t="shared" si="379"/>
        <v>2040</v>
      </c>
      <c r="C1577" s="33" t="s">
        <v>14</v>
      </c>
      <c r="D1577" s="34" t="s">
        <v>1999</v>
      </c>
      <c r="E1577" s="35" t="str">
        <f t="shared" si="376"/>
        <v>PSNP'!</v>
      </c>
      <c r="F1577" s="34" t="str">
        <f t="shared" si="377"/>
        <v>C:\Users\jaime.benazar\Quorum Business Solutions\Ecopetrol Prometeo - Documents\Planning Space Implementation\3. Analysis &amp; Design\Design\FC22\DRR Jaime\QUIFA-CAJÚA\Cajua\[CAJUA_CF_SEC_New_27-Feb-2024Rev3.xlsx]D-PSNP'!</v>
      </c>
      <c r="G1577" s="32" t="s">
        <v>113</v>
      </c>
      <c r="H1577" s="33"/>
      <c r="I1577" s="33"/>
      <c r="J1577" s="37"/>
    </row>
    <row r="1578" spans="1:10" x14ac:dyDescent="0.25">
      <c r="A1578" s="32" t="s">
        <v>103</v>
      </c>
      <c r="B1578" s="32">
        <f>+B1577+1</f>
        <v>2041</v>
      </c>
      <c r="C1578" s="33" t="s">
        <v>14</v>
      </c>
      <c r="D1578" s="34" t="s">
        <v>1999</v>
      </c>
      <c r="E1578" s="35" t="str">
        <f t="shared" si="376"/>
        <v>PSNP'!</v>
      </c>
      <c r="F1578" s="34" t="str">
        <f t="shared" si="377"/>
        <v>C:\Users\jaime.benazar\Quorum Business Solutions\Ecopetrol Prometeo - Documents\Planning Space Implementation\3. Analysis &amp; Design\Design\FC22\DRR Jaime\QUIFA-CAJÚA\Cajua\[CAJUA_CF_SEC_New_27-Feb-2024Rev3.xlsx]D-PSNP'!</v>
      </c>
      <c r="G1578" s="32" t="s">
        <v>113</v>
      </c>
      <c r="H1578" s="33"/>
      <c r="I1578" s="33"/>
      <c r="J1578" s="37"/>
    </row>
    <row r="1579" spans="1:10" x14ac:dyDescent="0.25">
      <c r="A1579" s="32" t="s">
        <v>103</v>
      </c>
      <c r="B1579" s="32">
        <f t="shared" ref="B1579:B1580" si="380">+B1578+1</f>
        <v>2042</v>
      </c>
      <c r="C1579" s="33" t="s">
        <v>14</v>
      </c>
      <c r="D1579" s="34" t="s">
        <v>1999</v>
      </c>
      <c r="E1579" s="35" t="str">
        <f t="shared" si="376"/>
        <v>PSNP'!</v>
      </c>
      <c r="F1579" s="34" t="str">
        <f t="shared" si="377"/>
        <v>C:\Users\jaime.benazar\Quorum Business Solutions\Ecopetrol Prometeo - Documents\Planning Space Implementation\3. Analysis &amp; Design\Design\FC22\DRR Jaime\QUIFA-CAJÚA\Cajua\[CAJUA_CF_SEC_New_27-Feb-2024Rev3.xlsx]D-PSNP'!</v>
      </c>
      <c r="G1579" s="32" t="s">
        <v>113</v>
      </c>
      <c r="H1579" s="33"/>
      <c r="I1579" s="33"/>
      <c r="J1579" s="37"/>
    </row>
    <row r="1580" spans="1:10" x14ac:dyDescent="0.25">
      <c r="A1580" s="32" t="s">
        <v>103</v>
      </c>
      <c r="B1580" s="32">
        <f t="shared" si="380"/>
        <v>2043</v>
      </c>
      <c r="C1580" s="33" t="s">
        <v>14</v>
      </c>
      <c r="D1580" s="34" t="s">
        <v>1999</v>
      </c>
      <c r="E1580" s="35" t="str">
        <f t="shared" si="376"/>
        <v>PSNP'!</v>
      </c>
      <c r="F1580" s="34" t="str">
        <f t="shared" si="377"/>
        <v>C:\Users\jaime.benazar\Quorum Business Solutions\Ecopetrol Prometeo - Documents\Planning Space Implementation\3. Analysis &amp; Design\Design\FC22\DRR Jaime\QUIFA-CAJÚA\Cajua\[CAJUA_CF_SEC_New_27-Feb-2024Rev3.xlsx]D-PSNP'!</v>
      </c>
      <c r="G1580" s="32" t="s">
        <v>113</v>
      </c>
      <c r="H1580" s="33"/>
      <c r="I1580" s="33"/>
      <c r="J1580" s="37"/>
    </row>
    <row r="1581" spans="1:10" x14ac:dyDescent="0.25">
      <c r="A1581" s="32" t="s">
        <v>103</v>
      </c>
      <c r="B1581" s="32">
        <f>+B1580+1</f>
        <v>2044</v>
      </c>
      <c r="C1581" s="33" t="s">
        <v>14</v>
      </c>
      <c r="D1581" s="34" t="s">
        <v>1999</v>
      </c>
      <c r="E1581" s="35" t="str">
        <f t="shared" ref="E1581:E1596" si="381">_xlfn.CONCAT(A1581,"'!")</f>
        <v>PSNP'!</v>
      </c>
      <c r="F1581" s="34" t="str">
        <f t="shared" ref="F1581:F1596" si="382">_xlfn.CONCAT(D1581:E1581)</f>
        <v>C:\Users\jaime.benazar\Quorum Business Solutions\Ecopetrol Prometeo - Documents\Planning Space Implementation\3. Analysis &amp; Design\Design\FC22\DRR Jaime\QUIFA-CAJÚA\Cajua\[CAJUA_CF_SEC_New_27-Feb-2024Rev3.xlsx]D-PSNP'!</v>
      </c>
      <c r="G1581" s="32" t="s">
        <v>113</v>
      </c>
      <c r="H1581" s="33"/>
      <c r="I1581" s="33"/>
      <c r="J1581" s="37"/>
    </row>
    <row r="1582" spans="1:10" x14ac:dyDescent="0.25">
      <c r="A1582" s="32" t="s">
        <v>103</v>
      </c>
      <c r="B1582" s="32">
        <f t="shared" ref="B1582:B1596" si="383">+B1581+1</f>
        <v>2045</v>
      </c>
      <c r="C1582" s="33" t="s">
        <v>14</v>
      </c>
      <c r="D1582" s="34" t="s">
        <v>1999</v>
      </c>
      <c r="E1582" s="35" t="str">
        <f t="shared" si="381"/>
        <v>PSNP'!</v>
      </c>
      <c r="F1582" s="34" t="str">
        <f t="shared" si="382"/>
        <v>C:\Users\jaime.benazar\Quorum Business Solutions\Ecopetrol Prometeo - Documents\Planning Space Implementation\3. Analysis &amp; Design\Design\FC22\DRR Jaime\QUIFA-CAJÚA\Cajua\[CAJUA_CF_SEC_New_27-Feb-2024Rev3.xlsx]D-PSNP'!</v>
      </c>
      <c r="G1582" s="32" t="s">
        <v>113</v>
      </c>
      <c r="H1582" s="33"/>
      <c r="I1582" s="33"/>
      <c r="J1582" s="37"/>
    </row>
    <row r="1583" spans="1:10" x14ac:dyDescent="0.25">
      <c r="A1583" s="32" t="s">
        <v>103</v>
      </c>
      <c r="B1583" s="32">
        <f t="shared" si="383"/>
        <v>2046</v>
      </c>
      <c r="C1583" s="33" t="s">
        <v>14</v>
      </c>
      <c r="D1583" s="34" t="s">
        <v>1999</v>
      </c>
      <c r="E1583" s="35" t="str">
        <f t="shared" si="381"/>
        <v>PSNP'!</v>
      </c>
      <c r="F1583" s="34" t="str">
        <f t="shared" si="382"/>
        <v>C:\Users\jaime.benazar\Quorum Business Solutions\Ecopetrol Prometeo - Documents\Planning Space Implementation\3. Analysis &amp; Design\Design\FC22\DRR Jaime\QUIFA-CAJÚA\Cajua\[CAJUA_CF_SEC_New_27-Feb-2024Rev3.xlsx]D-PSNP'!</v>
      </c>
      <c r="G1583" s="32" t="s">
        <v>113</v>
      </c>
      <c r="H1583" s="33"/>
      <c r="I1583" s="33"/>
      <c r="J1583" s="37"/>
    </row>
    <row r="1584" spans="1:10" x14ac:dyDescent="0.25">
      <c r="A1584" s="32" t="s">
        <v>103</v>
      </c>
      <c r="B1584" s="32">
        <f t="shared" si="383"/>
        <v>2047</v>
      </c>
      <c r="C1584" s="33" t="s">
        <v>14</v>
      </c>
      <c r="D1584" s="34" t="s">
        <v>1999</v>
      </c>
      <c r="E1584" s="35" t="str">
        <f t="shared" si="381"/>
        <v>PSNP'!</v>
      </c>
      <c r="F1584" s="34" t="str">
        <f t="shared" si="382"/>
        <v>C:\Users\jaime.benazar\Quorum Business Solutions\Ecopetrol Prometeo - Documents\Planning Space Implementation\3. Analysis &amp; Design\Design\FC22\DRR Jaime\QUIFA-CAJÚA\Cajua\[CAJUA_CF_SEC_New_27-Feb-2024Rev3.xlsx]D-PSNP'!</v>
      </c>
      <c r="G1584" s="32" t="s">
        <v>113</v>
      </c>
      <c r="H1584" s="33"/>
      <c r="I1584" s="33"/>
      <c r="J1584" s="37"/>
    </row>
    <row r="1585" spans="1:10" x14ac:dyDescent="0.25">
      <c r="A1585" s="32" t="s">
        <v>103</v>
      </c>
      <c r="B1585" s="32">
        <f t="shared" si="383"/>
        <v>2048</v>
      </c>
      <c r="C1585" s="33" t="s">
        <v>14</v>
      </c>
      <c r="D1585" s="34" t="s">
        <v>1999</v>
      </c>
      <c r="E1585" s="35" t="str">
        <f t="shared" si="381"/>
        <v>PSNP'!</v>
      </c>
      <c r="F1585" s="34" t="str">
        <f t="shared" si="382"/>
        <v>C:\Users\jaime.benazar\Quorum Business Solutions\Ecopetrol Prometeo - Documents\Planning Space Implementation\3. Analysis &amp; Design\Design\FC22\DRR Jaime\QUIFA-CAJÚA\Cajua\[CAJUA_CF_SEC_New_27-Feb-2024Rev3.xlsx]D-PSNP'!</v>
      </c>
      <c r="G1585" s="32" t="s">
        <v>113</v>
      </c>
      <c r="H1585" s="33"/>
      <c r="I1585" s="33"/>
      <c r="J1585" s="37"/>
    </row>
    <row r="1586" spans="1:10" x14ac:dyDescent="0.25">
      <c r="A1586" s="32" t="s">
        <v>103</v>
      </c>
      <c r="B1586" s="32">
        <f t="shared" si="383"/>
        <v>2049</v>
      </c>
      <c r="C1586" s="33" t="s">
        <v>14</v>
      </c>
      <c r="D1586" s="34" t="s">
        <v>1999</v>
      </c>
      <c r="E1586" s="35" t="str">
        <f t="shared" si="381"/>
        <v>PSNP'!</v>
      </c>
      <c r="F1586" s="34" t="str">
        <f t="shared" si="382"/>
        <v>C:\Users\jaime.benazar\Quorum Business Solutions\Ecopetrol Prometeo - Documents\Planning Space Implementation\3. Analysis &amp; Design\Design\FC22\DRR Jaime\QUIFA-CAJÚA\Cajua\[CAJUA_CF_SEC_New_27-Feb-2024Rev3.xlsx]D-PSNP'!</v>
      </c>
      <c r="G1586" s="32" t="s">
        <v>113</v>
      </c>
      <c r="H1586" s="33"/>
      <c r="I1586" s="33"/>
      <c r="J1586" s="37"/>
    </row>
    <row r="1587" spans="1:10" x14ac:dyDescent="0.25">
      <c r="A1587" s="32" t="s">
        <v>103</v>
      </c>
      <c r="B1587" s="32">
        <f t="shared" si="383"/>
        <v>2050</v>
      </c>
      <c r="C1587" s="33" t="s">
        <v>14</v>
      </c>
      <c r="D1587" s="34" t="s">
        <v>1999</v>
      </c>
      <c r="E1587" s="35" t="str">
        <f t="shared" si="381"/>
        <v>PSNP'!</v>
      </c>
      <c r="F1587" s="34" t="str">
        <f t="shared" si="382"/>
        <v>C:\Users\jaime.benazar\Quorum Business Solutions\Ecopetrol Prometeo - Documents\Planning Space Implementation\3. Analysis &amp; Design\Design\FC22\DRR Jaime\QUIFA-CAJÚA\Cajua\[CAJUA_CF_SEC_New_27-Feb-2024Rev3.xlsx]D-PSNP'!</v>
      </c>
      <c r="G1587" s="32" t="s">
        <v>113</v>
      </c>
      <c r="H1587" s="33"/>
      <c r="I1587" s="33"/>
      <c r="J1587" s="37"/>
    </row>
    <row r="1588" spans="1:10" x14ac:dyDescent="0.25">
      <c r="A1588" s="32" t="s">
        <v>103</v>
      </c>
      <c r="B1588" s="32">
        <f t="shared" si="383"/>
        <v>2051</v>
      </c>
      <c r="C1588" s="33" t="s">
        <v>14</v>
      </c>
      <c r="D1588" s="34" t="s">
        <v>1999</v>
      </c>
      <c r="E1588" s="35" t="str">
        <f t="shared" si="381"/>
        <v>PSNP'!</v>
      </c>
      <c r="F1588" s="34" t="str">
        <f t="shared" si="382"/>
        <v>C:\Users\jaime.benazar\Quorum Business Solutions\Ecopetrol Prometeo - Documents\Planning Space Implementation\3. Analysis &amp; Design\Design\FC22\DRR Jaime\QUIFA-CAJÚA\Cajua\[CAJUA_CF_SEC_New_27-Feb-2024Rev3.xlsx]D-PSNP'!</v>
      </c>
      <c r="G1588" s="32" t="s">
        <v>113</v>
      </c>
      <c r="H1588" s="33"/>
      <c r="I1588" s="33"/>
      <c r="J1588" s="37"/>
    </row>
    <row r="1589" spans="1:10" x14ac:dyDescent="0.25">
      <c r="A1589" s="32" t="s">
        <v>103</v>
      </c>
      <c r="B1589" s="32">
        <f t="shared" si="383"/>
        <v>2052</v>
      </c>
      <c r="C1589" s="33" t="s">
        <v>14</v>
      </c>
      <c r="D1589" s="34" t="s">
        <v>1999</v>
      </c>
      <c r="E1589" s="35" t="str">
        <f t="shared" si="381"/>
        <v>PSNP'!</v>
      </c>
      <c r="F1589" s="34" t="str">
        <f t="shared" si="382"/>
        <v>C:\Users\jaime.benazar\Quorum Business Solutions\Ecopetrol Prometeo - Documents\Planning Space Implementation\3. Analysis &amp; Design\Design\FC22\DRR Jaime\QUIFA-CAJÚA\Cajua\[CAJUA_CF_SEC_New_27-Feb-2024Rev3.xlsx]D-PSNP'!</v>
      </c>
      <c r="G1589" s="32" t="s">
        <v>113</v>
      </c>
      <c r="H1589" s="33"/>
      <c r="I1589" s="33"/>
      <c r="J1589" s="37"/>
    </row>
    <row r="1590" spans="1:10" x14ac:dyDescent="0.25">
      <c r="A1590" s="32" t="s">
        <v>103</v>
      </c>
      <c r="B1590" s="32">
        <f t="shared" si="383"/>
        <v>2053</v>
      </c>
      <c r="C1590" s="33" t="s">
        <v>14</v>
      </c>
      <c r="D1590" s="34" t="s">
        <v>1999</v>
      </c>
      <c r="E1590" s="35" t="str">
        <f t="shared" si="381"/>
        <v>PSNP'!</v>
      </c>
      <c r="F1590" s="34" t="str">
        <f t="shared" si="382"/>
        <v>C:\Users\jaime.benazar\Quorum Business Solutions\Ecopetrol Prometeo - Documents\Planning Space Implementation\3. Analysis &amp; Design\Design\FC22\DRR Jaime\QUIFA-CAJÚA\Cajua\[CAJUA_CF_SEC_New_27-Feb-2024Rev3.xlsx]D-PSNP'!</v>
      </c>
      <c r="G1590" s="32" t="s">
        <v>113</v>
      </c>
      <c r="H1590" s="33"/>
      <c r="I1590" s="33"/>
      <c r="J1590" s="37"/>
    </row>
    <row r="1591" spans="1:10" x14ac:dyDescent="0.25">
      <c r="A1591" s="32" t="s">
        <v>103</v>
      </c>
      <c r="B1591" s="32">
        <f t="shared" si="383"/>
        <v>2054</v>
      </c>
      <c r="C1591" s="33" t="s">
        <v>14</v>
      </c>
      <c r="D1591" s="34" t="s">
        <v>1999</v>
      </c>
      <c r="E1591" s="35" t="str">
        <f t="shared" si="381"/>
        <v>PSNP'!</v>
      </c>
      <c r="F1591" s="34" t="str">
        <f t="shared" si="382"/>
        <v>C:\Users\jaime.benazar\Quorum Business Solutions\Ecopetrol Prometeo - Documents\Planning Space Implementation\3. Analysis &amp; Design\Design\FC22\DRR Jaime\QUIFA-CAJÚA\Cajua\[CAJUA_CF_SEC_New_27-Feb-2024Rev3.xlsx]D-PSNP'!</v>
      </c>
      <c r="G1591" s="32" t="s">
        <v>113</v>
      </c>
      <c r="H1591" s="33"/>
      <c r="I1591" s="33"/>
      <c r="J1591" s="37"/>
    </row>
    <row r="1592" spans="1:10" x14ac:dyDescent="0.25">
      <c r="A1592" s="32" t="s">
        <v>103</v>
      </c>
      <c r="B1592" s="32">
        <f t="shared" si="383"/>
        <v>2055</v>
      </c>
      <c r="C1592" s="33" t="s">
        <v>14</v>
      </c>
      <c r="D1592" s="34" t="s">
        <v>1999</v>
      </c>
      <c r="E1592" s="35" t="str">
        <f t="shared" si="381"/>
        <v>PSNP'!</v>
      </c>
      <c r="F1592" s="34" t="str">
        <f t="shared" si="382"/>
        <v>C:\Users\jaime.benazar\Quorum Business Solutions\Ecopetrol Prometeo - Documents\Planning Space Implementation\3. Analysis &amp; Design\Design\FC22\DRR Jaime\QUIFA-CAJÚA\Cajua\[CAJUA_CF_SEC_New_27-Feb-2024Rev3.xlsx]D-PSNP'!</v>
      </c>
      <c r="G1592" s="32" t="s">
        <v>113</v>
      </c>
      <c r="H1592" s="33"/>
      <c r="I1592" s="33"/>
      <c r="J1592" s="37"/>
    </row>
    <row r="1593" spans="1:10" x14ac:dyDescent="0.25">
      <c r="A1593" s="32" t="s">
        <v>103</v>
      </c>
      <c r="B1593" s="32">
        <f t="shared" si="383"/>
        <v>2056</v>
      </c>
      <c r="C1593" s="33" t="s">
        <v>14</v>
      </c>
      <c r="D1593" s="34" t="s">
        <v>1999</v>
      </c>
      <c r="E1593" s="35" t="str">
        <f t="shared" si="381"/>
        <v>PSNP'!</v>
      </c>
      <c r="F1593" s="34" t="str">
        <f t="shared" si="382"/>
        <v>C:\Users\jaime.benazar\Quorum Business Solutions\Ecopetrol Prometeo - Documents\Planning Space Implementation\3. Analysis &amp; Design\Design\FC22\DRR Jaime\QUIFA-CAJÚA\Cajua\[CAJUA_CF_SEC_New_27-Feb-2024Rev3.xlsx]D-PSNP'!</v>
      </c>
      <c r="G1593" s="32" t="s">
        <v>113</v>
      </c>
      <c r="H1593" s="33"/>
      <c r="I1593" s="33"/>
      <c r="J1593" s="37"/>
    </row>
    <row r="1594" spans="1:10" x14ac:dyDescent="0.25">
      <c r="A1594" s="32" t="s">
        <v>103</v>
      </c>
      <c r="B1594" s="32">
        <f t="shared" si="383"/>
        <v>2057</v>
      </c>
      <c r="C1594" s="33" t="s">
        <v>14</v>
      </c>
      <c r="D1594" s="34" t="s">
        <v>1999</v>
      </c>
      <c r="E1594" s="35" t="str">
        <f t="shared" si="381"/>
        <v>PSNP'!</v>
      </c>
      <c r="F1594" s="34" t="str">
        <f t="shared" si="382"/>
        <v>C:\Users\jaime.benazar\Quorum Business Solutions\Ecopetrol Prometeo - Documents\Planning Space Implementation\3. Analysis &amp; Design\Design\FC22\DRR Jaime\QUIFA-CAJÚA\Cajua\[CAJUA_CF_SEC_New_27-Feb-2024Rev3.xlsx]D-PSNP'!</v>
      </c>
      <c r="G1594" s="32" t="s">
        <v>113</v>
      </c>
      <c r="H1594" s="33"/>
      <c r="I1594" s="33"/>
      <c r="J1594" s="37"/>
    </row>
    <row r="1595" spans="1:10" x14ac:dyDescent="0.25">
      <c r="A1595" s="32" t="s">
        <v>103</v>
      </c>
      <c r="B1595" s="32">
        <f t="shared" si="383"/>
        <v>2058</v>
      </c>
      <c r="C1595" s="33" t="s">
        <v>14</v>
      </c>
      <c r="D1595" s="34" t="s">
        <v>1999</v>
      </c>
      <c r="E1595" s="35" t="str">
        <f t="shared" si="381"/>
        <v>PSNP'!</v>
      </c>
      <c r="F1595" s="34" t="str">
        <f t="shared" si="382"/>
        <v>C:\Users\jaime.benazar\Quorum Business Solutions\Ecopetrol Prometeo - Documents\Planning Space Implementation\3. Analysis &amp; Design\Design\FC22\DRR Jaime\QUIFA-CAJÚA\Cajua\[CAJUA_CF_SEC_New_27-Feb-2024Rev3.xlsx]D-PSNP'!</v>
      </c>
      <c r="G1595" s="32" t="s">
        <v>113</v>
      </c>
      <c r="H1595" s="33"/>
      <c r="I1595" s="33"/>
      <c r="J1595" s="37"/>
    </row>
    <row r="1596" spans="1:10" x14ac:dyDescent="0.25">
      <c r="A1596" s="32" t="s">
        <v>103</v>
      </c>
      <c r="B1596" s="32">
        <f t="shared" si="383"/>
        <v>2059</v>
      </c>
      <c r="C1596" s="33" t="s">
        <v>14</v>
      </c>
      <c r="D1596" s="34" t="s">
        <v>1999</v>
      </c>
      <c r="E1596" s="35" t="str">
        <f t="shared" si="381"/>
        <v>PSNP'!</v>
      </c>
      <c r="F1596" s="34" t="str">
        <f t="shared" si="382"/>
        <v>C:\Users\jaime.benazar\Quorum Business Solutions\Ecopetrol Prometeo - Documents\Planning Space Implementation\3. Analysis &amp; Design\Design\FC22\DRR Jaime\QUIFA-CAJÚA\Cajua\[CAJUA_CF_SEC_New_27-Feb-2024Rev3.xlsx]D-PSNP'!</v>
      </c>
      <c r="G1596" s="32" t="s">
        <v>113</v>
      </c>
      <c r="H1596" s="33"/>
      <c r="I1596" s="33"/>
      <c r="J1596" s="37"/>
    </row>
    <row r="1597" spans="1:10" x14ac:dyDescent="0.25">
      <c r="A1597" s="32" t="s">
        <v>28</v>
      </c>
      <c r="B1597" s="32"/>
      <c r="C1597" s="33" t="s">
        <v>14</v>
      </c>
      <c r="D1597" s="34"/>
      <c r="E1597" s="35"/>
      <c r="F1597" s="34"/>
      <c r="G1597" s="32"/>
      <c r="H1597" s="33"/>
      <c r="I1597" s="33"/>
      <c r="J1597" s="33"/>
    </row>
    <row r="1598" spans="1:10" x14ac:dyDescent="0.25">
      <c r="A1598" s="32" t="s">
        <v>104</v>
      </c>
      <c r="B1598" s="32">
        <v>2023</v>
      </c>
      <c r="C1598" s="33" t="s">
        <v>14</v>
      </c>
      <c r="D1598" s="34" t="s">
        <v>1999</v>
      </c>
      <c r="E1598" s="35" t="str">
        <f t="shared" ref="E1598:E1618" si="384">_xlfn.CONCAT(A1598,"'!")</f>
        <v>PSND'!</v>
      </c>
      <c r="F1598" s="34" t="str">
        <f t="shared" ref="F1598:F1618" si="385">_xlfn.CONCAT(D1598:E1598)</f>
        <v>C:\Users\jaime.benazar\Quorum Business Solutions\Ecopetrol Prometeo - Documents\Planning Space Implementation\3. Analysis &amp; Design\Design\FC22\DRR Jaime\QUIFA-CAJÚA\Cajua\[CAJUA_CF_SEC_New_27-Feb-2024Rev3.xlsx]D-PSND'!</v>
      </c>
      <c r="G1598" s="32" t="s">
        <v>113</v>
      </c>
      <c r="H1598" s="33"/>
      <c r="I1598" s="33"/>
      <c r="J1598" s="37"/>
    </row>
    <row r="1599" spans="1:10" x14ac:dyDescent="0.25">
      <c r="A1599" s="32" t="s">
        <v>104</v>
      </c>
      <c r="B1599" s="32">
        <f>+B1598+1</f>
        <v>2024</v>
      </c>
      <c r="C1599" s="33" t="s">
        <v>14</v>
      </c>
      <c r="D1599" s="34" t="s">
        <v>1999</v>
      </c>
      <c r="E1599" s="35" t="str">
        <f t="shared" si="384"/>
        <v>PSND'!</v>
      </c>
      <c r="F1599" s="34" t="str">
        <f t="shared" si="385"/>
        <v>C:\Users\jaime.benazar\Quorum Business Solutions\Ecopetrol Prometeo - Documents\Planning Space Implementation\3. Analysis &amp; Design\Design\FC22\DRR Jaime\QUIFA-CAJÚA\Cajua\[CAJUA_CF_SEC_New_27-Feb-2024Rev3.xlsx]D-PSND'!</v>
      </c>
      <c r="G1599" s="32" t="s">
        <v>113</v>
      </c>
      <c r="H1599" s="33"/>
      <c r="I1599" s="33"/>
      <c r="J1599" s="37"/>
    </row>
    <row r="1600" spans="1:10" x14ac:dyDescent="0.25">
      <c r="A1600" s="32" t="s">
        <v>104</v>
      </c>
      <c r="B1600" s="32">
        <f t="shared" ref="B1600:B1611" si="386">+B1599+1</f>
        <v>2025</v>
      </c>
      <c r="C1600" s="33" t="s">
        <v>14</v>
      </c>
      <c r="D1600" s="34" t="s">
        <v>1999</v>
      </c>
      <c r="E1600" s="35" t="str">
        <f t="shared" si="384"/>
        <v>PSND'!</v>
      </c>
      <c r="F1600" s="34" t="str">
        <f t="shared" si="385"/>
        <v>C:\Users\jaime.benazar\Quorum Business Solutions\Ecopetrol Prometeo - Documents\Planning Space Implementation\3. Analysis &amp; Design\Design\FC22\DRR Jaime\QUIFA-CAJÚA\Cajua\[CAJUA_CF_SEC_New_27-Feb-2024Rev3.xlsx]D-PSND'!</v>
      </c>
      <c r="G1600" s="32" t="s">
        <v>113</v>
      </c>
      <c r="H1600" s="33"/>
      <c r="I1600" s="33"/>
      <c r="J1600" s="37"/>
    </row>
    <row r="1601" spans="1:10" x14ac:dyDescent="0.25">
      <c r="A1601" s="32" t="s">
        <v>104</v>
      </c>
      <c r="B1601" s="32">
        <f t="shared" si="386"/>
        <v>2026</v>
      </c>
      <c r="C1601" s="33" t="s">
        <v>14</v>
      </c>
      <c r="D1601" s="34" t="s">
        <v>1999</v>
      </c>
      <c r="E1601" s="35" t="str">
        <f t="shared" si="384"/>
        <v>PSND'!</v>
      </c>
      <c r="F1601" s="34" t="str">
        <f t="shared" si="385"/>
        <v>C:\Users\jaime.benazar\Quorum Business Solutions\Ecopetrol Prometeo - Documents\Planning Space Implementation\3. Analysis &amp; Design\Design\FC22\DRR Jaime\QUIFA-CAJÚA\Cajua\[CAJUA_CF_SEC_New_27-Feb-2024Rev3.xlsx]D-PSND'!</v>
      </c>
      <c r="G1601" s="32" t="s">
        <v>113</v>
      </c>
      <c r="H1601" s="33"/>
      <c r="I1601" s="33"/>
      <c r="J1601" s="37"/>
    </row>
    <row r="1602" spans="1:10" x14ac:dyDescent="0.25">
      <c r="A1602" s="32" t="s">
        <v>104</v>
      </c>
      <c r="B1602" s="32">
        <f t="shared" si="386"/>
        <v>2027</v>
      </c>
      <c r="C1602" s="33" t="s">
        <v>14</v>
      </c>
      <c r="D1602" s="34" t="s">
        <v>1999</v>
      </c>
      <c r="E1602" s="35" t="str">
        <f t="shared" si="384"/>
        <v>PSND'!</v>
      </c>
      <c r="F1602" s="34" t="str">
        <f t="shared" si="385"/>
        <v>C:\Users\jaime.benazar\Quorum Business Solutions\Ecopetrol Prometeo - Documents\Planning Space Implementation\3. Analysis &amp; Design\Design\FC22\DRR Jaime\QUIFA-CAJÚA\Cajua\[CAJUA_CF_SEC_New_27-Feb-2024Rev3.xlsx]D-PSND'!</v>
      </c>
      <c r="G1602" s="32" t="s">
        <v>113</v>
      </c>
      <c r="H1602" s="33"/>
      <c r="I1602" s="33"/>
      <c r="J1602" s="37"/>
    </row>
    <row r="1603" spans="1:10" x14ac:dyDescent="0.25">
      <c r="A1603" s="32" t="s">
        <v>104</v>
      </c>
      <c r="B1603" s="32">
        <f t="shared" si="386"/>
        <v>2028</v>
      </c>
      <c r="C1603" s="33" t="s">
        <v>14</v>
      </c>
      <c r="D1603" s="34" t="s">
        <v>1999</v>
      </c>
      <c r="E1603" s="35" t="str">
        <f t="shared" si="384"/>
        <v>PSND'!</v>
      </c>
      <c r="F1603" s="34" t="str">
        <f t="shared" si="385"/>
        <v>C:\Users\jaime.benazar\Quorum Business Solutions\Ecopetrol Prometeo - Documents\Planning Space Implementation\3. Analysis &amp; Design\Design\FC22\DRR Jaime\QUIFA-CAJÚA\Cajua\[CAJUA_CF_SEC_New_27-Feb-2024Rev3.xlsx]D-PSND'!</v>
      </c>
      <c r="G1603" s="32" t="s">
        <v>113</v>
      </c>
      <c r="H1603" s="33"/>
      <c r="I1603" s="33"/>
      <c r="J1603" s="37"/>
    </row>
    <row r="1604" spans="1:10" x14ac:dyDescent="0.25">
      <c r="A1604" s="32" t="s">
        <v>104</v>
      </c>
      <c r="B1604" s="32">
        <f t="shared" si="386"/>
        <v>2029</v>
      </c>
      <c r="C1604" s="33" t="s">
        <v>14</v>
      </c>
      <c r="D1604" s="34" t="s">
        <v>1999</v>
      </c>
      <c r="E1604" s="35" t="str">
        <f t="shared" si="384"/>
        <v>PSND'!</v>
      </c>
      <c r="F1604" s="34" t="str">
        <f t="shared" si="385"/>
        <v>C:\Users\jaime.benazar\Quorum Business Solutions\Ecopetrol Prometeo - Documents\Planning Space Implementation\3. Analysis &amp; Design\Design\FC22\DRR Jaime\QUIFA-CAJÚA\Cajua\[CAJUA_CF_SEC_New_27-Feb-2024Rev3.xlsx]D-PSND'!</v>
      </c>
      <c r="G1604" s="32" t="s">
        <v>113</v>
      </c>
      <c r="H1604" s="33"/>
      <c r="I1604" s="33"/>
      <c r="J1604" s="37"/>
    </row>
    <row r="1605" spans="1:10" x14ac:dyDescent="0.25">
      <c r="A1605" s="32" t="s">
        <v>104</v>
      </c>
      <c r="B1605" s="32">
        <f t="shared" si="386"/>
        <v>2030</v>
      </c>
      <c r="C1605" s="33" t="s">
        <v>14</v>
      </c>
      <c r="D1605" s="34" t="s">
        <v>1999</v>
      </c>
      <c r="E1605" s="35" t="str">
        <f t="shared" si="384"/>
        <v>PSND'!</v>
      </c>
      <c r="F1605" s="34" t="str">
        <f t="shared" si="385"/>
        <v>C:\Users\jaime.benazar\Quorum Business Solutions\Ecopetrol Prometeo - Documents\Planning Space Implementation\3. Analysis &amp; Design\Design\FC22\DRR Jaime\QUIFA-CAJÚA\Cajua\[CAJUA_CF_SEC_New_27-Feb-2024Rev3.xlsx]D-PSND'!</v>
      </c>
      <c r="G1605" s="32" t="s">
        <v>113</v>
      </c>
      <c r="H1605" s="33"/>
      <c r="I1605" s="33"/>
      <c r="J1605" s="37"/>
    </row>
    <row r="1606" spans="1:10" x14ac:dyDescent="0.25">
      <c r="A1606" s="32" t="s">
        <v>104</v>
      </c>
      <c r="B1606" s="32">
        <f t="shared" si="386"/>
        <v>2031</v>
      </c>
      <c r="C1606" s="33" t="s">
        <v>14</v>
      </c>
      <c r="D1606" s="34" t="s">
        <v>1999</v>
      </c>
      <c r="E1606" s="35" t="str">
        <f t="shared" si="384"/>
        <v>PSND'!</v>
      </c>
      <c r="F1606" s="34" t="str">
        <f t="shared" si="385"/>
        <v>C:\Users\jaime.benazar\Quorum Business Solutions\Ecopetrol Prometeo - Documents\Planning Space Implementation\3. Analysis &amp; Design\Design\FC22\DRR Jaime\QUIFA-CAJÚA\Cajua\[CAJUA_CF_SEC_New_27-Feb-2024Rev3.xlsx]D-PSND'!</v>
      </c>
      <c r="G1606" s="32" t="s">
        <v>113</v>
      </c>
      <c r="H1606" s="33"/>
      <c r="I1606" s="33"/>
      <c r="J1606" s="37"/>
    </row>
    <row r="1607" spans="1:10" x14ac:dyDescent="0.25">
      <c r="A1607" s="32" t="s">
        <v>104</v>
      </c>
      <c r="B1607" s="32">
        <f t="shared" si="386"/>
        <v>2032</v>
      </c>
      <c r="C1607" s="33" t="s">
        <v>14</v>
      </c>
      <c r="D1607" s="34" t="s">
        <v>1999</v>
      </c>
      <c r="E1607" s="35" t="str">
        <f t="shared" si="384"/>
        <v>PSND'!</v>
      </c>
      <c r="F1607" s="34" t="str">
        <f t="shared" si="385"/>
        <v>C:\Users\jaime.benazar\Quorum Business Solutions\Ecopetrol Prometeo - Documents\Planning Space Implementation\3. Analysis &amp; Design\Design\FC22\DRR Jaime\QUIFA-CAJÚA\Cajua\[CAJUA_CF_SEC_New_27-Feb-2024Rev3.xlsx]D-PSND'!</v>
      </c>
      <c r="G1607" s="32" t="s">
        <v>113</v>
      </c>
      <c r="H1607" s="33"/>
      <c r="I1607" s="33"/>
      <c r="J1607" s="37"/>
    </row>
    <row r="1608" spans="1:10" x14ac:dyDescent="0.25">
      <c r="A1608" s="32" t="s">
        <v>104</v>
      </c>
      <c r="B1608" s="32">
        <f t="shared" si="386"/>
        <v>2033</v>
      </c>
      <c r="C1608" s="33" t="s">
        <v>14</v>
      </c>
      <c r="D1608" s="34" t="s">
        <v>1999</v>
      </c>
      <c r="E1608" s="35" t="str">
        <f t="shared" si="384"/>
        <v>PSND'!</v>
      </c>
      <c r="F1608" s="34" t="str">
        <f t="shared" si="385"/>
        <v>C:\Users\jaime.benazar\Quorum Business Solutions\Ecopetrol Prometeo - Documents\Planning Space Implementation\3. Analysis &amp; Design\Design\FC22\DRR Jaime\QUIFA-CAJÚA\Cajua\[CAJUA_CF_SEC_New_27-Feb-2024Rev3.xlsx]D-PSND'!</v>
      </c>
      <c r="G1608" s="32" t="s">
        <v>113</v>
      </c>
      <c r="H1608" s="33"/>
      <c r="I1608" s="33"/>
      <c r="J1608" s="37"/>
    </row>
    <row r="1609" spans="1:10" x14ac:dyDescent="0.25">
      <c r="A1609" s="32" t="s">
        <v>104</v>
      </c>
      <c r="B1609" s="32">
        <f t="shared" si="386"/>
        <v>2034</v>
      </c>
      <c r="C1609" s="33" t="s">
        <v>14</v>
      </c>
      <c r="D1609" s="34" t="s">
        <v>1999</v>
      </c>
      <c r="E1609" s="35" t="str">
        <f t="shared" si="384"/>
        <v>PSND'!</v>
      </c>
      <c r="F1609" s="34" t="str">
        <f t="shared" si="385"/>
        <v>C:\Users\jaime.benazar\Quorum Business Solutions\Ecopetrol Prometeo - Documents\Planning Space Implementation\3. Analysis &amp; Design\Design\FC22\DRR Jaime\QUIFA-CAJÚA\Cajua\[CAJUA_CF_SEC_New_27-Feb-2024Rev3.xlsx]D-PSND'!</v>
      </c>
      <c r="G1609" s="32" t="s">
        <v>113</v>
      </c>
      <c r="H1609" s="33"/>
      <c r="I1609" s="33"/>
      <c r="J1609" s="37"/>
    </row>
    <row r="1610" spans="1:10" x14ac:dyDescent="0.25">
      <c r="A1610" s="32" t="s">
        <v>104</v>
      </c>
      <c r="B1610" s="32">
        <f t="shared" si="386"/>
        <v>2035</v>
      </c>
      <c r="C1610" s="33" t="s">
        <v>14</v>
      </c>
      <c r="D1610" s="34" t="s">
        <v>1999</v>
      </c>
      <c r="E1610" s="35" t="str">
        <f t="shared" si="384"/>
        <v>PSND'!</v>
      </c>
      <c r="F1610" s="34" t="str">
        <f t="shared" si="385"/>
        <v>C:\Users\jaime.benazar\Quorum Business Solutions\Ecopetrol Prometeo - Documents\Planning Space Implementation\3. Analysis &amp; Design\Design\FC22\DRR Jaime\QUIFA-CAJÚA\Cajua\[CAJUA_CF_SEC_New_27-Feb-2024Rev3.xlsx]D-PSND'!</v>
      </c>
      <c r="G1610" s="32" t="s">
        <v>113</v>
      </c>
      <c r="H1610" s="33"/>
      <c r="I1610" s="33"/>
      <c r="J1610" s="37"/>
    </row>
    <row r="1611" spans="1:10" x14ac:dyDescent="0.25">
      <c r="A1611" s="32" t="s">
        <v>104</v>
      </c>
      <c r="B1611" s="32">
        <f t="shared" si="386"/>
        <v>2036</v>
      </c>
      <c r="C1611" s="33" t="s">
        <v>14</v>
      </c>
      <c r="D1611" s="34" t="s">
        <v>1999</v>
      </c>
      <c r="E1611" s="35" t="str">
        <f t="shared" si="384"/>
        <v>PSND'!</v>
      </c>
      <c r="F1611" s="34" t="str">
        <f t="shared" si="385"/>
        <v>C:\Users\jaime.benazar\Quorum Business Solutions\Ecopetrol Prometeo - Documents\Planning Space Implementation\3. Analysis &amp; Design\Design\FC22\DRR Jaime\QUIFA-CAJÚA\Cajua\[CAJUA_CF_SEC_New_27-Feb-2024Rev3.xlsx]D-PSND'!</v>
      </c>
      <c r="G1611" s="32" t="s">
        <v>113</v>
      </c>
      <c r="H1611" s="33"/>
      <c r="I1611" s="33"/>
      <c r="J1611" s="37"/>
    </row>
    <row r="1612" spans="1:10" x14ac:dyDescent="0.25">
      <c r="A1612" s="32" t="s">
        <v>104</v>
      </c>
      <c r="B1612" s="32">
        <f>+B1611+1</f>
        <v>2037</v>
      </c>
      <c r="C1612" s="33" t="s">
        <v>14</v>
      </c>
      <c r="D1612" s="34" t="s">
        <v>1999</v>
      </c>
      <c r="E1612" s="35" t="str">
        <f t="shared" si="384"/>
        <v>PSND'!</v>
      </c>
      <c r="F1612" s="34" t="str">
        <f t="shared" si="385"/>
        <v>C:\Users\jaime.benazar\Quorum Business Solutions\Ecopetrol Prometeo - Documents\Planning Space Implementation\3. Analysis &amp; Design\Design\FC22\DRR Jaime\QUIFA-CAJÚA\Cajua\[CAJUA_CF_SEC_New_27-Feb-2024Rev3.xlsx]D-PSND'!</v>
      </c>
      <c r="G1612" s="32" t="s">
        <v>113</v>
      </c>
      <c r="H1612" s="33"/>
      <c r="I1612" s="33"/>
      <c r="J1612" s="37"/>
    </row>
    <row r="1613" spans="1:10" x14ac:dyDescent="0.25">
      <c r="A1613" s="32" t="s">
        <v>104</v>
      </c>
      <c r="B1613" s="32">
        <f t="shared" ref="B1613:B1615" si="387">+B1612+1</f>
        <v>2038</v>
      </c>
      <c r="C1613" s="33" t="s">
        <v>14</v>
      </c>
      <c r="D1613" s="34" t="s">
        <v>1999</v>
      </c>
      <c r="E1613" s="35" t="str">
        <f t="shared" si="384"/>
        <v>PSND'!</v>
      </c>
      <c r="F1613" s="34" t="str">
        <f t="shared" si="385"/>
        <v>C:\Users\jaime.benazar\Quorum Business Solutions\Ecopetrol Prometeo - Documents\Planning Space Implementation\3. Analysis &amp; Design\Design\FC22\DRR Jaime\QUIFA-CAJÚA\Cajua\[CAJUA_CF_SEC_New_27-Feb-2024Rev3.xlsx]D-PSND'!</v>
      </c>
      <c r="G1613" s="32" t="s">
        <v>113</v>
      </c>
      <c r="H1613" s="33"/>
      <c r="I1613" s="33"/>
      <c r="J1613" s="37"/>
    </row>
    <row r="1614" spans="1:10" x14ac:dyDescent="0.25">
      <c r="A1614" s="32" t="s">
        <v>104</v>
      </c>
      <c r="B1614" s="32">
        <f t="shared" si="387"/>
        <v>2039</v>
      </c>
      <c r="C1614" s="33" t="s">
        <v>14</v>
      </c>
      <c r="D1614" s="34" t="s">
        <v>1999</v>
      </c>
      <c r="E1614" s="35" t="str">
        <f t="shared" si="384"/>
        <v>PSND'!</v>
      </c>
      <c r="F1614" s="34" t="str">
        <f t="shared" si="385"/>
        <v>C:\Users\jaime.benazar\Quorum Business Solutions\Ecopetrol Prometeo - Documents\Planning Space Implementation\3. Analysis &amp; Design\Design\FC22\DRR Jaime\QUIFA-CAJÚA\Cajua\[CAJUA_CF_SEC_New_27-Feb-2024Rev3.xlsx]D-PSND'!</v>
      </c>
      <c r="G1614" s="32" t="s">
        <v>113</v>
      </c>
      <c r="H1614" s="33"/>
      <c r="I1614" s="33"/>
      <c r="J1614" s="37"/>
    </row>
    <row r="1615" spans="1:10" x14ac:dyDescent="0.25">
      <c r="A1615" s="32" t="s">
        <v>104</v>
      </c>
      <c r="B1615" s="32">
        <f t="shared" si="387"/>
        <v>2040</v>
      </c>
      <c r="C1615" s="33" t="s">
        <v>14</v>
      </c>
      <c r="D1615" s="34" t="s">
        <v>1999</v>
      </c>
      <c r="E1615" s="35" t="str">
        <f t="shared" si="384"/>
        <v>PSND'!</v>
      </c>
      <c r="F1615" s="34" t="str">
        <f t="shared" si="385"/>
        <v>C:\Users\jaime.benazar\Quorum Business Solutions\Ecopetrol Prometeo - Documents\Planning Space Implementation\3. Analysis &amp; Design\Design\FC22\DRR Jaime\QUIFA-CAJÚA\Cajua\[CAJUA_CF_SEC_New_27-Feb-2024Rev3.xlsx]D-PSND'!</v>
      </c>
      <c r="G1615" s="32" t="s">
        <v>113</v>
      </c>
      <c r="H1615" s="33"/>
      <c r="I1615" s="33"/>
      <c r="J1615" s="37"/>
    </row>
    <row r="1616" spans="1:10" x14ac:dyDescent="0.25">
      <c r="A1616" s="32" t="s">
        <v>104</v>
      </c>
      <c r="B1616" s="32">
        <f>+B1615+1</f>
        <v>2041</v>
      </c>
      <c r="C1616" s="33" t="s">
        <v>14</v>
      </c>
      <c r="D1616" s="34" t="s">
        <v>1999</v>
      </c>
      <c r="E1616" s="35" t="str">
        <f t="shared" si="384"/>
        <v>PSND'!</v>
      </c>
      <c r="F1616" s="34" t="str">
        <f t="shared" si="385"/>
        <v>C:\Users\jaime.benazar\Quorum Business Solutions\Ecopetrol Prometeo - Documents\Planning Space Implementation\3. Analysis &amp; Design\Design\FC22\DRR Jaime\QUIFA-CAJÚA\Cajua\[CAJUA_CF_SEC_New_27-Feb-2024Rev3.xlsx]D-PSND'!</v>
      </c>
      <c r="G1616" s="32" t="s">
        <v>113</v>
      </c>
      <c r="H1616" s="33"/>
      <c r="I1616" s="33"/>
      <c r="J1616" s="37"/>
    </row>
    <row r="1617" spans="1:10" x14ac:dyDescent="0.25">
      <c r="A1617" s="32" t="s">
        <v>104</v>
      </c>
      <c r="B1617" s="32">
        <f t="shared" ref="B1617:B1618" si="388">+B1616+1</f>
        <v>2042</v>
      </c>
      <c r="C1617" s="33" t="s">
        <v>14</v>
      </c>
      <c r="D1617" s="34" t="s">
        <v>1999</v>
      </c>
      <c r="E1617" s="35" t="str">
        <f t="shared" si="384"/>
        <v>PSND'!</v>
      </c>
      <c r="F1617" s="34" t="str">
        <f t="shared" si="385"/>
        <v>C:\Users\jaime.benazar\Quorum Business Solutions\Ecopetrol Prometeo - Documents\Planning Space Implementation\3. Analysis &amp; Design\Design\FC22\DRR Jaime\QUIFA-CAJÚA\Cajua\[CAJUA_CF_SEC_New_27-Feb-2024Rev3.xlsx]D-PSND'!</v>
      </c>
      <c r="G1617" s="32" t="s">
        <v>113</v>
      </c>
      <c r="H1617" s="33"/>
      <c r="I1617" s="33"/>
      <c r="J1617" s="37"/>
    </row>
    <row r="1618" spans="1:10" x14ac:dyDescent="0.25">
      <c r="A1618" s="32" t="s">
        <v>104</v>
      </c>
      <c r="B1618" s="32">
        <f t="shared" si="388"/>
        <v>2043</v>
      </c>
      <c r="C1618" s="33" t="s">
        <v>14</v>
      </c>
      <c r="D1618" s="34" t="s">
        <v>1999</v>
      </c>
      <c r="E1618" s="35" t="str">
        <f t="shared" si="384"/>
        <v>PSND'!</v>
      </c>
      <c r="F1618" s="34" t="str">
        <f t="shared" si="385"/>
        <v>C:\Users\jaime.benazar\Quorum Business Solutions\Ecopetrol Prometeo - Documents\Planning Space Implementation\3. Analysis &amp; Design\Design\FC22\DRR Jaime\QUIFA-CAJÚA\Cajua\[CAJUA_CF_SEC_New_27-Feb-2024Rev3.xlsx]D-PSND'!</v>
      </c>
      <c r="G1618" s="32" t="s">
        <v>113</v>
      </c>
      <c r="H1618" s="33"/>
      <c r="I1618" s="33"/>
      <c r="J1618" s="37"/>
    </row>
    <row r="1619" spans="1:10" x14ac:dyDescent="0.25">
      <c r="A1619" s="32" t="s">
        <v>104</v>
      </c>
      <c r="B1619" s="32">
        <f>+B1618+1</f>
        <v>2044</v>
      </c>
      <c r="C1619" s="33" t="s">
        <v>14</v>
      </c>
      <c r="D1619" s="34" t="s">
        <v>1999</v>
      </c>
      <c r="E1619" s="35" t="str">
        <f t="shared" ref="E1619:E1634" si="389">_xlfn.CONCAT(A1619,"'!")</f>
        <v>PSND'!</v>
      </c>
      <c r="F1619" s="34" t="str">
        <f t="shared" ref="F1619:F1634" si="390">_xlfn.CONCAT(D1619:E1619)</f>
        <v>C:\Users\jaime.benazar\Quorum Business Solutions\Ecopetrol Prometeo - Documents\Planning Space Implementation\3. Analysis &amp; Design\Design\FC22\DRR Jaime\QUIFA-CAJÚA\Cajua\[CAJUA_CF_SEC_New_27-Feb-2024Rev3.xlsx]D-PSND'!</v>
      </c>
      <c r="G1619" s="32" t="s">
        <v>113</v>
      </c>
      <c r="H1619" s="33"/>
      <c r="I1619" s="33"/>
      <c r="J1619" s="37"/>
    </row>
    <row r="1620" spans="1:10" x14ac:dyDescent="0.25">
      <c r="A1620" s="32" t="s">
        <v>104</v>
      </c>
      <c r="B1620" s="32">
        <f t="shared" ref="B1620:B1634" si="391">+B1619+1</f>
        <v>2045</v>
      </c>
      <c r="C1620" s="33" t="s">
        <v>14</v>
      </c>
      <c r="D1620" s="34" t="s">
        <v>1999</v>
      </c>
      <c r="E1620" s="35" t="str">
        <f t="shared" si="389"/>
        <v>PSND'!</v>
      </c>
      <c r="F1620" s="34" t="str">
        <f t="shared" si="390"/>
        <v>C:\Users\jaime.benazar\Quorum Business Solutions\Ecopetrol Prometeo - Documents\Planning Space Implementation\3. Analysis &amp; Design\Design\FC22\DRR Jaime\QUIFA-CAJÚA\Cajua\[CAJUA_CF_SEC_New_27-Feb-2024Rev3.xlsx]D-PSND'!</v>
      </c>
      <c r="G1620" s="32" t="s">
        <v>113</v>
      </c>
      <c r="H1620" s="33"/>
      <c r="I1620" s="33"/>
      <c r="J1620" s="37"/>
    </row>
    <row r="1621" spans="1:10" x14ac:dyDescent="0.25">
      <c r="A1621" s="32" t="s">
        <v>104</v>
      </c>
      <c r="B1621" s="32">
        <f t="shared" si="391"/>
        <v>2046</v>
      </c>
      <c r="C1621" s="33" t="s">
        <v>14</v>
      </c>
      <c r="D1621" s="34" t="s">
        <v>1999</v>
      </c>
      <c r="E1621" s="35" t="str">
        <f t="shared" si="389"/>
        <v>PSND'!</v>
      </c>
      <c r="F1621" s="34" t="str">
        <f t="shared" si="390"/>
        <v>C:\Users\jaime.benazar\Quorum Business Solutions\Ecopetrol Prometeo - Documents\Planning Space Implementation\3. Analysis &amp; Design\Design\FC22\DRR Jaime\QUIFA-CAJÚA\Cajua\[CAJUA_CF_SEC_New_27-Feb-2024Rev3.xlsx]D-PSND'!</v>
      </c>
      <c r="G1621" s="32" t="s">
        <v>113</v>
      </c>
      <c r="H1621" s="33"/>
      <c r="I1621" s="33"/>
      <c r="J1621" s="37"/>
    </row>
    <row r="1622" spans="1:10" x14ac:dyDescent="0.25">
      <c r="A1622" s="32" t="s">
        <v>104</v>
      </c>
      <c r="B1622" s="32">
        <f t="shared" si="391"/>
        <v>2047</v>
      </c>
      <c r="C1622" s="33" t="s">
        <v>14</v>
      </c>
      <c r="D1622" s="34" t="s">
        <v>1999</v>
      </c>
      <c r="E1622" s="35" t="str">
        <f t="shared" si="389"/>
        <v>PSND'!</v>
      </c>
      <c r="F1622" s="34" t="str">
        <f t="shared" si="390"/>
        <v>C:\Users\jaime.benazar\Quorum Business Solutions\Ecopetrol Prometeo - Documents\Planning Space Implementation\3. Analysis &amp; Design\Design\FC22\DRR Jaime\QUIFA-CAJÚA\Cajua\[CAJUA_CF_SEC_New_27-Feb-2024Rev3.xlsx]D-PSND'!</v>
      </c>
      <c r="G1622" s="32" t="s">
        <v>113</v>
      </c>
      <c r="H1622" s="33"/>
      <c r="I1622" s="33"/>
      <c r="J1622" s="37"/>
    </row>
    <row r="1623" spans="1:10" x14ac:dyDescent="0.25">
      <c r="A1623" s="32" t="s">
        <v>104</v>
      </c>
      <c r="B1623" s="32">
        <f t="shared" si="391"/>
        <v>2048</v>
      </c>
      <c r="C1623" s="33" t="s">
        <v>14</v>
      </c>
      <c r="D1623" s="34" t="s">
        <v>1999</v>
      </c>
      <c r="E1623" s="35" t="str">
        <f t="shared" si="389"/>
        <v>PSND'!</v>
      </c>
      <c r="F1623" s="34" t="str">
        <f t="shared" si="390"/>
        <v>C:\Users\jaime.benazar\Quorum Business Solutions\Ecopetrol Prometeo - Documents\Planning Space Implementation\3. Analysis &amp; Design\Design\FC22\DRR Jaime\QUIFA-CAJÚA\Cajua\[CAJUA_CF_SEC_New_27-Feb-2024Rev3.xlsx]D-PSND'!</v>
      </c>
      <c r="G1623" s="32" t="s">
        <v>113</v>
      </c>
      <c r="H1623" s="33"/>
      <c r="I1623" s="33"/>
      <c r="J1623" s="37"/>
    </row>
    <row r="1624" spans="1:10" x14ac:dyDescent="0.25">
      <c r="A1624" s="32" t="s">
        <v>104</v>
      </c>
      <c r="B1624" s="32">
        <f t="shared" si="391"/>
        <v>2049</v>
      </c>
      <c r="C1624" s="33" t="s">
        <v>14</v>
      </c>
      <c r="D1624" s="34" t="s">
        <v>1999</v>
      </c>
      <c r="E1624" s="35" t="str">
        <f t="shared" si="389"/>
        <v>PSND'!</v>
      </c>
      <c r="F1624" s="34" t="str">
        <f t="shared" si="390"/>
        <v>C:\Users\jaime.benazar\Quorum Business Solutions\Ecopetrol Prometeo - Documents\Planning Space Implementation\3. Analysis &amp; Design\Design\FC22\DRR Jaime\QUIFA-CAJÚA\Cajua\[CAJUA_CF_SEC_New_27-Feb-2024Rev3.xlsx]D-PSND'!</v>
      </c>
      <c r="G1624" s="32" t="s">
        <v>113</v>
      </c>
      <c r="H1624" s="33"/>
      <c r="I1624" s="33"/>
      <c r="J1624" s="37"/>
    </row>
    <row r="1625" spans="1:10" x14ac:dyDescent="0.25">
      <c r="A1625" s="32" t="s">
        <v>104</v>
      </c>
      <c r="B1625" s="32">
        <f t="shared" si="391"/>
        <v>2050</v>
      </c>
      <c r="C1625" s="33" t="s">
        <v>14</v>
      </c>
      <c r="D1625" s="34" t="s">
        <v>1999</v>
      </c>
      <c r="E1625" s="35" t="str">
        <f t="shared" si="389"/>
        <v>PSND'!</v>
      </c>
      <c r="F1625" s="34" t="str">
        <f t="shared" si="390"/>
        <v>C:\Users\jaime.benazar\Quorum Business Solutions\Ecopetrol Prometeo - Documents\Planning Space Implementation\3. Analysis &amp; Design\Design\FC22\DRR Jaime\QUIFA-CAJÚA\Cajua\[CAJUA_CF_SEC_New_27-Feb-2024Rev3.xlsx]D-PSND'!</v>
      </c>
      <c r="G1625" s="32" t="s">
        <v>113</v>
      </c>
      <c r="H1625" s="33"/>
      <c r="I1625" s="33"/>
      <c r="J1625" s="37"/>
    </row>
    <row r="1626" spans="1:10" x14ac:dyDescent="0.25">
      <c r="A1626" s="32" t="s">
        <v>104</v>
      </c>
      <c r="B1626" s="32">
        <f t="shared" si="391"/>
        <v>2051</v>
      </c>
      <c r="C1626" s="33" t="s">
        <v>14</v>
      </c>
      <c r="D1626" s="34" t="s">
        <v>1999</v>
      </c>
      <c r="E1626" s="35" t="str">
        <f t="shared" si="389"/>
        <v>PSND'!</v>
      </c>
      <c r="F1626" s="34" t="str">
        <f t="shared" si="390"/>
        <v>C:\Users\jaime.benazar\Quorum Business Solutions\Ecopetrol Prometeo - Documents\Planning Space Implementation\3. Analysis &amp; Design\Design\FC22\DRR Jaime\QUIFA-CAJÚA\Cajua\[CAJUA_CF_SEC_New_27-Feb-2024Rev3.xlsx]D-PSND'!</v>
      </c>
      <c r="G1626" s="32" t="s">
        <v>113</v>
      </c>
      <c r="H1626" s="33"/>
      <c r="I1626" s="33"/>
      <c r="J1626" s="37"/>
    </row>
    <row r="1627" spans="1:10" x14ac:dyDescent="0.25">
      <c r="A1627" s="32" t="s">
        <v>104</v>
      </c>
      <c r="B1627" s="32">
        <f t="shared" si="391"/>
        <v>2052</v>
      </c>
      <c r="C1627" s="33" t="s">
        <v>14</v>
      </c>
      <c r="D1627" s="34" t="s">
        <v>1999</v>
      </c>
      <c r="E1627" s="35" t="str">
        <f t="shared" si="389"/>
        <v>PSND'!</v>
      </c>
      <c r="F1627" s="34" t="str">
        <f t="shared" si="390"/>
        <v>C:\Users\jaime.benazar\Quorum Business Solutions\Ecopetrol Prometeo - Documents\Planning Space Implementation\3. Analysis &amp; Design\Design\FC22\DRR Jaime\QUIFA-CAJÚA\Cajua\[CAJUA_CF_SEC_New_27-Feb-2024Rev3.xlsx]D-PSND'!</v>
      </c>
      <c r="G1627" s="32" t="s">
        <v>113</v>
      </c>
      <c r="H1627" s="33"/>
      <c r="I1627" s="33"/>
      <c r="J1627" s="37"/>
    </row>
    <row r="1628" spans="1:10" x14ac:dyDescent="0.25">
      <c r="A1628" s="32" t="s">
        <v>104</v>
      </c>
      <c r="B1628" s="32">
        <f t="shared" si="391"/>
        <v>2053</v>
      </c>
      <c r="C1628" s="33" t="s">
        <v>14</v>
      </c>
      <c r="D1628" s="34" t="s">
        <v>1999</v>
      </c>
      <c r="E1628" s="35" t="str">
        <f t="shared" si="389"/>
        <v>PSND'!</v>
      </c>
      <c r="F1628" s="34" t="str">
        <f t="shared" si="390"/>
        <v>C:\Users\jaime.benazar\Quorum Business Solutions\Ecopetrol Prometeo - Documents\Planning Space Implementation\3. Analysis &amp; Design\Design\FC22\DRR Jaime\QUIFA-CAJÚA\Cajua\[CAJUA_CF_SEC_New_27-Feb-2024Rev3.xlsx]D-PSND'!</v>
      </c>
      <c r="G1628" s="32" t="s">
        <v>113</v>
      </c>
      <c r="H1628" s="33"/>
      <c r="I1628" s="33"/>
      <c r="J1628" s="37"/>
    </row>
    <row r="1629" spans="1:10" x14ac:dyDescent="0.25">
      <c r="A1629" s="32" t="s">
        <v>104</v>
      </c>
      <c r="B1629" s="32">
        <f t="shared" si="391"/>
        <v>2054</v>
      </c>
      <c r="C1629" s="33" t="s">
        <v>14</v>
      </c>
      <c r="D1629" s="34" t="s">
        <v>1999</v>
      </c>
      <c r="E1629" s="35" t="str">
        <f t="shared" si="389"/>
        <v>PSND'!</v>
      </c>
      <c r="F1629" s="34" t="str">
        <f t="shared" si="390"/>
        <v>C:\Users\jaime.benazar\Quorum Business Solutions\Ecopetrol Prometeo - Documents\Planning Space Implementation\3. Analysis &amp; Design\Design\FC22\DRR Jaime\QUIFA-CAJÚA\Cajua\[CAJUA_CF_SEC_New_27-Feb-2024Rev3.xlsx]D-PSND'!</v>
      </c>
      <c r="G1629" s="32" t="s">
        <v>113</v>
      </c>
      <c r="H1629" s="33"/>
      <c r="I1629" s="33"/>
      <c r="J1629" s="37"/>
    </row>
    <row r="1630" spans="1:10" x14ac:dyDescent="0.25">
      <c r="A1630" s="32" t="s">
        <v>104</v>
      </c>
      <c r="B1630" s="32">
        <f t="shared" si="391"/>
        <v>2055</v>
      </c>
      <c r="C1630" s="33" t="s">
        <v>14</v>
      </c>
      <c r="D1630" s="34" t="s">
        <v>1999</v>
      </c>
      <c r="E1630" s="35" t="str">
        <f t="shared" si="389"/>
        <v>PSND'!</v>
      </c>
      <c r="F1630" s="34" t="str">
        <f t="shared" si="390"/>
        <v>C:\Users\jaime.benazar\Quorum Business Solutions\Ecopetrol Prometeo - Documents\Planning Space Implementation\3. Analysis &amp; Design\Design\FC22\DRR Jaime\QUIFA-CAJÚA\Cajua\[CAJUA_CF_SEC_New_27-Feb-2024Rev3.xlsx]D-PSND'!</v>
      </c>
      <c r="G1630" s="32" t="s">
        <v>113</v>
      </c>
      <c r="H1630" s="33"/>
      <c r="I1630" s="33"/>
      <c r="J1630" s="37"/>
    </row>
    <row r="1631" spans="1:10" x14ac:dyDescent="0.25">
      <c r="A1631" s="32" t="s">
        <v>104</v>
      </c>
      <c r="B1631" s="32">
        <f t="shared" si="391"/>
        <v>2056</v>
      </c>
      <c r="C1631" s="33" t="s">
        <v>14</v>
      </c>
      <c r="D1631" s="34" t="s">
        <v>1999</v>
      </c>
      <c r="E1631" s="35" t="str">
        <f t="shared" si="389"/>
        <v>PSND'!</v>
      </c>
      <c r="F1631" s="34" t="str">
        <f t="shared" si="390"/>
        <v>C:\Users\jaime.benazar\Quorum Business Solutions\Ecopetrol Prometeo - Documents\Planning Space Implementation\3. Analysis &amp; Design\Design\FC22\DRR Jaime\QUIFA-CAJÚA\Cajua\[CAJUA_CF_SEC_New_27-Feb-2024Rev3.xlsx]D-PSND'!</v>
      </c>
      <c r="G1631" s="32" t="s">
        <v>113</v>
      </c>
      <c r="H1631" s="33"/>
      <c r="I1631" s="33"/>
      <c r="J1631" s="37"/>
    </row>
    <row r="1632" spans="1:10" x14ac:dyDescent="0.25">
      <c r="A1632" s="32" t="s">
        <v>104</v>
      </c>
      <c r="B1632" s="32">
        <f t="shared" si="391"/>
        <v>2057</v>
      </c>
      <c r="C1632" s="33" t="s">
        <v>14</v>
      </c>
      <c r="D1632" s="34" t="s">
        <v>1999</v>
      </c>
      <c r="E1632" s="35" t="str">
        <f t="shared" si="389"/>
        <v>PSND'!</v>
      </c>
      <c r="F1632" s="34" t="str">
        <f t="shared" si="390"/>
        <v>C:\Users\jaime.benazar\Quorum Business Solutions\Ecopetrol Prometeo - Documents\Planning Space Implementation\3. Analysis &amp; Design\Design\FC22\DRR Jaime\QUIFA-CAJÚA\Cajua\[CAJUA_CF_SEC_New_27-Feb-2024Rev3.xlsx]D-PSND'!</v>
      </c>
      <c r="G1632" s="32" t="s">
        <v>113</v>
      </c>
      <c r="H1632" s="33"/>
      <c r="I1632" s="33"/>
      <c r="J1632" s="37"/>
    </row>
    <row r="1633" spans="1:10" x14ac:dyDescent="0.25">
      <c r="A1633" s="32" t="s">
        <v>104</v>
      </c>
      <c r="B1633" s="32">
        <f t="shared" si="391"/>
        <v>2058</v>
      </c>
      <c r="C1633" s="33" t="s">
        <v>14</v>
      </c>
      <c r="D1633" s="34" t="s">
        <v>1999</v>
      </c>
      <c r="E1633" s="35" t="str">
        <f t="shared" si="389"/>
        <v>PSND'!</v>
      </c>
      <c r="F1633" s="34" t="str">
        <f t="shared" si="390"/>
        <v>C:\Users\jaime.benazar\Quorum Business Solutions\Ecopetrol Prometeo - Documents\Planning Space Implementation\3. Analysis &amp; Design\Design\FC22\DRR Jaime\QUIFA-CAJÚA\Cajua\[CAJUA_CF_SEC_New_27-Feb-2024Rev3.xlsx]D-PSND'!</v>
      </c>
      <c r="G1633" s="32" t="s">
        <v>113</v>
      </c>
      <c r="H1633" s="33"/>
      <c r="I1633" s="33"/>
      <c r="J1633" s="37"/>
    </row>
    <row r="1634" spans="1:10" x14ac:dyDescent="0.25">
      <c r="A1634" s="32" t="s">
        <v>104</v>
      </c>
      <c r="B1634" s="32">
        <f t="shared" si="391"/>
        <v>2059</v>
      </c>
      <c r="C1634" s="33" t="s">
        <v>14</v>
      </c>
      <c r="D1634" s="34" t="s">
        <v>1999</v>
      </c>
      <c r="E1634" s="35" t="str">
        <f t="shared" si="389"/>
        <v>PSND'!</v>
      </c>
      <c r="F1634" s="34" t="str">
        <f t="shared" si="390"/>
        <v>C:\Users\jaime.benazar\Quorum Business Solutions\Ecopetrol Prometeo - Documents\Planning Space Implementation\3. Analysis &amp; Design\Design\FC22\DRR Jaime\QUIFA-CAJÚA\Cajua\[CAJUA_CF_SEC_New_27-Feb-2024Rev3.xlsx]D-PSND'!</v>
      </c>
      <c r="G1634" s="32" t="s">
        <v>113</v>
      </c>
      <c r="H1634" s="33"/>
      <c r="I1634" s="33"/>
      <c r="J1634" s="37"/>
    </row>
    <row r="1635" spans="1:10" x14ac:dyDescent="0.25">
      <c r="A1635" s="32" t="s">
        <v>28</v>
      </c>
      <c r="B1635" s="32"/>
      <c r="C1635" s="33" t="s">
        <v>14</v>
      </c>
      <c r="D1635" s="34"/>
      <c r="E1635" s="35"/>
      <c r="F1635" s="34"/>
      <c r="G1635" s="32"/>
      <c r="H1635" s="33"/>
      <c r="I1635" s="33"/>
      <c r="J1635" s="33"/>
    </row>
    <row r="1636" spans="1:10" x14ac:dyDescent="0.25">
      <c r="A1636" s="32" t="s">
        <v>34</v>
      </c>
      <c r="B1636" s="32">
        <v>2023</v>
      </c>
      <c r="C1636" s="33" t="s">
        <v>14</v>
      </c>
      <c r="D1636" s="34" t="s">
        <v>1999</v>
      </c>
      <c r="E1636" s="35" t="str">
        <f t="shared" si="327"/>
        <v>PS'!</v>
      </c>
      <c r="F1636" s="34" t="str">
        <f t="shared" si="328"/>
        <v>C:\Users\jaime.benazar\Quorum Business Solutions\Ecopetrol Prometeo - Documents\Planning Space Implementation\3. Analysis &amp; Design\Design\FC22\DRR Jaime\QUIFA-CAJÚA\Cajua\[CAJUA_CF_SEC_New_27-Feb-2024Rev3.xlsx]D-PS'!</v>
      </c>
      <c r="G1636" s="32" t="s">
        <v>113</v>
      </c>
      <c r="H1636" s="33">
        <v>12</v>
      </c>
      <c r="I1636" s="33" t="str">
        <f t="shared" si="329"/>
        <v>='C:\Users\jaime.benazar\Quorum Business Solutions\Ecopetrol Prometeo - Documents\Planning Space Implementation\3. Analysis &amp; Design\Design\FC22\DRR Jaime\QUIFA-CAJÚA\Cajua\[CAJUA_CF_SEC_New_27-Feb-2024Rev3.xlsx]D-PS'!$CA$12</v>
      </c>
      <c r="J1636" s="37" t="s">
        <v>2703</v>
      </c>
    </row>
    <row r="1637" spans="1:10" x14ac:dyDescent="0.25">
      <c r="A1637" s="32" t="s">
        <v>34</v>
      </c>
      <c r="B1637" s="32">
        <f>+B1636+1</f>
        <v>2024</v>
      </c>
      <c r="C1637" s="33" t="s">
        <v>14</v>
      </c>
      <c r="D1637" s="34" t="s">
        <v>1999</v>
      </c>
      <c r="E1637" s="35" t="str">
        <f t="shared" si="327"/>
        <v>PS'!</v>
      </c>
      <c r="F1637" s="34" t="str">
        <f t="shared" si="328"/>
        <v>C:\Users\jaime.benazar\Quorum Business Solutions\Ecopetrol Prometeo - Documents\Planning Space Implementation\3. Analysis &amp; Design\Design\FC22\DRR Jaime\QUIFA-CAJÚA\Cajua\[CAJUA_CF_SEC_New_27-Feb-2024Rev3.xlsx]D-PS'!</v>
      </c>
      <c r="G1637" s="32" t="s">
        <v>113</v>
      </c>
      <c r="H1637" s="33">
        <f t="shared" ref="H1637:H1656" si="392">IF(A1637&lt;&gt;A1636,12,H1636+1)</f>
        <v>13</v>
      </c>
      <c r="I1637" s="33" t="str">
        <f t="shared" si="329"/>
        <v>='C:\Users\jaime.benazar\Quorum Business Solutions\Ecopetrol Prometeo - Documents\Planning Space Implementation\3. Analysis &amp; Design\Design\FC22\DRR Jaime\QUIFA-CAJÚA\Cajua\[CAJUA_CF_SEC_New_27-Feb-2024Rev3.xlsx]D-PS'!$CA$13</v>
      </c>
      <c r="J1637" s="37" t="s">
        <v>2704</v>
      </c>
    </row>
    <row r="1638" spans="1:10" x14ac:dyDescent="0.25">
      <c r="A1638" s="32" t="s">
        <v>34</v>
      </c>
      <c r="B1638" s="32">
        <f t="shared" ref="B1638:B1649" si="393">+B1637+1</f>
        <v>2025</v>
      </c>
      <c r="C1638" s="33" t="s">
        <v>14</v>
      </c>
      <c r="D1638" s="34" t="s">
        <v>1999</v>
      </c>
      <c r="E1638" s="35" t="str">
        <f t="shared" si="327"/>
        <v>PS'!</v>
      </c>
      <c r="F1638" s="34" t="str">
        <f t="shared" si="328"/>
        <v>C:\Users\jaime.benazar\Quorum Business Solutions\Ecopetrol Prometeo - Documents\Planning Space Implementation\3. Analysis &amp; Design\Design\FC22\DRR Jaime\QUIFA-CAJÚA\Cajua\[CAJUA_CF_SEC_New_27-Feb-2024Rev3.xlsx]D-PS'!</v>
      </c>
      <c r="G1638" s="32" t="s">
        <v>113</v>
      </c>
      <c r="H1638" s="33">
        <f t="shared" si="392"/>
        <v>14</v>
      </c>
      <c r="I1638" s="33" t="str">
        <f t="shared" si="329"/>
        <v>='C:\Users\jaime.benazar\Quorum Business Solutions\Ecopetrol Prometeo - Documents\Planning Space Implementation\3. Analysis &amp; Design\Design\FC22\DRR Jaime\QUIFA-CAJÚA\Cajua\[CAJUA_CF_SEC_New_27-Feb-2024Rev3.xlsx]D-PS'!$CA$14</v>
      </c>
      <c r="J1638" s="37" t="s">
        <v>2705</v>
      </c>
    </row>
    <row r="1639" spans="1:10" x14ac:dyDescent="0.25">
      <c r="A1639" s="32" t="s">
        <v>34</v>
      </c>
      <c r="B1639" s="32">
        <f t="shared" si="393"/>
        <v>2026</v>
      </c>
      <c r="C1639" s="33" t="s">
        <v>14</v>
      </c>
      <c r="D1639" s="34" t="s">
        <v>1999</v>
      </c>
      <c r="E1639" s="35" t="str">
        <f t="shared" si="327"/>
        <v>PS'!</v>
      </c>
      <c r="F1639" s="34" t="str">
        <f t="shared" si="328"/>
        <v>C:\Users\jaime.benazar\Quorum Business Solutions\Ecopetrol Prometeo - Documents\Planning Space Implementation\3. Analysis &amp; Design\Design\FC22\DRR Jaime\QUIFA-CAJÚA\Cajua\[CAJUA_CF_SEC_New_27-Feb-2024Rev3.xlsx]D-PS'!</v>
      </c>
      <c r="G1639" s="32" t="s">
        <v>113</v>
      </c>
      <c r="H1639" s="33">
        <f t="shared" si="392"/>
        <v>15</v>
      </c>
      <c r="I1639" s="33" t="str">
        <f t="shared" si="329"/>
        <v>='C:\Users\jaime.benazar\Quorum Business Solutions\Ecopetrol Prometeo - Documents\Planning Space Implementation\3. Analysis &amp; Design\Design\FC22\DRR Jaime\QUIFA-CAJÚA\Cajua\[CAJUA_CF_SEC_New_27-Feb-2024Rev3.xlsx]D-PS'!$CA$15</v>
      </c>
      <c r="J1639" s="37" t="s">
        <v>2706</v>
      </c>
    </row>
    <row r="1640" spans="1:10" x14ac:dyDescent="0.25">
      <c r="A1640" s="32" t="s">
        <v>34</v>
      </c>
      <c r="B1640" s="32">
        <f t="shared" si="393"/>
        <v>2027</v>
      </c>
      <c r="C1640" s="33" t="s">
        <v>14</v>
      </c>
      <c r="D1640" s="34" t="s">
        <v>1999</v>
      </c>
      <c r="E1640" s="35" t="str">
        <f t="shared" si="327"/>
        <v>PS'!</v>
      </c>
      <c r="F1640" s="34" t="str">
        <f t="shared" si="328"/>
        <v>C:\Users\jaime.benazar\Quorum Business Solutions\Ecopetrol Prometeo - Documents\Planning Space Implementation\3. Analysis &amp; Design\Design\FC22\DRR Jaime\QUIFA-CAJÚA\Cajua\[CAJUA_CF_SEC_New_27-Feb-2024Rev3.xlsx]D-PS'!</v>
      </c>
      <c r="G1640" s="32" t="s">
        <v>113</v>
      </c>
      <c r="H1640" s="33">
        <f t="shared" si="392"/>
        <v>16</v>
      </c>
      <c r="I1640" s="33" t="str">
        <f t="shared" si="329"/>
        <v>='C:\Users\jaime.benazar\Quorum Business Solutions\Ecopetrol Prometeo - Documents\Planning Space Implementation\3. Analysis &amp; Design\Design\FC22\DRR Jaime\QUIFA-CAJÚA\Cajua\[CAJUA_CF_SEC_New_27-Feb-2024Rev3.xlsx]D-PS'!$CA$16</v>
      </c>
      <c r="J1640" s="37" t="s">
        <v>2707</v>
      </c>
    </row>
    <row r="1641" spans="1:10" x14ac:dyDescent="0.25">
      <c r="A1641" s="32" t="s">
        <v>34</v>
      </c>
      <c r="B1641" s="32">
        <f t="shared" si="393"/>
        <v>2028</v>
      </c>
      <c r="C1641" s="33" t="s">
        <v>14</v>
      </c>
      <c r="D1641" s="34" t="s">
        <v>1999</v>
      </c>
      <c r="E1641" s="35" t="str">
        <f t="shared" si="327"/>
        <v>PS'!</v>
      </c>
      <c r="F1641" s="34" t="str">
        <f t="shared" si="328"/>
        <v>C:\Users\jaime.benazar\Quorum Business Solutions\Ecopetrol Prometeo - Documents\Planning Space Implementation\3. Analysis &amp; Design\Design\FC22\DRR Jaime\QUIFA-CAJÚA\Cajua\[CAJUA_CF_SEC_New_27-Feb-2024Rev3.xlsx]D-PS'!</v>
      </c>
      <c r="G1641" s="32" t="s">
        <v>113</v>
      </c>
      <c r="H1641" s="33">
        <f t="shared" si="392"/>
        <v>17</v>
      </c>
      <c r="I1641" s="33" t="str">
        <f t="shared" si="329"/>
        <v>='C:\Users\jaime.benazar\Quorum Business Solutions\Ecopetrol Prometeo - Documents\Planning Space Implementation\3. Analysis &amp; Design\Design\FC22\DRR Jaime\QUIFA-CAJÚA\Cajua\[CAJUA_CF_SEC_New_27-Feb-2024Rev3.xlsx]D-PS'!$CA$17</v>
      </c>
      <c r="J1641" s="37" t="s">
        <v>2708</v>
      </c>
    </row>
    <row r="1642" spans="1:10" x14ac:dyDescent="0.25">
      <c r="A1642" s="32" t="s">
        <v>34</v>
      </c>
      <c r="B1642" s="32">
        <f t="shared" si="393"/>
        <v>2029</v>
      </c>
      <c r="C1642" s="33" t="s">
        <v>14</v>
      </c>
      <c r="D1642" s="34" t="s">
        <v>1999</v>
      </c>
      <c r="E1642" s="35" t="str">
        <f t="shared" si="327"/>
        <v>PS'!</v>
      </c>
      <c r="F1642" s="34" t="str">
        <f t="shared" si="328"/>
        <v>C:\Users\jaime.benazar\Quorum Business Solutions\Ecopetrol Prometeo - Documents\Planning Space Implementation\3. Analysis &amp; Design\Design\FC22\DRR Jaime\QUIFA-CAJÚA\Cajua\[CAJUA_CF_SEC_New_27-Feb-2024Rev3.xlsx]D-PS'!</v>
      </c>
      <c r="G1642" s="32" t="s">
        <v>113</v>
      </c>
      <c r="H1642" s="33">
        <f t="shared" si="392"/>
        <v>18</v>
      </c>
      <c r="I1642" s="33" t="str">
        <f t="shared" si="329"/>
        <v>='C:\Users\jaime.benazar\Quorum Business Solutions\Ecopetrol Prometeo - Documents\Planning Space Implementation\3. Analysis &amp; Design\Design\FC22\DRR Jaime\QUIFA-CAJÚA\Cajua\[CAJUA_CF_SEC_New_27-Feb-2024Rev3.xlsx]D-PS'!$CA$18</v>
      </c>
      <c r="J1642" s="37" t="s">
        <v>2709</v>
      </c>
    </row>
    <row r="1643" spans="1:10" x14ac:dyDescent="0.25">
      <c r="A1643" s="32" t="s">
        <v>34</v>
      </c>
      <c r="B1643" s="32">
        <f t="shared" si="393"/>
        <v>2030</v>
      </c>
      <c r="C1643" s="33" t="s">
        <v>14</v>
      </c>
      <c r="D1643" s="34" t="s">
        <v>1999</v>
      </c>
      <c r="E1643" s="35" t="str">
        <f t="shared" si="327"/>
        <v>PS'!</v>
      </c>
      <c r="F1643" s="34" t="str">
        <f t="shared" si="328"/>
        <v>C:\Users\jaime.benazar\Quorum Business Solutions\Ecopetrol Prometeo - Documents\Planning Space Implementation\3. Analysis &amp; Design\Design\FC22\DRR Jaime\QUIFA-CAJÚA\Cajua\[CAJUA_CF_SEC_New_27-Feb-2024Rev3.xlsx]D-PS'!</v>
      </c>
      <c r="G1643" s="32" t="s">
        <v>113</v>
      </c>
      <c r="H1643" s="33">
        <f t="shared" si="392"/>
        <v>19</v>
      </c>
      <c r="I1643" s="33" t="str">
        <f t="shared" si="329"/>
        <v>='C:\Users\jaime.benazar\Quorum Business Solutions\Ecopetrol Prometeo - Documents\Planning Space Implementation\3. Analysis &amp; Design\Design\FC22\DRR Jaime\QUIFA-CAJÚA\Cajua\[CAJUA_CF_SEC_New_27-Feb-2024Rev3.xlsx]D-PS'!$CA$19</v>
      </c>
      <c r="J1643" s="37" t="s">
        <v>2710</v>
      </c>
    </row>
    <row r="1644" spans="1:10" x14ac:dyDescent="0.25">
      <c r="A1644" s="32" t="s">
        <v>34</v>
      </c>
      <c r="B1644" s="32">
        <f t="shared" si="393"/>
        <v>2031</v>
      </c>
      <c r="C1644" s="33" t="s">
        <v>14</v>
      </c>
      <c r="D1644" s="34" t="s">
        <v>1999</v>
      </c>
      <c r="E1644" s="35" t="str">
        <f t="shared" si="327"/>
        <v>PS'!</v>
      </c>
      <c r="F1644" s="34" t="str">
        <f t="shared" si="328"/>
        <v>C:\Users\jaime.benazar\Quorum Business Solutions\Ecopetrol Prometeo - Documents\Planning Space Implementation\3. Analysis &amp; Design\Design\FC22\DRR Jaime\QUIFA-CAJÚA\Cajua\[CAJUA_CF_SEC_New_27-Feb-2024Rev3.xlsx]D-PS'!</v>
      </c>
      <c r="G1644" s="32" t="s">
        <v>113</v>
      </c>
      <c r="H1644" s="33">
        <f t="shared" si="392"/>
        <v>20</v>
      </c>
      <c r="I1644" s="33" t="str">
        <f t="shared" si="329"/>
        <v>='C:\Users\jaime.benazar\Quorum Business Solutions\Ecopetrol Prometeo - Documents\Planning Space Implementation\3. Analysis &amp; Design\Design\FC22\DRR Jaime\QUIFA-CAJÚA\Cajua\[CAJUA_CF_SEC_New_27-Feb-2024Rev3.xlsx]D-PS'!$CA$20</v>
      </c>
      <c r="J1644" s="37" t="s">
        <v>2711</v>
      </c>
    </row>
    <row r="1645" spans="1:10" x14ac:dyDescent="0.25">
      <c r="A1645" s="32" t="s">
        <v>34</v>
      </c>
      <c r="B1645" s="32">
        <f t="shared" si="393"/>
        <v>2032</v>
      </c>
      <c r="C1645" s="33" t="s">
        <v>14</v>
      </c>
      <c r="D1645" s="34" t="s">
        <v>1999</v>
      </c>
      <c r="E1645" s="35" t="str">
        <f t="shared" si="327"/>
        <v>PS'!</v>
      </c>
      <c r="F1645" s="34" t="str">
        <f t="shared" si="328"/>
        <v>C:\Users\jaime.benazar\Quorum Business Solutions\Ecopetrol Prometeo - Documents\Planning Space Implementation\3. Analysis &amp; Design\Design\FC22\DRR Jaime\QUIFA-CAJÚA\Cajua\[CAJUA_CF_SEC_New_27-Feb-2024Rev3.xlsx]D-PS'!</v>
      </c>
      <c r="G1645" s="32" t="s">
        <v>113</v>
      </c>
      <c r="H1645" s="33">
        <f t="shared" si="392"/>
        <v>21</v>
      </c>
      <c r="I1645" s="33" t="str">
        <f t="shared" si="329"/>
        <v>='C:\Users\jaime.benazar\Quorum Business Solutions\Ecopetrol Prometeo - Documents\Planning Space Implementation\3. Analysis &amp; Design\Design\FC22\DRR Jaime\QUIFA-CAJÚA\Cajua\[CAJUA_CF_SEC_New_27-Feb-2024Rev3.xlsx]D-PS'!$CA$21</v>
      </c>
      <c r="J1645" s="37" t="s">
        <v>2712</v>
      </c>
    </row>
    <row r="1646" spans="1:10" x14ac:dyDescent="0.25">
      <c r="A1646" s="32" t="s">
        <v>34</v>
      </c>
      <c r="B1646" s="32">
        <f t="shared" si="393"/>
        <v>2033</v>
      </c>
      <c r="C1646" s="33" t="s">
        <v>14</v>
      </c>
      <c r="D1646" s="34" t="s">
        <v>1999</v>
      </c>
      <c r="E1646" s="35" t="str">
        <f t="shared" si="327"/>
        <v>PS'!</v>
      </c>
      <c r="F1646" s="34" t="str">
        <f t="shared" si="328"/>
        <v>C:\Users\jaime.benazar\Quorum Business Solutions\Ecopetrol Prometeo - Documents\Planning Space Implementation\3. Analysis &amp; Design\Design\FC22\DRR Jaime\QUIFA-CAJÚA\Cajua\[CAJUA_CF_SEC_New_27-Feb-2024Rev3.xlsx]D-PS'!</v>
      </c>
      <c r="G1646" s="32" t="s">
        <v>113</v>
      </c>
      <c r="H1646" s="33">
        <f t="shared" si="392"/>
        <v>22</v>
      </c>
      <c r="I1646" s="33" t="str">
        <f t="shared" si="329"/>
        <v>='C:\Users\jaime.benazar\Quorum Business Solutions\Ecopetrol Prometeo - Documents\Planning Space Implementation\3. Analysis &amp; Design\Design\FC22\DRR Jaime\QUIFA-CAJÚA\Cajua\[CAJUA_CF_SEC_New_27-Feb-2024Rev3.xlsx]D-PS'!$CA$22</v>
      </c>
      <c r="J1646" s="37" t="s">
        <v>2713</v>
      </c>
    </row>
    <row r="1647" spans="1:10" x14ac:dyDescent="0.25">
      <c r="A1647" s="32" t="s">
        <v>34</v>
      </c>
      <c r="B1647" s="32">
        <f t="shared" si="393"/>
        <v>2034</v>
      </c>
      <c r="C1647" s="33" t="s">
        <v>14</v>
      </c>
      <c r="D1647" s="34" t="s">
        <v>1999</v>
      </c>
      <c r="E1647" s="35" t="str">
        <f t="shared" si="327"/>
        <v>PS'!</v>
      </c>
      <c r="F1647" s="34" t="str">
        <f t="shared" si="328"/>
        <v>C:\Users\jaime.benazar\Quorum Business Solutions\Ecopetrol Prometeo - Documents\Planning Space Implementation\3. Analysis &amp; Design\Design\FC22\DRR Jaime\QUIFA-CAJÚA\Cajua\[CAJUA_CF_SEC_New_27-Feb-2024Rev3.xlsx]D-PS'!</v>
      </c>
      <c r="G1647" s="32" t="s">
        <v>113</v>
      </c>
      <c r="H1647" s="33">
        <f t="shared" si="392"/>
        <v>23</v>
      </c>
      <c r="I1647" s="33" t="str">
        <f t="shared" si="329"/>
        <v>='C:\Users\jaime.benazar\Quorum Business Solutions\Ecopetrol Prometeo - Documents\Planning Space Implementation\3. Analysis &amp; Design\Design\FC22\DRR Jaime\QUIFA-CAJÚA\Cajua\[CAJUA_CF_SEC_New_27-Feb-2024Rev3.xlsx]D-PS'!$CA$23</v>
      </c>
      <c r="J1647" s="37" t="s">
        <v>2714</v>
      </c>
    </row>
    <row r="1648" spans="1:10" x14ac:dyDescent="0.25">
      <c r="A1648" s="32" t="s">
        <v>34</v>
      </c>
      <c r="B1648" s="32">
        <f t="shared" si="393"/>
        <v>2035</v>
      </c>
      <c r="C1648" s="33" t="s">
        <v>14</v>
      </c>
      <c r="D1648" s="34" t="s">
        <v>1999</v>
      </c>
      <c r="E1648" s="35" t="str">
        <f t="shared" si="327"/>
        <v>PS'!</v>
      </c>
      <c r="F1648" s="34" t="str">
        <f t="shared" si="328"/>
        <v>C:\Users\jaime.benazar\Quorum Business Solutions\Ecopetrol Prometeo - Documents\Planning Space Implementation\3. Analysis &amp; Design\Design\FC22\DRR Jaime\QUIFA-CAJÚA\Cajua\[CAJUA_CF_SEC_New_27-Feb-2024Rev3.xlsx]D-PS'!</v>
      </c>
      <c r="G1648" s="32" t="s">
        <v>113</v>
      </c>
      <c r="H1648" s="33">
        <f t="shared" si="392"/>
        <v>24</v>
      </c>
      <c r="I1648" s="33" t="str">
        <f t="shared" si="329"/>
        <v>='C:\Users\jaime.benazar\Quorum Business Solutions\Ecopetrol Prometeo - Documents\Planning Space Implementation\3. Analysis &amp; Design\Design\FC22\DRR Jaime\QUIFA-CAJÚA\Cajua\[CAJUA_CF_SEC_New_27-Feb-2024Rev3.xlsx]D-PS'!$CA$24</v>
      </c>
      <c r="J1648" s="37" t="s">
        <v>2715</v>
      </c>
    </row>
    <row r="1649" spans="1:10" x14ac:dyDescent="0.25">
      <c r="A1649" s="32" t="s">
        <v>34</v>
      </c>
      <c r="B1649" s="32">
        <f t="shared" si="393"/>
        <v>2036</v>
      </c>
      <c r="C1649" s="33" t="s">
        <v>14</v>
      </c>
      <c r="D1649" s="34" t="s">
        <v>1999</v>
      </c>
      <c r="E1649" s="35" t="str">
        <f t="shared" si="327"/>
        <v>PS'!</v>
      </c>
      <c r="F1649" s="34" t="str">
        <f t="shared" si="328"/>
        <v>C:\Users\jaime.benazar\Quorum Business Solutions\Ecopetrol Prometeo - Documents\Planning Space Implementation\3. Analysis &amp; Design\Design\FC22\DRR Jaime\QUIFA-CAJÚA\Cajua\[CAJUA_CF_SEC_New_27-Feb-2024Rev3.xlsx]D-PS'!</v>
      </c>
      <c r="G1649" s="32" t="s">
        <v>113</v>
      </c>
      <c r="H1649" s="33">
        <f t="shared" si="392"/>
        <v>25</v>
      </c>
      <c r="I1649" s="33" t="str">
        <f t="shared" si="329"/>
        <v>='C:\Users\jaime.benazar\Quorum Business Solutions\Ecopetrol Prometeo - Documents\Planning Space Implementation\3. Analysis &amp; Design\Design\FC22\DRR Jaime\QUIFA-CAJÚA\Cajua\[CAJUA_CF_SEC_New_27-Feb-2024Rev3.xlsx]D-PS'!$CA$25</v>
      </c>
      <c r="J1649" s="37" t="s">
        <v>2716</v>
      </c>
    </row>
    <row r="1650" spans="1:10" x14ac:dyDescent="0.25">
      <c r="A1650" s="32" t="s">
        <v>34</v>
      </c>
      <c r="B1650" s="32">
        <f>+B1649+1</f>
        <v>2037</v>
      </c>
      <c r="C1650" s="33" t="s">
        <v>14</v>
      </c>
      <c r="D1650" s="34" t="s">
        <v>1999</v>
      </c>
      <c r="E1650" s="35" t="str">
        <f t="shared" si="327"/>
        <v>PS'!</v>
      </c>
      <c r="F1650" s="34" t="str">
        <f t="shared" si="328"/>
        <v>C:\Users\jaime.benazar\Quorum Business Solutions\Ecopetrol Prometeo - Documents\Planning Space Implementation\3. Analysis &amp; Design\Design\FC22\DRR Jaime\QUIFA-CAJÚA\Cajua\[CAJUA_CF_SEC_New_27-Feb-2024Rev3.xlsx]D-PS'!</v>
      </c>
      <c r="G1650" s="32" t="s">
        <v>113</v>
      </c>
      <c r="H1650" s="33">
        <f t="shared" si="392"/>
        <v>26</v>
      </c>
      <c r="I1650" s="33" t="str">
        <f t="shared" si="329"/>
        <v>='C:\Users\jaime.benazar\Quorum Business Solutions\Ecopetrol Prometeo - Documents\Planning Space Implementation\3. Analysis &amp; Design\Design\FC22\DRR Jaime\QUIFA-CAJÚA\Cajua\[CAJUA_CF_SEC_New_27-Feb-2024Rev3.xlsx]D-PS'!$CA$26</v>
      </c>
      <c r="J1650" s="37" t="s">
        <v>2717</v>
      </c>
    </row>
    <row r="1651" spans="1:10" x14ac:dyDescent="0.25">
      <c r="A1651" s="32" t="s">
        <v>34</v>
      </c>
      <c r="B1651" s="32">
        <f t="shared" ref="B1651:B1653" si="394">+B1650+1</f>
        <v>2038</v>
      </c>
      <c r="C1651" s="33" t="s">
        <v>14</v>
      </c>
      <c r="D1651" s="34" t="s">
        <v>1999</v>
      </c>
      <c r="E1651" s="35" t="str">
        <f t="shared" si="327"/>
        <v>PS'!</v>
      </c>
      <c r="F1651" s="34" t="str">
        <f t="shared" si="328"/>
        <v>C:\Users\jaime.benazar\Quorum Business Solutions\Ecopetrol Prometeo - Documents\Planning Space Implementation\3. Analysis &amp; Design\Design\FC22\DRR Jaime\QUIFA-CAJÚA\Cajua\[CAJUA_CF_SEC_New_27-Feb-2024Rev3.xlsx]D-PS'!</v>
      </c>
      <c r="G1651" s="32" t="s">
        <v>113</v>
      </c>
      <c r="H1651" s="33">
        <f t="shared" si="392"/>
        <v>27</v>
      </c>
      <c r="I1651" s="33" t="str">
        <f t="shared" si="329"/>
        <v>='C:\Users\jaime.benazar\Quorum Business Solutions\Ecopetrol Prometeo - Documents\Planning Space Implementation\3. Analysis &amp; Design\Design\FC22\DRR Jaime\QUIFA-CAJÚA\Cajua\[CAJUA_CF_SEC_New_27-Feb-2024Rev3.xlsx]D-PS'!$CA$27</v>
      </c>
      <c r="J1651" s="37" t="s">
        <v>2718</v>
      </c>
    </row>
    <row r="1652" spans="1:10" x14ac:dyDescent="0.25">
      <c r="A1652" s="32" t="s">
        <v>34</v>
      </c>
      <c r="B1652" s="32">
        <f t="shared" si="394"/>
        <v>2039</v>
      </c>
      <c r="C1652" s="33" t="s">
        <v>14</v>
      </c>
      <c r="D1652" s="34" t="s">
        <v>1999</v>
      </c>
      <c r="E1652" s="35" t="str">
        <f t="shared" si="327"/>
        <v>PS'!</v>
      </c>
      <c r="F1652" s="34" t="str">
        <f t="shared" si="328"/>
        <v>C:\Users\jaime.benazar\Quorum Business Solutions\Ecopetrol Prometeo - Documents\Planning Space Implementation\3. Analysis &amp; Design\Design\FC22\DRR Jaime\QUIFA-CAJÚA\Cajua\[CAJUA_CF_SEC_New_27-Feb-2024Rev3.xlsx]D-PS'!</v>
      </c>
      <c r="G1652" s="32" t="s">
        <v>113</v>
      </c>
      <c r="H1652" s="33">
        <f t="shared" si="392"/>
        <v>28</v>
      </c>
      <c r="I1652" s="33" t="str">
        <f t="shared" si="329"/>
        <v>='C:\Users\jaime.benazar\Quorum Business Solutions\Ecopetrol Prometeo - Documents\Planning Space Implementation\3. Analysis &amp; Design\Design\FC22\DRR Jaime\QUIFA-CAJÚA\Cajua\[CAJUA_CF_SEC_New_27-Feb-2024Rev3.xlsx]D-PS'!$CA$28</v>
      </c>
      <c r="J1652" s="37" t="s">
        <v>2719</v>
      </c>
    </row>
    <row r="1653" spans="1:10" x14ac:dyDescent="0.25">
      <c r="A1653" s="32" t="s">
        <v>34</v>
      </c>
      <c r="B1653" s="32">
        <f t="shared" si="394"/>
        <v>2040</v>
      </c>
      <c r="C1653" s="33" t="s">
        <v>14</v>
      </c>
      <c r="D1653" s="34" t="s">
        <v>1999</v>
      </c>
      <c r="E1653" s="35" t="str">
        <f t="shared" si="327"/>
        <v>PS'!</v>
      </c>
      <c r="F1653" s="34" t="str">
        <f t="shared" si="328"/>
        <v>C:\Users\jaime.benazar\Quorum Business Solutions\Ecopetrol Prometeo - Documents\Planning Space Implementation\3. Analysis &amp; Design\Design\FC22\DRR Jaime\QUIFA-CAJÚA\Cajua\[CAJUA_CF_SEC_New_27-Feb-2024Rev3.xlsx]D-PS'!</v>
      </c>
      <c r="G1653" s="32" t="s">
        <v>113</v>
      </c>
      <c r="H1653" s="33">
        <f t="shared" si="392"/>
        <v>29</v>
      </c>
      <c r="I1653" s="33" t="str">
        <f t="shared" si="329"/>
        <v>='C:\Users\jaime.benazar\Quorum Business Solutions\Ecopetrol Prometeo - Documents\Planning Space Implementation\3. Analysis &amp; Design\Design\FC22\DRR Jaime\QUIFA-CAJÚA\Cajua\[CAJUA_CF_SEC_New_27-Feb-2024Rev3.xlsx]D-PS'!$CA$29</v>
      </c>
      <c r="J1653" s="37" t="s">
        <v>2720</v>
      </c>
    </row>
    <row r="1654" spans="1:10" x14ac:dyDescent="0.25">
      <c r="A1654" s="32" t="s">
        <v>34</v>
      </c>
      <c r="B1654" s="32">
        <f>+B1653+1</f>
        <v>2041</v>
      </c>
      <c r="C1654" s="33" t="s">
        <v>14</v>
      </c>
      <c r="D1654" s="34" t="s">
        <v>1999</v>
      </c>
      <c r="E1654" s="35" t="str">
        <f t="shared" si="327"/>
        <v>PS'!</v>
      </c>
      <c r="F1654" s="34" t="str">
        <f t="shared" si="328"/>
        <v>C:\Users\jaime.benazar\Quorum Business Solutions\Ecopetrol Prometeo - Documents\Planning Space Implementation\3. Analysis &amp; Design\Design\FC22\DRR Jaime\QUIFA-CAJÚA\Cajua\[CAJUA_CF_SEC_New_27-Feb-2024Rev3.xlsx]D-PS'!</v>
      </c>
      <c r="G1654" s="32" t="s">
        <v>113</v>
      </c>
      <c r="H1654" s="33">
        <f t="shared" si="392"/>
        <v>30</v>
      </c>
      <c r="I1654" s="33" t="str">
        <f t="shared" si="329"/>
        <v>='C:\Users\jaime.benazar\Quorum Business Solutions\Ecopetrol Prometeo - Documents\Planning Space Implementation\3. Analysis &amp; Design\Design\FC22\DRR Jaime\QUIFA-CAJÚA\Cajua\[CAJUA_CF_SEC_New_27-Feb-2024Rev3.xlsx]D-PS'!$CA$30</v>
      </c>
      <c r="J1654" s="37" t="s">
        <v>2721</v>
      </c>
    </row>
    <row r="1655" spans="1:10" x14ac:dyDescent="0.25">
      <c r="A1655" s="32" t="s">
        <v>34</v>
      </c>
      <c r="B1655" s="32">
        <f t="shared" ref="B1655:B1656" si="395">+B1654+1</f>
        <v>2042</v>
      </c>
      <c r="C1655" s="33" t="s">
        <v>14</v>
      </c>
      <c r="D1655" s="34" t="s">
        <v>1999</v>
      </c>
      <c r="E1655" s="35" t="str">
        <f t="shared" si="327"/>
        <v>PS'!</v>
      </c>
      <c r="F1655" s="34" t="str">
        <f t="shared" si="328"/>
        <v>C:\Users\jaime.benazar\Quorum Business Solutions\Ecopetrol Prometeo - Documents\Planning Space Implementation\3. Analysis &amp; Design\Design\FC22\DRR Jaime\QUIFA-CAJÚA\Cajua\[CAJUA_CF_SEC_New_27-Feb-2024Rev3.xlsx]D-PS'!</v>
      </c>
      <c r="G1655" s="32" t="s">
        <v>113</v>
      </c>
      <c r="H1655" s="33">
        <f t="shared" si="392"/>
        <v>31</v>
      </c>
      <c r="I1655" s="33" t="str">
        <f t="shared" si="329"/>
        <v>='C:\Users\jaime.benazar\Quorum Business Solutions\Ecopetrol Prometeo - Documents\Planning Space Implementation\3. Analysis &amp; Design\Design\FC22\DRR Jaime\QUIFA-CAJÚA\Cajua\[CAJUA_CF_SEC_New_27-Feb-2024Rev3.xlsx]D-PS'!$CA$31</v>
      </c>
      <c r="J1655" s="37" t="s">
        <v>2722</v>
      </c>
    </row>
    <row r="1656" spans="1:10" x14ac:dyDescent="0.25">
      <c r="A1656" s="32" t="s">
        <v>34</v>
      </c>
      <c r="B1656" s="32">
        <f t="shared" si="395"/>
        <v>2043</v>
      </c>
      <c r="C1656" s="33" t="s">
        <v>14</v>
      </c>
      <c r="D1656" s="34" t="s">
        <v>1999</v>
      </c>
      <c r="E1656" s="35" t="str">
        <f t="shared" si="327"/>
        <v>PS'!</v>
      </c>
      <c r="F1656" s="34" t="str">
        <f t="shared" si="328"/>
        <v>C:\Users\jaime.benazar\Quorum Business Solutions\Ecopetrol Prometeo - Documents\Planning Space Implementation\3. Analysis &amp; Design\Design\FC22\DRR Jaime\QUIFA-CAJÚA\Cajua\[CAJUA_CF_SEC_New_27-Feb-2024Rev3.xlsx]D-PS'!</v>
      </c>
      <c r="G1656" s="32" t="s">
        <v>113</v>
      </c>
      <c r="H1656" s="33">
        <f t="shared" si="392"/>
        <v>32</v>
      </c>
      <c r="I1656" s="33" t="str">
        <f t="shared" si="329"/>
        <v>='C:\Users\jaime.benazar\Quorum Business Solutions\Ecopetrol Prometeo - Documents\Planning Space Implementation\3. Analysis &amp; Design\Design\FC22\DRR Jaime\QUIFA-CAJÚA\Cajua\[CAJUA_CF_SEC_New_27-Feb-2024Rev3.xlsx]D-PS'!$CA$32</v>
      </c>
      <c r="J1656" s="37" t="s">
        <v>2723</v>
      </c>
    </row>
    <row r="1657" spans="1:10" x14ac:dyDescent="0.25">
      <c r="A1657" s="32" t="s">
        <v>34</v>
      </c>
      <c r="B1657" s="32">
        <f>+B1656+1</f>
        <v>2044</v>
      </c>
      <c r="C1657" s="33" t="s">
        <v>14</v>
      </c>
      <c r="D1657" s="34" t="s">
        <v>1999</v>
      </c>
      <c r="E1657" s="35" t="str">
        <f t="shared" ref="E1657:E1672" si="396">_xlfn.CONCAT(A1657,"'!")</f>
        <v>PS'!</v>
      </c>
      <c r="F1657" s="34" t="str">
        <f t="shared" ref="F1657:F1672" si="397">_xlfn.CONCAT(D1657:E1657)</f>
        <v>C:\Users\jaime.benazar\Quorum Business Solutions\Ecopetrol Prometeo - Documents\Planning Space Implementation\3. Analysis &amp; Design\Design\FC22\DRR Jaime\QUIFA-CAJÚA\Cajua\[CAJUA_CF_SEC_New_27-Feb-2024Rev3.xlsx]D-PS'!</v>
      </c>
      <c r="G1657" s="32" t="s">
        <v>113</v>
      </c>
      <c r="H1657" s="33">
        <f t="shared" ref="H1657:H1672" si="398">IF(A1657&lt;&gt;A1656,12,H1656+1)</f>
        <v>33</v>
      </c>
      <c r="I1657" s="33" t="str">
        <f t="shared" ref="I1657:I1672" si="399">_xlfn.CONCAT("='",F1657:H1657)</f>
        <v>='C:\Users\jaime.benazar\Quorum Business Solutions\Ecopetrol Prometeo - Documents\Planning Space Implementation\3. Analysis &amp; Design\Design\FC22\DRR Jaime\QUIFA-CAJÚA\Cajua\[CAJUA_CF_SEC_New_27-Feb-2024Rev3.xlsx]D-PS'!$CA$33</v>
      </c>
      <c r="J1657" s="37" t="s">
        <v>2724</v>
      </c>
    </row>
    <row r="1658" spans="1:10" x14ac:dyDescent="0.25">
      <c r="A1658" s="32" t="s">
        <v>34</v>
      </c>
      <c r="B1658" s="32">
        <f t="shared" ref="B1658:B1672" si="400">+B1657+1</f>
        <v>2045</v>
      </c>
      <c r="C1658" s="33" t="s">
        <v>14</v>
      </c>
      <c r="D1658" s="34" t="s">
        <v>1999</v>
      </c>
      <c r="E1658" s="35" t="str">
        <f t="shared" si="396"/>
        <v>PS'!</v>
      </c>
      <c r="F1658" s="34" t="str">
        <f t="shared" si="397"/>
        <v>C:\Users\jaime.benazar\Quorum Business Solutions\Ecopetrol Prometeo - Documents\Planning Space Implementation\3. Analysis &amp; Design\Design\FC22\DRR Jaime\QUIFA-CAJÚA\Cajua\[CAJUA_CF_SEC_New_27-Feb-2024Rev3.xlsx]D-PS'!</v>
      </c>
      <c r="G1658" s="32" t="s">
        <v>113</v>
      </c>
      <c r="H1658" s="33">
        <f t="shared" si="398"/>
        <v>34</v>
      </c>
      <c r="I1658" s="33" t="str">
        <f t="shared" si="399"/>
        <v>='C:\Users\jaime.benazar\Quorum Business Solutions\Ecopetrol Prometeo - Documents\Planning Space Implementation\3. Analysis &amp; Design\Design\FC22\DRR Jaime\QUIFA-CAJÚA\Cajua\[CAJUA_CF_SEC_New_27-Feb-2024Rev3.xlsx]D-PS'!$CA$34</v>
      </c>
      <c r="J1658" s="37" t="s">
        <v>2725</v>
      </c>
    </row>
    <row r="1659" spans="1:10" x14ac:dyDescent="0.25">
      <c r="A1659" s="32" t="s">
        <v>34</v>
      </c>
      <c r="B1659" s="32">
        <f t="shared" si="400"/>
        <v>2046</v>
      </c>
      <c r="C1659" s="33" t="s">
        <v>14</v>
      </c>
      <c r="D1659" s="34" t="s">
        <v>1999</v>
      </c>
      <c r="E1659" s="35" t="str">
        <f t="shared" si="396"/>
        <v>PS'!</v>
      </c>
      <c r="F1659" s="34" t="str">
        <f t="shared" si="397"/>
        <v>C:\Users\jaime.benazar\Quorum Business Solutions\Ecopetrol Prometeo - Documents\Planning Space Implementation\3. Analysis &amp; Design\Design\FC22\DRR Jaime\QUIFA-CAJÚA\Cajua\[CAJUA_CF_SEC_New_27-Feb-2024Rev3.xlsx]D-PS'!</v>
      </c>
      <c r="G1659" s="32" t="s">
        <v>113</v>
      </c>
      <c r="H1659" s="33">
        <f t="shared" si="398"/>
        <v>35</v>
      </c>
      <c r="I1659" s="33" t="str">
        <f t="shared" si="399"/>
        <v>='C:\Users\jaime.benazar\Quorum Business Solutions\Ecopetrol Prometeo - Documents\Planning Space Implementation\3. Analysis &amp; Design\Design\FC22\DRR Jaime\QUIFA-CAJÚA\Cajua\[CAJUA_CF_SEC_New_27-Feb-2024Rev3.xlsx]D-PS'!$CA$35</v>
      </c>
      <c r="J1659" s="37" t="s">
        <v>2726</v>
      </c>
    </row>
    <row r="1660" spans="1:10" x14ac:dyDescent="0.25">
      <c r="A1660" s="32" t="s">
        <v>34</v>
      </c>
      <c r="B1660" s="32">
        <f t="shared" si="400"/>
        <v>2047</v>
      </c>
      <c r="C1660" s="33" t="s">
        <v>14</v>
      </c>
      <c r="D1660" s="34" t="s">
        <v>1999</v>
      </c>
      <c r="E1660" s="35" t="str">
        <f t="shared" si="396"/>
        <v>PS'!</v>
      </c>
      <c r="F1660" s="34" t="str">
        <f t="shared" si="397"/>
        <v>C:\Users\jaime.benazar\Quorum Business Solutions\Ecopetrol Prometeo - Documents\Planning Space Implementation\3. Analysis &amp; Design\Design\FC22\DRR Jaime\QUIFA-CAJÚA\Cajua\[CAJUA_CF_SEC_New_27-Feb-2024Rev3.xlsx]D-PS'!</v>
      </c>
      <c r="G1660" s="32" t="s">
        <v>113</v>
      </c>
      <c r="H1660" s="33">
        <f t="shared" si="398"/>
        <v>36</v>
      </c>
      <c r="I1660" s="33" t="str">
        <f t="shared" si="399"/>
        <v>='C:\Users\jaime.benazar\Quorum Business Solutions\Ecopetrol Prometeo - Documents\Planning Space Implementation\3. Analysis &amp; Design\Design\FC22\DRR Jaime\QUIFA-CAJÚA\Cajua\[CAJUA_CF_SEC_New_27-Feb-2024Rev3.xlsx]D-PS'!$CA$36</v>
      </c>
      <c r="J1660" s="37" t="s">
        <v>2727</v>
      </c>
    </row>
    <row r="1661" spans="1:10" x14ac:dyDescent="0.25">
      <c r="A1661" s="32" t="s">
        <v>34</v>
      </c>
      <c r="B1661" s="32">
        <f t="shared" si="400"/>
        <v>2048</v>
      </c>
      <c r="C1661" s="33" t="s">
        <v>14</v>
      </c>
      <c r="D1661" s="34" t="s">
        <v>1999</v>
      </c>
      <c r="E1661" s="35" t="str">
        <f t="shared" si="396"/>
        <v>PS'!</v>
      </c>
      <c r="F1661" s="34" t="str">
        <f t="shared" si="397"/>
        <v>C:\Users\jaime.benazar\Quorum Business Solutions\Ecopetrol Prometeo - Documents\Planning Space Implementation\3. Analysis &amp; Design\Design\FC22\DRR Jaime\QUIFA-CAJÚA\Cajua\[CAJUA_CF_SEC_New_27-Feb-2024Rev3.xlsx]D-PS'!</v>
      </c>
      <c r="G1661" s="32" t="s">
        <v>113</v>
      </c>
      <c r="H1661" s="33">
        <f t="shared" si="398"/>
        <v>37</v>
      </c>
      <c r="I1661" s="33" t="str">
        <f t="shared" si="399"/>
        <v>='C:\Users\jaime.benazar\Quorum Business Solutions\Ecopetrol Prometeo - Documents\Planning Space Implementation\3. Analysis &amp; Design\Design\FC22\DRR Jaime\QUIFA-CAJÚA\Cajua\[CAJUA_CF_SEC_New_27-Feb-2024Rev3.xlsx]D-PS'!$CA$37</v>
      </c>
      <c r="J1661" s="37" t="s">
        <v>2728</v>
      </c>
    </row>
    <row r="1662" spans="1:10" x14ac:dyDescent="0.25">
      <c r="A1662" s="32" t="s">
        <v>34</v>
      </c>
      <c r="B1662" s="32">
        <f t="shared" si="400"/>
        <v>2049</v>
      </c>
      <c r="C1662" s="33" t="s">
        <v>14</v>
      </c>
      <c r="D1662" s="34" t="s">
        <v>1999</v>
      </c>
      <c r="E1662" s="35" t="str">
        <f t="shared" si="396"/>
        <v>PS'!</v>
      </c>
      <c r="F1662" s="34" t="str">
        <f t="shared" si="397"/>
        <v>C:\Users\jaime.benazar\Quorum Business Solutions\Ecopetrol Prometeo - Documents\Planning Space Implementation\3. Analysis &amp; Design\Design\FC22\DRR Jaime\QUIFA-CAJÚA\Cajua\[CAJUA_CF_SEC_New_27-Feb-2024Rev3.xlsx]D-PS'!</v>
      </c>
      <c r="G1662" s="32" t="s">
        <v>113</v>
      </c>
      <c r="H1662" s="33">
        <f t="shared" si="398"/>
        <v>38</v>
      </c>
      <c r="I1662" s="33" t="str">
        <f t="shared" si="399"/>
        <v>='C:\Users\jaime.benazar\Quorum Business Solutions\Ecopetrol Prometeo - Documents\Planning Space Implementation\3. Analysis &amp; Design\Design\FC22\DRR Jaime\QUIFA-CAJÚA\Cajua\[CAJUA_CF_SEC_New_27-Feb-2024Rev3.xlsx]D-PS'!$CA$38</v>
      </c>
      <c r="J1662" s="37" t="s">
        <v>2729</v>
      </c>
    </row>
    <row r="1663" spans="1:10" x14ac:dyDescent="0.25">
      <c r="A1663" s="32" t="s">
        <v>34</v>
      </c>
      <c r="B1663" s="32">
        <f t="shared" si="400"/>
        <v>2050</v>
      </c>
      <c r="C1663" s="33" t="s">
        <v>14</v>
      </c>
      <c r="D1663" s="34" t="s">
        <v>1999</v>
      </c>
      <c r="E1663" s="35" t="str">
        <f t="shared" si="396"/>
        <v>PS'!</v>
      </c>
      <c r="F1663" s="34" t="str">
        <f t="shared" si="397"/>
        <v>C:\Users\jaime.benazar\Quorum Business Solutions\Ecopetrol Prometeo - Documents\Planning Space Implementation\3. Analysis &amp; Design\Design\FC22\DRR Jaime\QUIFA-CAJÚA\Cajua\[CAJUA_CF_SEC_New_27-Feb-2024Rev3.xlsx]D-PS'!</v>
      </c>
      <c r="G1663" s="32" t="s">
        <v>113</v>
      </c>
      <c r="H1663" s="33">
        <f t="shared" si="398"/>
        <v>39</v>
      </c>
      <c r="I1663" s="33" t="str">
        <f t="shared" si="399"/>
        <v>='C:\Users\jaime.benazar\Quorum Business Solutions\Ecopetrol Prometeo - Documents\Planning Space Implementation\3. Analysis &amp; Design\Design\FC22\DRR Jaime\QUIFA-CAJÚA\Cajua\[CAJUA_CF_SEC_New_27-Feb-2024Rev3.xlsx]D-PS'!$CA$39</v>
      </c>
      <c r="J1663" s="37" t="s">
        <v>2730</v>
      </c>
    </row>
    <row r="1664" spans="1:10" x14ac:dyDescent="0.25">
      <c r="A1664" s="32" t="s">
        <v>34</v>
      </c>
      <c r="B1664" s="32">
        <f t="shared" si="400"/>
        <v>2051</v>
      </c>
      <c r="C1664" s="33" t="s">
        <v>14</v>
      </c>
      <c r="D1664" s="34" t="s">
        <v>1999</v>
      </c>
      <c r="E1664" s="35" t="str">
        <f t="shared" si="396"/>
        <v>PS'!</v>
      </c>
      <c r="F1664" s="34" t="str">
        <f t="shared" si="397"/>
        <v>C:\Users\jaime.benazar\Quorum Business Solutions\Ecopetrol Prometeo - Documents\Planning Space Implementation\3. Analysis &amp; Design\Design\FC22\DRR Jaime\QUIFA-CAJÚA\Cajua\[CAJUA_CF_SEC_New_27-Feb-2024Rev3.xlsx]D-PS'!</v>
      </c>
      <c r="G1664" s="32" t="s">
        <v>113</v>
      </c>
      <c r="H1664" s="33">
        <f t="shared" si="398"/>
        <v>40</v>
      </c>
      <c r="I1664" s="33" t="str">
        <f t="shared" si="399"/>
        <v>='C:\Users\jaime.benazar\Quorum Business Solutions\Ecopetrol Prometeo - Documents\Planning Space Implementation\3. Analysis &amp; Design\Design\FC22\DRR Jaime\QUIFA-CAJÚA\Cajua\[CAJUA_CF_SEC_New_27-Feb-2024Rev3.xlsx]D-PS'!$CA$40</v>
      </c>
      <c r="J1664" s="37" t="s">
        <v>2731</v>
      </c>
    </row>
    <row r="1665" spans="1:10" x14ac:dyDescent="0.25">
      <c r="A1665" s="32" t="s">
        <v>34</v>
      </c>
      <c r="B1665" s="32">
        <f t="shared" si="400"/>
        <v>2052</v>
      </c>
      <c r="C1665" s="33" t="s">
        <v>14</v>
      </c>
      <c r="D1665" s="34" t="s">
        <v>1999</v>
      </c>
      <c r="E1665" s="35" t="str">
        <f t="shared" si="396"/>
        <v>PS'!</v>
      </c>
      <c r="F1665" s="34" t="str">
        <f t="shared" si="397"/>
        <v>C:\Users\jaime.benazar\Quorum Business Solutions\Ecopetrol Prometeo - Documents\Planning Space Implementation\3. Analysis &amp; Design\Design\FC22\DRR Jaime\QUIFA-CAJÚA\Cajua\[CAJUA_CF_SEC_New_27-Feb-2024Rev3.xlsx]D-PS'!</v>
      </c>
      <c r="G1665" s="32" t="s">
        <v>113</v>
      </c>
      <c r="H1665" s="33">
        <f t="shared" si="398"/>
        <v>41</v>
      </c>
      <c r="I1665" s="33" t="str">
        <f t="shared" si="399"/>
        <v>='C:\Users\jaime.benazar\Quorum Business Solutions\Ecopetrol Prometeo - Documents\Planning Space Implementation\3. Analysis &amp; Design\Design\FC22\DRR Jaime\QUIFA-CAJÚA\Cajua\[CAJUA_CF_SEC_New_27-Feb-2024Rev3.xlsx]D-PS'!$CA$41</v>
      </c>
      <c r="J1665" s="37" t="s">
        <v>2732</v>
      </c>
    </row>
    <row r="1666" spans="1:10" x14ac:dyDescent="0.25">
      <c r="A1666" s="32" t="s">
        <v>34</v>
      </c>
      <c r="B1666" s="32">
        <f t="shared" si="400"/>
        <v>2053</v>
      </c>
      <c r="C1666" s="33" t="s">
        <v>14</v>
      </c>
      <c r="D1666" s="34" t="s">
        <v>1999</v>
      </c>
      <c r="E1666" s="35" t="str">
        <f t="shared" si="396"/>
        <v>PS'!</v>
      </c>
      <c r="F1666" s="34" t="str">
        <f t="shared" si="397"/>
        <v>C:\Users\jaime.benazar\Quorum Business Solutions\Ecopetrol Prometeo - Documents\Planning Space Implementation\3. Analysis &amp; Design\Design\FC22\DRR Jaime\QUIFA-CAJÚA\Cajua\[CAJUA_CF_SEC_New_27-Feb-2024Rev3.xlsx]D-PS'!</v>
      </c>
      <c r="G1666" s="32" t="s">
        <v>113</v>
      </c>
      <c r="H1666" s="33">
        <f t="shared" si="398"/>
        <v>42</v>
      </c>
      <c r="I1666" s="33" t="str">
        <f t="shared" si="399"/>
        <v>='C:\Users\jaime.benazar\Quorum Business Solutions\Ecopetrol Prometeo - Documents\Planning Space Implementation\3. Analysis &amp; Design\Design\FC22\DRR Jaime\QUIFA-CAJÚA\Cajua\[CAJUA_CF_SEC_New_27-Feb-2024Rev3.xlsx]D-PS'!$CA$42</v>
      </c>
      <c r="J1666" s="37" t="s">
        <v>2733</v>
      </c>
    </row>
    <row r="1667" spans="1:10" x14ac:dyDescent="0.25">
      <c r="A1667" s="32" t="s">
        <v>34</v>
      </c>
      <c r="B1667" s="32">
        <f t="shared" si="400"/>
        <v>2054</v>
      </c>
      <c r="C1667" s="33" t="s">
        <v>14</v>
      </c>
      <c r="D1667" s="34" t="s">
        <v>1999</v>
      </c>
      <c r="E1667" s="35" t="str">
        <f t="shared" si="396"/>
        <v>PS'!</v>
      </c>
      <c r="F1667" s="34" t="str">
        <f t="shared" si="397"/>
        <v>C:\Users\jaime.benazar\Quorum Business Solutions\Ecopetrol Prometeo - Documents\Planning Space Implementation\3. Analysis &amp; Design\Design\FC22\DRR Jaime\QUIFA-CAJÚA\Cajua\[CAJUA_CF_SEC_New_27-Feb-2024Rev3.xlsx]D-PS'!</v>
      </c>
      <c r="G1667" s="32" t="s">
        <v>113</v>
      </c>
      <c r="H1667" s="33">
        <f t="shared" si="398"/>
        <v>43</v>
      </c>
      <c r="I1667" s="33" t="str">
        <f t="shared" si="399"/>
        <v>='C:\Users\jaime.benazar\Quorum Business Solutions\Ecopetrol Prometeo - Documents\Planning Space Implementation\3. Analysis &amp; Design\Design\FC22\DRR Jaime\QUIFA-CAJÚA\Cajua\[CAJUA_CF_SEC_New_27-Feb-2024Rev3.xlsx]D-PS'!$CA$43</v>
      </c>
      <c r="J1667" s="37" t="s">
        <v>2734</v>
      </c>
    </row>
    <row r="1668" spans="1:10" x14ac:dyDescent="0.25">
      <c r="A1668" s="32" t="s">
        <v>34</v>
      </c>
      <c r="B1668" s="32">
        <f t="shared" si="400"/>
        <v>2055</v>
      </c>
      <c r="C1668" s="33" t="s">
        <v>14</v>
      </c>
      <c r="D1668" s="34" t="s">
        <v>1999</v>
      </c>
      <c r="E1668" s="35" t="str">
        <f t="shared" si="396"/>
        <v>PS'!</v>
      </c>
      <c r="F1668" s="34" t="str">
        <f t="shared" si="397"/>
        <v>C:\Users\jaime.benazar\Quorum Business Solutions\Ecopetrol Prometeo - Documents\Planning Space Implementation\3. Analysis &amp; Design\Design\FC22\DRR Jaime\QUIFA-CAJÚA\Cajua\[CAJUA_CF_SEC_New_27-Feb-2024Rev3.xlsx]D-PS'!</v>
      </c>
      <c r="G1668" s="32" t="s">
        <v>113</v>
      </c>
      <c r="H1668" s="33">
        <f t="shared" si="398"/>
        <v>44</v>
      </c>
      <c r="I1668" s="33" t="str">
        <f t="shared" si="399"/>
        <v>='C:\Users\jaime.benazar\Quorum Business Solutions\Ecopetrol Prometeo - Documents\Planning Space Implementation\3. Analysis &amp; Design\Design\FC22\DRR Jaime\QUIFA-CAJÚA\Cajua\[CAJUA_CF_SEC_New_27-Feb-2024Rev3.xlsx]D-PS'!$CA$44</v>
      </c>
      <c r="J1668" s="37" t="s">
        <v>2735</v>
      </c>
    </row>
    <row r="1669" spans="1:10" x14ac:dyDescent="0.25">
      <c r="A1669" s="32" t="s">
        <v>34</v>
      </c>
      <c r="B1669" s="32">
        <f t="shared" si="400"/>
        <v>2056</v>
      </c>
      <c r="C1669" s="33" t="s">
        <v>14</v>
      </c>
      <c r="D1669" s="34" t="s">
        <v>1999</v>
      </c>
      <c r="E1669" s="35" t="str">
        <f t="shared" si="396"/>
        <v>PS'!</v>
      </c>
      <c r="F1669" s="34" t="str">
        <f t="shared" si="397"/>
        <v>C:\Users\jaime.benazar\Quorum Business Solutions\Ecopetrol Prometeo - Documents\Planning Space Implementation\3. Analysis &amp; Design\Design\FC22\DRR Jaime\QUIFA-CAJÚA\Cajua\[CAJUA_CF_SEC_New_27-Feb-2024Rev3.xlsx]D-PS'!</v>
      </c>
      <c r="G1669" s="32" t="s">
        <v>113</v>
      </c>
      <c r="H1669" s="33">
        <f t="shared" si="398"/>
        <v>45</v>
      </c>
      <c r="I1669" s="33" t="str">
        <f t="shared" si="399"/>
        <v>='C:\Users\jaime.benazar\Quorum Business Solutions\Ecopetrol Prometeo - Documents\Planning Space Implementation\3. Analysis &amp; Design\Design\FC22\DRR Jaime\QUIFA-CAJÚA\Cajua\[CAJUA_CF_SEC_New_27-Feb-2024Rev3.xlsx]D-PS'!$CA$45</v>
      </c>
      <c r="J1669" s="37" t="s">
        <v>2736</v>
      </c>
    </row>
    <row r="1670" spans="1:10" x14ac:dyDescent="0.25">
      <c r="A1670" s="32" t="s">
        <v>34</v>
      </c>
      <c r="B1670" s="32">
        <f t="shared" si="400"/>
        <v>2057</v>
      </c>
      <c r="C1670" s="33" t="s">
        <v>14</v>
      </c>
      <c r="D1670" s="34" t="s">
        <v>1999</v>
      </c>
      <c r="E1670" s="35" t="str">
        <f t="shared" si="396"/>
        <v>PS'!</v>
      </c>
      <c r="F1670" s="34" t="str">
        <f t="shared" si="397"/>
        <v>C:\Users\jaime.benazar\Quorum Business Solutions\Ecopetrol Prometeo - Documents\Planning Space Implementation\3. Analysis &amp; Design\Design\FC22\DRR Jaime\QUIFA-CAJÚA\Cajua\[CAJUA_CF_SEC_New_27-Feb-2024Rev3.xlsx]D-PS'!</v>
      </c>
      <c r="G1670" s="32" t="s">
        <v>113</v>
      </c>
      <c r="H1670" s="33">
        <f t="shared" si="398"/>
        <v>46</v>
      </c>
      <c r="I1670" s="33" t="str">
        <f t="shared" si="399"/>
        <v>='C:\Users\jaime.benazar\Quorum Business Solutions\Ecopetrol Prometeo - Documents\Planning Space Implementation\3. Analysis &amp; Design\Design\FC22\DRR Jaime\QUIFA-CAJÚA\Cajua\[CAJUA_CF_SEC_New_27-Feb-2024Rev3.xlsx]D-PS'!$CA$46</v>
      </c>
      <c r="J1670" s="37" t="s">
        <v>2737</v>
      </c>
    </row>
    <row r="1671" spans="1:10" x14ac:dyDescent="0.25">
      <c r="A1671" s="32" t="s">
        <v>34</v>
      </c>
      <c r="B1671" s="32">
        <f t="shared" si="400"/>
        <v>2058</v>
      </c>
      <c r="C1671" s="33" t="s">
        <v>14</v>
      </c>
      <c r="D1671" s="34" t="s">
        <v>1999</v>
      </c>
      <c r="E1671" s="35" t="str">
        <f t="shared" si="396"/>
        <v>PS'!</v>
      </c>
      <c r="F1671" s="34" t="str">
        <f t="shared" si="397"/>
        <v>C:\Users\jaime.benazar\Quorum Business Solutions\Ecopetrol Prometeo - Documents\Planning Space Implementation\3. Analysis &amp; Design\Design\FC22\DRR Jaime\QUIFA-CAJÚA\Cajua\[CAJUA_CF_SEC_New_27-Feb-2024Rev3.xlsx]D-PS'!</v>
      </c>
      <c r="G1671" s="32" t="s">
        <v>113</v>
      </c>
      <c r="H1671" s="33">
        <f t="shared" si="398"/>
        <v>47</v>
      </c>
      <c r="I1671" s="33" t="str">
        <f t="shared" si="399"/>
        <v>='C:\Users\jaime.benazar\Quorum Business Solutions\Ecopetrol Prometeo - Documents\Planning Space Implementation\3. Analysis &amp; Design\Design\FC22\DRR Jaime\QUIFA-CAJÚA\Cajua\[CAJUA_CF_SEC_New_27-Feb-2024Rev3.xlsx]D-PS'!$CA$47</v>
      </c>
      <c r="J1671" s="37" t="s">
        <v>2738</v>
      </c>
    </row>
    <row r="1672" spans="1:10" x14ac:dyDescent="0.25">
      <c r="A1672" s="32" t="s">
        <v>34</v>
      </c>
      <c r="B1672" s="32">
        <f t="shared" si="400"/>
        <v>2059</v>
      </c>
      <c r="C1672" s="33" t="s">
        <v>14</v>
      </c>
      <c r="D1672" s="34" t="s">
        <v>1999</v>
      </c>
      <c r="E1672" s="35" t="str">
        <f t="shared" si="396"/>
        <v>PS'!</v>
      </c>
      <c r="F1672" s="34" t="str">
        <f t="shared" si="397"/>
        <v>C:\Users\jaime.benazar\Quorum Business Solutions\Ecopetrol Prometeo - Documents\Planning Space Implementation\3. Analysis &amp; Design\Design\FC22\DRR Jaime\QUIFA-CAJÚA\Cajua\[CAJUA_CF_SEC_New_27-Feb-2024Rev3.xlsx]D-PS'!</v>
      </c>
      <c r="G1672" s="32" t="s">
        <v>113</v>
      </c>
      <c r="H1672" s="33">
        <f t="shared" si="398"/>
        <v>48</v>
      </c>
      <c r="I1672" s="33" t="str">
        <f t="shared" si="399"/>
        <v>='C:\Users\jaime.benazar\Quorum Business Solutions\Ecopetrol Prometeo - Documents\Planning Space Implementation\3. Analysis &amp; Design\Design\FC22\DRR Jaime\QUIFA-CAJÚA\Cajua\[CAJUA_CF_SEC_New_27-Feb-2024Rev3.xlsx]D-PS'!$CA$48</v>
      </c>
      <c r="J1672" s="37" t="s">
        <v>2739</v>
      </c>
    </row>
    <row r="1673" spans="1:10" x14ac:dyDescent="0.25">
      <c r="A1673" s="32" t="s">
        <v>28</v>
      </c>
      <c r="B1673" s="32"/>
      <c r="C1673" s="33" t="s">
        <v>14</v>
      </c>
      <c r="D1673" s="34"/>
      <c r="E1673" s="35"/>
      <c r="F1673" s="34"/>
      <c r="G1673" s="32"/>
      <c r="H1673" s="33"/>
      <c r="I1673" s="33"/>
      <c r="J1673" s="33"/>
    </row>
    <row r="1674" spans="1:10" x14ac:dyDescent="0.2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Jaime\QUIFA-CAJÚA\Cajua\[CAJUA_CF_SEC_New_27-Feb-2024Rev3.xlsx]D-PDP'!</v>
      </c>
      <c r="G1674" s="32" t="s">
        <v>38</v>
      </c>
      <c r="H1674" s="33">
        <v>12</v>
      </c>
      <c r="I1674" s="33" t="str">
        <f>_xlfn.CONCAT("='",F1674:H1674)</f>
        <v>='C:\Users\jaime.benazar\Quorum Business Solutions\Ecopetrol Prometeo - Documents\Planning Space Implementation\3. Analysis &amp; Design\Design\FC22\DRR Jaime\QUIFA-CAJÚA\Cajua\[CAJUA_CF_SEC_New_27-Feb-2024Rev3.xlsx]D-PDP'!$BX$12</v>
      </c>
      <c r="J1674" s="37" t="s">
        <v>2740</v>
      </c>
    </row>
    <row r="1675" spans="1:10" x14ac:dyDescent="0.25">
      <c r="A1675" s="32" t="s">
        <v>1</v>
      </c>
      <c r="B1675" s="32">
        <f>+B1674+1</f>
        <v>2024</v>
      </c>
      <c r="C1675" s="33" t="s">
        <v>17</v>
      </c>
      <c r="D1675" s="34" t="s">
        <v>1999</v>
      </c>
      <c r="E1675" s="35" t="str">
        <f t="shared" ref="E1675:E1768" si="401">_xlfn.CONCAT(A1675,"'!")</f>
        <v>PDP'!</v>
      </c>
      <c r="F1675" s="34" t="str">
        <f t="shared" ref="F1675:F1768" si="402">_xlfn.CONCAT(D1675:E1675)</f>
        <v>C:\Users\jaime.benazar\Quorum Business Solutions\Ecopetrol Prometeo - Documents\Planning Space Implementation\3. Analysis &amp; Design\Design\FC22\DRR Jaime\QUIFA-CAJÚA\Cajua\[CAJUA_CF_SEC_New_27-Feb-2024Rev3.xlsx]D-PDP'!</v>
      </c>
      <c r="G1675" s="32" t="s">
        <v>38</v>
      </c>
      <c r="H1675" s="33">
        <f t="shared" ref="H1675:H1694" si="403">IF(A1675&lt;&gt;A1674,12,H1674+1)</f>
        <v>13</v>
      </c>
      <c r="I1675" s="33" t="str">
        <f t="shared" ref="I1675:I1694" si="404">_xlfn.CONCAT("='",F1675:H1675)</f>
        <v>='C:\Users\jaime.benazar\Quorum Business Solutions\Ecopetrol Prometeo - Documents\Planning Space Implementation\3. Analysis &amp; Design\Design\FC22\DRR Jaime\QUIFA-CAJÚA\Cajua\[CAJUA_CF_SEC_New_27-Feb-2024Rev3.xlsx]D-PDP'!$BX$13</v>
      </c>
      <c r="J1675" s="37" t="s">
        <v>2741</v>
      </c>
    </row>
    <row r="1676" spans="1:10" x14ac:dyDescent="0.25">
      <c r="A1676" s="32" t="s">
        <v>1</v>
      </c>
      <c r="B1676" s="32">
        <f t="shared" ref="B1676:B1687" si="405">+B1675+1</f>
        <v>2025</v>
      </c>
      <c r="C1676" s="33" t="s">
        <v>17</v>
      </c>
      <c r="D1676" s="34" t="s">
        <v>1999</v>
      </c>
      <c r="E1676" s="35" t="str">
        <f t="shared" si="401"/>
        <v>PDP'!</v>
      </c>
      <c r="F1676" s="34" t="str">
        <f t="shared" si="402"/>
        <v>C:\Users\jaime.benazar\Quorum Business Solutions\Ecopetrol Prometeo - Documents\Planning Space Implementation\3. Analysis &amp; Design\Design\FC22\DRR Jaime\QUIFA-CAJÚA\Cajua\[CAJUA_CF_SEC_New_27-Feb-2024Rev3.xlsx]D-PDP'!</v>
      </c>
      <c r="G1676" s="32" t="s">
        <v>38</v>
      </c>
      <c r="H1676" s="33">
        <f t="shared" si="403"/>
        <v>14</v>
      </c>
      <c r="I1676" s="33" t="str">
        <f t="shared" si="404"/>
        <v>='C:\Users\jaime.benazar\Quorum Business Solutions\Ecopetrol Prometeo - Documents\Planning Space Implementation\3. Analysis &amp; Design\Design\FC22\DRR Jaime\QUIFA-CAJÚA\Cajua\[CAJUA_CF_SEC_New_27-Feb-2024Rev3.xlsx]D-PDP'!$BX$14</v>
      </c>
      <c r="J1676" s="37" t="s">
        <v>2742</v>
      </c>
    </row>
    <row r="1677" spans="1:10" x14ac:dyDescent="0.25">
      <c r="A1677" s="32" t="s">
        <v>1</v>
      </c>
      <c r="B1677" s="32">
        <f t="shared" si="405"/>
        <v>2026</v>
      </c>
      <c r="C1677" s="33" t="s">
        <v>17</v>
      </c>
      <c r="D1677" s="34" t="s">
        <v>1999</v>
      </c>
      <c r="E1677" s="35" t="str">
        <f t="shared" si="401"/>
        <v>PDP'!</v>
      </c>
      <c r="F1677" s="34" t="str">
        <f t="shared" si="402"/>
        <v>C:\Users\jaime.benazar\Quorum Business Solutions\Ecopetrol Prometeo - Documents\Planning Space Implementation\3. Analysis &amp; Design\Design\FC22\DRR Jaime\QUIFA-CAJÚA\Cajua\[CAJUA_CF_SEC_New_27-Feb-2024Rev3.xlsx]D-PDP'!</v>
      </c>
      <c r="G1677" s="32" t="s">
        <v>38</v>
      </c>
      <c r="H1677" s="33">
        <f t="shared" si="403"/>
        <v>15</v>
      </c>
      <c r="I1677" s="33" t="str">
        <f t="shared" si="404"/>
        <v>='C:\Users\jaime.benazar\Quorum Business Solutions\Ecopetrol Prometeo - Documents\Planning Space Implementation\3. Analysis &amp; Design\Design\FC22\DRR Jaime\QUIFA-CAJÚA\Cajua\[CAJUA_CF_SEC_New_27-Feb-2024Rev3.xlsx]D-PDP'!$BX$15</v>
      </c>
      <c r="J1677" s="37" t="s">
        <v>2743</v>
      </c>
    </row>
    <row r="1678" spans="1:10" x14ac:dyDescent="0.25">
      <c r="A1678" s="32" t="s">
        <v>1</v>
      </c>
      <c r="B1678" s="32">
        <f t="shared" si="405"/>
        <v>2027</v>
      </c>
      <c r="C1678" s="33" t="s">
        <v>17</v>
      </c>
      <c r="D1678" s="34" t="s">
        <v>1999</v>
      </c>
      <c r="E1678" s="35" t="str">
        <f t="shared" si="401"/>
        <v>PDP'!</v>
      </c>
      <c r="F1678" s="34" t="str">
        <f t="shared" si="402"/>
        <v>C:\Users\jaime.benazar\Quorum Business Solutions\Ecopetrol Prometeo - Documents\Planning Space Implementation\3. Analysis &amp; Design\Design\FC22\DRR Jaime\QUIFA-CAJÚA\Cajua\[CAJUA_CF_SEC_New_27-Feb-2024Rev3.xlsx]D-PDP'!</v>
      </c>
      <c r="G1678" s="32" t="s">
        <v>38</v>
      </c>
      <c r="H1678" s="33">
        <f t="shared" si="403"/>
        <v>16</v>
      </c>
      <c r="I1678" s="33" t="str">
        <f t="shared" si="404"/>
        <v>='C:\Users\jaime.benazar\Quorum Business Solutions\Ecopetrol Prometeo - Documents\Planning Space Implementation\3. Analysis &amp; Design\Design\FC22\DRR Jaime\QUIFA-CAJÚA\Cajua\[CAJUA_CF_SEC_New_27-Feb-2024Rev3.xlsx]D-PDP'!$BX$16</v>
      </c>
      <c r="J1678" s="37" t="s">
        <v>2744</v>
      </c>
    </row>
    <row r="1679" spans="1:10" x14ac:dyDescent="0.25">
      <c r="A1679" s="32" t="s">
        <v>1</v>
      </c>
      <c r="B1679" s="32">
        <f t="shared" si="405"/>
        <v>2028</v>
      </c>
      <c r="C1679" s="33" t="s">
        <v>17</v>
      </c>
      <c r="D1679" s="34" t="s">
        <v>1999</v>
      </c>
      <c r="E1679" s="35" t="str">
        <f t="shared" si="401"/>
        <v>PDP'!</v>
      </c>
      <c r="F1679" s="34" t="str">
        <f t="shared" si="402"/>
        <v>C:\Users\jaime.benazar\Quorum Business Solutions\Ecopetrol Prometeo - Documents\Planning Space Implementation\3. Analysis &amp; Design\Design\FC22\DRR Jaime\QUIFA-CAJÚA\Cajua\[CAJUA_CF_SEC_New_27-Feb-2024Rev3.xlsx]D-PDP'!</v>
      </c>
      <c r="G1679" s="32" t="s">
        <v>38</v>
      </c>
      <c r="H1679" s="33">
        <f t="shared" si="403"/>
        <v>17</v>
      </c>
      <c r="I1679" s="33" t="str">
        <f t="shared" si="404"/>
        <v>='C:\Users\jaime.benazar\Quorum Business Solutions\Ecopetrol Prometeo - Documents\Planning Space Implementation\3. Analysis &amp; Design\Design\FC22\DRR Jaime\QUIFA-CAJÚA\Cajua\[CAJUA_CF_SEC_New_27-Feb-2024Rev3.xlsx]D-PDP'!$BX$17</v>
      </c>
      <c r="J1679" s="37" t="s">
        <v>2745</v>
      </c>
    </row>
    <row r="1680" spans="1:10" x14ac:dyDescent="0.25">
      <c r="A1680" s="32" t="s">
        <v>1</v>
      </c>
      <c r="B1680" s="32">
        <f t="shared" si="405"/>
        <v>2029</v>
      </c>
      <c r="C1680" s="33" t="s">
        <v>17</v>
      </c>
      <c r="D1680" s="34" t="s">
        <v>1999</v>
      </c>
      <c r="E1680" s="35" t="str">
        <f t="shared" si="401"/>
        <v>PDP'!</v>
      </c>
      <c r="F1680" s="34" t="str">
        <f t="shared" si="402"/>
        <v>C:\Users\jaime.benazar\Quorum Business Solutions\Ecopetrol Prometeo - Documents\Planning Space Implementation\3. Analysis &amp; Design\Design\FC22\DRR Jaime\QUIFA-CAJÚA\Cajua\[CAJUA_CF_SEC_New_27-Feb-2024Rev3.xlsx]D-PDP'!</v>
      </c>
      <c r="G1680" s="32" t="s">
        <v>38</v>
      </c>
      <c r="H1680" s="33">
        <f t="shared" si="403"/>
        <v>18</v>
      </c>
      <c r="I1680" s="33" t="str">
        <f t="shared" si="404"/>
        <v>='C:\Users\jaime.benazar\Quorum Business Solutions\Ecopetrol Prometeo - Documents\Planning Space Implementation\3. Analysis &amp; Design\Design\FC22\DRR Jaime\QUIFA-CAJÚA\Cajua\[CAJUA_CF_SEC_New_27-Feb-2024Rev3.xlsx]D-PDP'!$BX$18</v>
      </c>
      <c r="J1680" s="37" t="s">
        <v>2746</v>
      </c>
    </row>
    <row r="1681" spans="1:10" x14ac:dyDescent="0.25">
      <c r="A1681" s="32" t="s">
        <v>1</v>
      </c>
      <c r="B1681" s="32">
        <f t="shared" si="405"/>
        <v>2030</v>
      </c>
      <c r="C1681" s="33" t="s">
        <v>17</v>
      </c>
      <c r="D1681" s="34" t="s">
        <v>1999</v>
      </c>
      <c r="E1681" s="35" t="str">
        <f t="shared" si="401"/>
        <v>PDP'!</v>
      </c>
      <c r="F1681" s="34" t="str">
        <f t="shared" si="402"/>
        <v>C:\Users\jaime.benazar\Quorum Business Solutions\Ecopetrol Prometeo - Documents\Planning Space Implementation\3. Analysis &amp; Design\Design\FC22\DRR Jaime\QUIFA-CAJÚA\Cajua\[CAJUA_CF_SEC_New_27-Feb-2024Rev3.xlsx]D-PDP'!</v>
      </c>
      <c r="G1681" s="32" t="s">
        <v>38</v>
      </c>
      <c r="H1681" s="33">
        <f t="shared" si="403"/>
        <v>19</v>
      </c>
      <c r="I1681" s="33" t="str">
        <f t="shared" si="404"/>
        <v>='C:\Users\jaime.benazar\Quorum Business Solutions\Ecopetrol Prometeo - Documents\Planning Space Implementation\3. Analysis &amp; Design\Design\FC22\DRR Jaime\QUIFA-CAJÚA\Cajua\[CAJUA_CF_SEC_New_27-Feb-2024Rev3.xlsx]D-PDP'!$BX$19</v>
      </c>
      <c r="J1681" s="37" t="s">
        <v>2747</v>
      </c>
    </row>
    <row r="1682" spans="1:10" x14ac:dyDescent="0.25">
      <c r="A1682" s="32" t="s">
        <v>1</v>
      </c>
      <c r="B1682" s="32">
        <f t="shared" si="405"/>
        <v>2031</v>
      </c>
      <c r="C1682" s="33" t="s">
        <v>17</v>
      </c>
      <c r="D1682" s="34" t="s">
        <v>1999</v>
      </c>
      <c r="E1682" s="35" t="str">
        <f t="shared" si="401"/>
        <v>PDP'!</v>
      </c>
      <c r="F1682" s="34" t="str">
        <f t="shared" si="402"/>
        <v>C:\Users\jaime.benazar\Quorum Business Solutions\Ecopetrol Prometeo - Documents\Planning Space Implementation\3. Analysis &amp; Design\Design\FC22\DRR Jaime\QUIFA-CAJÚA\Cajua\[CAJUA_CF_SEC_New_27-Feb-2024Rev3.xlsx]D-PDP'!</v>
      </c>
      <c r="G1682" s="32" t="s">
        <v>38</v>
      </c>
      <c r="H1682" s="33">
        <f t="shared" si="403"/>
        <v>20</v>
      </c>
      <c r="I1682" s="33" t="str">
        <f t="shared" si="404"/>
        <v>='C:\Users\jaime.benazar\Quorum Business Solutions\Ecopetrol Prometeo - Documents\Planning Space Implementation\3. Analysis &amp; Design\Design\FC22\DRR Jaime\QUIFA-CAJÚA\Cajua\[CAJUA_CF_SEC_New_27-Feb-2024Rev3.xlsx]D-PDP'!$BX$20</v>
      </c>
      <c r="J1682" s="37" t="s">
        <v>2748</v>
      </c>
    </row>
    <row r="1683" spans="1:10" x14ac:dyDescent="0.25">
      <c r="A1683" s="32" t="s">
        <v>1</v>
      </c>
      <c r="B1683" s="32">
        <f t="shared" si="405"/>
        <v>2032</v>
      </c>
      <c r="C1683" s="33" t="s">
        <v>17</v>
      </c>
      <c r="D1683" s="34" t="s">
        <v>1999</v>
      </c>
      <c r="E1683" s="35" t="str">
        <f t="shared" si="401"/>
        <v>PDP'!</v>
      </c>
      <c r="F1683" s="34" t="str">
        <f t="shared" si="402"/>
        <v>C:\Users\jaime.benazar\Quorum Business Solutions\Ecopetrol Prometeo - Documents\Planning Space Implementation\3. Analysis &amp; Design\Design\FC22\DRR Jaime\QUIFA-CAJÚA\Cajua\[CAJUA_CF_SEC_New_27-Feb-2024Rev3.xlsx]D-PDP'!</v>
      </c>
      <c r="G1683" s="32" t="s">
        <v>38</v>
      </c>
      <c r="H1683" s="33">
        <f t="shared" si="403"/>
        <v>21</v>
      </c>
      <c r="I1683" s="33" t="str">
        <f t="shared" si="404"/>
        <v>='C:\Users\jaime.benazar\Quorum Business Solutions\Ecopetrol Prometeo - Documents\Planning Space Implementation\3. Analysis &amp; Design\Design\FC22\DRR Jaime\QUIFA-CAJÚA\Cajua\[CAJUA_CF_SEC_New_27-Feb-2024Rev3.xlsx]D-PDP'!$BX$21</v>
      </c>
      <c r="J1683" s="37" t="s">
        <v>2749</v>
      </c>
    </row>
    <row r="1684" spans="1:10" x14ac:dyDescent="0.25">
      <c r="A1684" s="32" t="s">
        <v>1</v>
      </c>
      <c r="B1684" s="32">
        <f t="shared" si="405"/>
        <v>2033</v>
      </c>
      <c r="C1684" s="33" t="s">
        <v>17</v>
      </c>
      <c r="D1684" s="34" t="s">
        <v>1999</v>
      </c>
      <c r="E1684" s="35" t="str">
        <f t="shared" si="401"/>
        <v>PDP'!</v>
      </c>
      <c r="F1684" s="34" t="str">
        <f t="shared" si="402"/>
        <v>C:\Users\jaime.benazar\Quorum Business Solutions\Ecopetrol Prometeo - Documents\Planning Space Implementation\3. Analysis &amp; Design\Design\FC22\DRR Jaime\QUIFA-CAJÚA\Cajua\[CAJUA_CF_SEC_New_27-Feb-2024Rev3.xlsx]D-PDP'!</v>
      </c>
      <c r="G1684" s="32" t="s">
        <v>38</v>
      </c>
      <c r="H1684" s="33">
        <f t="shared" si="403"/>
        <v>22</v>
      </c>
      <c r="I1684" s="33" t="str">
        <f t="shared" si="404"/>
        <v>='C:\Users\jaime.benazar\Quorum Business Solutions\Ecopetrol Prometeo - Documents\Planning Space Implementation\3. Analysis &amp; Design\Design\FC22\DRR Jaime\QUIFA-CAJÚA\Cajua\[CAJUA_CF_SEC_New_27-Feb-2024Rev3.xlsx]D-PDP'!$BX$22</v>
      </c>
      <c r="J1684" s="37" t="s">
        <v>2750</v>
      </c>
    </row>
    <row r="1685" spans="1:10" x14ac:dyDescent="0.25">
      <c r="A1685" s="32" t="s">
        <v>1</v>
      </c>
      <c r="B1685" s="32">
        <f t="shared" si="405"/>
        <v>2034</v>
      </c>
      <c r="C1685" s="33" t="s">
        <v>17</v>
      </c>
      <c r="D1685" s="34" t="s">
        <v>1999</v>
      </c>
      <c r="E1685" s="35" t="str">
        <f t="shared" si="401"/>
        <v>PDP'!</v>
      </c>
      <c r="F1685" s="34" t="str">
        <f t="shared" si="402"/>
        <v>C:\Users\jaime.benazar\Quorum Business Solutions\Ecopetrol Prometeo - Documents\Planning Space Implementation\3. Analysis &amp; Design\Design\FC22\DRR Jaime\QUIFA-CAJÚA\Cajua\[CAJUA_CF_SEC_New_27-Feb-2024Rev3.xlsx]D-PDP'!</v>
      </c>
      <c r="G1685" s="32" t="s">
        <v>38</v>
      </c>
      <c r="H1685" s="33">
        <f t="shared" si="403"/>
        <v>23</v>
      </c>
      <c r="I1685" s="33" t="str">
        <f t="shared" si="404"/>
        <v>='C:\Users\jaime.benazar\Quorum Business Solutions\Ecopetrol Prometeo - Documents\Planning Space Implementation\3. Analysis &amp; Design\Design\FC22\DRR Jaime\QUIFA-CAJÚA\Cajua\[CAJUA_CF_SEC_New_27-Feb-2024Rev3.xlsx]D-PDP'!$BX$23</v>
      </c>
      <c r="J1685" s="37" t="s">
        <v>2751</v>
      </c>
    </row>
    <row r="1686" spans="1:10" x14ac:dyDescent="0.25">
      <c r="A1686" s="32" t="s">
        <v>1</v>
      </c>
      <c r="B1686" s="32">
        <f t="shared" si="405"/>
        <v>2035</v>
      </c>
      <c r="C1686" s="33" t="s">
        <v>17</v>
      </c>
      <c r="D1686" s="34" t="s">
        <v>1999</v>
      </c>
      <c r="E1686" s="35" t="str">
        <f t="shared" si="401"/>
        <v>PDP'!</v>
      </c>
      <c r="F1686" s="34" t="str">
        <f t="shared" si="402"/>
        <v>C:\Users\jaime.benazar\Quorum Business Solutions\Ecopetrol Prometeo - Documents\Planning Space Implementation\3. Analysis &amp; Design\Design\FC22\DRR Jaime\QUIFA-CAJÚA\Cajua\[CAJUA_CF_SEC_New_27-Feb-2024Rev3.xlsx]D-PDP'!</v>
      </c>
      <c r="G1686" s="32" t="s">
        <v>38</v>
      </c>
      <c r="H1686" s="33">
        <f t="shared" si="403"/>
        <v>24</v>
      </c>
      <c r="I1686" s="33" t="str">
        <f t="shared" si="404"/>
        <v>='C:\Users\jaime.benazar\Quorum Business Solutions\Ecopetrol Prometeo - Documents\Planning Space Implementation\3. Analysis &amp; Design\Design\FC22\DRR Jaime\QUIFA-CAJÚA\Cajua\[CAJUA_CF_SEC_New_27-Feb-2024Rev3.xlsx]D-PDP'!$BX$24</v>
      </c>
      <c r="J1686" s="37" t="s">
        <v>2752</v>
      </c>
    </row>
    <row r="1687" spans="1:10" x14ac:dyDescent="0.25">
      <c r="A1687" s="32" t="s">
        <v>1</v>
      </c>
      <c r="B1687" s="32">
        <f t="shared" si="405"/>
        <v>2036</v>
      </c>
      <c r="C1687" s="33" t="s">
        <v>17</v>
      </c>
      <c r="D1687" s="34" t="s">
        <v>1999</v>
      </c>
      <c r="E1687" s="35" t="str">
        <f t="shared" si="401"/>
        <v>PDP'!</v>
      </c>
      <c r="F1687" s="34" t="str">
        <f t="shared" si="402"/>
        <v>C:\Users\jaime.benazar\Quorum Business Solutions\Ecopetrol Prometeo - Documents\Planning Space Implementation\3. Analysis &amp; Design\Design\FC22\DRR Jaime\QUIFA-CAJÚA\Cajua\[CAJUA_CF_SEC_New_27-Feb-2024Rev3.xlsx]D-PDP'!</v>
      </c>
      <c r="G1687" s="32" t="s">
        <v>38</v>
      </c>
      <c r="H1687" s="33">
        <f t="shared" si="403"/>
        <v>25</v>
      </c>
      <c r="I1687" s="33" t="str">
        <f t="shared" si="404"/>
        <v>='C:\Users\jaime.benazar\Quorum Business Solutions\Ecopetrol Prometeo - Documents\Planning Space Implementation\3. Analysis &amp; Design\Design\FC22\DRR Jaime\QUIFA-CAJÚA\Cajua\[CAJUA_CF_SEC_New_27-Feb-2024Rev3.xlsx]D-PDP'!$BX$25</v>
      </c>
      <c r="J1687" s="37" t="s">
        <v>2753</v>
      </c>
    </row>
    <row r="1688" spans="1:10" x14ac:dyDescent="0.25">
      <c r="A1688" s="32" t="s">
        <v>1</v>
      </c>
      <c r="B1688" s="32">
        <f>+B1687+1</f>
        <v>2037</v>
      </c>
      <c r="C1688" s="33" t="s">
        <v>17</v>
      </c>
      <c r="D1688" s="34" t="s">
        <v>1999</v>
      </c>
      <c r="E1688" s="35" t="str">
        <f t="shared" si="401"/>
        <v>PDP'!</v>
      </c>
      <c r="F1688" s="34" t="str">
        <f t="shared" si="402"/>
        <v>C:\Users\jaime.benazar\Quorum Business Solutions\Ecopetrol Prometeo - Documents\Planning Space Implementation\3. Analysis &amp; Design\Design\FC22\DRR Jaime\QUIFA-CAJÚA\Cajua\[CAJUA_CF_SEC_New_27-Feb-2024Rev3.xlsx]D-PDP'!</v>
      </c>
      <c r="G1688" s="32" t="s">
        <v>38</v>
      </c>
      <c r="H1688" s="33">
        <f t="shared" si="403"/>
        <v>26</v>
      </c>
      <c r="I1688" s="33" t="str">
        <f t="shared" si="404"/>
        <v>='C:\Users\jaime.benazar\Quorum Business Solutions\Ecopetrol Prometeo - Documents\Planning Space Implementation\3. Analysis &amp; Design\Design\FC22\DRR Jaime\QUIFA-CAJÚA\Cajua\[CAJUA_CF_SEC_New_27-Feb-2024Rev3.xlsx]D-PDP'!$BX$26</v>
      </c>
      <c r="J1688" s="37" t="s">
        <v>2754</v>
      </c>
    </row>
    <row r="1689" spans="1:10" x14ac:dyDescent="0.25">
      <c r="A1689" s="32" t="s">
        <v>1</v>
      </c>
      <c r="B1689" s="32">
        <f t="shared" ref="B1689:B1691" si="406">+B1688+1</f>
        <v>2038</v>
      </c>
      <c r="C1689" s="33" t="s">
        <v>17</v>
      </c>
      <c r="D1689" s="34" t="s">
        <v>1999</v>
      </c>
      <c r="E1689" s="35" t="str">
        <f t="shared" si="401"/>
        <v>PDP'!</v>
      </c>
      <c r="F1689" s="34" t="str">
        <f t="shared" si="402"/>
        <v>C:\Users\jaime.benazar\Quorum Business Solutions\Ecopetrol Prometeo - Documents\Planning Space Implementation\3. Analysis &amp; Design\Design\FC22\DRR Jaime\QUIFA-CAJÚA\Cajua\[CAJUA_CF_SEC_New_27-Feb-2024Rev3.xlsx]D-PDP'!</v>
      </c>
      <c r="G1689" s="32" t="s">
        <v>38</v>
      </c>
      <c r="H1689" s="33">
        <f t="shared" si="403"/>
        <v>27</v>
      </c>
      <c r="I1689" s="33" t="str">
        <f t="shared" si="404"/>
        <v>='C:\Users\jaime.benazar\Quorum Business Solutions\Ecopetrol Prometeo - Documents\Planning Space Implementation\3. Analysis &amp; Design\Design\FC22\DRR Jaime\QUIFA-CAJÚA\Cajua\[CAJUA_CF_SEC_New_27-Feb-2024Rev3.xlsx]D-PDP'!$BX$27</v>
      </c>
      <c r="J1689" s="37" t="s">
        <v>2755</v>
      </c>
    </row>
    <row r="1690" spans="1:10" x14ac:dyDescent="0.25">
      <c r="A1690" s="32" t="s">
        <v>1</v>
      </c>
      <c r="B1690" s="32">
        <f t="shared" si="406"/>
        <v>2039</v>
      </c>
      <c r="C1690" s="33" t="s">
        <v>17</v>
      </c>
      <c r="D1690" s="34" t="s">
        <v>1999</v>
      </c>
      <c r="E1690" s="35" t="str">
        <f t="shared" si="401"/>
        <v>PDP'!</v>
      </c>
      <c r="F1690" s="34" t="str">
        <f t="shared" si="402"/>
        <v>C:\Users\jaime.benazar\Quorum Business Solutions\Ecopetrol Prometeo - Documents\Planning Space Implementation\3. Analysis &amp; Design\Design\FC22\DRR Jaime\QUIFA-CAJÚA\Cajua\[CAJUA_CF_SEC_New_27-Feb-2024Rev3.xlsx]D-PDP'!</v>
      </c>
      <c r="G1690" s="32" t="s">
        <v>38</v>
      </c>
      <c r="H1690" s="33">
        <f t="shared" si="403"/>
        <v>28</v>
      </c>
      <c r="I1690" s="33" t="str">
        <f t="shared" si="404"/>
        <v>='C:\Users\jaime.benazar\Quorum Business Solutions\Ecopetrol Prometeo - Documents\Planning Space Implementation\3. Analysis &amp; Design\Design\FC22\DRR Jaime\QUIFA-CAJÚA\Cajua\[CAJUA_CF_SEC_New_27-Feb-2024Rev3.xlsx]D-PDP'!$BX$28</v>
      </c>
      <c r="J1690" s="37" t="s">
        <v>2756</v>
      </c>
    </row>
    <row r="1691" spans="1:10" x14ac:dyDescent="0.25">
      <c r="A1691" s="32" t="s">
        <v>1</v>
      </c>
      <c r="B1691" s="32">
        <f t="shared" si="406"/>
        <v>2040</v>
      </c>
      <c r="C1691" s="33" t="s">
        <v>17</v>
      </c>
      <c r="D1691" s="34" t="s">
        <v>1999</v>
      </c>
      <c r="E1691" s="35" t="str">
        <f t="shared" si="401"/>
        <v>PDP'!</v>
      </c>
      <c r="F1691" s="34" t="str">
        <f t="shared" si="402"/>
        <v>C:\Users\jaime.benazar\Quorum Business Solutions\Ecopetrol Prometeo - Documents\Planning Space Implementation\3. Analysis &amp; Design\Design\FC22\DRR Jaime\QUIFA-CAJÚA\Cajua\[CAJUA_CF_SEC_New_27-Feb-2024Rev3.xlsx]D-PDP'!</v>
      </c>
      <c r="G1691" s="32" t="s">
        <v>38</v>
      </c>
      <c r="H1691" s="33">
        <f t="shared" si="403"/>
        <v>29</v>
      </c>
      <c r="I1691" s="33" t="str">
        <f t="shared" si="404"/>
        <v>='C:\Users\jaime.benazar\Quorum Business Solutions\Ecopetrol Prometeo - Documents\Planning Space Implementation\3. Analysis &amp; Design\Design\FC22\DRR Jaime\QUIFA-CAJÚA\Cajua\[CAJUA_CF_SEC_New_27-Feb-2024Rev3.xlsx]D-PDP'!$BX$29</v>
      </c>
      <c r="J1691" s="37" t="s">
        <v>2757</v>
      </c>
    </row>
    <row r="1692" spans="1:10" x14ac:dyDescent="0.25">
      <c r="A1692" s="32" t="s">
        <v>1</v>
      </c>
      <c r="B1692" s="32">
        <f>+B1691+1</f>
        <v>2041</v>
      </c>
      <c r="C1692" s="33" t="s">
        <v>17</v>
      </c>
      <c r="D1692" s="34" t="s">
        <v>1999</v>
      </c>
      <c r="E1692" s="35" t="str">
        <f t="shared" si="401"/>
        <v>PDP'!</v>
      </c>
      <c r="F1692" s="34" t="str">
        <f t="shared" si="402"/>
        <v>C:\Users\jaime.benazar\Quorum Business Solutions\Ecopetrol Prometeo - Documents\Planning Space Implementation\3. Analysis &amp; Design\Design\FC22\DRR Jaime\QUIFA-CAJÚA\Cajua\[CAJUA_CF_SEC_New_27-Feb-2024Rev3.xlsx]D-PDP'!</v>
      </c>
      <c r="G1692" s="32" t="s">
        <v>38</v>
      </c>
      <c r="H1692" s="33">
        <f t="shared" si="403"/>
        <v>30</v>
      </c>
      <c r="I1692" s="33" t="str">
        <f t="shared" si="404"/>
        <v>='C:\Users\jaime.benazar\Quorum Business Solutions\Ecopetrol Prometeo - Documents\Planning Space Implementation\3. Analysis &amp; Design\Design\FC22\DRR Jaime\QUIFA-CAJÚA\Cajua\[CAJUA_CF_SEC_New_27-Feb-2024Rev3.xlsx]D-PDP'!$BX$30</v>
      </c>
      <c r="J1692" s="37" t="s">
        <v>2758</v>
      </c>
    </row>
    <row r="1693" spans="1:10" x14ac:dyDescent="0.25">
      <c r="A1693" s="32" t="s">
        <v>1</v>
      </c>
      <c r="B1693" s="32">
        <f t="shared" ref="B1693:B1694" si="407">+B1692+1</f>
        <v>2042</v>
      </c>
      <c r="C1693" s="33" t="s">
        <v>17</v>
      </c>
      <c r="D1693" s="34" t="s">
        <v>1999</v>
      </c>
      <c r="E1693" s="35" t="str">
        <f t="shared" si="401"/>
        <v>PDP'!</v>
      </c>
      <c r="F1693" s="34" t="str">
        <f t="shared" si="402"/>
        <v>C:\Users\jaime.benazar\Quorum Business Solutions\Ecopetrol Prometeo - Documents\Planning Space Implementation\3. Analysis &amp; Design\Design\FC22\DRR Jaime\QUIFA-CAJÚA\Cajua\[CAJUA_CF_SEC_New_27-Feb-2024Rev3.xlsx]D-PDP'!</v>
      </c>
      <c r="G1693" s="32" t="s">
        <v>38</v>
      </c>
      <c r="H1693" s="33">
        <f t="shared" si="403"/>
        <v>31</v>
      </c>
      <c r="I1693" s="33" t="str">
        <f t="shared" si="404"/>
        <v>='C:\Users\jaime.benazar\Quorum Business Solutions\Ecopetrol Prometeo - Documents\Planning Space Implementation\3. Analysis &amp; Design\Design\FC22\DRR Jaime\QUIFA-CAJÚA\Cajua\[CAJUA_CF_SEC_New_27-Feb-2024Rev3.xlsx]D-PDP'!$BX$31</v>
      </c>
      <c r="J1693" s="37" t="s">
        <v>2759</v>
      </c>
    </row>
    <row r="1694" spans="1:10" x14ac:dyDescent="0.25">
      <c r="A1694" s="32" t="s">
        <v>1</v>
      </c>
      <c r="B1694" s="32">
        <f t="shared" si="407"/>
        <v>2043</v>
      </c>
      <c r="C1694" s="33" t="s">
        <v>17</v>
      </c>
      <c r="D1694" s="34" t="s">
        <v>1999</v>
      </c>
      <c r="E1694" s="35" t="str">
        <f t="shared" si="401"/>
        <v>PDP'!</v>
      </c>
      <c r="F1694" s="34" t="str">
        <f t="shared" si="402"/>
        <v>C:\Users\jaime.benazar\Quorum Business Solutions\Ecopetrol Prometeo - Documents\Planning Space Implementation\3. Analysis &amp; Design\Design\FC22\DRR Jaime\QUIFA-CAJÚA\Cajua\[CAJUA_CF_SEC_New_27-Feb-2024Rev3.xlsx]D-PDP'!</v>
      </c>
      <c r="G1694" s="32" t="s">
        <v>38</v>
      </c>
      <c r="H1694" s="33">
        <f t="shared" si="403"/>
        <v>32</v>
      </c>
      <c r="I1694" s="33" t="str">
        <f t="shared" si="404"/>
        <v>='C:\Users\jaime.benazar\Quorum Business Solutions\Ecopetrol Prometeo - Documents\Planning Space Implementation\3. Analysis &amp; Design\Design\FC22\DRR Jaime\QUIFA-CAJÚA\Cajua\[CAJUA_CF_SEC_New_27-Feb-2024Rev3.xlsx]D-PDP'!$BX$32</v>
      </c>
      <c r="J1694" s="37" t="s">
        <v>2760</v>
      </c>
    </row>
    <row r="1695" spans="1:10" x14ac:dyDescent="0.25">
      <c r="A1695" s="32" t="s">
        <v>1</v>
      </c>
      <c r="B1695" s="32">
        <f>+B1694+1</f>
        <v>2044</v>
      </c>
      <c r="C1695" s="33" t="s">
        <v>17</v>
      </c>
      <c r="D1695" s="34" t="s">
        <v>1999</v>
      </c>
      <c r="E1695" s="35" t="str">
        <f t="shared" ref="E1695:E1710" si="408">_xlfn.CONCAT(A1695,"'!")</f>
        <v>PDP'!</v>
      </c>
      <c r="F1695" s="34" t="str">
        <f t="shared" ref="F1695:F1710" si="409">_xlfn.CONCAT(D1695:E1695)</f>
        <v>C:\Users\jaime.benazar\Quorum Business Solutions\Ecopetrol Prometeo - Documents\Planning Space Implementation\3. Analysis &amp; Design\Design\FC22\DRR Jaime\QUIFA-CAJÚA\Cajua\[CAJUA_CF_SEC_New_27-Feb-2024Rev3.xlsx]D-PDP'!</v>
      </c>
      <c r="G1695" s="32" t="s">
        <v>38</v>
      </c>
      <c r="H1695" s="33">
        <f t="shared" ref="H1695:H1710" si="410">IF(A1695&lt;&gt;A1694,12,H1694+1)</f>
        <v>33</v>
      </c>
      <c r="I1695" s="33" t="str">
        <f t="shared" ref="I1695:I1710" si="411">_xlfn.CONCAT("='",F1695:H1695)</f>
        <v>='C:\Users\jaime.benazar\Quorum Business Solutions\Ecopetrol Prometeo - Documents\Planning Space Implementation\3. Analysis &amp; Design\Design\FC22\DRR Jaime\QUIFA-CAJÚA\Cajua\[CAJUA_CF_SEC_New_27-Feb-2024Rev3.xlsx]D-PDP'!$BX$33</v>
      </c>
      <c r="J1695" s="37" t="s">
        <v>2761</v>
      </c>
    </row>
    <row r="1696" spans="1:10" x14ac:dyDescent="0.25">
      <c r="A1696" s="32" t="s">
        <v>1</v>
      </c>
      <c r="B1696" s="32">
        <f t="shared" ref="B1696:B1710" si="412">+B1695+1</f>
        <v>2045</v>
      </c>
      <c r="C1696" s="33" t="s">
        <v>17</v>
      </c>
      <c r="D1696" s="34" t="s">
        <v>1999</v>
      </c>
      <c r="E1696" s="35" t="str">
        <f t="shared" si="408"/>
        <v>PDP'!</v>
      </c>
      <c r="F1696" s="34" t="str">
        <f t="shared" si="409"/>
        <v>C:\Users\jaime.benazar\Quorum Business Solutions\Ecopetrol Prometeo - Documents\Planning Space Implementation\3. Analysis &amp; Design\Design\FC22\DRR Jaime\QUIFA-CAJÚA\Cajua\[CAJUA_CF_SEC_New_27-Feb-2024Rev3.xlsx]D-PDP'!</v>
      </c>
      <c r="G1696" s="32" t="s">
        <v>38</v>
      </c>
      <c r="H1696" s="33">
        <f t="shared" si="410"/>
        <v>34</v>
      </c>
      <c r="I1696" s="33" t="str">
        <f t="shared" si="411"/>
        <v>='C:\Users\jaime.benazar\Quorum Business Solutions\Ecopetrol Prometeo - Documents\Planning Space Implementation\3. Analysis &amp; Design\Design\FC22\DRR Jaime\QUIFA-CAJÚA\Cajua\[CAJUA_CF_SEC_New_27-Feb-2024Rev3.xlsx]D-PDP'!$BX$34</v>
      </c>
      <c r="J1696" s="37" t="s">
        <v>2762</v>
      </c>
    </row>
    <row r="1697" spans="1:10" x14ac:dyDescent="0.25">
      <c r="A1697" s="32" t="s">
        <v>1</v>
      </c>
      <c r="B1697" s="32">
        <f t="shared" si="412"/>
        <v>2046</v>
      </c>
      <c r="C1697" s="33" t="s">
        <v>17</v>
      </c>
      <c r="D1697" s="34" t="s">
        <v>1999</v>
      </c>
      <c r="E1697" s="35" t="str">
        <f t="shared" si="408"/>
        <v>PDP'!</v>
      </c>
      <c r="F1697" s="34" t="str">
        <f t="shared" si="409"/>
        <v>C:\Users\jaime.benazar\Quorum Business Solutions\Ecopetrol Prometeo - Documents\Planning Space Implementation\3. Analysis &amp; Design\Design\FC22\DRR Jaime\QUIFA-CAJÚA\Cajua\[CAJUA_CF_SEC_New_27-Feb-2024Rev3.xlsx]D-PDP'!</v>
      </c>
      <c r="G1697" s="32" t="s">
        <v>38</v>
      </c>
      <c r="H1697" s="33">
        <f t="shared" si="410"/>
        <v>35</v>
      </c>
      <c r="I1697" s="33" t="str">
        <f t="shared" si="411"/>
        <v>='C:\Users\jaime.benazar\Quorum Business Solutions\Ecopetrol Prometeo - Documents\Planning Space Implementation\3. Analysis &amp; Design\Design\FC22\DRR Jaime\QUIFA-CAJÚA\Cajua\[CAJUA_CF_SEC_New_27-Feb-2024Rev3.xlsx]D-PDP'!$BX$35</v>
      </c>
      <c r="J1697" s="37" t="s">
        <v>2763</v>
      </c>
    </row>
    <row r="1698" spans="1:10" x14ac:dyDescent="0.25">
      <c r="A1698" s="32" t="s">
        <v>1</v>
      </c>
      <c r="B1698" s="32">
        <f t="shared" si="412"/>
        <v>2047</v>
      </c>
      <c r="C1698" s="33" t="s">
        <v>17</v>
      </c>
      <c r="D1698" s="34" t="s">
        <v>1999</v>
      </c>
      <c r="E1698" s="35" t="str">
        <f t="shared" si="408"/>
        <v>PDP'!</v>
      </c>
      <c r="F1698" s="34" t="str">
        <f t="shared" si="409"/>
        <v>C:\Users\jaime.benazar\Quorum Business Solutions\Ecopetrol Prometeo - Documents\Planning Space Implementation\3. Analysis &amp; Design\Design\FC22\DRR Jaime\QUIFA-CAJÚA\Cajua\[CAJUA_CF_SEC_New_27-Feb-2024Rev3.xlsx]D-PDP'!</v>
      </c>
      <c r="G1698" s="32" t="s">
        <v>38</v>
      </c>
      <c r="H1698" s="33">
        <f t="shared" si="410"/>
        <v>36</v>
      </c>
      <c r="I1698" s="33" t="str">
        <f t="shared" si="411"/>
        <v>='C:\Users\jaime.benazar\Quorum Business Solutions\Ecopetrol Prometeo - Documents\Planning Space Implementation\3. Analysis &amp; Design\Design\FC22\DRR Jaime\QUIFA-CAJÚA\Cajua\[CAJUA_CF_SEC_New_27-Feb-2024Rev3.xlsx]D-PDP'!$BX$36</v>
      </c>
      <c r="J1698" s="37" t="s">
        <v>2764</v>
      </c>
    </row>
    <row r="1699" spans="1:10" x14ac:dyDescent="0.25">
      <c r="A1699" s="32" t="s">
        <v>1</v>
      </c>
      <c r="B1699" s="32">
        <f t="shared" si="412"/>
        <v>2048</v>
      </c>
      <c r="C1699" s="33" t="s">
        <v>17</v>
      </c>
      <c r="D1699" s="34" t="s">
        <v>1999</v>
      </c>
      <c r="E1699" s="35" t="str">
        <f t="shared" si="408"/>
        <v>PDP'!</v>
      </c>
      <c r="F1699" s="34" t="str">
        <f t="shared" si="409"/>
        <v>C:\Users\jaime.benazar\Quorum Business Solutions\Ecopetrol Prometeo - Documents\Planning Space Implementation\3. Analysis &amp; Design\Design\FC22\DRR Jaime\QUIFA-CAJÚA\Cajua\[CAJUA_CF_SEC_New_27-Feb-2024Rev3.xlsx]D-PDP'!</v>
      </c>
      <c r="G1699" s="32" t="s">
        <v>38</v>
      </c>
      <c r="H1699" s="33">
        <f t="shared" si="410"/>
        <v>37</v>
      </c>
      <c r="I1699" s="33" t="str">
        <f t="shared" si="411"/>
        <v>='C:\Users\jaime.benazar\Quorum Business Solutions\Ecopetrol Prometeo - Documents\Planning Space Implementation\3. Analysis &amp; Design\Design\FC22\DRR Jaime\QUIFA-CAJÚA\Cajua\[CAJUA_CF_SEC_New_27-Feb-2024Rev3.xlsx]D-PDP'!$BX$37</v>
      </c>
      <c r="J1699" s="37" t="s">
        <v>2765</v>
      </c>
    </row>
    <row r="1700" spans="1:10" x14ac:dyDescent="0.25">
      <c r="A1700" s="32" t="s">
        <v>1</v>
      </c>
      <c r="B1700" s="32">
        <f t="shared" si="412"/>
        <v>2049</v>
      </c>
      <c r="C1700" s="33" t="s">
        <v>17</v>
      </c>
      <c r="D1700" s="34" t="s">
        <v>1999</v>
      </c>
      <c r="E1700" s="35" t="str">
        <f t="shared" si="408"/>
        <v>PDP'!</v>
      </c>
      <c r="F1700" s="34" t="str">
        <f t="shared" si="409"/>
        <v>C:\Users\jaime.benazar\Quorum Business Solutions\Ecopetrol Prometeo - Documents\Planning Space Implementation\3. Analysis &amp; Design\Design\FC22\DRR Jaime\QUIFA-CAJÚA\Cajua\[CAJUA_CF_SEC_New_27-Feb-2024Rev3.xlsx]D-PDP'!</v>
      </c>
      <c r="G1700" s="32" t="s">
        <v>38</v>
      </c>
      <c r="H1700" s="33">
        <f t="shared" si="410"/>
        <v>38</v>
      </c>
      <c r="I1700" s="33" t="str">
        <f t="shared" si="411"/>
        <v>='C:\Users\jaime.benazar\Quorum Business Solutions\Ecopetrol Prometeo - Documents\Planning Space Implementation\3. Analysis &amp; Design\Design\FC22\DRR Jaime\QUIFA-CAJÚA\Cajua\[CAJUA_CF_SEC_New_27-Feb-2024Rev3.xlsx]D-PDP'!$BX$38</v>
      </c>
      <c r="J1700" s="37" t="s">
        <v>2766</v>
      </c>
    </row>
    <row r="1701" spans="1:10" x14ac:dyDescent="0.25">
      <c r="A1701" s="32" t="s">
        <v>1</v>
      </c>
      <c r="B1701" s="32">
        <f t="shared" si="412"/>
        <v>2050</v>
      </c>
      <c r="C1701" s="33" t="s">
        <v>17</v>
      </c>
      <c r="D1701" s="34" t="s">
        <v>1999</v>
      </c>
      <c r="E1701" s="35" t="str">
        <f t="shared" si="408"/>
        <v>PDP'!</v>
      </c>
      <c r="F1701" s="34" t="str">
        <f t="shared" si="409"/>
        <v>C:\Users\jaime.benazar\Quorum Business Solutions\Ecopetrol Prometeo - Documents\Planning Space Implementation\3. Analysis &amp; Design\Design\FC22\DRR Jaime\QUIFA-CAJÚA\Cajua\[CAJUA_CF_SEC_New_27-Feb-2024Rev3.xlsx]D-PDP'!</v>
      </c>
      <c r="G1701" s="32" t="s">
        <v>38</v>
      </c>
      <c r="H1701" s="33">
        <f t="shared" si="410"/>
        <v>39</v>
      </c>
      <c r="I1701" s="33" t="str">
        <f t="shared" si="411"/>
        <v>='C:\Users\jaime.benazar\Quorum Business Solutions\Ecopetrol Prometeo - Documents\Planning Space Implementation\3. Analysis &amp; Design\Design\FC22\DRR Jaime\QUIFA-CAJÚA\Cajua\[CAJUA_CF_SEC_New_27-Feb-2024Rev3.xlsx]D-PDP'!$BX$39</v>
      </c>
      <c r="J1701" s="37" t="s">
        <v>2767</v>
      </c>
    </row>
    <row r="1702" spans="1:10" x14ac:dyDescent="0.25">
      <c r="A1702" s="32" t="s">
        <v>1</v>
      </c>
      <c r="B1702" s="32">
        <f t="shared" si="412"/>
        <v>2051</v>
      </c>
      <c r="C1702" s="33" t="s">
        <v>17</v>
      </c>
      <c r="D1702" s="34" t="s">
        <v>1999</v>
      </c>
      <c r="E1702" s="35" t="str">
        <f t="shared" si="408"/>
        <v>PDP'!</v>
      </c>
      <c r="F1702" s="34" t="str">
        <f t="shared" si="409"/>
        <v>C:\Users\jaime.benazar\Quorum Business Solutions\Ecopetrol Prometeo - Documents\Planning Space Implementation\3. Analysis &amp; Design\Design\FC22\DRR Jaime\QUIFA-CAJÚA\Cajua\[CAJUA_CF_SEC_New_27-Feb-2024Rev3.xlsx]D-PDP'!</v>
      </c>
      <c r="G1702" s="32" t="s">
        <v>38</v>
      </c>
      <c r="H1702" s="33">
        <f t="shared" si="410"/>
        <v>40</v>
      </c>
      <c r="I1702" s="33" t="str">
        <f t="shared" si="411"/>
        <v>='C:\Users\jaime.benazar\Quorum Business Solutions\Ecopetrol Prometeo - Documents\Planning Space Implementation\3. Analysis &amp; Design\Design\FC22\DRR Jaime\QUIFA-CAJÚA\Cajua\[CAJUA_CF_SEC_New_27-Feb-2024Rev3.xlsx]D-PDP'!$BX$40</v>
      </c>
      <c r="J1702" s="37" t="s">
        <v>2768</v>
      </c>
    </row>
    <row r="1703" spans="1:10" x14ac:dyDescent="0.25">
      <c r="A1703" s="32" t="s">
        <v>1</v>
      </c>
      <c r="B1703" s="32">
        <f t="shared" si="412"/>
        <v>2052</v>
      </c>
      <c r="C1703" s="33" t="s">
        <v>17</v>
      </c>
      <c r="D1703" s="34" t="s">
        <v>1999</v>
      </c>
      <c r="E1703" s="35" t="str">
        <f t="shared" si="408"/>
        <v>PDP'!</v>
      </c>
      <c r="F1703" s="34" t="str">
        <f t="shared" si="409"/>
        <v>C:\Users\jaime.benazar\Quorum Business Solutions\Ecopetrol Prometeo - Documents\Planning Space Implementation\3. Analysis &amp; Design\Design\FC22\DRR Jaime\QUIFA-CAJÚA\Cajua\[CAJUA_CF_SEC_New_27-Feb-2024Rev3.xlsx]D-PDP'!</v>
      </c>
      <c r="G1703" s="32" t="s">
        <v>38</v>
      </c>
      <c r="H1703" s="33">
        <f t="shared" si="410"/>
        <v>41</v>
      </c>
      <c r="I1703" s="33" t="str">
        <f t="shared" si="411"/>
        <v>='C:\Users\jaime.benazar\Quorum Business Solutions\Ecopetrol Prometeo - Documents\Planning Space Implementation\3. Analysis &amp; Design\Design\FC22\DRR Jaime\QUIFA-CAJÚA\Cajua\[CAJUA_CF_SEC_New_27-Feb-2024Rev3.xlsx]D-PDP'!$BX$41</v>
      </c>
      <c r="J1703" s="37" t="s">
        <v>2769</v>
      </c>
    </row>
    <row r="1704" spans="1:10" x14ac:dyDescent="0.25">
      <c r="A1704" s="32" t="s">
        <v>1</v>
      </c>
      <c r="B1704" s="32">
        <f t="shared" si="412"/>
        <v>2053</v>
      </c>
      <c r="C1704" s="33" t="s">
        <v>17</v>
      </c>
      <c r="D1704" s="34" t="s">
        <v>1999</v>
      </c>
      <c r="E1704" s="35" t="str">
        <f t="shared" si="408"/>
        <v>PDP'!</v>
      </c>
      <c r="F1704" s="34" t="str">
        <f t="shared" si="409"/>
        <v>C:\Users\jaime.benazar\Quorum Business Solutions\Ecopetrol Prometeo - Documents\Planning Space Implementation\3. Analysis &amp; Design\Design\FC22\DRR Jaime\QUIFA-CAJÚA\Cajua\[CAJUA_CF_SEC_New_27-Feb-2024Rev3.xlsx]D-PDP'!</v>
      </c>
      <c r="G1704" s="32" t="s">
        <v>38</v>
      </c>
      <c r="H1704" s="33">
        <f t="shared" si="410"/>
        <v>42</v>
      </c>
      <c r="I1704" s="33" t="str">
        <f t="shared" si="411"/>
        <v>='C:\Users\jaime.benazar\Quorum Business Solutions\Ecopetrol Prometeo - Documents\Planning Space Implementation\3. Analysis &amp; Design\Design\FC22\DRR Jaime\QUIFA-CAJÚA\Cajua\[CAJUA_CF_SEC_New_27-Feb-2024Rev3.xlsx]D-PDP'!$BX$42</v>
      </c>
      <c r="J1704" s="37" t="s">
        <v>2770</v>
      </c>
    </row>
    <row r="1705" spans="1:10" x14ac:dyDescent="0.25">
      <c r="A1705" s="32" t="s">
        <v>1</v>
      </c>
      <c r="B1705" s="32">
        <f t="shared" si="412"/>
        <v>2054</v>
      </c>
      <c r="C1705" s="33" t="s">
        <v>17</v>
      </c>
      <c r="D1705" s="34" t="s">
        <v>1999</v>
      </c>
      <c r="E1705" s="35" t="str">
        <f t="shared" si="408"/>
        <v>PDP'!</v>
      </c>
      <c r="F1705" s="34" t="str">
        <f t="shared" si="409"/>
        <v>C:\Users\jaime.benazar\Quorum Business Solutions\Ecopetrol Prometeo - Documents\Planning Space Implementation\3. Analysis &amp; Design\Design\FC22\DRR Jaime\QUIFA-CAJÚA\Cajua\[CAJUA_CF_SEC_New_27-Feb-2024Rev3.xlsx]D-PDP'!</v>
      </c>
      <c r="G1705" s="32" t="s">
        <v>38</v>
      </c>
      <c r="H1705" s="33">
        <f t="shared" si="410"/>
        <v>43</v>
      </c>
      <c r="I1705" s="33" t="str">
        <f t="shared" si="411"/>
        <v>='C:\Users\jaime.benazar\Quorum Business Solutions\Ecopetrol Prometeo - Documents\Planning Space Implementation\3. Analysis &amp; Design\Design\FC22\DRR Jaime\QUIFA-CAJÚA\Cajua\[CAJUA_CF_SEC_New_27-Feb-2024Rev3.xlsx]D-PDP'!$BX$43</v>
      </c>
      <c r="J1705" s="37" t="s">
        <v>2771</v>
      </c>
    </row>
    <row r="1706" spans="1:10" x14ac:dyDescent="0.25">
      <c r="A1706" s="32" t="s">
        <v>1</v>
      </c>
      <c r="B1706" s="32">
        <f t="shared" si="412"/>
        <v>2055</v>
      </c>
      <c r="C1706" s="33" t="s">
        <v>17</v>
      </c>
      <c r="D1706" s="34" t="s">
        <v>1999</v>
      </c>
      <c r="E1706" s="35" t="str">
        <f t="shared" si="408"/>
        <v>PDP'!</v>
      </c>
      <c r="F1706" s="34" t="str">
        <f t="shared" si="409"/>
        <v>C:\Users\jaime.benazar\Quorum Business Solutions\Ecopetrol Prometeo - Documents\Planning Space Implementation\3. Analysis &amp; Design\Design\FC22\DRR Jaime\QUIFA-CAJÚA\Cajua\[CAJUA_CF_SEC_New_27-Feb-2024Rev3.xlsx]D-PDP'!</v>
      </c>
      <c r="G1706" s="32" t="s">
        <v>38</v>
      </c>
      <c r="H1706" s="33">
        <f t="shared" si="410"/>
        <v>44</v>
      </c>
      <c r="I1706" s="33" t="str">
        <f t="shared" si="411"/>
        <v>='C:\Users\jaime.benazar\Quorum Business Solutions\Ecopetrol Prometeo - Documents\Planning Space Implementation\3. Analysis &amp; Design\Design\FC22\DRR Jaime\QUIFA-CAJÚA\Cajua\[CAJUA_CF_SEC_New_27-Feb-2024Rev3.xlsx]D-PDP'!$BX$44</v>
      </c>
      <c r="J1706" s="37" t="s">
        <v>2772</v>
      </c>
    </row>
    <row r="1707" spans="1:10" x14ac:dyDescent="0.25">
      <c r="A1707" s="32" t="s">
        <v>1</v>
      </c>
      <c r="B1707" s="32">
        <f t="shared" si="412"/>
        <v>2056</v>
      </c>
      <c r="C1707" s="33" t="s">
        <v>17</v>
      </c>
      <c r="D1707" s="34" t="s">
        <v>1999</v>
      </c>
      <c r="E1707" s="35" t="str">
        <f t="shared" si="408"/>
        <v>PDP'!</v>
      </c>
      <c r="F1707" s="34" t="str">
        <f t="shared" si="409"/>
        <v>C:\Users\jaime.benazar\Quorum Business Solutions\Ecopetrol Prometeo - Documents\Planning Space Implementation\3. Analysis &amp; Design\Design\FC22\DRR Jaime\QUIFA-CAJÚA\Cajua\[CAJUA_CF_SEC_New_27-Feb-2024Rev3.xlsx]D-PDP'!</v>
      </c>
      <c r="G1707" s="32" t="s">
        <v>38</v>
      </c>
      <c r="H1707" s="33">
        <f t="shared" si="410"/>
        <v>45</v>
      </c>
      <c r="I1707" s="33" t="str">
        <f t="shared" si="411"/>
        <v>='C:\Users\jaime.benazar\Quorum Business Solutions\Ecopetrol Prometeo - Documents\Planning Space Implementation\3. Analysis &amp; Design\Design\FC22\DRR Jaime\QUIFA-CAJÚA\Cajua\[CAJUA_CF_SEC_New_27-Feb-2024Rev3.xlsx]D-PDP'!$BX$45</v>
      </c>
      <c r="J1707" s="37" t="s">
        <v>2773</v>
      </c>
    </row>
    <row r="1708" spans="1:10" x14ac:dyDescent="0.25">
      <c r="A1708" s="32" t="s">
        <v>1</v>
      </c>
      <c r="B1708" s="32">
        <f t="shared" si="412"/>
        <v>2057</v>
      </c>
      <c r="C1708" s="33" t="s">
        <v>17</v>
      </c>
      <c r="D1708" s="34" t="s">
        <v>1999</v>
      </c>
      <c r="E1708" s="35" t="str">
        <f t="shared" si="408"/>
        <v>PDP'!</v>
      </c>
      <c r="F1708" s="34" t="str">
        <f t="shared" si="409"/>
        <v>C:\Users\jaime.benazar\Quorum Business Solutions\Ecopetrol Prometeo - Documents\Planning Space Implementation\3. Analysis &amp; Design\Design\FC22\DRR Jaime\QUIFA-CAJÚA\Cajua\[CAJUA_CF_SEC_New_27-Feb-2024Rev3.xlsx]D-PDP'!</v>
      </c>
      <c r="G1708" s="32" t="s">
        <v>38</v>
      </c>
      <c r="H1708" s="33">
        <f t="shared" si="410"/>
        <v>46</v>
      </c>
      <c r="I1708" s="33" t="str">
        <f t="shared" si="411"/>
        <v>='C:\Users\jaime.benazar\Quorum Business Solutions\Ecopetrol Prometeo - Documents\Planning Space Implementation\3. Analysis &amp; Design\Design\FC22\DRR Jaime\QUIFA-CAJÚA\Cajua\[CAJUA_CF_SEC_New_27-Feb-2024Rev3.xlsx]D-PDP'!$BX$46</v>
      </c>
      <c r="J1708" s="37" t="s">
        <v>2774</v>
      </c>
    </row>
    <row r="1709" spans="1:10" x14ac:dyDescent="0.25">
      <c r="A1709" s="32" t="s">
        <v>1</v>
      </c>
      <c r="B1709" s="32">
        <f t="shared" si="412"/>
        <v>2058</v>
      </c>
      <c r="C1709" s="33" t="s">
        <v>17</v>
      </c>
      <c r="D1709" s="34" t="s">
        <v>1999</v>
      </c>
      <c r="E1709" s="35" t="str">
        <f t="shared" si="408"/>
        <v>PDP'!</v>
      </c>
      <c r="F1709" s="34" t="str">
        <f t="shared" si="409"/>
        <v>C:\Users\jaime.benazar\Quorum Business Solutions\Ecopetrol Prometeo - Documents\Planning Space Implementation\3. Analysis &amp; Design\Design\FC22\DRR Jaime\QUIFA-CAJÚA\Cajua\[CAJUA_CF_SEC_New_27-Feb-2024Rev3.xlsx]D-PDP'!</v>
      </c>
      <c r="G1709" s="32" t="s">
        <v>38</v>
      </c>
      <c r="H1709" s="33">
        <f t="shared" si="410"/>
        <v>47</v>
      </c>
      <c r="I1709" s="33" t="str">
        <f t="shared" si="411"/>
        <v>='C:\Users\jaime.benazar\Quorum Business Solutions\Ecopetrol Prometeo - Documents\Planning Space Implementation\3. Analysis &amp; Design\Design\FC22\DRR Jaime\QUIFA-CAJÚA\Cajua\[CAJUA_CF_SEC_New_27-Feb-2024Rev3.xlsx]D-PDP'!$BX$47</v>
      </c>
      <c r="J1709" s="37" t="s">
        <v>2775</v>
      </c>
    </row>
    <row r="1710" spans="1:10" x14ac:dyDescent="0.25">
      <c r="A1710" s="32" t="s">
        <v>1</v>
      </c>
      <c r="B1710" s="32">
        <f t="shared" si="412"/>
        <v>2059</v>
      </c>
      <c r="C1710" s="33" t="s">
        <v>17</v>
      </c>
      <c r="D1710" s="34" t="s">
        <v>1999</v>
      </c>
      <c r="E1710" s="35" t="str">
        <f t="shared" si="408"/>
        <v>PDP'!</v>
      </c>
      <c r="F1710" s="34" t="str">
        <f t="shared" si="409"/>
        <v>C:\Users\jaime.benazar\Quorum Business Solutions\Ecopetrol Prometeo - Documents\Planning Space Implementation\3. Analysis &amp; Design\Design\FC22\DRR Jaime\QUIFA-CAJÚA\Cajua\[CAJUA_CF_SEC_New_27-Feb-2024Rev3.xlsx]D-PDP'!</v>
      </c>
      <c r="G1710" s="32" t="s">
        <v>38</v>
      </c>
      <c r="H1710" s="33">
        <f t="shared" si="410"/>
        <v>48</v>
      </c>
      <c r="I1710" s="33" t="str">
        <f t="shared" si="411"/>
        <v>='C:\Users\jaime.benazar\Quorum Business Solutions\Ecopetrol Prometeo - Documents\Planning Space Implementation\3. Analysis &amp; Design\Design\FC22\DRR Jaime\QUIFA-CAJÚA\Cajua\[CAJUA_CF_SEC_New_27-Feb-2024Rev3.xlsx]D-PDP'!$BX$48</v>
      </c>
      <c r="J1710" s="37" t="s">
        <v>2776</v>
      </c>
    </row>
    <row r="1711" spans="1:10" x14ac:dyDescent="0.25">
      <c r="A1711" s="32" t="s">
        <v>28</v>
      </c>
      <c r="B1711" s="32"/>
      <c r="C1711" s="33" t="s">
        <v>17</v>
      </c>
      <c r="D1711" s="34"/>
      <c r="E1711" s="35"/>
      <c r="F1711" s="34"/>
      <c r="G1711" s="32"/>
      <c r="H1711" s="33"/>
      <c r="I1711" s="33"/>
      <c r="J1711" s="33"/>
    </row>
    <row r="1712" spans="1:10" x14ac:dyDescent="0.25">
      <c r="A1712" s="32" t="s">
        <v>2</v>
      </c>
      <c r="B1712" s="32">
        <v>2023</v>
      </c>
      <c r="C1712" s="33" t="s">
        <v>17</v>
      </c>
      <c r="D1712" s="34" t="s">
        <v>1999</v>
      </c>
      <c r="E1712" s="35" t="str">
        <f t="shared" si="401"/>
        <v>PNP'!</v>
      </c>
      <c r="F1712" s="34" t="str">
        <f t="shared" si="402"/>
        <v>C:\Users\jaime.benazar\Quorum Business Solutions\Ecopetrol Prometeo - Documents\Planning Space Implementation\3. Analysis &amp; Design\Design\FC22\DRR Jaime\QUIFA-CAJÚA\Cajua\[CAJUA_CF_SEC_New_27-Feb-2024Rev3.xlsx]D-PNP'!</v>
      </c>
      <c r="G1712" s="32" t="s">
        <v>38</v>
      </c>
      <c r="H1712" s="33">
        <v>12</v>
      </c>
      <c r="I1712" s="33" t="str">
        <f t="shared" ref="I1712:I1732" si="413">_xlfn.CONCAT("='",F1712:H1712)</f>
        <v>='C:\Users\jaime.benazar\Quorum Business Solutions\Ecopetrol Prometeo - Documents\Planning Space Implementation\3. Analysis &amp; Design\Design\FC22\DRR Jaime\QUIFA-CAJÚA\Cajua\[CAJUA_CF_SEC_New_27-Feb-2024Rev3.xlsx]D-PNP'!$BX$12</v>
      </c>
      <c r="J1712" s="37" t="s">
        <v>2777</v>
      </c>
    </row>
    <row r="1713" spans="1:10" x14ac:dyDescent="0.25">
      <c r="A1713" s="32" t="s">
        <v>2</v>
      </c>
      <c r="B1713" s="32">
        <f>+B1712+1</f>
        <v>2024</v>
      </c>
      <c r="C1713" s="33" t="s">
        <v>17</v>
      </c>
      <c r="D1713" s="34" t="s">
        <v>1999</v>
      </c>
      <c r="E1713" s="35" t="str">
        <f t="shared" si="401"/>
        <v>PNP'!</v>
      </c>
      <c r="F1713" s="34" t="str">
        <f t="shared" si="402"/>
        <v>C:\Users\jaime.benazar\Quorum Business Solutions\Ecopetrol Prometeo - Documents\Planning Space Implementation\3. Analysis &amp; Design\Design\FC22\DRR Jaime\QUIFA-CAJÚA\Cajua\[CAJUA_CF_SEC_New_27-Feb-2024Rev3.xlsx]D-PNP'!</v>
      </c>
      <c r="G1713" s="32" t="s">
        <v>38</v>
      </c>
      <c r="H1713" s="33">
        <f t="shared" ref="H1713:H1732" si="414">IF(A1713&lt;&gt;A1712,12,H1712+1)</f>
        <v>13</v>
      </c>
      <c r="I1713" s="33" t="str">
        <f t="shared" si="413"/>
        <v>='C:\Users\jaime.benazar\Quorum Business Solutions\Ecopetrol Prometeo - Documents\Planning Space Implementation\3. Analysis &amp; Design\Design\FC22\DRR Jaime\QUIFA-CAJÚA\Cajua\[CAJUA_CF_SEC_New_27-Feb-2024Rev3.xlsx]D-PNP'!$BX$13</v>
      </c>
      <c r="J1713" s="37" t="s">
        <v>2778</v>
      </c>
    </row>
    <row r="1714" spans="1:10" x14ac:dyDescent="0.25">
      <c r="A1714" s="32" t="s">
        <v>2</v>
      </c>
      <c r="B1714" s="32">
        <f t="shared" ref="B1714:B1725" si="415">+B1713+1</f>
        <v>2025</v>
      </c>
      <c r="C1714" s="33" t="s">
        <v>17</v>
      </c>
      <c r="D1714" s="34" t="s">
        <v>1999</v>
      </c>
      <c r="E1714" s="35" t="str">
        <f t="shared" si="401"/>
        <v>PNP'!</v>
      </c>
      <c r="F1714" s="34" t="str">
        <f t="shared" si="402"/>
        <v>C:\Users\jaime.benazar\Quorum Business Solutions\Ecopetrol Prometeo - Documents\Planning Space Implementation\3. Analysis &amp; Design\Design\FC22\DRR Jaime\QUIFA-CAJÚA\Cajua\[CAJUA_CF_SEC_New_27-Feb-2024Rev3.xlsx]D-PNP'!</v>
      </c>
      <c r="G1714" s="32" t="s">
        <v>38</v>
      </c>
      <c r="H1714" s="33">
        <f t="shared" si="414"/>
        <v>14</v>
      </c>
      <c r="I1714" s="33" t="str">
        <f t="shared" si="413"/>
        <v>='C:\Users\jaime.benazar\Quorum Business Solutions\Ecopetrol Prometeo - Documents\Planning Space Implementation\3. Analysis &amp; Design\Design\FC22\DRR Jaime\QUIFA-CAJÚA\Cajua\[CAJUA_CF_SEC_New_27-Feb-2024Rev3.xlsx]D-PNP'!$BX$14</v>
      </c>
      <c r="J1714" s="37" t="s">
        <v>2779</v>
      </c>
    </row>
    <row r="1715" spans="1:10" x14ac:dyDescent="0.25">
      <c r="A1715" s="32" t="s">
        <v>2</v>
      </c>
      <c r="B1715" s="32">
        <f t="shared" si="415"/>
        <v>2026</v>
      </c>
      <c r="C1715" s="33" t="s">
        <v>17</v>
      </c>
      <c r="D1715" s="34" t="s">
        <v>1999</v>
      </c>
      <c r="E1715" s="35" t="str">
        <f t="shared" si="401"/>
        <v>PNP'!</v>
      </c>
      <c r="F1715" s="34" t="str">
        <f t="shared" si="402"/>
        <v>C:\Users\jaime.benazar\Quorum Business Solutions\Ecopetrol Prometeo - Documents\Planning Space Implementation\3. Analysis &amp; Design\Design\FC22\DRR Jaime\QUIFA-CAJÚA\Cajua\[CAJUA_CF_SEC_New_27-Feb-2024Rev3.xlsx]D-PNP'!</v>
      </c>
      <c r="G1715" s="32" t="s">
        <v>38</v>
      </c>
      <c r="H1715" s="33">
        <f t="shared" si="414"/>
        <v>15</v>
      </c>
      <c r="I1715" s="33" t="str">
        <f t="shared" si="413"/>
        <v>='C:\Users\jaime.benazar\Quorum Business Solutions\Ecopetrol Prometeo - Documents\Planning Space Implementation\3. Analysis &amp; Design\Design\FC22\DRR Jaime\QUIFA-CAJÚA\Cajua\[CAJUA_CF_SEC_New_27-Feb-2024Rev3.xlsx]D-PNP'!$BX$15</v>
      </c>
      <c r="J1715" s="37" t="s">
        <v>2780</v>
      </c>
    </row>
    <row r="1716" spans="1:10" x14ac:dyDescent="0.25">
      <c r="A1716" s="32" t="s">
        <v>2</v>
      </c>
      <c r="B1716" s="32">
        <f t="shared" si="415"/>
        <v>2027</v>
      </c>
      <c r="C1716" s="33" t="s">
        <v>17</v>
      </c>
      <c r="D1716" s="34" t="s">
        <v>1999</v>
      </c>
      <c r="E1716" s="35" t="str">
        <f t="shared" si="401"/>
        <v>PNP'!</v>
      </c>
      <c r="F1716" s="34" t="str">
        <f t="shared" si="402"/>
        <v>C:\Users\jaime.benazar\Quorum Business Solutions\Ecopetrol Prometeo - Documents\Planning Space Implementation\3. Analysis &amp; Design\Design\FC22\DRR Jaime\QUIFA-CAJÚA\Cajua\[CAJUA_CF_SEC_New_27-Feb-2024Rev3.xlsx]D-PNP'!</v>
      </c>
      <c r="G1716" s="32" t="s">
        <v>38</v>
      </c>
      <c r="H1716" s="33">
        <f t="shared" si="414"/>
        <v>16</v>
      </c>
      <c r="I1716" s="33" t="str">
        <f t="shared" si="413"/>
        <v>='C:\Users\jaime.benazar\Quorum Business Solutions\Ecopetrol Prometeo - Documents\Planning Space Implementation\3. Analysis &amp; Design\Design\FC22\DRR Jaime\QUIFA-CAJÚA\Cajua\[CAJUA_CF_SEC_New_27-Feb-2024Rev3.xlsx]D-PNP'!$BX$16</v>
      </c>
      <c r="J1716" s="37" t="s">
        <v>2781</v>
      </c>
    </row>
    <row r="1717" spans="1:10" x14ac:dyDescent="0.25">
      <c r="A1717" s="32" t="s">
        <v>2</v>
      </c>
      <c r="B1717" s="32">
        <f t="shared" si="415"/>
        <v>2028</v>
      </c>
      <c r="C1717" s="33" t="s">
        <v>17</v>
      </c>
      <c r="D1717" s="34" t="s">
        <v>1999</v>
      </c>
      <c r="E1717" s="35" t="str">
        <f t="shared" si="401"/>
        <v>PNP'!</v>
      </c>
      <c r="F1717" s="34" t="str">
        <f t="shared" si="402"/>
        <v>C:\Users\jaime.benazar\Quorum Business Solutions\Ecopetrol Prometeo - Documents\Planning Space Implementation\3. Analysis &amp; Design\Design\FC22\DRR Jaime\QUIFA-CAJÚA\Cajua\[CAJUA_CF_SEC_New_27-Feb-2024Rev3.xlsx]D-PNP'!</v>
      </c>
      <c r="G1717" s="32" t="s">
        <v>38</v>
      </c>
      <c r="H1717" s="33">
        <f t="shared" si="414"/>
        <v>17</v>
      </c>
      <c r="I1717" s="33" t="str">
        <f t="shared" si="413"/>
        <v>='C:\Users\jaime.benazar\Quorum Business Solutions\Ecopetrol Prometeo - Documents\Planning Space Implementation\3. Analysis &amp; Design\Design\FC22\DRR Jaime\QUIFA-CAJÚA\Cajua\[CAJUA_CF_SEC_New_27-Feb-2024Rev3.xlsx]D-PNP'!$BX$17</v>
      </c>
      <c r="J1717" s="37" t="s">
        <v>2782</v>
      </c>
    </row>
    <row r="1718" spans="1:10" x14ac:dyDescent="0.25">
      <c r="A1718" s="32" t="s">
        <v>2</v>
      </c>
      <c r="B1718" s="32">
        <f t="shared" si="415"/>
        <v>2029</v>
      </c>
      <c r="C1718" s="33" t="s">
        <v>17</v>
      </c>
      <c r="D1718" s="34" t="s">
        <v>1999</v>
      </c>
      <c r="E1718" s="35" t="str">
        <f t="shared" si="401"/>
        <v>PNP'!</v>
      </c>
      <c r="F1718" s="34" t="str">
        <f t="shared" si="402"/>
        <v>C:\Users\jaime.benazar\Quorum Business Solutions\Ecopetrol Prometeo - Documents\Planning Space Implementation\3. Analysis &amp; Design\Design\FC22\DRR Jaime\QUIFA-CAJÚA\Cajua\[CAJUA_CF_SEC_New_27-Feb-2024Rev3.xlsx]D-PNP'!</v>
      </c>
      <c r="G1718" s="32" t="s">
        <v>38</v>
      </c>
      <c r="H1718" s="33">
        <f t="shared" si="414"/>
        <v>18</v>
      </c>
      <c r="I1718" s="33" t="str">
        <f t="shared" si="413"/>
        <v>='C:\Users\jaime.benazar\Quorum Business Solutions\Ecopetrol Prometeo - Documents\Planning Space Implementation\3. Analysis &amp; Design\Design\FC22\DRR Jaime\QUIFA-CAJÚA\Cajua\[CAJUA_CF_SEC_New_27-Feb-2024Rev3.xlsx]D-PNP'!$BX$18</v>
      </c>
      <c r="J1718" s="37" t="s">
        <v>2783</v>
      </c>
    </row>
    <row r="1719" spans="1:10" x14ac:dyDescent="0.25">
      <c r="A1719" s="32" t="s">
        <v>2</v>
      </c>
      <c r="B1719" s="32">
        <f t="shared" si="415"/>
        <v>2030</v>
      </c>
      <c r="C1719" s="33" t="s">
        <v>17</v>
      </c>
      <c r="D1719" s="34" t="s">
        <v>1999</v>
      </c>
      <c r="E1719" s="35" t="str">
        <f t="shared" si="401"/>
        <v>PNP'!</v>
      </c>
      <c r="F1719" s="34" t="str">
        <f t="shared" si="402"/>
        <v>C:\Users\jaime.benazar\Quorum Business Solutions\Ecopetrol Prometeo - Documents\Planning Space Implementation\3. Analysis &amp; Design\Design\FC22\DRR Jaime\QUIFA-CAJÚA\Cajua\[CAJUA_CF_SEC_New_27-Feb-2024Rev3.xlsx]D-PNP'!</v>
      </c>
      <c r="G1719" s="32" t="s">
        <v>38</v>
      </c>
      <c r="H1719" s="33">
        <f t="shared" si="414"/>
        <v>19</v>
      </c>
      <c r="I1719" s="33" t="str">
        <f t="shared" si="413"/>
        <v>='C:\Users\jaime.benazar\Quorum Business Solutions\Ecopetrol Prometeo - Documents\Planning Space Implementation\3. Analysis &amp; Design\Design\FC22\DRR Jaime\QUIFA-CAJÚA\Cajua\[CAJUA_CF_SEC_New_27-Feb-2024Rev3.xlsx]D-PNP'!$BX$19</v>
      </c>
      <c r="J1719" s="37" t="s">
        <v>2784</v>
      </c>
    </row>
    <row r="1720" spans="1:10" x14ac:dyDescent="0.25">
      <c r="A1720" s="32" t="s">
        <v>2</v>
      </c>
      <c r="B1720" s="32">
        <f t="shared" si="415"/>
        <v>2031</v>
      </c>
      <c r="C1720" s="33" t="s">
        <v>17</v>
      </c>
      <c r="D1720" s="34" t="s">
        <v>1999</v>
      </c>
      <c r="E1720" s="35" t="str">
        <f t="shared" si="401"/>
        <v>PNP'!</v>
      </c>
      <c r="F1720" s="34" t="str">
        <f t="shared" si="402"/>
        <v>C:\Users\jaime.benazar\Quorum Business Solutions\Ecopetrol Prometeo - Documents\Planning Space Implementation\3. Analysis &amp; Design\Design\FC22\DRR Jaime\QUIFA-CAJÚA\Cajua\[CAJUA_CF_SEC_New_27-Feb-2024Rev3.xlsx]D-PNP'!</v>
      </c>
      <c r="G1720" s="32" t="s">
        <v>38</v>
      </c>
      <c r="H1720" s="33">
        <f t="shared" si="414"/>
        <v>20</v>
      </c>
      <c r="I1720" s="33" t="str">
        <f t="shared" si="413"/>
        <v>='C:\Users\jaime.benazar\Quorum Business Solutions\Ecopetrol Prometeo - Documents\Planning Space Implementation\3. Analysis &amp; Design\Design\FC22\DRR Jaime\QUIFA-CAJÚA\Cajua\[CAJUA_CF_SEC_New_27-Feb-2024Rev3.xlsx]D-PNP'!$BX$20</v>
      </c>
      <c r="J1720" s="37" t="s">
        <v>2785</v>
      </c>
    </row>
    <row r="1721" spans="1:10" x14ac:dyDescent="0.25">
      <c r="A1721" s="32" t="s">
        <v>2</v>
      </c>
      <c r="B1721" s="32">
        <f t="shared" si="415"/>
        <v>2032</v>
      </c>
      <c r="C1721" s="33" t="s">
        <v>17</v>
      </c>
      <c r="D1721" s="34" t="s">
        <v>1999</v>
      </c>
      <c r="E1721" s="35" t="str">
        <f t="shared" si="401"/>
        <v>PNP'!</v>
      </c>
      <c r="F1721" s="34" t="str">
        <f t="shared" si="402"/>
        <v>C:\Users\jaime.benazar\Quorum Business Solutions\Ecopetrol Prometeo - Documents\Planning Space Implementation\3. Analysis &amp; Design\Design\FC22\DRR Jaime\QUIFA-CAJÚA\Cajua\[CAJUA_CF_SEC_New_27-Feb-2024Rev3.xlsx]D-PNP'!</v>
      </c>
      <c r="G1721" s="32" t="s">
        <v>38</v>
      </c>
      <c r="H1721" s="33">
        <f t="shared" si="414"/>
        <v>21</v>
      </c>
      <c r="I1721" s="33" t="str">
        <f t="shared" si="413"/>
        <v>='C:\Users\jaime.benazar\Quorum Business Solutions\Ecopetrol Prometeo - Documents\Planning Space Implementation\3. Analysis &amp; Design\Design\FC22\DRR Jaime\QUIFA-CAJÚA\Cajua\[CAJUA_CF_SEC_New_27-Feb-2024Rev3.xlsx]D-PNP'!$BX$21</v>
      </c>
      <c r="J1721" s="37" t="s">
        <v>2786</v>
      </c>
    </row>
    <row r="1722" spans="1:10" x14ac:dyDescent="0.25">
      <c r="A1722" s="32" t="s">
        <v>2</v>
      </c>
      <c r="B1722" s="32">
        <f t="shared" si="415"/>
        <v>2033</v>
      </c>
      <c r="C1722" s="33" t="s">
        <v>17</v>
      </c>
      <c r="D1722" s="34" t="s">
        <v>1999</v>
      </c>
      <c r="E1722" s="35" t="str">
        <f t="shared" si="401"/>
        <v>PNP'!</v>
      </c>
      <c r="F1722" s="34" t="str">
        <f t="shared" si="402"/>
        <v>C:\Users\jaime.benazar\Quorum Business Solutions\Ecopetrol Prometeo - Documents\Planning Space Implementation\3. Analysis &amp; Design\Design\FC22\DRR Jaime\QUIFA-CAJÚA\Cajua\[CAJUA_CF_SEC_New_27-Feb-2024Rev3.xlsx]D-PNP'!</v>
      </c>
      <c r="G1722" s="32" t="s">
        <v>38</v>
      </c>
      <c r="H1722" s="33">
        <f t="shared" si="414"/>
        <v>22</v>
      </c>
      <c r="I1722" s="33" t="str">
        <f t="shared" si="413"/>
        <v>='C:\Users\jaime.benazar\Quorum Business Solutions\Ecopetrol Prometeo - Documents\Planning Space Implementation\3. Analysis &amp; Design\Design\FC22\DRR Jaime\QUIFA-CAJÚA\Cajua\[CAJUA_CF_SEC_New_27-Feb-2024Rev3.xlsx]D-PNP'!$BX$22</v>
      </c>
      <c r="J1722" s="37" t="s">
        <v>2787</v>
      </c>
    </row>
    <row r="1723" spans="1:10" x14ac:dyDescent="0.25">
      <c r="A1723" s="32" t="s">
        <v>2</v>
      </c>
      <c r="B1723" s="32">
        <f t="shared" si="415"/>
        <v>2034</v>
      </c>
      <c r="C1723" s="33" t="s">
        <v>17</v>
      </c>
      <c r="D1723" s="34" t="s">
        <v>1999</v>
      </c>
      <c r="E1723" s="35" t="str">
        <f t="shared" si="401"/>
        <v>PNP'!</v>
      </c>
      <c r="F1723" s="34" t="str">
        <f t="shared" si="402"/>
        <v>C:\Users\jaime.benazar\Quorum Business Solutions\Ecopetrol Prometeo - Documents\Planning Space Implementation\3. Analysis &amp; Design\Design\FC22\DRR Jaime\QUIFA-CAJÚA\Cajua\[CAJUA_CF_SEC_New_27-Feb-2024Rev3.xlsx]D-PNP'!</v>
      </c>
      <c r="G1723" s="32" t="s">
        <v>38</v>
      </c>
      <c r="H1723" s="33">
        <f t="shared" si="414"/>
        <v>23</v>
      </c>
      <c r="I1723" s="33" t="str">
        <f t="shared" si="413"/>
        <v>='C:\Users\jaime.benazar\Quorum Business Solutions\Ecopetrol Prometeo - Documents\Planning Space Implementation\3. Analysis &amp; Design\Design\FC22\DRR Jaime\QUIFA-CAJÚA\Cajua\[CAJUA_CF_SEC_New_27-Feb-2024Rev3.xlsx]D-PNP'!$BX$23</v>
      </c>
      <c r="J1723" s="37" t="s">
        <v>2788</v>
      </c>
    </row>
    <row r="1724" spans="1:10" x14ac:dyDescent="0.25">
      <c r="A1724" s="32" t="s">
        <v>2</v>
      </c>
      <c r="B1724" s="32">
        <f t="shared" si="415"/>
        <v>2035</v>
      </c>
      <c r="C1724" s="33" t="s">
        <v>17</v>
      </c>
      <c r="D1724" s="34" t="s">
        <v>1999</v>
      </c>
      <c r="E1724" s="35" t="str">
        <f t="shared" si="401"/>
        <v>PNP'!</v>
      </c>
      <c r="F1724" s="34" t="str">
        <f t="shared" si="402"/>
        <v>C:\Users\jaime.benazar\Quorum Business Solutions\Ecopetrol Prometeo - Documents\Planning Space Implementation\3. Analysis &amp; Design\Design\FC22\DRR Jaime\QUIFA-CAJÚA\Cajua\[CAJUA_CF_SEC_New_27-Feb-2024Rev3.xlsx]D-PNP'!</v>
      </c>
      <c r="G1724" s="32" t="s">
        <v>38</v>
      </c>
      <c r="H1724" s="33">
        <f t="shared" si="414"/>
        <v>24</v>
      </c>
      <c r="I1724" s="33" t="str">
        <f t="shared" si="413"/>
        <v>='C:\Users\jaime.benazar\Quorum Business Solutions\Ecopetrol Prometeo - Documents\Planning Space Implementation\3. Analysis &amp; Design\Design\FC22\DRR Jaime\QUIFA-CAJÚA\Cajua\[CAJUA_CF_SEC_New_27-Feb-2024Rev3.xlsx]D-PNP'!$BX$24</v>
      </c>
      <c r="J1724" s="37" t="s">
        <v>2789</v>
      </c>
    </row>
    <row r="1725" spans="1:10" x14ac:dyDescent="0.25">
      <c r="A1725" s="32" t="s">
        <v>2</v>
      </c>
      <c r="B1725" s="32">
        <f t="shared" si="415"/>
        <v>2036</v>
      </c>
      <c r="C1725" s="33" t="s">
        <v>17</v>
      </c>
      <c r="D1725" s="34" t="s">
        <v>1999</v>
      </c>
      <c r="E1725" s="35" t="str">
        <f t="shared" si="401"/>
        <v>PNP'!</v>
      </c>
      <c r="F1725" s="34" t="str">
        <f t="shared" si="402"/>
        <v>C:\Users\jaime.benazar\Quorum Business Solutions\Ecopetrol Prometeo - Documents\Planning Space Implementation\3. Analysis &amp; Design\Design\FC22\DRR Jaime\QUIFA-CAJÚA\Cajua\[CAJUA_CF_SEC_New_27-Feb-2024Rev3.xlsx]D-PNP'!</v>
      </c>
      <c r="G1725" s="32" t="s">
        <v>38</v>
      </c>
      <c r="H1725" s="33">
        <f t="shared" si="414"/>
        <v>25</v>
      </c>
      <c r="I1725" s="33" t="str">
        <f t="shared" si="413"/>
        <v>='C:\Users\jaime.benazar\Quorum Business Solutions\Ecopetrol Prometeo - Documents\Planning Space Implementation\3. Analysis &amp; Design\Design\FC22\DRR Jaime\QUIFA-CAJÚA\Cajua\[CAJUA_CF_SEC_New_27-Feb-2024Rev3.xlsx]D-PNP'!$BX$25</v>
      </c>
      <c r="J1725" s="37" t="s">
        <v>2790</v>
      </c>
    </row>
    <row r="1726" spans="1:10" x14ac:dyDescent="0.25">
      <c r="A1726" s="32" t="s">
        <v>2</v>
      </c>
      <c r="B1726" s="32">
        <f>+B1725+1</f>
        <v>2037</v>
      </c>
      <c r="C1726" s="33" t="s">
        <v>17</v>
      </c>
      <c r="D1726" s="34" t="s">
        <v>1999</v>
      </c>
      <c r="E1726" s="35" t="str">
        <f t="shared" si="401"/>
        <v>PNP'!</v>
      </c>
      <c r="F1726" s="34" t="str">
        <f t="shared" si="402"/>
        <v>C:\Users\jaime.benazar\Quorum Business Solutions\Ecopetrol Prometeo - Documents\Planning Space Implementation\3. Analysis &amp; Design\Design\FC22\DRR Jaime\QUIFA-CAJÚA\Cajua\[CAJUA_CF_SEC_New_27-Feb-2024Rev3.xlsx]D-PNP'!</v>
      </c>
      <c r="G1726" s="32" t="s">
        <v>38</v>
      </c>
      <c r="H1726" s="33">
        <f t="shared" si="414"/>
        <v>26</v>
      </c>
      <c r="I1726" s="33" t="str">
        <f t="shared" si="413"/>
        <v>='C:\Users\jaime.benazar\Quorum Business Solutions\Ecopetrol Prometeo - Documents\Planning Space Implementation\3. Analysis &amp; Design\Design\FC22\DRR Jaime\QUIFA-CAJÚA\Cajua\[CAJUA_CF_SEC_New_27-Feb-2024Rev3.xlsx]D-PNP'!$BX$26</v>
      </c>
      <c r="J1726" s="37" t="s">
        <v>2791</v>
      </c>
    </row>
    <row r="1727" spans="1:10" x14ac:dyDescent="0.25">
      <c r="A1727" s="32" t="s">
        <v>2</v>
      </c>
      <c r="B1727" s="32">
        <f t="shared" ref="B1727:B1729" si="416">+B1726+1</f>
        <v>2038</v>
      </c>
      <c r="C1727" s="33" t="s">
        <v>17</v>
      </c>
      <c r="D1727" s="34" t="s">
        <v>1999</v>
      </c>
      <c r="E1727" s="35" t="str">
        <f t="shared" si="401"/>
        <v>PNP'!</v>
      </c>
      <c r="F1727" s="34" t="str">
        <f t="shared" si="402"/>
        <v>C:\Users\jaime.benazar\Quorum Business Solutions\Ecopetrol Prometeo - Documents\Planning Space Implementation\3. Analysis &amp; Design\Design\FC22\DRR Jaime\QUIFA-CAJÚA\Cajua\[CAJUA_CF_SEC_New_27-Feb-2024Rev3.xlsx]D-PNP'!</v>
      </c>
      <c r="G1727" s="32" t="s">
        <v>38</v>
      </c>
      <c r="H1727" s="33">
        <f t="shared" si="414"/>
        <v>27</v>
      </c>
      <c r="I1727" s="33" t="str">
        <f t="shared" si="413"/>
        <v>='C:\Users\jaime.benazar\Quorum Business Solutions\Ecopetrol Prometeo - Documents\Planning Space Implementation\3. Analysis &amp; Design\Design\FC22\DRR Jaime\QUIFA-CAJÚA\Cajua\[CAJUA_CF_SEC_New_27-Feb-2024Rev3.xlsx]D-PNP'!$BX$27</v>
      </c>
      <c r="J1727" s="37" t="s">
        <v>2792</v>
      </c>
    </row>
    <row r="1728" spans="1:10" x14ac:dyDescent="0.25">
      <c r="A1728" s="32" t="s">
        <v>2</v>
      </c>
      <c r="B1728" s="32">
        <f t="shared" si="416"/>
        <v>2039</v>
      </c>
      <c r="C1728" s="33" t="s">
        <v>17</v>
      </c>
      <c r="D1728" s="34" t="s">
        <v>1999</v>
      </c>
      <c r="E1728" s="35" t="str">
        <f t="shared" si="401"/>
        <v>PNP'!</v>
      </c>
      <c r="F1728" s="34" t="str">
        <f t="shared" si="402"/>
        <v>C:\Users\jaime.benazar\Quorum Business Solutions\Ecopetrol Prometeo - Documents\Planning Space Implementation\3. Analysis &amp; Design\Design\FC22\DRR Jaime\QUIFA-CAJÚA\Cajua\[CAJUA_CF_SEC_New_27-Feb-2024Rev3.xlsx]D-PNP'!</v>
      </c>
      <c r="G1728" s="32" t="s">
        <v>38</v>
      </c>
      <c r="H1728" s="33">
        <f t="shared" si="414"/>
        <v>28</v>
      </c>
      <c r="I1728" s="33" t="str">
        <f t="shared" si="413"/>
        <v>='C:\Users\jaime.benazar\Quorum Business Solutions\Ecopetrol Prometeo - Documents\Planning Space Implementation\3. Analysis &amp; Design\Design\FC22\DRR Jaime\QUIFA-CAJÚA\Cajua\[CAJUA_CF_SEC_New_27-Feb-2024Rev3.xlsx]D-PNP'!$BX$28</v>
      </c>
      <c r="J1728" s="37" t="s">
        <v>2793</v>
      </c>
    </row>
    <row r="1729" spans="1:10" x14ac:dyDescent="0.25">
      <c r="A1729" s="32" t="s">
        <v>2</v>
      </c>
      <c r="B1729" s="32">
        <f t="shared" si="416"/>
        <v>2040</v>
      </c>
      <c r="C1729" s="33" t="s">
        <v>17</v>
      </c>
      <c r="D1729" s="34" t="s">
        <v>1999</v>
      </c>
      <c r="E1729" s="35" t="str">
        <f t="shared" si="401"/>
        <v>PNP'!</v>
      </c>
      <c r="F1729" s="34" t="str">
        <f t="shared" si="402"/>
        <v>C:\Users\jaime.benazar\Quorum Business Solutions\Ecopetrol Prometeo - Documents\Planning Space Implementation\3. Analysis &amp; Design\Design\FC22\DRR Jaime\QUIFA-CAJÚA\Cajua\[CAJUA_CF_SEC_New_27-Feb-2024Rev3.xlsx]D-PNP'!</v>
      </c>
      <c r="G1729" s="32" t="s">
        <v>38</v>
      </c>
      <c r="H1729" s="33">
        <f t="shared" si="414"/>
        <v>29</v>
      </c>
      <c r="I1729" s="33" t="str">
        <f t="shared" si="413"/>
        <v>='C:\Users\jaime.benazar\Quorum Business Solutions\Ecopetrol Prometeo - Documents\Planning Space Implementation\3. Analysis &amp; Design\Design\FC22\DRR Jaime\QUIFA-CAJÚA\Cajua\[CAJUA_CF_SEC_New_27-Feb-2024Rev3.xlsx]D-PNP'!$BX$29</v>
      </c>
      <c r="J1729" s="37" t="s">
        <v>2794</v>
      </c>
    </row>
    <row r="1730" spans="1:10" x14ac:dyDescent="0.25">
      <c r="A1730" s="32" t="s">
        <v>2</v>
      </c>
      <c r="B1730" s="32">
        <f>+B1729+1</f>
        <v>2041</v>
      </c>
      <c r="C1730" s="33" t="s">
        <v>17</v>
      </c>
      <c r="D1730" s="34" t="s">
        <v>1999</v>
      </c>
      <c r="E1730" s="35" t="str">
        <f t="shared" si="401"/>
        <v>PNP'!</v>
      </c>
      <c r="F1730" s="34" t="str">
        <f t="shared" si="402"/>
        <v>C:\Users\jaime.benazar\Quorum Business Solutions\Ecopetrol Prometeo - Documents\Planning Space Implementation\3. Analysis &amp; Design\Design\FC22\DRR Jaime\QUIFA-CAJÚA\Cajua\[CAJUA_CF_SEC_New_27-Feb-2024Rev3.xlsx]D-PNP'!</v>
      </c>
      <c r="G1730" s="32" t="s">
        <v>38</v>
      </c>
      <c r="H1730" s="33">
        <f t="shared" si="414"/>
        <v>30</v>
      </c>
      <c r="I1730" s="33" t="str">
        <f t="shared" si="413"/>
        <v>='C:\Users\jaime.benazar\Quorum Business Solutions\Ecopetrol Prometeo - Documents\Planning Space Implementation\3. Analysis &amp; Design\Design\FC22\DRR Jaime\QUIFA-CAJÚA\Cajua\[CAJUA_CF_SEC_New_27-Feb-2024Rev3.xlsx]D-PNP'!$BX$30</v>
      </c>
      <c r="J1730" s="37" t="s">
        <v>2795</v>
      </c>
    </row>
    <row r="1731" spans="1:10" x14ac:dyDescent="0.25">
      <c r="A1731" s="32" t="s">
        <v>2</v>
      </c>
      <c r="B1731" s="32">
        <f t="shared" ref="B1731:B1732" si="417">+B1730+1</f>
        <v>2042</v>
      </c>
      <c r="C1731" s="33" t="s">
        <v>17</v>
      </c>
      <c r="D1731" s="34" t="s">
        <v>1999</v>
      </c>
      <c r="E1731" s="35" t="str">
        <f t="shared" si="401"/>
        <v>PNP'!</v>
      </c>
      <c r="F1731" s="34" t="str">
        <f t="shared" si="402"/>
        <v>C:\Users\jaime.benazar\Quorum Business Solutions\Ecopetrol Prometeo - Documents\Planning Space Implementation\3. Analysis &amp; Design\Design\FC22\DRR Jaime\QUIFA-CAJÚA\Cajua\[CAJUA_CF_SEC_New_27-Feb-2024Rev3.xlsx]D-PNP'!</v>
      </c>
      <c r="G1731" s="32" t="s">
        <v>38</v>
      </c>
      <c r="H1731" s="33">
        <f t="shared" si="414"/>
        <v>31</v>
      </c>
      <c r="I1731" s="33" t="str">
        <f t="shared" si="413"/>
        <v>='C:\Users\jaime.benazar\Quorum Business Solutions\Ecopetrol Prometeo - Documents\Planning Space Implementation\3. Analysis &amp; Design\Design\FC22\DRR Jaime\QUIFA-CAJÚA\Cajua\[CAJUA_CF_SEC_New_27-Feb-2024Rev3.xlsx]D-PNP'!$BX$31</v>
      </c>
      <c r="J1731" s="37" t="s">
        <v>2796</v>
      </c>
    </row>
    <row r="1732" spans="1:10" x14ac:dyDescent="0.25">
      <c r="A1732" s="32" t="s">
        <v>2</v>
      </c>
      <c r="B1732" s="32">
        <f t="shared" si="417"/>
        <v>2043</v>
      </c>
      <c r="C1732" s="33" t="s">
        <v>17</v>
      </c>
      <c r="D1732" s="34" t="s">
        <v>1999</v>
      </c>
      <c r="E1732" s="35" t="str">
        <f t="shared" si="401"/>
        <v>PNP'!</v>
      </c>
      <c r="F1732" s="34" t="str">
        <f t="shared" si="402"/>
        <v>C:\Users\jaime.benazar\Quorum Business Solutions\Ecopetrol Prometeo - Documents\Planning Space Implementation\3. Analysis &amp; Design\Design\FC22\DRR Jaime\QUIFA-CAJÚA\Cajua\[CAJUA_CF_SEC_New_27-Feb-2024Rev3.xlsx]D-PNP'!</v>
      </c>
      <c r="G1732" s="32" t="s">
        <v>38</v>
      </c>
      <c r="H1732" s="33">
        <f t="shared" si="414"/>
        <v>32</v>
      </c>
      <c r="I1732" s="33" t="str">
        <f t="shared" si="413"/>
        <v>='C:\Users\jaime.benazar\Quorum Business Solutions\Ecopetrol Prometeo - Documents\Planning Space Implementation\3. Analysis &amp; Design\Design\FC22\DRR Jaime\QUIFA-CAJÚA\Cajua\[CAJUA_CF_SEC_New_27-Feb-2024Rev3.xlsx]D-PNP'!$BX$32</v>
      </c>
      <c r="J1732" s="37" t="s">
        <v>2797</v>
      </c>
    </row>
    <row r="1733" spans="1:10" x14ac:dyDescent="0.25">
      <c r="A1733" s="32" t="s">
        <v>2</v>
      </c>
      <c r="B1733" s="32">
        <f>+B1732+1</f>
        <v>2044</v>
      </c>
      <c r="C1733" s="33" t="s">
        <v>17</v>
      </c>
      <c r="D1733" s="34" t="s">
        <v>1999</v>
      </c>
      <c r="E1733" s="35" t="str">
        <f t="shared" ref="E1733:E1748" si="418">_xlfn.CONCAT(A1733,"'!")</f>
        <v>PNP'!</v>
      </c>
      <c r="F1733" s="34" t="str">
        <f t="shared" ref="F1733:F1748" si="419">_xlfn.CONCAT(D1733:E1733)</f>
        <v>C:\Users\jaime.benazar\Quorum Business Solutions\Ecopetrol Prometeo - Documents\Planning Space Implementation\3. Analysis &amp; Design\Design\FC22\DRR Jaime\QUIFA-CAJÚA\Cajua\[CAJUA_CF_SEC_New_27-Feb-2024Rev3.xlsx]D-PNP'!</v>
      </c>
      <c r="G1733" s="32" t="s">
        <v>38</v>
      </c>
      <c r="H1733" s="33">
        <f t="shared" ref="H1733:H1748" si="420">IF(A1733&lt;&gt;A1732,12,H1732+1)</f>
        <v>33</v>
      </c>
      <c r="I1733" s="33" t="str">
        <f t="shared" ref="I1733:I1748" si="421">_xlfn.CONCAT("='",F1733:H1733)</f>
        <v>='C:\Users\jaime.benazar\Quorum Business Solutions\Ecopetrol Prometeo - Documents\Planning Space Implementation\3. Analysis &amp; Design\Design\FC22\DRR Jaime\QUIFA-CAJÚA\Cajua\[CAJUA_CF_SEC_New_27-Feb-2024Rev3.xlsx]D-PNP'!$BX$33</v>
      </c>
      <c r="J1733" s="37" t="s">
        <v>2798</v>
      </c>
    </row>
    <row r="1734" spans="1:10" x14ac:dyDescent="0.25">
      <c r="A1734" s="32" t="s">
        <v>2</v>
      </c>
      <c r="B1734" s="32">
        <f t="shared" ref="B1734:B1748" si="422">+B1733+1</f>
        <v>2045</v>
      </c>
      <c r="C1734" s="33" t="s">
        <v>17</v>
      </c>
      <c r="D1734" s="34" t="s">
        <v>1999</v>
      </c>
      <c r="E1734" s="35" t="str">
        <f t="shared" si="418"/>
        <v>PNP'!</v>
      </c>
      <c r="F1734" s="34" t="str">
        <f t="shared" si="419"/>
        <v>C:\Users\jaime.benazar\Quorum Business Solutions\Ecopetrol Prometeo - Documents\Planning Space Implementation\3. Analysis &amp; Design\Design\FC22\DRR Jaime\QUIFA-CAJÚA\Cajua\[CAJUA_CF_SEC_New_27-Feb-2024Rev3.xlsx]D-PNP'!</v>
      </c>
      <c r="G1734" s="32" t="s">
        <v>38</v>
      </c>
      <c r="H1734" s="33">
        <f t="shared" si="420"/>
        <v>34</v>
      </c>
      <c r="I1734" s="33" t="str">
        <f t="shared" si="421"/>
        <v>='C:\Users\jaime.benazar\Quorum Business Solutions\Ecopetrol Prometeo - Documents\Planning Space Implementation\3. Analysis &amp; Design\Design\FC22\DRR Jaime\QUIFA-CAJÚA\Cajua\[CAJUA_CF_SEC_New_27-Feb-2024Rev3.xlsx]D-PNP'!$BX$34</v>
      </c>
      <c r="J1734" s="37" t="s">
        <v>2799</v>
      </c>
    </row>
    <row r="1735" spans="1:10" x14ac:dyDescent="0.25">
      <c r="A1735" s="32" t="s">
        <v>2</v>
      </c>
      <c r="B1735" s="32">
        <f t="shared" si="422"/>
        <v>2046</v>
      </c>
      <c r="C1735" s="33" t="s">
        <v>17</v>
      </c>
      <c r="D1735" s="34" t="s">
        <v>1999</v>
      </c>
      <c r="E1735" s="35" t="str">
        <f t="shared" si="418"/>
        <v>PNP'!</v>
      </c>
      <c r="F1735" s="34" t="str">
        <f t="shared" si="419"/>
        <v>C:\Users\jaime.benazar\Quorum Business Solutions\Ecopetrol Prometeo - Documents\Planning Space Implementation\3. Analysis &amp; Design\Design\FC22\DRR Jaime\QUIFA-CAJÚA\Cajua\[CAJUA_CF_SEC_New_27-Feb-2024Rev3.xlsx]D-PNP'!</v>
      </c>
      <c r="G1735" s="32" t="s">
        <v>38</v>
      </c>
      <c r="H1735" s="33">
        <f t="shared" si="420"/>
        <v>35</v>
      </c>
      <c r="I1735" s="33" t="str">
        <f t="shared" si="421"/>
        <v>='C:\Users\jaime.benazar\Quorum Business Solutions\Ecopetrol Prometeo - Documents\Planning Space Implementation\3. Analysis &amp; Design\Design\FC22\DRR Jaime\QUIFA-CAJÚA\Cajua\[CAJUA_CF_SEC_New_27-Feb-2024Rev3.xlsx]D-PNP'!$BX$35</v>
      </c>
      <c r="J1735" s="37" t="s">
        <v>2800</v>
      </c>
    </row>
    <row r="1736" spans="1:10" x14ac:dyDescent="0.25">
      <c r="A1736" s="32" t="s">
        <v>2</v>
      </c>
      <c r="B1736" s="32">
        <f t="shared" si="422"/>
        <v>2047</v>
      </c>
      <c r="C1736" s="33" t="s">
        <v>17</v>
      </c>
      <c r="D1736" s="34" t="s">
        <v>1999</v>
      </c>
      <c r="E1736" s="35" t="str">
        <f t="shared" si="418"/>
        <v>PNP'!</v>
      </c>
      <c r="F1736" s="34" t="str">
        <f t="shared" si="419"/>
        <v>C:\Users\jaime.benazar\Quorum Business Solutions\Ecopetrol Prometeo - Documents\Planning Space Implementation\3. Analysis &amp; Design\Design\FC22\DRR Jaime\QUIFA-CAJÚA\Cajua\[CAJUA_CF_SEC_New_27-Feb-2024Rev3.xlsx]D-PNP'!</v>
      </c>
      <c r="G1736" s="32" t="s">
        <v>38</v>
      </c>
      <c r="H1736" s="33">
        <f t="shared" si="420"/>
        <v>36</v>
      </c>
      <c r="I1736" s="33" t="str">
        <f t="shared" si="421"/>
        <v>='C:\Users\jaime.benazar\Quorum Business Solutions\Ecopetrol Prometeo - Documents\Planning Space Implementation\3. Analysis &amp; Design\Design\FC22\DRR Jaime\QUIFA-CAJÚA\Cajua\[CAJUA_CF_SEC_New_27-Feb-2024Rev3.xlsx]D-PNP'!$BX$36</v>
      </c>
      <c r="J1736" s="37" t="s">
        <v>2801</v>
      </c>
    </row>
    <row r="1737" spans="1:10" x14ac:dyDescent="0.25">
      <c r="A1737" s="32" t="s">
        <v>2</v>
      </c>
      <c r="B1737" s="32">
        <f t="shared" si="422"/>
        <v>2048</v>
      </c>
      <c r="C1737" s="33" t="s">
        <v>17</v>
      </c>
      <c r="D1737" s="34" t="s">
        <v>1999</v>
      </c>
      <c r="E1737" s="35" t="str">
        <f t="shared" si="418"/>
        <v>PNP'!</v>
      </c>
      <c r="F1737" s="34" t="str">
        <f t="shared" si="419"/>
        <v>C:\Users\jaime.benazar\Quorum Business Solutions\Ecopetrol Prometeo - Documents\Planning Space Implementation\3. Analysis &amp; Design\Design\FC22\DRR Jaime\QUIFA-CAJÚA\Cajua\[CAJUA_CF_SEC_New_27-Feb-2024Rev3.xlsx]D-PNP'!</v>
      </c>
      <c r="G1737" s="32" t="s">
        <v>38</v>
      </c>
      <c r="H1737" s="33">
        <f t="shared" si="420"/>
        <v>37</v>
      </c>
      <c r="I1737" s="33" t="str">
        <f t="shared" si="421"/>
        <v>='C:\Users\jaime.benazar\Quorum Business Solutions\Ecopetrol Prometeo - Documents\Planning Space Implementation\3. Analysis &amp; Design\Design\FC22\DRR Jaime\QUIFA-CAJÚA\Cajua\[CAJUA_CF_SEC_New_27-Feb-2024Rev3.xlsx]D-PNP'!$BX$37</v>
      </c>
      <c r="J1737" s="37" t="s">
        <v>2802</v>
      </c>
    </row>
    <row r="1738" spans="1:10" x14ac:dyDescent="0.25">
      <c r="A1738" s="32" t="s">
        <v>2</v>
      </c>
      <c r="B1738" s="32">
        <f t="shared" si="422"/>
        <v>2049</v>
      </c>
      <c r="C1738" s="33" t="s">
        <v>17</v>
      </c>
      <c r="D1738" s="34" t="s">
        <v>1999</v>
      </c>
      <c r="E1738" s="35" t="str">
        <f t="shared" si="418"/>
        <v>PNP'!</v>
      </c>
      <c r="F1738" s="34" t="str">
        <f t="shared" si="419"/>
        <v>C:\Users\jaime.benazar\Quorum Business Solutions\Ecopetrol Prometeo - Documents\Planning Space Implementation\3. Analysis &amp; Design\Design\FC22\DRR Jaime\QUIFA-CAJÚA\Cajua\[CAJUA_CF_SEC_New_27-Feb-2024Rev3.xlsx]D-PNP'!</v>
      </c>
      <c r="G1738" s="32" t="s">
        <v>38</v>
      </c>
      <c r="H1738" s="33">
        <f t="shared" si="420"/>
        <v>38</v>
      </c>
      <c r="I1738" s="33" t="str">
        <f t="shared" si="421"/>
        <v>='C:\Users\jaime.benazar\Quorum Business Solutions\Ecopetrol Prometeo - Documents\Planning Space Implementation\3. Analysis &amp; Design\Design\FC22\DRR Jaime\QUIFA-CAJÚA\Cajua\[CAJUA_CF_SEC_New_27-Feb-2024Rev3.xlsx]D-PNP'!$BX$38</v>
      </c>
      <c r="J1738" s="37" t="s">
        <v>2803</v>
      </c>
    </row>
    <row r="1739" spans="1:10" x14ac:dyDescent="0.25">
      <c r="A1739" s="32" t="s">
        <v>2</v>
      </c>
      <c r="B1739" s="32">
        <f t="shared" si="422"/>
        <v>2050</v>
      </c>
      <c r="C1739" s="33" t="s">
        <v>17</v>
      </c>
      <c r="D1739" s="34" t="s">
        <v>1999</v>
      </c>
      <c r="E1739" s="35" t="str">
        <f t="shared" si="418"/>
        <v>PNP'!</v>
      </c>
      <c r="F1739" s="34" t="str">
        <f t="shared" si="419"/>
        <v>C:\Users\jaime.benazar\Quorum Business Solutions\Ecopetrol Prometeo - Documents\Planning Space Implementation\3. Analysis &amp; Design\Design\FC22\DRR Jaime\QUIFA-CAJÚA\Cajua\[CAJUA_CF_SEC_New_27-Feb-2024Rev3.xlsx]D-PNP'!</v>
      </c>
      <c r="G1739" s="32" t="s">
        <v>38</v>
      </c>
      <c r="H1739" s="33">
        <f t="shared" si="420"/>
        <v>39</v>
      </c>
      <c r="I1739" s="33" t="str">
        <f t="shared" si="421"/>
        <v>='C:\Users\jaime.benazar\Quorum Business Solutions\Ecopetrol Prometeo - Documents\Planning Space Implementation\3. Analysis &amp; Design\Design\FC22\DRR Jaime\QUIFA-CAJÚA\Cajua\[CAJUA_CF_SEC_New_27-Feb-2024Rev3.xlsx]D-PNP'!$BX$39</v>
      </c>
      <c r="J1739" s="37" t="s">
        <v>2804</v>
      </c>
    </row>
    <row r="1740" spans="1:10" x14ac:dyDescent="0.25">
      <c r="A1740" s="32" t="s">
        <v>2</v>
      </c>
      <c r="B1740" s="32">
        <f t="shared" si="422"/>
        <v>2051</v>
      </c>
      <c r="C1740" s="33" t="s">
        <v>17</v>
      </c>
      <c r="D1740" s="34" t="s">
        <v>1999</v>
      </c>
      <c r="E1740" s="35" t="str">
        <f t="shared" si="418"/>
        <v>PNP'!</v>
      </c>
      <c r="F1740" s="34" t="str">
        <f t="shared" si="419"/>
        <v>C:\Users\jaime.benazar\Quorum Business Solutions\Ecopetrol Prometeo - Documents\Planning Space Implementation\3. Analysis &amp; Design\Design\FC22\DRR Jaime\QUIFA-CAJÚA\Cajua\[CAJUA_CF_SEC_New_27-Feb-2024Rev3.xlsx]D-PNP'!</v>
      </c>
      <c r="G1740" s="32" t="s">
        <v>38</v>
      </c>
      <c r="H1740" s="33">
        <f t="shared" si="420"/>
        <v>40</v>
      </c>
      <c r="I1740" s="33" t="str">
        <f t="shared" si="421"/>
        <v>='C:\Users\jaime.benazar\Quorum Business Solutions\Ecopetrol Prometeo - Documents\Planning Space Implementation\3. Analysis &amp; Design\Design\FC22\DRR Jaime\QUIFA-CAJÚA\Cajua\[CAJUA_CF_SEC_New_27-Feb-2024Rev3.xlsx]D-PNP'!$BX$40</v>
      </c>
      <c r="J1740" s="37" t="s">
        <v>2805</v>
      </c>
    </row>
    <row r="1741" spans="1:10" x14ac:dyDescent="0.25">
      <c r="A1741" s="32" t="s">
        <v>2</v>
      </c>
      <c r="B1741" s="32">
        <f t="shared" si="422"/>
        <v>2052</v>
      </c>
      <c r="C1741" s="33" t="s">
        <v>17</v>
      </c>
      <c r="D1741" s="34" t="s">
        <v>1999</v>
      </c>
      <c r="E1741" s="35" t="str">
        <f t="shared" si="418"/>
        <v>PNP'!</v>
      </c>
      <c r="F1741" s="34" t="str">
        <f t="shared" si="419"/>
        <v>C:\Users\jaime.benazar\Quorum Business Solutions\Ecopetrol Prometeo - Documents\Planning Space Implementation\3. Analysis &amp; Design\Design\FC22\DRR Jaime\QUIFA-CAJÚA\Cajua\[CAJUA_CF_SEC_New_27-Feb-2024Rev3.xlsx]D-PNP'!</v>
      </c>
      <c r="G1741" s="32" t="s">
        <v>38</v>
      </c>
      <c r="H1741" s="33">
        <f t="shared" si="420"/>
        <v>41</v>
      </c>
      <c r="I1741" s="33" t="str">
        <f t="shared" si="421"/>
        <v>='C:\Users\jaime.benazar\Quorum Business Solutions\Ecopetrol Prometeo - Documents\Planning Space Implementation\3. Analysis &amp; Design\Design\FC22\DRR Jaime\QUIFA-CAJÚA\Cajua\[CAJUA_CF_SEC_New_27-Feb-2024Rev3.xlsx]D-PNP'!$BX$41</v>
      </c>
      <c r="J1741" s="37" t="s">
        <v>2806</v>
      </c>
    </row>
    <row r="1742" spans="1:10" x14ac:dyDescent="0.25">
      <c r="A1742" s="32" t="s">
        <v>2</v>
      </c>
      <c r="B1742" s="32">
        <f t="shared" si="422"/>
        <v>2053</v>
      </c>
      <c r="C1742" s="33" t="s">
        <v>17</v>
      </c>
      <c r="D1742" s="34" t="s">
        <v>1999</v>
      </c>
      <c r="E1742" s="35" t="str">
        <f t="shared" si="418"/>
        <v>PNP'!</v>
      </c>
      <c r="F1742" s="34" t="str">
        <f t="shared" si="419"/>
        <v>C:\Users\jaime.benazar\Quorum Business Solutions\Ecopetrol Prometeo - Documents\Planning Space Implementation\3. Analysis &amp; Design\Design\FC22\DRR Jaime\QUIFA-CAJÚA\Cajua\[CAJUA_CF_SEC_New_27-Feb-2024Rev3.xlsx]D-PNP'!</v>
      </c>
      <c r="G1742" s="32" t="s">
        <v>38</v>
      </c>
      <c r="H1742" s="33">
        <f t="shared" si="420"/>
        <v>42</v>
      </c>
      <c r="I1742" s="33" t="str">
        <f t="shared" si="421"/>
        <v>='C:\Users\jaime.benazar\Quorum Business Solutions\Ecopetrol Prometeo - Documents\Planning Space Implementation\3. Analysis &amp; Design\Design\FC22\DRR Jaime\QUIFA-CAJÚA\Cajua\[CAJUA_CF_SEC_New_27-Feb-2024Rev3.xlsx]D-PNP'!$BX$42</v>
      </c>
      <c r="J1742" s="37" t="s">
        <v>2807</v>
      </c>
    </row>
    <row r="1743" spans="1:10" x14ac:dyDescent="0.25">
      <c r="A1743" s="32" t="s">
        <v>2</v>
      </c>
      <c r="B1743" s="32">
        <f t="shared" si="422"/>
        <v>2054</v>
      </c>
      <c r="C1743" s="33" t="s">
        <v>17</v>
      </c>
      <c r="D1743" s="34" t="s">
        <v>1999</v>
      </c>
      <c r="E1743" s="35" t="str">
        <f t="shared" si="418"/>
        <v>PNP'!</v>
      </c>
      <c r="F1743" s="34" t="str">
        <f t="shared" si="419"/>
        <v>C:\Users\jaime.benazar\Quorum Business Solutions\Ecopetrol Prometeo - Documents\Planning Space Implementation\3. Analysis &amp; Design\Design\FC22\DRR Jaime\QUIFA-CAJÚA\Cajua\[CAJUA_CF_SEC_New_27-Feb-2024Rev3.xlsx]D-PNP'!</v>
      </c>
      <c r="G1743" s="32" t="s">
        <v>38</v>
      </c>
      <c r="H1743" s="33">
        <f t="shared" si="420"/>
        <v>43</v>
      </c>
      <c r="I1743" s="33" t="str">
        <f t="shared" si="421"/>
        <v>='C:\Users\jaime.benazar\Quorum Business Solutions\Ecopetrol Prometeo - Documents\Planning Space Implementation\3. Analysis &amp; Design\Design\FC22\DRR Jaime\QUIFA-CAJÚA\Cajua\[CAJUA_CF_SEC_New_27-Feb-2024Rev3.xlsx]D-PNP'!$BX$43</v>
      </c>
      <c r="J1743" s="37" t="s">
        <v>2808</v>
      </c>
    </row>
    <row r="1744" spans="1:10" x14ac:dyDescent="0.25">
      <c r="A1744" s="32" t="s">
        <v>2</v>
      </c>
      <c r="B1744" s="32">
        <f t="shared" si="422"/>
        <v>2055</v>
      </c>
      <c r="C1744" s="33" t="s">
        <v>17</v>
      </c>
      <c r="D1744" s="34" t="s">
        <v>1999</v>
      </c>
      <c r="E1744" s="35" t="str">
        <f t="shared" si="418"/>
        <v>PNP'!</v>
      </c>
      <c r="F1744" s="34" t="str">
        <f t="shared" si="419"/>
        <v>C:\Users\jaime.benazar\Quorum Business Solutions\Ecopetrol Prometeo - Documents\Planning Space Implementation\3. Analysis &amp; Design\Design\FC22\DRR Jaime\QUIFA-CAJÚA\Cajua\[CAJUA_CF_SEC_New_27-Feb-2024Rev3.xlsx]D-PNP'!</v>
      </c>
      <c r="G1744" s="32" t="s">
        <v>38</v>
      </c>
      <c r="H1744" s="33">
        <f t="shared" si="420"/>
        <v>44</v>
      </c>
      <c r="I1744" s="33" t="str">
        <f t="shared" si="421"/>
        <v>='C:\Users\jaime.benazar\Quorum Business Solutions\Ecopetrol Prometeo - Documents\Planning Space Implementation\3. Analysis &amp; Design\Design\FC22\DRR Jaime\QUIFA-CAJÚA\Cajua\[CAJUA_CF_SEC_New_27-Feb-2024Rev3.xlsx]D-PNP'!$BX$44</v>
      </c>
      <c r="J1744" s="37" t="s">
        <v>2809</v>
      </c>
    </row>
    <row r="1745" spans="1:10" x14ac:dyDescent="0.25">
      <c r="A1745" s="32" t="s">
        <v>2</v>
      </c>
      <c r="B1745" s="32">
        <f t="shared" si="422"/>
        <v>2056</v>
      </c>
      <c r="C1745" s="33" t="s">
        <v>17</v>
      </c>
      <c r="D1745" s="34" t="s">
        <v>1999</v>
      </c>
      <c r="E1745" s="35" t="str">
        <f t="shared" si="418"/>
        <v>PNP'!</v>
      </c>
      <c r="F1745" s="34" t="str">
        <f t="shared" si="419"/>
        <v>C:\Users\jaime.benazar\Quorum Business Solutions\Ecopetrol Prometeo - Documents\Planning Space Implementation\3. Analysis &amp; Design\Design\FC22\DRR Jaime\QUIFA-CAJÚA\Cajua\[CAJUA_CF_SEC_New_27-Feb-2024Rev3.xlsx]D-PNP'!</v>
      </c>
      <c r="G1745" s="32" t="s">
        <v>38</v>
      </c>
      <c r="H1745" s="33">
        <f t="shared" si="420"/>
        <v>45</v>
      </c>
      <c r="I1745" s="33" t="str">
        <f t="shared" si="421"/>
        <v>='C:\Users\jaime.benazar\Quorum Business Solutions\Ecopetrol Prometeo - Documents\Planning Space Implementation\3. Analysis &amp; Design\Design\FC22\DRR Jaime\QUIFA-CAJÚA\Cajua\[CAJUA_CF_SEC_New_27-Feb-2024Rev3.xlsx]D-PNP'!$BX$45</v>
      </c>
      <c r="J1745" s="37" t="s">
        <v>2810</v>
      </c>
    </row>
    <row r="1746" spans="1:10" x14ac:dyDescent="0.25">
      <c r="A1746" s="32" t="s">
        <v>2</v>
      </c>
      <c r="B1746" s="32">
        <f t="shared" si="422"/>
        <v>2057</v>
      </c>
      <c r="C1746" s="33" t="s">
        <v>17</v>
      </c>
      <c r="D1746" s="34" t="s">
        <v>1999</v>
      </c>
      <c r="E1746" s="35" t="str">
        <f t="shared" si="418"/>
        <v>PNP'!</v>
      </c>
      <c r="F1746" s="34" t="str">
        <f t="shared" si="419"/>
        <v>C:\Users\jaime.benazar\Quorum Business Solutions\Ecopetrol Prometeo - Documents\Planning Space Implementation\3. Analysis &amp; Design\Design\FC22\DRR Jaime\QUIFA-CAJÚA\Cajua\[CAJUA_CF_SEC_New_27-Feb-2024Rev3.xlsx]D-PNP'!</v>
      </c>
      <c r="G1746" s="32" t="s">
        <v>38</v>
      </c>
      <c r="H1746" s="33">
        <f t="shared" si="420"/>
        <v>46</v>
      </c>
      <c r="I1746" s="33" t="str">
        <f t="shared" si="421"/>
        <v>='C:\Users\jaime.benazar\Quorum Business Solutions\Ecopetrol Prometeo - Documents\Planning Space Implementation\3. Analysis &amp; Design\Design\FC22\DRR Jaime\QUIFA-CAJÚA\Cajua\[CAJUA_CF_SEC_New_27-Feb-2024Rev3.xlsx]D-PNP'!$BX$46</v>
      </c>
      <c r="J1746" s="37" t="s">
        <v>2811</v>
      </c>
    </row>
    <row r="1747" spans="1:10" x14ac:dyDescent="0.25">
      <c r="A1747" s="32" t="s">
        <v>2</v>
      </c>
      <c r="B1747" s="32">
        <f t="shared" si="422"/>
        <v>2058</v>
      </c>
      <c r="C1747" s="33" t="s">
        <v>17</v>
      </c>
      <c r="D1747" s="34" t="s">
        <v>1999</v>
      </c>
      <c r="E1747" s="35" t="str">
        <f t="shared" si="418"/>
        <v>PNP'!</v>
      </c>
      <c r="F1747" s="34" t="str">
        <f t="shared" si="419"/>
        <v>C:\Users\jaime.benazar\Quorum Business Solutions\Ecopetrol Prometeo - Documents\Planning Space Implementation\3. Analysis &amp; Design\Design\FC22\DRR Jaime\QUIFA-CAJÚA\Cajua\[CAJUA_CF_SEC_New_27-Feb-2024Rev3.xlsx]D-PNP'!</v>
      </c>
      <c r="G1747" s="32" t="s">
        <v>38</v>
      </c>
      <c r="H1747" s="33">
        <f t="shared" si="420"/>
        <v>47</v>
      </c>
      <c r="I1747" s="33" t="str">
        <f t="shared" si="421"/>
        <v>='C:\Users\jaime.benazar\Quorum Business Solutions\Ecopetrol Prometeo - Documents\Planning Space Implementation\3. Analysis &amp; Design\Design\FC22\DRR Jaime\QUIFA-CAJÚA\Cajua\[CAJUA_CF_SEC_New_27-Feb-2024Rev3.xlsx]D-PNP'!$BX$47</v>
      </c>
      <c r="J1747" s="37" t="s">
        <v>2812</v>
      </c>
    </row>
    <row r="1748" spans="1:10" x14ac:dyDescent="0.25">
      <c r="A1748" s="32" t="s">
        <v>2</v>
      </c>
      <c r="B1748" s="32">
        <f t="shared" si="422"/>
        <v>2059</v>
      </c>
      <c r="C1748" s="33" t="s">
        <v>17</v>
      </c>
      <c r="D1748" s="34" t="s">
        <v>1999</v>
      </c>
      <c r="E1748" s="35" t="str">
        <f t="shared" si="418"/>
        <v>PNP'!</v>
      </c>
      <c r="F1748" s="34" t="str">
        <f t="shared" si="419"/>
        <v>C:\Users\jaime.benazar\Quorum Business Solutions\Ecopetrol Prometeo - Documents\Planning Space Implementation\3. Analysis &amp; Design\Design\FC22\DRR Jaime\QUIFA-CAJÚA\Cajua\[CAJUA_CF_SEC_New_27-Feb-2024Rev3.xlsx]D-PNP'!</v>
      </c>
      <c r="G1748" s="32" t="s">
        <v>38</v>
      </c>
      <c r="H1748" s="33">
        <f t="shared" si="420"/>
        <v>48</v>
      </c>
      <c r="I1748" s="33" t="str">
        <f t="shared" si="421"/>
        <v>='C:\Users\jaime.benazar\Quorum Business Solutions\Ecopetrol Prometeo - Documents\Planning Space Implementation\3. Analysis &amp; Design\Design\FC22\DRR Jaime\QUIFA-CAJÚA\Cajua\[CAJUA_CF_SEC_New_27-Feb-2024Rev3.xlsx]D-PNP'!$BX$48</v>
      </c>
      <c r="J1748" s="37" t="s">
        <v>2813</v>
      </c>
    </row>
    <row r="1749" spans="1:10" x14ac:dyDescent="0.25">
      <c r="A1749" s="32" t="s">
        <v>28</v>
      </c>
      <c r="B1749" s="32"/>
      <c r="C1749" s="33" t="s">
        <v>17</v>
      </c>
      <c r="D1749" s="34"/>
      <c r="E1749" s="35"/>
      <c r="F1749" s="34"/>
      <c r="G1749" s="32"/>
      <c r="H1749" s="33"/>
      <c r="I1749" s="33"/>
      <c r="J1749" s="33"/>
    </row>
    <row r="1750" spans="1:10" x14ac:dyDescent="0.25">
      <c r="A1750" s="32" t="s">
        <v>3</v>
      </c>
      <c r="B1750" s="32">
        <v>2023</v>
      </c>
      <c r="C1750" s="33" t="s">
        <v>17</v>
      </c>
      <c r="D1750" s="34" t="s">
        <v>1999</v>
      </c>
      <c r="E1750" s="35" t="str">
        <f t="shared" si="401"/>
        <v>PND'!</v>
      </c>
      <c r="F1750" s="34" t="str">
        <f t="shared" si="402"/>
        <v>C:\Users\jaime.benazar\Quorum Business Solutions\Ecopetrol Prometeo - Documents\Planning Space Implementation\3. Analysis &amp; Design\Design\FC22\DRR Jaime\QUIFA-CAJÚA\Cajua\[CAJUA_CF_SEC_New_27-Feb-2024Rev3.xlsx]D-PND'!</v>
      </c>
      <c r="G1750" s="32" t="s">
        <v>38</v>
      </c>
      <c r="H1750" s="33">
        <v>12</v>
      </c>
      <c r="I1750" s="33" t="str">
        <f t="shared" ref="I1750:I1770" si="423">_xlfn.CONCAT("='",F1750:H1750)</f>
        <v>='C:\Users\jaime.benazar\Quorum Business Solutions\Ecopetrol Prometeo - Documents\Planning Space Implementation\3. Analysis &amp; Design\Design\FC22\DRR Jaime\QUIFA-CAJÚA\Cajua\[CAJUA_CF_SEC_New_27-Feb-2024Rev3.xlsx]D-PND'!$BX$12</v>
      </c>
      <c r="J1750" s="37" t="s">
        <v>2814</v>
      </c>
    </row>
    <row r="1751" spans="1:10" x14ac:dyDescent="0.25">
      <c r="A1751" s="32" t="s">
        <v>3</v>
      </c>
      <c r="B1751" s="32">
        <f>+B1750+1</f>
        <v>2024</v>
      </c>
      <c r="C1751" s="33" t="s">
        <v>17</v>
      </c>
      <c r="D1751" s="34" t="s">
        <v>1999</v>
      </c>
      <c r="E1751" s="35" t="str">
        <f t="shared" si="401"/>
        <v>PND'!</v>
      </c>
      <c r="F1751" s="34" t="str">
        <f t="shared" si="402"/>
        <v>C:\Users\jaime.benazar\Quorum Business Solutions\Ecopetrol Prometeo - Documents\Planning Space Implementation\3. Analysis &amp; Design\Design\FC22\DRR Jaime\QUIFA-CAJÚA\Cajua\[CAJUA_CF_SEC_New_27-Feb-2024Rev3.xlsx]D-PND'!</v>
      </c>
      <c r="G1751" s="32" t="s">
        <v>38</v>
      </c>
      <c r="H1751" s="33">
        <f t="shared" ref="H1751:H1770" si="424">IF(A1751&lt;&gt;A1750,12,H1750+1)</f>
        <v>13</v>
      </c>
      <c r="I1751" s="33" t="str">
        <f t="shared" si="423"/>
        <v>='C:\Users\jaime.benazar\Quorum Business Solutions\Ecopetrol Prometeo - Documents\Planning Space Implementation\3. Analysis &amp; Design\Design\FC22\DRR Jaime\QUIFA-CAJÚA\Cajua\[CAJUA_CF_SEC_New_27-Feb-2024Rev3.xlsx]D-PND'!$BX$13</v>
      </c>
      <c r="J1751" s="37" t="s">
        <v>2815</v>
      </c>
    </row>
    <row r="1752" spans="1:10" x14ac:dyDescent="0.25">
      <c r="A1752" s="32" t="s">
        <v>3</v>
      </c>
      <c r="B1752" s="32">
        <f t="shared" ref="B1752:B1763" si="425">+B1751+1</f>
        <v>2025</v>
      </c>
      <c r="C1752" s="33" t="s">
        <v>17</v>
      </c>
      <c r="D1752" s="34" t="s">
        <v>1999</v>
      </c>
      <c r="E1752" s="35" t="str">
        <f t="shared" si="401"/>
        <v>PND'!</v>
      </c>
      <c r="F1752" s="34" t="str">
        <f t="shared" si="402"/>
        <v>C:\Users\jaime.benazar\Quorum Business Solutions\Ecopetrol Prometeo - Documents\Planning Space Implementation\3. Analysis &amp; Design\Design\FC22\DRR Jaime\QUIFA-CAJÚA\Cajua\[CAJUA_CF_SEC_New_27-Feb-2024Rev3.xlsx]D-PND'!</v>
      </c>
      <c r="G1752" s="32" t="s">
        <v>38</v>
      </c>
      <c r="H1752" s="33">
        <f t="shared" si="424"/>
        <v>14</v>
      </c>
      <c r="I1752" s="33" t="str">
        <f t="shared" si="423"/>
        <v>='C:\Users\jaime.benazar\Quorum Business Solutions\Ecopetrol Prometeo - Documents\Planning Space Implementation\3. Analysis &amp; Design\Design\FC22\DRR Jaime\QUIFA-CAJÚA\Cajua\[CAJUA_CF_SEC_New_27-Feb-2024Rev3.xlsx]D-PND'!$BX$14</v>
      </c>
      <c r="J1752" s="37" t="s">
        <v>2816</v>
      </c>
    </row>
    <row r="1753" spans="1:10" x14ac:dyDescent="0.25">
      <c r="A1753" s="32" t="s">
        <v>3</v>
      </c>
      <c r="B1753" s="32">
        <f t="shared" si="425"/>
        <v>2026</v>
      </c>
      <c r="C1753" s="33" t="s">
        <v>17</v>
      </c>
      <c r="D1753" s="34" t="s">
        <v>1999</v>
      </c>
      <c r="E1753" s="35" t="str">
        <f t="shared" si="401"/>
        <v>PND'!</v>
      </c>
      <c r="F1753" s="34" t="str">
        <f t="shared" si="402"/>
        <v>C:\Users\jaime.benazar\Quorum Business Solutions\Ecopetrol Prometeo - Documents\Planning Space Implementation\3. Analysis &amp; Design\Design\FC22\DRR Jaime\QUIFA-CAJÚA\Cajua\[CAJUA_CF_SEC_New_27-Feb-2024Rev3.xlsx]D-PND'!</v>
      </c>
      <c r="G1753" s="32" t="s">
        <v>38</v>
      </c>
      <c r="H1753" s="33">
        <f t="shared" si="424"/>
        <v>15</v>
      </c>
      <c r="I1753" s="33" t="str">
        <f t="shared" si="423"/>
        <v>='C:\Users\jaime.benazar\Quorum Business Solutions\Ecopetrol Prometeo - Documents\Planning Space Implementation\3. Analysis &amp; Design\Design\FC22\DRR Jaime\QUIFA-CAJÚA\Cajua\[CAJUA_CF_SEC_New_27-Feb-2024Rev3.xlsx]D-PND'!$BX$15</v>
      </c>
      <c r="J1753" s="37" t="s">
        <v>2817</v>
      </c>
    </row>
    <row r="1754" spans="1:10" x14ac:dyDescent="0.25">
      <c r="A1754" s="32" t="s">
        <v>3</v>
      </c>
      <c r="B1754" s="32">
        <f t="shared" si="425"/>
        <v>2027</v>
      </c>
      <c r="C1754" s="33" t="s">
        <v>17</v>
      </c>
      <c r="D1754" s="34" t="s">
        <v>1999</v>
      </c>
      <c r="E1754" s="35" t="str">
        <f t="shared" si="401"/>
        <v>PND'!</v>
      </c>
      <c r="F1754" s="34" t="str">
        <f t="shared" si="402"/>
        <v>C:\Users\jaime.benazar\Quorum Business Solutions\Ecopetrol Prometeo - Documents\Planning Space Implementation\3. Analysis &amp; Design\Design\FC22\DRR Jaime\QUIFA-CAJÚA\Cajua\[CAJUA_CF_SEC_New_27-Feb-2024Rev3.xlsx]D-PND'!</v>
      </c>
      <c r="G1754" s="32" t="s">
        <v>38</v>
      </c>
      <c r="H1754" s="33">
        <f t="shared" si="424"/>
        <v>16</v>
      </c>
      <c r="I1754" s="33" t="str">
        <f t="shared" si="423"/>
        <v>='C:\Users\jaime.benazar\Quorum Business Solutions\Ecopetrol Prometeo - Documents\Planning Space Implementation\3. Analysis &amp; Design\Design\FC22\DRR Jaime\QUIFA-CAJÚA\Cajua\[CAJUA_CF_SEC_New_27-Feb-2024Rev3.xlsx]D-PND'!$BX$16</v>
      </c>
      <c r="J1754" s="37" t="s">
        <v>2818</v>
      </c>
    </row>
    <row r="1755" spans="1:10" x14ac:dyDescent="0.25">
      <c r="A1755" s="32" t="s">
        <v>3</v>
      </c>
      <c r="B1755" s="32">
        <f t="shared" si="425"/>
        <v>2028</v>
      </c>
      <c r="C1755" s="33" t="s">
        <v>17</v>
      </c>
      <c r="D1755" s="34" t="s">
        <v>1999</v>
      </c>
      <c r="E1755" s="35" t="str">
        <f t="shared" si="401"/>
        <v>PND'!</v>
      </c>
      <c r="F1755" s="34" t="str">
        <f t="shared" si="402"/>
        <v>C:\Users\jaime.benazar\Quorum Business Solutions\Ecopetrol Prometeo - Documents\Planning Space Implementation\3. Analysis &amp; Design\Design\FC22\DRR Jaime\QUIFA-CAJÚA\Cajua\[CAJUA_CF_SEC_New_27-Feb-2024Rev3.xlsx]D-PND'!</v>
      </c>
      <c r="G1755" s="32" t="s">
        <v>38</v>
      </c>
      <c r="H1755" s="33">
        <f t="shared" si="424"/>
        <v>17</v>
      </c>
      <c r="I1755" s="33" t="str">
        <f t="shared" si="423"/>
        <v>='C:\Users\jaime.benazar\Quorum Business Solutions\Ecopetrol Prometeo - Documents\Planning Space Implementation\3. Analysis &amp; Design\Design\FC22\DRR Jaime\QUIFA-CAJÚA\Cajua\[CAJUA_CF_SEC_New_27-Feb-2024Rev3.xlsx]D-PND'!$BX$17</v>
      </c>
      <c r="J1755" s="37" t="s">
        <v>2819</v>
      </c>
    </row>
    <row r="1756" spans="1:10" x14ac:dyDescent="0.25">
      <c r="A1756" s="32" t="s">
        <v>3</v>
      </c>
      <c r="B1756" s="32">
        <f t="shared" si="425"/>
        <v>2029</v>
      </c>
      <c r="C1756" s="33" t="s">
        <v>17</v>
      </c>
      <c r="D1756" s="34" t="s">
        <v>1999</v>
      </c>
      <c r="E1756" s="35" t="str">
        <f t="shared" si="401"/>
        <v>PND'!</v>
      </c>
      <c r="F1756" s="34" t="str">
        <f t="shared" si="402"/>
        <v>C:\Users\jaime.benazar\Quorum Business Solutions\Ecopetrol Prometeo - Documents\Planning Space Implementation\3. Analysis &amp; Design\Design\FC22\DRR Jaime\QUIFA-CAJÚA\Cajua\[CAJUA_CF_SEC_New_27-Feb-2024Rev3.xlsx]D-PND'!</v>
      </c>
      <c r="G1756" s="32" t="s">
        <v>38</v>
      </c>
      <c r="H1756" s="33">
        <f t="shared" si="424"/>
        <v>18</v>
      </c>
      <c r="I1756" s="33" t="str">
        <f t="shared" si="423"/>
        <v>='C:\Users\jaime.benazar\Quorum Business Solutions\Ecopetrol Prometeo - Documents\Planning Space Implementation\3. Analysis &amp; Design\Design\FC22\DRR Jaime\QUIFA-CAJÚA\Cajua\[CAJUA_CF_SEC_New_27-Feb-2024Rev3.xlsx]D-PND'!$BX$18</v>
      </c>
      <c r="J1756" s="37" t="s">
        <v>2820</v>
      </c>
    </row>
    <row r="1757" spans="1:10" x14ac:dyDescent="0.25">
      <c r="A1757" s="32" t="s">
        <v>3</v>
      </c>
      <c r="B1757" s="32">
        <f t="shared" si="425"/>
        <v>2030</v>
      </c>
      <c r="C1757" s="33" t="s">
        <v>17</v>
      </c>
      <c r="D1757" s="34" t="s">
        <v>1999</v>
      </c>
      <c r="E1757" s="35" t="str">
        <f t="shared" si="401"/>
        <v>PND'!</v>
      </c>
      <c r="F1757" s="34" t="str">
        <f t="shared" si="402"/>
        <v>C:\Users\jaime.benazar\Quorum Business Solutions\Ecopetrol Prometeo - Documents\Planning Space Implementation\3. Analysis &amp; Design\Design\FC22\DRR Jaime\QUIFA-CAJÚA\Cajua\[CAJUA_CF_SEC_New_27-Feb-2024Rev3.xlsx]D-PND'!</v>
      </c>
      <c r="G1757" s="32" t="s">
        <v>38</v>
      </c>
      <c r="H1757" s="33">
        <f t="shared" si="424"/>
        <v>19</v>
      </c>
      <c r="I1757" s="33" t="str">
        <f t="shared" si="423"/>
        <v>='C:\Users\jaime.benazar\Quorum Business Solutions\Ecopetrol Prometeo - Documents\Planning Space Implementation\3. Analysis &amp; Design\Design\FC22\DRR Jaime\QUIFA-CAJÚA\Cajua\[CAJUA_CF_SEC_New_27-Feb-2024Rev3.xlsx]D-PND'!$BX$19</v>
      </c>
      <c r="J1757" s="37" t="s">
        <v>2821</v>
      </c>
    </row>
    <row r="1758" spans="1:10" x14ac:dyDescent="0.25">
      <c r="A1758" s="32" t="s">
        <v>3</v>
      </c>
      <c r="B1758" s="32">
        <f t="shared" si="425"/>
        <v>2031</v>
      </c>
      <c r="C1758" s="33" t="s">
        <v>17</v>
      </c>
      <c r="D1758" s="34" t="s">
        <v>1999</v>
      </c>
      <c r="E1758" s="35" t="str">
        <f t="shared" si="401"/>
        <v>PND'!</v>
      </c>
      <c r="F1758" s="34" t="str">
        <f t="shared" si="402"/>
        <v>C:\Users\jaime.benazar\Quorum Business Solutions\Ecopetrol Prometeo - Documents\Planning Space Implementation\3. Analysis &amp; Design\Design\FC22\DRR Jaime\QUIFA-CAJÚA\Cajua\[CAJUA_CF_SEC_New_27-Feb-2024Rev3.xlsx]D-PND'!</v>
      </c>
      <c r="G1758" s="32" t="s">
        <v>38</v>
      </c>
      <c r="H1758" s="33">
        <f t="shared" si="424"/>
        <v>20</v>
      </c>
      <c r="I1758" s="33" t="str">
        <f t="shared" si="423"/>
        <v>='C:\Users\jaime.benazar\Quorum Business Solutions\Ecopetrol Prometeo - Documents\Planning Space Implementation\3. Analysis &amp; Design\Design\FC22\DRR Jaime\QUIFA-CAJÚA\Cajua\[CAJUA_CF_SEC_New_27-Feb-2024Rev3.xlsx]D-PND'!$BX$20</v>
      </c>
      <c r="J1758" s="37" t="s">
        <v>2822</v>
      </c>
    </row>
    <row r="1759" spans="1:10" x14ac:dyDescent="0.25">
      <c r="A1759" s="32" t="s">
        <v>3</v>
      </c>
      <c r="B1759" s="32">
        <f t="shared" si="425"/>
        <v>2032</v>
      </c>
      <c r="C1759" s="33" t="s">
        <v>17</v>
      </c>
      <c r="D1759" s="34" t="s">
        <v>1999</v>
      </c>
      <c r="E1759" s="35" t="str">
        <f t="shared" si="401"/>
        <v>PND'!</v>
      </c>
      <c r="F1759" s="34" t="str">
        <f t="shared" si="402"/>
        <v>C:\Users\jaime.benazar\Quorum Business Solutions\Ecopetrol Prometeo - Documents\Planning Space Implementation\3. Analysis &amp; Design\Design\FC22\DRR Jaime\QUIFA-CAJÚA\Cajua\[CAJUA_CF_SEC_New_27-Feb-2024Rev3.xlsx]D-PND'!</v>
      </c>
      <c r="G1759" s="32" t="s">
        <v>38</v>
      </c>
      <c r="H1759" s="33">
        <f t="shared" si="424"/>
        <v>21</v>
      </c>
      <c r="I1759" s="33" t="str">
        <f t="shared" si="423"/>
        <v>='C:\Users\jaime.benazar\Quorum Business Solutions\Ecopetrol Prometeo - Documents\Planning Space Implementation\3. Analysis &amp; Design\Design\FC22\DRR Jaime\QUIFA-CAJÚA\Cajua\[CAJUA_CF_SEC_New_27-Feb-2024Rev3.xlsx]D-PND'!$BX$21</v>
      </c>
      <c r="J1759" s="37" t="s">
        <v>2823</v>
      </c>
    </row>
    <row r="1760" spans="1:10" x14ac:dyDescent="0.25">
      <c r="A1760" s="32" t="s">
        <v>3</v>
      </c>
      <c r="B1760" s="32">
        <f t="shared" si="425"/>
        <v>2033</v>
      </c>
      <c r="C1760" s="33" t="s">
        <v>17</v>
      </c>
      <c r="D1760" s="34" t="s">
        <v>1999</v>
      </c>
      <c r="E1760" s="35" t="str">
        <f t="shared" si="401"/>
        <v>PND'!</v>
      </c>
      <c r="F1760" s="34" t="str">
        <f t="shared" si="402"/>
        <v>C:\Users\jaime.benazar\Quorum Business Solutions\Ecopetrol Prometeo - Documents\Planning Space Implementation\3. Analysis &amp; Design\Design\FC22\DRR Jaime\QUIFA-CAJÚA\Cajua\[CAJUA_CF_SEC_New_27-Feb-2024Rev3.xlsx]D-PND'!</v>
      </c>
      <c r="G1760" s="32" t="s">
        <v>38</v>
      </c>
      <c r="H1760" s="33">
        <f t="shared" si="424"/>
        <v>22</v>
      </c>
      <c r="I1760" s="33" t="str">
        <f t="shared" si="423"/>
        <v>='C:\Users\jaime.benazar\Quorum Business Solutions\Ecopetrol Prometeo - Documents\Planning Space Implementation\3. Analysis &amp; Design\Design\FC22\DRR Jaime\QUIFA-CAJÚA\Cajua\[CAJUA_CF_SEC_New_27-Feb-2024Rev3.xlsx]D-PND'!$BX$22</v>
      </c>
      <c r="J1760" s="37" t="s">
        <v>2824</v>
      </c>
    </row>
    <row r="1761" spans="1:10" x14ac:dyDescent="0.25">
      <c r="A1761" s="32" t="s">
        <v>3</v>
      </c>
      <c r="B1761" s="32">
        <f t="shared" si="425"/>
        <v>2034</v>
      </c>
      <c r="C1761" s="33" t="s">
        <v>17</v>
      </c>
      <c r="D1761" s="34" t="s">
        <v>1999</v>
      </c>
      <c r="E1761" s="35" t="str">
        <f t="shared" si="401"/>
        <v>PND'!</v>
      </c>
      <c r="F1761" s="34" t="str">
        <f t="shared" si="402"/>
        <v>C:\Users\jaime.benazar\Quorum Business Solutions\Ecopetrol Prometeo - Documents\Planning Space Implementation\3. Analysis &amp; Design\Design\FC22\DRR Jaime\QUIFA-CAJÚA\Cajua\[CAJUA_CF_SEC_New_27-Feb-2024Rev3.xlsx]D-PND'!</v>
      </c>
      <c r="G1761" s="32" t="s">
        <v>38</v>
      </c>
      <c r="H1761" s="33">
        <f t="shared" si="424"/>
        <v>23</v>
      </c>
      <c r="I1761" s="33" t="str">
        <f t="shared" si="423"/>
        <v>='C:\Users\jaime.benazar\Quorum Business Solutions\Ecopetrol Prometeo - Documents\Planning Space Implementation\3. Analysis &amp; Design\Design\FC22\DRR Jaime\QUIFA-CAJÚA\Cajua\[CAJUA_CF_SEC_New_27-Feb-2024Rev3.xlsx]D-PND'!$BX$23</v>
      </c>
      <c r="J1761" s="37" t="s">
        <v>2825</v>
      </c>
    </row>
    <row r="1762" spans="1:10" x14ac:dyDescent="0.25">
      <c r="A1762" s="32" t="s">
        <v>3</v>
      </c>
      <c r="B1762" s="32">
        <f t="shared" si="425"/>
        <v>2035</v>
      </c>
      <c r="C1762" s="33" t="s">
        <v>17</v>
      </c>
      <c r="D1762" s="34" t="s">
        <v>1999</v>
      </c>
      <c r="E1762" s="35" t="str">
        <f t="shared" si="401"/>
        <v>PND'!</v>
      </c>
      <c r="F1762" s="34" t="str">
        <f t="shared" si="402"/>
        <v>C:\Users\jaime.benazar\Quorum Business Solutions\Ecopetrol Prometeo - Documents\Planning Space Implementation\3. Analysis &amp; Design\Design\FC22\DRR Jaime\QUIFA-CAJÚA\Cajua\[CAJUA_CF_SEC_New_27-Feb-2024Rev3.xlsx]D-PND'!</v>
      </c>
      <c r="G1762" s="32" t="s">
        <v>38</v>
      </c>
      <c r="H1762" s="33">
        <f t="shared" si="424"/>
        <v>24</v>
      </c>
      <c r="I1762" s="33" t="str">
        <f t="shared" si="423"/>
        <v>='C:\Users\jaime.benazar\Quorum Business Solutions\Ecopetrol Prometeo - Documents\Planning Space Implementation\3. Analysis &amp; Design\Design\FC22\DRR Jaime\QUIFA-CAJÚA\Cajua\[CAJUA_CF_SEC_New_27-Feb-2024Rev3.xlsx]D-PND'!$BX$24</v>
      </c>
      <c r="J1762" s="37" t="s">
        <v>2826</v>
      </c>
    </row>
    <row r="1763" spans="1:10" x14ac:dyDescent="0.25">
      <c r="A1763" s="32" t="s">
        <v>3</v>
      </c>
      <c r="B1763" s="32">
        <f t="shared" si="425"/>
        <v>2036</v>
      </c>
      <c r="C1763" s="33" t="s">
        <v>17</v>
      </c>
      <c r="D1763" s="34" t="s">
        <v>1999</v>
      </c>
      <c r="E1763" s="35" t="str">
        <f t="shared" si="401"/>
        <v>PND'!</v>
      </c>
      <c r="F1763" s="34" t="str">
        <f t="shared" si="402"/>
        <v>C:\Users\jaime.benazar\Quorum Business Solutions\Ecopetrol Prometeo - Documents\Planning Space Implementation\3. Analysis &amp; Design\Design\FC22\DRR Jaime\QUIFA-CAJÚA\Cajua\[CAJUA_CF_SEC_New_27-Feb-2024Rev3.xlsx]D-PND'!</v>
      </c>
      <c r="G1763" s="32" t="s">
        <v>38</v>
      </c>
      <c r="H1763" s="33">
        <f t="shared" si="424"/>
        <v>25</v>
      </c>
      <c r="I1763" s="33" t="str">
        <f t="shared" si="423"/>
        <v>='C:\Users\jaime.benazar\Quorum Business Solutions\Ecopetrol Prometeo - Documents\Planning Space Implementation\3. Analysis &amp; Design\Design\FC22\DRR Jaime\QUIFA-CAJÚA\Cajua\[CAJUA_CF_SEC_New_27-Feb-2024Rev3.xlsx]D-PND'!$BX$25</v>
      </c>
      <c r="J1763" s="37" t="s">
        <v>2827</v>
      </c>
    </row>
    <row r="1764" spans="1:10" x14ac:dyDescent="0.25">
      <c r="A1764" s="32" t="s">
        <v>3</v>
      </c>
      <c r="B1764" s="32">
        <f>+B1763+1</f>
        <v>2037</v>
      </c>
      <c r="C1764" s="33" t="s">
        <v>17</v>
      </c>
      <c r="D1764" s="34" t="s">
        <v>1999</v>
      </c>
      <c r="E1764" s="35" t="str">
        <f t="shared" si="401"/>
        <v>PND'!</v>
      </c>
      <c r="F1764" s="34" t="str">
        <f t="shared" si="402"/>
        <v>C:\Users\jaime.benazar\Quorum Business Solutions\Ecopetrol Prometeo - Documents\Planning Space Implementation\3. Analysis &amp; Design\Design\FC22\DRR Jaime\QUIFA-CAJÚA\Cajua\[CAJUA_CF_SEC_New_27-Feb-2024Rev3.xlsx]D-PND'!</v>
      </c>
      <c r="G1764" s="32" t="s">
        <v>38</v>
      </c>
      <c r="H1764" s="33">
        <f t="shared" si="424"/>
        <v>26</v>
      </c>
      <c r="I1764" s="33" t="str">
        <f t="shared" si="423"/>
        <v>='C:\Users\jaime.benazar\Quorum Business Solutions\Ecopetrol Prometeo - Documents\Planning Space Implementation\3. Analysis &amp; Design\Design\FC22\DRR Jaime\QUIFA-CAJÚA\Cajua\[CAJUA_CF_SEC_New_27-Feb-2024Rev3.xlsx]D-PND'!$BX$26</v>
      </c>
      <c r="J1764" s="37" t="s">
        <v>2828</v>
      </c>
    </row>
    <row r="1765" spans="1:10" x14ac:dyDescent="0.25">
      <c r="A1765" s="32" t="s">
        <v>3</v>
      </c>
      <c r="B1765" s="32">
        <f t="shared" ref="B1765:B1767" si="426">+B1764+1</f>
        <v>2038</v>
      </c>
      <c r="C1765" s="33" t="s">
        <v>17</v>
      </c>
      <c r="D1765" s="34" t="s">
        <v>1999</v>
      </c>
      <c r="E1765" s="35" t="str">
        <f t="shared" si="401"/>
        <v>PND'!</v>
      </c>
      <c r="F1765" s="34" t="str">
        <f t="shared" si="402"/>
        <v>C:\Users\jaime.benazar\Quorum Business Solutions\Ecopetrol Prometeo - Documents\Planning Space Implementation\3. Analysis &amp; Design\Design\FC22\DRR Jaime\QUIFA-CAJÚA\Cajua\[CAJUA_CF_SEC_New_27-Feb-2024Rev3.xlsx]D-PND'!</v>
      </c>
      <c r="G1765" s="32" t="s">
        <v>38</v>
      </c>
      <c r="H1765" s="33">
        <f t="shared" si="424"/>
        <v>27</v>
      </c>
      <c r="I1765" s="33" t="str">
        <f t="shared" si="423"/>
        <v>='C:\Users\jaime.benazar\Quorum Business Solutions\Ecopetrol Prometeo - Documents\Planning Space Implementation\3. Analysis &amp; Design\Design\FC22\DRR Jaime\QUIFA-CAJÚA\Cajua\[CAJUA_CF_SEC_New_27-Feb-2024Rev3.xlsx]D-PND'!$BX$27</v>
      </c>
      <c r="J1765" s="37" t="s">
        <v>2829</v>
      </c>
    </row>
    <row r="1766" spans="1:10" x14ac:dyDescent="0.25">
      <c r="A1766" s="32" t="s">
        <v>3</v>
      </c>
      <c r="B1766" s="32">
        <f t="shared" si="426"/>
        <v>2039</v>
      </c>
      <c r="C1766" s="33" t="s">
        <v>17</v>
      </c>
      <c r="D1766" s="34" t="s">
        <v>1999</v>
      </c>
      <c r="E1766" s="35" t="str">
        <f t="shared" si="401"/>
        <v>PND'!</v>
      </c>
      <c r="F1766" s="34" t="str">
        <f t="shared" si="402"/>
        <v>C:\Users\jaime.benazar\Quorum Business Solutions\Ecopetrol Prometeo - Documents\Planning Space Implementation\3. Analysis &amp; Design\Design\FC22\DRR Jaime\QUIFA-CAJÚA\Cajua\[CAJUA_CF_SEC_New_27-Feb-2024Rev3.xlsx]D-PND'!</v>
      </c>
      <c r="G1766" s="32" t="s">
        <v>38</v>
      </c>
      <c r="H1766" s="33">
        <f t="shared" si="424"/>
        <v>28</v>
      </c>
      <c r="I1766" s="33" t="str">
        <f t="shared" si="423"/>
        <v>='C:\Users\jaime.benazar\Quorum Business Solutions\Ecopetrol Prometeo - Documents\Planning Space Implementation\3. Analysis &amp; Design\Design\FC22\DRR Jaime\QUIFA-CAJÚA\Cajua\[CAJUA_CF_SEC_New_27-Feb-2024Rev3.xlsx]D-PND'!$BX$28</v>
      </c>
      <c r="J1766" s="37" t="s">
        <v>2830</v>
      </c>
    </row>
    <row r="1767" spans="1:10" x14ac:dyDescent="0.25">
      <c r="A1767" s="32" t="s">
        <v>3</v>
      </c>
      <c r="B1767" s="32">
        <f t="shared" si="426"/>
        <v>2040</v>
      </c>
      <c r="C1767" s="33" t="s">
        <v>17</v>
      </c>
      <c r="D1767" s="34" t="s">
        <v>1999</v>
      </c>
      <c r="E1767" s="35" t="str">
        <f t="shared" si="401"/>
        <v>PND'!</v>
      </c>
      <c r="F1767" s="34" t="str">
        <f t="shared" si="402"/>
        <v>C:\Users\jaime.benazar\Quorum Business Solutions\Ecopetrol Prometeo - Documents\Planning Space Implementation\3. Analysis &amp; Design\Design\FC22\DRR Jaime\QUIFA-CAJÚA\Cajua\[CAJUA_CF_SEC_New_27-Feb-2024Rev3.xlsx]D-PND'!</v>
      </c>
      <c r="G1767" s="32" t="s">
        <v>38</v>
      </c>
      <c r="H1767" s="33">
        <f t="shared" si="424"/>
        <v>29</v>
      </c>
      <c r="I1767" s="33" t="str">
        <f t="shared" si="423"/>
        <v>='C:\Users\jaime.benazar\Quorum Business Solutions\Ecopetrol Prometeo - Documents\Planning Space Implementation\3. Analysis &amp; Design\Design\FC22\DRR Jaime\QUIFA-CAJÚA\Cajua\[CAJUA_CF_SEC_New_27-Feb-2024Rev3.xlsx]D-PND'!$BX$29</v>
      </c>
      <c r="J1767" s="37" t="s">
        <v>2831</v>
      </c>
    </row>
    <row r="1768" spans="1:10" x14ac:dyDescent="0.25">
      <c r="A1768" s="32" t="s">
        <v>3</v>
      </c>
      <c r="B1768" s="32">
        <f>+B1767+1</f>
        <v>2041</v>
      </c>
      <c r="C1768" s="33" t="s">
        <v>17</v>
      </c>
      <c r="D1768" s="34" t="s">
        <v>1999</v>
      </c>
      <c r="E1768" s="35" t="str">
        <f t="shared" si="401"/>
        <v>PND'!</v>
      </c>
      <c r="F1768" s="34" t="str">
        <f t="shared" si="402"/>
        <v>C:\Users\jaime.benazar\Quorum Business Solutions\Ecopetrol Prometeo - Documents\Planning Space Implementation\3. Analysis &amp; Design\Design\FC22\DRR Jaime\QUIFA-CAJÚA\Cajua\[CAJUA_CF_SEC_New_27-Feb-2024Rev3.xlsx]D-PND'!</v>
      </c>
      <c r="G1768" s="32" t="s">
        <v>38</v>
      </c>
      <c r="H1768" s="33">
        <f t="shared" si="424"/>
        <v>30</v>
      </c>
      <c r="I1768" s="33" t="str">
        <f t="shared" si="423"/>
        <v>='C:\Users\jaime.benazar\Quorum Business Solutions\Ecopetrol Prometeo - Documents\Planning Space Implementation\3. Analysis &amp; Design\Design\FC22\DRR Jaime\QUIFA-CAJÚA\Cajua\[CAJUA_CF_SEC_New_27-Feb-2024Rev3.xlsx]D-PND'!$BX$30</v>
      </c>
      <c r="J1768" s="37" t="s">
        <v>2832</v>
      </c>
    </row>
    <row r="1769" spans="1:10" x14ac:dyDescent="0.25">
      <c r="A1769" s="32" t="s">
        <v>3</v>
      </c>
      <c r="B1769" s="32">
        <f t="shared" ref="B1769:B1770" si="427">+B1768+1</f>
        <v>2042</v>
      </c>
      <c r="C1769" s="33" t="s">
        <v>17</v>
      </c>
      <c r="D1769" s="34" t="s">
        <v>1999</v>
      </c>
      <c r="E1769" s="35" t="str">
        <f t="shared" ref="E1769:E2074" si="428">_xlfn.CONCAT(A1769,"'!")</f>
        <v>PND'!</v>
      </c>
      <c r="F1769" s="34" t="str">
        <f t="shared" ref="F1769:F2074" si="429">_xlfn.CONCAT(D1769:E1769)</f>
        <v>C:\Users\jaime.benazar\Quorum Business Solutions\Ecopetrol Prometeo - Documents\Planning Space Implementation\3. Analysis &amp; Design\Design\FC22\DRR Jaime\QUIFA-CAJÚA\Cajua\[CAJUA_CF_SEC_New_27-Feb-2024Rev3.xlsx]D-PND'!</v>
      </c>
      <c r="G1769" s="32" t="s">
        <v>38</v>
      </c>
      <c r="H1769" s="33">
        <f t="shared" si="424"/>
        <v>31</v>
      </c>
      <c r="I1769" s="33" t="str">
        <f t="shared" si="423"/>
        <v>='C:\Users\jaime.benazar\Quorum Business Solutions\Ecopetrol Prometeo - Documents\Planning Space Implementation\3. Analysis &amp; Design\Design\FC22\DRR Jaime\QUIFA-CAJÚA\Cajua\[CAJUA_CF_SEC_New_27-Feb-2024Rev3.xlsx]D-PND'!$BX$31</v>
      </c>
      <c r="J1769" s="37" t="s">
        <v>2833</v>
      </c>
    </row>
    <row r="1770" spans="1:10" x14ac:dyDescent="0.25">
      <c r="A1770" s="32" t="s">
        <v>3</v>
      </c>
      <c r="B1770" s="32">
        <f t="shared" si="427"/>
        <v>2043</v>
      </c>
      <c r="C1770" s="33" t="s">
        <v>17</v>
      </c>
      <c r="D1770" s="34" t="s">
        <v>1999</v>
      </c>
      <c r="E1770" s="35" t="str">
        <f t="shared" si="428"/>
        <v>PND'!</v>
      </c>
      <c r="F1770" s="34" t="str">
        <f t="shared" si="429"/>
        <v>C:\Users\jaime.benazar\Quorum Business Solutions\Ecopetrol Prometeo - Documents\Planning Space Implementation\3. Analysis &amp; Design\Design\FC22\DRR Jaime\QUIFA-CAJÚA\Cajua\[CAJUA_CF_SEC_New_27-Feb-2024Rev3.xlsx]D-PND'!</v>
      </c>
      <c r="G1770" s="32" t="s">
        <v>38</v>
      </c>
      <c r="H1770" s="33">
        <f t="shared" si="424"/>
        <v>32</v>
      </c>
      <c r="I1770" s="33" t="str">
        <f t="shared" si="423"/>
        <v>='C:\Users\jaime.benazar\Quorum Business Solutions\Ecopetrol Prometeo - Documents\Planning Space Implementation\3. Analysis &amp; Design\Design\FC22\DRR Jaime\QUIFA-CAJÚA\Cajua\[CAJUA_CF_SEC_New_27-Feb-2024Rev3.xlsx]D-PND'!$BX$32</v>
      </c>
      <c r="J1770" s="37" t="s">
        <v>2834</v>
      </c>
    </row>
    <row r="1771" spans="1:10" x14ac:dyDescent="0.25">
      <c r="A1771" s="32" t="s">
        <v>3</v>
      </c>
      <c r="B1771" s="32">
        <f>+B1770+1</f>
        <v>2044</v>
      </c>
      <c r="C1771" s="33" t="s">
        <v>17</v>
      </c>
      <c r="D1771" s="34" t="s">
        <v>1999</v>
      </c>
      <c r="E1771" s="35" t="str">
        <f t="shared" ref="E1771:E1786" si="430">_xlfn.CONCAT(A1771,"'!")</f>
        <v>PND'!</v>
      </c>
      <c r="F1771" s="34" t="str">
        <f t="shared" ref="F1771:F1786" si="431">_xlfn.CONCAT(D1771:E1771)</f>
        <v>C:\Users\jaime.benazar\Quorum Business Solutions\Ecopetrol Prometeo - Documents\Planning Space Implementation\3. Analysis &amp; Design\Design\FC22\DRR Jaime\QUIFA-CAJÚA\Cajua\[CAJUA_CF_SEC_New_27-Feb-2024Rev3.xlsx]D-PND'!</v>
      </c>
      <c r="G1771" s="32" t="s">
        <v>38</v>
      </c>
      <c r="H1771" s="33">
        <f t="shared" ref="H1771:H1786" si="432">IF(A1771&lt;&gt;A1770,12,H1770+1)</f>
        <v>33</v>
      </c>
      <c r="I1771" s="33" t="str">
        <f t="shared" ref="I1771:I1786" si="433">_xlfn.CONCAT("='",F1771:H1771)</f>
        <v>='C:\Users\jaime.benazar\Quorum Business Solutions\Ecopetrol Prometeo - Documents\Planning Space Implementation\3. Analysis &amp; Design\Design\FC22\DRR Jaime\QUIFA-CAJÚA\Cajua\[CAJUA_CF_SEC_New_27-Feb-2024Rev3.xlsx]D-PND'!$BX$33</v>
      </c>
      <c r="J1771" s="37" t="s">
        <v>2835</v>
      </c>
    </row>
    <row r="1772" spans="1:10" x14ac:dyDescent="0.25">
      <c r="A1772" s="32" t="s">
        <v>3</v>
      </c>
      <c r="B1772" s="32">
        <f t="shared" ref="B1772:B1786" si="434">+B1771+1</f>
        <v>2045</v>
      </c>
      <c r="C1772" s="33" t="s">
        <v>17</v>
      </c>
      <c r="D1772" s="34" t="s">
        <v>1999</v>
      </c>
      <c r="E1772" s="35" t="str">
        <f t="shared" si="430"/>
        <v>PND'!</v>
      </c>
      <c r="F1772" s="34" t="str">
        <f t="shared" si="431"/>
        <v>C:\Users\jaime.benazar\Quorum Business Solutions\Ecopetrol Prometeo - Documents\Planning Space Implementation\3. Analysis &amp; Design\Design\FC22\DRR Jaime\QUIFA-CAJÚA\Cajua\[CAJUA_CF_SEC_New_27-Feb-2024Rev3.xlsx]D-PND'!</v>
      </c>
      <c r="G1772" s="32" t="s">
        <v>38</v>
      </c>
      <c r="H1772" s="33">
        <f t="shared" si="432"/>
        <v>34</v>
      </c>
      <c r="I1772" s="33" t="str">
        <f t="shared" si="433"/>
        <v>='C:\Users\jaime.benazar\Quorum Business Solutions\Ecopetrol Prometeo - Documents\Planning Space Implementation\3. Analysis &amp; Design\Design\FC22\DRR Jaime\QUIFA-CAJÚA\Cajua\[CAJUA_CF_SEC_New_27-Feb-2024Rev3.xlsx]D-PND'!$BX$34</v>
      </c>
      <c r="J1772" s="37" t="s">
        <v>2836</v>
      </c>
    </row>
    <row r="1773" spans="1:10" x14ac:dyDescent="0.25">
      <c r="A1773" s="32" t="s">
        <v>3</v>
      </c>
      <c r="B1773" s="32">
        <f t="shared" si="434"/>
        <v>2046</v>
      </c>
      <c r="C1773" s="33" t="s">
        <v>17</v>
      </c>
      <c r="D1773" s="34" t="s">
        <v>1999</v>
      </c>
      <c r="E1773" s="35" t="str">
        <f t="shared" si="430"/>
        <v>PND'!</v>
      </c>
      <c r="F1773" s="34" t="str">
        <f t="shared" si="431"/>
        <v>C:\Users\jaime.benazar\Quorum Business Solutions\Ecopetrol Prometeo - Documents\Planning Space Implementation\3. Analysis &amp; Design\Design\FC22\DRR Jaime\QUIFA-CAJÚA\Cajua\[CAJUA_CF_SEC_New_27-Feb-2024Rev3.xlsx]D-PND'!</v>
      </c>
      <c r="G1773" s="32" t="s">
        <v>38</v>
      </c>
      <c r="H1773" s="33">
        <f t="shared" si="432"/>
        <v>35</v>
      </c>
      <c r="I1773" s="33" t="str">
        <f t="shared" si="433"/>
        <v>='C:\Users\jaime.benazar\Quorum Business Solutions\Ecopetrol Prometeo - Documents\Planning Space Implementation\3. Analysis &amp; Design\Design\FC22\DRR Jaime\QUIFA-CAJÚA\Cajua\[CAJUA_CF_SEC_New_27-Feb-2024Rev3.xlsx]D-PND'!$BX$35</v>
      </c>
      <c r="J1773" s="37" t="s">
        <v>2837</v>
      </c>
    </row>
    <row r="1774" spans="1:10" x14ac:dyDescent="0.25">
      <c r="A1774" s="32" t="s">
        <v>3</v>
      </c>
      <c r="B1774" s="32">
        <f t="shared" si="434"/>
        <v>2047</v>
      </c>
      <c r="C1774" s="33" t="s">
        <v>17</v>
      </c>
      <c r="D1774" s="34" t="s">
        <v>1999</v>
      </c>
      <c r="E1774" s="35" t="str">
        <f t="shared" si="430"/>
        <v>PND'!</v>
      </c>
      <c r="F1774" s="34" t="str">
        <f t="shared" si="431"/>
        <v>C:\Users\jaime.benazar\Quorum Business Solutions\Ecopetrol Prometeo - Documents\Planning Space Implementation\3. Analysis &amp; Design\Design\FC22\DRR Jaime\QUIFA-CAJÚA\Cajua\[CAJUA_CF_SEC_New_27-Feb-2024Rev3.xlsx]D-PND'!</v>
      </c>
      <c r="G1774" s="32" t="s">
        <v>38</v>
      </c>
      <c r="H1774" s="33">
        <f t="shared" si="432"/>
        <v>36</v>
      </c>
      <c r="I1774" s="33" t="str">
        <f t="shared" si="433"/>
        <v>='C:\Users\jaime.benazar\Quorum Business Solutions\Ecopetrol Prometeo - Documents\Planning Space Implementation\3. Analysis &amp; Design\Design\FC22\DRR Jaime\QUIFA-CAJÚA\Cajua\[CAJUA_CF_SEC_New_27-Feb-2024Rev3.xlsx]D-PND'!$BX$36</v>
      </c>
      <c r="J1774" s="37" t="s">
        <v>2838</v>
      </c>
    </row>
    <row r="1775" spans="1:10" x14ac:dyDescent="0.25">
      <c r="A1775" s="32" t="s">
        <v>3</v>
      </c>
      <c r="B1775" s="32">
        <f t="shared" si="434"/>
        <v>2048</v>
      </c>
      <c r="C1775" s="33" t="s">
        <v>17</v>
      </c>
      <c r="D1775" s="34" t="s">
        <v>1999</v>
      </c>
      <c r="E1775" s="35" t="str">
        <f t="shared" si="430"/>
        <v>PND'!</v>
      </c>
      <c r="F1775" s="34" t="str">
        <f t="shared" si="431"/>
        <v>C:\Users\jaime.benazar\Quorum Business Solutions\Ecopetrol Prometeo - Documents\Planning Space Implementation\3. Analysis &amp; Design\Design\FC22\DRR Jaime\QUIFA-CAJÚA\Cajua\[CAJUA_CF_SEC_New_27-Feb-2024Rev3.xlsx]D-PND'!</v>
      </c>
      <c r="G1775" s="32" t="s">
        <v>38</v>
      </c>
      <c r="H1775" s="33">
        <f t="shared" si="432"/>
        <v>37</v>
      </c>
      <c r="I1775" s="33" t="str">
        <f t="shared" si="433"/>
        <v>='C:\Users\jaime.benazar\Quorum Business Solutions\Ecopetrol Prometeo - Documents\Planning Space Implementation\3. Analysis &amp; Design\Design\FC22\DRR Jaime\QUIFA-CAJÚA\Cajua\[CAJUA_CF_SEC_New_27-Feb-2024Rev3.xlsx]D-PND'!$BX$37</v>
      </c>
      <c r="J1775" s="37" t="s">
        <v>2839</v>
      </c>
    </row>
    <row r="1776" spans="1:10" x14ac:dyDescent="0.25">
      <c r="A1776" s="32" t="s">
        <v>3</v>
      </c>
      <c r="B1776" s="32">
        <f t="shared" si="434"/>
        <v>2049</v>
      </c>
      <c r="C1776" s="33" t="s">
        <v>17</v>
      </c>
      <c r="D1776" s="34" t="s">
        <v>1999</v>
      </c>
      <c r="E1776" s="35" t="str">
        <f t="shared" si="430"/>
        <v>PND'!</v>
      </c>
      <c r="F1776" s="34" t="str">
        <f t="shared" si="431"/>
        <v>C:\Users\jaime.benazar\Quorum Business Solutions\Ecopetrol Prometeo - Documents\Planning Space Implementation\3. Analysis &amp; Design\Design\FC22\DRR Jaime\QUIFA-CAJÚA\Cajua\[CAJUA_CF_SEC_New_27-Feb-2024Rev3.xlsx]D-PND'!</v>
      </c>
      <c r="G1776" s="32" t="s">
        <v>38</v>
      </c>
      <c r="H1776" s="33">
        <f t="shared" si="432"/>
        <v>38</v>
      </c>
      <c r="I1776" s="33" t="str">
        <f t="shared" si="433"/>
        <v>='C:\Users\jaime.benazar\Quorum Business Solutions\Ecopetrol Prometeo - Documents\Planning Space Implementation\3. Analysis &amp; Design\Design\FC22\DRR Jaime\QUIFA-CAJÚA\Cajua\[CAJUA_CF_SEC_New_27-Feb-2024Rev3.xlsx]D-PND'!$BX$38</v>
      </c>
      <c r="J1776" s="37" t="s">
        <v>2840</v>
      </c>
    </row>
    <row r="1777" spans="1:10" x14ac:dyDescent="0.25">
      <c r="A1777" s="32" t="s">
        <v>3</v>
      </c>
      <c r="B1777" s="32">
        <f t="shared" si="434"/>
        <v>2050</v>
      </c>
      <c r="C1777" s="33" t="s">
        <v>17</v>
      </c>
      <c r="D1777" s="34" t="s">
        <v>1999</v>
      </c>
      <c r="E1777" s="35" t="str">
        <f t="shared" si="430"/>
        <v>PND'!</v>
      </c>
      <c r="F1777" s="34" t="str">
        <f t="shared" si="431"/>
        <v>C:\Users\jaime.benazar\Quorum Business Solutions\Ecopetrol Prometeo - Documents\Planning Space Implementation\3. Analysis &amp; Design\Design\FC22\DRR Jaime\QUIFA-CAJÚA\Cajua\[CAJUA_CF_SEC_New_27-Feb-2024Rev3.xlsx]D-PND'!</v>
      </c>
      <c r="G1777" s="32" t="s">
        <v>38</v>
      </c>
      <c r="H1777" s="33">
        <f t="shared" si="432"/>
        <v>39</v>
      </c>
      <c r="I1777" s="33" t="str">
        <f t="shared" si="433"/>
        <v>='C:\Users\jaime.benazar\Quorum Business Solutions\Ecopetrol Prometeo - Documents\Planning Space Implementation\3. Analysis &amp; Design\Design\FC22\DRR Jaime\QUIFA-CAJÚA\Cajua\[CAJUA_CF_SEC_New_27-Feb-2024Rev3.xlsx]D-PND'!$BX$39</v>
      </c>
      <c r="J1777" s="37" t="s">
        <v>2841</v>
      </c>
    </row>
    <row r="1778" spans="1:10" x14ac:dyDescent="0.25">
      <c r="A1778" s="32" t="s">
        <v>3</v>
      </c>
      <c r="B1778" s="32">
        <f t="shared" si="434"/>
        <v>2051</v>
      </c>
      <c r="C1778" s="33" t="s">
        <v>17</v>
      </c>
      <c r="D1778" s="34" t="s">
        <v>1999</v>
      </c>
      <c r="E1778" s="35" t="str">
        <f t="shared" si="430"/>
        <v>PND'!</v>
      </c>
      <c r="F1778" s="34" t="str">
        <f t="shared" si="431"/>
        <v>C:\Users\jaime.benazar\Quorum Business Solutions\Ecopetrol Prometeo - Documents\Planning Space Implementation\3. Analysis &amp; Design\Design\FC22\DRR Jaime\QUIFA-CAJÚA\Cajua\[CAJUA_CF_SEC_New_27-Feb-2024Rev3.xlsx]D-PND'!</v>
      </c>
      <c r="G1778" s="32" t="s">
        <v>38</v>
      </c>
      <c r="H1778" s="33">
        <f t="shared" si="432"/>
        <v>40</v>
      </c>
      <c r="I1778" s="33" t="str">
        <f t="shared" si="433"/>
        <v>='C:\Users\jaime.benazar\Quorum Business Solutions\Ecopetrol Prometeo - Documents\Planning Space Implementation\3. Analysis &amp; Design\Design\FC22\DRR Jaime\QUIFA-CAJÚA\Cajua\[CAJUA_CF_SEC_New_27-Feb-2024Rev3.xlsx]D-PND'!$BX$40</v>
      </c>
      <c r="J1778" s="37" t="s">
        <v>2842</v>
      </c>
    </row>
    <row r="1779" spans="1:10" x14ac:dyDescent="0.25">
      <c r="A1779" s="32" t="s">
        <v>3</v>
      </c>
      <c r="B1779" s="32">
        <f t="shared" si="434"/>
        <v>2052</v>
      </c>
      <c r="C1779" s="33" t="s">
        <v>17</v>
      </c>
      <c r="D1779" s="34" t="s">
        <v>1999</v>
      </c>
      <c r="E1779" s="35" t="str">
        <f t="shared" si="430"/>
        <v>PND'!</v>
      </c>
      <c r="F1779" s="34" t="str">
        <f t="shared" si="431"/>
        <v>C:\Users\jaime.benazar\Quorum Business Solutions\Ecopetrol Prometeo - Documents\Planning Space Implementation\3. Analysis &amp; Design\Design\FC22\DRR Jaime\QUIFA-CAJÚA\Cajua\[CAJUA_CF_SEC_New_27-Feb-2024Rev3.xlsx]D-PND'!</v>
      </c>
      <c r="G1779" s="32" t="s">
        <v>38</v>
      </c>
      <c r="H1779" s="33">
        <f t="shared" si="432"/>
        <v>41</v>
      </c>
      <c r="I1779" s="33" t="str">
        <f t="shared" si="433"/>
        <v>='C:\Users\jaime.benazar\Quorum Business Solutions\Ecopetrol Prometeo - Documents\Planning Space Implementation\3. Analysis &amp; Design\Design\FC22\DRR Jaime\QUIFA-CAJÚA\Cajua\[CAJUA_CF_SEC_New_27-Feb-2024Rev3.xlsx]D-PND'!$BX$41</v>
      </c>
      <c r="J1779" s="37" t="s">
        <v>2843</v>
      </c>
    </row>
    <row r="1780" spans="1:10" x14ac:dyDescent="0.25">
      <c r="A1780" s="32" t="s">
        <v>3</v>
      </c>
      <c r="B1780" s="32">
        <f t="shared" si="434"/>
        <v>2053</v>
      </c>
      <c r="C1780" s="33" t="s">
        <v>17</v>
      </c>
      <c r="D1780" s="34" t="s">
        <v>1999</v>
      </c>
      <c r="E1780" s="35" t="str">
        <f t="shared" si="430"/>
        <v>PND'!</v>
      </c>
      <c r="F1780" s="34" t="str">
        <f t="shared" si="431"/>
        <v>C:\Users\jaime.benazar\Quorum Business Solutions\Ecopetrol Prometeo - Documents\Planning Space Implementation\3. Analysis &amp; Design\Design\FC22\DRR Jaime\QUIFA-CAJÚA\Cajua\[CAJUA_CF_SEC_New_27-Feb-2024Rev3.xlsx]D-PND'!</v>
      </c>
      <c r="G1780" s="32" t="s">
        <v>38</v>
      </c>
      <c r="H1780" s="33">
        <f t="shared" si="432"/>
        <v>42</v>
      </c>
      <c r="I1780" s="33" t="str">
        <f t="shared" si="433"/>
        <v>='C:\Users\jaime.benazar\Quorum Business Solutions\Ecopetrol Prometeo - Documents\Planning Space Implementation\3. Analysis &amp; Design\Design\FC22\DRR Jaime\QUIFA-CAJÚA\Cajua\[CAJUA_CF_SEC_New_27-Feb-2024Rev3.xlsx]D-PND'!$BX$42</v>
      </c>
      <c r="J1780" s="37" t="s">
        <v>2844</v>
      </c>
    </row>
    <row r="1781" spans="1:10" x14ac:dyDescent="0.25">
      <c r="A1781" s="32" t="s">
        <v>3</v>
      </c>
      <c r="B1781" s="32">
        <f t="shared" si="434"/>
        <v>2054</v>
      </c>
      <c r="C1781" s="33" t="s">
        <v>17</v>
      </c>
      <c r="D1781" s="34" t="s">
        <v>1999</v>
      </c>
      <c r="E1781" s="35" t="str">
        <f t="shared" si="430"/>
        <v>PND'!</v>
      </c>
      <c r="F1781" s="34" t="str">
        <f t="shared" si="431"/>
        <v>C:\Users\jaime.benazar\Quorum Business Solutions\Ecopetrol Prometeo - Documents\Planning Space Implementation\3. Analysis &amp; Design\Design\FC22\DRR Jaime\QUIFA-CAJÚA\Cajua\[CAJUA_CF_SEC_New_27-Feb-2024Rev3.xlsx]D-PND'!</v>
      </c>
      <c r="G1781" s="32" t="s">
        <v>38</v>
      </c>
      <c r="H1781" s="33">
        <f t="shared" si="432"/>
        <v>43</v>
      </c>
      <c r="I1781" s="33" t="str">
        <f t="shared" si="433"/>
        <v>='C:\Users\jaime.benazar\Quorum Business Solutions\Ecopetrol Prometeo - Documents\Planning Space Implementation\3. Analysis &amp; Design\Design\FC22\DRR Jaime\QUIFA-CAJÚA\Cajua\[CAJUA_CF_SEC_New_27-Feb-2024Rev3.xlsx]D-PND'!$BX$43</v>
      </c>
      <c r="J1781" s="37" t="s">
        <v>2845</v>
      </c>
    </row>
    <row r="1782" spans="1:10" x14ac:dyDescent="0.25">
      <c r="A1782" s="32" t="s">
        <v>3</v>
      </c>
      <c r="B1782" s="32">
        <f t="shared" si="434"/>
        <v>2055</v>
      </c>
      <c r="C1782" s="33" t="s">
        <v>17</v>
      </c>
      <c r="D1782" s="34" t="s">
        <v>1999</v>
      </c>
      <c r="E1782" s="35" t="str">
        <f t="shared" si="430"/>
        <v>PND'!</v>
      </c>
      <c r="F1782" s="34" t="str">
        <f t="shared" si="431"/>
        <v>C:\Users\jaime.benazar\Quorum Business Solutions\Ecopetrol Prometeo - Documents\Planning Space Implementation\3. Analysis &amp; Design\Design\FC22\DRR Jaime\QUIFA-CAJÚA\Cajua\[CAJUA_CF_SEC_New_27-Feb-2024Rev3.xlsx]D-PND'!</v>
      </c>
      <c r="G1782" s="32" t="s">
        <v>38</v>
      </c>
      <c r="H1782" s="33">
        <f t="shared" si="432"/>
        <v>44</v>
      </c>
      <c r="I1782" s="33" t="str">
        <f t="shared" si="433"/>
        <v>='C:\Users\jaime.benazar\Quorum Business Solutions\Ecopetrol Prometeo - Documents\Planning Space Implementation\3. Analysis &amp; Design\Design\FC22\DRR Jaime\QUIFA-CAJÚA\Cajua\[CAJUA_CF_SEC_New_27-Feb-2024Rev3.xlsx]D-PND'!$BX$44</v>
      </c>
      <c r="J1782" s="37" t="s">
        <v>2846</v>
      </c>
    </row>
    <row r="1783" spans="1:10" x14ac:dyDescent="0.25">
      <c r="A1783" s="32" t="s">
        <v>3</v>
      </c>
      <c r="B1783" s="32">
        <f t="shared" si="434"/>
        <v>2056</v>
      </c>
      <c r="C1783" s="33" t="s">
        <v>17</v>
      </c>
      <c r="D1783" s="34" t="s">
        <v>1999</v>
      </c>
      <c r="E1783" s="35" t="str">
        <f t="shared" si="430"/>
        <v>PND'!</v>
      </c>
      <c r="F1783" s="34" t="str">
        <f t="shared" si="431"/>
        <v>C:\Users\jaime.benazar\Quorum Business Solutions\Ecopetrol Prometeo - Documents\Planning Space Implementation\3. Analysis &amp; Design\Design\FC22\DRR Jaime\QUIFA-CAJÚA\Cajua\[CAJUA_CF_SEC_New_27-Feb-2024Rev3.xlsx]D-PND'!</v>
      </c>
      <c r="G1783" s="32" t="s">
        <v>38</v>
      </c>
      <c r="H1783" s="33">
        <f t="shared" si="432"/>
        <v>45</v>
      </c>
      <c r="I1783" s="33" t="str">
        <f t="shared" si="433"/>
        <v>='C:\Users\jaime.benazar\Quorum Business Solutions\Ecopetrol Prometeo - Documents\Planning Space Implementation\3. Analysis &amp; Design\Design\FC22\DRR Jaime\QUIFA-CAJÚA\Cajua\[CAJUA_CF_SEC_New_27-Feb-2024Rev3.xlsx]D-PND'!$BX$45</v>
      </c>
      <c r="J1783" s="37" t="s">
        <v>2847</v>
      </c>
    </row>
    <row r="1784" spans="1:10" x14ac:dyDescent="0.25">
      <c r="A1784" s="32" t="s">
        <v>3</v>
      </c>
      <c r="B1784" s="32">
        <f t="shared" si="434"/>
        <v>2057</v>
      </c>
      <c r="C1784" s="33" t="s">
        <v>17</v>
      </c>
      <c r="D1784" s="34" t="s">
        <v>1999</v>
      </c>
      <c r="E1784" s="35" t="str">
        <f t="shared" si="430"/>
        <v>PND'!</v>
      </c>
      <c r="F1784" s="34" t="str">
        <f t="shared" si="431"/>
        <v>C:\Users\jaime.benazar\Quorum Business Solutions\Ecopetrol Prometeo - Documents\Planning Space Implementation\3. Analysis &amp; Design\Design\FC22\DRR Jaime\QUIFA-CAJÚA\Cajua\[CAJUA_CF_SEC_New_27-Feb-2024Rev3.xlsx]D-PND'!</v>
      </c>
      <c r="G1784" s="32" t="s">
        <v>38</v>
      </c>
      <c r="H1784" s="33">
        <f t="shared" si="432"/>
        <v>46</v>
      </c>
      <c r="I1784" s="33" t="str">
        <f t="shared" si="433"/>
        <v>='C:\Users\jaime.benazar\Quorum Business Solutions\Ecopetrol Prometeo - Documents\Planning Space Implementation\3. Analysis &amp; Design\Design\FC22\DRR Jaime\QUIFA-CAJÚA\Cajua\[CAJUA_CF_SEC_New_27-Feb-2024Rev3.xlsx]D-PND'!$BX$46</v>
      </c>
      <c r="J1784" s="37" t="s">
        <v>2848</v>
      </c>
    </row>
    <row r="1785" spans="1:10" x14ac:dyDescent="0.25">
      <c r="A1785" s="32" t="s">
        <v>3</v>
      </c>
      <c r="B1785" s="32">
        <f t="shared" si="434"/>
        <v>2058</v>
      </c>
      <c r="C1785" s="33" t="s">
        <v>17</v>
      </c>
      <c r="D1785" s="34" t="s">
        <v>1999</v>
      </c>
      <c r="E1785" s="35" t="str">
        <f t="shared" si="430"/>
        <v>PND'!</v>
      </c>
      <c r="F1785" s="34" t="str">
        <f t="shared" si="431"/>
        <v>C:\Users\jaime.benazar\Quorum Business Solutions\Ecopetrol Prometeo - Documents\Planning Space Implementation\3. Analysis &amp; Design\Design\FC22\DRR Jaime\QUIFA-CAJÚA\Cajua\[CAJUA_CF_SEC_New_27-Feb-2024Rev3.xlsx]D-PND'!</v>
      </c>
      <c r="G1785" s="32" t="s">
        <v>38</v>
      </c>
      <c r="H1785" s="33">
        <f t="shared" si="432"/>
        <v>47</v>
      </c>
      <c r="I1785" s="33" t="str">
        <f t="shared" si="433"/>
        <v>='C:\Users\jaime.benazar\Quorum Business Solutions\Ecopetrol Prometeo - Documents\Planning Space Implementation\3. Analysis &amp; Design\Design\FC22\DRR Jaime\QUIFA-CAJÚA\Cajua\[CAJUA_CF_SEC_New_27-Feb-2024Rev3.xlsx]D-PND'!$BX$47</v>
      </c>
      <c r="J1785" s="37" t="s">
        <v>2849</v>
      </c>
    </row>
    <row r="1786" spans="1:10" x14ac:dyDescent="0.25">
      <c r="A1786" s="32" t="s">
        <v>3</v>
      </c>
      <c r="B1786" s="32">
        <f t="shared" si="434"/>
        <v>2059</v>
      </c>
      <c r="C1786" s="33" t="s">
        <v>17</v>
      </c>
      <c r="D1786" s="34" t="s">
        <v>1999</v>
      </c>
      <c r="E1786" s="35" t="str">
        <f t="shared" si="430"/>
        <v>PND'!</v>
      </c>
      <c r="F1786" s="34" t="str">
        <f t="shared" si="431"/>
        <v>C:\Users\jaime.benazar\Quorum Business Solutions\Ecopetrol Prometeo - Documents\Planning Space Implementation\3. Analysis &amp; Design\Design\FC22\DRR Jaime\QUIFA-CAJÚA\Cajua\[CAJUA_CF_SEC_New_27-Feb-2024Rev3.xlsx]D-PND'!</v>
      </c>
      <c r="G1786" s="32" t="s">
        <v>38</v>
      </c>
      <c r="H1786" s="33">
        <f t="shared" si="432"/>
        <v>48</v>
      </c>
      <c r="I1786" s="33" t="str">
        <f t="shared" si="433"/>
        <v>='C:\Users\jaime.benazar\Quorum Business Solutions\Ecopetrol Prometeo - Documents\Planning Space Implementation\3. Analysis &amp; Design\Design\FC22\DRR Jaime\QUIFA-CAJÚA\Cajua\[CAJUA_CF_SEC_New_27-Feb-2024Rev3.xlsx]D-PND'!$BX$48</v>
      </c>
      <c r="J1786" s="37" t="s">
        <v>2850</v>
      </c>
    </row>
    <row r="1787" spans="1:10" x14ac:dyDescent="0.25">
      <c r="A1787" s="32" t="s">
        <v>28</v>
      </c>
      <c r="B1787" s="32"/>
      <c r="C1787" s="33" t="s">
        <v>17</v>
      </c>
      <c r="D1787" s="34"/>
      <c r="E1787" s="35"/>
      <c r="F1787" s="34"/>
      <c r="G1787" s="32"/>
      <c r="H1787" s="33"/>
      <c r="I1787" s="33"/>
      <c r="J1787" s="33"/>
    </row>
    <row r="1788" spans="1:10" x14ac:dyDescent="0.25">
      <c r="A1788" s="32" t="s">
        <v>99</v>
      </c>
      <c r="B1788" s="32">
        <v>2023</v>
      </c>
      <c r="C1788" s="33" t="s">
        <v>17</v>
      </c>
      <c r="D1788" s="34" t="s">
        <v>1999</v>
      </c>
      <c r="E1788" s="35" t="str">
        <f t="shared" ref="E1788:E1808" si="435">_xlfn.CONCAT(A1788,"'!")</f>
        <v>PRBDP'!</v>
      </c>
      <c r="F1788" s="34" t="str">
        <f t="shared" ref="F1788:F1808" si="436">_xlfn.CONCAT(D1788:E1788)</f>
        <v>C:\Users\jaime.benazar\Quorum Business Solutions\Ecopetrol Prometeo - Documents\Planning Space Implementation\3. Analysis &amp; Design\Design\FC22\DRR Jaime\QUIFA-CAJÚA\Cajua\[CAJUA_CF_SEC_New_27-Feb-2024Rev3.xlsx]D-PRBDP'!</v>
      </c>
      <c r="G1788" s="32" t="s">
        <v>38</v>
      </c>
      <c r="H1788" s="33"/>
      <c r="I1788" s="33"/>
      <c r="J1788" s="37"/>
    </row>
    <row r="1789" spans="1:10" x14ac:dyDescent="0.25">
      <c r="A1789" s="32" t="s">
        <v>99</v>
      </c>
      <c r="B1789" s="32">
        <f>+B1788+1</f>
        <v>2024</v>
      </c>
      <c r="C1789" s="33" t="s">
        <v>17</v>
      </c>
      <c r="D1789" s="34" t="s">
        <v>1999</v>
      </c>
      <c r="E1789" s="35" t="str">
        <f t="shared" si="435"/>
        <v>PRBDP'!</v>
      </c>
      <c r="F1789" s="34" t="str">
        <f t="shared" si="436"/>
        <v>C:\Users\jaime.benazar\Quorum Business Solutions\Ecopetrol Prometeo - Documents\Planning Space Implementation\3. Analysis &amp; Design\Design\FC22\DRR Jaime\QUIFA-CAJÚA\Cajua\[CAJUA_CF_SEC_New_27-Feb-2024Rev3.xlsx]D-PRBDP'!</v>
      </c>
      <c r="G1789" s="32" t="s">
        <v>38</v>
      </c>
      <c r="H1789" s="33"/>
      <c r="I1789" s="33"/>
      <c r="J1789" s="37"/>
    </row>
    <row r="1790" spans="1:10" x14ac:dyDescent="0.25">
      <c r="A1790" s="32" t="s">
        <v>99</v>
      </c>
      <c r="B1790" s="32">
        <f t="shared" ref="B1790:B1801" si="437">+B1789+1</f>
        <v>2025</v>
      </c>
      <c r="C1790" s="33" t="s">
        <v>17</v>
      </c>
      <c r="D1790" s="34" t="s">
        <v>1999</v>
      </c>
      <c r="E1790" s="35" t="str">
        <f t="shared" si="435"/>
        <v>PRBDP'!</v>
      </c>
      <c r="F1790" s="34" t="str">
        <f t="shared" si="436"/>
        <v>C:\Users\jaime.benazar\Quorum Business Solutions\Ecopetrol Prometeo - Documents\Planning Space Implementation\3. Analysis &amp; Design\Design\FC22\DRR Jaime\QUIFA-CAJÚA\Cajua\[CAJUA_CF_SEC_New_27-Feb-2024Rev3.xlsx]D-PRBDP'!</v>
      </c>
      <c r="G1790" s="32" t="s">
        <v>38</v>
      </c>
      <c r="H1790" s="33"/>
      <c r="I1790" s="33"/>
      <c r="J1790" s="37"/>
    </row>
    <row r="1791" spans="1:10" x14ac:dyDescent="0.25">
      <c r="A1791" s="32" t="s">
        <v>99</v>
      </c>
      <c r="B1791" s="32">
        <f t="shared" si="437"/>
        <v>2026</v>
      </c>
      <c r="C1791" s="33" t="s">
        <v>17</v>
      </c>
      <c r="D1791" s="34" t="s">
        <v>1999</v>
      </c>
      <c r="E1791" s="35" t="str">
        <f t="shared" si="435"/>
        <v>PRBDP'!</v>
      </c>
      <c r="F1791" s="34" t="str">
        <f t="shared" si="436"/>
        <v>C:\Users\jaime.benazar\Quorum Business Solutions\Ecopetrol Prometeo - Documents\Planning Space Implementation\3. Analysis &amp; Design\Design\FC22\DRR Jaime\QUIFA-CAJÚA\Cajua\[CAJUA_CF_SEC_New_27-Feb-2024Rev3.xlsx]D-PRBDP'!</v>
      </c>
      <c r="G1791" s="32" t="s">
        <v>38</v>
      </c>
      <c r="H1791" s="33"/>
      <c r="I1791" s="33"/>
      <c r="J1791" s="37"/>
    </row>
    <row r="1792" spans="1:10" x14ac:dyDescent="0.25">
      <c r="A1792" s="32" t="s">
        <v>99</v>
      </c>
      <c r="B1792" s="32">
        <f t="shared" si="437"/>
        <v>2027</v>
      </c>
      <c r="C1792" s="33" t="s">
        <v>17</v>
      </c>
      <c r="D1792" s="34" t="s">
        <v>1999</v>
      </c>
      <c r="E1792" s="35" t="str">
        <f t="shared" si="435"/>
        <v>PRBDP'!</v>
      </c>
      <c r="F1792" s="34" t="str">
        <f t="shared" si="436"/>
        <v>C:\Users\jaime.benazar\Quorum Business Solutions\Ecopetrol Prometeo - Documents\Planning Space Implementation\3. Analysis &amp; Design\Design\FC22\DRR Jaime\QUIFA-CAJÚA\Cajua\[CAJUA_CF_SEC_New_27-Feb-2024Rev3.xlsx]D-PRBDP'!</v>
      </c>
      <c r="G1792" s="32" t="s">
        <v>38</v>
      </c>
      <c r="H1792" s="33"/>
      <c r="I1792" s="33"/>
      <c r="J1792" s="37"/>
    </row>
    <row r="1793" spans="1:10" x14ac:dyDescent="0.25">
      <c r="A1793" s="32" t="s">
        <v>99</v>
      </c>
      <c r="B1793" s="32">
        <f t="shared" si="437"/>
        <v>2028</v>
      </c>
      <c r="C1793" s="33" t="s">
        <v>17</v>
      </c>
      <c r="D1793" s="34" t="s">
        <v>1999</v>
      </c>
      <c r="E1793" s="35" t="str">
        <f t="shared" si="435"/>
        <v>PRBDP'!</v>
      </c>
      <c r="F1793" s="34" t="str">
        <f t="shared" si="436"/>
        <v>C:\Users\jaime.benazar\Quorum Business Solutions\Ecopetrol Prometeo - Documents\Planning Space Implementation\3. Analysis &amp; Design\Design\FC22\DRR Jaime\QUIFA-CAJÚA\Cajua\[CAJUA_CF_SEC_New_27-Feb-2024Rev3.xlsx]D-PRBDP'!</v>
      </c>
      <c r="G1793" s="32" t="s">
        <v>38</v>
      </c>
      <c r="H1793" s="33"/>
      <c r="I1793" s="33"/>
      <c r="J1793" s="37"/>
    </row>
    <row r="1794" spans="1:10" x14ac:dyDescent="0.25">
      <c r="A1794" s="32" t="s">
        <v>99</v>
      </c>
      <c r="B1794" s="32">
        <f t="shared" si="437"/>
        <v>2029</v>
      </c>
      <c r="C1794" s="33" t="s">
        <v>17</v>
      </c>
      <c r="D1794" s="34" t="s">
        <v>1999</v>
      </c>
      <c r="E1794" s="35" t="str">
        <f t="shared" si="435"/>
        <v>PRBDP'!</v>
      </c>
      <c r="F1794" s="34" t="str">
        <f t="shared" si="436"/>
        <v>C:\Users\jaime.benazar\Quorum Business Solutions\Ecopetrol Prometeo - Documents\Planning Space Implementation\3. Analysis &amp; Design\Design\FC22\DRR Jaime\QUIFA-CAJÚA\Cajua\[CAJUA_CF_SEC_New_27-Feb-2024Rev3.xlsx]D-PRBDP'!</v>
      </c>
      <c r="G1794" s="32" t="s">
        <v>38</v>
      </c>
      <c r="H1794" s="33"/>
      <c r="I1794" s="33"/>
      <c r="J1794" s="37"/>
    </row>
    <row r="1795" spans="1:10" x14ac:dyDescent="0.25">
      <c r="A1795" s="32" t="s">
        <v>99</v>
      </c>
      <c r="B1795" s="32">
        <f t="shared" si="437"/>
        <v>2030</v>
      </c>
      <c r="C1795" s="33" t="s">
        <v>17</v>
      </c>
      <c r="D1795" s="34" t="s">
        <v>1999</v>
      </c>
      <c r="E1795" s="35" t="str">
        <f t="shared" si="435"/>
        <v>PRBDP'!</v>
      </c>
      <c r="F1795" s="34" t="str">
        <f t="shared" si="436"/>
        <v>C:\Users\jaime.benazar\Quorum Business Solutions\Ecopetrol Prometeo - Documents\Planning Space Implementation\3. Analysis &amp; Design\Design\FC22\DRR Jaime\QUIFA-CAJÚA\Cajua\[CAJUA_CF_SEC_New_27-Feb-2024Rev3.xlsx]D-PRBDP'!</v>
      </c>
      <c r="G1795" s="32" t="s">
        <v>38</v>
      </c>
      <c r="H1795" s="33"/>
      <c r="I1795" s="33"/>
      <c r="J1795" s="37"/>
    </row>
    <row r="1796" spans="1:10" x14ac:dyDescent="0.25">
      <c r="A1796" s="32" t="s">
        <v>99</v>
      </c>
      <c r="B1796" s="32">
        <f t="shared" si="437"/>
        <v>2031</v>
      </c>
      <c r="C1796" s="33" t="s">
        <v>17</v>
      </c>
      <c r="D1796" s="34" t="s">
        <v>1999</v>
      </c>
      <c r="E1796" s="35" t="str">
        <f t="shared" si="435"/>
        <v>PRBDP'!</v>
      </c>
      <c r="F1796" s="34" t="str">
        <f t="shared" si="436"/>
        <v>C:\Users\jaime.benazar\Quorum Business Solutions\Ecopetrol Prometeo - Documents\Planning Space Implementation\3. Analysis &amp; Design\Design\FC22\DRR Jaime\QUIFA-CAJÚA\Cajua\[CAJUA_CF_SEC_New_27-Feb-2024Rev3.xlsx]D-PRBDP'!</v>
      </c>
      <c r="G1796" s="32" t="s">
        <v>38</v>
      </c>
      <c r="H1796" s="33"/>
      <c r="I1796" s="33"/>
      <c r="J1796" s="37"/>
    </row>
    <row r="1797" spans="1:10" x14ac:dyDescent="0.25">
      <c r="A1797" s="32" t="s">
        <v>99</v>
      </c>
      <c r="B1797" s="32">
        <f t="shared" si="437"/>
        <v>2032</v>
      </c>
      <c r="C1797" s="33" t="s">
        <v>17</v>
      </c>
      <c r="D1797" s="34" t="s">
        <v>1999</v>
      </c>
      <c r="E1797" s="35" t="str">
        <f t="shared" si="435"/>
        <v>PRBDP'!</v>
      </c>
      <c r="F1797" s="34" t="str">
        <f t="shared" si="436"/>
        <v>C:\Users\jaime.benazar\Quorum Business Solutions\Ecopetrol Prometeo - Documents\Planning Space Implementation\3. Analysis &amp; Design\Design\FC22\DRR Jaime\QUIFA-CAJÚA\Cajua\[CAJUA_CF_SEC_New_27-Feb-2024Rev3.xlsx]D-PRBDP'!</v>
      </c>
      <c r="G1797" s="32" t="s">
        <v>38</v>
      </c>
      <c r="H1797" s="33"/>
      <c r="I1797" s="33"/>
      <c r="J1797" s="37"/>
    </row>
    <row r="1798" spans="1:10" x14ac:dyDescent="0.25">
      <c r="A1798" s="32" t="s">
        <v>99</v>
      </c>
      <c r="B1798" s="32">
        <f t="shared" si="437"/>
        <v>2033</v>
      </c>
      <c r="C1798" s="33" t="s">
        <v>17</v>
      </c>
      <c r="D1798" s="34" t="s">
        <v>1999</v>
      </c>
      <c r="E1798" s="35" t="str">
        <f t="shared" si="435"/>
        <v>PRBDP'!</v>
      </c>
      <c r="F1798" s="34" t="str">
        <f t="shared" si="436"/>
        <v>C:\Users\jaime.benazar\Quorum Business Solutions\Ecopetrol Prometeo - Documents\Planning Space Implementation\3. Analysis &amp; Design\Design\FC22\DRR Jaime\QUIFA-CAJÚA\Cajua\[CAJUA_CF_SEC_New_27-Feb-2024Rev3.xlsx]D-PRBDP'!</v>
      </c>
      <c r="G1798" s="32" t="s">
        <v>38</v>
      </c>
      <c r="H1798" s="33"/>
      <c r="I1798" s="33"/>
      <c r="J1798" s="37"/>
    </row>
    <row r="1799" spans="1:10" x14ac:dyDescent="0.25">
      <c r="A1799" s="32" t="s">
        <v>99</v>
      </c>
      <c r="B1799" s="32">
        <f t="shared" si="437"/>
        <v>2034</v>
      </c>
      <c r="C1799" s="33" t="s">
        <v>17</v>
      </c>
      <c r="D1799" s="34" t="s">
        <v>1999</v>
      </c>
      <c r="E1799" s="35" t="str">
        <f t="shared" si="435"/>
        <v>PRBDP'!</v>
      </c>
      <c r="F1799" s="34" t="str">
        <f t="shared" si="436"/>
        <v>C:\Users\jaime.benazar\Quorum Business Solutions\Ecopetrol Prometeo - Documents\Planning Space Implementation\3. Analysis &amp; Design\Design\FC22\DRR Jaime\QUIFA-CAJÚA\Cajua\[CAJUA_CF_SEC_New_27-Feb-2024Rev3.xlsx]D-PRBDP'!</v>
      </c>
      <c r="G1799" s="32" t="s">
        <v>38</v>
      </c>
      <c r="H1799" s="33"/>
      <c r="I1799" s="33"/>
      <c r="J1799" s="37"/>
    </row>
    <row r="1800" spans="1:10" x14ac:dyDescent="0.25">
      <c r="A1800" s="32" t="s">
        <v>99</v>
      </c>
      <c r="B1800" s="32">
        <f t="shared" si="437"/>
        <v>2035</v>
      </c>
      <c r="C1800" s="33" t="s">
        <v>17</v>
      </c>
      <c r="D1800" s="34" t="s">
        <v>1999</v>
      </c>
      <c r="E1800" s="35" t="str">
        <f t="shared" si="435"/>
        <v>PRBDP'!</v>
      </c>
      <c r="F1800" s="34" t="str">
        <f t="shared" si="436"/>
        <v>C:\Users\jaime.benazar\Quorum Business Solutions\Ecopetrol Prometeo - Documents\Planning Space Implementation\3. Analysis &amp; Design\Design\FC22\DRR Jaime\QUIFA-CAJÚA\Cajua\[CAJUA_CF_SEC_New_27-Feb-2024Rev3.xlsx]D-PRBDP'!</v>
      </c>
      <c r="G1800" s="32" t="s">
        <v>38</v>
      </c>
      <c r="H1800" s="33"/>
      <c r="I1800" s="33"/>
      <c r="J1800" s="37"/>
    </row>
    <row r="1801" spans="1:10" x14ac:dyDescent="0.25">
      <c r="A1801" s="32" t="s">
        <v>99</v>
      </c>
      <c r="B1801" s="32">
        <f t="shared" si="437"/>
        <v>2036</v>
      </c>
      <c r="C1801" s="33" t="s">
        <v>17</v>
      </c>
      <c r="D1801" s="34" t="s">
        <v>1999</v>
      </c>
      <c r="E1801" s="35" t="str">
        <f t="shared" si="435"/>
        <v>PRBDP'!</v>
      </c>
      <c r="F1801" s="34" t="str">
        <f t="shared" si="436"/>
        <v>C:\Users\jaime.benazar\Quorum Business Solutions\Ecopetrol Prometeo - Documents\Planning Space Implementation\3. Analysis &amp; Design\Design\FC22\DRR Jaime\QUIFA-CAJÚA\Cajua\[CAJUA_CF_SEC_New_27-Feb-2024Rev3.xlsx]D-PRBDP'!</v>
      </c>
      <c r="G1801" s="32" t="s">
        <v>38</v>
      </c>
      <c r="H1801" s="33"/>
      <c r="I1801" s="33"/>
      <c r="J1801" s="37"/>
    </row>
    <row r="1802" spans="1:10" x14ac:dyDescent="0.25">
      <c r="A1802" s="32" t="s">
        <v>99</v>
      </c>
      <c r="B1802" s="32">
        <f>+B1801+1</f>
        <v>2037</v>
      </c>
      <c r="C1802" s="33" t="s">
        <v>17</v>
      </c>
      <c r="D1802" s="34" t="s">
        <v>1999</v>
      </c>
      <c r="E1802" s="35" t="str">
        <f t="shared" si="435"/>
        <v>PRBDP'!</v>
      </c>
      <c r="F1802" s="34" t="str">
        <f t="shared" si="436"/>
        <v>C:\Users\jaime.benazar\Quorum Business Solutions\Ecopetrol Prometeo - Documents\Planning Space Implementation\3. Analysis &amp; Design\Design\FC22\DRR Jaime\QUIFA-CAJÚA\Cajua\[CAJUA_CF_SEC_New_27-Feb-2024Rev3.xlsx]D-PRBDP'!</v>
      </c>
      <c r="G1802" s="32" t="s">
        <v>38</v>
      </c>
      <c r="H1802" s="33"/>
      <c r="I1802" s="33"/>
      <c r="J1802" s="37"/>
    </row>
    <row r="1803" spans="1:10" x14ac:dyDescent="0.25">
      <c r="A1803" s="32" t="s">
        <v>99</v>
      </c>
      <c r="B1803" s="32">
        <f t="shared" ref="B1803:B1805" si="438">+B1802+1</f>
        <v>2038</v>
      </c>
      <c r="C1803" s="33" t="s">
        <v>17</v>
      </c>
      <c r="D1803" s="34" t="s">
        <v>1999</v>
      </c>
      <c r="E1803" s="35" t="str">
        <f t="shared" si="435"/>
        <v>PRBDP'!</v>
      </c>
      <c r="F1803" s="34" t="str">
        <f t="shared" si="436"/>
        <v>C:\Users\jaime.benazar\Quorum Business Solutions\Ecopetrol Prometeo - Documents\Planning Space Implementation\3. Analysis &amp; Design\Design\FC22\DRR Jaime\QUIFA-CAJÚA\Cajua\[CAJUA_CF_SEC_New_27-Feb-2024Rev3.xlsx]D-PRBDP'!</v>
      </c>
      <c r="G1803" s="32" t="s">
        <v>38</v>
      </c>
      <c r="H1803" s="33"/>
      <c r="I1803" s="33"/>
      <c r="J1803" s="37"/>
    </row>
    <row r="1804" spans="1:10" x14ac:dyDescent="0.25">
      <c r="A1804" s="32" t="s">
        <v>99</v>
      </c>
      <c r="B1804" s="32">
        <f t="shared" si="438"/>
        <v>2039</v>
      </c>
      <c r="C1804" s="33" t="s">
        <v>17</v>
      </c>
      <c r="D1804" s="34" t="s">
        <v>1999</v>
      </c>
      <c r="E1804" s="35" t="str">
        <f t="shared" si="435"/>
        <v>PRBDP'!</v>
      </c>
      <c r="F1804" s="34" t="str">
        <f t="shared" si="436"/>
        <v>C:\Users\jaime.benazar\Quorum Business Solutions\Ecopetrol Prometeo - Documents\Planning Space Implementation\3. Analysis &amp; Design\Design\FC22\DRR Jaime\QUIFA-CAJÚA\Cajua\[CAJUA_CF_SEC_New_27-Feb-2024Rev3.xlsx]D-PRBDP'!</v>
      </c>
      <c r="G1804" s="32" t="s">
        <v>38</v>
      </c>
      <c r="H1804" s="33"/>
      <c r="I1804" s="33"/>
      <c r="J1804" s="37"/>
    </row>
    <row r="1805" spans="1:10" x14ac:dyDescent="0.25">
      <c r="A1805" s="32" t="s">
        <v>99</v>
      </c>
      <c r="B1805" s="32">
        <f t="shared" si="438"/>
        <v>2040</v>
      </c>
      <c r="C1805" s="33" t="s">
        <v>17</v>
      </c>
      <c r="D1805" s="34" t="s">
        <v>1999</v>
      </c>
      <c r="E1805" s="35" t="str">
        <f t="shared" si="435"/>
        <v>PRBDP'!</v>
      </c>
      <c r="F1805" s="34" t="str">
        <f t="shared" si="436"/>
        <v>C:\Users\jaime.benazar\Quorum Business Solutions\Ecopetrol Prometeo - Documents\Planning Space Implementation\3. Analysis &amp; Design\Design\FC22\DRR Jaime\QUIFA-CAJÚA\Cajua\[CAJUA_CF_SEC_New_27-Feb-2024Rev3.xlsx]D-PRBDP'!</v>
      </c>
      <c r="G1805" s="32" t="s">
        <v>38</v>
      </c>
      <c r="H1805" s="33"/>
      <c r="I1805" s="33"/>
      <c r="J1805" s="37"/>
    </row>
    <row r="1806" spans="1:10" x14ac:dyDescent="0.25">
      <c r="A1806" s="32" t="s">
        <v>99</v>
      </c>
      <c r="B1806" s="32">
        <f>+B1805+1</f>
        <v>2041</v>
      </c>
      <c r="C1806" s="33" t="s">
        <v>17</v>
      </c>
      <c r="D1806" s="34" t="s">
        <v>1999</v>
      </c>
      <c r="E1806" s="35" t="str">
        <f t="shared" si="435"/>
        <v>PRBDP'!</v>
      </c>
      <c r="F1806" s="34" t="str">
        <f t="shared" si="436"/>
        <v>C:\Users\jaime.benazar\Quorum Business Solutions\Ecopetrol Prometeo - Documents\Planning Space Implementation\3. Analysis &amp; Design\Design\FC22\DRR Jaime\QUIFA-CAJÚA\Cajua\[CAJUA_CF_SEC_New_27-Feb-2024Rev3.xlsx]D-PRBDP'!</v>
      </c>
      <c r="G1806" s="32" t="s">
        <v>38</v>
      </c>
      <c r="H1806" s="33"/>
      <c r="I1806" s="33"/>
      <c r="J1806" s="37"/>
    </row>
    <row r="1807" spans="1:10" x14ac:dyDescent="0.25">
      <c r="A1807" s="32" t="s">
        <v>99</v>
      </c>
      <c r="B1807" s="32">
        <f t="shared" ref="B1807:B1808" si="439">+B1806+1</f>
        <v>2042</v>
      </c>
      <c r="C1807" s="33" t="s">
        <v>17</v>
      </c>
      <c r="D1807" s="34" t="s">
        <v>1999</v>
      </c>
      <c r="E1807" s="35" t="str">
        <f t="shared" si="435"/>
        <v>PRBDP'!</v>
      </c>
      <c r="F1807" s="34" t="str">
        <f t="shared" si="436"/>
        <v>C:\Users\jaime.benazar\Quorum Business Solutions\Ecopetrol Prometeo - Documents\Planning Space Implementation\3. Analysis &amp; Design\Design\FC22\DRR Jaime\QUIFA-CAJÚA\Cajua\[CAJUA_CF_SEC_New_27-Feb-2024Rev3.xlsx]D-PRBDP'!</v>
      </c>
      <c r="G1807" s="32" t="s">
        <v>38</v>
      </c>
      <c r="H1807" s="33"/>
      <c r="I1807" s="33"/>
      <c r="J1807" s="37"/>
    </row>
    <row r="1808" spans="1:10" x14ac:dyDescent="0.25">
      <c r="A1808" s="32" t="s">
        <v>99</v>
      </c>
      <c r="B1808" s="32">
        <f t="shared" si="439"/>
        <v>2043</v>
      </c>
      <c r="C1808" s="33" t="s">
        <v>17</v>
      </c>
      <c r="D1808" s="34" t="s">
        <v>1999</v>
      </c>
      <c r="E1808" s="35" t="str">
        <f t="shared" si="435"/>
        <v>PRBDP'!</v>
      </c>
      <c r="F1808" s="34" t="str">
        <f t="shared" si="436"/>
        <v>C:\Users\jaime.benazar\Quorum Business Solutions\Ecopetrol Prometeo - Documents\Planning Space Implementation\3. Analysis &amp; Design\Design\FC22\DRR Jaime\QUIFA-CAJÚA\Cajua\[CAJUA_CF_SEC_New_27-Feb-2024Rev3.xlsx]D-PRBDP'!</v>
      </c>
      <c r="G1808" s="32" t="s">
        <v>38</v>
      </c>
      <c r="H1808" s="33"/>
      <c r="I1808" s="33"/>
      <c r="J1808" s="37"/>
    </row>
    <row r="1809" spans="1:10" x14ac:dyDescent="0.25">
      <c r="A1809" s="32" t="s">
        <v>99</v>
      </c>
      <c r="B1809" s="32">
        <f>+B1808+1</f>
        <v>2044</v>
      </c>
      <c r="C1809" s="33" t="s">
        <v>17</v>
      </c>
      <c r="D1809" s="34" t="s">
        <v>1999</v>
      </c>
      <c r="E1809" s="35" t="str">
        <f t="shared" ref="E1809:E1824" si="440">_xlfn.CONCAT(A1809,"'!")</f>
        <v>PRBDP'!</v>
      </c>
      <c r="F1809" s="34" t="str">
        <f t="shared" ref="F1809:F1824" si="441">_xlfn.CONCAT(D1809:E1809)</f>
        <v>C:\Users\jaime.benazar\Quorum Business Solutions\Ecopetrol Prometeo - Documents\Planning Space Implementation\3. Analysis &amp; Design\Design\FC22\DRR Jaime\QUIFA-CAJÚA\Cajua\[CAJUA_CF_SEC_New_27-Feb-2024Rev3.xlsx]D-PRBDP'!</v>
      </c>
      <c r="G1809" s="32" t="s">
        <v>38</v>
      </c>
      <c r="H1809" s="33"/>
      <c r="I1809" s="33"/>
      <c r="J1809" s="37"/>
    </row>
    <row r="1810" spans="1:10" x14ac:dyDescent="0.25">
      <c r="A1810" s="32" t="s">
        <v>99</v>
      </c>
      <c r="B1810" s="32">
        <f t="shared" ref="B1810:B1824" si="442">+B1809+1</f>
        <v>2045</v>
      </c>
      <c r="C1810" s="33" t="s">
        <v>17</v>
      </c>
      <c r="D1810" s="34" t="s">
        <v>1999</v>
      </c>
      <c r="E1810" s="35" t="str">
        <f t="shared" si="440"/>
        <v>PRBDP'!</v>
      </c>
      <c r="F1810" s="34" t="str">
        <f t="shared" si="441"/>
        <v>C:\Users\jaime.benazar\Quorum Business Solutions\Ecopetrol Prometeo - Documents\Planning Space Implementation\3. Analysis &amp; Design\Design\FC22\DRR Jaime\QUIFA-CAJÚA\Cajua\[CAJUA_CF_SEC_New_27-Feb-2024Rev3.xlsx]D-PRBDP'!</v>
      </c>
      <c r="G1810" s="32" t="s">
        <v>38</v>
      </c>
      <c r="H1810" s="33"/>
      <c r="I1810" s="33"/>
      <c r="J1810" s="37"/>
    </row>
    <row r="1811" spans="1:10" x14ac:dyDescent="0.25">
      <c r="A1811" s="32" t="s">
        <v>99</v>
      </c>
      <c r="B1811" s="32">
        <f t="shared" si="442"/>
        <v>2046</v>
      </c>
      <c r="C1811" s="33" t="s">
        <v>17</v>
      </c>
      <c r="D1811" s="34" t="s">
        <v>1999</v>
      </c>
      <c r="E1811" s="35" t="str">
        <f t="shared" si="440"/>
        <v>PRBDP'!</v>
      </c>
      <c r="F1811" s="34" t="str">
        <f t="shared" si="441"/>
        <v>C:\Users\jaime.benazar\Quorum Business Solutions\Ecopetrol Prometeo - Documents\Planning Space Implementation\3. Analysis &amp; Design\Design\FC22\DRR Jaime\QUIFA-CAJÚA\Cajua\[CAJUA_CF_SEC_New_27-Feb-2024Rev3.xlsx]D-PRBDP'!</v>
      </c>
      <c r="G1811" s="32" t="s">
        <v>38</v>
      </c>
      <c r="H1811" s="33"/>
      <c r="I1811" s="33"/>
      <c r="J1811" s="37"/>
    </row>
    <row r="1812" spans="1:10" x14ac:dyDescent="0.25">
      <c r="A1812" s="32" t="s">
        <v>99</v>
      </c>
      <c r="B1812" s="32">
        <f t="shared" si="442"/>
        <v>2047</v>
      </c>
      <c r="C1812" s="33" t="s">
        <v>17</v>
      </c>
      <c r="D1812" s="34" t="s">
        <v>1999</v>
      </c>
      <c r="E1812" s="35" t="str">
        <f t="shared" si="440"/>
        <v>PRBDP'!</v>
      </c>
      <c r="F1812" s="34" t="str">
        <f t="shared" si="441"/>
        <v>C:\Users\jaime.benazar\Quorum Business Solutions\Ecopetrol Prometeo - Documents\Planning Space Implementation\3. Analysis &amp; Design\Design\FC22\DRR Jaime\QUIFA-CAJÚA\Cajua\[CAJUA_CF_SEC_New_27-Feb-2024Rev3.xlsx]D-PRBDP'!</v>
      </c>
      <c r="G1812" s="32" t="s">
        <v>38</v>
      </c>
      <c r="H1812" s="33"/>
      <c r="I1812" s="33"/>
      <c r="J1812" s="37"/>
    </row>
    <row r="1813" spans="1:10" x14ac:dyDescent="0.25">
      <c r="A1813" s="32" t="s">
        <v>99</v>
      </c>
      <c r="B1813" s="32">
        <f t="shared" si="442"/>
        <v>2048</v>
      </c>
      <c r="C1813" s="33" t="s">
        <v>17</v>
      </c>
      <c r="D1813" s="34" t="s">
        <v>1999</v>
      </c>
      <c r="E1813" s="35" t="str">
        <f t="shared" si="440"/>
        <v>PRBDP'!</v>
      </c>
      <c r="F1813" s="34" t="str">
        <f t="shared" si="441"/>
        <v>C:\Users\jaime.benazar\Quorum Business Solutions\Ecopetrol Prometeo - Documents\Planning Space Implementation\3. Analysis &amp; Design\Design\FC22\DRR Jaime\QUIFA-CAJÚA\Cajua\[CAJUA_CF_SEC_New_27-Feb-2024Rev3.xlsx]D-PRBDP'!</v>
      </c>
      <c r="G1813" s="32" t="s">
        <v>38</v>
      </c>
      <c r="H1813" s="33"/>
      <c r="I1813" s="33"/>
      <c r="J1813" s="37"/>
    </row>
    <row r="1814" spans="1:10" x14ac:dyDescent="0.25">
      <c r="A1814" s="32" t="s">
        <v>99</v>
      </c>
      <c r="B1814" s="32">
        <f t="shared" si="442"/>
        <v>2049</v>
      </c>
      <c r="C1814" s="33" t="s">
        <v>17</v>
      </c>
      <c r="D1814" s="34" t="s">
        <v>1999</v>
      </c>
      <c r="E1814" s="35" t="str">
        <f t="shared" si="440"/>
        <v>PRBDP'!</v>
      </c>
      <c r="F1814" s="34" t="str">
        <f t="shared" si="441"/>
        <v>C:\Users\jaime.benazar\Quorum Business Solutions\Ecopetrol Prometeo - Documents\Planning Space Implementation\3. Analysis &amp; Design\Design\FC22\DRR Jaime\QUIFA-CAJÚA\Cajua\[CAJUA_CF_SEC_New_27-Feb-2024Rev3.xlsx]D-PRBDP'!</v>
      </c>
      <c r="G1814" s="32" t="s">
        <v>38</v>
      </c>
      <c r="H1814" s="33"/>
      <c r="I1814" s="33"/>
      <c r="J1814" s="37"/>
    </row>
    <row r="1815" spans="1:10" x14ac:dyDescent="0.25">
      <c r="A1815" s="32" t="s">
        <v>99</v>
      </c>
      <c r="B1815" s="32">
        <f t="shared" si="442"/>
        <v>2050</v>
      </c>
      <c r="C1815" s="33" t="s">
        <v>17</v>
      </c>
      <c r="D1815" s="34" t="s">
        <v>1999</v>
      </c>
      <c r="E1815" s="35" t="str">
        <f t="shared" si="440"/>
        <v>PRBDP'!</v>
      </c>
      <c r="F1815" s="34" t="str">
        <f t="shared" si="441"/>
        <v>C:\Users\jaime.benazar\Quorum Business Solutions\Ecopetrol Prometeo - Documents\Planning Space Implementation\3. Analysis &amp; Design\Design\FC22\DRR Jaime\QUIFA-CAJÚA\Cajua\[CAJUA_CF_SEC_New_27-Feb-2024Rev3.xlsx]D-PRBDP'!</v>
      </c>
      <c r="G1815" s="32" t="s">
        <v>38</v>
      </c>
      <c r="H1815" s="33"/>
      <c r="I1815" s="33"/>
      <c r="J1815" s="37"/>
    </row>
    <row r="1816" spans="1:10" x14ac:dyDescent="0.25">
      <c r="A1816" s="32" t="s">
        <v>99</v>
      </c>
      <c r="B1816" s="32">
        <f t="shared" si="442"/>
        <v>2051</v>
      </c>
      <c r="C1816" s="33" t="s">
        <v>17</v>
      </c>
      <c r="D1816" s="34" t="s">
        <v>1999</v>
      </c>
      <c r="E1816" s="35" t="str">
        <f t="shared" si="440"/>
        <v>PRBDP'!</v>
      </c>
      <c r="F1816" s="34" t="str">
        <f t="shared" si="441"/>
        <v>C:\Users\jaime.benazar\Quorum Business Solutions\Ecopetrol Prometeo - Documents\Planning Space Implementation\3. Analysis &amp; Design\Design\FC22\DRR Jaime\QUIFA-CAJÚA\Cajua\[CAJUA_CF_SEC_New_27-Feb-2024Rev3.xlsx]D-PRBDP'!</v>
      </c>
      <c r="G1816" s="32" t="s">
        <v>38</v>
      </c>
      <c r="H1816" s="33"/>
      <c r="I1816" s="33"/>
      <c r="J1816" s="37"/>
    </row>
    <row r="1817" spans="1:10" x14ac:dyDescent="0.25">
      <c r="A1817" s="32" t="s">
        <v>99</v>
      </c>
      <c r="B1817" s="32">
        <f t="shared" si="442"/>
        <v>2052</v>
      </c>
      <c r="C1817" s="33" t="s">
        <v>17</v>
      </c>
      <c r="D1817" s="34" t="s">
        <v>1999</v>
      </c>
      <c r="E1817" s="35" t="str">
        <f t="shared" si="440"/>
        <v>PRBDP'!</v>
      </c>
      <c r="F1817" s="34" t="str">
        <f t="shared" si="441"/>
        <v>C:\Users\jaime.benazar\Quorum Business Solutions\Ecopetrol Prometeo - Documents\Planning Space Implementation\3. Analysis &amp; Design\Design\FC22\DRR Jaime\QUIFA-CAJÚA\Cajua\[CAJUA_CF_SEC_New_27-Feb-2024Rev3.xlsx]D-PRBDP'!</v>
      </c>
      <c r="G1817" s="32" t="s">
        <v>38</v>
      </c>
      <c r="H1817" s="33"/>
      <c r="I1817" s="33"/>
      <c r="J1817" s="37"/>
    </row>
    <row r="1818" spans="1:10" x14ac:dyDescent="0.25">
      <c r="A1818" s="32" t="s">
        <v>99</v>
      </c>
      <c r="B1818" s="32">
        <f t="shared" si="442"/>
        <v>2053</v>
      </c>
      <c r="C1818" s="33" t="s">
        <v>17</v>
      </c>
      <c r="D1818" s="34" t="s">
        <v>1999</v>
      </c>
      <c r="E1818" s="35" t="str">
        <f t="shared" si="440"/>
        <v>PRBDP'!</v>
      </c>
      <c r="F1818" s="34" t="str">
        <f t="shared" si="441"/>
        <v>C:\Users\jaime.benazar\Quorum Business Solutions\Ecopetrol Prometeo - Documents\Planning Space Implementation\3. Analysis &amp; Design\Design\FC22\DRR Jaime\QUIFA-CAJÚA\Cajua\[CAJUA_CF_SEC_New_27-Feb-2024Rev3.xlsx]D-PRBDP'!</v>
      </c>
      <c r="G1818" s="32" t="s">
        <v>38</v>
      </c>
      <c r="H1818" s="33"/>
      <c r="I1818" s="33"/>
      <c r="J1818" s="37"/>
    </row>
    <row r="1819" spans="1:10" x14ac:dyDescent="0.25">
      <c r="A1819" s="32" t="s">
        <v>99</v>
      </c>
      <c r="B1819" s="32">
        <f t="shared" si="442"/>
        <v>2054</v>
      </c>
      <c r="C1819" s="33" t="s">
        <v>17</v>
      </c>
      <c r="D1819" s="34" t="s">
        <v>1999</v>
      </c>
      <c r="E1819" s="35" t="str">
        <f t="shared" si="440"/>
        <v>PRBDP'!</v>
      </c>
      <c r="F1819" s="34" t="str">
        <f t="shared" si="441"/>
        <v>C:\Users\jaime.benazar\Quorum Business Solutions\Ecopetrol Prometeo - Documents\Planning Space Implementation\3. Analysis &amp; Design\Design\FC22\DRR Jaime\QUIFA-CAJÚA\Cajua\[CAJUA_CF_SEC_New_27-Feb-2024Rev3.xlsx]D-PRBDP'!</v>
      </c>
      <c r="G1819" s="32" t="s">
        <v>38</v>
      </c>
      <c r="H1819" s="33"/>
      <c r="I1819" s="33"/>
      <c r="J1819" s="37"/>
    </row>
    <row r="1820" spans="1:10" x14ac:dyDescent="0.25">
      <c r="A1820" s="32" t="s">
        <v>99</v>
      </c>
      <c r="B1820" s="32">
        <f t="shared" si="442"/>
        <v>2055</v>
      </c>
      <c r="C1820" s="33" t="s">
        <v>17</v>
      </c>
      <c r="D1820" s="34" t="s">
        <v>1999</v>
      </c>
      <c r="E1820" s="35" t="str">
        <f t="shared" si="440"/>
        <v>PRBDP'!</v>
      </c>
      <c r="F1820" s="34" t="str">
        <f t="shared" si="441"/>
        <v>C:\Users\jaime.benazar\Quorum Business Solutions\Ecopetrol Prometeo - Documents\Planning Space Implementation\3. Analysis &amp; Design\Design\FC22\DRR Jaime\QUIFA-CAJÚA\Cajua\[CAJUA_CF_SEC_New_27-Feb-2024Rev3.xlsx]D-PRBDP'!</v>
      </c>
      <c r="G1820" s="32" t="s">
        <v>38</v>
      </c>
      <c r="H1820" s="33"/>
      <c r="I1820" s="33"/>
      <c r="J1820" s="37"/>
    </row>
    <row r="1821" spans="1:10" x14ac:dyDescent="0.25">
      <c r="A1821" s="32" t="s">
        <v>99</v>
      </c>
      <c r="B1821" s="32">
        <f t="shared" si="442"/>
        <v>2056</v>
      </c>
      <c r="C1821" s="33" t="s">
        <v>17</v>
      </c>
      <c r="D1821" s="34" t="s">
        <v>1999</v>
      </c>
      <c r="E1821" s="35" t="str">
        <f t="shared" si="440"/>
        <v>PRBDP'!</v>
      </c>
      <c r="F1821" s="34" t="str">
        <f t="shared" si="441"/>
        <v>C:\Users\jaime.benazar\Quorum Business Solutions\Ecopetrol Prometeo - Documents\Planning Space Implementation\3. Analysis &amp; Design\Design\FC22\DRR Jaime\QUIFA-CAJÚA\Cajua\[CAJUA_CF_SEC_New_27-Feb-2024Rev3.xlsx]D-PRBDP'!</v>
      </c>
      <c r="G1821" s="32" t="s">
        <v>38</v>
      </c>
      <c r="H1821" s="33"/>
      <c r="I1821" s="33"/>
      <c r="J1821" s="37"/>
    </row>
    <row r="1822" spans="1:10" x14ac:dyDescent="0.25">
      <c r="A1822" s="32" t="s">
        <v>99</v>
      </c>
      <c r="B1822" s="32">
        <f t="shared" si="442"/>
        <v>2057</v>
      </c>
      <c r="C1822" s="33" t="s">
        <v>17</v>
      </c>
      <c r="D1822" s="34" t="s">
        <v>1999</v>
      </c>
      <c r="E1822" s="35" t="str">
        <f t="shared" si="440"/>
        <v>PRBDP'!</v>
      </c>
      <c r="F1822" s="34" t="str">
        <f t="shared" si="441"/>
        <v>C:\Users\jaime.benazar\Quorum Business Solutions\Ecopetrol Prometeo - Documents\Planning Space Implementation\3. Analysis &amp; Design\Design\FC22\DRR Jaime\QUIFA-CAJÚA\Cajua\[CAJUA_CF_SEC_New_27-Feb-2024Rev3.xlsx]D-PRBDP'!</v>
      </c>
      <c r="G1822" s="32" t="s">
        <v>38</v>
      </c>
      <c r="H1822" s="33"/>
      <c r="I1822" s="33"/>
      <c r="J1822" s="37"/>
    </row>
    <row r="1823" spans="1:10" x14ac:dyDescent="0.25">
      <c r="A1823" s="32" t="s">
        <v>99</v>
      </c>
      <c r="B1823" s="32">
        <f t="shared" si="442"/>
        <v>2058</v>
      </c>
      <c r="C1823" s="33" t="s">
        <v>17</v>
      </c>
      <c r="D1823" s="34" t="s">
        <v>1999</v>
      </c>
      <c r="E1823" s="35" t="str">
        <f t="shared" si="440"/>
        <v>PRBDP'!</v>
      </c>
      <c r="F1823" s="34" t="str">
        <f t="shared" si="441"/>
        <v>C:\Users\jaime.benazar\Quorum Business Solutions\Ecopetrol Prometeo - Documents\Planning Space Implementation\3. Analysis &amp; Design\Design\FC22\DRR Jaime\QUIFA-CAJÚA\Cajua\[CAJUA_CF_SEC_New_27-Feb-2024Rev3.xlsx]D-PRBDP'!</v>
      </c>
      <c r="G1823" s="32" t="s">
        <v>38</v>
      </c>
      <c r="H1823" s="33"/>
      <c r="I1823" s="33"/>
      <c r="J1823" s="37"/>
    </row>
    <row r="1824" spans="1:10" x14ac:dyDescent="0.25">
      <c r="A1824" s="32" t="s">
        <v>99</v>
      </c>
      <c r="B1824" s="32">
        <f t="shared" si="442"/>
        <v>2059</v>
      </c>
      <c r="C1824" s="33" t="s">
        <v>17</v>
      </c>
      <c r="D1824" s="34" t="s">
        <v>1999</v>
      </c>
      <c r="E1824" s="35" t="str">
        <f t="shared" si="440"/>
        <v>PRBDP'!</v>
      </c>
      <c r="F1824" s="34" t="str">
        <f t="shared" si="441"/>
        <v>C:\Users\jaime.benazar\Quorum Business Solutions\Ecopetrol Prometeo - Documents\Planning Space Implementation\3. Analysis &amp; Design\Design\FC22\DRR Jaime\QUIFA-CAJÚA\Cajua\[CAJUA_CF_SEC_New_27-Feb-2024Rev3.xlsx]D-PRBDP'!</v>
      </c>
      <c r="G1824" s="32" t="s">
        <v>38</v>
      </c>
      <c r="H1824" s="33"/>
      <c r="I1824" s="33"/>
      <c r="J1824" s="37"/>
    </row>
    <row r="1825" spans="1:10" x14ac:dyDescent="0.25">
      <c r="A1825" s="32" t="s">
        <v>28</v>
      </c>
      <c r="B1825" s="32"/>
      <c r="C1825" s="33" t="s">
        <v>17</v>
      </c>
      <c r="D1825" s="34"/>
      <c r="E1825" s="35"/>
      <c r="F1825" s="34"/>
      <c r="G1825" s="32"/>
      <c r="H1825" s="33"/>
      <c r="I1825" s="33"/>
      <c r="J1825" s="33"/>
    </row>
    <row r="1826" spans="1:10" x14ac:dyDescent="0.25">
      <c r="A1826" s="32" t="s">
        <v>100</v>
      </c>
      <c r="B1826" s="32">
        <v>2023</v>
      </c>
      <c r="C1826" s="33" t="s">
        <v>17</v>
      </c>
      <c r="D1826" s="34" t="s">
        <v>1999</v>
      </c>
      <c r="E1826" s="35" t="str">
        <f t="shared" ref="E1826:E1846" si="443">_xlfn.CONCAT(A1826,"'!")</f>
        <v>PRBNP'!</v>
      </c>
      <c r="F1826" s="34" t="str">
        <f t="shared" ref="F1826:F1846" si="444">_xlfn.CONCAT(D1826:E1826)</f>
        <v>C:\Users\jaime.benazar\Quorum Business Solutions\Ecopetrol Prometeo - Documents\Planning Space Implementation\3. Analysis &amp; Design\Design\FC22\DRR Jaime\QUIFA-CAJÚA\Cajua\[CAJUA_CF_SEC_New_27-Feb-2024Rev3.xlsx]D-PRBNP'!</v>
      </c>
      <c r="G1826" s="32" t="s">
        <v>38</v>
      </c>
      <c r="H1826" s="33"/>
      <c r="I1826" s="33"/>
      <c r="J1826" s="37"/>
    </row>
    <row r="1827" spans="1:10" x14ac:dyDescent="0.25">
      <c r="A1827" s="32" t="s">
        <v>100</v>
      </c>
      <c r="B1827" s="32">
        <f>+B1826+1</f>
        <v>2024</v>
      </c>
      <c r="C1827" s="33" t="s">
        <v>17</v>
      </c>
      <c r="D1827" s="34" t="s">
        <v>1999</v>
      </c>
      <c r="E1827" s="35" t="str">
        <f t="shared" si="443"/>
        <v>PRBNP'!</v>
      </c>
      <c r="F1827" s="34" t="str">
        <f t="shared" si="444"/>
        <v>C:\Users\jaime.benazar\Quorum Business Solutions\Ecopetrol Prometeo - Documents\Planning Space Implementation\3. Analysis &amp; Design\Design\FC22\DRR Jaime\QUIFA-CAJÚA\Cajua\[CAJUA_CF_SEC_New_27-Feb-2024Rev3.xlsx]D-PRBNP'!</v>
      </c>
      <c r="G1827" s="32" t="s">
        <v>38</v>
      </c>
      <c r="H1827" s="33"/>
      <c r="I1827" s="33"/>
      <c r="J1827" s="37"/>
    </row>
    <row r="1828" spans="1:10" x14ac:dyDescent="0.25">
      <c r="A1828" s="32" t="s">
        <v>100</v>
      </c>
      <c r="B1828" s="32">
        <f t="shared" ref="B1828:B1839" si="445">+B1827+1</f>
        <v>2025</v>
      </c>
      <c r="C1828" s="33" t="s">
        <v>17</v>
      </c>
      <c r="D1828" s="34" t="s">
        <v>1999</v>
      </c>
      <c r="E1828" s="35" t="str">
        <f t="shared" si="443"/>
        <v>PRBNP'!</v>
      </c>
      <c r="F1828" s="34" t="str">
        <f t="shared" si="444"/>
        <v>C:\Users\jaime.benazar\Quorum Business Solutions\Ecopetrol Prometeo - Documents\Planning Space Implementation\3. Analysis &amp; Design\Design\FC22\DRR Jaime\QUIFA-CAJÚA\Cajua\[CAJUA_CF_SEC_New_27-Feb-2024Rev3.xlsx]D-PRBNP'!</v>
      </c>
      <c r="G1828" s="32" t="s">
        <v>38</v>
      </c>
      <c r="H1828" s="33"/>
      <c r="I1828" s="33"/>
      <c r="J1828" s="37"/>
    </row>
    <row r="1829" spans="1:10" x14ac:dyDescent="0.25">
      <c r="A1829" s="32" t="s">
        <v>100</v>
      </c>
      <c r="B1829" s="32">
        <f t="shared" si="445"/>
        <v>2026</v>
      </c>
      <c r="C1829" s="33" t="s">
        <v>17</v>
      </c>
      <c r="D1829" s="34" t="s">
        <v>1999</v>
      </c>
      <c r="E1829" s="35" t="str">
        <f t="shared" si="443"/>
        <v>PRBNP'!</v>
      </c>
      <c r="F1829" s="34" t="str">
        <f t="shared" si="444"/>
        <v>C:\Users\jaime.benazar\Quorum Business Solutions\Ecopetrol Prometeo - Documents\Planning Space Implementation\3. Analysis &amp; Design\Design\FC22\DRR Jaime\QUIFA-CAJÚA\Cajua\[CAJUA_CF_SEC_New_27-Feb-2024Rev3.xlsx]D-PRBNP'!</v>
      </c>
      <c r="G1829" s="32" t="s">
        <v>38</v>
      </c>
      <c r="H1829" s="33"/>
      <c r="I1829" s="33"/>
      <c r="J1829" s="37"/>
    </row>
    <row r="1830" spans="1:10" x14ac:dyDescent="0.25">
      <c r="A1830" s="32" t="s">
        <v>100</v>
      </c>
      <c r="B1830" s="32">
        <f t="shared" si="445"/>
        <v>2027</v>
      </c>
      <c r="C1830" s="33" t="s">
        <v>17</v>
      </c>
      <c r="D1830" s="34" t="s">
        <v>1999</v>
      </c>
      <c r="E1830" s="35" t="str">
        <f t="shared" si="443"/>
        <v>PRBNP'!</v>
      </c>
      <c r="F1830" s="34" t="str">
        <f t="shared" si="444"/>
        <v>C:\Users\jaime.benazar\Quorum Business Solutions\Ecopetrol Prometeo - Documents\Planning Space Implementation\3. Analysis &amp; Design\Design\FC22\DRR Jaime\QUIFA-CAJÚA\Cajua\[CAJUA_CF_SEC_New_27-Feb-2024Rev3.xlsx]D-PRBNP'!</v>
      </c>
      <c r="G1830" s="32" t="s">
        <v>38</v>
      </c>
      <c r="H1830" s="33"/>
      <c r="I1830" s="33"/>
      <c r="J1830" s="37"/>
    </row>
    <row r="1831" spans="1:10" x14ac:dyDescent="0.25">
      <c r="A1831" s="32" t="s">
        <v>100</v>
      </c>
      <c r="B1831" s="32">
        <f t="shared" si="445"/>
        <v>2028</v>
      </c>
      <c r="C1831" s="33" t="s">
        <v>17</v>
      </c>
      <c r="D1831" s="34" t="s">
        <v>1999</v>
      </c>
      <c r="E1831" s="35" t="str">
        <f t="shared" si="443"/>
        <v>PRBNP'!</v>
      </c>
      <c r="F1831" s="34" t="str">
        <f t="shared" si="444"/>
        <v>C:\Users\jaime.benazar\Quorum Business Solutions\Ecopetrol Prometeo - Documents\Planning Space Implementation\3. Analysis &amp; Design\Design\FC22\DRR Jaime\QUIFA-CAJÚA\Cajua\[CAJUA_CF_SEC_New_27-Feb-2024Rev3.xlsx]D-PRBNP'!</v>
      </c>
      <c r="G1831" s="32" t="s">
        <v>38</v>
      </c>
      <c r="H1831" s="33"/>
      <c r="I1831" s="33"/>
      <c r="J1831" s="37"/>
    </row>
    <row r="1832" spans="1:10" x14ac:dyDescent="0.25">
      <c r="A1832" s="32" t="s">
        <v>100</v>
      </c>
      <c r="B1832" s="32">
        <f t="shared" si="445"/>
        <v>2029</v>
      </c>
      <c r="C1832" s="33" t="s">
        <v>17</v>
      </c>
      <c r="D1832" s="34" t="s">
        <v>1999</v>
      </c>
      <c r="E1832" s="35" t="str">
        <f t="shared" si="443"/>
        <v>PRBNP'!</v>
      </c>
      <c r="F1832" s="34" t="str">
        <f t="shared" si="444"/>
        <v>C:\Users\jaime.benazar\Quorum Business Solutions\Ecopetrol Prometeo - Documents\Planning Space Implementation\3. Analysis &amp; Design\Design\FC22\DRR Jaime\QUIFA-CAJÚA\Cajua\[CAJUA_CF_SEC_New_27-Feb-2024Rev3.xlsx]D-PRBNP'!</v>
      </c>
      <c r="G1832" s="32" t="s">
        <v>38</v>
      </c>
      <c r="H1832" s="33"/>
      <c r="I1832" s="33"/>
      <c r="J1832" s="37"/>
    </row>
    <row r="1833" spans="1:10" x14ac:dyDescent="0.25">
      <c r="A1833" s="32" t="s">
        <v>100</v>
      </c>
      <c r="B1833" s="32">
        <f t="shared" si="445"/>
        <v>2030</v>
      </c>
      <c r="C1833" s="33" t="s">
        <v>17</v>
      </c>
      <c r="D1833" s="34" t="s">
        <v>1999</v>
      </c>
      <c r="E1833" s="35" t="str">
        <f t="shared" si="443"/>
        <v>PRBNP'!</v>
      </c>
      <c r="F1833" s="34" t="str">
        <f t="shared" si="444"/>
        <v>C:\Users\jaime.benazar\Quorum Business Solutions\Ecopetrol Prometeo - Documents\Planning Space Implementation\3. Analysis &amp; Design\Design\FC22\DRR Jaime\QUIFA-CAJÚA\Cajua\[CAJUA_CF_SEC_New_27-Feb-2024Rev3.xlsx]D-PRBNP'!</v>
      </c>
      <c r="G1833" s="32" t="s">
        <v>38</v>
      </c>
      <c r="H1833" s="33"/>
      <c r="I1833" s="33"/>
      <c r="J1833" s="37"/>
    </row>
    <row r="1834" spans="1:10" x14ac:dyDescent="0.25">
      <c r="A1834" s="32" t="s">
        <v>100</v>
      </c>
      <c r="B1834" s="32">
        <f t="shared" si="445"/>
        <v>2031</v>
      </c>
      <c r="C1834" s="33" t="s">
        <v>17</v>
      </c>
      <c r="D1834" s="34" t="s">
        <v>1999</v>
      </c>
      <c r="E1834" s="35" t="str">
        <f t="shared" si="443"/>
        <v>PRBNP'!</v>
      </c>
      <c r="F1834" s="34" t="str">
        <f t="shared" si="444"/>
        <v>C:\Users\jaime.benazar\Quorum Business Solutions\Ecopetrol Prometeo - Documents\Planning Space Implementation\3. Analysis &amp; Design\Design\FC22\DRR Jaime\QUIFA-CAJÚA\Cajua\[CAJUA_CF_SEC_New_27-Feb-2024Rev3.xlsx]D-PRBNP'!</v>
      </c>
      <c r="G1834" s="32" t="s">
        <v>38</v>
      </c>
      <c r="H1834" s="33"/>
      <c r="I1834" s="33"/>
      <c r="J1834" s="37"/>
    </row>
    <row r="1835" spans="1:10" x14ac:dyDescent="0.25">
      <c r="A1835" s="32" t="s">
        <v>100</v>
      </c>
      <c r="B1835" s="32">
        <f t="shared" si="445"/>
        <v>2032</v>
      </c>
      <c r="C1835" s="33" t="s">
        <v>17</v>
      </c>
      <c r="D1835" s="34" t="s">
        <v>1999</v>
      </c>
      <c r="E1835" s="35" t="str">
        <f t="shared" si="443"/>
        <v>PRBNP'!</v>
      </c>
      <c r="F1835" s="34" t="str">
        <f t="shared" si="444"/>
        <v>C:\Users\jaime.benazar\Quorum Business Solutions\Ecopetrol Prometeo - Documents\Planning Space Implementation\3. Analysis &amp; Design\Design\FC22\DRR Jaime\QUIFA-CAJÚA\Cajua\[CAJUA_CF_SEC_New_27-Feb-2024Rev3.xlsx]D-PRBNP'!</v>
      </c>
      <c r="G1835" s="32" t="s">
        <v>38</v>
      </c>
      <c r="H1835" s="33"/>
      <c r="I1835" s="33"/>
      <c r="J1835" s="37"/>
    </row>
    <row r="1836" spans="1:10" x14ac:dyDescent="0.25">
      <c r="A1836" s="32" t="s">
        <v>100</v>
      </c>
      <c r="B1836" s="32">
        <f t="shared" si="445"/>
        <v>2033</v>
      </c>
      <c r="C1836" s="33" t="s">
        <v>17</v>
      </c>
      <c r="D1836" s="34" t="s">
        <v>1999</v>
      </c>
      <c r="E1836" s="35" t="str">
        <f t="shared" si="443"/>
        <v>PRBNP'!</v>
      </c>
      <c r="F1836" s="34" t="str">
        <f t="shared" si="444"/>
        <v>C:\Users\jaime.benazar\Quorum Business Solutions\Ecopetrol Prometeo - Documents\Planning Space Implementation\3. Analysis &amp; Design\Design\FC22\DRR Jaime\QUIFA-CAJÚA\Cajua\[CAJUA_CF_SEC_New_27-Feb-2024Rev3.xlsx]D-PRBNP'!</v>
      </c>
      <c r="G1836" s="32" t="s">
        <v>38</v>
      </c>
      <c r="H1836" s="33"/>
      <c r="I1836" s="33"/>
      <c r="J1836" s="37"/>
    </row>
    <row r="1837" spans="1:10" x14ac:dyDescent="0.25">
      <c r="A1837" s="32" t="s">
        <v>100</v>
      </c>
      <c r="B1837" s="32">
        <f t="shared" si="445"/>
        <v>2034</v>
      </c>
      <c r="C1837" s="33" t="s">
        <v>17</v>
      </c>
      <c r="D1837" s="34" t="s">
        <v>1999</v>
      </c>
      <c r="E1837" s="35" t="str">
        <f t="shared" si="443"/>
        <v>PRBNP'!</v>
      </c>
      <c r="F1837" s="34" t="str">
        <f t="shared" si="444"/>
        <v>C:\Users\jaime.benazar\Quorum Business Solutions\Ecopetrol Prometeo - Documents\Planning Space Implementation\3. Analysis &amp; Design\Design\FC22\DRR Jaime\QUIFA-CAJÚA\Cajua\[CAJUA_CF_SEC_New_27-Feb-2024Rev3.xlsx]D-PRBNP'!</v>
      </c>
      <c r="G1837" s="32" t="s">
        <v>38</v>
      </c>
      <c r="H1837" s="33"/>
      <c r="I1837" s="33"/>
      <c r="J1837" s="37"/>
    </row>
    <row r="1838" spans="1:10" x14ac:dyDescent="0.25">
      <c r="A1838" s="32" t="s">
        <v>100</v>
      </c>
      <c r="B1838" s="32">
        <f t="shared" si="445"/>
        <v>2035</v>
      </c>
      <c r="C1838" s="33" t="s">
        <v>17</v>
      </c>
      <c r="D1838" s="34" t="s">
        <v>1999</v>
      </c>
      <c r="E1838" s="35" t="str">
        <f t="shared" si="443"/>
        <v>PRBNP'!</v>
      </c>
      <c r="F1838" s="34" t="str">
        <f t="shared" si="444"/>
        <v>C:\Users\jaime.benazar\Quorum Business Solutions\Ecopetrol Prometeo - Documents\Planning Space Implementation\3. Analysis &amp; Design\Design\FC22\DRR Jaime\QUIFA-CAJÚA\Cajua\[CAJUA_CF_SEC_New_27-Feb-2024Rev3.xlsx]D-PRBNP'!</v>
      </c>
      <c r="G1838" s="32" t="s">
        <v>38</v>
      </c>
      <c r="H1838" s="33"/>
      <c r="I1838" s="33"/>
      <c r="J1838" s="37"/>
    </row>
    <row r="1839" spans="1:10" x14ac:dyDescent="0.25">
      <c r="A1839" s="32" t="s">
        <v>100</v>
      </c>
      <c r="B1839" s="32">
        <f t="shared" si="445"/>
        <v>2036</v>
      </c>
      <c r="C1839" s="33" t="s">
        <v>17</v>
      </c>
      <c r="D1839" s="34" t="s">
        <v>1999</v>
      </c>
      <c r="E1839" s="35" t="str">
        <f t="shared" si="443"/>
        <v>PRBNP'!</v>
      </c>
      <c r="F1839" s="34" t="str">
        <f t="shared" si="444"/>
        <v>C:\Users\jaime.benazar\Quorum Business Solutions\Ecopetrol Prometeo - Documents\Planning Space Implementation\3. Analysis &amp; Design\Design\FC22\DRR Jaime\QUIFA-CAJÚA\Cajua\[CAJUA_CF_SEC_New_27-Feb-2024Rev3.xlsx]D-PRBNP'!</v>
      </c>
      <c r="G1839" s="32" t="s">
        <v>38</v>
      </c>
      <c r="H1839" s="33"/>
      <c r="I1839" s="33"/>
      <c r="J1839" s="37"/>
    </row>
    <row r="1840" spans="1:10" x14ac:dyDescent="0.25">
      <c r="A1840" s="32" t="s">
        <v>100</v>
      </c>
      <c r="B1840" s="32">
        <f>+B1839+1</f>
        <v>2037</v>
      </c>
      <c r="C1840" s="33" t="s">
        <v>17</v>
      </c>
      <c r="D1840" s="34" t="s">
        <v>1999</v>
      </c>
      <c r="E1840" s="35" t="str">
        <f t="shared" si="443"/>
        <v>PRBNP'!</v>
      </c>
      <c r="F1840" s="34" t="str">
        <f t="shared" si="444"/>
        <v>C:\Users\jaime.benazar\Quorum Business Solutions\Ecopetrol Prometeo - Documents\Planning Space Implementation\3. Analysis &amp; Design\Design\FC22\DRR Jaime\QUIFA-CAJÚA\Cajua\[CAJUA_CF_SEC_New_27-Feb-2024Rev3.xlsx]D-PRBNP'!</v>
      </c>
      <c r="G1840" s="32" t="s">
        <v>38</v>
      </c>
      <c r="H1840" s="33"/>
      <c r="I1840" s="33"/>
      <c r="J1840" s="37"/>
    </row>
    <row r="1841" spans="1:10" x14ac:dyDescent="0.25">
      <c r="A1841" s="32" t="s">
        <v>100</v>
      </c>
      <c r="B1841" s="32">
        <f t="shared" ref="B1841:B1843" si="446">+B1840+1</f>
        <v>2038</v>
      </c>
      <c r="C1841" s="33" t="s">
        <v>17</v>
      </c>
      <c r="D1841" s="34" t="s">
        <v>1999</v>
      </c>
      <c r="E1841" s="35" t="str">
        <f t="shared" si="443"/>
        <v>PRBNP'!</v>
      </c>
      <c r="F1841" s="34" t="str">
        <f t="shared" si="444"/>
        <v>C:\Users\jaime.benazar\Quorum Business Solutions\Ecopetrol Prometeo - Documents\Planning Space Implementation\3. Analysis &amp; Design\Design\FC22\DRR Jaime\QUIFA-CAJÚA\Cajua\[CAJUA_CF_SEC_New_27-Feb-2024Rev3.xlsx]D-PRBNP'!</v>
      </c>
      <c r="G1841" s="32" t="s">
        <v>38</v>
      </c>
      <c r="H1841" s="33"/>
      <c r="I1841" s="33"/>
      <c r="J1841" s="37"/>
    </row>
    <row r="1842" spans="1:10" x14ac:dyDescent="0.25">
      <c r="A1842" s="32" t="s">
        <v>100</v>
      </c>
      <c r="B1842" s="32">
        <f t="shared" si="446"/>
        <v>2039</v>
      </c>
      <c r="C1842" s="33" t="s">
        <v>17</v>
      </c>
      <c r="D1842" s="34" t="s">
        <v>1999</v>
      </c>
      <c r="E1842" s="35" t="str">
        <f t="shared" si="443"/>
        <v>PRBNP'!</v>
      </c>
      <c r="F1842" s="34" t="str">
        <f t="shared" si="444"/>
        <v>C:\Users\jaime.benazar\Quorum Business Solutions\Ecopetrol Prometeo - Documents\Planning Space Implementation\3. Analysis &amp; Design\Design\FC22\DRR Jaime\QUIFA-CAJÚA\Cajua\[CAJUA_CF_SEC_New_27-Feb-2024Rev3.xlsx]D-PRBNP'!</v>
      </c>
      <c r="G1842" s="32" t="s">
        <v>38</v>
      </c>
      <c r="H1842" s="33"/>
      <c r="I1842" s="33"/>
      <c r="J1842" s="37"/>
    </row>
    <row r="1843" spans="1:10" x14ac:dyDescent="0.25">
      <c r="A1843" s="32" t="s">
        <v>100</v>
      </c>
      <c r="B1843" s="32">
        <f t="shared" si="446"/>
        <v>2040</v>
      </c>
      <c r="C1843" s="33" t="s">
        <v>17</v>
      </c>
      <c r="D1843" s="34" t="s">
        <v>1999</v>
      </c>
      <c r="E1843" s="35" t="str">
        <f t="shared" si="443"/>
        <v>PRBNP'!</v>
      </c>
      <c r="F1843" s="34" t="str">
        <f t="shared" si="444"/>
        <v>C:\Users\jaime.benazar\Quorum Business Solutions\Ecopetrol Prometeo - Documents\Planning Space Implementation\3. Analysis &amp; Design\Design\FC22\DRR Jaime\QUIFA-CAJÚA\Cajua\[CAJUA_CF_SEC_New_27-Feb-2024Rev3.xlsx]D-PRBNP'!</v>
      </c>
      <c r="G1843" s="32" t="s">
        <v>38</v>
      </c>
      <c r="H1843" s="33"/>
      <c r="I1843" s="33"/>
      <c r="J1843" s="37"/>
    </row>
    <row r="1844" spans="1:10" x14ac:dyDescent="0.25">
      <c r="A1844" s="32" t="s">
        <v>100</v>
      </c>
      <c r="B1844" s="32">
        <f>+B1843+1</f>
        <v>2041</v>
      </c>
      <c r="C1844" s="33" t="s">
        <v>17</v>
      </c>
      <c r="D1844" s="34" t="s">
        <v>1999</v>
      </c>
      <c r="E1844" s="35" t="str">
        <f t="shared" si="443"/>
        <v>PRBNP'!</v>
      </c>
      <c r="F1844" s="34" t="str">
        <f t="shared" si="444"/>
        <v>C:\Users\jaime.benazar\Quorum Business Solutions\Ecopetrol Prometeo - Documents\Planning Space Implementation\3. Analysis &amp; Design\Design\FC22\DRR Jaime\QUIFA-CAJÚA\Cajua\[CAJUA_CF_SEC_New_27-Feb-2024Rev3.xlsx]D-PRBNP'!</v>
      </c>
      <c r="G1844" s="32" t="s">
        <v>38</v>
      </c>
      <c r="H1844" s="33"/>
      <c r="I1844" s="33"/>
      <c r="J1844" s="37"/>
    </row>
    <row r="1845" spans="1:10" x14ac:dyDescent="0.25">
      <c r="A1845" s="32" t="s">
        <v>100</v>
      </c>
      <c r="B1845" s="32">
        <f t="shared" ref="B1845:B1846" si="447">+B1844+1</f>
        <v>2042</v>
      </c>
      <c r="C1845" s="33" t="s">
        <v>17</v>
      </c>
      <c r="D1845" s="34" t="s">
        <v>1999</v>
      </c>
      <c r="E1845" s="35" t="str">
        <f t="shared" si="443"/>
        <v>PRBNP'!</v>
      </c>
      <c r="F1845" s="34" t="str">
        <f t="shared" si="444"/>
        <v>C:\Users\jaime.benazar\Quorum Business Solutions\Ecopetrol Prometeo - Documents\Planning Space Implementation\3. Analysis &amp; Design\Design\FC22\DRR Jaime\QUIFA-CAJÚA\Cajua\[CAJUA_CF_SEC_New_27-Feb-2024Rev3.xlsx]D-PRBNP'!</v>
      </c>
      <c r="G1845" s="32" t="s">
        <v>38</v>
      </c>
      <c r="H1845" s="33"/>
      <c r="I1845" s="33"/>
      <c r="J1845" s="37"/>
    </row>
    <row r="1846" spans="1:10" x14ac:dyDescent="0.25">
      <c r="A1846" s="32" t="s">
        <v>100</v>
      </c>
      <c r="B1846" s="32">
        <f t="shared" si="447"/>
        <v>2043</v>
      </c>
      <c r="C1846" s="33" t="s">
        <v>17</v>
      </c>
      <c r="D1846" s="34" t="s">
        <v>1999</v>
      </c>
      <c r="E1846" s="35" t="str">
        <f t="shared" si="443"/>
        <v>PRBNP'!</v>
      </c>
      <c r="F1846" s="34" t="str">
        <f t="shared" si="444"/>
        <v>C:\Users\jaime.benazar\Quorum Business Solutions\Ecopetrol Prometeo - Documents\Planning Space Implementation\3. Analysis &amp; Design\Design\FC22\DRR Jaime\QUIFA-CAJÚA\Cajua\[CAJUA_CF_SEC_New_27-Feb-2024Rev3.xlsx]D-PRBNP'!</v>
      </c>
      <c r="G1846" s="32" t="s">
        <v>38</v>
      </c>
      <c r="H1846" s="33"/>
      <c r="I1846" s="33"/>
      <c r="J1846" s="37"/>
    </row>
    <row r="1847" spans="1:10" x14ac:dyDescent="0.25">
      <c r="A1847" s="32" t="s">
        <v>100</v>
      </c>
      <c r="B1847" s="32">
        <f>+B1846+1</f>
        <v>2044</v>
      </c>
      <c r="C1847" s="33" t="s">
        <v>17</v>
      </c>
      <c r="D1847" s="34" t="s">
        <v>1999</v>
      </c>
      <c r="E1847" s="35" t="str">
        <f t="shared" ref="E1847:E1862" si="448">_xlfn.CONCAT(A1847,"'!")</f>
        <v>PRBNP'!</v>
      </c>
      <c r="F1847" s="34" t="str">
        <f t="shared" ref="F1847:F1862" si="449">_xlfn.CONCAT(D1847:E1847)</f>
        <v>C:\Users\jaime.benazar\Quorum Business Solutions\Ecopetrol Prometeo - Documents\Planning Space Implementation\3. Analysis &amp; Design\Design\FC22\DRR Jaime\QUIFA-CAJÚA\Cajua\[CAJUA_CF_SEC_New_27-Feb-2024Rev3.xlsx]D-PRBNP'!</v>
      </c>
      <c r="G1847" s="32" t="s">
        <v>38</v>
      </c>
      <c r="H1847" s="33"/>
      <c r="I1847" s="33"/>
      <c r="J1847" s="37"/>
    </row>
    <row r="1848" spans="1:10" x14ac:dyDescent="0.25">
      <c r="A1848" s="32" t="s">
        <v>100</v>
      </c>
      <c r="B1848" s="32">
        <f t="shared" ref="B1848:B1862" si="450">+B1847+1</f>
        <v>2045</v>
      </c>
      <c r="C1848" s="33" t="s">
        <v>17</v>
      </c>
      <c r="D1848" s="34" t="s">
        <v>1999</v>
      </c>
      <c r="E1848" s="35" t="str">
        <f t="shared" si="448"/>
        <v>PRBNP'!</v>
      </c>
      <c r="F1848" s="34" t="str">
        <f t="shared" si="449"/>
        <v>C:\Users\jaime.benazar\Quorum Business Solutions\Ecopetrol Prometeo - Documents\Planning Space Implementation\3. Analysis &amp; Design\Design\FC22\DRR Jaime\QUIFA-CAJÚA\Cajua\[CAJUA_CF_SEC_New_27-Feb-2024Rev3.xlsx]D-PRBNP'!</v>
      </c>
      <c r="G1848" s="32" t="s">
        <v>38</v>
      </c>
      <c r="H1848" s="33"/>
      <c r="I1848" s="33"/>
      <c r="J1848" s="37"/>
    </row>
    <row r="1849" spans="1:10" x14ac:dyDescent="0.25">
      <c r="A1849" s="32" t="s">
        <v>100</v>
      </c>
      <c r="B1849" s="32">
        <f t="shared" si="450"/>
        <v>2046</v>
      </c>
      <c r="C1849" s="33" t="s">
        <v>17</v>
      </c>
      <c r="D1849" s="34" t="s">
        <v>1999</v>
      </c>
      <c r="E1849" s="35" t="str">
        <f t="shared" si="448"/>
        <v>PRBNP'!</v>
      </c>
      <c r="F1849" s="34" t="str">
        <f t="shared" si="449"/>
        <v>C:\Users\jaime.benazar\Quorum Business Solutions\Ecopetrol Prometeo - Documents\Planning Space Implementation\3. Analysis &amp; Design\Design\FC22\DRR Jaime\QUIFA-CAJÚA\Cajua\[CAJUA_CF_SEC_New_27-Feb-2024Rev3.xlsx]D-PRBNP'!</v>
      </c>
      <c r="G1849" s="32" t="s">
        <v>38</v>
      </c>
      <c r="H1849" s="33"/>
      <c r="I1849" s="33"/>
      <c r="J1849" s="37"/>
    </row>
    <row r="1850" spans="1:10" x14ac:dyDescent="0.25">
      <c r="A1850" s="32" t="s">
        <v>100</v>
      </c>
      <c r="B1850" s="32">
        <f t="shared" si="450"/>
        <v>2047</v>
      </c>
      <c r="C1850" s="33" t="s">
        <v>17</v>
      </c>
      <c r="D1850" s="34" t="s">
        <v>1999</v>
      </c>
      <c r="E1850" s="35" t="str">
        <f t="shared" si="448"/>
        <v>PRBNP'!</v>
      </c>
      <c r="F1850" s="34" t="str">
        <f t="shared" si="449"/>
        <v>C:\Users\jaime.benazar\Quorum Business Solutions\Ecopetrol Prometeo - Documents\Planning Space Implementation\3. Analysis &amp; Design\Design\FC22\DRR Jaime\QUIFA-CAJÚA\Cajua\[CAJUA_CF_SEC_New_27-Feb-2024Rev3.xlsx]D-PRBNP'!</v>
      </c>
      <c r="G1850" s="32" t="s">
        <v>38</v>
      </c>
      <c r="H1850" s="33"/>
      <c r="I1850" s="33"/>
      <c r="J1850" s="37"/>
    </row>
    <row r="1851" spans="1:10" x14ac:dyDescent="0.25">
      <c r="A1851" s="32" t="s">
        <v>100</v>
      </c>
      <c r="B1851" s="32">
        <f t="shared" si="450"/>
        <v>2048</v>
      </c>
      <c r="C1851" s="33" t="s">
        <v>17</v>
      </c>
      <c r="D1851" s="34" t="s">
        <v>1999</v>
      </c>
      <c r="E1851" s="35" t="str">
        <f t="shared" si="448"/>
        <v>PRBNP'!</v>
      </c>
      <c r="F1851" s="34" t="str">
        <f t="shared" si="449"/>
        <v>C:\Users\jaime.benazar\Quorum Business Solutions\Ecopetrol Prometeo - Documents\Planning Space Implementation\3. Analysis &amp; Design\Design\FC22\DRR Jaime\QUIFA-CAJÚA\Cajua\[CAJUA_CF_SEC_New_27-Feb-2024Rev3.xlsx]D-PRBNP'!</v>
      </c>
      <c r="G1851" s="32" t="s">
        <v>38</v>
      </c>
      <c r="H1851" s="33"/>
      <c r="I1851" s="33"/>
      <c r="J1851" s="37"/>
    </row>
    <row r="1852" spans="1:10" x14ac:dyDescent="0.25">
      <c r="A1852" s="32" t="s">
        <v>100</v>
      </c>
      <c r="B1852" s="32">
        <f t="shared" si="450"/>
        <v>2049</v>
      </c>
      <c r="C1852" s="33" t="s">
        <v>17</v>
      </c>
      <c r="D1852" s="34" t="s">
        <v>1999</v>
      </c>
      <c r="E1852" s="35" t="str">
        <f t="shared" si="448"/>
        <v>PRBNP'!</v>
      </c>
      <c r="F1852" s="34" t="str">
        <f t="shared" si="449"/>
        <v>C:\Users\jaime.benazar\Quorum Business Solutions\Ecopetrol Prometeo - Documents\Planning Space Implementation\3. Analysis &amp; Design\Design\FC22\DRR Jaime\QUIFA-CAJÚA\Cajua\[CAJUA_CF_SEC_New_27-Feb-2024Rev3.xlsx]D-PRBNP'!</v>
      </c>
      <c r="G1852" s="32" t="s">
        <v>38</v>
      </c>
      <c r="H1852" s="33"/>
      <c r="I1852" s="33"/>
      <c r="J1852" s="37"/>
    </row>
    <row r="1853" spans="1:10" x14ac:dyDescent="0.25">
      <c r="A1853" s="32" t="s">
        <v>100</v>
      </c>
      <c r="B1853" s="32">
        <f t="shared" si="450"/>
        <v>2050</v>
      </c>
      <c r="C1853" s="33" t="s">
        <v>17</v>
      </c>
      <c r="D1853" s="34" t="s">
        <v>1999</v>
      </c>
      <c r="E1853" s="35" t="str">
        <f t="shared" si="448"/>
        <v>PRBNP'!</v>
      </c>
      <c r="F1853" s="34" t="str">
        <f t="shared" si="449"/>
        <v>C:\Users\jaime.benazar\Quorum Business Solutions\Ecopetrol Prometeo - Documents\Planning Space Implementation\3. Analysis &amp; Design\Design\FC22\DRR Jaime\QUIFA-CAJÚA\Cajua\[CAJUA_CF_SEC_New_27-Feb-2024Rev3.xlsx]D-PRBNP'!</v>
      </c>
      <c r="G1853" s="32" t="s">
        <v>38</v>
      </c>
      <c r="H1853" s="33"/>
      <c r="I1853" s="33"/>
      <c r="J1853" s="37"/>
    </row>
    <row r="1854" spans="1:10" x14ac:dyDescent="0.25">
      <c r="A1854" s="32" t="s">
        <v>100</v>
      </c>
      <c r="B1854" s="32">
        <f t="shared" si="450"/>
        <v>2051</v>
      </c>
      <c r="C1854" s="33" t="s">
        <v>17</v>
      </c>
      <c r="D1854" s="34" t="s">
        <v>1999</v>
      </c>
      <c r="E1854" s="35" t="str">
        <f t="shared" si="448"/>
        <v>PRBNP'!</v>
      </c>
      <c r="F1854" s="34" t="str">
        <f t="shared" si="449"/>
        <v>C:\Users\jaime.benazar\Quorum Business Solutions\Ecopetrol Prometeo - Documents\Planning Space Implementation\3. Analysis &amp; Design\Design\FC22\DRR Jaime\QUIFA-CAJÚA\Cajua\[CAJUA_CF_SEC_New_27-Feb-2024Rev3.xlsx]D-PRBNP'!</v>
      </c>
      <c r="G1854" s="32" t="s">
        <v>38</v>
      </c>
      <c r="H1854" s="33"/>
      <c r="I1854" s="33"/>
      <c r="J1854" s="37"/>
    </row>
    <row r="1855" spans="1:10" x14ac:dyDescent="0.25">
      <c r="A1855" s="32" t="s">
        <v>100</v>
      </c>
      <c r="B1855" s="32">
        <f t="shared" si="450"/>
        <v>2052</v>
      </c>
      <c r="C1855" s="33" t="s">
        <v>17</v>
      </c>
      <c r="D1855" s="34" t="s">
        <v>1999</v>
      </c>
      <c r="E1855" s="35" t="str">
        <f t="shared" si="448"/>
        <v>PRBNP'!</v>
      </c>
      <c r="F1855" s="34" t="str">
        <f t="shared" si="449"/>
        <v>C:\Users\jaime.benazar\Quorum Business Solutions\Ecopetrol Prometeo - Documents\Planning Space Implementation\3. Analysis &amp; Design\Design\FC22\DRR Jaime\QUIFA-CAJÚA\Cajua\[CAJUA_CF_SEC_New_27-Feb-2024Rev3.xlsx]D-PRBNP'!</v>
      </c>
      <c r="G1855" s="32" t="s">
        <v>38</v>
      </c>
      <c r="H1855" s="33"/>
      <c r="I1855" s="33"/>
      <c r="J1855" s="37"/>
    </row>
    <row r="1856" spans="1:10" x14ac:dyDescent="0.25">
      <c r="A1856" s="32" t="s">
        <v>100</v>
      </c>
      <c r="B1856" s="32">
        <f t="shared" si="450"/>
        <v>2053</v>
      </c>
      <c r="C1856" s="33" t="s">
        <v>17</v>
      </c>
      <c r="D1856" s="34" t="s">
        <v>1999</v>
      </c>
      <c r="E1856" s="35" t="str">
        <f t="shared" si="448"/>
        <v>PRBNP'!</v>
      </c>
      <c r="F1856" s="34" t="str">
        <f t="shared" si="449"/>
        <v>C:\Users\jaime.benazar\Quorum Business Solutions\Ecopetrol Prometeo - Documents\Planning Space Implementation\3. Analysis &amp; Design\Design\FC22\DRR Jaime\QUIFA-CAJÚA\Cajua\[CAJUA_CF_SEC_New_27-Feb-2024Rev3.xlsx]D-PRBNP'!</v>
      </c>
      <c r="G1856" s="32" t="s">
        <v>38</v>
      </c>
      <c r="H1856" s="33"/>
      <c r="I1856" s="33"/>
      <c r="J1856" s="37"/>
    </row>
    <row r="1857" spans="1:10" x14ac:dyDescent="0.25">
      <c r="A1857" s="32" t="s">
        <v>100</v>
      </c>
      <c r="B1857" s="32">
        <f t="shared" si="450"/>
        <v>2054</v>
      </c>
      <c r="C1857" s="33" t="s">
        <v>17</v>
      </c>
      <c r="D1857" s="34" t="s">
        <v>1999</v>
      </c>
      <c r="E1857" s="35" t="str">
        <f t="shared" si="448"/>
        <v>PRBNP'!</v>
      </c>
      <c r="F1857" s="34" t="str">
        <f t="shared" si="449"/>
        <v>C:\Users\jaime.benazar\Quorum Business Solutions\Ecopetrol Prometeo - Documents\Planning Space Implementation\3. Analysis &amp; Design\Design\FC22\DRR Jaime\QUIFA-CAJÚA\Cajua\[CAJUA_CF_SEC_New_27-Feb-2024Rev3.xlsx]D-PRBNP'!</v>
      </c>
      <c r="G1857" s="32" t="s">
        <v>38</v>
      </c>
      <c r="H1857" s="33"/>
      <c r="I1857" s="33"/>
      <c r="J1857" s="37"/>
    </row>
    <row r="1858" spans="1:10" x14ac:dyDescent="0.25">
      <c r="A1858" s="32" t="s">
        <v>100</v>
      </c>
      <c r="B1858" s="32">
        <f t="shared" si="450"/>
        <v>2055</v>
      </c>
      <c r="C1858" s="33" t="s">
        <v>17</v>
      </c>
      <c r="D1858" s="34" t="s">
        <v>1999</v>
      </c>
      <c r="E1858" s="35" t="str">
        <f t="shared" si="448"/>
        <v>PRBNP'!</v>
      </c>
      <c r="F1858" s="34" t="str">
        <f t="shared" si="449"/>
        <v>C:\Users\jaime.benazar\Quorum Business Solutions\Ecopetrol Prometeo - Documents\Planning Space Implementation\3. Analysis &amp; Design\Design\FC22\DRR Jaime\QUIFA-CAJÚA\Cajua\[CAJUA_CF_SEC_New_27-Feb-2024Rev3.xlsx]D-PRBNP'!</v>
      </c>
      <c r="G1858" s="32" t="s">
        <v>38</v>
      </c>
      <c r="H1858" s="33"/>
      <c r="I1858" s="33"/>
      <c r="J1858" s="37"/>
    </row>
    <row r="1859" spans="1:10" x14ac:dyDescent="0.25">
      <c r="A1859" s="32" t="s">
        <v>100</v>
      </c>
      <c r="B1859" s="32">
        <f t="shared" si="450"/>
        <v>2056</v>
      </c>
      <c r="C1859" s="33" t="s">
        <v>17</v>
      </c>
      <c r="D1859" s="34" t="s">
        <v>1999</v>
      </c>
      <c r="E1859" s="35" t="str">
        <f t="shared" si="448"/>
        <v>PRBNP'!</v>
      </c>
      <c r="F1859" s="34" t="str">
        <f t="shared" si="449"/>
        <v>C:\Users\jaime.benazar\Quorum Business Solutions\Ecopetrol Prometeo - Documents\Planning Space Implementation\3. Analysis &amp; Design\Design\FC22\DRR Jaime\QUIFA-CAJÚA\Cajua\[CAJUA_CF_SEC_New_27-Feb-2024Rev3.xlsx]D-PRBNP'!</v>
      </c>
      <c r="G1859" s="32" t="s">
        <v>38</v>
      </c>
      <c r="H1859" s="33"/>
      <c r="I1859" s="33"/>
      <c r="J1859" s="37"/>
    </row>
    <row r="1860" spans="1:10" x14ac:dyDescent="0.25">
      <c r="A1860" s="32" t="s">
        <v>100</v>
      </c>
      <c r="B1860" s="32">
        <f t="shared" si="450"/>
        <v>2057</v>
      </c>
      <c r="C1860" s="33" t="s">
        <v>17</v>
      </c>
      <c r="D1860" s="34" t="s">
        <v>1999</v>
      </c>
      <c r="E1860" s="35" t="str">
        <f t="shared" si="448"/>
        <v>PRBNP'!</v>
      </c>
      <c r="F1860" s="34" t="str">
        <f t="shared" si="449"/>
        <v>C:\Users\jaime.benazar\Quorum Business Solutions\Ecopetrol Prometeo - Documents\Planning Space Implementation\3. Analysis &amp; Design\Design\FC22\DRR Jaime\QUIFA-CAJÚA\Cajua\[CAJUA_CF_SEC_New_27-Feb-2024Rev3.xlsx]D-PRBNP'!</v>
      </c>
      <c r="G1860" s="32" t="s">
        <v>38</v>
      </c>
      <c r="H1860" s="33"/>
      <c r="I1860" s="33"/>
      <c r="J1860" s="37"/>
    </row>
    <row r="1861" spans="1:10" x14ac:dyDescent="0.25">
      <c r="A1861" s="32" t="s">
        <v>100</v>
      </c>
      <c r="B1861" s="32">
        <f t="shared" si="450"/>
        <v>2058</v>
      </c>
      <c r="C1861" s="33" t="s">
        <v>17</v>
      </c>
      <c r="D1861" s="34" t="s">
        <v>1999</v>
      </c>
      <c r="E1861" s="35" t="str">
        <f t="shared" si="448"/>
        <v>PRBNP'!</v>
      </c>
      <c r="F1861" s="34" t="str">
        <f t="shared" si="449"/>
        <v>C:\Users\jaime.benazar\Quorum Business Solutions\Ecopetrol Prometeo - Documents\Planning Space Implementation\3. Analysis &amp; Design\Design\FC22\DRR Jaime\QUIFA-CAJÚA\Cajua\[CAJUA_CF_SEC_New_27-Feb-2024Rev3.xlsx]D-PRBNP'!</v>
      </c>
      <c r="G1861" s="32" t="s">
        <v>38</v>
      </c>
      <c r="H1861" s="33"/>
      <c r="I1861" s="33"/>
      <c r="J1861" s="37"/>
    </row>
    <row r="1862" spans="1:10" x14ac:dyDescent="0.25">
      <c r="A1862" s="32" t="s">
        <v>100</v>
      </c>
      <c r="B1862" s="32">
        <f t="shared" si="450"/>
        <v>2059</v>
      </c>
      <c r="C1862" s="33" t="s">
        <v>17</v>
      </c>
      <c r="D1862" s="34" t="s">
        <v>1999</v>
      </c>
      <c r="E1862" s="35" t="str">
        <f t="shared" si="448"/>
        <v>PRBNP'!</v>
      </c>
      <c r="F1862" s="34" t="str">
        <f t="shared" si="449"/>
        <v>C:\Users\jaime.benazar\Quorum Business Solutions\Ecopetrol Prometeo - Documents\Planning Space Implementation\3. Analysis &amp; Design\Design\FC22\DRR Jaime\QUIFA-CAJÚA\Cajua\[CAJUA_CF_SEC_New_27-Feb-2024Rev3.xlsx]D-PRBNP'!</v>
      </c>
      <c r="G1862" s="32" t="s">
        <v>38</v>
      </c>
      <c r="H1862" s="33"/>
      <c r="I1862" s="33"/>
      <c r="J1862" s="37"/>
    </row>
    <row r="1863" spans="1:10" x14ac:dyDescent="0.25">
      <c r="A1863" s="32" t="s">
        <v>28</v>
      </c>
      <c r="B1863" s="32"/>
      <c r="C1863" s="33" t="s">
        <v>17</v>
      </c>
      <c r="D1863" s="34"/>
      <c r="E1863" s="35"/>
      <c r="F1863" s="34"/>
      <c r="G1863" s="32"/>
      <c r="H1863" s="33"/>
      <c r="I1863" s="33"/>
      <c r="J1863" s="33"/>
    </row>
    <row r="1864" spans="1:10" x14ac:dyDescent="0.25">
      <c r="A1864" s="32" t="s">
        <v>101</v>
      </c>
      <c r="B1864" s="32">
        <v>2023</v>
      </c>
      <c r="C1864" s="33" t="s">
        <v>17</v>
      </c>
      <c r="D1864" s="34" t="s">
        <v>1999</v>
      </c>
      <c r="E1864" s="35" t="str">
        <f t="shared" ref="E1864:E1884" si="451">_xlfn.CONCAT(A1864,"'!")</f>
        <v>PRBND'!</v>
      </c>
      <c r="F1864" s="34" t="str">
        <f t="shared" ref="F1864:F1884" si="452">_xlfn.CONCAT(D1864:E1864)</f>
        <v>C:\Users\jaime.benazar\Quorum Business Solutions\Ecopetrol Prometeo - Documents\Planning Space Implementation\3. Analysis &amp; Design\Design\FC22\DRR Jaime\QUIFA-CAJÚA\Cajua\[CAJUA_CF_SEC_New_27-Feb-2024Rev3.xlsx]D-PRBND'!</v>
      </c>
      <c r="G1864" s="32" t="s">
        <v>38</v>
      </c>
      <c r="H1864" s="33"/>
      <c r="I1864" s="33"/>
      <c r="J1864" s="37"/>
    </row>
    <row r="1865" spans="1:10" x14ac:dyDescent="0.25">
      <c r="A1865" s="32" t="s">
        <v>101</v>
      </c>
      <c r="B1865" s="32">
        <f>+B1864+1</f>
        <v>2024</v>
      </c>
      <c r="C1865" s="33" t="s">
        <v>17</v>
      </c>
      <c r="D1865" s="34" t="s">
        <v>1999</v>
      </c>
      <c r="E1865" s="35" t="str">
        <f t="shared" si="451"/>
        <v>PRBND'!</v>
      </c>
      <c r="F1865" s="34" t="str">
        <f t="shared" si="452"/>
        <v>C:\Users\jaime.benazar\Quorum Business Solutions\Ecopetrol Prometeo - Documents\Planning Space Implementation\3. Analysis &amp; Design\Design\FC22\DRR Jaime\QUIFA-CAJÚA\Cajua\[CAJUA_CF_SEC_New_27-Feb-2024Rev3.xlsx]D-PRBND'!</v>
      </c>
      <c r="G1865" s="32" t="s">
        <v>38</v>
      </c>
      <c r="H1865" s="33"/>
      <c r="I1865" s="33"/>
      <c r="J1865" s="37"/>
    </row>
    <row r="1866" spans="1:10" x14ac:dyDescent="0.25">
      <c r="A1866" s="32" t="s">
        <v>101</v>
      </c>
      <c r="B1866" s="32">
        <f t="shared" ref="B1866:B1877" si="453">+B1865+1</f>
        <v>2025</v>
      </c>
      <c r="C1866" s="33" t="s">
        <v>17</v>
      </c>
      <c r="D1866" s="34" t="s">
        <v>1999</v>
      </c>
      <c r="E1866" s="35" t="str">
        <f t="shared" si="451"/>
        <v>PRBND'!</v>
      </c>
      <c r="F1866" s="34" t="str">
        <f t="shared" si="452"/>
        <v>C:\Users\jaime.benazar\Quorum Business Solutions\Ecopetrol Prometeo - Documents\Planning Space Implementation\3. Analysis &amp; Design\Design\FC22\DRR Jaime\QUIFA-CAJÚA\Cajua\[CAJUA_CF_SEC_New_27-Feb-2024Rev3.xlsx]D-PRBND'!</v>
      </c>
      <c r="G1866" s="32" t="s">
        <v>38</v>
      </c>
      <c r="H1866" s="33"/>
      <c r="I1866" s="33"/>
      <c r="J1866" s="37"/>
    </row>
    <row r="1867" spans="1:10" x14ac:dyDescent="0.25">
      <c r="A1867" s="32" t="s">
        <v>101</v>
      </c>
      <c r="B1867" s="32">
        <f t="shared" si="453"/>
        <v>2026</v>
      </c>
      <c r="C1867" s="33" t="s">
        <v>17</v>
      </c>
      <c r="D1867" s="34" t="s">
        <v>1999</v>
      </c>
      <c r="E1867" s="35" t="str">
        <f t="shared" si="451"/>
        <v>PRBND'!</v>
      </c>
      <c r="F1867" s="34" t="str">
        <f t="shared" si="452"/>
        <v>C:\Users\jaime.benazar\Quorum Business Solutions\Ecopetrol Prometeo - Documents\Planning Space Implementation\3. Analysis &amp; Design\Design\FC22\DRR Jaime\QUIFA-CAJÚA\Cajua\[CAJUA_CF_SEC_New_27-Feb-2024Rev3.xlsx]D-PRBND'!</v>
      </c>
      <c r="G1867" s="32" t="s">
        <v>38</v>
      </c>
      <c r="H1867" s="33"/>
      <c r="I1867" s="33"/>
      <c r="J1867" s="37"/>
    </row>
    <row r="1868" spans="1:10" x14ac:dyDescent="0.25">
      <c r="A1868" s="32" t="s">
        <v>101</v>
      </c>
      <c r="B1868" s="32">
        <f t="shared" si="453"/>
        <v>2027</v>
      </c>
      <c r="C1868" s="33" t="s">
        <v>17</v>
      </c>
      <c r="D1868" s="34" t="s">
        <v>1999</v>
      </c>
      <c r="E1868" s="35" t="str">
        <f t="shared" si="451"/>
        <v>PRBND'!</v>
      </c>
      <c r="F1868" s="34" t="str">
        <f t="shared" si="452"/>
        <v>C:\Users\jaime.benazar\Quorum Business Solutions\Ecopetrol Prometeo - Documents\Planning Space Implementation\3. Analysis &amp; Design\Design\FC22\DRR Jaime\QUIFA-CAJÚA\Cajua\[CAJUA_CF_SEC_New_27-Feb-2024Rev3.xlsx]D-PRBND'!</v>
      </c>
      <c r="G1868" s="32" t="s">
        <v>38</v>
      </c>
      <c r="H1868" s="33"/>
      <c r="I1868" s="33"/>
      <c r="J1868" s="37"/>
    </row>
    <row r="1869" spans="1:10" x14ac:dyDescent="0.25">
      <c r="A1869" s="32" t="s">
        <v>101</v>
      </c>
      <c r="B1869" s="32">
        <f t="shared" si="453"/>
        <v>2028</v>
      </c>
      <c r="C1869" s="33" t="s">
        <v>17</v>
      </c>
      <c r="D1869" s="34" t="s">
        <v>1999</v>
      </c>
      <c r="E1869" s="35" t="str">
        <f t="shared" si="451"/>
        <v>PRBND'!</v>
      </c>
      <c r="F1869" s="34" t="str">
        <f t="shared" si="452"/>
        <v>C:\Users\jaime.benazar\Quorum Business Solutions\Ecopetrol Prometeo - Documents\Planning Space Implementation\3. Analysis &amp; Design\Design\FC22\DRR Jaime\QUIFA-CAJÚA\Cajua\[CAJUA_CF_SEC_New_27-Feb-2024Rev3.xlsx]D-PRBND'!</v>
      </c>
      <c r="G1869" s="32" t="s">
        <v>38</v>
      </c>
      <c r="H1869" s="33"/>
      <c r="I1869" s="33"/>
      <c r="J1869" s="37"/>
    </row>
    <row r="1870" spans="1:10" x14ac:dyDescent="0.25">
      <c r="A1870" s="32" t="s">
        <v>101</v>
      </c>
      <c r="B1870" s="32">
        <f t="shared" si="453"/>
        <v>2029</v>
      </c>
      <c r="C1870" s="33" t="s">
        <v>17</v>
      </c>
      <c r="D1870" s="34" t="s">
        <v>1999</v>
      </c>
      <c r="E1870" s="35" t="str">
        <f t="shared" si="451"/>
        <v>PRBND'!</v>
      </c>
      <c r="F1870" s="34" t="str">
        <f t="shared" si="452"/>
        <v>C:\Users\jaime.benazar\Quorum Business Solutions\Ecopetrol Prometeo - Documents\Planning Space Implementation\3. Analysis &amp; Design\Design\FC22\DRR Jaime\QUIFA-CAJÚA\Cajua\[CAJUA_CF_SEC_New_27-Feb-2024Rev3.xlsx]D-PRBND'!</v>
      </c>
      <c r="G1870" s="32" t="s">
        <v>38</v>
      </c>
      <c r="H1870" s="33"/>
      <c r="I1870" s="33"/>
      <c r="J1870" s="37"/>
    </row>
    <row r="1871" spans="1:10" x14ac:dyDescent="0.25">
      <c r="A1871" s="32" t="s">
        <v>101</v>
      </c>
      <c r="B1871" s="32">
        <f t="shared" si="453"/>
        <v>2030</v>
      </c>
      <c r="C1871" s="33" t="s">
        <v>17</v>
      </c>
      <c r="D1871" s="34" t="s">
        <v>1999</v>
      </c>
      <c r="E1871" s="35" t="str">
        <f t="shared" si="451"/>
        <v>PRBND'!</v>
      </c>
      <c r="F1871" s="34" t="str">
        <f t="shared" si="452"/>
        <v>C:\Users\jaime.benazar\Quorum Business Solutions\Ecopetrol Prometeo - Documents\Planning Space Implementation\3. Analysis &amp; Design\Design\FC22\DRR Jaime\QUIFA-CAJÚA\Cajua\[CAJUA_CF_SEC_New_27-Feb-2024Rev3.xlsx]D-PRBND'!</v>
      </c>
      <c r="G1871" s="32" t="s">
        <v>38</v>
      </c>
      <c r="H1871" s="33"/>
      <c r="I1871" s="33"/>
      <c r="J1871" s="37"/>
    </row>
    <row r="1872" spans="1:10" x14ac:dyDescent="0.25">
      <c r="A1872" s="32" t="s">
        <v>101</v>
      </c>
      <c r="B1872" s="32">
        <f t="shared" si="453"/>
        <v>2031</v>
      </c>
      <c r="C1872" s="33" t="s">
        <v>17</v>
      </c>
      <c r="D1872" s="34" t="s">
        <v>1999</v>
      </c>
      <c r="E1872" s="35" t="str">
        <f t="shared" si="451"/>
        <v>PRBND'!</v>
      </c>
      <c r="F1872" s="34" t="str">
        <f t="shared" si="452"/>
        <v>C:\Users\jaime.benazar\Quorum Business Solutions\Ecopetrol Prometeo - Documents\Planning Space Implementation\3. Analysis &amp; Design\Design\FC22\DRR Jaime\QUIFA-CAJÚA\Cajua\[CAJUA_CF_SEC_New_27-Feb-2024Rev3.xlsx]D-PRBND'!</v>
      </c>
      <c r="G1872" s="32" t="s">
        <v>38</v>
      </c>
      <c r="H1872" s="33"/>
      <c r="I1872" s="33"/>
      <c r="J1872" s="37"/>
    </row>
    <row r="1873" spans="1:10" x14ac:dyDescent="0.25">
      <c r="A1873" s="32" t="s">
        <v>101</v>
      </c>
      <c r="B1873" s="32">
        <f t="shared" si="453"/>
        <v>2032</v>
      </c>
      <c r="C1873" s="33" t="s">
        <v>17</v>
      </c>
      <c r="D1873" s="34" t="s">
        <v>1999</v>
      </c>
      <c r="E1873" s="35" t="str">
        <f t="shared" si="451"/>
        <v>PRBND'!</v>
      </c>
      <c r="F1873" s="34" t="str">
        <f t="shared" si="452"/>
        <v>C:\Users\jaime.benazar\Quorum Business Solutions\Ecopetrol Prometeo - Documents\Planning Space Implementation\3. Analysis &amp; Design\Design\FC22\DRR Jaime\QUIFA-CAJÚA\Cajua\[CAJUA_CF_SEC_New_27-Feb-2024Rev3.xlsx]D-PRBND'!</v>
      </c>
      <c r="G1873" s="32" t="s">
        <v>38</v>
      </c>
      <c r="H1873" s="33"/>
      <c r="I1873" s="33"/>
      <c r="J1873" s="37"/>
    </row>
    <row r="1874" spans="1:10" x14ac:dyDescent="0.25">
      <c r="A1874" s="32" t="s">
        <v>101</v>
      </c>
      <c r="B1874" s="32">
        <f t="shared" si="453"/>
        <v>2033</v>
      </c>
      <c r="C1874" s="33" t="s">
        <v>17</v>
      </c>
      <c r="D1874" s="34" t="s">
        <v>1999</v>
      </c>
      <c r="E1874" s="35" t="str">
        <f t="shared" si="451"/>
        <v>PRBND'!</v>
      </c>
      <c r="F1874" s="34" t="str">
        <f t="shared" si="452"/>
        <v>C:\Users\jaime.benazar\Quorum Business Solutions\Ecopetrol Prometeo - Documents\Planning Space Implementation\3. Analysis &amp; Design\Design\FC22\DRR Jaime\QUIFA-CAJÚA\Cajua\[CAJUA_CF_SEC_New_27-Feb-2024Rev3.xlsx]D-PRBND'!</v>
      </c>
      <c r="G1874" s="32" t="s">
        <v>38</v>
      </c>
      <c r="H1874" s="33"/>
      <c r="I1874" s="33"/>
      <c r="J1874" s="37"/>
    </row>
    <row r="1875" spans="1:10" x14ac:dyDescent="0.25">
      <c r="A1875" s="32" t="s">
        <v>101</v>
      </c>
      <c r="B1875" s="32">
        <f t="shared" si="453"/>
        <v>2034</v>
      </c>
      <c r="C1875" s="33" t="s">
        <v>17</v>
      </c>
      <c r="D1875" s="34" t="s">
        <v>1999</v>
      </c>
      <c r="E1875" s="35" t="str">
        <f t="shared" si="451"/>
        <v>PRBND'!</v>
      </c>
      <c r="F1875" s="34" t="str">
        <f t="shared" si="452"/>
        <v>C:\Users\jaime.benazar\Quorum Business Solutions\Ecopetrol Prometeo - Documents\Planning Space Implementation\3. Analysis &amp; Design\Design\FC22\DRR Jaime\QUIFA-CAJÚA\Cajua\[CAJUA_CF_SEC_New_27-Feb-2024Rev3.xlsx]D-PRBND'!</v>
      </c>
      <c r="G1875" s="32" t="s">
        <v>38</v>
      </c>
      <c r="H1875" s="33"/>
      <c r="I1875" s="33"/>
      <c r="J1875" s="37"/>
    </row>
    <row r="1876" spans="1:10" x14ac:dyDescent="0.25">
      <c r="A1876" s="32" t="s">
        <v>101</v>
      </c>
      <c r="B1876" s="32">
        <f t="shared" si="453"/>
        <v>2035</v>
      </c>
      <c r="C1876" s="33" t="s">
        <v>17</v>
      </c>
      <c r="D1876" s="34" t="s">
        <v>1999</v>
      </c>
      <c r="E1876" s="35" t="str">
        <f t="shared" si="451"/>
        <v>PRBND'!</v>
      </c>
      <c r="F1876" s="34" t="str">
        <f t="shared" si="452"/>
        <v>C:\Users\jaime.benazar\Quorum Business Solutions\Ecopetrol Prometeo - Documents\Planning Space Implementation\3. Analysis &amp; Design\Design\FC22\DRR Jaime\QUIFA-CAJÚA\Cajua\[CAJUA_CF_SEC_New_27-Feb-2024Rev3.xlsx]D-PRBND'!</v>
      </c>
      <c r="G1876" s="32" t="s">
        <v>38</v>
      </c>
      <c r="H1876" s="33"/>
      <c r="I1876" s="33"/>
      <c r="J1876" s="37"/>
    </row>
    <row r="1877" spans="1:10" x14ac:dyDescent="0.25">
      <c r="A1877" s="32" t="s">
        <v>101</v>
      </c>
      <c r="B1877" s="32">
        <f t="shared" si="453"/>
        <v>2036</v>
      </c>
      <c r="C1877" s="33" t="s">
        <v>17</v>
      </c>
      <c r="D1877" s="34" t="s">
        <v>1999</v>
      </c>
      <c r="E1877" s="35" t="str">
        <f t="shared" si="451"/>
        <v>PRBND'!</v>
      </c>
      <c r="F1877" s="34" t="str">
        <f t="shared" si="452"/>
        <v>C:\Users\jaime.benazar\Quorum Business Solutions\Ecopetrol Prometeo - Documents\Planning Space Implementation\3. Analysis &amp; Design\Design\FC22\DRR Jaime\QUIFA-CAJÚA\Cajua\[CAJUA_CF_SEC_New_27-Feb-2024Rev3.xlsx]D-PRBND'!</v>
      </c>
      <c r="G1877" s="32" t="s">
        <v>38</v>
      </c>
      <c r="H1877" s="33"/>
      <c r="I1877" s="33"/>
      <c r="J1877" s="37"/>
    </row>
    <row r="1878" spans="1:10" x14ac:dyDescent="0.25">
      <c r="A1878" s="32" t="s">
        <v>101</v>
      </c>
      <c r="B1878" s="32">
        <f>+B1877+1</f>
        <v>2037</v>
      </c>
      <c r="C1878" s="33" t="s">
        <v>17</v>
      </c>
      <c r="D1878" s="34" t="s">
        <v>1999</v>
      </c>
      <c r="E1878" s="35" t="str">
        <f t="shared" si="451"/>
        <v>PRBND'!</v>
      </c>
      <c r="F1878" s="34" t="str">
        <f t="shared" si="452"/>
        <v>C:\Users\jaime.benazar\Quorum Business Solutions\Ecopetrol Prometeo - Documents\Planning Space Implementation\3. Analysis &amp; Design\Design\FC22\DRR Jaime\QUIFA-CAJÚA\Cajua\[CAJUA_CF_SEC_New_27-Feb-2024Rev3.xlsx]D-PRBND'!</v>
      </c>
      <c r="G1878" s="32" t="s">
        <v>38</v>
      </c>
      <c r="H1878" s="33"/>
      <c r="I1878" s="33"/>
      <c r="J1878" s="37"/>
    </row>
    <row r="1879" spans="1:10" x14ac:dyDescent="0.25">
      <c r="A1879" s="32" t="s">
        <v>101</v>
      </c>
      <c r="B1879" s="32">
        <f t="shared" ref="B1879:B1881" si="454">+B1878+1</f>
        <v>2038</v>
      </c>
      <c r="C1879" s="33" t="s">
        <v>17</v>
      </c>
      <c r="D1879" s="34" t="s">
        <v>1999</v>
      </c>
      <c r="E1879" s="35" t="str">
        <f t="shared" si="451"/>
        <v>PRBND'!</v>
      </c>
      <c r="F1879" s="34" t="str">
        <f t="shared" si="452"/>
        <v>C:\Users\jaime.benazar\Quorum Business Solutions\Ecopetrol Prometeo - Documents\Planning Space Implementation\3. Analysis &amp; Design\Design\FC22\DRR Jaime\QUIFA-CAJÚA\Cajua\[CAJUA_CF_SEC_New_27-Feb-2024Rev3.xlsx]D-PRBND'!</v>
      </c>
      <c r="G1879" s="32" t="s">
        <v>38</v>
      </c>
      <c r="H1879" s="33"/>
      <c r="I1879" s="33"/>
      <c r="J1879" s="37"/>
    </row>
    <row r="1880" spans="1:10" x14ac:dyDescent="0.25">
      <c r="A1880" s="32" t="s">
        <v>101</v>
      </c>
      <c r="B1880" s="32">
        <f t="shared" si="454"/>
        <v>2039</v>
      </c>
      <c r="C1880" s="33" t="s">
        <v>17</v>
      </c>
      <c r="D1880" s="34" t="s">
        <v>1999</v>
      </c>
      <c r="E1880" s="35" t="str">
        <f t="shared" si="451"/>
        <v>PRBND'!</v>
      </c>
      <c r="F1880" s="34" t="str">
        <f t="shared" si="452"/>
        <v>C:\Users\jaime.benazar\Quorum Business Solutions\Ecopetrol Prometeo - Documents\Planning Space Implementation\3. Analysis &amp; Design\Design\FC22\DRR Jaime\QUIFA-CAJÚA\Cajua\[CAJUA_CF_SEC_New_27-Feb-2024Rev3.xlsx]D-PRBND'!</v>
      </c>
      <c r="G1880" s="32" t="s">
        <v>38</v>
      </c>
      <c r="H1880" s="33"/>
      <c r="I1880" s="33"/>
      <c r="J1880" s="37"/>
    </row>
    <row r="1881" spans="1:10" x14ac:dyDescent="0.25">
      <c r="A1881" s="32" t="s">
        <v>101</v>
      </c>
      <c r="B1881" s="32">
        <f t="shared" si="454"/>
        <v>2040</v>
      </c>
      <c r="C1881" s="33" t="s">
        <v>17</v>
      </c>
      <c r="D1881" s="34" t="s">
        <v>1999</v>
      </c>
      <c r="E1881" s="35" t="str">
        <f t="shared" si="451"/>
        <v>PRBND'!</v>
      </c>
      <c r="F1881" s="34" t="str">
        <f t="shared" si="452"/>
        <v>C:\Users\jaime.benazar\Quorum Business Solutions\Ecopetrol Prometeo - Documents\Planning Space Implementation\3. Analysis &amp; Design\Design\FC22\DRR Jaime\QUIFA-CAJÚA\Cajua\[CAJUA_CF_SEC_New_27-Feb-2024Rev3.xlsx]D-PRBND'!</v>
      </c>
      <c r="G1881" s="32" t="s">
        <v>38</v>
      </c>
      <c r="H1881" s="33"/>
      <c r="I1881" s="33"/>
      <c r="J1881" s="37"/>
    </row>
    <row r="1882" spans="1:10" x14ac:dyDescent="0.25">
      <c r="A1882" s="32" t="s">
        <v>101</v>
      </c>
      <c r="B1882" s="32">
        <f>+B1881+1</f>
        <v>2041</v>
      </c>
      <c r="C1882" s="33" t="s">
        <v>17</v>
      </c>
      <c r="D1882" s="34" t="s">
        <v>1999</v>
      </c>
      <c r="E1882" s="35" t="str">
        <f t="shared" si="451"/>
        <v>PRBND'!</v>
      </c>
      <c r="F1882" s="34" t="str">
        <f t="shared" si="452"/>
        <v>C:\Users\jaime.benazar\Quorum Business Solutions\Ecopetrol Prometeo - Documents\Planning Space Implementation\3. Analysis &amp; Design\Design\FC22\DRR Jaime\QUIFA-CAJÚA\Cajua\[CAJUA_CF_SEC_New_27-Feb-2024Rev3.xlsx]D-PRBND'!</v>
      </c>
      <c r="G1882" s="32" t="s">
        <v>38</v>
      </c>
      <c r="H1882" s="33"/>
      <c r="I1882" s="33"/>
      <c r="J1882" s="37"/>
    </row>
    <row r="1883" spans="1:10" x14ac:dyDescent="0.25">
      <c r="A1883" s="32" t="s">
        <v>101</v>
      </c>
      <c r="B1883" s="32">
        <f t="shared" ref="B1883:B1884" si="455">+B1882+1</f>
        <v>2042</v>
      </c>
      <c r="C1883" s="33" t="s">
        <v>17</v>
      </c>
      <c r="D1883" s="34" t="s">
        <v>1999</v>
      </c>
      <c r="E1883" s="35" t="str">
        <f t="shared" si="451"/>
        <v>PRBND'!</v>
      </c>
      <c r="F1883" s="34" t="str">
        <f t="shared" si="452"/>
        <v>C:\Users\jaime.benazar\Quorum Business Solutions\Ecopetrol Prometeo - Documents\Planning Space Implementation\3. Analysis &amp; Design\Design\FC22\DRR Jaime\QUIFA-CAJÚA\Cajua\[CAJUA_CF_SEC_New_27-Feb-2024Rev3.xlsx]D-PRBND'!</v>
      </c>
      <c r="G1883" s="32" t="s">
        <v>38</v>
      </c>
      <c r="H1883" s="33"/>
      <c r="I1883" s="33"/>
      <c r="J1883" s="37"/>
    </row>
    <row r="1884" spans="1:10" x14ac:dyDescent="0.25">
      <c r="A1884" s="32" t="s">
        <v>101</v>
      </c>
      <c r="B1884" s="32">
        <f t="shared" si="455"/>
        <v>2043</v>
      </c>
      <c r="C1884" s="33" t="s">
        <v>17</v>
      </c>
      <c r="D1884" s="34" t="s">
        <v>1999</v>
      </c>
      <c r="E1884" s="35" t="str">
        <f t="shared" si="451"/>
        <v>PRBND'!</v>
      </c>
      <c r="F1884" s="34" t="str">
        <f t="shared" si="452"/>
        <v>C:\Users\jaime.benazar\Quorum Business Solutions\Ecopetrol Prometeo - Documents\Planning Space Implementation\3. Analysis &amp; Design\Design\FC22\DRR Jaime\QUIFA-CAJÚA\Cajua\[CAJUA_CF_SEC_New_27-Feb-2024Rev3.xlsx]D-PRBND'!</v>
      </c>
      <c r="G1884" s="32" t="s">
        <v>38</v>
      </c>
      <c r="H1884" s="33"/>
      <c r="I1884" s="33"/>
      <c r="J1884" s="37"/>
    </row>
    <row r="1885" spans="1:10" x14ac:dyDescent="0.25">
      <c r="A1885" s="32" t="s">
        <v>101</v>
      </c>
      <c r="B1885" s="32">
        <f>+B1884+1</f>
        <v>2044</v>
      </c>
      <c r="C1885" s="33" t="s">
        <v>17</v>
      </c>
      <c r="D1885" s="34" t="s">
        <v>1999</v>
      </c>
      <c r="E1885" s="35" t="str">
        <f t="shared" ref="E1885:E1900" si="456">_xlfn.CONCAT(A1885,"'!")</f>
        <v>PRBND'!</v>
      </c>
      <c r="F1885" s="34" t="str">
        <f t="shared" ref="F1885:F1900" si="457">_xlfn.CONCAT(D1885:E1885)</f>
        <v>C:\Users\jaime.benazar\Quorum Business Solutions\Ecopetrol Prometeo - Documents\Planning Space Implementation\3. Analysis &amp; Design\Design\FC22\DRR Jaime\QUIFA-CAJÚA\Cajua\[CAJUA_CF_SEC_New_27-Feb-2024Rev3.xlsx]D-PRBND'!</v>
      </c>
      <c r="G1885" s="32" t="s">
        <v>38</v>
      </c>
      <c r="H1885" s="33"/>
      <c r="I1885" s="33"/>
      <c r="J1885" s="37"/>
    </row>
    <row r="1886" spans="1:10" x14ac:dyDescent="0.25">
      <c r="A1886" s="32" t="s">
        <v>101</v>
      </c>
      <c r="B1886" s="32">
        <f t="shared" ref="B1886:B1900" si="458">+B1885+1</f>
        <v>2045</v>
      </c>
      <c r="C1886" s="33" t="s">
        <v>17</v>
      </c>
      <c r="D1886" s="34" t="s">
        <v>1999</v>
      </c>
      <c r="E1886" s="35" t="str">
        <f t="shared" si="456"/>
        <v>PRBND'!</v>
      </c>
      <c r="F1886" s="34" t="str">
        <f t="shared" si="457"/>
        <v>C:\Users\jaime.benazar\Quorum Business Solutions\Ecopetrol Prometeo - Documents\Planning Space Implementation\3. Analysis &amp; Design\Design\FC22\DRR Jaime\QUIFA-CAJÚA\Cajua\[CAJUA_CF_SEC_New_27-Feb-2024Rev3.xlsx]D-PRBND'!</v>
      </c>
      <c r="G1886" s="32" t="s">
        <v>38</v>
      </c>
      <c r="H1886" s="33"/>
      <c r="I1886" s="33"/>
      <c r="J1886" s="37"/>
    </row>
    <row r="1887" spans="1:10" x14ac:dyDescent="0.25">
      <c r="A1887" s="32" t="s">
        <v>101</v>
      </c>
      <c r="B1887" s="32">
        <f t="shared" si="458"/>
        <v>2046</v>
      </c>
      <c r="C1887" s="33" t="s">
        <v>17</v>
      </c>
      <c r="D1887" s="34" t="s">
        <v>1999</v>
      </c>
      <c r="E1887" s="35" t="str">
        <f t="shared" si="456"/>
        <v>PRBND'!</v>
      </c>
      <c r="F1887" s="34" t="str">
        <f t="shared" si="457"/>
        <v>C:\Users\jaime.benazar\Quorum Business Solutions\Ecopetrol Prometeo - Documents\Planning Space Implementation\3. Analysis &amp; Design\Design\FC22\DRR Jaime\QUIFA-CAJÚA\Cajua\[CAJUA_CF_SEC_New_27-Feb-2024Rev3.xlsx]D-PRBND'!</v>
      </c>
      <c r="G1887" s="32" t="s">
        <v>38</v>
      </c>
      <c r="H1887" s="33"/>
      <c r="I1887" s="33"/>
      <c r="J1887" s="37"/>
    </row>
    <row r="1888" spans="1:10" x14ac:dyDescent="0.25">
      <c r="A1888" s="32" t="s">
        <v>101</v>
      </c>
      <c r="B1888" s="32">
        <f t="shared" si="458"/>
        <v>2047</v>
      </c>
      <c r="C1888" s="33" t="s">
        <v>17</v>
      </c>
      <c r="D1888" s="34" t="s">
        <v>1999</v>
      </c>
      <c r="E1888" s="35" t="str">
        <f t="shared" si="456"/>
        <v>PRBND'!</v>
      </c>
      <c r="F1888" s="34" t="str">
        <f t="shared" si="457"/>
        <v>C:\Users\jaime.benazar\Quorum Business Solutions\Ecopetrol Prometeo - Documents\Planning Space Implementation\3. Analysis &amp; Design\Design\FC22\DRR Jaime\QUIFA-CAJÚA\Cajua\[CAJUA_CF_SEC_New_27-Feb-2024Rev3.xlsx]D-PRBND'!</v>
      </c>
      <c r="G1888" s="32" t="s">
        <v>38</v>
      </c>
      <c r="H1888" s="33"/>
      <c r="I1888" s="33"/>
      <c r="J1888" s="37"/>
    </row>
    <row r="1889" spans="1:10" x14ac:dyDescent="0.25">
      <c r="A1889" s="32" t="s">
        <v>101</v>
      </c>
      <c r="B1889" s="32">
        <f t="shared" si="458"/>
        <v>2048</v>
      </c>
      <c r="C1889" s="33" t="s">
        <v>17</v>
      </c>
      <c r="D1889" s="34" t="s">
        <v>1999</v>
      </c>
      <c r="E1889" s="35" t="str">
        <f t="shared" si="456"/>
        <v>PRBND'!</v>
      </c>
      <c r="F1889" s="34" t="str">
        <f t="shared" si="457"/>
        <v>C:\Users\jaime.benazar\Quorum Business Solutions\Ecopetrol Prometeo - Documents\Planning Space Implementation\3. Analysis &amp; Design\Design\FC22\DRR Jaime\QUIFA-CAJÚA\Cajua\[CAJUA_CF_SEC_New_27-Feb-2024Rev3.xlsx]D-PRBND'!</v>
      </c>
      <c r="G1889" s="32" t="s">
        <v>38</v>
      </c>
      <c r="H1889" s="33"/>
      <c r="I1889" s="33"/>
      <c r="J1889" s="37"/>
    </row>
    <row r="1890" spans="1:10" x14ac:dyDescent="0.25">
      <c r="A1890" s="32" t="s">
        <v>101</v>
      </c>
      <c r="B1890" s="32">
        <f t="shared" si="458"/>
        <v>2049</v>
      </c>
      <c r="C1890" s="33" t="s">
        <v>17</v>
      </c>
      <c r="D1890" s="34" t="s">
        <v>1999</v>
      </c>
      <c r="E1890" s="35" t="str">
        <f t="shared" si="456"/>
        <v>PRBND'!</v>
      </c>
      <c r="F1890" s="34" t="str">
        <f t="shared" si="457"/>
        <v>C:\Users\jaime.benazar\Quorum Business Solutions\Ecopetrol Prometeo - Documents\Planning Space Implementation\3. Analysis &amp; Design\Design\FC22\DRR Jaime\QUIFA-CAJÚA\Cajua\[CAJUA_CF_SEC_New_27-Feb-2024Rev3.xlsx]D-PRBND'!</v>
      </c>
      <c r="G1890" s="32" t="s">
        <v>38</v>
      </c>
      <c r="H1890" s="33"/>
      <c r="I1890" s="33"/>
      <c r="J1890" s="37"/>
    </row>
    <row r="1891" spans="1:10" x14ac:dyDescent="0.25">
      <c r="A1891" s="32" t="s">
        <v>101</v>
      </c>
      <c r="B1891" s="32">
        <f t="shared" si="458"/>
        <v>2050</v>
      </c>
      <c r="C1891" s="33" t="s">
        <v>17</v>
      </c>
      <c r="D1891" s="34" t="s">
        <v>1999</v>
      </c>
      <c r="E1891" s="35" t="str">
        <f t="shared" si="456"/>
        <v>PRBND'!</v>
      </c>
      <c r="F1891" s="34" t="str">
        <f t="shared" si="457"/>
        <v>C:\Users\jaime.benazar\Quorum Business Solutions\Ecopetrol Prometeo - Documents\Planning Space Implementation\3. Analysis &amp; Design\Design\FC22\DRR Jaime\QUIFA-CAJÚA\Cajua\[CAJUA_CF_SEC_New_27-Feb-2024Rev3.xlsx]D-PRBND'!</v>
      </c>
      <c r="G1891" s="32" t="s">
        <v>38</v>
      </c>
      <c r="H1891" s="33"/>
      <c r="I1891" s="33"/>
      <c r="J1891" s="37"/>
    </row>
    <row r="1892" spans="1:10" x14ac:dyDescent="0.25">
      <c r="A1892" s="32" t="s">
        <v>101</v>
      </c>
      <c r="B1892" s="32">
        <f t="shared" si="458"/>
        <v>2051</v>
      </c>
      <c r="C1892" s="33" t="s">
        <v>17</v>
      </c>
      <c r="D1892" s="34" t="s">
        <v>1999</v>
      </c>
      <c r="E1892" s="35" t="str">
        <f t="shared" si="456"/>
        <v>PRBND'!</v>
      </c>
      <c r="F1892" s="34" t="str">
        <f t="shared" si="457"/>
        <v>C:\Users\jaime.benazar\Quorum Business Solutions\Ecopetrol Prometeo - Documents\Planning Space Implementation\3. Analysis &amp; Design\Design\FC22\DRR Jaime\QUIFA-CAJÚA\Cajua\[CAJUA_CF_SEC_New_27-Feb-2024Rev3.xlsx]D-PRBND'!</v>
      </c>
      <c r="G1892" s="32" t="s">
        <v>38</v>
      </c>
      <c r="H1892" s="33"/>
      <c r="I1892" s="33"/>
      <c r="J1892" s="37"/>
    </row>
    <row r="1893" spans="1:10" x14ac:dyDescent="0.25">
      <c r="A1893" s="32" t="s">
        <v>101</v>
      </c>
      <c r="B1893" s="32">
        <f t="shared" si="458"/>
        <v>2052</v>
      </c>
      <c r="C1893" s="33" t="s">
        <v>17</v>
      </c>
      <c r="D1893" s="34" t="s">
        <v>1999</v>
      </c>
      <c r="E1893" s="35" t="str">
        <f t="shared" si="456"/>
        <v>PRBND'!</v>
      </c>
      <c r="F1893" s="34" t="str">
        <f t="shared" si="457"/>
        <v>C:\Users\jaime.benazar\Quorum Business Solutions\Ecopetrol Prometeo - Documents\Planning Space Implementation\3. Analysis &amp; Design\Design\FC22\DRR Jaime\QUIFA-CAJÚA\Cajua\[CAJUA_CF_SEC_New_27-Feb-2024Rev3.xlsx]D-PRBND'!</v>
      </c>
      <c r="G1893" s="32" t="s">
        <v>38</v>
      </c>
      <c r="H1893" s="33"/>
      <c r="I1893" s="33"/>
      <c r="J1893" s="37"/>
    </row>
    <row r="1894" spans="1:10" x14ac:dyDescent="0.25">
      <c r="A1894" s="32" t="s">
        <v>101</v>
      </c>
      <c r="B1894" s="32">
        <f t="shared" si="458"/>
        <v>2053</v>
      </c>
      <c r="C1894" s="33" t="s">
        <v>17</v>
      </c>
      <c r="D1894" s="34" t="s">
        <v>1999</v>
      </c>
      <c r="E1894" s="35" t="str">
        <f t="shared" si="456"/>
        <v>PRBND'!</v>
      </c>
      <c r="F1894" s="34" t="str">
        <f t="shared" si="457"/>
        <v>C:\Users\jaime.benazar\Quorum Business Solutions\Ecopetrol Prometeo - Documents\Planning Space Implementation\3. Analysis &amp; Design\Design\FC22\DRR Jaime\QUIFA-CAJÚA\Cajua\[CAJUA_CF_SEC_New_27-Feb-2024Rev3.xlsx]D-PRBND'!</v>
      </c>
      <c r="G1894" s="32" t="s">
        <v>38</v>
      </c>
      <c r="H1894" s="33"/>
      <c r="I1894" s="33"/>
      <c r="J1894" s="37"/>
    </row>
    <row r="1895" spans="1:10" x14ac:dyDescent="0.25">
      <c r="A1895" s="32" t="s">
        <v>101</v>
      </c>
      <c r="B1895" s="32">
        <f t="shared" si="458"/>
        <v>2054</v>
      </c>
      <c r="C1895" s="33" t="s">
        <v>17</v>
      </c>
      <c r="D1895" s="34" t="s">
        <v>1999</v>
      </c>
      <c r="E1895" s="35" t="str">
        <f t="shared" si="456"/>
        <v>PRBND'!</v>
      </c>
      <c r="F1895" s="34" t="str">
        <f t="shared" si="457"/>
        <v>C:\Users\jaime.benazar\Quorum Business Solutions\Ecopetrol Prometeo - Documents\Planning Space Implementation\3. Analysis &amp; Design\Design\FC22\DRR Jaime\QUIFA-CAJÚA\Cajua\[CAJUA_CF_SEC_New_27-Feb-2024Rev3.xlsx]D-PRBND'!</v>
      </c>
      <c r="G1895" s="32" t="s">
        <v>38</v>
      </c>
      <c r="H1895" s="33"/>
      <c r="I1895" s="33"/>
      <c r="J1895" s="37"/>
    </row>
    <row r="1896" spans="1:10" x14ac:dyDescent="0.25">
      <c r="A1896" s="32" t="s">
        <v>101</v>
      </c>
      <c r="B1896" s="32">
        <f t="shared" si="458"/>
        <v>2055</v>
      </c>
      <c r="C1896" s="33" t="s">
        <v>17</v>
      </c>
      <c r="D1896" s="34" t="s">
        <v>1999</v>
      </c>
      <c r="E1896" s="35" t="str">
        <f t="shared" si="456"/>
        <v>PRBND'!</v>
      </c>
      <c r="F1896" s="34" t="str">
        <f t="shared" si="457"/>
        <v>C:\Users\jaime.benazar\Quorum Business Solutions\Ecopetrol Prometeo - Documents\Planning Space Implementation\3. Analysis &amp; Design\Design\FC22\DRR Jaime\QUIFA-CAJÚA\Cajua\[CAJUA_CF_SEC_New_27-Feb-2024Rev3.xlsx]D-PRBND'!</v>
      </c>
      <c r="G1896" s="32" t="s">
        <v>38</v>
      </c>
      <c r="H1896" s="33"/>
      <c r="I1896" s="33"/>
      <c r="J1896" s="37"/>
    </row>
    <row r="1897" spans="1:10" x14ac:dyDescent="0.25">
      <c r="A1897" s="32" t="s">
        <v>101</v>
      </c>
      <c r="B1897" s="32">
        <f t="shared" si="458"/>
        <v>2056</v>
      </c>
      <c r="C1897" s="33" t="s">
        <v>17</v>
      </c>
      <c r="D1897" s="34" t="s">
        <v>1999</v>
      </c>
      <c r="E1897" s="35" t="str">
        <f t="shared" si="456"/>
        <v>PRBND'!</v>
      </c>
      <c r="F1897" s="34" t="str">
        <f t="shared" si="457"/>
        <v>C:\Users\jaime.benazar\Quorum Business Solutions\Ecopetrol Prometeo - Documents\Planning Space Implementation\3. Analysis &amp; Design\Design\FC22\DRR Jaime\QUIFA-CAJÚA\Cajua\[CAJUA_CF_SEC_New_27-Feb-2024Rev3.xlsx]D-PRBND'!</v>
      </c>
      <c r="G1897" s="32" t="s">
        <v>38</v>
      </c>
      <c r="H1897" s="33"/>
      <c r="I1897" s="33"/>
      <c r="J1897" s="37"/>
    </row>
    <row r="1898" spans="1:10" x14ac:dyDescent="0.25">
      <c r="A1898" s="32" t="s">
        <v>101</v>
      </c>
      <c r="B1898" s="32">
        <f t="shared" si="458"/>
        <v>2057</v>
      </c>
      <c r="C1898" s="33" t="s">
        <v>17</v>
      </c>
      <c r="D1898" s="34" t="s">
        <v>1999</v>
      </c>
      <c r="E1898" s="35" t="str">
        <f t="shared" si="456"/>
        <v>PRBND'!</v>
      </c>
      <c r="F1898" s="34" t="str">
        <f t="shared" si="457"/>
        <v>C:\Users\jaime.benazar\Quorum Business Solutions\Ecopetrol Prometeo - Documents\Planning Space Implementation\3. Analysis &amp; Design\Design\FC22\DRR Jaime\QUIFA-CAJÚA\Cajua\[CAJUA_CF_SEC_New_27-Feb-2024Rev3.xlsx]D-PRBND'!</v>
      </c>
      <c r="G1898" s="32" t="s">
        <v>38</v>
      </c>
      <c r="H1898" s="33"/>
      <c r="I1898" s="33"/>
      <c r="J1898" s="37"/>
    </row>
    <row r="1899" spans="1:10" x14ac:dyDescent="0.25">
      <c r="A1899" s="32" t="s">
        <v>101</v>
      </c>
      <c r="B1899" s="32">
        <f t="shared" si="458"/>
        <v>2058</v>
      </c>
      <c r="C1899" s="33" t="s">
        <v>17</v>
      </c>
      <c r="D1899" s="34" t="s">
        <v>1999</v>
      </c>
      <c r="E1899" s="35" t="str">
        <f t="shared" si="456"/>
        <v>PRBND'!</v>
      </c>
      <c r="F1899" s="34" t="str">
        <f t="shared" si="457"/>
        <v>C:\Users\jaime.benazar\Quorum Business Solutions\Ecopetrol Prometeo - Documents\Planning Space Implementation\3. Analysis &amp; Design\Design\FC22\DRR Jaime\QUIFA-CAJÚA\Cajua\[CAJUA_CF_SEC_New_27-Feb-2024Rev3.xlsx]D-PRBND'!</v>
      </c>
      <c r="G1899" s="32" t="s">
        <v>38</v>
      </c>
      <c r="H1899" s="33"/>
      <c r="I1899" s="33"/>
      <c r="J1899" s="37"/>
    </row>
    <row r="1900" spans="1:10" x14ac:dyDescent="0.25">
      <c r="A1900" s="32" t="s">
        <v>101</v>
      </c>
      <c r="B1900" s="32">
        <f t="shared" si="458"/>
        <v>2059</v>
      </c>
      <c r="C1900" s="33" t="s">
        <v>17</v>
      </c>
      <c r="D1900" s="34" t="s">
        <v>1999</v>
      </c>
      <c r="E1900" s="35" t="str">
        <f t="shared" si="456"/>
        <v>PRBND'!</v>
      </c>
      <c r="F1900" s="34" t="str">
        <f t="shared" si="457"/>
        <v>C:\Users\jaime.benazar\Quorum Business Solutions\Ecopetrol Prometeo - Documents\Planning Space Implementation\3. Analysis &amp; Design\Design\FC22\DRR Jaime\QUIFA-CAJÚA\Cajua\[CAJUA_CF_SEC_New_27-Feb-2024Rev3.xlsx]D-PRBND'!</v>
      </c>
      <c r="G1900" s="32" t="s">
        <v>38</v>
      </c>
      <c r="H1900" s="33"/>
      <c r="I1900" s="33"/>
      <c r="J1900" s="37"/>
    </row>
    <row r="1901" spans="1:10" x14ac:dyDescent="0.25">
      <c r="A1901" s="32" t="s">
        <v>28</v>
      </c>
      <c r="B1901" s="32"/>
      <c r="C1901" s="33" t="s">
        <v>17</v>
      </c>
      <c r="D1901" s="34"/>
      <c r="E1901" s="35"/>
      <c r="F1901" s="34"/>
      <c r="G1901" s="32"/>
      <c r="H1901" s="33"/>
      <c r="I1901" s="33"/>
      <c r="J1901" s="33"/>
    </row>
    <row r="1902" spans="1:10" x14ac:dyDescent="0.25">
      <c r="A1902" s="32" t="s">
        <v>4</v>
      </c>
      <c r="B1902" s="32">
        <v>2023</v>
      </c>
      <c r="C1902" s="33" t="s">
        <v>17</v>
      </c>
      <c r="D1902" s="34" t="s">
        <v>1999</v>
      </c>
      <c r="E1902" s="35" t="str">
        <f t="shared" si="428"/>
        <v>PRB'!</v>
      </c>
      <c r="F1902" s="34" t="str">
        <f t="shared" si="429"/>
        <v>C:\Users\jaime.benazar\Quorum Business Solutions\Ecopetrol Prometeo - Documents\Planning Space Implementation\3. Analysis &amp; Design\Design\FC22\DRR Jaime\QUIFA-CAJÚA\Cajua\[CAJUA_CF_SEC_New_27-Feb-2024Rev3.xlsx]D-PRB'!</v>
      </c>
      <c r="G1902" s="32" t="s">
        <v>38</v>
      </c>
      <c r="H1902" s="33">
        <v>12</v>
      </c>
      <c r="I1902" s="33" t="str">
        <f t="shared" ref="I1902:I1922" si="459">_xlfn.CONCAT("='",F1902:H1902)</f>
        <v>='C:\Users\jaime.benazar\Quorum Business Solutions\Ecopetrol Prometeo - Documents\Planning Space Implementation\3. Analysis &amp; Design\Design\FC22\DRR Jaime\QUIFA-CAJÚA\Cajua\[CAJUA_CF_SEC_New_27-Feb-2024Rev3.xlsx]D-PRB'!$BX$12</v>
      </c>
      <c r="J1902" s="37" t="s">
        <v>2851</v>
      </c>
    </row>
    <row r="1903" spans="1:10" x14ac:dyDescent="0.25">
      <c r="A1903" s="32" t="s">
        <v>4</v>
      </c>
      <c r="B1903" s="32">
        <f>+B1902+1</f>
        <v>2024</v>
      </c>
      <c r="C1903" s="33" t="s">
        <v>17</v>
      </c>
      <c r="D1903" s="34" t="s">
        <v>1999</v>
      </c>
      <c r="E1903" s="35" t="str">
        <f t="shared" si="428"/>
        <v>PRB'!</v>
      </c>
      <c r="F1903" s="34" t="str">
        <f t="shared" si="429"/>
        <v>C:\Users\jaime.benazar\Quorum Business Solutions\Ecopetrol Prometeo - Documents\Planning Space Implementation\3. Analysis &amp; Design\Design\FC22\DRR Jaime\QUIFA-CAJÚA\Cajua\[CAJUA_CF_SEC_New_27-Feb-2024Rev3.xlsx]D-PRB'!</v>
      </c>
      <c r="G1903" s="32" t="s">
        <v>38</v>
      </c>
      <c r="H1903" s="33">
        <f t="shared" ref="H1903:H1922" si="460">IF(A1903&lt;&gt;A1902,12,H1902+1)</f>
        <v>13</v>
      </c>
      <c r="I1903" s="33" t="str">
        <f t="shared" si="459"/>
        <v>='C:\Users\jaime.benazar\Quorum Business Solutions\Ecopetrol Prometeo - Documents\Planning Space Implementation\3. Analysis &amp; Design\Design\FC22\DRR Jaime\QUIFA-CAJÚA\Cajua\[CAJUA_CF_SEC_New_27-Feb-2024Rev3.xlsx]D-PRB'!$BX$13</v>
      </c>
      <c r="J1903" s="37" t="s">
        <v>2852</v>
      </c>
    </row>
    <row r="1904" spans="1:10" x14ac:dyDescent="0.25">
      <c r="A1904" s="32" t="s">
        <v>4</v>
      </c>
      <c r="B1904" s="32">
        <f t="shared" ref="B1904:B1915" si="461">+B1903+1</f>
        <v>2025</v>
      </c>
      <c r="C1904" s="33" t="s">
        <v>17</v>
      </c>
      <c r="D1904" s="34" t="s">
        <v>1999</v>
      </c>
      <c r="E1904" s="35" t="str">
        <f t="shared" si="428"/>
        <v>PRB'!</v>
      </c>
      <c r="F1904" s="34" t="str">
        <f t="shared" si="429"/>
        <v>C:\Users\jaime.benazar\Quorum Business Solutions\Ecopetrol Prometeo - Documents\Planning Space Implementation\3. Analysis &amp; Design\Design\FC22\DRR Jaime\QUIFA-CAJÚA\Cajua\[CAJUA_CF_SEC_New_27-Feb-2024Rev3.xlsx]D-PRB'!</v>
      </c>
      <c r="G1904" s="32" t="s">
        <v>38</v>
      </c>
      <c r="H1904" s="33">
        <f t="shared" si="460"/>
        <v>14</v>
      </c>
      <c r="I1904" s="33" t="str">
        <f t="shared" si="459"/>
        <v>='C:\Users\jaime.benazar\Quorum Business Solutions\Ecopetrol Prometeo - Documents\Planning Space Implementation\3. Analysis &amp; Design\Design\FC22\DRR Jaime\QUIFA-CAJÚA\Cajua\[CAJUA_CF_SEC_New_27-Feb-2024Rev3.xlsx]D-PRB'!$BX$14</v>
      </c>
      <c r="J1904" s="37" t="s">
        <v>2853</v>
      </c>
    </row>
    <row r="1905" spans="1:10" x14ac:dyDescent="0.25">
      <c r="A1905" s="32" t="s">
        <v>4</v>
      </c>
      <c r="B1905" s="32">
        <f t="shared" si="461"/>
        <v>2026</v>
      </c>
      <c r="C1905" s="33" t="s">
        <v>17</v>
      </c>
      <c r="D1905" s="34" t="s">
        <v>1999</v>
      </c>
      <c r="E1905" s="35" t="str">
        <f t="shared" si="428"/>
        <v>PRB'!</v>
      </c>
      <c r="F1905" s="34" t="str">
        <f t="shared" si="429"/>
        <v>C:\Users\jaime.benazar\Quorum Business Solutions\Ecopetrol Prometeo - Documents\Planning Space Implementation\3. Analysis &amp; Design\Design\FC22\DRR Jaime\QUIFA-CAJÚA\Cajua\[CAJUA_CF_SEC_New_27-Feb-2024Rev3.xlsx]D-PRB'!</v>
      </c>
      <c r="G1905" s="32" t="s">
        <v>38</v>
      </c>
      <c r="H1905" s="33">
        <f t="shared" si="460"/>
        <v>15</v>
      </c>
      <c r="I1905" s="33" t="str">
        <f t="shared" si="459"/>
        <v>='C:\Users\jaime.benazar\Quorum Business Solutions\Ecopetrol Prometeo - Documents\Planning Space Implementation\3. Analysis &amp; Design\Design\FC22\DRR Jaime\QUIFA-CAJÚA\Cajua\[CAJUA_CF_SEC_New_27-Feb-2024Rev3.xlsx]D-PRB'!$BX$15</v>
      </c>
      <c r="J1905" s="37" t="s">
        <v>2854</v>
      </c>
    </row>
    <row r="1906" spans="1:10" x14ac:dyDescent="0.25">
      <c r="A1906" s="32" t="s">
        <v>4</v>
      </c>
      <c r="B1906" s="32">
        <f t="shared" si="461"/>
        <v>2027</v>
      </c>
      <c r="C1906" s="33" t="s">
        <v>17</v>
      </c>
      <c r="D1906" s="34" t="s">
        <v>1999</v>
      </c>
      <c r="E1906" s="35" t="str">
        <f t="shared" si="428"/>
        <v>PRB'!</v>
      </c>
      <c r="F1906" s="34" t="str">
        <f t="shared" si="429"/>
        <v>C:\Users\jaime.benazar\Quorum Business Solutions\Ecopetrol Prometeo - Documents\Planning Space Implementation\3. Analysis &amp; Design\Design\FC22\DRR Jaime\QUIFA-CAJÚA\Cajua\[CAJUA_CF_SEC_New_27-Feb-2024Rev3.xlsx]D-PRB'!</v>
      </c>
      <c r="G1906" s="32" t="s">
        <v>38</v>
      </c>
      <c r="H1906" s="33">
        <f t="shared" si="460"/>
        <v>16</v>
      </c>
      <c r="I1906" s="33" t="str">
        <f t="shared" si="459"/>
        <v>='C:\Users\jaime.benazar\Quorum Business Solutions\Ecopetrol Prometeo - Documents\Planning Space Implementation\3. Analysis &amp; Design\Design\FC22\DRR Jaime\QUIFA-CAJÚA\Cajua\[CAJUA_CF_SEC_New_27-Feb-2024Rev3.xlsx]D-PRB'!$BX$16</v>
      </c>
      <c r="J1906" s="37" t="s">
        <v>2855</v>
      </c>
    </row>
    <row r="1907" spans="1:10" x14ac:dyDescent="0.25">
      <c r="A1907" s="32" t="s">
        <v>4</v>
      </c>
      <c r="B1907" s="32">
        <f t="shared" si="461"/>
        <v>2028</v>
      </c>
      <c r="C1907" s="33" t="s">
        <v>17</v>
      </c>
      <c r="D1907" s="34" t="s">
        <v>1999</v>
      </c>
      <c r="E1907" s="35" t="str">
        <f t="shared" si="428"/>
        <v>PRB'!</v>
      </c>
      <c r="F1907" s="34" t="str">
        <f t="shared" si="429"/>
        <v>C:\Users\jaime.benazar\Quorum Business Solutions\Ecopetrol Prometeo - Documents\Planning Space Implementation\3. Analysis &amp; Design\Design\FC22\DRR Jaime\QUIFA-CAJÚA\Cajua\[CAJUA_CF_SEC_New_27-Feb-2024Rev3.xlsx]D-PRB'!</v>
      </c>
      <c r="G1907" s="32" t="s">
        <v>38</v>
      </c>
      <c r="H1907" s="33">
        <f t="shared" si="460"/>
        <v>17</v>
      </c>
      <c r="I1907" s="33" t="str">
        <f t="shared" si="459"/>
        <v>='C:\Users\jaime.benazar\Quorum Business Solutions\Ecopetrol Prometeo - Documents\Planning Space Implementation\3. Analysis &amp; Design\Design\FC22\DRR Jaime\QUIFA-CAJÚA\Cajua\[CAJUA_CF_SEC_New_27-Feb-2024Rev3.xlsx]D-PRB'!$BX$17</v>
      </c>
      <c r="J1907" s="37" t="s">
        <v>2856</v>
      </c>
    </row>
    <row r="1908" spans="1:10" x14ac:dyDescent="0.25">
      <c r="A1908" s="32" t="s">
        <v>4</v>
      </c>
      <c r="B1908" s="32">
        <f t="shared" si="461"/>
        <v>2029</v>
      </c>
      <c r="C1908" s="33" t="s">
        <v>17</v>
      </c>
      <c r="D1908" s="34" t="s">
        <v>1999</v>
      </c>
      <c r="E1908" s="35" t="str">
        <f t="shared" si="428"/>
        <v>PRB'!</v>
      </c>
      <c r="F1908" s="34" t="str">
        <f t="shared" si="429"/>
        <v>C:\Users\jaime.benazar\Quorum Business Solutions\Ecopetrol Prometeo - Documents\Planning Space Implementation\3. Analysis &amp; Design\Design\FC22\DRR Jaime\QUIFA-CAJÚA\Cajua\[CAJUA_CF_SEC_New_27-Feb-2024Rev3.xlsx]D-PRB'!</v>
      </c>
      <c r="G1908" s="32" t="s">
        <v>38</v>
      </c>
      <c r="H1908" s="33">
        <f t="shared" si="460"/>
        <v>18</v>
      </c>
      <c r="I1908" s="33" t="str">
        <f t="shared" si="459"/>
        <v>='C:\Users\jaime.benazar\Quorum Business Solutions\Ecopetrol Prometeo - Documents\Planning Space Implementation\3. Analysis &amp; Design\Design\FC22\DRR Jaime\QUIFA-CAJÚA\Cajua\[CAJUA_CF_SEC_New_27-Feb-2024Rev3.xlsx]D-PRB'!$BX$18</v>
      </c>
      <c r="J1908" s="37" t="s">
        <v>2857</v>
      </c>
    </row>
    <row r="1909" spans="1:10" x14ac:dyDescent="0.25">
      <c r="A1909" s="32" t="s">
        <v>4</v>
      </c>
      <c r="B1909" s="32">
        <f t="shared" si="461"/>
        <v>2030</v>
      </c>
      <c r="C1909" s="33" t="s">
        <v>17</v>
      </c>
      <c r="D1909" s="34" t="s">
        <v>1999</v>
      </c>
      <c r="E1909" s="35" t="str">
        <f t="shared" si="428"/>
        <v>PRB'!</v>
      </c>
      <c r="F1909" s="34" t="str">
        <f t="shared" si="429"/>
        <v>C:\Users\jaime.benazar\Quorum Business Solutions\Ecopetrol Prometeo - Documents\Planning Space Implementation\3. Analysis &amp; Design\Design\FC22\DRR Jaime\QUIFA-CAJÚA\Cajua\[CAJUA_CF_SEC_New_27-Feb-2024Rev3.xlsx]D-PRB'!</v>
      </c>
      <c r="G1909" s="32" t="s">
        <v>38</v>
      </c>
      <c r="H1909" s="33">
        <f t="shared" si="460"/>
        <v>19</v>
      </c>
      <c r="I1909" s="33" t="str">
        <f t="shared" si="459"/>
        <v>='C:\Users\jaime.benazar\Quorum Business Solutions\Ecopetrol Prometeo - Documents\Planning Space Implementation\3. Analysis &amp; Design\Design\FC22\DRR Jaime\QUIFA-CAJÚA\Cajua\[CAJUA_CF_SEC_New_27-Feb-2024Rev3.xlsx]D-PRB'!$BX$19</v>
      </c>
      <c r="J1909" s="37" t="s">
        <v>2858</v>
      </c>
    </row>
    <row r="1910" spans="1:10" x14ac:dyDescent="0.25">
      <c r="A1910" s="32" t="s">
        <v>4</v>
      </c>
      <c r="B1910" s="32">
        <f t="shared" si="461"/>
        <v>2031</v>
      </c>
      <c r="C1910" s="33" t="s">
        <v>17</v>
      </c>
      <c r="D1910" s="34" t="s">
        <v>1999</v>
      </c>
      <c r="E1910" s="35" t="str">
        <f t="shared" si="428"/>
        <v>PRB'!</v>
      </c>
      <c r="F1910" s="34" t="str">
        <f t="shared" si="429"/>
        <v>C:\Users\jaime.benazar\Quorum Business Solutions\Ecopetrol Prometeo - Documents\Planning Space Implementation\3. Analysis &amp; Design\Design\FC22\DRR Jaime\QUIFA-CAJÚA\Cajua\[CAJUA_CF_SEC_New_27-Feb-2024Rev3.xlsx]D-PRB'!</v>
      </c>
      <c r="G1910" s="32" t="s">
        <v>38</v>
      </c>
      <c r="H1910" s="33">
        <f t="shared" si="460"/>
        <v>20</v>
      </c>
      <c r="I1910" s="33" t="str">
        <f t="shared" si="459"/>
        <v>='C:\Users\jaime.benazar\Quorum Business Solutions\Ecopetrol Prometeo - Documents\Planning Space Implementation\3. Analysis &amp; Design\Design\FC22\DRR Jaime\QUIFA-CAJÚA\Cajua\[CAJUA_CF_SEC_New_27-Feb-2024Rev3.xlsx]D-PRB'!$BX$20</v>
      </c>
      <c r="J1910" s="37" t="s">
        <v>2859</v>
      </c>
    </row>
    <row r="1911" spans="1:10" x14ac:dyDescent="0.25">
      <c r="A1911" s="32" t="s">
        <v>4</v>
      </c>
      <c r="B1911" s="32">
        <f t="shared" si="461"/>
        <v>2032</v>
      </c>
      <c r="C1911" s="33" t="s">
        <v>17</v>
      </c>
      <c r="D1911" s="34" t="s">
        <v>1999</v>
      </c>
      <c r="E1911" s="35" t="str">
        <f t="shared" si="428"/>
        <v>PRB'!</v>
      </c>
      <c r="F1911" s="34" t="str">
        <f t="shared" si="429"/>
        <v>C:\Users\jaime.benazar\Quorum Business Solutions\Ecopetrol Prometeo - Documents\Planning Space Implementation\3. Analysis &amp; Design\Design\FC22\DRR Jaime\QUIFA-CAJÚA\Cajua\[CAJUA_CF_SEC_New_27-Feb-2024Rev3.xlsx]D-PRB'!</v>
      </c>
      <c r="G1911" s="32" t="s">
        <v>38</v>
      </c>
      <c r="H1911" s="33">
        <f t="shared" si="460"/>
        <v>21</v>
      </c>
      <c r="I1911" s="33" t="str">
        <f t="shared" si="459"/>
        <v>='C:\Users\jaime.benazar\Quorum Business Solutions\Ecopetrol Prometeo - Documents\Planning Space Implementation\3. Analysis &amp; Design\Design\FC22\DRR Jaime\QUIFA-CAJÚA\Cajua\[CAJUA_CF_SEC_New_27-Feb-2024Rev3.xlsx]D-PRB'!$BX$21</v>
      </c>
      <c r="J1911" s="37" t="s">
        <v>2860</v>
      </c>
    </row>
    <row r="1912" spans="1:10" x14ac:dyDescent="0.25">
      <c r="A1912" s="32" t="s">
        <v>4</v>
      </c>
      <c r="B1912" s="32">
        <f t="shared" si="461"/>
        <v>2033</v>
      </c>
      <c r="C1912" s="33" t="s">
        <v>17</v>
      </c>
      <c r="D1912" s="34" t="s">
        <v>1999</v>
      </c>
      <c r="E1912" s="35" t="str">
        <f t="shared" si="428"/>
        <v>PRB'!</v>
      </c>
      <c r="F1912" s="34" t="str">
        <f t="shared" si="429"/>
        <v>C:\Users\jaime.benazar\Quorum Business Solutions\Ecopetrol Prometeo - Documents\Planning Space Implementation\3. Analysis &amp; Design\Design\FC22\DRR Jaime\QUIFA-CAJÚA\Cajua\[CAJUA_CF_SEC_New_27-Feb-2024Rev3.xlsx]D-PRB'!</v>
      </c>
      <c r="G1912" s="32" t="s">
        <v>38</v>
      </c>
      <c r="H1912" s="33">
        <f t="shared" si="460"/>
        <v>22</v>
      </c>
      <c r="I1912" s="33" t="str">
        <f t="shared" si="459"/>
        <v>='C:\Users\jaime.benazar\Quorum Business Solutions\Ecopetrol Prometeo - Documents\Planning Space Implementation\3. Analysis &amp; Design\Design\FC22\DRR Jaime\QUIFA-CAJÚA\Cajua\[CAJUA_CF_SEC_New_27-Feb-2024Rev3.xlsx]D-PRB'!$BX$22</v>
      </c>
      <c r="J1912" s="37" t="s">
        <v>2861</v>
      </c>
    </row>
    <row r="1913" spans="1:10" x14ac:dyDescent="0.25">
      <c r="A1913" s="32" t="s">
        <v>4</v>
      </c>
      <c r="B1913" s="32">
        <f t="shared" si="461"/>
        <v>2034</v>
      </c>
      <c r="C1913" s="33" t="s">
        <v>17</v>
      </c>
      <c r="D1913" s="34" t="s">
        <v>1999</v>
      </c>
      <c r="E1913" s="35" t="str">
        <f t="shared" si="428"/>
        <v>PRB'!</v>
      </c>
      <c r="F1913" s="34" t="str">
        <f t="shared" si="429"/>
        <v>C:\Users\jaime.benazar\Quorum Business Solutions\Ecopetrol Prometeo - Documents\Planning Space Implementation\3. Analysis &amp; Design\Design\FC22\DRR Jaime\QUIFA-CAJÚA\Cajua\[CAJUA_CF_SEC_New_27-Feb-2024Rev3.xlsx]D-PRB'!</v>
      </c>
      <c r="G1913" s="32" t="s">
        <v>38</v>
      </c>
      <c r="H1913" s="33">
        <f t="shared" si="460"/>
        <v>23</v>
      </c>
      <c r="I1913" s="33" t="str">
        <f t="shared" si="459"/>
        <v>='C:\Users\jaime.benazar\Quorum Business Solutions\Ecopetrol Prometeo - Documents\Planning Space Implementation\3. Analysis &amp; Design\Design\FC22\DRR Jaime\QUIFA-CAJÚA\Cajua\[CAJUA_CF_SEC_New_27-Feb-2024Rev3.xlsx]D-PRB'!$BX$23</v>
      </c>
      <c r="J1913" s="37" t="s">
        <v>2862</v>
      </c>
    </row>
    <row r="1914" spans="1:10" x14ac:dyDescent="0.25">
      <c r="A1914" s="32" t="s">
        <v>4</v>
      </c>
      <c r="B1914" s="32">
        <f t="shared" si="461"/>
        <v>2035</v>
      </c>
      <c r="C1914" s="33" t="s">
        <v>17</v>
      </c>
      <c r="D1914" s="34" t="s">
        <v>1999</v>
      </c>
      <c r="E1914" s="35" t="str">
        <f t="shared" si="428"/>
        <v>PRB'!</v>
      </c>
      <c r="F1914" s="34" t="str">
        <f t="shared" si="429"/>
        <v>C:\Users\jaime.benazar\Quorum Business Solutions\Ecopetrol Prometeo - Documents\Planning Space Implementation\3. Analysis &amp; Design\Design\FC22\DRR Jaime\QUIFA-CAJÚA\Cajua\[CAJUA_CF_SEC_New_27-Feb-2024Rev3.xlsx]D-PRB'!</v>
      </c>
      <c r="G1914" s="32" t="s">
        <v>38</v>
      </c>
      <c r="H1914" s="33">
        <f t="shared" si="460"/>
        <v>24</v>
      </c>
      <c r="I1914" s="33" t="str">
        <f t="shared" si="459"/>
        <v>='C:\Users\jaime.benazar\Quorum Business Solutions\Ecopetrol Prometeo - Documents\Planning Space Implementation\3. Analysis &amp; Design\Design\FC22\DRR Jaime\QUIFA-CAJÚA\Cajua\[CAJUA_CF_SEC_New_27-Feb-2024Rev3.xlsx]D-PRB'!$BX$24</v>
      </c>
      <c r="J1914" s="37" t="s">
        <v>2863</v>
      </c>
    </row>
    <row r="1915" spans="1:10" x14ac:dyDescent="0.25">
      <c r="A1915" s="32" t="s">
        <v>4</v>
      </c>
      <c r="B1915" s="32">
        <f t="shared" si="461"/>
        <v>2036</v>
      </c>
      <c r="C1915" s="33" t="s">
        <v>17</v>
      </c>
      <c r="D1915" s="34" t="s">
        <v>1999</v>
      </c>
      <c r="E1915" s="35" t="str">
        <f t="shared" si="428"/>
        <v>PRB'!</v>
      </c>
      <c r="F1915" s="34" t="str">
        <f t="shared" si="429"/>
        <v>C:\Users\jaime.benazar\Quorum Business Solutions\Ecopetrol Prometeo - Documents\Planning Space Implementation\3. Analysis &amp; Design\Design\FC22\DRR Jaime\QUIFA-CAJÚA\Cajua\[CAJUA_CF_SEC_New_27-Feb-2024Rev3.xlsx]D-PRB'!</v>
      </c>
      <c r="G1915" s="32" t="s">
        <v>38</v>
      </c>
      <c r="H1915" s="33">
        <f t="shared" si="460"/>
        <v>25</v>
      </c>
      <c r="I1915" s="33" t="str">
        <f t="shared" si="459"/>
        <v>='C:\Users\jaime.benazar\Quorum Business Solutions\Ecopetrol Prometeo - Documents\Planning Space Implementation\3. Analysis &amp; Design\Design\FC22\DRR Jaime\QUIFA-CAJÚA\Cajua\[CAJUA_CF_SEC_New_27-Feb-2024Rev3.xlsx]D-PRB'!$BX$25</v>
      </c>
      <c r="J1915" s="37" t="s">
        <v>2864</v>
      </c>
    </row>
    <row r="1916" spans="1:10" x14ac:dyDescent="0.25">
      <c r="A1916" s="32" t="s">
        <v>4</v>
      </c>
      <c r="B1916" s="32">
        <f>+B1915+1</f>
        <v>2037</v>
      </c>
      <c r="C1916" s="33" t="s">
        <v>17</v>
      </c>
      <c r="D1916" s="34" t="s">
        <v>1999</v>
      </c>
      <c r="E1916" s="35" t="str">
        <f t="shared" si="428"/>
        <v>PRB'!</v>
      </c>
      <c r="F1916" s="34" t="str">
        <f t="shared" si="429"/>
        <v>C:\Users\jaime.benazar\Quorum Business Solutions\Ecopetrol Prometeo - Documents\Planning Space Implementation\3. Analysis &amp; Design\Design\FC22\DRR Jaime\QUIFA-CAJÚA\Cajua\[CAJUA_CF_SEC_New_27-Feb-2024Rev3.xlsx]D-PRB'!</v>
      </c>
      <c r="G1916" s="32" t="s">
        <v>38</v>
      </c>
      <c r="H1916" s="33">
        <f t="shared" si="460"/>
        <v>26</v>
      </c>
      <c r="I1916" s="33" t="str">
        <f t="shared" si="459"/>
        <v>='C:\Users\jaime.benazar\Quorum Business Solutions\Ecopetrol Prometeo - Documents\Planning Space Implementation\3. Analysis &amp; Design\Design\FC22\DRR Jaime\QUIFA-CAJÚA\Cajua\[CAJUA_CF_SEC_New_27-Feb-2024Rev3.xlsx]D-PRB'!$BX$26</v>
      </c>
      <c r="J1916" s="37" t="s">
        <v>2865</v>
      </c>
    </row>
    <row r="1917" spans="1:10" x14ac:dyDescent="0.25">
      <c r="A1917" s="32" t="s">
        <v>4</v>
      </c>
      <c r="B1917" s="32">
        <f t="shared" ref="B1917:B1919" si="462">+B1916+1</f>
        <v>2038</v>
      </c>
      <c r="C1917" s="33" t="s">
        <v>17</v>
      </c>
      <c r="D1917" s="34" t="s">
        <v>1999</v>
      </c>
      <c r="E1917" s="35" t="str">
        <f t="shared" si="428"/>
        <v>PRB'!</v>
      </c>
      <c r="F1917" s="34" t="str">
        <f t="shared" si="429"/>
        <v>C:\Users\jaime.benazar\Quorum Business Solutions\Ecopetrol Prometeo - Documents\Planning Space Implementation\3. Analysis &amp; Design\Design\FC22\DRR Jaime\QUIFA-CAJÚA\Cajua\[CAJUA_CF_SEC_New_27-Feb-2024Rev3.xlsx]D-PRB'!</v>
      </c>
      <c r="G1917" s="32" t="s">
        <v>38</v>
      </c>
      <c r="H1917" s="33">
        <f t="shared" si="460"/>
        <v>27</v>
      </c>
      <c r="I1917" s="33" t="str">
        <f t="shared" si="459"/>
        <v>='C:\Users\jaime.benazar\Quorum Business Solutions\Ecopetrol Prometeo - Documents\Planning Space Implementation\3. Analysis &amp; Design\Design\FC22\DRR Jaime\QUIFA-CAJÚA\Cajua\[CAJUA_CF_SEC_New_27-Feb-2024Rev3.xlsx]D-PRB'!$BX$27</v>
      </c>
      <c r="J1917" s="37" t="s">
        <v>2866</v>
      </c>
    </row>
    <row r="1918" spans="1:10" x14ac:dyDescent="0.25">
      <c r="A1918" s="32" t="s">
        <v>4</v>
      </c>
      <c r="B1918" s="32">
        <f t="shared" si="462"/>
        <v>2039</v>
      </c>
      <c r="C1918" s="33" t="s">
        <v>17</v>
      </c>
      <c r="D1918" s="34" t="s">
        <v>1999</v>
      </c>
      <c r="E1918" s="35" t="str">
        <f t="shared" si="428"/>
        <v>PRB'!</v>
      </c>
      <c r="F1918" s="34" t="str">
        <f t="shared" si="429"/>
        <v>C:\Users\jaime.benazar\Quorum Business Solutions\Ecopetrol Prometeo - Documents\Planning Space Implementation\3. Analysis &amp; Design\Design\FC22\DRR Jaime\QUIFA-CAJÚA\Cajua\[CAJUA_CF_SEC_New_27-Feb-2024Rev3.xlsx]D-PRB'!</v>
      </c>
      <c r="G1918" s="32" t="s">
        <v>38</v>
      </c>
      <c r="H1918" s="33">
        <f t="shared" si="460"/>
        <v>28</v>
      </c>
      <c r="I1918" s="33" t="str">
        <f t="shared" si="459"/>
        <v>='C:\Users\jaime.benazar\Quorum Business Solutions\Ecopetrol Prometeo - Documents\Planning Space Implementation\3. Analysis &amp; Design\Design\FC22\DRR Jaime\QUIFA-CAJÚA\Cajua\[CAJUA_CF_SEC_New_27-Feb-2024Rev3.xlsx]D-PRB'!$BX$28</v>
      </c>
      <c r="J1918" s="37" t="s">
        <v>2867</v>
      </c>
    </row>
    <row r="1919" spans="1:10" x14ac:dyDescent="0.25">
      <c r="A1919" s="32" t="s">
        <v>4</v>
      </c>
      <c r="B1919" s="32">
        <f t="shared" si="462"/>
        <v>2040</v>
      </c>
      <c r="C1919" s="33" t="s">
        <v>17</v>
      </c>
      <c r="D1919" s="34" t="s">
        <v>1999</v>
      </c>
      <c r="E1919" s="35" t="str">
        <f t="shared" si="428"/>
        <v>PRB'!</v>
      </c>
      <c r="F1919" s="34" t="str">
        <f t="shared" si="429"/>
        <v>C:\Users\jaime.benazar\Quorum Business Solutions\Ecopetrol Prometeo - Documents\Planning Space Implementation\3. Analysis &amp; Design\Design\FC22\DRR Jaime\QUIFA-CAJÚA\Cajua\[CAJUA_CF_SEC_New_27-Feb-2024Rev3.xlsx]D-PRB'!</v>
      </c>
      <c r="G1919" s="32" t="s">
        <v>38</v>
      </c>
      <c r="H1919" s="33">
        <f t="shared" si="460"/>
        <v>29</v>
      </c>
      <c r="I1919" s="33" t="str">
        <f t="shared" si="459"/>
        <v>='C:\Users\jaime.benazar\Quorum Business Solutions\Ecopetrol Prometeo - Documents\Planning Space Implementation\3. Analysis &amp; Design\Design\FC22\DRR Jaime\QUIFA-CAJÚA\Cajua\[CAJUA_CF_SEC_New_27-Feb-2024Rev3.xlsx]D-PRB'!$BX$29</v>
      </c>
      <c r="J1919" s="37" t="s">
        <v>2868</v>
      </c>
    </row>
    <row r="1920" spans="1:10" x14ac:dyDescent="0.25">
      <c r="A1920" s="32" t="s">
        <v>4</v>
      </c>
      <c r="B1920" s="32">
        <f>+B1919+1</f>
        <v>2041</v>
      </c>
      <c r="C1920" s="33" t="s">
        <v>17</v>
      </c>
      <c r="D1920" s="34" t="s">
        <v>1999</v>
      </c>
      <c r="E1920" s="35" t="str">
        <f t="shared" si="428"/>
        <v>PRB'!</v>
      </c>
      <c r="F1920" s="34" t="str">
        <f t="shared" si="429"/>
        <v>C:\Users\jaime.benazar\Quorum Business Solutions\Ecopetrol Prometeo - Documents\Planning Space Implementation\3. Analysis &amp; Design\Design\FC22\DRR Jaime\QUIFA-CAJÚA\Cajua\[CAJUA_CF_SEC_New_27-Feb-2024Rev3.xlsx]D-PRB'!</v>
      </c>
      <c r="G1920" s="32" t="s">
        <v>38</v>
      </c>
      <c r="H1920" s="33">
        <f t="shared" si="460"/>
        <v>30</v>
      </c>
      <c r="I1920" s="33" t="str">
        <f t="shared" si="459"/>
        <v>='C:\Users\jaime.benazar\Quorum Business Solutions\Ecopetrol Prometeo - Documents\Planning Space Implementation\3. Analysis &amp; Design\Design\FC22\DRR Jaime\QUIFA-CAJÚA\Cajua\[CAJUA_CF_SEC_New_27-Feb-2024Rev3.xlsx]D-PRB'!$BX$30</v>
      </c>
      <c r="J1920" s="37" t="s">
        <v>2869</v>
      </c>
    </row>
    <row r="1921" spans="1:10" x14ac:dyDescent="0.25">
      <c r="A1921" s="32" t="s">
        <v>4</v>
      </c>
      <c r="B1921" s="32">
        <f t="shared" ref="B1921:B1922" si="463">+B1920+1</f>
        <v>2042</v>
      </c>
      <c r="C1921" s="33" t="s">
        <v>17</v>
      </c>
      <c r="D1921" s="34" t="s">
        <v>1999</v>
      </c>
      <c r="E1921" s="35" t="str">
        <f t="shared" si="428"/>
        <v>PRB'!</v>
      </c>
      <c r="F1921" s="34" t="str">
        <f t="shared" si="429"/>
        <v>C:\Users\jaime.benazar\Quorum Business Solutions\Ecopetrol Prometeo - Documents\Planning Space Implementation\3. Analysis &amp; Design\Design\FC22\DRR Jaime\QUIFA-CAJÚA\Cajua\[CAJUA_CF_SEC_New_27-Feb-2024Rev3.xlsx]D-PRB'!</v>
      </c>
      <c r="G1921" s="32" t="s">
        <v>38</v>
      </c>
      <c r="H1921" s="33">
        <f t="shared" si="460"/>
        <v>31</v>
      </c>
      <c r="I1921" s="33" t="str">
        <f t="shared" si="459"/>
        <v>='C:\Users\jaime.benazar\Quorum Business Solutions\Ecopetrol Prometeo - Documents\Planning Space Implementation\3. Analysis &amp; Design\Design\FC22\DRR Jaime\QUIFA-CAJÚA\Cajua\[CAJUA_CF_SEC_New_27-Feb-2024Rev3.xlsx]D-PRB'!$BX$31</v>
      </c>
      <c r="J1921" s="37" t="s">
        <v>2870</v>
      </c>
    </row>
    <row r="1922" spans="1:10" x14ac:dyDescent="0.25">
      <c r="A1922" s="32" t="s">
        <v>4</v>
      </c>
      <c r="B1922" s="32">
        <f t="shared" si="463"/>
        <v>2043</v>
      </c>
      <c r="C1922" s="33" t="s">
        <v>17</v>
      </c>
      <c r="D1922" s="34" t="s">
        <v>1999</v>
      </c>
      <c r="E1922" s="35" t="str">
        <f t="shared" si="428"/>
        <v>PRB'!</v>
      </c>
      <c r="F1922" s="34" t="str">
        <f t="shared" si="429"/>
        <v>C:\Users\jaime.benazar\Quorum Business Solutions\Ecopetrol Prometeo - Documents\Planning Space Implementation\3. Analysis &amp; Design\Design\FC22\DRR Jaime\QUIFA-CAJÚA\Cajua\[CAJUA_CF_SEC_New_27-Feb-2024Rev3.xlsx]D-PRB'!</v>
      </c>
      <c r="G1922" s="32" t="s">
        <v>38</v>
      </c>
      <c r="H1922" s="33">
        <f t="shared" si="460"/>
        <v>32</v>
      </c>
      <c r="I1922" s="33" t="str">
        <f t="shared" si="459"/>
        <v>='C:\Users\jaime.benazar\Quorum Business Solutions\Ecopetrol Prometeo - Documents\Planning Space Implementation\3. Analysis &amp; Design\Design\FC22\DRR Jaime\QUIFA-CAJÚA\Cajua\[CAJUA_CF_SEC_New_27-Feb-2024Rev3.xlsx]D-PRB'!$BX$32</v>
      </c>
      <c r="J1922" s="37" t="s">
        <v>2871</v>
      </c>
    </row>
    <row r="1923" spans="1:10" x14ac:dyDescent="0.25">
      <c r="A1923" s="32" t="s">
        <v>4</v>
      </c>
      <c r="B1923" s="32">
        <f>+B1922+1</f>
        <v>2044</v>
      </c>
      <c r="C1923" s="33" t="s">
        <v>17</v>
      </c>
      <c r="D1923" s="34" t="s">
        <v>1999</v>
      </c>
      <c r="E1923" s="35" t="str">
        <f t="shared" ref="E1923:E1938" si="464">_xlfn.CONCAT(A1923,"'!")</f>
        <v>PRB'!</v>
      </c>
      <c r="F1923" s="34" t="str">
        <f t="shared" ref="F1923:F1938" si="465">_xlfn.CONCAT(D1923:E1923)</f>
        <v>C:\Users\jaime.benazar\Quorum Business Solutions\Ecopetrol Prometeo - Documents\Planning Space Implementation\3. Analysis &amp; Design\Design\FC22\DRR Jaime\QUIFA-CAJÚA\Cajua\[CAJUA_CF_SEC_New_27-Feb-2024Rev3.xlsx]D-PRB'!</v>
      </c>
      <c r="G1923" s="32" t="s">
        <v>38</v>
      </c>
      <c r="H1923" s="33">
        <f t="shared" ref="H1923:H1938" si="466">IF(A1923&lt;&gt;A1922,12,H1922+1)</f>
        <v>33</v>
      </c>
      <c r="I1923" s="33" t="str">
        <f t="shared" ref="I1923:I1938" si="467">_xlfn.CONCAT("='",F1923:H1923)</f>
        <v>='C:\Users\jaime.benazar\Quorum Business Solutions\Ecopetrol Prometeo - Documents\Planning Space Implementation\3. Analysis &amp; Design\Design\FC22\DRR Jaime\QUIFA-CAJÚA\Cajua\[CAJUA_CF_SEC_New_27-Feb-2024Rev3.xlsx]D-PRB'!$BX$33</v>
      </c>
      <c r="J1923" s="37" t="s">
        <v>2872</v>
      </c>
    </row>
    <row r="1924" spans="1:10" x14ac:dyDescent="0.25">
      <c r="A1924" s="32" t="s">
        <v>4</v>
      </c>
      <c r="B1924" s="32">
        <f t="shared" ref="B1924:B1938" si="468">+B1923+1</f>
        <v>2045</v>
      </c>
      <c r="C1924" s="33" t="s">
        <v>17</v>
      </c>
      <c r="D1924" s="34" t="s">
        <v>1999</v>
      </c>
      <c r="E1924" s="35" t="str">
        <f t="shared" si="464"/>
        <v>PRB'!</v>
      </c>
      <c r="F1924" s="34" t="str">
        <f t="shared" si="465"/>
        <v>C:\Users\jaime.benazar\Quorum Business Solutions\Ecopetrol Prometeo - Documents\Planning Space Implementation\3. Analysis &amp; Design\Design\FC22\DRR Jaime\QUIFA-CAJÚA\Cajua\[CAJUA_CF_SEC_New_27-Feb-2024Rev3.xlsx]D-PRB'!</v>
      </c>
      <c r="G1924" s="32" t="s">
        <v>38</v>
      </c>
      <c r="H1924" s="33">
        <f t="shared" si="466"/>
        <v>34</v>
      </c>
      <c r="I1924" s="33" t="str">
        <f t="shared" si="467"/>
        <v>='C:\Users\jaime.benazar\Quorum Business Solutions\Ecopetrol Prometeo - Documents\Planning Space Implementation\3. Analysis &amp; Design\Design\FC22\DRR Jaime\QUIFA-CAJÚA\Cajua\[CAJUA_CF_SEC_New_27-Feb-2024Rev3.xlsx]D-PRB'!$BX$34</v>
      </c>
      <c r="J1924" s="37" t="s">
        <v>2873</v>
      </c>
    </row>
    <row r="1925" spans="1:10" x14ac:dyDescent="0.25">
      <c r="A1925" s="32" t="s">
        <v>4</v>
      </c>
      <c r="B1925" s="32">
        <f t="shared" si="468"/>
        <v>2046</v>
      </c>
      <c r="C1925" s="33" t="s">
        <v>17</v>
      </c>
      <c r="D1925" s="34" t="s">
        <v>1999</v>
      </c>
      <c r="E1925" s="35" t="str">
        <f t="shared" si="464"/>
        <v>PRB'!</v>
      </c>
      <c r="F1925" s="34" t="str">
        <f t="shared" si="465"/>
        <v>C:\Users\jaime.benazar\Quorum Business Solutions\Ecopetrol Prometeo - Documents\Planning Space Implementation\3. Analysis &amp; Design\Design\FC22\DRR Jaime\QUIFA-CAJÚA\Cajua\[CAJUA_CF_SEC_New_27-Feb-2024Rev3.xlsx]D-PRB'!</v>
      </c>
      <c r="G1925" s="32" t="s">
        <v>38</v>
      </c>
      <c r="H1925" s="33">
        <f t="shared" si="466"/>
        <v>35</v>
      </c>
      <c r="I1925" s="33" t="str">
        <f t="shared" si="467"/>
        <v>='C:\Users\jaime.benazar\Quorum Business Solutions\Ecopetrol Prometeo - Documents\Planning Space Implementation\3. Analysis &amp; Design\Design\FC22\DRR Jaime\QUIFA-CAJÚA\Cajua\[CAJUA_CF_SEC_New_27-Feb-2024Rev3.xlsx]D-PRB'!$BX$35</v>
      </c>
      <c r="J1925" s="37" t="s">
        <v>2874</v>
      </c>
    </row>
    <row r="1926" spans="1:10" x14ac:dyDescent="0.25">
      <c r="A1926" s="32" t="s">
        <v>4</v>
      </c>
      <c r="B1926" s="32">
        <f t="shared" si="468"/>
        <v>2047</v>
      </c>
      <c r="C1926" s="33" t="s">
        <v>17</v>
      </c>
      <c r="D1926" s="34" t="s">
        <v>1999</v>
      </c>
      <c r="E1926" s="35" t="str">
        <f t="shared" si="464"/>
        <v>PRB'!</v>
      </c>
      <c r="F1926" s="34" t="str">
        <f t="shared" si="465"/>
        <v>C:\Users\jaime.benazar\Quorum Business Solutions\Ecopetrol Prometeo - Documents\Planning Space Implementation\3. Analysis &amp; Design\Design\FC22\DRR Jaime\QUIFA-CAJÚA\Cajua\[CAJUA_CF_SEC_New_27-Feb-2024Rev3.xlsx]D-PRB'!</v>
      </c>
      <c r="G1926" s="32" t="s">
        <v>38</v>
      </c>
      <c r="H1926" s="33">
        <f t="shared" si="466"/>
        <v>36</v>
      </c>
      <c r="I1926" s="33" t="str">
        <f t="shared" si="467"/>
        <v>='C:\Users\jaime.benazar\Quorum Business Solutions\Ecopetrol Prometeo - Documents\Planning Space Implementation\3. Analysis &amp; Design\Design\FC22\DRR Jaime\QUIFA-CAJÚA\Cajua\[CAJUA_CF_SEC_New_27-Feb-2024Rev3.xlsx]D-PRB'!$BX$36</v>
      </c>
      <c r="J1926" s="37" t="s">
        <v>2875</v>
      </c>
    </row>
    <row r="1927" spans="1:10" x14ac:dyDescent="0.25">
      <c r="A1927" s="32" t="s">
        <v>4</v>
      </c>
      <c r="B1927" s="32">
        <f t="shared" si="468"/>
        <v>2048</v>
      </c>
      <c r="C1927" s="33" t="s">
        <v>17</v>
      </c>
      <c r="D1927" s="34" t="s">
        <v>1999</v>
      </c>
      <c r="E1927" s="35" t="str">
        <f t="shared" si="464"/>
        <v>PRB'!</v>
      </c>
      <c r="F1927" s="34" t="str">
        <f t="shared" si="465"/>
        <v>C:\Users\jaime.benazar\Quorum Business Solutions\Ecopetrol Prometeo - Documents\Planning Space Implementation\3. Analysis &amp; Design\Design\FC22\DRR Jaime\QUIFA-CAJÚA\Cajua\[CAJUA_CF_SEC_New_27-Feb-2024Rev3.xlsx]D-PRB'!</v>
      </c>
      <c r="G1927" s="32" t="s">
        <v>38</v>
      </c>
      <c r="H1927" s="33">
        <f t="shared" si="466"/>
        <v>37</v>
      </c>
      <c r="I1927" s="33" t="str">
        <f t="shared" si="467"/>
        <v>='C:\Users\jaime.benazar\Quorum Business Solutions\Ecopetrol Prometeo - Documents\Planning Space Implementation\3. Analysis &amp; Design\Design\FC22\DRR Jaime\QUIFA-CAJÚA\Cajua\[CAJUA_CF_SEC_New_27-Feb-2024Rev3.xlsx]D-PRB'!$BX$37</v>
      </c>
      <c r="J1927" s="37" t="s">
        <v>2876</v>
      </c>
    </row>
    <row r="1928" spans="1:10" x14ac:dyDescent="0.25">
      <c r="A1928" s="32" t="s">
        <v>4</v>
      </c>
      <c r="B1928" s="32">
        <f t="shared" si="468"/>
        <v>2049</v>
      </c>
      <c r="C1928" s="33" t="s">
        <v>17</v>
      </c>
      <c r="D1928" s="34" t="s">
        <v>1999</v>
      </c>
      <c r="E1928" s="35" t="str">
        <f t="shared" si="464"/>
        <v>PRB'!</v>
      </c>
      <c r="F1928" s="34" t="str">
        <f t="shared" si="465"/>
        <v>C:\Users\jaime.benazar\Quorum Business Solutions\Ecopetrol Prometeo - Documents\Planning Space Implementation\3. Analysis &amp; Design\Design\FC22\DRR Jaime\QUIFA-CAJÚA\Cajua\[CAJUA_CF_SEC_New_27-Feb-2024Rev3.xlsx]D-PRB'!</v>
      </c>
      <c r="G1928" s="32" t="s">
        <v>38</v>
      </c>
      <c r="H1928" s="33">
        <f t="shared" si="466"/>
        <v>38</v>
      </c>
      <c r="I1928" s="33" t="str">
        <f t="shared" si="467"/>
        <v>='C:\Users\jaime.benazar\Quorum Business Solutions\Ecopetrol Prometeo - Documents\Planning Space Implementation\3. Analysis &amp; Design\Design\FC22\DRR Jaime\QUIFA-CAJÚA\Cajua\[CAJUA_CF_SEC_New_27-Feb-2024Rev3.xlsx]D-PRB'!$BX$38</v>
      </c>
      <c r="J1928" s="37" t="s">
        <v>2877</v>
      </c>
    </row>
    <row r="1929" spans="1:10" x14ac:dyDescent="0.25">
      <c r="A1929" s="32" t="s">
        <v>4</v>
      </c>
      <c r="B1929" s="32">
        <f t="shared" si="468"/>
        <v>2050</v>
      </c>
      <c r="C1929" s="33" t="s">
        <v>17</v>
      </c>
      <c r="D1929" s="34" t="s">
        <v>1999</v>
      </c>
      <c r="E1929" s="35" t="str">
        <f t="shared" si="464"/>
        <v>PRB'!</v>
      </c>
      <c r="F1929" s="34" t="str">
        <f t="shared" si="465"/>
        <v>C:\Users\jaime.benazar\Quorum Business Solutions\Ecopetrol Prometeo - Documents\Planning Space Implementation\3. Analysis &amp; Design\Design\FC22\DRR Jaime\QUIFA-CAJÚA\Cajua\[CAJUA_CF_SEC_New_27-Feb-2024Rev3.xlsx]D-PRB'!</v>
      </c>
      <c r="G1929" s="32" t="s">
        <v>38</v>
      </c>
      <c r="H1929" s="33">
        <f t="shared" si="466"/>
        <v>39</v>
      </c>
      <c r="I1929" s="33" t="str">
        <f t="shared" si="467"/>
        <v>='C:\Users\jaime.benazar\Quorum Business Solutions\Ecopetrol Prometeo - Documents\Planning Space Implementation\3. Analysis &amp; Design\Design\FC22\DRR Jaime\QUIFA-CAJÚA\Cajua\[CAJUA_CF_SEC_New_27-Feb-2024Rev3.xlsx]D-PRB'!$BX$39</v>
      </c>
      <c r="J1929" s="37" t="s">
        <v>2878</v>
      </c>
    </row>
    <row r="1930" spans="1:10" x14ac:dyDescent="0.25">
      <c r="A1930" s="32" t="s">
        <v>4</v>
      </c>
      <c r="B1930" s="32">
        <f t="shared" si="468"/>
        <v>2051</v>
      </c>
      <c r="C1930" s="33" t="s">
        <v>17</v>
      </c>
      <c r="D1930" s="34" t="s">
        <v>1999</v>
      </c>
      <c r="E1930" s="35" t="str">
        <f t="shared" si="464"/>
        <v>PRB'!</v>
      </c>
      <c r="F1930" s="34" t="str">
        <f t="shared" si="465"/>
        <v>C:\Users\jaime.benazar\Quorum Business Solutions\Ecopetrol Prometeo - Documents\Planning Space Implementation\3. Analysis &amp; Design\Design\FC22\DRR Jaime\QUIFA-CAJÚA\Cajua\[CAJUA_CF_SEC_New_27-Feb-2024Rev3.xlsx]D-PRB'!</v>
      </c>
      <c r="G1930" s="32" t="s">
        <v>38</v>
      </c>
      <c r="H1930" s="33">
        <f t="shared" si="466"/>
        <v>40</v>
      </c>
      <c r="I1930" s="33" t="str">
        <f t="shared" si="467"/>
        <v>='C:\Users\jaime.benazar\Quorum Business Solutions\Ecopetrol Prometeo - Documents\Planning Space Implementation\3. Analysis &amp; Design\Design\FC22\DRR Jaime\QUIFA-CAJÚA\Cajua\[CAJUA_CF_SEC_New_27-Feb-2024Rev3.xlsx]D-PRB'!$BX$40</v>
      </c>
      <c r="J1930" s="37" t="s">
        <v>2879</v>
      </c>
    </row>
    <row r="1931" spans="1:10" x14ac:dyDescent="0.25">
      <c r="A1931" s="32" t="s">
        <v>4</v>
      </c>
      <c r="B1931" s="32">
        <f t="shared" si="468"/>
        <v>2052</v>
      </c>
      <c r="C1931" s="33" t="s">
        <v>17</v>
      </c>
      <c r="D1931" s="34" t="s">
        <v>1999</v>
      </c>
      <c r="E1931" s="35" t="str">
        <f t="shared" si="464"/>
        <v>PRB'!</v>
      </c>
      <c r="F1931" s="34" t="str">
        <f t="shared" si="465"/>
        <v>C:\Users\jaime.benazar\Quorum Business Solutions\Ecopetrol Prometeo - Documents\Planning Space Implementation\3. Analysis &amp; Design\Design\FC22\DRR Jaime\QUIFA-CAJÚA\Cajua\[CAJUA_CF_SEC_New_27-Feb-2024Rev3.xlsx]D-PRB'!</v>
      </c>
      <c r="G1931" s="32" t="s">
        <v>38</v>
      </c>
      <c r="H1931" s="33">
        <f t="shared" si="466"/>
        <v>41</v>
      </c>
      <c r="I1931" s="33" t="str">
        <f t="shared" si="467"/>
        <v>='C:\Users\jaime.benazar\Quorum Business Solutions\Ecopetrol Prometeo - Documents\Planning Space Implementation\3. Analysis &amp; Design\Design\FC22\DRR Jaime\QUIFA-CAJÚA\Cajua\[CAJUA_CF_SEC_New_27-Feb-2024Rev3.xlsx]D-PRB'!$BX$41</v>
      </c>
      <c r="J1931" s="37" t="s">
        <v>2880</v>
      </c>
    </row>
    <row r="1932" spans="1:10" x14ac:dyDescent="0.25">
      <c r="A1932" s="32" t="s">
        <v>4</v>
      </c>
      <c r="B1932" s="32">
        <f t="shared" si="468"/>
        <v>2053</v>
      </c>
      <c r="C1932" s="33" t="s">
        <v>17</v>
      </c>
      <c r="D1932" s="34" t="s">
        <v>1999</v>
      </c>
      <c r="E1932" s="35" t="str">
        <f t="shared" si="464"/>
        <v>PRB'!</v>
      </c>
      <c r="F1932" s="34" t="str">
        <f t="shared" si="465"/>
        <v>C:\Users\jaime.benazar\Quorum Business Solutions\Ecopetrol Prometeo - Documents\Planning Space Implementation\3. Analysis &amp; Design\Design\FC22\DRR Jaime\QUIFA-CAJÚA\Cajua\[CAJUA_CF_SEC_New_27-Feb-2024Rev3.xlsx]D-PRB'!</v>
      </c>
      <c r="G1932" s="32" t="s">
        <v>38</v>
      </c>
      <c r="H1932" s="33">
        <f t="shared" si="466"/>
        <v>42</v>
      </c>
      <c r="I1932" s="33" t="str">
        <f t="shared" si="467"/>
        <v>='C:\Users\jaime.benazar\Quorum Business Solutions\Ecopetrol Prometeo - Documents\Planning Space Implementation\3. Analysis &amp; Design\Design\FC22\DRR Jaime\QUIFA-CAJÚA\Cajua\[CAJUA_CF_SEC_New_27-Feb-2024Rev3.xlsx]D-PRB'!$BX$42</v>
      </c>
      <c r="J1932" s="37" t="s">
        <v>2881</v>
      </c>
    </row>
    <row r="1933" spans="1:10" x14ac:dyDescent="0.25">
      <c r="A1933" s="32" t="s">
        <v>4</v>
      </c>
      <c r="B1933" s="32">
        <f t="shared" si="468"/>
        <v>2054</v>
      </c>
      <c r="C1933" s="33" t="s">
        <v>17</v>
      </c>
      <c r="D1933" s="34" t="s">
        <v>1999</v>
      </c>
      <c r="E1933" s="35" t="str">
        <f t="shared" si="464"/>
        <v>PRB'!</v>
      </c>
      <c r="F1933" s="34" t="str">
        <f t="shared" si="465"/>
        <v>C:\Users\jaime.benazar\Quorum Business Solutions\Ecopetrol Prometeo - Documents\Planning Space Implementation\3. Analysis &amp; Design\Design\FC22\DRR Jaime\QUIFA-CAJÚA\Cajua\[CAJUA_CF_SEC_New_27-Feb-2024Rev3.xlsx]D-PRB'!</v>
      </c>
      <c r="G1933" s="32" t="s">
        <v>38</v>
      </c>
      <c r="H1933" s="33">
        <f t="shared" si="466"/>
        <v>43</v>
      </c>
      <c r="I1933" s="33" t="str">
        <f t="shared" si="467"/>
        <v>='C:\Users\jaime.benazar\Quorum Business Solutions\Ecopetrol Prometeo - Documents\Planning Space Implementation\3. Analysis &amp; Design\Design\FC22\DRR Jaime\QUIFA-CAJÚA\Cajua\[CAJUA_CF_SEC_New_27-Feb-2024Rev3.xlsx]D-PRB'!$BX$43</v>
      </c>
      <c r="J1933" s="37" t="s">
        <v>2882</v>
      </c>
    </row>
    <row r="1934" spans="1:10" x14ac:dyDescent="0.25">
      <c r="A1934" s="32" t="s">
        <v>4</v>
      </c>
      <c r="B1934" s="32">
        <f t="shared" si="468"/>
        <v>2055</v>
      </c>
      <c r="C1934" s="33" t="s">
        <v>17</v>
      </c>
      <c r="D1934" s="34" t="s">
        <v>1999</v>
      </c>
      <c r="E1934" s="35" t="str">
        <f t="shared" si="464"/>
        <v>PRB'!</v>
      </c>
      <c r="F1934" s="34" t="str">
        <f t="shared" si="465"/>
        <v>C:\Users\jaime.benazar\Quorum Business Solutions\Ecopetrol Prometeo - Documents\Planning Space Implementation\3. Analysis &amp; Design\Design\FC22\DRR Jaime\QUIFA-CAJÚA\Cajua\[CAJUA_CF_SEC_New_27-Feb-2024Rev3.xlsx]D-PRB'!</v>
      </c>
      <c r="G1934" s="32" t="s">
        <v>38</v>
      </c>
      <c r="H1934" s="33">
        <f t="shared" si="466"/>
        <v>44</v>
      </c>
      <c r="I1934" s="33" t="str">
        <f t="shared" si="467"/>
        <v>='C:\Users\jaime.benazar\Quorum Business Solutions\Ecopetrol Prometeo - Documents\Planning Space Implementation\3. Analysis &amp; Design\Design\FC22\DRR Jaime\QUIFA-CAJÚA\Cajua\[CAJUA_CF_SEC_New_27-Feb-2024Rev3.xlsx]D-PRB'!$BX$44</v>
      </c>
      <c r="J1934" s="37" t="s">
        <v>2883</v>
      </c>
    </row>
    <row r="1935" spans="1:10" x14ac:dyDescent="0.25">
      <c r="A1935" s="32" t="s">
        <v>4</v>
      </c>
      <c r="B1935" s="32">
        <f t="shared" si="468"/>
        <v>2056</v>
      </c>
      <c r="C1935" s="33" t="s">
        <v>17</v>
      </c>
      <c r="D1935" s="34" t="s">
        <v>1999</v>
      </c>
      <c r="E1935" s="35" t="str">
        <f t="shared" si="464"/>
        <v>PRB'!</v>
      </c>
      <c r="F1935" s="34" t="str">
        <f t="shared" si="465"/>
        <v>C:\Users\jaime.benazar\Quorum Business Solutions\Ecopetrol Prometeo - Documents\Planning Space Implementation\3. Analysis &amp; Design\Design\FC22\DRR Jaime\QUIFA-CAJÚA\Cajua\[CAJUA_CF_SEC_New_27-Feb-2024Rev3.xlsx]D-PRB'!</v>
      </c>
      <c r="G1935" s="32" t="s">
        <v>38</v>
      </c>
      <c r="H1935" s="33">
        <f t="shared" si="466"/>
        <v>45</v>
      </c>
      <c r="I1935" s="33" t="str">
        <f t="shared" si="467"/>
        <v>='C:\Users\jaime.benazar\Quorum Business Solutions\Ecopetrol Prometeo - Documents\Planning Space Implementation\3. Analysis &amp; Design\Design\FC22\DRR Jaime\QUIFA-CAJÚA\Cajua\[CAJUA_CF_SEC_New_27-Feb-2024Rev3.xlsx]D-PRB'!$BX$45</v>
      </c>
      <c r="J1935" s="37" t="s">
        <v>2884</v>
      </c>
    </row>
    <row r="1936" spans="1:10" x14ac:dyDescent="0.25">
      <c r="A1936" s="32" t="s">
        <v>4</v>
      </c>
      <c r="B1936" s="32">
        <f t="shared" si="468"/>
        <v>2057</v>
      </c>
      <c r="C1936" s="33" t="s">
        <v>17</v>
      </c>
      <c r="D1936" s="34" t="s">
        <v>1999</v>
      </c>
      <c r="E1936" s="35" t="str">
        <f t="shared" si="464"/>
        <v>PRB'!</v>
      </c>
      <c r="F1936" s="34" t="str">
        <f t="shared" si="465"/>
        <v>C:\Users\jaime.benazar\Quorum Business Solutions\Ecopetrol Prometeo - Documents\Planning Space Implementation\3. Analysis &amp; Design\Design\FC22\DRR Jaime\QUIFA-CAJÚA\Cajua\[CAJUA_CF_SEC_New_27-Feb-2024Rev3.xlsx]D-PRB'!</v>
      </c>
      <c r="G1936" s="32" t="s">
        <v>38</v>
      </c>
      <c r="H1936" s="33">
        <f t="shared" si="466"/>
        <v>46</v>
      </c>
      <c r="I1936" s="33" t="str">
        <f t="shared" si="467"/>
        <v>='C:\Users\jaime.benazar\Quorum Business Solutions\Ecopetrol Prometeo - Documents\Planning Space Implementation\3. Analysis &amp; Design\Design\FC22\DRR Jaime\QUIFA-CAJÚA\Cajua\[CAJUA_CF_SEC_New_27-Feb-2024Rev3.xlsx]D-PRB'!$BX$46</v>
      </c>
      <c r="J1936" s="37" t="s">
        <v>2885</v>
      </c>
    </row>
    <row r="1937" spans="1:10" x14ac:dyDescent="0.25">
      <c r="A1937" s="32" t="s">
        <v>4</v>
      </c>
      <c r="B1937" s="32">
        <f t="shared" si="468"/>
        <v>2058</v>
      </c>
      <c r="C1937" s="33" t="s">
        <v>17</v>
      </c>
      <c r="D1937" s="34" t="s">
        <v>1999</v>
      </c>
      <c r="E1937" s="35" t="str">
        <f t="shared" si="464"/>
        <v>PRB'!</v>
      </c>
      <c r="F1937" s="34" t="str">
        <f t="shared" si="465"/>
        <v>C:\Users\jaime.benazar\Quorum Business Solutions\Ecopetrol Prometeo - Documents\Planning Space Implementation\3. Analysis &amp; Design\Design\FC22\DRR Jaime\QUIFA-CAJÚA\Cajua\[CAJUA_CF_SEC_New_27-Feb-2024Rev3.xlsx]D-PRB'!</v>
      </c>
      <c r="G1937" s="32" t="s">
        <v>38</v>
      </c>
      <c r="H1937" s="33">
        <f t="shared" si="466"/>
        <v>47</v>
      </c>
      <c r="I1937" s="33" t="str">
        <f t="shared" si="467"/>
        <v>='C:\Users\jaime.benazar\Quorum Business Solutions\Ecopetrol Prometeo - Documents\Planning Space Implementation\3. Analysis &amp; Design\Design\FC22\DRR Jaime\QUIFA-CAJÚA\Cajua\[CAJUA_CF_SEC_New_27-Feb-2024Rev3.xlsx]D-PRB'!$BX$47</v>
      </c>
      <c r="J1937" s="37" t="s">
        <v>2886</v>
      </c>
    </row>
    <row r="1938" spans="1:10" x14ac:dyDescent="0.25">
      <c r="A1938" s="32" t="s">
        <v>4</v>
      </c>
      <c r="B1938" s="32">
        <f t="shared" si="468"/>
        <v>2059</v>
      </c>
      <c r="C1938" s="33" t="s">
        <v>17</v>
      </c>
      <c r="D1938" s="34" t="s">
        <v>1999</v>
      </c>
      <c r="E1938" s="35" t="str">
        <f t="shared" si="464"/>
        <v>PRB'!</v>
      </c>
      <c r="F1938" s="34" t="str">
        <f t="shared" si="465"/>
        <v>C:\Users\jaime.benazar\Quorum Business Solutions\Ecopetrol Prometeo - Documents\Planning Space Implementation\3. Analysis &amp; Design\Design\FC22\DRR Jaime\QUIFA-CAJÚA\Cajua\[CAJUA_CF_SEC_New_27-Feb-2024Rev3.xlsx]D-PRB'!</v>
      </c>
      <c r="G1938" s="32" t="s">
        <v>38</v>
      </c>
      <c r="H1938" s="33">
        <f t="shared" si="466"/>
        <v>48</v>
      </c>
      <c r="I1938" s="33" t="str">
        <f t="shared" si="467"/>
        <v>='C:\Users\jaime.benazar\Quorum Business Solutions\Ecopetrol Prometeo - Documents\Planning Space Implementation\3. Analysis &amp; Design\Design\FC22\DRR Jaime\QUIFA-CAJÚA\Cajua\[CAJUA_CF_SEC_New_27-Feb-2024Rev3.xlsx]D-PRB'!$BX$48</v>
      </c>
      <c r="J1938" s="37" t="s">
        <v>2887</v>
      </c>
    </row>
    <row r="1939" spans="1:10" x14ac:dyDescent="0.25">
      <c r="A1939" s="32" t="s">
        <v>28</v>
      </c>
      <c r="B1939" s="32"/>
      <c r="C1939" s="33" t="s">
        <v>17</v>
      </c>
      <c r="D1939" s="34"/>
      <c r="E1939" s="35"/>
      <c r="F1939" s="34"/>
      <c r="G1939" s="32"/>
      <c r="H1939" s="33"/>
      <c r="I1939" s="33"/>
      <c r="J1939" s="33"/>
    </row>
    <row r="1940" spans="1:10" x14ac:dyDescent="0.25">
      <c r="A1940" s="32" t="s">
        <v>102</v>
      </c>
      <c r="B1940" s="32">
        <v>2023</v>
      </c>
      <c r="C1940" s="33" t="s">
        <v>17</v>
      </c>
      <c r="D1940" s="34" t="s">
        <v>1999</v>
      </c>
      <c r="E1940" s="35" t="str">
        <f t="shared" ref="E1940:E1960" si="469">_xlfn.CONCAT(A1940,"'!")</f>
        <v>PSDP'!</v>
      </c>
      <c r="F1940" s="34" t="str">
        <f t="shared" ref="F1940:F1960" si="470">_xlfn.CONCAT(D1940:E1940)</f>
        <v>C:\Users\jaime.benazar\Quorum Business Solutions\Ecopetrol Prometeo - Documents\Planning Space Implementation\3. Analysis &amp; Design\Design\FC22\DRR Jaime\QUIFA-CAJÚA\Cajua\[CAJUA_CF_SEC_New_27-Feb-2024Rev3.xlsx]D-PSDP'!</v>
      </c>
      <c r="G1940" s="32" t="s">
        <v>38</v>
      </c>
      <c r="H1940" s="33"/>
      <c r="I1940" s="33"/>
      <c r="J1940" s="37"/>
    </row>
    <row r="1941" spans="1:10" x14ac:dyDescent="0.25">
      <c r="A1941" s="32" t="s">
        <v>102</v>
      </c>
      <c r="B1941" s="32">
        <f>+B1940+1</f>
        <v>2024</v>
      </c>
      <c r="C1941" s="33" t="s">
        <v>17</v>
      </c>
      <c r="D1941" s="34" t="s">
        <v>1999</v>
      </c>
      <c r="E1941" s="35" t="str">
        <f t="shared" si="469"/>
        <v>PSDP'!</v>
      </c>
      <c r="F1941" s="34" t="str">
        <f t="shared" si="470"/>
        <v>C:\Users\jaime.benazar\Quorum Business Solutions\Ecopetrol Prometeo - Documents\Planning Space Implementation\3. Analysis &amp; Design\Design\FC22\DRR Jaime\QUIFA-CAJÚA\Cajua\[CAJUA_CF_SEC_New_27-Feb-2024Rev3.xlsx]D-PSDP'!</v>
      </c>
      <c r="G1941" s="32" t="s">
        <v>38</v>
      </c>
      <c r="H1941" s="33"/>
      <c r="I1941" s="33"/>
      <c r="J1941" s="37"/>
    </row>
    <row r="1942" spans="1:10" x14ac:dyDescent="0.25">
      <c r="A1942" s="32" t="s">
        <v>102</v>
      </c>
      <c r="B1942" s="32">
        <f t="shared" ref="B1942:B1953" si="471">+B1941+1</f>
        <v>2025</v>
      </c>
      <c r="C1942" s="33" t="s">
        <v>17</v>
      </c>
      <c r="D1942" s="34" t="s">
        <v>1999</v>
      </c>
      <c r="E1942" s="35" t="str">
        <f t="shared" si="469"/>
        <v>PSDP'!</v>
      </c>
      <c r="F1942" s="34" t="str">
        <f t="shared" si="470"/>
        <v>C:\Users\jaime.benazar\Quorum Business Solutions\Ecopetrol Prometeo - Documents\Planning Space Implementation\3. Analysis &amp; Design\Design\FC22\DRR Jaime\QUIFA-CAJÚA\Cajua\[CAJUA_CF_SEC_New_27-Feb-2024Rev3.xlsx]D-PSDP'!</v>
      </c>
      <c r="G1942" s="32" t="s">
        <v>38</v>
      </c>
      <c r="H1942" s="33"/>
      <c r="I1942" s="33"/>
      <c r="J1942" s="37"/>
    </row>
    <row r="1943" spans="1:10" x14ac:dyDescent="0.25">
      <c r="A1943" s="32" t="s">
        <v>102</v>
      </c>
      <c r="B1943" s="32">
        <f t="shared" si="471"/>
        <v>2026</v>
      </c>
      <c r="C1943" s="33" t="s">
        <v>17</v>
      </c>
      <c r="D1943" s="34" t="s">
        <v>1999</v>
      </c>
      <c r="E1943" s="35" t="str">
        <f t="shared" si="469"/>
        <v>PSDP'!</v>
      </c>
      <c r="F1943" s="34" t="str">
        <f t="shared" si="470"/>
        <v>C:\Users\jaime.benazar\Quorum Business Solutions\Ecopetrol Prometeo - Documents\Planning Space Implementation\3. Analysis &amp; Design\Design\FC22\DRR Jaime\QUIFA-CAJÚA\Cajua\[CAJUA_CF_SEC_New_27-Feb-2024Rev3.xlsx]D-PSDP'!</v>
      </c>
      <c r="G1943" s="32" t="s">
        <v>38</v>
      </c>
      <c r="H1943" s="33"/>
      <c r="I1943" s="33"/>
      <c r="J1943" s="37"/>
    </row>
    <row r="1944" spans="1:10" x14ac:dyDescent="0.25">
      <c r="A1944" s="32" t="s">
        <v>102</v>
      </c>
      <c r="B1944" s="32">
        <f t="shared" si="471"/>
        <v>2027</v>
      </c>
      <c r="C1944" s="33" t="s">
        <v>17</v>
      </c>
      <c r="D1944" s="34" t="s">
        <v>1999</v>
      </c>
      <c r="E1944" s="35" t="str">
        <f t="shared" si="469"/>
        <v>PSDP'!</v>
      </c>
      <c r="F1944" s="34" t="str">
        <f t="shared" si="470"/>
        <v>C:\Users\jaime.benazar\Quorum Business Solutions\Ecopetrol Prometeo - Documents\Planning Space Implementation\3. Analysis &amp; Design\Design\FC22\DRR Jaime\QUIFA-CAJÚA\Cajua\[CAJUA_CF_SEC_New_27-Feb-2024Rev3.xlsx]D-PSDP'!</v>
      </c>
      <c r="G1944" s="32" t="s">
        <v>38</v>
      </c>
      <c r="H1944" s="33"/>
      <c r="I1944" s="33"/>
      <c r="J1944" s="37"/>
    </row>
    <row r="1945" spans="1:10" x14ac:dyDescent="0.25">
      <c r="A1945" s="32" t="s">
        <v>102</v>
      </c>
      <c r="B1945" s="32">
        <f t="shared" si="471"/>
        <v>2028</v>
      </c>
      <c r="C1945" s="33" t="s">
        <v>17</v>
      </c>
      <c r="D1945" s="34" t="s">
        <v>1999</v>
      </c>
      <c r="E1945" s="35" t="str">
        <f t="shared" si="469"/>
        <v>PSDP'!</v>
      </c>
      <c r="F1945" s="34" t="str">
        <f t="shared" si="470"/>
        <v>C:\Users\jaime.benazar\Quorum Business Solutions\Ecopetrol Prometeo - Documents\Planning Space Implementation\3. Analysis &amp; Design\Design\FC22\DRR Jaime\QUIFA-CAJÚA\Cajua\[CAJUA_CF_SEC_New_27-Feb-2024Rev3.xlsx]D-PSDP'!</v>
      </c>
      <c r="G1945" s="32" t="s">
        <v>38</v>
      </c>
      <c r="H1945" s="33"/>
      <c r="I1945" s="33"/>
      <c r="J1945" s="37"/>
    </row>
    <row r="1946" spans="1:10" x14ac:dyDescent="0.25">
      <c r="A1946" s="32" t="s">
        <v>102</v>
      </c>
      <c r="B1946" s="32">
        <f t="shared" si="471"/>
        <v>2029</v>
      </c>
      <c r="C1946" s="33" t="s">
        <v>17</v>
      </c>
      <c r="D1946" s="34" t="s">
        <v>1999</v>
      </c>
      <c r="E1946" s="35" t="str">
        <f t="shared" si="469"/>
        <v>PSDP'!</v>
      </c>
      <c r="F1946" s="34" t="str">
        <f t="shared" si="470"/>
        <v>C:\Users\jaime.benazar\Quorum Business Solutions\Ecopetrol Prometeo - Documents\Planning Space Implementation\3. Analysis &amp; Design\Design\FC22\DRR Jaime\QUIFA-CAJÚA\Cajua\[CAJUA_CF_SEC_New_27-Feb-2024Rev3.xlsx]D-PSDP'!</v>
      </c>
      <c r="G1946" s="32" t="s">
        <v>38</v>
      </c>
      <c r="H1946" s="33"/>
      <c r="I1946" s="33"/>
      <c r="J1946" s="37"/>
    </row>
    <row r="1947" spans="1:10" x14ac:dyDescent="0.25">
      <c r="A1947" s="32" t="s">
        <v>102</v>
      </c>
      <c r="B1947" s="32">
        <f t="shared" si="471"/>
        <v>2030</v>
      </c>
      <c r="C1947" s="33" t="s">
        <v>17</v>
      </c>
      <c r="D1947" s="34" t="s">
        <v>1999</v>
      </c>
      <c r="E1947" s="35" t="str">
        <f t="shared" si="469"/>
        <v>PSDP'!</v>
      </c>
      <c r="F1947" s="34" t="str">
        <f t="shared" si="470"/>
        <v>C:\Users\jaime.benazar\Quorum Business Solutions\Ecopetrol Prometeo - Documents\Planning Space Implementation\3. Analysis &amp; Design\Design\FC22\DRR Jaime\QUIFA-CAJÚA\Cajua\[CAJUA_CF_SEC_New_27-Feb-2024Rev3.xlsx]D-PSDP'!</v>
      </c>
      <c r="G1947" s="32" t="s">
        <v>38</v>
      </c>
      <c r="H1947" s="33"/>
      <c r="I1947" s="33"/>
      <c r="J1947" s="37"/>
    </row>
    <row r="1948" spans="1:10" x14ac:dyDescent="0.25">
      <c r="A1948" s="32" t="s">
        <v>102</v>
      </c>
      <c r="B1948" s="32">
        <f t="shared" si="471"/>
        <v>2031</v>
      </c>
      <c r="C1948" s="33" t="s">
        <v>17</v>
      </c>
      <c r="D1948" s="34" t="s">
        <v>1999</v>
      </c>
      <c r="E1948" s="35" t="str">
        <f t="shared" si="469"/>
        <v>PSDP'!</v>
      </c>
      <c r="F1948" s="34" t="str">
        <f t="shared" si="470"/>
        <v>C:\Users\jaime.benazar\Quorum Business Solutions\Ecopetrol Prometeo - Documents\Planning Space Implementation\3. Analysis &amp; Design\Design\FC22\DRR Jaime\QUIFA-CAJÚA\Cajua\[CAJUA_CF_SEC_New_27-Feb-2024Rev3.xlsx]D-PSDP'!</v>
      </c>
      <c r="G1948" s="32" t="s">
        <v>38</v>
      </c>
      <c r="H1948" s="33"/>
      <c r="I1948" s="33"/>
      <c r="J1948" s="37"/>
    </row>
    <row r="1949" spans="1:10" x14ac:dyDescent="0.25">
      <c r="A1949" s="32" t="s">
        <v>102</v>
      </c>
      <c r="B1949" s="32">
        <f t="shared" si="471"/>
        <v>2032</v>
      </c>
      <c r="C1949" s="33" t="s">
        <v>17</v>
      </c>
      <c r="D1949" s="34" t="s">
        <v>1999</v>
      </c>
      <c r="E1949" s="35" t="str">
        <f t="shared" si="469"/>
        <v>PSDP'!</v>
      </c>
      <c r="F1949" s="34" t="str">
        <f t="shared" si="470"/>
        <v>C:\Users\jaime.benazar\Quorum Business Solutions\Ecopetrol Prometeo - Documents\Planning Space Implementation\3. Analysis &amp; Design\Design\FC22\DRR Jaime\QUIFA-CAJÚA\Cajua\[CAJUA_CF_SEC_New_27-Feb-2024Rev3.xlsx]D-PSDP'!</v>
      </c>
      <c r="G1949" s="32" t="s">
        <v>38</v>
      </c>
      <c r="H1949" s="33"/>
      <c r="I1949" s="33"/>
      <c r="J1949" s="37"/>
    </row>
    <row r="1950" spans="1:10" x14ac:dyDescent="0.25">
      <c r="A1950" s="32" t="s">
        <v>102</v>
      </c>
      <c r="B1950" s="32">
        <f t="shared" si="471"/>
        <v>2033</v>
      </c>
      <c r="C1950" s="33" t="s">
        <v>17</v>
      </c>
      <c r="D1950" s="34" t="s">
        <v>1999</v>
      </c>
      <c r="E1950" s="35" t="str">
        <f t="shared" si="469"/>
        <v>PSDP'!</v>
      </c>
      <c r="F1950" s="34" t="str">
        <f t="shared" si="470"/>
        <v>C:\Users\jaime.benazar\Quorum Business Solutions\Ecopetrol Prometeo - Documents\Planning Space Implementation\3. Analysis &amp; Design\Design\FC22\DRR Jaime\QUIFA-CAJÚA\Cajua\[CAJUA_CF_SEC_New_27-Feb-2024Rev3.xlsx]D-PSDP'!</v>
      </c>
      <c r="G1950" s="32" t="s">
        <v>38</v>
      </c>
      <c r="H1950" s="33"/>
      <c r="I1950" s="33"/>
      <c r="J1950" s="37"/>
    </row>
    <row r="1951" spans="1:10" x14ac:dyDescent="0.25">
      <c r="A1951" s="32" t="s">
        <v>102</v>
      </c>
      <c r="B1951" s="32">
        <f t="shared" si="471"/>
        <v>2034</v>
      </c>
      <c r="C1951" s="33" t="s">
        <v>17</v>
      </c>
      <c r="D1951" s="34" t="s">
        <v>1999</v>
      </c>
      <c r="E1951" s="35" t="str">
        <f t="shared" si="469"/>
        <v>PSDP'!</v>
      </c>
      <c r="F1951" s="34" t="str">
        <f t="shared" si="470"/>
        <v>C:\Users\jaime.benazar\Quorum Business Solutions\Ecopetrol Prometeo - Documents\Planning Space Implementation\3. Analysis &amp; Design\Design\FC22\DRR Jaime\QUIFA-CAJÚA\Cajua\[CAJUA_CF_SEC_New_27-Feb-2024Rev3.xlsx]D-PSDP'!</v>
      </c>
      <c r="G1951" s="32" t="s">
        <v>38</v>
      </c>
      <c r="H1951" s="33"/>
      <c r="I1951" s="33"/>
      <c r="J1951" s="37"/>
    </row>
    <row r="1952" spans="1:10" x14ac:dyDescent="0.25">
      <c r="A1952" s="32" t="s">
        <v>102</v>
      </c>
      <c r="B1952" s="32">
        <f t="shared" si="471"/>
        <v>2035</v>
      </c>
      <c r="C1952" s="33" t="s">
        <v>17</v>
      </c>
      <c r="D1952" s="34" t="s">
        <v>1999</v>
      </c>
      <c r="E1952" s="35" t="str">
        <f t="shared" si="469"/>
        <v>PSDP'!</v>
      </c>
      <c r="F1952" s="34" t="str">
        <f t="shared" si="470"/>
        <v>C:\Users\jaime.benazar\Quorum Business Solutions\Ecopetrol Prometeo - Documents\Planning Space Implementation\3. Analysis &amp; Design\Design\FC22\DRR Jaime\QUIFA-CAJÚA\Cajua\[CAJUA_CF_SEC_New_27-Feb-2024Rev3.xlsx]D-PSDP'!</v>
      </c>
      <c r="G1952" s="32" t="s">
        <v>38</v>
      </c>
      <c r="H1952" s="33"/>
      <c r="I1952" s="33"/>
      <c r="J1952" s="37"/>
    </row>
    <row r="1953" spans="1:10" x14ac:dyDescent="0.25">
      <c r="A1953" s="32" t="s">
        <v>102</v>
      </c>
      <c r="B1953" s="32">
        <f t="shared" si="471"/>
        <v>2036</v>
      </c>
      <c r="C1953" s="33" t="s">
        <v>17</v>
      </c>
      <c r="D1953" s="34" t="s">
        <v>1999</v>
      </c>
      <c r="E1953" s="35" t="str">
        <f t="shared" si="469"/>
        <v>PSDP'!</v>
      </c>
      <c r="F1953" s="34" t="str">
        <f t="shared" si="470"/>
        <v>C:\Users\jaime.benazar\Quorum Business Solutions\Ecopetrol Prometeo - Documents\Planning Space Implementation\3. Analysis &amp; Design\Design\FC22\DRR Jaime\QUIFA-CAJÚA\Cajua\[CAJUA_CF_SEC_New_27-Feb-2024Rev3.xlsx]D-PSDP'!</v>
      </c>
      <c r="G1953" s="32" t="s">
        <v>38</v>
      </c>
      <c r="H1953" s="33"/>
      <c r="I1953" s="33"/>
      <c r="J1953" s="37"/>
    </row>
    <row r="1954" spans="1:10" x14ac:dyDescent="0.25">
      <c r="A1954" s="32" t="s">
        <v>102</v>
      </c>
      <c r="B1954" s="32">
        <f>+B1953+1</f>
        <v>2037</v>
      </c>
      <c r="C1954" s="33" t="s">
        <v>17</v>
      </c>
      <c r="D1954" s="34" t="s">
        <v>1999</v>
      </c>
      <c r="E1954" s="35" t="str">
        <f t="shared" si="469"/>
        <v>PSDP'!</v>
      </c>
      <c r="F1954" s="34" t="str">
        <f t="shared" si="470"/>
        <v>C:\Users\jaime.benazar\Quorum Business Solutions\Ecopetrol Prometeo - Documents\Planning Space Implementation\3. Analysis &amp; Design\Design\FC22\DRR Jaime\QUIFA-CAJÚA\Cajua\[CAJUA_CF_SEC_New_27-Feb-2024Rev3.xlsx]D-PSDP'!</v>
      </c>
      <c r="G1954" s="32" t="s">
        <v>38</v>
      </c>
      <c r="H1954" s="33"/>
      <c r="I1954" s="33"/>
      <c r="J1954" s="37"/>
    </row>
    <row r="1955" spans="1:10" x14ac:dyDescent="0.25">
      <c r="A1955" s="32" t="s">
        <v>102</v>
      </c>
      <c r="B1955" s="32">
        <f t="shared" ref="B1955:B1957" si="472">+B1954+1</f>
        <v>2038</v>
      </c>
      <c r="C1955" s="33" t="s">
        <v>17</v>
      </c>
      <c r="D1955" s="34" t="s">
        <v>1999</v>
      </c>
      <c r="E1955" s="35" t="str">
        <f t="shared" si="469"/>
        <v>PSDP'!</v>
      </c>
      <c r="F1955" s="34" t="str">
        <f t="shared" si="470"/>
        <v>C:\Users\jaime.benazar\Quorum Business Solutions\Ecopetrol Prometeo - Documents\Planning Space Implementation\3. Analysis &amp; Design\Design\FC22\DRR Jaime\QUIFA-CAJÚA\Cajua\[CAJUA_CF_SEC_New_27-Feb-2024Rev3.xlsx]D-PSDP'!</v>
      </c>
      <c r="G1955" s="32" t="s">
        <v>38</v>
      </c>
      <c r="H1955" s="33"/>
      <c r="I1955" s="33"/>
      <c r="J1955" s="37"/>
    </row>
    <row r="1956" spans="1:10" x14ac:dyDescent="0.25">
      <c r="A1956" s="32" t="s">
        <v>102</v>
      </c>
      <c r="B1956" s="32">
        <f t="shared" si="472"/>
        <v>2039</v>
      </c>
      <c r="C1956" s="33" t="s">
        <v>17</v>
      </c>
      <c r="D1956" s="34" t="s">
        <v>1999</v>
      </c>
      <c r="E1956" s="35" t="str">
        <f t="shared" si="469"/>
        <v>PSDP'!</v>
      </c>
      <c r="F1956" s="34" t="str">
        <f t="shared" si="470"/>
        <v>C:\Users\jaime.benazar\Quorum Business Solutions\Ecopetrol Prometeo - Documents\Planning Space Implementation\3. Analysis &amp; Design\Design\FC22\DRR Jaime\QUIFA-CAJÚA\Cajua\[CAJUA_CF_SEC_New_27-Feb-2024Rev3.xlsx]D-PSDP'!</v>
      </c>
      <c r="G1956" s="32" t="s">
        <v>38</v>
      </c>
      <c r="H1956" s="33"/>
      <c r="I1956" s="33"/>
      <c r="J1956" s="37"/>
    </row>
    <row r="1957" spans="1:10" x14ac:dyDescent="0.25">
      <c r="A1957" s="32" t="s">
        <v>102</v>
      </c>
      <c r="B1957" s="32">
        <f t="shared" si="472"/>
        <v>2040</v>
      </c>
      <c r="C1957" s="33" t="s">
        <v>17</v>
      </c>
      <c r="D1957" s="34" t="s">
        <v>1999</v>
      </c>
      <c r="E1957" s="35" t="str">
        <f t="shared" si="469"/>
        <v>PSDP'!</v>
      </c>
      <c r="F1957" s="34" t="str">
        <f t="shared" si="470"/>
        <v>C:\Users\jaime.benazar\Quorum Business Solutions\Ecopetrol Prometeo - Documents\Planning Space Implementation\3. Analysis &amp; Design\Design\FC22\DRR Jaime\QUIFA-CAJÚA\Cajua\[CAJUA_CF_SEC_New_27-Feb-2024Rev3.xlsx]D-PSDP'!</v>
      </c>
      <c r="G1957" s="32" t="s">
        <v>38</v>
      </c>
      <c r="H1957" s="33"/>
      <c r="I1957" s="33"/>
      <c r="J1957" s="37"/>
    </row>
    <row r="1958" spans="1:10" x14ac:dyDescent="0.25">
      <c r="A1958" s="32" t="s">
        <v>102</v>
      </c>
      <c r="B1958" s="32">
        <f>+B1957+1</f>
        <v>2041</v>
      </c>
      <c r="C1958" s="33" t="s">
        <v>17</v>
      </c>
      <c r="D1958" s="34" t="s">
        <v>1999</v>
      </c>
      <c r="E1958" s="35" t="str">
        <f t="shared" si="469"/>
        <v>PSDP'!</v>
      </c>
      <c r="F1958" s="34" t="str">
        <f t="shared" si="470"/>
        <v>C:\Users\jaime.benazar\Quorum Business Solutions\Ecopetrol Prometeo - Documents\Planning Space Implementation\3. Analysis &amp; Design\Design\FC22\DRR Jaime\QUIFA-CAJÚA\Cajua\[CAJUA_CF_SEC_New_27-Feb-2024Rev3.xlsx]D-PSDP'!</v>
      </c>
      <c r="G1958" s="32" t="s">
        <v>38</v>
      </c>
      <c r="H1958" s="33"/>
      <c r="I1958" s="33"/>
      <c r="J1958" s="37"/>
    </row>
    <row r="1959" spans="1:10" x14ac:dyDescent="0.25">
      <c r="A1959" s="32" t="s">
        <v>102</v>
      </c>
      <c r="B1959" s="32">
        <f t="shared" ref="B1959:B1960" si="473">+B1958+1</f>
        <v>2042</v>
      </c>
      <c r="C1959" s="33" t="s">
        <v>17</v>
      </c>
      <c r="D1959" s="34" t="s">
        <v>1999</v>
      </c>
      <c r="E1959" s="35" t="str">
        <f t="shared" si="469"/>
        <v>PSDP'!</v>
      </c>
      <c r="F1959" s="34" t="str">
        <f t="shared" si="470"/>
        <v>C:\Users\jaime.benazar\Quorum Business Solutions\Ecopetrol Prometeo - Documents\Planning Space Implementation\3. Analysis &amp; Design\Design\FC22\DRR Jaime\QUIFA-CAJÚA\Cajua\[CAJUA_CF_SEC_New_27-Feb-2024Rev3.xlsx]D-PSDP'!</v>
      </c>
      <c r="G1959" s="32" t="s">
        <v>38</v>
      </c>
      <c r="H1959" s="33"/>
      <c r="I1959" s="33"/>
      <c r="J1959" s="37"/>
    </row>
    <row r="1960" spans="1:10" x14ac:dyDescent="0.25">
      <c r="A1960" s="32" t="s">
        <v>102</v>
      </c>
      <c r="B1960" s="32">
        <f t="shared" si="473"/>
        <v>2043</v>
      </c>
      <c r="C1960" s="33" t="s">
        <v>17</v>
      </c>
      <c r="D1960" s="34" t="s">
        <v>1999</v>
      </c>
      <c r="E1960" s="35" t="str">
        <f t="shared" si="469"/>
        <v>PSDP'!</v>
      </c>
      <c r="F1960" s="34" t="str">
        <f t="shared" si="470"/>
        <v>C:\Users\jaime.benazar\Quorum Business Solutions\Ecopetrol Prometeo - Documents\Planning Space Implementation\3. Analysis &amp; Design\Design\FC22\DRR Jaime\QUIFA-CAJÚA\Cajua\[CAJUA_CF_SEC_New_27-Feb-2024Rev3.xlsx]D-PSDP'!</v>
      </c>
      <c r="G1960" s="32" t="s">
        <v>38</v>
      </c>
      <c r="H1960" s="33"/>
      <c r="I1960" s="33"/>
      <c r="J1960" s="37"/>
    </row>
    <row r="1961" spans="1:10" x14ac:dyDescent="0.25">
      <c r="A1961" s="32" t="s">
        <v>102</v>
      </c>
      <c r="B1961" s="32">
        <f>+B1960+1</f>
        <v>2044</v>
      </c>
      <c r="C1961" s="33" t="s">
        <v>17</v>
      </c>
      <c r="D1961" s="34" t="s">
        <v>1999</v>
      </c>
      <c r="E1961" s="35" t="str">
        <f t="shared" ref="E1961:E1976" si="474">_xlfn.CONCAT(A1961,"'!")</f>
        <v>PSDP'!</v>
      </c>
      <c r="F1961" s="34" t="str">
        <f t="shared" ref="F1961:F1976" si="475">_xlfn.CONCAT(D1961:E1961)</f>
        <v>C:\Users\jaime.benazar\Quorum Business Solutions\Ecopetrol Prometeo - Documents\Planning Space Implementation\3. Analysis &amp; Design\Design\FC22\DRR Jaime\QUIFA-CAJÚA\Cajua\[CAJUA_CF_SEC_New_27-Feb-2024Rev3.xlsx]D-PSDP'!</v>
      </c>
      <c r="G1961" s="32" t="s">
        <v>38</v>
      </c>
      <c r="H1961" s="33"/>
      <c r="I1961" s="33"/>
      <c r="J1961" s="37"/>
    </row>
    <row r="1962" spans="1:10" x14ac:dyDescent="0.25">
      <c r="A1962" s="32" t="s">
        <v>102</v>
      </c>
      <c r="B1962" s="32">
        <f t="shared" ref="B1962:B1976" si="476">+B1961+1</f>
        <v>2045</v>
      </c>
      <c r="C1962" s="33" t="s">
        <v>17</v>
      </c>
      <c r="D1962" s="34" t="s">
        <v>1999</v>
      </c>
      <c r="E1962" s="35" t="str">
        <f t="shared" si="474"/>
        <v>PSDP'!</v>
      </c>
      <c r="F1962" s="34" t="str">
        <f t="shared" si="475"/>
        <v>C:\Users\jaime.benazar\Quorum Business Solutions\Ecopetrol Prometeo - Documents\Planning Space Implementation\3. Analysis &amp; Design\Design\FC22\DRR Jaime\QUIFA-CAJÚA\Cajua\[CAJUA_CF_SEC_New_27-Feb-2024Rev3.xlsx]D-PSDP'!</v>
      </c>
      <c r="G1962" s="32" t="s">
        <v>38</v>
      </c>
      <c r="H1962" s="33"/>
      <c r="I1962" s="33"/>
      <c r="J1962" s="37"/>
    </row>
    <row r="1963" spans="1:10" x14ac:dyDescent="0.25">
      <c r="A1963" s="32" t="s">
        <v>102</v>
      </c>
      <c r="B1963" s="32">
        <f t="shared" si="476"/>
        <v>2046</v>
      </c>
      <c r="C1963" s="33" t="s">
        <v>17</v>
      </c>
      <c r="D1963" s="34" t="s">
        <v>1999</v>
      </c>
      <c r="E1963" s="35" t="str">
        <f t="shared" si="474"/>
        <v>PSDP'!</v>
      </c>
      <c r="F1963" s="34" t="str">
        <f t="shared" si="475"/>
        <v>C:\Users\jaime.benazar\Quorum Business Solutions\Ecopetrol Prometeo - Documents\Planning Space Implementation\3. Analysis &amp; Design\Design\FC22\DRR Jaime\QUIFA-CAJÚA\Cajua\[CAJUA_CF_SEC_New_27-Feb-2024Rev3.xlsx]D-PSDP'!</v>
      </c>
      <c r="G1963" s="32" t="s">
        <v>38</v>
      </c>
      <c r="H1963" s="33"/>
      <c r="I1963" s="33"/>
      <c r="J1963" s="37"/>
    </row>
    <row r="1964" spans="1:10" x14ac:dyDescent="0.25">
      <c r="A1964" s="32" t="s">
        <v>102</v>
      </c>
      <c r="B1964" s="32">
        <f t="shared" si="476"/>
        <v>2047</v>
      </c>
      <c r="C1964" s="33" t="s">
        <v>17</v>
      </c>
      <c r="D1964" s="34" t="s">
        <v>1999</v>
      </c>
      <c r="E1964" s="35" t="str">
        <f t="shared" si="474"/>
        <v>PSDP'!</v>
      </c>
      <c r="F1964" s="34" t="str">
        <f t="shared" si="475"/>
        <v>C:\Users\jaime.benazar\Quorum Business Solutions\Ecopetrol Prometeo - Documents\Planning Space Implementation\3. Analysis &amp; Design\Design\FC22\DRR Jaime\QUIFA-CAJÚA\Cajua\[CAJUA_CF_SEC_New_27-Feb-2024Rev3.xlsx]D-PSDP'!</v>
      </c>
      <c r="G1964" s="32" t="s">
        <v>38</v>
      </c>
      <c r="H1964" s="33"/>
      <c r="I1964" s="33"/>
      <c r="J1964" s="37"/>
    </row>
    <row r="1965" spans="1:10" x14ac:dyDescent="0.25">
      <c r="A1965" s="32" t="s">
        <v>102</v>
      </c>
      <c r="B1965" s="32">
        <f t="shared" si="476"/>
        <v>2048</v>
      </c>
      <c r="C1965" s="33" t="s">
        <v>17</v>
      </c>
      <c r="D1965" s="34" t="s">
        <v>1999</v>
      </c>
      <c r="E1965" s="35" t="str">
        <f t="shared" si="474"/>
        <v>PSDP'!</v>
      </c>
      <c r="F1965" s="34" t="str">
        <f t="shared" si="475"/>
        <v>C:\Users\jaime.benazar\Quorum Business Solutions\Ecopetrol Prometeo - Documents\Planning Space Implementation\3. Analysis &amp; Design\Design\FC22\DRR Jaime\QUIFA-CAJÚA\Cajua\[CAJUA_CF_SEC_New_27-Feb-2024Rev3.xlsx]D-PSDP'!</v>
      </c>
      <c r="G1965" s="32" t="s">
        <v>38</v>
      </c>
      <c r="H1965" s="33"/>
      <c r="I1965" s="33"/>
      <c r="J1965" s="37"/>
    </row>
    <row r="1966" spans="1:10" x14ac:dyDescent="0.25">
      <c r="A1966" s="32" t="s">
        <v>102</v>
      </c>
      <c r="B1966" s="32">
        <f t="shared" si="476"/>
        <v>2049</v>
      </c>
      <c r="C1966" s="33" t="s">
        <v>17</v>
      </c>
      <c r="D1966" s="34" t="s">
        <v>1999</v>
      </c>
      <c r="E1966" s="35" t="str">
        <f t="shared" si="474"/>
        <v>PSDP'!</v>
      </c>
      <c r="F1966" s="34" t="str">
        <f t="shared" si="475"/>
        <v>C:\Users\jaime.benazar\Quorum Business Solutions\Ecopetrol Prometeo - Documents\Planning Space Implementation\3. Analysis &amp; Design\Design\FC22\DRR Jaime\QUIFA-CAJÚA\Cajua\[CAJUA_CF_SEC_New_27-Feb-2024Rev3.xlsx]D-PSDP'!</v>
      </c>
      <c r="G1966" s="32" t="s">
        <v>38</v>
      </c>
      <c r="H1966" s="33"/>
      <c r="I1966" s="33"/>
      <c r="J1966" s="37"/>
    </row>
    <row r="1967" spans="1:10" x14ac:dyDescent="0.25">
      <c r="A1967" s="32" t="s">
        <v>102</v>
      </c>
      <c r="B1967" s="32">
        <f t="shared" si="476"/>
        <v>2050</v>
      </c>
      <c r="C1967" s="33" t="s">
        <v>17</v>
      </c>
      <c r="D1967" s="34" t="s">
        <v>1999</v>
      </c>
      <c r="E1967" s="35" t="str">
        <f t="shared" si="474"/>
        <v>PSDP'!</v>
      </c>
      <c r="F1967" s="34" t="str">
        <f t="shared" si="475"/>
        <v>C:\Users\jaime.benazar\Quorum Business Solutions\Ecopetrol Prometeo - Documents\Planning Space Implementation\3. Analysis &amp; Design\Design\FC22\DRR Jaime\QUIFA-CAJÚA\Cajua\[CAJUA_CF_SEC_New_27-Feb-2024Rev3.xlsx]D-PSDP'!</v>
      </c>
      <c r="G1967" s="32" t="s">
        <v>38</v>
      </c>
      <c r="H1967" s="33"/>
      <c r="I1967" s="33"/>
      <c r="J1967" s="37"/>
    </row>
    <row r="1968" spans="1:10" x14ac:dyDescent="0.25">
      <c r="A1968" s="32" t="s">
        <v>102</v>
      </c>
      <c r="B1968" s="32">
        <f t="shared" si="476"/>
        <v>2051</v>
      </c>
      <c r="C1968" s="33" t="s">
        <v>17</v>
      </c>
      <c r="D1968" s="34" t="s">
        <v>1999</v>
      </c>
      <c r="E1968" s="35" t="str">
        <f t="shared" si="474"/>
        <v>PSDP'!</v>
      </c>
      <c r="F1968" s="34" t="str">
        <f t="shared" si="475"/>
        <v>C:\Users\jaime.benazar\Quorum Business Solutions\Ecopetrol Prometeo - Documents\Planning Space Implementation\3. Analysis &amp; Design\Design\FC22\DRR Jaime\QUIFA-CAJÚA\Cajua\[CAJUA_CF_SEC_New_27-Feb-2024Rev3.xlsx]D-PSDP'!</v>
      </c>
      <c r="G1968" s="32" t="s">
        <v>38</v>
      </c>
      <c r="H1968" s="33"/>
      <c r="I1968" s="33"/>
      <c r="J1968" s="37"/>
    </row>
    <row r="1969" spans="1:10" x14ac:dyDescent="0.25">
      <c r="A1969" s="32" t="s">
        <v>102</v>
      </c>
      <c r="B1969" s="32">
        <f t="shared" si="476"/>
        <v>2052</v>
      </c>
      <c r="C1969" s="33" t="s">
        <v>17</v>
      </c>
      <c r="D1969" s="34" t="s">
        <v>1999</v>
      </c>
      <c r="E1969" s="35" t="str">
        <f t="shared" si="474"/>
        <v>PSDP'!</v>
      </c>
      <c r="F1969" s="34" t="str">
        <f t="shared" si="475"/>
        <v>C:\Users\jaime.benazar\Quorum Business Solutions\Ecopetrol Prometeo - Documents\Planning Space Implementation\3. Analysis &amp; Design\Design\FC22\DRR Jaime\QUIFA-CAJÚA\Cajua\[CAJUA_CF_SEC_New_27-Feb-2024Rev3.xlsx]D-PSDP'!</v>
      </c>
      <c r="G1969" s="32" t="s">
        <v>38</v>
      </c>
      <c r="H1969" s="33"/>
      <c r="I1969" s="33"/>
      <c r="J1969" s="37"/>
    </row>
    <row r="1970" spans="1:10" x14ac:dyDescent="0.25">
      <c r="A1970" s="32" t="s">
        <v>102</v>
      </c>
      <c r="B1970" s="32">
        <f t="shared" si="476"/>
        <v>2053</v>
      </c>
      <c r="C1970" s="33" t="s">
        <v>17</v>
      </c>
      <c r="D1970" s="34" t="s">
        <v>1999</v>
      </c>
      <c r="E1970" s="35" t="str">
        <f t="shared" si="474"/>
        <v>PSDP'!</v>
      </c>
      <c r="F1970" s="34" t="str">
        <f t="shared" si="475"/>
        <v>C:\Users\jaime.benazar\Quorum Business Solutions\Ecopetrol Prometeo - Documents\Planning Space Implementation\3. Analysis &amp; Design\Design\FC22\DRR Jaime\QUIFA-CAJÚA\Cajua\[CAJUA_CF_SEC_New_27-Feb-2024Rev3.xlsx]D-PSDP'!</v>
      </c>
      <c r="G1970" s="32" t="s">
        <v>38</v>
      </c>
      <c r="H1970" s="33"/>
      <c r="I1970" s="33"/>
      <c r="J1970" s="37"/>
    </row>
    <row r="1971" spans="1:10" x14ac:dyDescent="0.25">
      <c r="A1971" s="32" t="s">
        <v>102</v>
      </c>
      <c r="B1971" s="32">
        <f t="shared" si="476"/>
        <v>2054</v>
      </c>
      <c r="C1971" s="33" t="s">
        <v>17</v>
      </c>
      <c r="D1971" s="34" t="s">
        <v>1999</v>
      </c>
      <c r="E1971" s="35" t="str">
        <f t="shared" si="474"/>
        <v>PSDP'!</v>
      </c>
      <c r="F1971" s="34" t="str">
        <f t="shared" si="475"/>
        <v>C:\Users\jaime.benazar\Quorum Business Solutions\Ecopetrol Prometeo - Documents\Planning Space Implementation\3. Analysis &amp; Design\Design\FC22\DRR Jaime\QUIFA-CAJÚA\Cajua\[CAJUA_CF_SEC_New_27-Feb-2024Rev3.xlsx]D-PSDP'!</v>
      </c>
      <c r="G1971" s="32" t="s">
        <v>38</v>
      </c>
      <c r="H1971" s="33"/>
      <c r="I1971" s="33"/>
      <c r="J1971" s="37"/>
    </row>
    <row r="1972" spans="1:10" x14ac:dyDescent="0.25">
      <c r="A1972" s="32" t="s">
        <v>102</v>
      </c>
      <c r="B1972" s="32">
        <f t="shared" si="476"/>
        <v>2055</v>
      </c>
      <c r="C1972" s="33" t="s">
        <v>17</v>
      </c>
      <c r="D1972" s="34" t="s">
        <v>1999</v>
      </c>
      <c r="E1972" s="35" t="str">
        <f t="shared" si="474"/>
        <v>PSDP'!</v>
      </c>
      <c r="F1972" s="34" t="str">
        <f t="shared" si="475"/>
        <v>C:\Users\jaime.benazar\Quorum Business Solutions\Ecopetrol Prometeo - Documents\Planning Space Implementation\3. Analysis &amp; Design\Design\FC22\DRR Jaime\QUIFA-CAJÚA\Cajua\[CAJUA_CF_SEC_New_27-Feb-2024Rev3.xlsx]D-PSDP'!</v>
      </c>
      <c r="G1972" s="32" t="s">
        <v>38</v>
      </c>
      <c r="H1972" s="33"/>
      <c r="I1972" s="33"/>
      <c r="J1972" s="37"/>
    </row>
    <row r="1973" spans="1:10" x14ac:dyDescent="0.25">
      <c r="A1973" s="32" t="s">
        <v>102</v>
      </c>
      <c r="B1973" s="32">
        <f t="shared" si="476"/>
        <v>2056</v>
      </c>
      <c r="C1973" s="33" t="s">
        <v>17</v>
      </c>
      <c r="D1973" s="34" t="s">
        <v>1999</v>
      </c>
      <c r="E1973" s="35" t="str">
        <f t="shared" si="474"/>
        <v>PSDP'!</v>
      </c>
      <c r="F1973" s="34" t="str">
        <f t="shared" si="475"/>
        <v>C:\Users\jaime.benazar\Quorum Business Solutions\Ecopetrol Prometeo - Documents\Planning Space Implementation\3. Analysis &amp; Design\Design\FC22\DRR Jaime\QUIFA-CAJÚA\Cajua\[CAJUA_CF_SEC_New_27-Feb-2024Rev3.xlsx]D-PSDP'!</v>
      </c>
      <c r="G1973" s="32" t="s">
        <v>38</v>
      </c>
      <c r="H1973" s="33"/>
      <c r="I1973" s="33"/>
      <c r="J1973" s="37"/>
    </row>
    <row r="1974" spans="1:10" x14ac:dyDescent="0.25">
      <c r="A1974" s="32" t="s">
        <v>102</v>
      </c>
      <c r="B1974" s="32">
        <f t="shared" si="476"/>
        <v>2057</v>
      </c>
      <c r="C1974" s="33" t="s">
        <v>17</v>
      </c>
      <c r="D1974" s="34" t="s">
        <v>1999</v>
      </c>
      <c r="E1974" s="35" t="str">
        <f t="shared" si="474"/>
        <v>PSDP'!</v>
      </c>
      <c r="F1974" s="34" t="str">
        <f t="shared" si="475"/>
        <v>C:\Users\jaime.benazar\Quorum Business Solutions\Ecopetrol Prometeo - Documents\Planning Space Implementation\3. Analysis &amp; Design\Design\FC22\DRR Jaime\QUIFA-CAJÚA\Cajua\[CAJUA_CF_SEC_New_27-Feb-2024Rev3.xlsx]D-PSDP'!</v>
      </c>
      <c r="G1974" s="32" t="s">
        <v>38</v>
      </c>
      <c r="H1974" s="33"/>
      <c r="I1974" s="33"/>
      <c r="J1974" s="37"/>
    </row>
    <row r="1975" spans="1:10" x14ac:dyDescent="0.25">
      <c r="A1975" s="32" t="s">
        <v>102</v>
      </c>
      <c r="B1975" s="32">
        <f t="shared" si="476"/>
        <v>2058</v>
      </c>
      <c r="C1975" s="33" t="s">
        <v>17</v>
      </c>
      <c r="D1975" s="34" t="s">
        <v>1999</v>
      </c>
      <c r="E1975" s="35" t="str">
        <f t="shared" si="474"/>
        <v>PSDP'!</v>
      </c>
      <c r="F1975" s="34" t="str">
        <f t="shared" si="475"/>
        <v>C:\Users\jaime.benazar\Quorum Business Solutions\Ecopetrol Prometeo - Documents\Planning Space Implementation\3. Analysis &amp; Design\Design\FC22\DRR Jaime\QUIFA-CAJÚA\Cajua\[CAJUA_CF_SEC_New_27-Feb-2024Rev3.xlsx]D-PSDP'!</v>
      </c>
      <c r="G1975" s="32" t="s">
        <v>38</v>
      </c>
      <c r="H1975" s="33"/>
      <c r="I1975" s="33"/>
      <c r="J1975" s="37"/>
    </row>
    <row r="1976" spans="1:10" x14ac:dyDescent="0.25">
      <c r="A1976" s="32" t="s">
        <v>102</v>
      </c>
      <c r="B1976" s="32">
        <f t="shared" si="476"/>
        <v>2059</v>
      </c>
      <c r="C1976" s="33" t="s">
        <v>17</v>
      </c>
      <c r="D1976" s="34" t="s">
        <v>1999</v>
      </c>
      <c r="E1976" s="35" t="str">
        <f t="shared" si="474"/>
        <v>PSDP'!</v>
      </c>
      <c r="F1976" s="34" t="str">
        <f t="shared" si="475"/>
        <v>C:\Users\jaime.benazar\Quorum Business Solutions\Ecopetrol Prometeo - Documents\Planning Space Implementation\3. Analysis &amp; Design\Design\FC22\DRR Jaime\QUIFA-CAJÚA\Cajua\[CAJUA_CF_SEC_New_27-Feb-2024Rev3.xlsx]D-PSDP'!</v>
      </c>
      <c r="G1976" s="32" t="s">
        <v>38</v>
      </c>
      <c r="H1976" s="33"/>
      <c r="I1976" s="33"/>
      <c r="J1976" s="37"/>
    </row>
    <row r="1977" spans="1:10" x14ac:dyDescent="0.25">
      <c r="A1977" s="32" t="s">
        <v>28</v>
      </c>
      <c r="B1977" s="32"/>
      <c r="C1977" s="33" t="s">
        <v>17</v>
      </c>
      <c r="D1977" s="34"/>
      <c r="E1977" s="35"/>
      <c r="F1977" s="34"/>
      <c r="G1977" s="32"/>
      <c r="H1977" s="33"/>
      <c r="I1977" s="33"/>
      <c r="J1977" s="33"/>
    </row>
    <row r="1978" spans="1:10" x14ac:dyDescent="0.25">
      <c r="A1978" s="32" t="s">
        <v>103</v>
      </c>
      <c r="B1978" s="32">
        <v>2023</v>
      </c>
      <c r="C1978" s="33" t="s">
        <v>17</v>
      </c>
      <c r="D1978" s="34" t="s">
        <v>1999</v>
      </c>
      <c r="E1978" s="35" t="str">
        <f t="shared" ref="E1978:E1998" si="477">_xlfn.CONCAT(A1978,"'!")</f>
        <v>PSNP'!</v>
      </c>
      <c r="F1978" s="34" t="str">
        <f t="shared" ref="F1978:F1998" si="478">_xlfn.CONCAT(D1978:E1978)</f>
        <v>C:\Users\jaime.benazar\Quorum Business Solutions\Ecopetrol Prometeo - Documents\Planning Space Implementation\3. Analysis &amp; Design\Design\FC22\DRR Jaime\QUIFA-CAJÚA\Cajua\[CAJUA_CF_SEC_New_27-Feb-2024Rev3.xlsx]D-PSNP'!</v>
      </c>
      <c r="G1978" s="32" t="s">
        <v>38</v>
      </c>
      <c r="H1978" s="33"/>
      <c r="I1978" s="33"/>
      <c r="J1978" s="37"/>
    </row>
    <row r="1979" spans="1:10" x14ac:dyDescent="0.25">
      <c r="A1979" s="32" t="s">
        <v>103</v>
      </c>
      <c r="B1979" s="32">
        <f>+B1978+1</f>
        <v>2024</v>
      </c>
      <c r="C1979" s="33" t="s">
        <v>17</v>
      </c>
      <c r="D1979" s="34" t="s">
        <v>1999</v>
      </c>
      <c r="E1979" s="35" t="str">
        <f t="shared" si="477"/>
        <v>PSNP'!</v>
      </c>
      <c r="F1979" s="34" t="str">
        <f t="shared" si="478"/>
        <v>C:\Users\jaime.benazar\Quorum Business Solutions\Ecopetrol Prometeo - Documents\Planning Space Implementation\3. Analysis &amp; Design\Design\FC22\DRR Jaime\QUIFA-CAJÚA\Cajua\[CAJUA_CF_SEC_New_27-Feb-2024Rev3.xlsx]D-PSNP'!</v>
      </c>
      <c r="G1979" s="32" t="s">
        <v>38</v>
      </c>
      <c r="H1979" s="33"/>
      <c r="I1979" s="33"/>
      <c r="J1979" s="37"/>
    </row>
    <row r="1980" spans="1:10" x14ac:dyDescent="0.25">
      <c r="A1980" s="32" t="s">
        <v>103</v>
      </c>
      <c r="B1980" s="32">
        <f t="shared" ref="B1980:B1991" si="479">+B1979+1</f>
        <v>2025</v>
      </c>
      <c r="C1980" s="33" t="s">
        <v>17</v>
      </c>
      <c r="D1980" s="34" t="s">
        <v>1999</v>
      </c>
      <c r="E1980" s="35" t="str">
        <f t="shared" si="477"/>
        <v>PSNP'!</v>
      </c>
      <c r="F1980" s="34" t="str">
        <f t="shared" si="478"/>
        <v>C:\Users\jaime.benazar\Quorum Business Solutions\Ecopetrol Prometeo - Documents\Planning Space Implementation\3. Analysis &amp; Design\Design\FC22\DRR Jaime\QUIFA-CAJÚA\Cajua\[CAJUA_CF_SEC_New_27-Feb-2024Rev3.xlsx]D-PSNP'!</v>
      </c>
      <c r="G1980" s="32" t="s">
        <v>38</v>
      </c>
      <c r="H1980" s="33"/>
      <c r="I1980" s="33"/>
      <c r="J1980" s="37"/>
    </row>
    <row r="1981" spans="1:10" x14ac:dyDescent="0.25">
      <c r="A1981" s="32" t="s">
        <v>103</v>
      </c>
      <c r="B1981" s="32">
        <f t="shared" si="479"/>
        <v>2026</v>
      </c>
      <c r="C1981" s="33" t="s">
        <v>17</v>
      </c>
      <c r="D1981" s="34" t="s">
        <v>1999</v>
      </c>
      <c r="E1981" s="35" t="str">
        <f t="shared" si="477"/>
        <v>PSNP'!</v>
      </c>
      <c r="F1981" s="34" t="str">
        <f t="shared" si="478"/>
        <v>C:\Users\jaime.benazar\Quorum Business Solutions\Ecopetrol Prometeo - Documents\Planning Space Implementation\3. Analysis &amp; Design\Design\FC22\DRR Jaime\QUIFA-CAJÚA\Cajua\[CAJUA_CF_SEC_New_27-Feb-2024Rev3.xlsx]D-PSNP'!</v>
      </c>
      <c r="G1981" s="32" t="s">
        <v>38</v>
      </c>
      <c r="H1981" s="33"/>
      <c r="I1981" s="33"/>
      <c r="J1981" s="37"/>
    </row>
    <row r="1982" spans="1:10" x14ac:dyDescent="0.25">
      <c r="A1982" s="32" t="s">
        <v>103</v>
      </c>
      <c r="B1982" s="32">
        <f t="shared" si="479"/>
        <v>2027</v>
      </c>
      <c r="C1982" s="33" t="s">
        <v>17</v>
      </c>
      <c r="D1982" s="34" t="s">
        <v>1999</v>
      </c>
      <c r="E1982" s="35" t="str">
        <f t="shared" si="477"/>
        <v>PSNP'!</v>
      </c>
      <c r="F1982" s="34" t="str">
        <f t="shared" si="478"/>
        <v>C:\Users\jaime.benazar\Quorum Business Solutions\Ecopetrol Prometeo - Documents\Planning Space Implementation\3. Analysis &amp; Design\Design\FC22\DRR Jaime\QUIFA-CAJÚA\Cajua\[CAJUA_CF_SEC_New_27-Feb-2024Rev3.xlsx]D-PSNP'!</v>
      </c>
      <c r="G1982" s="32" t="s">
        <v>38</v>
      </c>
      <c r="H1982" s="33"/>
      <c r="I1982" s="33"/>
      <c r="J1982" s="37"/>
    </row>
    <row r="1983" spans="1:10" x14ac:dyDescent="0.25">
      <c r="A1983" s="32" t="s">
        <v>103</v>
      </c>
      <c r="B1983" s="32">
        <f t="shared" si="479"/>
        <v>2028</v>
      </c>
      <c r="C1983" s="33" t="s">
        <v>17</v>
      </c>
      <c r="D1983" s="34" t="s">
        <v>1999</v>
      </c>
      <c r="E1983" s="35" t="str">
        <f t="shared" si="477"/>
        <v>PSNP'!</v>
      </c>
      <c r="F1983" s="34" t="str">
        <f t="shared" si="478"/>
        <v>C:\Users\jaime.benazar\Quorum Business Solutions\Ecopetrol Prometeo - Documents\Planning Space Implementation\3. Analysis &amp; Design\Design\FC22\DRR Jaime\QUIFA-CAJÚA\Cajua\[CAJUA_CF_SEC_New_27-Feb-2024Rev3.xlsx]D-PSNP'!</v>
      </c>
      <c r="G1983" s="32" t="s">
        <v>38</v>
      </c>
      <c r="H1983" s="33"/>
      <c r="I1983" s="33"/>
      <c r="J1983" s="37"/>
    </row>
    <row r="1984" spans="1:10" x14ac:dyDescent="0.25">
      <c r="A1984" s="32" t="s">
        <v>103</v>
      </c>
      <c r="B1984" s="32">
        <f t="shared" si="479"/>
        <v>2029</v>
      </c>
      <c r="C1984" s="33" t="s">
        <v>17</v>
      </c>
      <c r="D1984" s="34" t="s">
        <v>1999</v>
      </c>
      <c r="E1984" s="35" t="str">
        <f t="shared" si="477"/>
        <v>PSNP'!</v>
      </c>
      <c r="F1984" s="34" t="str">
        <f t="shared" si="478"/>
        <v>C:\Users\jaime.benazar\Quorum Business Solutions\Ecopetrol Prometeo - Documents\Planning Space Implementation\3. Analysis &amp; Design\Design\FC22\DRR Jaime\QUIFA-CAJÚA\Cajua\[CAJUA_CF_SEC_New_27-Feb-2024Rev3.xlsx]D-PSNP'!</v>
      </c>
      <c r="G1984" s="32" t="s">
        <v>38</v>
      </c>
      <c r="H1984" s="33"/>
      <c r="I1984" s="33"/>
      <c r="J1984" s="37"/>
    </row>
    <row r="1985" spans="1:10" x14ac:dyDescent="0.25">
      <c r="A1985" s="32" t="s">
        <v>103</v>
      </c>
      <c r="B1985" s="32">
        <f t="shared" si="479"/>
        <v>2030</v>
      </c>
      <c r="C1985" s="33" t="s">
        <v>17</v>
      </c>
      <c r="D1985" s="34" t="s">
        <v>1999</v>
      </c>
      <c r="E1985" s="35" t="str">
        <f t="shared" si="477"/>
        <v>PSNP'!</v>
      </c>
      <c r="F1985" s="34" t="str">
        <f t="shared" si="478"/>
        <v>C:\Users\jaime.benazar\Quorum Business Solutions\Ecopetrol Prometeo - Documents\Planning Space Implementation\3. Analysis &amp; Design\Design\FC22\DRR Jaime\QUIFA-CAJÚA\Cajua\[CAJUA_CF_SEC_New_27-Feb-2024Rev3.xlsx]D-PSNP'!</v>
      </c>
      <c r="G1985" s="32" t="s">
        <v>38</v>
      </c>
      <c r="H1985" s="33"/>
      <c r="I1985" s="33"/>
      <c r="J1985" s="37"/>
    </row>
    <row r="1986" spans="1:10" x14ac:dyDescent="0.25">
      <c r="A1986" s="32" t="s">
        <v>103</v>
      </c>
      <c r="B1986" s="32">
        <f t="shared" si="479"/>
        <v>2031</v>
      </c>
      <c r="C1986" s="33" t="s">
        <v>17</v>
      </c>
      <c r="D1986" s="34" t="s">
        <v>1999</v>
      </c>
      <c r="E1986" s="35" t="str">
        <f t="shared" si="477"/>
        <v>PSNP'!</v>
      </c>
      <c r="F1986" s="34" t="str">
        <f t="shared" si="478"/>
        <v>C:\Users\jaime.benazar\Quorum Business Solutions\Ecopetrol Prometeo - Documents\Planning Space Implementation\3. Analysis &amp; Design\Design\FC22\DRR Jaime\QUIFA-CAJÚA\Cajua\[CAJUA_CF_SEC_New_27-Feb-2024Rev3.xlsx]D-PSNP'!</v>
      </c>
      <c r="G1986" s="32" t="s">
        <v>38</v>
      </c>
      <c r="H1986" s="33"/>
      <c r="I1986" s="33"/>
      <c r="J1986" s="37"/>
    </row>
    <row r="1987" spans="1:10" x14ac:dyDescent="0.25">
      <c r="A1987" s="32" t="s">
        <v>103</v>
      </c>
      <c r="B1987" s="32">
        <f t="shared" si="479"/>
        <v>2032</v>
      </c>
      <c r="C1987" s="33" t="s">
        <v>17</v>
      </c>
      <c r="D1987" s="34" t="s">
        <v>1999</v>
      </c>
      <c r="E1987" s="35" t="str">
        <f t="shared" si="477"/>
        <v>PSNP'!</v>
      </c>
      <c r="F1987" s="34" t="str">
        <f t="shared" si="478"/>
        <v>C:\Users\jaime.benazar\Quorum Business Solutions\Ecopetrol Prometeo - Documents\Planning Space Implementation\3. Analysis &amp; Design\Design\FC22\DRR Jaime\QUIFA-CAJÚA\Cajua\[CAJUA_CF_SEC_New_27-Feb-2024Rev3.xlsx]D-PSNP'!</v>
      </c>
      <c r="G1987" s="32" t="s">
        <v>38</v>
      </c>
      <c r="H1987" s="33"/>
      <c r="I1987" s="33"/>
      <c r="J1987" s="37"/>
    </row>
    <row r="1988" spans="1:10" x14ac:dyDescent="0.25">
      <c r="A1988" s="32" t="s">
        <v>103</v>
      </c>
      <c r="B1988" s="32">
        <f t="shared" si="479"/>
        <v>2033</v>
      </c>
      <c r="C1988" s="33" t="s">
        <v>17</v>
      </c>
      <c r="D1988" s="34" t="s">
        <v>1999</v>
      </c>
      <c r="E1988" s="35" t="str">
        <f t="shared" si="477"/>
        <v>PSNP'!</v>
      </c>
      <c r="F1988" s="34" t="str">
        <f t="shared" si="478"/>
        <v>C:\Users\jaime.benazar\Quorum Business Solutions\Ecopetrol Prometeo - Documents\Planning Space Implementation\3. Analysis &amp; Design\Design\FC22\DRR Jaime\QUIFA-CAJÚA\Cajua\[CAJUA_CF_SEC_New_27-Feb-2024Rev3.xlsx]D-PSNP'!</v>
      </c>
      <c r="G1988" s="32" t="s">
        <v>38</v>
      </c>
      <c r="H1988" s="33"/>
      <c r="I1988" s="33"/>
      <c r="J1988" s="37"/>
    </row>
    <row r="1989" spans="1:10" x14ac:dyDescent="0.25">
      <c r="A1989" s="32" t="s">
        <v>103</v>
      </c>
      <c r="B1989" s="32">
        <f t="shared" si="479"/>
        <v>2034</v>
      </c>
      <c r="C1989" s="33" t="s">
        <v>17</v>
      </c>
      <c r="D1989" s="34" t="s">
        <v>1999</v>
      </c>
      <c r="E1989" s="35" t="str">
        <f t="shared" si="477"/>
        <v>PSNP'!</v>
      </c>
      <c r="F1989" s="34" t="str">
        <f t="shared" si="478"/>
        <v>C:\Users\jaime.benazar\Quorum Business Solutions\Ecopetrol Prometeo - Documents\Planning Space Implementation\3. Analysis &amp; Design\Design\FC22\DRR Jaime\QUIFA-CAJÚA\Cajua\[CAJUA_CF_SEC_New_27-Feb-2024Rev3.xlsx]D-PSNP'!</v>
      </c>
      <c r="G1989" s="32" t="s">
        <v>38</v>
      </c>
      <c r="H1989" s="33"/>
      <c r="I1989" s="33"/>
      <c r="J1989" s="37"/>
    </row>
    <row r="1990" spans="1:10" x14ac:dyDescent="0.25">
      <c r="A1990" s="32" t="s">
        <v>103</v>
      </c>
      <c r="B1990" s="32">
        <f t="shared" si="479"/>
        <v>2035</v>
      </c>
      <c r="C1990" s="33" t="s">
        <v>17</v>
      </c>
      <c r="D1990" s="34" t="s">
        <v>1999</v>
      </c>
      <c r="E1990" s="35" t="str">
        <f t="shared" si="477"/>
        <v>PSNP'!</v>
      </c>
      <c r="F1990" s="34" t="str">
        <f t="shared" si="478"/>
        <v>C:\Users\jaime.benazar\Quorum Business Solutions\Ecopetrol Prometeo - Documents\Planning Space Implementation\3. Analysis &amp; Design\Design\FC22\DRR Jaime\QUIFA-CAJÚA\Cajua\[CAJUA_CF_SEC_New_27-Feb-2024Rev3.xlsx]D-PSNP'!</v>
      </c>
      <c r="G1990" s="32" t="s">
        <v>38</v>
      </c>
      <c r="H1990" s="33"/>
      <c r="I1990" s="33"/>
      <c r="J1990" s="37"/>
    </row>
    <row r="1991" spans="1:10" x14ac:dyDescent="0.25">
      <c r="A1991" s="32" t="s">
        <v>103</v>
      </c>
      <c r="B1991" s="32">
        <f t="shared" si="479"/>
        <v>2036</v>
      </c>
      <c r="C1991" s="33" t="s">
        <v>17</v>
      </c>
      <c r="D1991" s="34" t="s">
        <v>1999</v>
      </c>
      <c r="E1991" s="35" t="str">
        <f t="shared" si="477"/>
        <v>PSNP'!</v>
      </c>
      <c r="F1991" s="34" t="str">
        <f t="shared" si="478"/>
        <v>C:\Users\jaime.benazar\Quorum Business Solutions\Ecopetrol Prometeo - Documents\Planning Space Implementation\3. Analysis &amp; Design\Design\FC22\DRR Jaime\QUIFA-CAJÚA\Cajua\[CAJUA_CF_SEC_New_27-Feb-2024Rev3.xlsx]D-PSNP'!</v>
      </c>
      <c r="G1991" s="32" t="s">
        <v>38</v>
      </c>
      <c r="H1991" s="33"/>
      <c r="I1991" s="33"/>
      <c r="J1991" s="37"/>
    </row>
    <row r="1992" spans="1:10" x14ac:dyDescent="0.25">
      <c r="A1992" s="32" t="s">
        <v>103</v>
      </c>
      <c r="B1992" s="32">
        <f>+B1991+1</f>
        <v>2037</v>
      </c>
      <c r="C1992" s="33" t="s">
        <v>17</v>
      </c>
      <c r="D1992" s="34" t="s">
        <v>1999</v>
      </c>
      <c r="E1992" s="35" t="str">
        <f t="shared" si="477"/>
        <v>PSNP'!</v>
      </c>
      <c r="F1992" s="34" t="str">
        <f t="shared" si="478"/>
        <v>C:\Users\jaime.benazar\Quorum Business Solutions\Ecopetrol Prometeo - Documents\Planning Space Implementation\3. Analysis &amp; Design\Design\FC22\DRR Jaime\QUIFA-CAJÚA\Cajua\[CAJUA_CF_SEC_New_27-Feb-2024Rev3.xlsx]D-PSNP'!</v>
      </c>
      <c r="G1992" s="32" t="s">
        <v>38</v>
      </c>
      <c r="H1992" s="33"/>
      <c r="I1992" s="33"/>
      <c r="J1992" s="37"/>
    </row>
    <row r="1993" spans="1:10" x14ac:dyDescent="0.25">
      <c r="A1993" s="32" t="s">
        <v>103</v>
      </c>
      <c r="B1993" s="32">
        <f t="shared" ref="B1993:B1995" si="480">+B1992+1</f>
        <v>2038</v>
      </c>
      <c r="C1993" s="33" t="s">
        <v>17</v>
      </c>
      <c r="D1993" s="34" t="s">
        <v>1999</v>
      </c>
      <c r="E1993" s="35" t="str">
        <f t="shared" si="477"/>
        <v>PSNP'!</v>
      </c>
      <c r="F1993" s="34" t="str">
        <f t="shared" si="478"/>
        <v>C:\Users\jaime.benazar\Quorum Business Solutions\Ecopetrol Prometeo - Documents\Planning Space Implementation\3. Analysis &amp; Design\Design\FC22\DRR Jaime\QUIFA-CAJÚA\Cajua\[CAJUA_CF_SEC_New_27-Feb-2024Rev3.xlsx]D-PSNP'!</v>
      </c>
      <c r="G1993" s="32" t="s">
        <v>38</v>
      </c>
      <c r="H1993" s="33"/>
      <c r="I1993" s="33"/>
      <c r="J1993" s="37"/>
    </row>
    <row r="1994" spans="1:10" x14ac:dyDescent="0.25">
      <c r="A1994" s="32" t="s">
        <v>103</v>
      </c>
      <c r="B1994" s="32">
        <f t="shared" si="480"/>
        <v>2039</v>
      </c>
      <c r="C1994" s="33" t="s">
        <v>17</v>
      </c>
      <c r="D1994" s="34" t="s">
        <v>1999</v>
      </c>
      <c r="E1994" s="35" t="str">
        <f t="shared" si="477"/>
        <v>PSNP'!</v>
      </c>
      <c r="F1994" s="34" t="str">
        <f t="shared" si="478"/>
        <v>C:\Users\jaime.benazar\Quorum Business Solutions\Ecopetrol Prometeo - Documents\Planning Space Implementation\3. Analysis &amp; Design\Design\FC22\DRR Jaime\QUIFA-CAJÚA\Cajua\[CAJUA_CF_SEC_New_27-Feb-2024Rev3.xlsx]D-PSNP'!</v>
      </c>
      <c r="G1994" s="32" t="s">
        <v>38</v>
      </c>
      <c r="H1994" s="33"/>
      <c r="I1994" s="33"/>
      <c r="J1994" s="37"/>
    </row>
    <row r="1995" spans="1:10" x14ac:dyDescent="0.25">
      <c r="A1995" s="32" t="s">
        <v>103</v>
      </c>
      <c r="B1995" s="32">
        <f t="shared" si="480"/>
        <v>2040</v>
      </c>
      <c r="C1995" s="33" t="s">
        <v>17</v>
      </c>
      <c r="D1995" s="34" t="s">
        <v>1999</v>
      </c>
      <c r="E1995" s="35" t="str">
        <f t="shared" si="477"/>
        <v>PSNP'!</v>
      </c>
      <c r="F1995" s="34" t="str">
        <f t="shared" si="478"/>
        <v>C:\Users\jaime.benazar\Quorum Business Solutions\Ecopetrol Prometeo - Documents\Planning Space Implementation\3. Analysis &amp; Design\Design\FC22\DRR Jaime\QUIFA-CAJÚA\Cajua\[CAJUA_CF_SEC_New_27-Feb-2024Rev3.xlsx]D-PSNP'!</v>
      </c>
      <c r="G1995" s="32" t="s">
        <v>38</v>
      </c>
      <c r="H1995" s="33"/>
      <c r="I1995" s="33"/>
      <c r="J1995" s="37"/>
    </row>
    <row r="1996" spans="1:10" x14ac:dyDescent="0.25">
      <c r="A1996" s="32" t="s">
        <v>103</v>
      </c>
      <c r="B1996" s="32">
        <f>+B1995+1</f>
        <v>2041</v>
      </c>
      <c r="C1996" s="33" t="s">
        <v>17</v>
      </c>
      <c r="D1996" s="34" t="s">
        <v>1999</v>
      </c>
      <c r="E1996" s="35" t="str">
        <f t="shared" si="477"/>
        <v>PSNP'!</v>
      </c>
      <c r="F1996" s="34" t="str">
        <f t="shared" si="478"/>
        <v>C:\Users\jaime.benazar\Quorum Business Solutions\Ecopetrol Prometeo - Documents\Planning Space Implementation\3. Analysis &amp; Design\Design\FC22\DRR Jaime\QUIFA-CAJÚA\Cajua\[CAJUA_CF_SEC_New_27-Feb-2024Rev3.xlsx]D-PSNP'!</v>
      </c>
      <c r="G1996" s="32" t="s">
        <v>38</v>
      </c>
      <c r="H1996" s="33"/>
      <c r="I1996" s="33"/>
      <c r="J1996" s="37"/>
    </row>
    <row r="1997" spans="1:10" x14ac:dyDescent="0.25">
      <c r="A1997" s="32" t="s">
        <v>103</v>
      </c>
      <c r="B1997" s="32">
        <f t="shared" ref="B1997:B1998" si="481">+B1996+1</f>
        <v>2042</v>
      </c>
      <c r="C1997" s="33" t="s">
        <v>17</v>
      </c>
      <c r="D1997" s="34" t="s">
        <v>1999</v>
      </c>
      <c r="E1997" s="35" t="str">
        <f t="shared" si="477"/>
        <v>PSNP'!</v>
      </c>
      <c r="F1997" s="34" t="str">
        <f t="shared" si="478"/>
        <v>C:\Users\jaime.benazar\Quorum Business Solutions\Ecopetrol Prometeo - Documents\Planning Space Implementation\3. Analysis &amp; Design\Design\FC22\DRR Jaime\QUIFA-CAJÚA\Cajua\[CAJUA_CF_SEC_New_27-Feb-2024Rev3.xlsx]D-PSNP'!</v>
      </c>
      <c r="G1997" s="32" t="s">
        <v>38</v>
      </c>
      <c r="H1997" s="33"/>
      <c r="I1997" s="33"/>
      <c r="J1997" s="37"/>
    </row>
    <row r="1998" spans="1:10" x14ac:dyDescent="0.25">
      <c r="A1998" s="32" t="s">
        <v>103</v>
      </c>
      <c r="B1998" s="32">
        <f t="shared" si="481"/>
        <v>2043</v>
      </c>
      <c r="C1998" s="33" t="s">
        <v>17</v>
      </c>
      <c r="D1998" s="34" t="s">
        <v>1999</v>
      </c>
      <c r="E1998" s="35" t="str">
        <f t="shared" si="477"/>
        <v>PSNP'!</v>
      </c>
      <c r="F1998" s="34" t="str">
        <f t="shared" si="478"/>
        <v>C:\Users\jaime.benazar\Quorum Business Solutions\Ecopetrol Prometeo - Documents\Planning Space Implementation\3. Analysis &amp; Design\Design\FC22\DRR Jaime\QUIFA-CAJÚA\Cajua\[CAJUA_CF_SEC_New_27-Feb-2024Rev3.xlsx]D-PSNP'!</v>
      </c>
      <c r="G1998" s="32" t="s">
        <v>38</v>
      </c>
      <c r="H1998" s="33"/>
      <c r="I1998" s="33"/>
      <c r="J1998" s="37"/>
    </row>
    <row r="1999" spans="1:10" x14ac:dyDescent="0.25">
      <c r="A1999" s="32" t="s">
        <v>103</v>
      </c>
      <c r="B1999" s="32">
        <f>+B1998+1</f>
        <v>2044</v>
      </c>
      <c r="C1999" s="33" t="s">
        <v>17</v>
      </c>
      <c r="D1999" s="34" t="s">
        <v>1999</v>
      </c>
      <c r="E1999" s="35" t="str">
        <f t="shared" ref="E1999:E2014" si="482">_xlfn.CONCAT(A1999,"'!")</f>
        <v>PSNP'!</v>
      </c>
      <c r="F1999" s="34" t="str">
        <f t="shared" ref="F1999:F2014" si="483">_xlfn.CONCAT(D1999:E1999)</f>
        <v>C:\Users\jaime.benazar\Quorum Business Solutions\Ecopetrol Prometeo - Documents\Planning Space Implementation\3. Analysis &amp; Design\Design\FC22\DRR Jaime\QUIFA-CAJÚA\Cajua\[CAJUA_CF_SEC_New_27-Feb-2024Rev3.xlsx]D-PSNP'!</v>
      </c>
      <c r="G1999" s="32" t="s">
        <v>38</v>
      </c>
      <c r="H1999" s="33"/>
      <c r="I1999" s="33"/>
      <c r="J1999" s="37"/>
    </row>
    <row r="2000" spans="1:10" x14ac:dyDescent="0.25">
      <c r="A2000" s="32" t="s">
        <v>103</v>
      </c>
      <c r="B2000" s="32">
        <f t="shared" ref="B2000:B2014" si="484">+B1999+1</f>
        <v>2045</v>
      </c>
      <c r="C2000" s="33" t="s">
        <v>17</v>
      </c>
      <c r="D2000" s="34" t="s">
        <v>1999</v>
      </c>
      <c r="E2000" s="35" t="str">
        <f t="shared" si="482"/>
        <v>PSNP'!</v>
      </c>
      <c r="F2000" s="34" t="str">
        <f t="shared" si="483"/>
        <v>C:\Users\jaime.benazar\Quorum Business Solutions\Ecopetrol Prometeo - Documents\Planning Space Implementation\3. Analysis &amp; Design\Design\FC22\DRR Jaime\QUIFA-CAJÚA\Cajua\[CAJUA_CF_SEC_New_27-Feb-2024Rev3.xlsx]D-PSNP'!</v>
      </c>
      <c r="G2000" s="32" t="s">
        <v>38</v>
      </c>
      <c r="H2000" s="33"/>
      <c r="I2000" s="33"/>
      <c r="J2000" s="37"/>
    </row>
    <row r="2001" spans="1:10" x14ac:dyDescent="0.25">
      <c r="A2001" s="32" t="s">
        <v>103</v>
      </c>
      <c r="B2001" s="32">
        <f t="shared" si="484"/>
        <v>2046</v>
      </c>
      <c r="C2001" s="33" t="s">
        <v>17</v>
      </c>
      <c r="D2001" s="34" t="s">
        <v>1999</v>
      </c>
      <c r="E2001" s="35" t="str">
        <f t="shared" si="482"/>
        <v>PSNP'!</v>
      </c>
      <c r="F2001" s="34" t="str">
        <f t="shared" si="483"/>
        <v>C:\Users\jaime.benazar\Quorum Business Solutions\Ecopetrol Prometeo - Documents\Planning Space Implementation\3. Analysis &amp; Design\Design\FC22\DRR Jaime\QUIFA-CAJÚA\Cajua\[CAJUA_CF_SEC_New_27-Feb-2024Rev3.xlsx]D-PSNP'!</v>
      </c>
      <c r="G2001" s="32" t="s">
        <v>38</v>
      </c>
      <c r="H2001" s="33"/>
      <c r="I2001" s="33"/>
      <c r="J2001" s="37"/>
    </row>
    <row r="2002" spans="1:10" x14ac:dyDescent="0.25">
      <c r="A2002" s="32" t="s">
        <v>103</v>
      </c>
      <c r="B2002" s="32">
        <f t="shared" si="484"/>
        <v>2047</v>
      </c>
      <c r="C2002" s="33" t="s">
        <v>17</v>
      </c>
      <c r="D2002" s="34" t="s">
        <v>1999</v>
      </c>
      <c r="E2002" s="35" t="str">
        <f t="shared" si="482"/>
        <v>PSNP'!</v>
      </c>
      <c r="F2002" s="34" t="str">
        <f t="shared" si="483"/>
        <v>C:\Users\jaime.benazar\Quorum Business Solutions\Ecopetrol Prometeo - Documents\Planning Space Implementation\3. Analysis &amp; Design\Design\FC22\DRR Jaime\QUIFA-CAJÚA\Cajua\[CAJUA_CF_SEC_New_27-Feb-2024Rev3.xlsx]D-PSNP'!</v>
      </c>
      <c r="G2002" s="32" t="s">
        <v>38</v>
      </c>
      <c r="H2002" s="33"/>
      <c r="I2002" s="33"/>
      <c r="J2002" s="37"/>
    </row>
    <row r="2003" spans="1:10" x14ac:dyDescent="0.25">
      <c r="A2003" s="32" t="s">
        <v>103</v>
      </c>
      <c r="B2003" s="32">
        <f t="shared" si="484"/>
        <v>2048</v>
      </c>
      <c r="C2003" s="33" t="s">
        <v>17</v>
      </c>
      <c r="D2003" s="34" t="s">
        <v>1999</v>
      </c>
      <c r="E2003" s="35" t="str">
        <f t="shared" si="482"/>
        <v>PSNP'!</v>
      </c>
      <c r="F2003" s="34" t="str">
        <f t="shared" si="483"/>
        <v>C:\Users\jaime.benazar\Quorum Business Solutions\Ecopetrol Prometeo - Documents\Planning Space Implementation\3. Analysis &amp; Design\Design\FC22\DRR Jaime\QUIFA-CAJÚA\Cajua\[CAJUA_CF_SEC_New_27-Feb-2024Rev3.xlsx]D-PSNP'!</v>
      </c>
      <c r="G2003" s="32" t="s">
        <v>38</v>
      </c>
      <c r="H2003" s="33"/>
      <c r="I2003" s="33"/>
      <c r="J2003" s="37"/>
    </row>
    <row r="2004" spans="1:10" x14ac:dyDescent="0.25">
      <c r="A2004" s="32" t="s">
        <v>103</v>
      </c>
      <c r="B2004" s="32">
        <f t="shared" si="484"/>
        <v>2049</v>
      </c>
      <c r="C2004" s="33" t="s">
        <v>17</v>
      </c>
      <c r="D2004" s="34" t="s">
        <v>1999</v>
      </c>
      <c r="E2004" s="35" t="str">
        <f t="shared" si="482"/>
        <v>PSNP'!</v>
      </c>
      <c r="F2004" s="34" t="str">
        <f t="shared" si="483"/>
        <v>C:\Users\jaime.benazar\Quorum Business Solutions\Ecopetrol Prometeo - Documents\Planning Space Implementation\3. Analysis &amp; Design\Design\FC22\DRR Jaime\QUIFA-CAJÚA\Cajua\[CAJUA_CF_SEC_New_27-Feb-2024Rev3.xlsx]D-PSNP'!</v>
      </c>
      <c r="G2004" s="32" t="s">
        <v>38</v>
      </c>
      <c r="H2004" s="33"/>
      <c r="I2004" s="33"/>
      <c r="J2004" s="37"/>
    </row>
    <row r="2005" spans="1:10" x14ac:dyDescent="0.25">
      <c r="A2005" s="32" t="s">
        <v>103</v>
      </c>
      <c r="B2005" s="32">
        <f t="shared" si="484"/>
        <v>2050</v>
      </c>
      <c r="C2005" s="33" t="s">
        <v>17</v>
      </c>
      <c r="D2005" s="34" t="s">
        <v>1999</v>
      </c>
      <c r="E2005" s="35" t="str">
        <f t="shared" si="482"/>
        <v>PSNP'!</v>
      </c>
      <c r="F2005" s="34" t="str">
        <f t="shared" si="483"/>
        <v>C:\Users\jaime.benazar\Quorum Business Solutions\Ecopetrol Prometeo - Documents\Planning Space Implementation\3. Analysis &amp; Design\Design\FC22\DRR Jaime\QUIFA-CAJÚA\Cajua\[CAJUA_CF_SEC_New_27-Feb-2024Rev3.xlsx]D-PSNP'!</v>
      </c>
      <c r="G2005" s="32" t="s">
        <v>38</v>
      </c>
      <c r="H2005" s="33"/>
      <c r="I2005" s="33"/>
      <c r="J2005" s="37"/>
    </row>
    <row r="2006" spans="1:10" x14ac:dyDescent="0.25">
      <c r="A2006" s="32" t="s">
        <v>103</v>
      </c>
      <c r="B2006" s="32">
        <f t="shared" si="484"/>
        <v>2051</v>
      </c>
      <c r="C2006" s="33" t="s">
        <v>17</v>
      </c>
      <c r="D2006" s="34" t="s">
        <v>1999</v>
      </c>
      <c r="E2006" s="35" t="str">
        <f t="shared" si="482"/>
        <v>PSNP'!</v>
      </c>
      <c r="F2006" s="34" t="str">
        <f t="shared" si="483"/>
        <v>C:\Users\jaime.benazar\Quorum Business Solutions\Ecopetrol Prometeo - Documents\Planning Space Implementation\3. Analysis &amp; Design\Design\FC22\DRR Jaime\QUIFA-CAJÚA\Cajua\[CAJUA_CF_SEC_New_27-Feb-2024Rev3.xlsx]D-PSNP'!</v>
      </c>
      <c r="G2006" s="32" t="s">
        <v>38</v>
      </c>
      <c r="H2006" s="33"/>
      <c r="I2006" s="33"/>
      <c r="J2006" s="37"/>
    </row>
    <row r="2007" spans="1:10" x14ac:dyDescent="0.25">
      <c r="A2007" s="32" t="s">
        <v>103</v>
      </c>
      <c r="B2007" s="32">
        <f t="shared" si="484"/>
        <v>2052</v>
      </c>
      <c r="C2007" s="33" t="s">
        <v>17</v>
      </c>
      <c r="D2007" s="34" t="s">
        <v>1999</v>
      </c>
      <c r="E2007" s="35" t="str">
        <f t="shared" si="482"/>
        <v>PSNP'!</v>
      </c>
      <c r="F2007" s="34" t="str">
        <f t="shared" si="483"/>
        <v>C:\Users\jaime.benazar\Quorum Business Solutions\Ecopetrol Prometeo - Documents\Planning Space Implementation\3. Analysis &amp; Design\Design\FC22\DRR Jaime\QUIFA-CAJÚA\Cajua\[CAJUA_CF_SEC_New_27-Feb-2024Rev3.xlsx]D-PSNP'!</v>
      </c>
      <c r="G2007" s="32" t="s">
        <v>38</v>
      </c>
      <c r="H2007" s="33"/>
      <c r="I2007" s="33"/>
      <c r="J2007" s="37"/>
    </row>
    <row r="2008" spans="1:10" x14ac:dyDescent="0.25">
      <c r="A2008" s="32" t="s">
        <v>103</v>
      </c>
      <c r="B2008" s="32">
        <f t="shared" si="484"/>
        <v>2053</v>
      </c>
      <c r="C2008" s="33" t="s">
        <v>17</v>
      </c>
      <c r="D2008" s="34" t="s">
        <v>1999</v>
      </c>
      <c r="E2008" s="35" t="str">
        <f t="shared" si="482"/>
        <v>PSNP'!</v>
      </c>
      <c r="F2008" s="34" t="str">
        <f t="shared" si="483"/>
        <v>C:\Users\jaime.benazar\Quorum Business Solutions\Ecopetrol Prometeo - Documents\Planning Space Implementation\3. Analysis &amp; Design\Design\FC22\DRR Jaime\QUIFA-CAJÚA\Cajua\[CAJUA_CF_SEC_New_27-Feb-2024Rev3.xlsx]D-PSNP'!</v>
      </c>
      <c r="G2008" s="32" t="s">
        <v>38</v>
      </c>
      <c r="H2008" s="33"/>
      <c r="I2008" s="33"/>
      <c r="J2008" s="37"/>
    </row>
    <row r="2009" spans="1:10" x14ac:dyDescent="0.25">
      <c r="A2009" s="32" t="s">
        <v>103</v>
      </c>
      <c r="B2009" s="32">
        <f t="shared" si="484"/>
        <v>2054</v>
      </c>
      <c r="C2009" s="33" t="s">
        <v>17</v>
      </c>
      <c r="D2009" s="34" t="s">
        <v>1999</v>
      </c>
      <c r="E2009" s="35" t="str">
        <f t="shared" si="482"/>
        <v>PSNP'!</v>
      </c>
      <c r="F2009" s="34" t="str">
        <f t="shared" si="483"/>
        <v>C:\Users\jaime.benazar\Quorum Business Solutions\Ecopetrol Prometeo - Documents\Planning Space Implementation\3. Analysis &amp; Design\Design\FC22\DRR Jaime\QUIFA-CAJÚA\Cajua\[CAJUA_CF_SEC_New_27-Feb-2024Rev3.xlsx]D-PSNP'!</v>
      </c>
      <c r="G2009" s="32" t="s">
        <v>38</v>
      </c>
      <c r="H2009" s="33"/>
      <c r="I2009" s="33"/>
      <c r="J2009" s="37"/>
    </row>
    <row r="2010" spans="1:10" x14ac:dyDescent="0.25">
      <c r="A2010" s="32" t="s">
        <v>103</v>
      </c>
      <c r="B2010" s="32">
        <f t="shared" si="484"/>
        <v>2055</v>
      </c>
      <c r="C2010" s="33" t="s">
        <v>17</v>
      </c>
      <c r="D2010" s="34" t="s">
        <v>1999</v>
      </c>
      <c r="E2010" s="35" t="str">
        <f t="shared" si="482"/>
        <v>PSNP'!</v>
      </c>
      <c r="F2010" s="34" t="str">
        <f t="shared" si="483"/>
        <v>C:\Users\jaime.benazar\Quorum Business Solutions\Ecopetrol Prometeo - Documents\Planning Space Implementation\3. Analysis &amp; Design\Design\FC22\DRR Jaime\QUIFA-CAJÚA\Cajua\[CAJUA_CF_SEC_New_27-Feb-2024Rev3.xlsx]D-PSNP'!</v>
      </c>
      <c r="G2010" s="32" t="s">
        <v>38</v>
      </c>
      <c r="H2010" s="33"/>
      <c r="I2010" s="33"/>
      <c r="J2010" s="37"/>
    </row>
    <row r="2011" spans="1:10" x14ac:dyDescent="0.25">
      <c r="A2011" s="32" t="s">
        <v>103</v>
      </c>
      <c r="B2011" s="32">
        <f t="shared" si="484"/>
        <v>2056</v>
      </c>
      <c r="C2011" s="33" t="s">
        <v>17</v>
      </c>
      <c r="D2011" s="34" t="s">
        <v>1999</v>
      </c>
      <c r="E2011" s="35" t="str">
        <f t="shared" si="482"/>
        <v>PSNP'!</v>
      </c>
      <c r="F2011" s="34" t="str">
        <f t="shared" si="483"/>
        <v>C:\Users\jaime.benazar\Quorum Business Solutions\Ecopetrol Prometeo - Documents\Planning Space Implementation\3. Analysis &amp; Design\Design\FC22\DRR Jaime\QUIFA-CAJÚA\Cajua\[CAJUA_CF_SEC_New_27-Feb-2024Rev3.xlsx]D-PSNP'!</v>
      </c>
      <c r="G2011" s="32" t="s">
        <v>38</v>
      </c>
      <c r="H2011" s="33"/>
      <c r="I2011" s="33"/>
      <c r="J2011" s="37"/>
    </row>
    <row r="2012" spans="1:10" x14ac:dyDescent="0.25">
      <c r="A2012" s="32" t="s">
        <v>103</v>
      </c>
      <c r="B2012" s="32">
        <f t="shared" si="484"/>
        <v>2057</v>
      </c>
      <c r="C2012" s="33" t="s">
        <v>17</v>
      </c>
      <c r="D2012" s="34" t="s">
        <v>1999</v>
      </c>
      <c r="E2012" s="35" t="str">
        <f t="shared" si="482"/>
        <v>PSNP'!</v>
      </c>
      <c r="F2012" s="34" t="str">
        <f t="shared" si="483"/>
        <v>C:\Users\jaime.benazar\Quorum Business Solutions\Ecopetrol Prometeo - Documents\Planning Space Implementation\3. Analysis &amp; Design\Design\FC22\DRR Jaime\QUIFA-CAJÚA\Cajua\[CAJUA_CF_SEC_New_27-Feb-2024Rev3.xlsx]D-PSNP'!</v>
      </c>
      <c r="G2012" s="32" t="s">
        <v>38</v>
      </c>
      <c r="H2012" s="33"/>
      <c r="I2012" s="33"/>
      <c r="J2012" s="37"/>
    </row>
    <row r="2013" spans="1:10" x14ac:dyDescent="0.25">
      <c r="A2013" s="32" t="s">
        <v>103</v>
      </c>
      <c r="B2013" s="32">
        <f t="shared" si="484"/>
        <v>2058</v>
      </c>
      <c r="C2013" s="33" t="s">
        <v>17</v>
      </c>
      <c r="D2013" s="34" t="s">
        <v>1999</v>
      </c>
      <c r="E2013" s="35" t="str">
        <f t="shared" si="482"/>
        <v>PSNP'!</v>
      </c>
      <c r="F2013" s="34" t="str">
        <f t="shared" si="483"/>
        <v>C:\Users\jaime.benazar\Quorum Business Solutions\Ecopetrol Prometeo - Documents\Planning Space Implementation\3. Analysis &amp; Design\Design\FC22\DRR Jaime\QUIFA-CAJÚA\Cajua\[CAJUA_CF_SEC_New_27-Feb-2024Rev3.xlsx]D-PSNP'!</v>
      </c>
      <c r="G2013" s="32" t="s">
        <v>38</v>
      </c>
      <c r="H2013" s="33"/>
      <c r="I2013" s="33"/>
      <c r="J2013" s="37"/>
    </row>
    <row r="2014" spans="1:10" x14ac:dyDescent="0.25">
      <c r="A2014" s="32" t="s">
        <v>103</v>
      </c>
      <c r="B2014" s="32">
        <f t="shared" si="484"/>
        <v>2059</v>
      </c>
      <c r="C2014" s="33" t="s">
        <v>17</v>
      </c>
      <c r="D2014" s="34" t="s">
        <v>1999</v>
      </c>
      <c r="E2014" s="35" t="str">
        <f t="shared" si="482"/>
        <v>PSNP'!</v>
      </c>
      <c r="F2014" s="34" t="str">
        <f t="shared" si="483"/>
        <v>C:\Users\jaime.benazar\Quorum Business Solutions\Ecopetrol Prometeo - Documents\Planning Space Implementation\3. Analysis &amp; Design\Design\FC22\DRR Jaime\QUIFA-CAJÚA\Cajua\[CAJUA_CF_SEC_New_27-Feb-2024Rev3.xlsx]D-PSNP'!</v>
      </c>
      <c r="G2014" s="32" t="s">
        <v>38</v>
      </c>
      <c r="H2014" s="33"/>
      <c r="I2014" s="33"/>
      <c r="J2014" s="37"/>
    </row>
    <row r="2015" spans="1:10" x14ac:dyDescent="0.25">
      <c r="A2015" s="32" t="s">
        <v>28</v>
      </c>
      <c r="B2015" s="32"/>
      <c r="C2015" s="33" t="s">
        <v>17</v>
      </c>
      <c r="D2015" s="34"/>
      <c r="E2015" s="35"/>
      <c r="F2015" s="34"/>
      <c r="G2015" s="32"/>
      <c r="H2015" s="33"/>
      <c r="I2015" s="33"/>
      <c r="J2015" s="33"/>
    </row>
    <row r="2016" spans="1:10" x14ac:dyDescent="0.25">
      <c r="A2016" s="32" t="s">
        <v>104</v>
      </c>
      <c r="B2016" s="32">
        <v>2023</v>
      </c>
      <c r="C2016" s="33" t="s">
        <v>17</v>
      </c>
      <c r="D2016" s="34" t="s">
        <v>1999</v>
      </c>
      <c r="E2016" s="35" t="str">
        <f t="shared" ref="E2016:E2036" si="485">_xlfn.CONCAT(A2016,"'!")</f>
        <v>PSND'!</v>
      </c>
      <c r="F2016" s="34" t="str">
        <f t="shared" ref="F2016:F2036" si="486">_xlfn.CONCAT(D2016:E2016)</f>
        <v>C:\Users\jaime.benazar\Quorum Business Solutions\Ecopetrol Prometeo - Documents\Planning Space Implementation\3. Analysis &amp; Design\Design\FC22\DRR Jaime\QUIFA-CAJÚA\Cajua\[CAJUA_CF_SEC_New_27-Feb-2024Rev3.xlsx]D-PSND'!</v>
      </c>
      <c r="G2016" s="32" t="s">
        <v>38</v>
      </c>
      <c r="H2016" s="33"/>
      <c r="I2016" s="33"/>
      <c r="J2016" s="37"/>
    </row>
    <row r="2017" spans="1:10" x14ac:dyDescent="0.25">
      <c r="A2017" s="32" t="s">
        <v>104</v>
      </c>
      <c r="B2017" s="32">
        <f>+B2016+1</f>
        <v>2024</v>
      </c>
      <c r="C2017" s="33" t="s">
        <v>17</v>
      </c>
      <c r="D2017" s="34" t="s">
        <v>1999</v>
      </c>
      <c r="E2017" s="35" t="str">
        <f t="shared" si="485"/>
        <v>PSND'!</v>
      </c>
      <c r="F2017" s="34" t="str">
        <f t="shared" si="486"/>
        <v>C:\Users\jaime.benazar\Quorum Business Solutions\Ecopetrol Prometeo - Documents\Planning Space Implementation\3. Analysis &amp; Design\Design\FC22\DRR Jaime\QUIFA-CAJÚA\Cajua\[CAJUA_CF_SEC_New_27-Feb-2024Rev3.xlsx]D-PSND'!</v>
      </c>
      <c r="G2017" s="32" t="s">
        <v>38</v>
      </c>
      <c r="H2017" s="33"/>
      <c r="I2017" s="33"/>
      <c r="J2017" s="37"/>
    </row>
    <row r="2018" spans="1:10" x14ac:dyDescent="0.25">
      <c r="A2018" s="32" t="s">
        <v>104</v>
      </c>
      <c r="B2018" s="32">
        <f t="shared" ref="B2018:B2029" si="487">+B2017+1</f>
        <v>2025</v>
      </c>
      <c r="C2018" s="33" t="s">
        <v>17</v>
      </c>
      <c r="D2018" s="34" t="s">
        <v>1999</v>
      </c>
      <c r="E2018" s="35" t="str">
        <f t="shared" si="485"/>
        <v>PSND'!</v>
      </c>
      <c r="F2018" s="34" t="str">
        <f t="shared" si="486"/>
        <v>C:\Users\jaime.benazar\Quorum Business Solutions\Ecopetrol Prometeo - Documents\Planning Space Implementation\3. Analysis &amp; Design\Design\FC22\DRR Jaime\QUIFA-CAJÚA\Cajua\[CAJUA_CF_SEC_New_27-Feb-2024Rev3.xlsx]D-PSND'!</v>
      </c>
      <c r="G2018" s="32" t="s">
        <v>38</v>
      </c>
      <c r="H2018" s="33"/>
      <c r="I2018" s="33"/>
      <c r="J2018" s="37"/>
    </row>
    <row r="2019" spans="1:10" x14ac:dyDescent="0.25">
      <c r="A2019" s="32" t="s">
        <v>104</v>
      </c>
      <c r="B2019" s="32">
        <f t="shared" si="487"/>
        <v>2026</v>
      </c>
      <c r="C2019" s="33" t="s">
        <v>17</v>
      </c>
      <c r="D2019" s="34" t="s">
        <v>1999</v>
      </c>
      <c r="E2019" s="35" t="str">
        <f t="shared" si="485"/>
        <v>PSND'!</v>
      </c>
      <c r="F2019" s="34" t="str">
        <f t="shared" si="486"/>
        <v>C:\Users\jaime.benazar\Quorum Business Solutions\Ecopetrol Prometeo - Documents\Planning Space Implementation\3. Analysis &amp; Design\Design\FC22\DRR Jaime\QUIFA-CAJÚA\Cajua\[CAJUA_CF_SEC_New_27-Feb-2024Rev3.xlsx]D-PSND'!</v>
      </c>
      <c r="G2019" s="32" t="s">
        <v>38</v>
      </c>
      <c r="H2019" s="33"/>
      <c r="I2019" s="33"/>
      <c r="J2019" s="37"/>
    </row>
    <row r="2020" spans="1:10" x14ac:dyDescent="0.25">
      <c r="A2020" s="32" t="s">
        <v>104</v>
      </c>
      <c r="B2020" s="32">
        <f t="shared" si="487"/>
        <v>2027</v>
      </c>
      <c r="C2020" s="33" t="s">
        <v>17</v>
      </c>
      <c r="D2020" s="34" t="s">
        <v>1999</v>
      </c>
      <c r="E2020" s="35" t="str">
        <f t="shared" si="485"/>
        <v>PSND'!</v>
      </c>
      <c r="F2020" s="34" t="str">
        <f t="shared" si="486"/>
        <v>C:\Users\jaime.benazar\Quorum Business Solutions\Ecopetrol Prometeo - Documents\Planning Space Implementation\3. Analysis &amp; Design\Design\FC22\DRR Jaime\QUIFA-CAJÚA\Cajua\[CAJUA_CF_SEC_New_27-Feb-2024Rev3.xlsx]D-PSND'!</v>
      </c>
      <c r="G2020" s="32" t="s">
        <v>38</v>
      </c>
      <c r="H2020" s="33"/>
      <c r="I2020" s="33"/>
      <c r="J2020" s="37"/>
    </row>
    <row r="2021" spans="1:10" x14ac:dyDescent="0.25">
      <c r="A2021" s="32" t="s">
        <v>104</v>
      </c>
      <c r="B2021" s="32">
        <f t="shared" si="487"/>
        <v>2028</v>
      </c>
      <c r="C2021" s="33" t="s">
        <v>17</v>
      </c>
      <c r="D2021" s="34" t="s">
        <v>1999</v>
      </c>
      <c r="E2021" s="35" t="str">
        <f t="shared" si="485"/>
        <v>PSND'!</v>
      </c>
      <c r="F2021" s="34" t="str">
        <f t="shared" si="486"/>
        <v>C:\Users\jaime.benazar\Quorum Business Solutions\Ecopetrol Prometeo - Documents\Planning Space Implementation\3. Analysis &amp; Design\Design\FC22\DRR Jaime\QUIFA-CAJÚA\Cajua\[CAJUA_CF_SEC_New_27-Feb-2024Rev3.xlsx]D-PSND'!</v>
      </c>
      <c r="G2021" s="32" t="s">
        <v>38</v>
      </c>
      <c r="H2021" s="33"/>
      <c r="I2021" s="33"/>
      <c r="J2021" s="37"/>
    </row>
    <row r="2022" spans="1:10" x14ac:dyDescent="0.25">
      <c r="A2022" s="32" t="s">
        <v>104</v>
      </c>
      <c r="B2022" s="32">
        <f t="shared" si="487"/>
        <v>2029</v>
      </c>
      <c r="C2022" s="33" t="s">
        <v>17</v>
      </c>
      <c r="D2022" s="34" t="s">
        <v>1999</v>
      </c>
      <c r="E2022" s="35" t="str">
        <f t="shared" si="485"/>
        <v>PSND'!</v>
      </c>
      <c r="F2022" s="34" t="str">
        <f t="shared" si="486"/>
        <v>C:\Users\jaime.benazar\Quorum Business Solutions\Ecopetrol Prometeo - Documents\Planning Space Implementation\3. Analysis &amp; Design\Design\FC22\DRR Jaime\QUIFA-CAJÚA\Cajua\[CAJUA_CF_SEC_New_27-Feb-2024Rev3.xlsx]D-PSND'!</v>
      </c>
      <c r="G2022" s="32" t="s">
        <v>38</v>
      </c>
      <c r="H2022" s="33"/>
      <c r="I2022" s="33"/>
      <c r="J2022" s="37"/>
    </row>
    <row r="2023" spans="1:10" x14ac:dyDescent="0.25">
      <c r="A2023" s="32" t="s">
        <v>104</v>
      </c>
      <c r="B2023" s="32">
        <f t="shared" si="487"/>
        <v>2030</v>
      </c>
      <c r="C2023" s="33" t="s">
        <v>17</v>
      </c>
      <c r="D2023" s="34" t="s">
        <v>1999</v>
      </c>
      <c r="E2023" s="35" t="str">
        <f t="shared" si="485"/>
        <v>PSND'!</v>
      </c>
      <c r="F2023" s="34" t="str">
        <f t="shared" si="486"/>
        <v>C:\Users\jaime.benazar\Quorum Business Solutions\Ecopetrol Prometeo - Documents\Planning Space Implementation\3. Analysis &amp; Design\Design\FC22\DRR Jaime\QUIFA-CAJÚA\Cajua\[CAJUA_CF_SEC_New_27-Feb-2024Rev3.xlsx]D-PSND'!</v>
      </c>
      <c r="G2023" s="32" t="s">
        <v>38</v>
      </c>
      <c r="H2023" s="33"/>
      <c r="I2023" s="33"/>
      <c r="J2023" s="37"/>
    </row>
    <row r="2024" spans="1:10" x14ac:dyDescent="0.25">
      <c r="A2024" s="32" t="s">
        <v>104</v>
      </c>
      <c r="B2024" s="32">
        <f t="shared" si="487"/>
        <v>2031</v>
      </c>
      <c r="C2024" s="33" t="s">
        <v>17</v>
      </c>
      <c r="D2024" s="34" t="s">
        <v>1999</v>
      </c>
      <c r="E2024" s="35" t="str">
        <f t="shared" si="485"/>
        <v>PSND'!</v>
      </c>
      <c r="F2024" s="34" t="str">
        <f t="shared" si="486"/>
        <v>C:\Users\jaime.benazar\Quorum Business Solutions\Ecopetrol Prometeo - Documents\Planning Space Implementation\3. Analysis &amp; Design\Design\FC22\DRR Jaime\QUIFA-CAJÚA\Cajua\[CAJUA_CF_SEC_New_27-Feb-2024Rev3.xlsx]D-PSND'!</v>
      </c>
      <c r="G2024" s="32" t="s">
        <v>38</v>
      </c>
      <c r="H2024" s="33"/>
      <c r="I2024" s="33"/>
      <c r="J2024" s="37"/>
    </row>
    <row r="2025" spans="1:10" x14ac:dyDescent="0.25">
      <c r="A2025" s="32" t="s">
        <v>104</v>
      </c>
      <c r="B2025" s="32">
        <f t="shared" si="487"/>
        <v>2032</v>
      </c>
      <c r="C2025" s="33" t="s">
        <v>17</v>
      </c>
      <c r="D2025" s="34" t="s">
        <v>1999</v>
      </c>
      <c r="E2025" s="35" t="str">
        <f t="shared" si="485"/>
        <v>PSND'!</v>
      </c>
      <c r="F2025" s="34" t="str">
        <f t="shared" si="486"/>
        <v>C:\Users\jaime.benazar\Quorum Business Solutions\Ecopetrol Prometeo - Documents\Planning Space Implementation\3. Analysis &amp; Design\Design\FC22\DRR Jaime\QUIFA-CAJÚA\Cajua\[CAJUA_CF_SEC_New_27-Feb-2024Rev3.xlsx]D-PSND'!</v>
      </c>
      <c r="G2025" s="32" t="s">
        <v>38</v>
      </c>
      <c r="H2025" s="33"/>
      <c r="I2025" s="33"/>
      <c r="J2025" s="37"/>
    </row>
    <row r="2026" spans="1:10" x14ac:dyDescent="0.25">
      <c r="A2026" s="32" t="s">
        <v>104</v>
      </c>
      <c r="B2026" s="32">
        <f t="shared" si="487"/>
        <v>2033</v>
      </c>
      <c r="C2026" s="33" t="s">
        <v>17</v>
      </c>
      <c r="D2026" s="34" t="s">
        <v>1999</v>
      </c>
      <c r="E2026" s="35" t="str">
        <f t="shared" si="485"/>
        <v>PSND'!</v>
      </c>
      <c r="F2026" s="34" t="str">
        <f t="shared" si="486"/>
        <v>C:\Users\jaime.benazar\Quorum Business Solutions\Ecopetrol Prometeo - Documents\Planning Space Implementation\3. Analysis &amp; Design\Design\FC22\DRR Jaime\QUIFA-CAJÚA\Cajua\[CAJUA_CF_SEC_New_27-Feb-2024Rev3.xlsx]D-PSND'!</v>
      </c>
      <c r="G2026" s="32" t="s">
        <v>38</v>
      </c>
      <c r="H2026" s="33"/>
      <c r="I2026" s="33"/>
      <c r="J2026" s="37"/>
    </row>
    <row r="2027" spans="1:10" x14ac:dyDescent="0.25">
      <c r="A2027" s="32" t="s">
        <v>104</v>
      </c>
      <c r="B2027" s="32">
        <f t="shared" si="487"/>
        <v>2034</v>
      </c>
      <c r="C2027" s="33" t="s">
        <v>17</v>
      </c>
      <c r="D2027" s="34" t="s">
        <v>1999</v>
      </c>
      <c r="E2027" s="35" t="str">
        <f t="shared" si="485"/>
        <v>PSND'!</v>
      </c>
      <c r="F2027" s="34" t="str">
        <f t="shared" si="486"/>
        <v>C:\Users\jaime.benazar\Quorum Business Solutions\Ecopetrol Prometeo - Documents\Planning Space Implementation\3. Analysis &amp; Design\Design\FC22\DRR Jaime\QUIFA-CAJÚA\Cajua\[CAJUA_CF_SEC_New_27-Feb-2024Rev3.xlsx]D-PSND'!</v>
      </c>
      <c r="G2027" s="32" t="s">
        <v>38</v>
      </c>
      <c r="H2027" s="33"/>
      <c r="I2027" s="33"/>
      <c r="J2027" s="37"/>
    </row>
    <row r="2028" spans="1:10" x14ac:dyDescent="0.25">
      <c r="A2028" s="32" t="s">
        <v>104</v>
      </c>
      <c r="B2028" s="32">
        <f t="shared" si="487"/>
        <v>2035</v>
      </c>
      <c r="C2028" s="33" t="s">
        <v>17</v>
      </c>
      <c r="D2028" s="34" t="s">
        <v>1999</v>
      </c>
      <c r="E2028" s="35" t="str">
        <f t="shared" si="485"/>
        <v>PSND'!</v>
      </c>
      <c r="F2028" s="34" t="str">
        <f t="shared" si="486"/>
        <v>C:\Users\jaime.benazar\Quorum Business Solutions\Ecopetrol Prometeo - Documents\Planning Space Implementation\3. Analysis &amp; Design\Design\FC22\DRR Jaime\QUIFA-CAJÚA\Cajua\[CAJUA_CF_SEC_New_27-Feb-2024Rev3.xlsx]D-PSND'!</v>
      </c>
      <c r="G2028" s="32" t="s">
        <v>38</v>
      </c>
      <c r="H2028" s="33"/>
      <c r="I2028" s="33"/>
      <c r="J2028" s="37"/>
    </row>
    <row r="2029" spans="1:10" x14ac:dyDescent="0.25">
      <c r="A2029" s="32" t="s">
        <v>104</v>
      </c>
      <c r="B2029" s="32">
        <f t="shared" si="487"/>
        <v>2036</v>
      </c>
      <c r="C2029" s="33" t="s">
        <v>17</v>
      </c>
      <c r="D2029" s="34" t="s">
        <v>1999</v>
      </c>
      <c r="E2029" s="35" t="str">
        <f t="shared" si="485"/>
        <v>PSND'!</v>
      </c>
      <c r="F2029" s="34" t="str">
        <f t="shared" si="486"/>
        <v>C:\Users\jaime.benazar\Quorum Business Solutions\Ecopetrol Prometeo - Documents\Planning Space Implementation\3. Analysis &amp; Design\Design\FC22\DRR Jaime\QUIFA-CAJÚA\Cajua\[CAJUA_CF_SEC_New_27-Feb-2024Rev3.xlsx]D-PSND'!</v>
      </c>
      <c r="G2029" s="32" t="s">
        <v>38</v>
      </c>
      <c r="H2029" s="33"/>
      <c r="I2029" s="33"/>
      <c r="J2029" s="37"/>
    </row>
    <row r="2030" spans="1:10" x14ac:dyDescent="0.25">
      <c r="A2030" s="32" t="s">
        <v>104</v>
      </c>
      <c r="B2030" s="32">
        <f>+B2029+1</f>
        <v>2037</v>
      </c>
      <c r="C2030" s="33" t="s">
        <v>17</v>
      </c>
      <c r="D2030" s="34" t="s">
        <v>1999</v>
      </c>
      <c r="E2030" s="35" t="str">
        <f t="shared" si="485"/>
        <v>PSND'!</v>
      </c>
      <c r="F2030" s="34" t="str">
        <f t="shared" si="486"/>
        <v>C:\Users\jaime.benazar\Quorum Business Solutions\Ecopetrol Prometeo - Documents\Planning Space Implementation\3. Analysis &amp; Design\Design\FC22\DRR Jaime\QUIFA-CAJÚA\Cajua\[CAJUA_CF_SEC_New_27-Feb-2024Rev3.xlsx]D-PSND'!</v>
      </c>
      <c r="G2030" s="32" t="s">
        <v>38</v>
      </c>
      <c r="H2030" s="33"/>
      <c r="I2030" s="33"/>
      <c r="J2030" s="37"/>
    </row>
    <row r="2031" spans="1:10" x14ac:dyDescent="0.25">
      <c r="A2031" s="32" t="s">
        <v>104</v>
      </c>
      <c r="B2031" s="32">
        <f t="shared" ref="B2031:B2033" si="488">+B2030+1</f>
        <v>2038</v>
      </c>
      <c r="C2031" s="33" t="s">
        <v>17</v>
      </c>
      <c r="D2031" s="34" t="s">
        <v>1999</v>
      </c>
      <c r="E2031" s="35" t="str">
        <f t="shared" si="485"/>
        <v>PSND'!</v>
      </c>
      <c r="F2031" s="34" t="str">
        <f t="shared" si="486"/>
        <v>C:\Users\jaime.benazar\Quorum Business Solutions\Ecopetrol Prometeo - Documents\Planning Space Implementation\3. Analysis &amp; Design\Design\FC22\DRR Jaime\QUIFA-CAJÚA\Cajua\[CAJUA_CF_SEC_New_27-Feb-2024Rev3.xlsx]D-PSND'!</v>
      </c>
      <c r="G2031" s="32" t="s">
        <v>38</v>
      </c>
      <c r="H2031" s="33"/>
      <c r="I2031" s="33"/>
      <c r="J2031" s="37"/>
    </row>
    <row r="2032" spans="1:10" x14ac:dyDescent="0.25">
      <c r="A2032" s="32" t="s">
        <v>104</v>
      </c>
      <c r="B2032" s="32">
        <f t="shared" si="488"/>
        <v>2039</v>
      </c>
      <c r="C2032" s="33" t="s">
        <v>17</v>
      </c>
      <c r="D2032" s="34" t="s">
        <v>1999</v>
      </c>
      <c r="E2032" s="35" t="str">
        <f t="shared" si="485"/>
        <v>PSND'!</v>
      </c>
      <c r="F2032" s="34" t="str">
        <f t="shared" si="486"/>
        <v>C:\Users\jaime.benazar\Quorum Business Solutions\Ecopetrol Prometeo - Documents\Planning Space Implementation\3. Analysis &amp; Design\Design\FC22\DRR Jaime\QUIFA-CAJÚA\Cajua\[CAJUA_CF_SEC_New_27-Feb-2024Rev3.xlsx]D-PSND'!</v>
      </c>
      <c r="G2032" s="32" t="s">
        <v>38</v>
      </c>
      <c r="H2032" s="33"/>
      <c r="I2032" s="33"/>
      <c r="J2032" s="37"/>
    </row>
    <row r="2033" spans="1:10" x14ac:dyDescent="0.25">
      <c r="A2033" s="32" t="s">
        <v>104</v>
      </c>
      <c r="B2033" s="32">
        <f t="shared" si="488"/>
        <v>2040</v>
      </c>
      <c r="C2033" s="33" t="s">
        <v>17</v>
      </c>
      <c r="D2033" s="34" t="s">
        <v>1999</v>
      </c>
      <c r="E2033" s="35" t="str">
        <f t="shared" si="485"/>
        <v>PSND'!</v>
      </c>
      <c r="F2033" s="34" t="str">
        <f t="shared" si="486"/>
        <v>C:\Users\jaime.benazar\Quorum Business Solutions\Ecopetrol Prometeo - Documents\Planning Space Implementation\3. Analysis &amp; Design\Design\FC22\DRR Jaime\QUIFA-CAJÚA\Cajua\[CAJUA_CF_SEC_New_27-Feb-2024Rev3.xlsx]D-PSND'!</v>
      </c>
      <c r="G2033" s="32" t="s">
        <v>38</v>
      </c>
      <c r="H2033" s="33"/>
      <c r="I2033" s="33"/>
      <c r="J2033" s="37"/>
    </row>
    <row r="2034" spans="1:10" x14ac:dyDescent="0.25">
      <c r="A2034" s="32" t="s">
        <v>104</v>
      </c>
      <c r="B2034" s="32">
        <f>+B2033+1</f>
        <v>2041</v>
      </c>
      <c r="C2034" s="33" t="s">
        <v>17</v>
      </c>
      <c r="D2034" s="34" t="s">
        <v>1999</v>
      </c>
      <c r="E2034" s="35" t="str">
        <f t="shared" si="485"/>
        <v>PSND'!</v>
      </c>
      <c r="F2034" s="34" t="str">
        <f t="shared" si="486"/>
        <v>C:\Users\jaime.benazar\Quorum Business Solutions\Ecopetrol Prometeo - Documents\Planning Space Implementation\3. Analysis &amp; Design\Design\FC22\DRR Jaime\QUIFA-CAJÚA\Cajua\[CAJUA_CF_SEC_New_27-Feb-2024Rev3.xlsx]D-PSND'!</v>
      </c>
      <c r="G2034" s="32" t="s">
        <v>38</v>
      </c>
      <c r="H2034" s="33"/>
      <c r="I2034" s="33"/>
      <c r="J2034" s="37"/>
    </row>
    <row r="2035" spans="1:10" x14ac:dyDescent="0.25">
      <c r="A2035" s="32" t="s">
        <v>104</v>
      </c>
      <c r="B2035" s="32">
        <f t="shared" ref="B2035:B2036" si="489">+B2034+1</f>
        <v>2042</v>
      </c>
      <c r="C2035" s="33" t="s">
        <v>17</v>
      </c>
      <c r="D2035" s="34" t="s">
        <v>1999</v>
      </c>
      <c r="E2035" s="35" t="str">
        <f t="shared" si="485"/>
        <v>PSND'!</v>
      </c>
      <c r="F2035" s="34" t="str">
        <f t="shared" si="486"/>
        <v>C:\Users\jaime.benazar\Quorum Business Solutions\Ecopetrol Prometeo - Documents\Planning Space Implementation\3. Analysis &amp; Design\Design\FC22\DRR Jaime\QUIFA-CAJÚA\Cajua\[CAJUA_CF_SEC_New_27-Feb-2024Rev3.xlsx]D-PSND'!</v>
      </c>
      <c r="G2035" s="32" t="s">
        <v>38</v>
      </c>
      <c r="H2035" s="33"/>
      <c r="I2035" s="33"/>
      <c r="J2035" s="37"/>
    </row>
    <row r="2036" spans="1:10" x14ac:dyDescent="0.25">
      <c r="A2036" s="32" t="s">
        <v>104</v>
      </c>
      <c r="B2036" s="32">
        <f t="shared" si="489"/>
        <v>2043</v>
      </c>
      <c r="C2036" s="33" t="s">
        <v>17</v>
      </c>
      <c r="D2036" s="34" t="s">
        <v>1999</v>
      </c>
      <c r="E2036" s="35" t="str">
        <f t="shared" si="485"/>
        <v>PSND'!</v>
      </c>
      <c r="F2036" s="34" t="str">
        <f t="shared" si="486"/>
        <v>C:\Users\jaime.benazar\Quorum Business Solutions\Ecopetrol Prometeo - Documents\Planning Space Implementation\3. Analysis &amp; Design\Design\FC22\DRR Jaime\QUIFA-CAJÚA\Cajua\[CAJUA_CF_SEC_New_27-Feb-2024Rev3.xlsx]D-PSND'!</v>
      </c>
      <c r="G2036" s="32" t="s">
        <v>38</v>
      </c>
      <c r="H2036" s="33"/>
      <c r="I2036" s="33"/>
      <c r="J2036" s="37"/>
    </row>
    <row r="2037" spans="1:10" x14ac:dyDescent="0.25">
      <c r="A2037" s="32" t="s">
        <v>104</v>
      </c>
      <c r="B2037" s="32">
        <f>+B2036+1</f>
        <v>2044</v>
      </c>
      <c r="C2037" s="33" t="s">
        <v>17</v>
      </c>
      <c r="D2037" s="34" t="s">
        <v>1999</v>
      </c>
      <c r="E2037" s="35" t="str">
        <f t="shared" ref="E2037:E2052" si="490">_xlfn.CONCAT(A2037,"'!")</f>
        <v>PSND'!</v>
      </c>
      <c r="F2037" s="34" t="str">
        <f t="shared" ref="F2037:F2052" si="491">_xlfn.CONCAT(D2037:E2037)</f>
        <v>C:\Users\jaime.benazar\Quorum Business Solutions\Ecopetrol Prometeo - Documents\Planning Space Implementation\3. Analysis &amp; Design\Design\FC22\DRR Jaime\QUIFA-CAJÚA\Cajua\[CAJUA_CF_SEC_New_27-Feb-2024Rev3.xlsx]D-PSND'!</v>
      </c>
      <c r="G2037" s="32" t="s">
        <v>38</v>
      </c>
      <c r="H2037" s="33"/>
      <c r="I2037" s="33"/>
      <c r="J2037" s="37"/>
    </row>
    <row r="2038" spans="1:10" x14ac:dyDescent="0.25">
      <c r="A2038" s="32" t="s">
        <v>104</v>
      </c>
      <c r="B2038" s="32">
        <f t="shared" ref="B2038:B2052" si="492">+B2037+1</f>
        <v>2045</v>
      </c>
      <c r="C2038" s="33" t="s">
        <v>17</v>
      </c>
      <c r="D2038" s="34" t="s">
        <v>1999</v>
      </c>
      <c r="E2038" s="35" t="str">
        <f t="shared" si="490"/>
        <v>PSND'!</v>
      </c>
      <c r="F2038" s="34" t="str">
        <f t="shared" si="491"/>
        <v>C:\Users\jaime.benazar\Quorum Business Solutions\Ecopetrol Prometeo - Documents\Planning Space Implementation\3. Analysis &amp; Design\Design\FC22\DRR Jaime\QUIFA-CAJÚA\Cajua\[CAJUA_CF_SEC_New_27-Feb-2024Rev3.xlsx]D-PSND'!</v>
      </c>
      <c r="G2038" s="32" t="s">
        <v>38</v>
      </c>
      <c r="H2038" s="33"/>
      <c r="I2038" s="33"/>
      <c r="J2038" s="37"/>
    </row>
    <row r="2039" spans="1:10" x14ac:dyDescent="0.25">
      <c r="A2039" s="32" t="s">
        <v>104</v>
      </c>
      <c r="B2039" s="32">
        <f t="shared" si="492"/>
        <v>2046</v>
      </c>
      <c r="C2039" s="33" t="s">
        <v>17</v>
      </c>
      <c r="D2039" s="34" t="s">
        <v>1999</v>
      </c>
      <c r="E2039" s="35" t="str">
        <f t="shared" si="490"/>
        <v>PSND'!</v>
      </c>
      <c r="F2039" s="34" t="str">
        <f t="shared" si="491"/>
        <v>C:\Users\jaime.benazar\Quorum Business Solutions\Ecopetrol Prometeo - Documents\Planning Space Implementation\3. Analysis &amp; Design\Design\FC22\DRR Jaime\QUIFA-CAJÚA\Cajua\[CAJUA_CF_SEC_New_27-Feb-2024Rev3.xlsx]D-PSND'!</v>
      </c>
      <c r="G2039" s="32" t="s">
        <v>38</v>
      </c>
      <c r="H2039" s="33"/>
      <c r="I2039" s="33"/>
      <c r="J2039" s="37"/>
    </row>
    <row r="2040" spans="1:10" x14ac:dyDescent="0.25">
      <c r="A2040" s="32" t="s">
        <v>104</v>
      </c>
      <c r="B2040" s="32">
        <f t="shared" si="492"/>
        <v>2047</v>
      </c>
      <c r="C2040" s="33" t="s">
        <v>17</v>
      </c>
      <c r="D2040" s="34" t="s">
        <v>1999</v>
      </c>
      <c r="E2040" s="35" t="str">
        <f t="shared" si="490"/>
        <v>PSND'!</v>
      </c>
      <c r="F2040" s="34" t="str">
        <f t="shared" si="491"/>
        <v>C:\Users\jaime.benazar\Quorum Business Solutions\Ecopetrol Prometeo - Documents\Planning Space Implementation\3. Analysis &amp; Design\Design\FC22\DRR Jaime\QUIFA-CAJÚA\Cajua\[CAJUA_CF_SEC_New_27-Feb-2024Rev3.xlsx]D-PSND'!</v>
      </c>
      <c r="G2040" s="32" t="s">
        <v>38</v>
      </c>
      <c r="H2040" s="33"/>
      <c r="I2040" s="33"/>
      <c r="J2040" s="37"/>
    </row>
    <row r="2041" spans="1:10" x14ac:dyDescent="0.25">
      <c r="A2041" s="32" t="s">
        <v>104</v>
      </c>
      <c r="B2041" s="32">
        <f t="shared" si="492"/>
        <v>2048</v>
      </c>
      <c r="C2041" s="33" t="s">
        <v>17</v>
      </c>
      <c r="D2041" s="34" t="s">
        <v>1999</v>
      </c>
      <c r="E2041" s="35" t="str">
        <f t="shared" si="490"/>
        <v>PSND'!</v>
      </c>
      <c r="F2041" s="34" t="str">
        <f t="shared" si="491"/>
        <v>C:\Users\jaime.benazar\Quorum Business Solutions\Ecopetrol Prometeo - Documents\Planning Space Implementation\3. Analysis &amp; Design\Design\FC22\DRR Jaime\QUIFA-CAJÚA\Cajua\[CAJUA_CF_SEC_New_27-Feb-2024Rev3.xlsx]D-PSND'!</v>
      </c>
      <c r="G2041" s="32" t="s">
        <v>38</v>
      </c>
      <c r="H2041" s="33"/>
      <c r="I2041" s="33"/>
      <c r="J2041" s="37"/>
    </row>
    <row r="2042" spans="1:10" x14ac:dyDescent="0.25">
      <c r="A2042" s="32" t="s">
        <v>104</v>
      </c>
      <c r="B2042" s="32">
        <f t="shared" si="492"/>
        <v>2049</v>
      </c>
      <c r="C2042" s="33" t="s">
        <v>17</v>
      </c>
      <c r="D2042" s="34" t="s">
        <v>1999</v>
      </c>
      <c r="E2042" s="35" t="str">
        <f t="shared" si="490"/>
        <v>PSND'!</v>
      </c>
      <c r="F2042" s="34" t="str">
        <f t="shared" si="491"/>
        <v>C:\Users\jaime.benazar\Quorum Business Solutions\Ecopetrol Prometeo - Documents\Planning Space Implementation\3. Analysis &amp; Design\Design\FC22\DRR Jaime\QUIFA-CAJÚA\Cajua\[CAJUA_CF_SEC_New_27-Feb-2024Rev3.xlsx]D-PSND'!</v>
      </c>
      <c r="G2042" s="32" t="s">
        <v>38</v>
      </c>
      <c r="H2042" s="33"/>
      <c r="I2042" s="33"/>
      <c r="J2042" s="37"/>
    </row>
    <row r="2043" spans="1:10" x14ac:dyDescent="0.25">
      <c r="A2043" s="32" t="s">
        <v>104</v>
      </c>
      <c r="B2043" s="32">
        <f t="shared" si="492"/>
        <v>2050</v>
      </c>
      <c r="C2043" s="33" t="s">
        <v>17</v>
      </c>
      <c r="D2043" s="34" t="s">
        <v>1999</v>
      </c>
      <c r="E2043" s="35" t="str">
        <f t="shared" si="490"/>
        <v>PSND'!</v>
      </c>
      <c r="F2043" s="34" t="str">
        <f t="shared" si="491"/>
        <v>C:\Users\jaime.benazar\Quorum Business Solutions\Ecopetrol Prometeo - Documents\Planning Space Implementation\3. Analysis &amp; Design\Design\FC22\DRR Jaime\QUIFA-CAJÚA\Cajua\[CAJUA_CF_SEC_New_27-Feb-2024Rev3.xlsx]D-PSND'!</v>
      </c>
      <c r="G2043" s="32" t="s">
        <v>38</v>
      </c>
      <c r="H2043" s="33"/>
      <c r="I2043" s="33"/>
      <c r="J2043" s="37"/>
    </row>
    <row r="2044" spans="1:10" x14ac:dyDescent="0.25">
      <c r="A2044" s="32" t="s">
        <v>104</v>
      </c>
      <c r="B2044" s="32">
        <f t="shared" si="492"/>
        <v>2051</v>
      </c>
      <c r="C2044" s="33" t="s">
        <v>17</v>
      </c>
      <c r="D2044" s="34" t="s">
        <v>1999</v>
      </c>
      <c r="E2044" s="35" t="str">
        <f t="shared" si="490"/>
        <v>PSND'!</v>
      </c>
      <c r="F2044" s="34" t="str">
        <f t="shared" si="491"/>
        <v>C:\Users\jaime.benazar\Quorum Business Solutions\Ecopetrol Prometeo - Documents\Planning Space Implementation\3. Analysis &amp; Design\Design\FC22\DRR Jaime\QUIFA-CAJÚA\Cajua\[CAJUA_CF_SEC_New_27-Feb-2024Rev3.xlsx]D-PSND'!</v>
      </c>
      <c r="G2044" s="32" t="s">
        <v>38</v>
      </c>
      <c r="H2044" s="33"/>
      <c r="I2044" s="33"/>
      <c r="J2044" s="37"/>
    </row>
    <row r="2045" spans="1:10" x14ac:dyDescent="0.25">
      <c r="A2045" s="32" t="s">
        <v>104</v>
      </c>
      <c r="B2045" s="32">
        <f t="shared" si="492"/>
        <v>2052</v>
      </c>
      <c r="C2045" s="33" t="s">
        <v>17</v>
      </c>
      <c r="D2045" s="34" t="s">
        <v>1999</v>
      </c>
      <c r="E2045" s="35" t="str">
        <f t="shared" si="490"/>
        <v>PSND'!</v>
      </c>
      <c r="F2045" s="34" t="str">
        <f t="shared" si="491"/>
        <v>C:\Users\jaime.benazar\Quorum Business Solutions\Ecopetrol Prometeo - Documents\Planning Space Implementation\3. Analysis &amp; Design\Design\FC22\DRR Jaime\QUIFA-CAJÚA\Cajua\[CAJUA_CF_SEC_New_27-Feb-2024Rev3.xlsx]D-PSND'!</v>
      </c>
      <c r="G2045" s="32" t="s">
        <v>38</v>
      </c>
      <c r="H2045" s="33"/>
      <c r="I2045" s="33"/>
      <c r="J2045" s="37"/>
    </row>
    <row r="2046" spans="1:10" x14ac:dyDescent="0.25">
      <c r="A2046" s="32" t="s">
        <v>104</v>
      </c>
      <c r="B2046" s="32">
        <f t="shared" si="492"/>
        <v>2053</v>
      </c>
      <c r="C2046" s="33" t="s">
        <v>17</v>
      </c>
      <c r="D2046" s="34" t="s">
        <v>1999</v>
      </c>
      <c r="E2046" s="35" t="str">
        <f t="shared" si="490"/>
        <v>PSND'!</v>
      </c>
      <c r="F2046" s="34" t="str">
        <f t="shared" si="491"/>
        <v>C:\Users\jaime.benazar\Quorum Business Solutions\Ecopetrol Prometeo - Documents\Planning Space Implementation\3. Analysis &amp; Design\Design\FC22\DRR Jaime\QUIFA-CAJÚA\Cajua\[CAJUA_CF_SEC_New_27-Feb-2024Rev3.xlsx]D-PSND'!</v>
      </c>
      <c r="G2046" s="32" t="s">
        <v>38</v>
      </c>
      <c r="H2046" s="33"/>
      <c r="I2046" s="33"/>
      <c r="J2046" s="37"/>
    </row>
    <row r="2047" spans="1:10" x14ac:dyDescent="0.25">
      <c r="A2047" s="32" t="s">
        <v>104</v>
      </c>
      <c r="B2047" s="32">
        <f t="shared" si="492"/>
        <v>2054</v>
      </c>
      <c r="C2047" s="33" t="s">
        <v>17</v>
      </c>
      <c r="D2047" s="34" t="s">
        <v>1999</v>
      </c>
      <c r="E2047" s="35" t="str">
        <f t="shared" si="490"/>
        <v>PSND'!</v>
      </c>
      <c r="F2047" s="34" t="str">
        <f t="shared" si="491"/>
        <v>C:\Users\jaime.benazar\Quorum Business Solutions\Ecopetrol Prometeo - Documents\Planning Space Implementation\3. Analysis &amp; Design\Design\FC22\DRR Jaime\QUIFA-CAJÚA\Cajua\[CAJUA_CF_SEC_New_27-Feb-2024Rev3.xlsx]D-PSND'!</v>
      </c>
      <c r="G2047" s="32" t="s">
        <v>38</v>
      </c>
      <c r="H2047" s="33"/>
      <c r="I2047" s="33"/>
      <c r="J2047" s="37"/>
    </row>
    <row r="2048" spans="1:10" x14ac:dyDescent="0.25">
      <c r="A2048" s="32" t="s">
        <v>104</v>
      </c>
      <c r="B2048" s="32">
        <f t="shared" si="492"/>
        <v>2055</v>
      </c>
      <c r="C2048" s="33" t="s">
        <v>17</v>
      </c>
      <c r="D2048" s="34" t="s">
        <v>1999</v>
      </c>
      <c r="E2048" s="35" t="str">
        <f t="shared" si="490"/>
        <v>PSND'!</v>
      </c>
      <c r="F2048" s="34" t="str">
        <f t="shared" si="491"/>
        <v>C:\Users\jaime.benazar\Quorum Business Solutions\Ecopetrol Prometeo - Documents\Planning Space Implementation\3. Analysis &amp; Design\Design\FC22\DRR Jaime\QUIFA-CAJÚA\Cajua\[CAJUA_CF_SEC_New_27-Feb-2024Rev3.xlsx]D-PSND'!</v>
      </c>
      <c r="G2048" s="32" t="s">
        <v>38</v>
      </c>
      <c r="H2048" s="33"/>
      <c r="I2048" s="33"/>
      <c r="J2048" s="37"/>
    </row>
    <row r="2049" spans="1:10" x14ac:dyDescent="0.25">
      <c r="A2049" s="32" t="s">
        <v>104</v>
      </c>
      <c r="B2049" s="32">
        <f t="shared" si="492"/>
        <v>2056</v>
      </c>
      <c r="C2049" s="33" t="s">
        <v>17</v>
      </c>
      <c r="D2049" s="34" t="s">
        <v>1999</v>
      </c>
      <c r="E2049" s="35" t="str">
        <f t="shared" si="490"/>
        <v>PSND'!</v>
      </c>
      <c r="F2049" s="34" t="str">
        <f t="shared" si="491"/>
        <v>C:\Users\jaime.benazar\Quorum Business Solutions\Ecopetrol Prometeo - Documents\Planning Space Implementation\3. Analysis &amp; Design\Design\FC22\DRR Jaime\QUIFA-CAJÚA\Cajua\[CAJUA_CF_SEC_New_27-Feb-2024Rev3.xlsx]D-PSND'!</v>
      </c>
      <c r="G2049" s="32" t="s">
        <v>38</v>
      </c>
      <c r="H2049" s="33"/>
      <c r="I2049" s="33"/>
      <c r="J2049" s="37"/>
    </row>
    <row r="2050" spans="1:10" x14ac:dyDescent="0.25">
      <c r="A2050" s="32" t="s">
        <v>104</v>
      </c>
      <c r="B2050" s="32">
        <f t="shared" si="492"/>
        <v>2057</v>
      </c>
      <c r="C2050" s="33" t="s">
        <v>17</v>
      </c>
      <c r="D2050" s="34" t="s">
        <v>1999</v>
      </c>
      <c r="E2050" s="35" t="str">
        <f t="shared" si="490"/>
        <v>PSND'!</v>
      </c>
      <c r="F2050" s="34" t="str">
        <f t="shared" si="491"/>
        <v>C:\Users\jaime.benazar\Quorum Business Solutions\Ecopetrol Prometeo - Documents\Planning Space Implementation\3. Analysis &amp; Design\Design\FC22\DRR Jaime\QUIFA-CAJÚA\Cajua\[CAJUA_CF_SEC_New_27-Feb-2024Rev3.xlsx]D-PSND'!</v>
      </c>
      <c r="G2050" s="32" t="s">
        <v>38</v>
      </c>
      <c r="H2050" s="33"/>
      <c r="I2050" s="33"/>
      <c r="J2050" s="37"/>
    </row>
    <row r="2051" spans="1:10" x14ac:dyDescent="0.25">
      <c r="A2051" s="32" t="s">
        <v>104</v>
      </c>
      <c r="B2051" s="32">
        <f t="shared" si="492"/>
        <v>2058</v>
      </c>
      <c r="C2051" s="33" t="s">
        <v>17</v>
      </c>
      <c r="D2051" s="34" t="s">
        <v>1999</v>
      </c>
      <c r="E2051" s="35" t="str">
        <f t="shared" si="490"/>
        <v>PSND'!</v>
      </c>
      <c r="F2051" s="34" t="str">
        <f t="shared" si="491"/>
        <v>C:\Users\jaime.benazar\Quorum Business Solutions\Ecopetrol Prometeo - Documents\Planning Space Implementation\3. Analysis &amp; Design\Design\FC22\DRR Jaime\QUIFA-CAJÚA\Cajua\[CAJUA_CF_SEC_New_27-Feb-2024Rev3.xlsx]D-PSND'!</v>
      </c>
      <c r="G2051" s="32" t="s">
        <v>38</v>
      </c>
      <c r="H2051" s="33"/>
      <c r="I2051" s="33"/>
      <c r="J2051" s="37"/>
    </row>
    <row r="2052" spans="1:10" x14ac:dyDescent="0.25">
      <c r="A2052" s="32" t="s">
        <v>104</v>
      </c>
      <c r="B2052" s="32">
        <f t="shared" si="492"/>
        <v>2059</v>
      </c>
      <c r="C2052" s="33" t="s">
        <v>17</v>
      </c>
      <c r="D2052" s="34" t="s">
        <v>1999</v>
      </c>
      <c r="E2052" s="35" t="str">
        <f t="shared" si="490"/>
        <v>PSND'!</v>
      </c>
      <c r="F2052" s="34" t="str">
        <f t="shared" si="491"/>
        <v>C:\Users\jaime.benazar\Quorum Business Solutions\Ecopetrol Prometeo - Documents\Planning Space Implementation\3. Analysis &amp; Design\Design\FC22\DRR Jaime\QUIFA-CAJÚA\Cajua\[CAJUA_CF_SEC_New_27-Feb-2024Rev3.xlsx]D-PSND'!</v>
      </c>
      <c r="G2052" s="32" t="s">
        <v>38</v>
      </c>
      <c r="H2052" s="33"/>
      <c r="I2052" s="33"/>
      <c r="J2052" s="37"/>
    </row>
    <row r="2053" spans="1:10" x14ac:dyDescent="0.25">
      <c r="A2053" s="32" t="s">
        <v>28</v>
      </c>
      <c r="B2053" s="32"/>
      <c r="C2053" s="33" t="s">
        <v>17</v>
      </c>
      <c r="D2053" s="34"/>
      <c r="E2053" s="35"/>
      <c r="F2053" s="34"/>
      <c r="G2053" s="32"/>
      <c r="H2053" s="33"/>
      <c r="I2053" s="33"/>
      <c r="J2053" s="33"/>
    </row>
    <row r="2054" spans="1:10" x14ac:dyDescent="0.25">
      <c r="A2054" s="32" t="s">
        <v>34</v>
      </c>
      <c r="B2054" s="32">
        <v>2023</v>
      </c>
      <c r="C2054" s="33" t="s">
        <v>17</v>
      </c>
      <c r="D2054" s="34" t="s">
        <v>1999</v>
      </c>
      <c r="E2054" s="35" t="str">
        <f t="shared" si="428"/>
        <v>PS'!</v>
      </c>
      <c r="F2054" s="34" t="str">
        <f t="shared" si="429"/>
        <v>C:\Users\jaime.benazar\Quorum Business Solutions\Ecopetrol Prometeo - Documents\Planning Space Implementation\3. Analysis &amp; Design\Design\FC22\DRR Jaime\QUIFA-CAJÚA\Cajua\[CAJUA_CF_SEC_New_27-Feb-2024Rev3.xlsx]D-PS'!</v>
      </c>
      <c r="G2054" s="32" t="s">
        <v>38</v>
      </c>
      <c r="H2054" s="33">
        <v>12</v>
      </c>
      <c r="I2054" s="33" t="str">
        <f t="shared" ref="I2054:I2074" si="493">_xlfn.CONCAT("='",F2054:H2054)</f>
        <v>='C:\Users\jaime.benazar\Quorum Business Solutions\Ecopetrol Prometeo - Documents\Planning Space Implementation\3. Analysis &amp; Design\Design\FC22\DRR Jaime\QUIFA-CAJÚA\Cajua\[CAJUA_CF_SEC_New_27-Feb-2024Rev3.xlsx]D-PS'!$BX$12</v>
      </c>
      <c r="J2054" s="37" t="s">
        <v>2888</v>
      </c>
    </row>
    <row r="2055" spans="1:10" x14ac:dyDescent="0.25">
      <c r="A2055" s="32" t="s">
        <v>34</v>
      </c>
      <c r="B2055" s="32">
        <f>+B2054+1</f>
        <v>2024</v>
      </c>
      <c r="C2055" s="33" t="s">
        <v>17</v>
      </c>
      <c r="D2055" s="34" t="s">
        <v>1999</v>
      </c>
      <c r="E2055" s="35" t="str">
        <f t="shared" si="428"/>
        <v>PS'!</v>
      </c>
      <c r="F2055" s="34" t="str">
        <f t="shared" si="429"/>
        <v>C:\Users\jaime.benazar\Quorum Business Solutions\Ecopetrol Prometeo - Documents\Planning Space Implementation\3. Analysis &amp; Design\Design\FC22\DRR Jaime\QUIFA-CAJÚA\Cajua\[CAJUA_CF_SEC_New_27-Feb-2024Rev3.xlsx]D-PS'!</v>
      </c>
      <c r="G2055" s="32" t="s">
        <v>38</v>
      </c>
      <c r="H2055" s="33">
        <f t="shared" ref="H2055:H2074" si="494">IF(A2055&lt;&gt;A2054,12,H2054+1)</f>
        <v>13</v>
      </c>
      <c r="I2055" s="33" t="str">
        <f t="shared" si="493"/>
        <v>='C:\Users\jaime.benazar\Quorum Business Solutions\Ecopetrol Prometeo - Documents\Planning Space Implementation\3. Analysis &amp; Design\Design\FC22\DRR Jaime\QUIFA-CAJÚA\Cajua\[CAJUA_CF_SEC_New_27-Feb-2024Rev3.xlsx]D-PS'!$BX$13</v>
      </c>
      <c r="J2055" s="37" t="s">
        <v>2889</v>
      </c>
    </row>
    <row r="2056" spans="1:10" x14ac:dyDescent="0.25">
      <c r="A2056" s="32" t="s">
        <v>34</v>
      </c>
      <c r="B2056" s="32">
        <f t="shared" ref="B2056:B2067" si="495">+B2055+1</f>
        <v>2025</v>
      </c>
      <c r="C2056" s="33" t="s">
        <v>17</v>
      </c>
      <c r="D2056" s="34" t="s">
        <v>1999</v>
      </c>
      <c r="E2056" s="35" t="str">
        <f t="shared" si="428"/>
        <v>PS'!</v>
      </c>
      <c r="F2056" s="34" t="str">
        <f t="shared" si="429"/>
        <v>C:\Users\jaime.benazar\Quorum Business Solutions\Ecopetrol Prometeo - Documents\Planning Space Implementation\3. Analysis &amp; Design\Design\FC22\DRR Jaime\QUIFA-CAJÚA\Cajua\[CAJUA_CF_SEC_New_27-Feb-2024Rev3.xlsx]D-PS'!</v>
      </c>
      <c r="G2056" s="32" t="s">
        <v>38</v>
      </c>
      <c r="H2056" s="33">
        <f t="shared" si="494"/>
        <v>14</v>
      </c>
      <c r="I2056" s="33" t="str">
        <f t="shared" si="493"/>
        <v>='C:\Users\jaime.benazar\Quorum Business Solutions\Ecopetrol Prometeo - Documents\Planning Space Implementation\3. Analysis &amp; Design\Design\FC22\DRR Jaime\QUIFA-CAJÚA\Cajua\[CAJUA_CF_SEC_New_27-Feb-2024Rev3.xlsx]D-PS'!$BX$14</v>
      </c>
      <c r="J2056" s="37" t="s">
        <v>2890</v>
      </c>
    </row>
    <row r="2057" spans="1:10" x14ac:dyDescent="0.25">
      <c r="A2057" s="32" t="s">
        <v>34</v>
      </c>
      <c r="B2057" s="32">
        <f t="shared" si="495"/>
        <v>2026</v>
      </c>
      <c r="C2057" s="33" t="s">
        <v>17</v>
      </c>
      <c r="D2057" s="34" t="s">
        <v>1999</v>
      </c>
      <c r="E2057" s="35" t="str">
        <f t="shared" si="428"/>
        <v>PS'!</v>
      </c>
      <c r="F2057" s="34" t="str">
        <f t="shared" si="429"/>
        <v>C:\Users\jaime.benazar\Quorum Business Solutions\Ecopetrol Prometeo - Documents\Planning Space Implementation\3. Analysis &amp; Design\Design\FC22\DRR Jaime\QUIFA-CAJÚA\Cajua\[CAJUA_CF_SEC_New_27-Feb-2024Rev3.xlsx]D-PS'!</v>
      </c>
      <c r="G2057" s="32" t="s">
        <v>38</v>
      </c>
      <c r="H2057" s="33">
        <f t="shared" si="494"/>
        <v>15</v>
      </c>
      <c r="I2057" s="33" t="str">
        <f t="shared" si="493"/>
        <v>='C:\Users\jaime.benazar\Quorum Business Solutions\Ecopetrol Prometeo - Documents\Planning Space Implementation\3. Analysis &amp; Design\Design\FC22\DRR Jaime\QUIFA-CAJÚA\Cajua\[CAJUA_CF_SEC_New_27-Feb-2024Rev3.xlsx]D-PS'!$BX$15</v>
      </c>
      <c r="J2057" s="37" t="s">
        <v>2891</v>
      </c>
    </row>
    <row r="2058" spans="1:10" x14ac:dyDescent="0.25">
      <c r="A2058" s="32" t="s">
        <v>34</v>
      </c>
      <c r="B2058" s="32">
        <f t="shared" si="495"/>
        <v>2027</v>
      </c>
      <c r="C2058" s="33" t="s">
        <v>17</v>
      </c>
      <c r="D2058" s="34" t="s">
        <v>1999</v>
      </c>
      <c r="E2058" s="35" t="str">
        <f t="shared" si="428"/>
        <v>PS'!</v>
      </c>
      <c r="F2058" s="34" t="str">
        <f t="shared" si="429"/>
        <v>C:\Users\jaime.benazar\Quorum Business Solutions\Ecopetrol Prometeo - Documents\Planning Space Implementation\3. Analysis &amp; Design\Design\FC22\DRR Jaime\QUIFA-CAJÚA\Cajua\[CAJUA_CF_SEC_New_27-Feb-2024Rev3.xlsx]D-PS'!</v>
      </c>
      <c r="G2058" s="32" t="s">
        <v>38</v>
      </c>
      <c r="H2058" s="33">
        <f t="shared" si="494"/>
        <v>16</v>
      </c>
      <c r="I2058" s="33" t="str">
        <f t="shared" si="493"/>
        <v>='C:\Users\jaime.benazar\Quorum Business Solutions\Ecopetrol Prometeo - Documents\Planning Space Implementation\3. Analysis &amp; Design\Design\FC22\DRR Jaime\QUIFA-CAJÚA\Cajua\[CAJUA_CF_SEC_New_27-Feb-2024Rev3.xlsx]D-PS'!$BX$16</v>
      </c>
      <c r="J2058" s="37" t="s">
        <v>2892</v>
      </c>
    </row>
    <row r="2059" spans="1:10" x14ac:dyDescent="0.25">
      <c r="A2059" s="32" t="s">
        <v>34</v>
      </c>
      <c r="B2059" s="32">
        <f t="shared" si="495"/>
        <v>2028</v>
      </c>
      <c r="C2059" s="33" t="s">
        <v>17</v>
      </c>
      <c r="D2059" s="34" t="s">
        <v>1999</v>
      </c>
      <c r="E2059" s="35" t="str">
        <f t="shared" si="428"/>
        <v>PS'!</v>
      </c>
      <c r="F2059" s="34" t="str">
        <f t="shared" si="429"/>
        <v>C:\Users\jaime.benazar\Quorum Business Solutions\Ecopetrol Prometeo - Documents\Planning Space Implementation\3. Analysis &amp; Design\Design\FC22\DRR Jaime\QUIFA-CAJÚA\Cajua\[CAJUA_CF_SEC_New_27-Feb-2024Rev3.xlsx]D-PS'!</v>
      </c>
      <c r="G2059" s="32" t="s">
        <v>38</v>
      </c>
      <c r="H2059" s="33">
        <f t="shared" si="494"/>
        <v>17</v>
      </c>
      <c r="I2059" s="33" t="str">
        <f t="shared" si="493"/>
        <v>='C:\Users\jaime.benazar\Quorum Business Solutions\Ecopetrol Prometeo - Documents\Planning Space Implementation\3. Analysis &amp; Design\Design\FC22\DRR Jaime\QUIFA-CAJÚA\Cajua\[CAJUA_CF_SEC_New_27-Feb-2024Rev3.xlsx]D-PS'!$BX$17</v>
      </c>
      <c r="J2059" s="37" t="s">
        <v>2893</v>
      </c>
    </row>
    <row r="2060" spans="1:10" x14ac:dyDescent="0.25">
      <c r="A2060" s="32" t="s">
        <v>34</v>
      </c>
      <c r="B2060" s="32">
        <f t="shared" si="495"/>
        <v>2029</v>
      </c>
      <c r="C2060" s="33" t="s">
        <v>17</v>
      </c>
      <c r="D2060" s="34" t="s">
        <v>1999</v>
      </c>
      <c r="E2060" s="35" t="str">
        <f t="shared" si="428"/>
        <v>PS'!</v>
      </c>
      <c r="F2060" s="34" t="str">
        <f t="shared" si="429"/>
        <v>C:\Users\jaime.benazar\Quorum Business Solutions\Ecopetrol Prometeo - Documents\Planning Space Implementation\3. Analysis &amp; Design\Design\FC22\DRR Jaime\QUIFA-CAJÚA\Cajua\[CAJUA_CF_SEC_New_27-Feb-2024Rev3.xlsx]D-PS'!</v>
      </c>
      <c r="G2060" s="32" t="s">
        <v>38</v>
      </c>
      <c r="H2060" s="33">
        <f t="shared" si="494"/>
        <v>18</v>
      </c>
      <c r="I2060" s="33" t="str">
        <f t="shared" si="493"/>
        <v>='C:\Users\jaime.benazar\Quorum Business Solutions\Ecopetrol Prometeo - Documents\Planning Space Implementation\3. Analysis &amp; Design\Design\FC22\DRR Jaime\QUIFA-CAJÚA\Cajua\[CAJUA_CF_SEC_New_27-Feb-2024Rev3.xlsx]D-PS'!$BX$18</v>
      </c>
      <c r="J2060" s="37" t="s">
        <v>2894</v>
      </c>
    </row>
    <row r="2061" spans="1:10" x14ac:dyDescent="0.25">
      <c r="A2061" s="32" t="s">
        <v>34</v>
      </c>
      <c r="B2061" s="32">
        <f t="shared" si="495"/>
        <v>2030</v>
      </c>
      <c r="C2061" s="33" t="s">
        <v>17</v>
      </c>
      <c r="D2061" s="34" t="s">
        <v>1999</v>
      </c>
      <c r="E2061" s="35" t="str">
        <f t="shared" si="428"/>
        <v>PS'!</v>
      </c>
      <c r="F2061" s="34" t="str">
        <f t="shared" si="429"/>
        <v>C:\Users\jaime.benazar\Quorum Business Solutions\Ecopetrol Prometeo - Documents\Planning Space Implementation\3. Analysis &amp; Design\Design\FC22\DRR Jaime\QUIFA-CAJÚA\Cajua\[CAJUA_CF_SEC_New_27-Feb-2024Rev3.xlsx]D-PS'!</v>
      </c>
      <c r="G2061" s="32" t="s">
        <v>38</v>
      </c>
      <c r="H2061" s="33">
        <f t="shared" si="494"/>
        <v>19</v>
      </c>
      <c r="I2061" s="33" t="str">
        <f t="shared" si="493"/>
        <v>='C:\Users\jaime.benazar\Quorum Business Solutions\Ecopetrol Prometeo - Documents\Planning Space Implementation\3. Analysis &amp; Design\Design\FC22\DRR Jaime\QUIFA-CAJÚA\Cajua\[CAJUA_CF_SEC_New_27-Feb-2024Rev3.xlsx]D-PS'!$BX$19</v>
      </c>
      <c r="J2061" s="37" t="s">
        <v>2895</v>
      </c>
    </row>
    <row r="2062" spans="1:10" x14ac:dyDescent="0.25">
      <c r="A2062" s="32" t="s">
        <v>34</v>
      </c>
      <c r="B2062" s="32">
        <f t="shared" si="495"/>
        <v>2031</v>
      </c>
      <c r="C2062" s="33" t="s">
        <v>17</v>
      </c>
      <c r="D2062" s="34" t="s">
        <v>1999</v>
      </c>
      <c r="E2062" s="35" t="str">
        <f t="shared" si="428"/>
        <v>PS'!</v>
      </c>
      <c r="F2062" s="34" t="str">
        <f t="shared" si="429"/>
        <v>C:\Users\jaime.benazar\Quorum Business Solutions\Ecopetrol Prometeo - Documents\Planning Space Implementation\3. Analysis &amp; Design\Design\FC22\DRR Jaime\QUIFA-CAJÚA\Cajua\[CAJUA_CF_SEC_New_27-Feb-2024Rev3.xlsx]D-PS'!</v>
      </c>
      <c r="G2062" s="32" t="s">
        <v>38</v>
      </c>
      <c r="H2062" s="33">
        <f t="shared" si="494"/>
        <v>20</v>
      </c>
      <c r="I2062" s="33" t="str">
        <f t="shared" si="493"/>
        <v>='C:\Users\jaime.benazar\Quorum Business Solutions\Ecopetrol Prometeo - Documents\Planning Space Implementation\3. Analysis &amp; Design\Design\FC22\DRR Jaime\QUIFA-CAJÚA\Cajua\[CAJUA_CF_SEC_New_27-Feb-2024Rev3.xlsx]D-PS'!$BX$20</v>
      </c>
      <c r="J2062" s="37" t="s">
        <v>2896</v>
      </c>
    </row>
    <row r="2063" spans="1:10" x14ac:dyDescent="0.25">
      <c r="A2063" s="32" t="s">
        <v>34</v>
      </c>
      <c r="B2063" s="32">
        <f t="shared" si="495"/>
        <v>2032</v>
      </c>
      <c r="C2063" s="33" t="s">
        <v>17</v>
      </c>
      <c r="D2063" s="34" t="s">
        <v>1999</v>
      </c>
      <c r="E2063" s="35" t="str">
        <f t="shared" si="428"/>
        <v>PS'!</v>
      </c>
      <c r="F2063" s="34" t="str">
        <f t="shared" si="429"/>
        <v>C:\Users\jaime.benazar\Quorum Business Solutions\Ecopetrol Prometeo - Documents\Planning Space Implementation\3. Analysis &amp; Design\Design\FC22\DRR Jaime\QUIFA-CAJÚA\Cajua\[CAJUA_CF_SEC_New_27-Feb-2024Rev3.xlsx]D-PS'!</v>
      </c>
      <c r="G2063" s="32" t="s">
        <v>38</v>
      </c>
      <c r="H2063" s="33">
        <f t="shared" si="494"/>
        <v>21</v>
      </c>
      <c r="I2063" s="33" t="str">
        <f t="shared" si="493"/>
        <v>='C:\Users\jaime.benazar\Quorum Business Solutions\Ecopetrol Prometeo - Documents\Planning Space Implementation\3. Analysis &amp; Design\Design\FC22\DRR Jaime\QUIFA-CAJÚA\Cajua\[CAJUA_CF_SEC_New_27-Feb-2024Rev3.xlsx]D-PS'!$BX$21</v>
      </c>
      <c r="J2063" s="37" t="s">
        <v>2897</v>
      </c>
    </row>
    <row r="2064" spans="1:10" x14ac:dyDescent="0.25">
      <c r="A2064" s="32" t="s">
        <v>34</v>
      </c>
      <c r="B2064" s="32">
        <f t="shared" si="495"/>
        <v>2033</v>
      </c>
      <c r="C2064" s="33" t="s">
        <v>17</v>
      </c>
      <c r="D2064" s="34" t="s">
        <v>1999</v>
      </c>
      <c r="E2064" s="35" t="str">
        <f t="shared" si="428"/>
        <v>PS'!</v>
      </c>
      <c r="F2064" s="34" t="str">
        <f t="shared" si="429"/>
        <v>C:\Users\jaime.benazar\Quorum Business Solutions\Ecopetrol Prometeo - Documents\Planning Space Implementation\3. Analysis &amp; Design\Design\FC22\DRR Jaime\QUIFA-CAJÚA\Cajua\[CAJUA_CF_SEC_New_27-Feb-2024Rev3.xlsx]D-PS'!</v>
      </c>
      <c r="G2064" s="32" t="s">
        <v>38</v>
      </c>
      <c r="H2064" s="33">
        <f t="shared" si="494"/>
        <v>22</v>
      </c>
      <c r="I2064" s="33" t="str">
        <f t="shared" si="493"/>
        <v>='C:\Users\jaime.benazar\Quorum Business Solutions\Ecopetrol Prometeo - Documents\Planning Space Implementation\3. Analysis &amp; Design\Design\FC22\DRR Jaime\QUIFA-CAJÚA\Cajua\[CAJUA_CF_SEC_New_27-Feb-2024Rev3.xlsx]D-PS'!$BX$22</v>
      </c>
      <c r="J2064" s="37" t="s">
        <v>2898</v>
      </c>
    </row>
    <row r="2065" spans="1:10" x14ac:dyDescent="0.25">
      <c r="A2065" s="32" t="s">
        <v>34</v>
      </c>
      <c r="B2065" s="32">
        <f t="shared" si="495"/>
        <v>2034</v>
      </c>
      <c r="C2065" s="33" t="s">
        <v>17</v>
      </c>
      <c r="D2065" s="34" t="s">
        <v>1999</v>
      </c>
      <c r="E2065" s="35" t="str">
        <f t="shared" si="428"/>
        <v>PS'!</v>
      </c>
      <c r="F2065" s="34" t="str">
        <f t="shared" si="429"/>
        <v>C:\Users\jaime.benazar\Quorum Business Solutions\Ecopetrol Prometeo - Documents\Planning Space Implementation\3. Analysis &amp; Design\Design\FC22\DRR Jaime\QUIFA-CAJÚA\Cajua\[CAJUA_CF_SEC_New_27-Feb-2024Rev3.xlsx]D-PS'!</v>
      </c>
      <c r="G2065" s="32" t="s">
        <v>38</v>
      </c>
      <c r="H2065" s="33">
        <f t="shared" si="494"/>
        <v>23</v>
      </c>
      <c r="I2065" s="33" t="str">
        <f t="shared" si="493"/>
        <v>='C:\Users\jaime.benazar\Quorum Business Solutions\Ecopetrol Prometeo - Documents\Planning Space Implementation\3. Analysis &amp; Design\Design\FC22\DRR Jaime\QUIFA-CAJÚA\Cajua\[CAJUA_CF_SEC_New_27-Feb-2024Rev3.xlsx]D-PS'!$BX$23</v>
      </c>
      <c r="J2065" s="37" t="s">
        <v>2899</v>
      </c>
    </row>
    <row r="2066" spans="1:10" x14ac:dyDescent="0.25">
      <c r="A2066" s="32" t="s">
        <v>34</v>
      </c>
      <c r="B2066" s="32">
        <f t="shared" si="495"/>
        <v>2035</v>
      </c>
      <c r="C2066" s="33" t="s">
        <v>17</v>
      </c>
      <c r="D2066" s="34" t="s">
        <v>1999</v>
      </c>
      <c r="E2066" s="35" t="str">
        <f t="shared" si="428"/>
        <v>PS'!</v>
      </c>
      <c r="F2066" s="34" t="str">
        <f t="shared" si="429"/>
        <v>C:\Users\jaime.benazar\Quorum Business Solutions\Ecopetrol Prometeo - Documents\Planning Space Implementation\3. Analysis &amp; Design\Design\FC22\DRR Jaime\QUIFA-CAJÚA\Cajua\[CAJUA_CF_SEC_New_27-Feb-2024Rev3.xlsx]D-PS'!</v>
      </c>
      <c r="G2066" s="32" t="s">
        <v>38</v>
      </c>
      <c r="H2066" s="33">
        <f t="shared" si="494"/>
        <v>24</v>
      </c>
      <c r="I2066" s="33" t="str">
        <f t="shared" si="493"/>
        <v>='C:\Users\jaime.benazar\Quorum Business Solutions\Ecopetrol Prometeo - Documents\Planning Space Implementation\3. Analysis &amp; Design\Design\FC22\DRR Jaime\QUIFA-CAJÚA\Cajua\[CAJUA_CF_SEC_New_27-Feb-2024Rev3.xlsx]D-PS'!$BX$24</v>
      </c>
      <c r="J2066" s="37" t="s">
        <v>2900</v>
      </c>
    </row>
    <row r="2067" spans="1:10" x14ac:dyDescent="0.25">
      <c r="A2067" s="32" t="s">
        <v>34</v>
      </c>
      <c r="B2067" s="32">
        <f t="shared" si="495"/>
        <v>2036</v>
      </c>
      <c r="C2067" s="33" t="s">
        <v>17</v>
      </c>
      <c r="D2067" s="34" t="s">
        <v>1999</v>
      </c>
      <c r="E2067" s="35" t="str">
        <f t="shared" si="428"/>
        <v>PS'!</v>
      </c>
      <c r="F2067" s="34" t="str">
        <f t="shared" si="429"/>
        <v>C:\Users\jaime.benazar\Quorum Business Solutions\Ecopetrol Prometeo - Documents\Planning Space Implementation\3. Analysis &amp; Design\Design\FC22\DRR Jaime\QUIFA-CAJÚA\Cajua\[CAJUA_CF_SEC_New_27-Feb-2024Rev3.xlsx]D-PS'!</v>
      </c>
      <c r="G2067" s="32" t="s">
        <v>38</v>
      </c>
      <c r="H2067" s="33">
        <f t="shared" si="494"/>
        <v>25</v>
      </c>
      <c r="I2067" s="33" t="str">
        <f t="shared" si="493"/>
        <v>='C:\Users\jaime.benazar\Quorum Business Solutions\Ecopetrol Prometeo - Documents\Planning Space Implementation\3. Analysis &amp; Design\Design\FC22\DRR Jaime\QUIFA-CAJÚA\Cajua\[CAJUA_CF_SEC_New_27-Feb-2024Rev3.xlsx]D-PS'!$BX$25</v>
      </c>
      <c r="J2067" s="37" t="s">
        <v>2901</v>
      </c>
    </row>
    <row r="2068" spans="1:10" x14ac:dyDescent="0.25">
      <c r="A2068" s="32" t="s">
        <v>34</v>
      </c>
      <c r="B2068" s="32">
        <f>+B2067+1</f>
        <v>2037</v>
      </c>
      <c r="C2068" s="33" t="s">
        <v>17</v>
      </c>
      <c r="D2068" s="34" t="s">
        <v>1999</v>
      </c>
      <c r="E2068" s="35" t="str">
        <f t="shared" si="428"/>
        <v>PS'!</v>
      </c>
      <c r="F2068" s="34" t="str">
        <f t="shared" si="429"/>
        <v>C:\Users\jaime.benazar\Quorum Business Solutions\Ecopetrol Prometeo - Documents\Planning Space Implementation\3. Analysis &amp; Design\Design\FC22\DRR Jaime\QUIFA-CAJÚA\Cajua\[CAJUA_CF_SEC_New_27-Feb-2024Rev3.xlsx]D-PS'!</v>
      </c>
      <c r="G2068" s="32" t="s">
        <v>38</v>
      </c>
      <c r="H2068" s="33">
        <f t="shared" si="494"/>
        <v>26</v>
      </c>
      <c r="I2068" s="33" t="str">
        <f t="shared" si="493"/>
        <v>='C:\Users\jaime.benazar\Quorum Business Solutions\Ecopetrol Prometeo - Documents\Planning Space Implementation\3. Analysis &amp; Design\Design\FC22\DRR Jaime\QUIFA-CAJÚA\Cajua\[CAJUA_CF_SEC_New_27-Feb-2024Rev3.xlsx]D-PS'!$BX$26</v>
      </c>
      <c r="J2068" s="37" t="s">
        <v>2902</v>
      </c>
    </row>
    <row r="2069" spans="1:10" x14ac:dyDescent="0.25">
      <c r="A2069" s="32" t="s">
        <v>34</v>
      </c>
      <c r="B2069" s="32">
        <f t="shared" ref="B2069:B2071" si="496">+B2068+1</f>
        <v>2038</v>
      </c>
      <c r="C2069" s="33" t="s">
        <v>17</v>
      </c>
      <c r="D2069" s="34" t="s">
        <v>1999</v>
      </c>
      <c r="E2069" s="35" t="str">
        <f t="shared" si="428"/>
        <v>PS'!</v>
      </c>
      <c r="F2069" s="34" t="str">
        <f t="shared" si="429"/>
        <v>C:\Users\jaime.benazar\Quorum Business Solutions\Ecopetrol Prometeo - Documents\Planning Space Implementation\3. Analysis &amp; Design\Design\FC22\DRR Jaime\QUIFA-CAJÚA\Cajua\[CAJUA_CF_SEC_New_27-Feb-2024Rev3.xlsx]D-PS'!</v>
      </c>
      <c r="G2069" s="32" t="s">
        <v>38</v>
      </c>
      <c r="H2069" s="33">
        <f t="shared" si="494"/>
        <v>27</v>
      </c>
      <c r="I2069" s="33" t="str">
        <f t="shared" si="493"/>
        <v>='C:\Users\jaime.benazar\Quorum Business Solutions\Ecopetrol Prometeo - Documents\Planning Space Implementation\3. Analysis &amp; Design\Design\FC22\DRR Jaime\QUIFA-CAJÚA\Cajua\[CAJUA_CF_SEC_New_27-Feb-2024Rev3.xlsx]D-PS'!$BX$27</v>
      </c>
      <c r="J2069" s="37" t="s">
        <v>2903</v>
      </c>
    </row>
    <row r="2070" spans="1:10" x14ac:dyDescent="0.25">
      <c r="A2070" s="32" t="s">
        <v>34</v>
      </c>
      <c r="B2070" s="32">
        <f t="shared" si="496"/>
        <v>2039</v>
      </c>
      <c r="C2070" s="33" t="s">
        <v>17</v>
      </c>
      <c r="D2070" s="34" t="s">
        <v>1999</v>
      </c>
      <c r="E2070" s="35" t="str">
        <f t="shared" si="428"/>
        <v>PS'!</v>
      </c>
      <c r="F2070" s="34" t="str">
        <f t="shared" si="429"/>
        <v>C:\Users\jaime.benazar\Quorum Business Solutions\Ecopetrol Prometeo - Documents\Planning Space Implementation\3. Analysis &amp; Design\Design\FC22\DRR Jaime\QUIFA-CAJÚA\Cajua\[CAJUA_CF_SEC_New_27-Feb-2024Rev3.xlsx]D-PS'!</v>
      </c>
      <c r="G2070" s="32" t="s">
        <v>38</v>
      </c>
      <c r="H2070" s="33">
        <f t="shared" si="494"/>
        <v>28</v>
      </c>
      <c r="I2070" s="33" t="str">
        <f t="shared" si="493"/>
        <v>='C:\Users\jaime.benazar\Quorum Business Solutions\Ecopetrol Prometeo - Documents\Planning Space Implementation\3. Analysis &amp; Design\Design\FC22\DRR Jaime\QUIFA-CAJÚA\Cajua\[CAJUA_CF_SEC_New_27-Feb-2024Rev3.xlsx]D-PS'!$BX$28</v>
      </c>
      <c r="J2070" s="37" t="s">
        <v>2904</v>
      </c>
    </row>
    <row r="2071" spans="1:10" x14ac:dyDescent="0.25">
      <c r="A2071" s="32" t="s">
        <v>34</v>
      </c>
      <c r="B2071" s="32">
        <f t="shared" si="496"/>
        <v>2040</v>
      </c>
      <c r="C2071" s="33" t="s">
        <v>17</v>
      </c>
      <c r="D2071" s="34" t="s">
        <v>1999</v>
      </c>
      <c r="E2071" s="35" t="str">
        <f t="shared" si="428"/>
        <v>PS'!</v>
      </c>
      <c r="F2071" s="34" t="str">
        <f t="shared" si="429"/>
        <v>C:\Users\jaime.benazar\Quorum Business Solutions\Ecopetrol Prometeo - Documents\Planning Space Implementation\3. Analysis &amp; Design\Design\FC22\DRR Jaime\QUIFA-CAJÚA\Cajua\[CAJUA_CF_SEC_New_27-Feb-2024Rev3.xlsx]D-PS'!</v>
      </c>
      <c r="G2071" s="32" t="s">
        <v>38</v>
      </c>
      <c r="H2071" s="33">
        <f t="shared" si="494"/>
        <v>29</v>
      </c>
      <c r="I2071" s="33" t="str">
        <f t="shared" si="493"/>
        <v>='C:\Users\jaime.benazar\Quorum Business Solutions\Ecopetrol Prometeo - Documents\Planning Space Implementation\3. Analysis &amp; Design\Design\FC22\DRR Jaime\QUIFA-CAJÚA\Cajua\[CAJUA_CF_SEC_New_27-Feb-2024Rev3.xlsx]D-PS'!$BX$29</v>
      </c>
      <c r="J2071" s="37" t="s">
        <v>2905</v>
      </c>
    </row>
    <row r="2072" spans="1:10" x14ac:dyDescent="0.25">
      <c r="A2072" s="32" t="s">
        <v>34</v>
      </c>
      <c r="B2072" s="32">
        <f>+B2071+1</f>
        <v>2041</v>
      </c>
      <c r="C2072" s="33" t="s">
        <v>17</v>
      </c>
      <c r="D2072" s="34" t="s">
        <v>1999</v>
      </c>
      <c r="E2072" s="35" t="str">
        <f t="shared" si="428"/>
        <v>PS'!</v>
      </c>
      <c r="F2072" s="34" t="str">
        <f t="shared" si="429"/>
        <v>C:\Users\jaime.benazar\Quorum Business Solutions\Ecopetrol Prometeo - Documents\Planning Space Implementation\3. Analysis &amp; Design\Design\FC22\DRR Jaime\QUIFA-CAJÚA\Cajua\[CAJUA_CF_SEC_New_27-Feb-2024Rev3.xlsx]D-PS'!</v>
      </c>
      <c r="G2072" s="32" t="s">
        <v>38</v>
      </c>
      <c r="H2072" s="33">
        <f t="shared" si="494"/>
        <v>30</v>
      </c>
      <c r="I2072" s="33" t="str">
        <f t="shared" si="493"/>
        <v>='C:\Users\jaime.benazar\Quorum Business Solutions\Ecopetrol Prometeo - Documents\Planning Space Implementation\3. Analysis &amp; Design\Design\FC22\DRR Jaime\QUIFA-CAJÚA\Cajua\[CAJUA_CF_SEC_New_27-Feb-2024Rev3.xlsx]D-PS'!$BX$30</v>
      </c>
      <c r="J2072" s="37" t="s">
        <v>2906</v>
      </c>
    </row>
    <row r="2073" spans="1:10" x14ac:dyDescent="0.25">
      <c r="A2073" s="32" t="s">
        <v>34</v>
      </c>
      <c r="B2073" s="32">
        <f t="shared" ref="B2073:B2074" si="497">+B2072+1</f>
        <v>2042</v>
      </c>
      <c r="C2073" s="33" t="s">
        <v>17</v>
      </c>
      <c r="D2073" s="34" t="s">
        <v>1999</v>
      </c>
      <c r="E2073" s="35" t="str">
        <f t="shared" si="428"/>
        <v>PS'!</v>
      </c>
      <c r="F2073" s="34" t="str">
        <f t="shared" si="429"/>
        <v>C:\Users\jaime.benazar\Quorum Business Solutions\Ecopetrol Prometeo - Documents\Planning Space Implementation\3. Analysis &amp; Design\Design\FC22\DRR Jaime\QUIFA-CAJÚA\Cajua\[CAJUA_CF_SEC_New_27-Feb-2024Rev3.xlsx]D-PS'!</v>
      </c>
      <c r="G2073" s="32" t="s">
        <v>38</v>
      </c>
      <c r="H2073" s="33">
        <f t="shared" si="494"/>
        <v>31</v>
      </c>
      <c r="I2073" s="33" t="str">
        <f t="shared" si="493"/>
        <v>='C:\Users\jaime.benazar\Quorum Business Solutions\Ecopetrol Prometeo - Documents\Planning Space Implementation\3. Analysis &amp; Design\Design\FC22\DRR Jaime\QUIFA-CAJÚA\Cajua\[CAJUA_CF_SEC_New_27-Feb-2024Rev3.xlsx]D-PS'!$BX$31</v>
      </c>
      <c r="J2073" s="37" t="s">
        <v>2907</v>
      </c>
    </row>
    <row r="2074" spans="1:10" x14ac:dyDescent="0.25">
      <c r="A2074" s="32" t="s">
        <v>34</v>
      </c>
      <c r="B2074" s="32">
        <f t="shared" si="497"/>
        <v>2043</v>
      </c>
      <c r="C2074" s="33" t="s">
        <v>17</v>
      </c>
      <c r="D2074" s="34" t="s">
        <v>1999</v>
      </c>
      <c r="E2074" s="35" t="str">
        <f t="shared" si="428"/>
        <v>PS'!</v>
      </c>
      <c r="F2074" s="34" t="str">
        <f t="shared" si="429"/>
        <v>C:\Users\jaime.benazar\Quorum Business Solutions\Ecopetrol Prometeo - Documents\Planning Space Implementation\3. Analysis &amp; Design\Design\FC22\DRR Jaime\QUIFA-CAJÚA\Cajua\[CAJUA_CF_SEC_New_27-Feb-2024Rev3.xlsx]D-PS'!</v>
      </c>
      <c r="G2074" s="32" t="s">
        <v>38</v>
      </c>
      <c r="H2074" s="33">
        <f t="shared" si="494"/>
        <v>32</v>
      </c>
      <c r="I2074" s="33" t="str">
        <f t="shared" si="493"/>
        <v>='C:\Users\jaime.benazar\Quorum Business Solutions\Ecopetrol Prometeo - Documents\Planning Space Implementation\3. Analysis &amp; Design\Design\FC22\DRR Jaime\QUIFA-CAJÚA\Cajua\[CAJUA_CF_SEC_New_27-Feb-2024Rev3.xlsx]D-PS'!$BX$32</v>
      </c>
      <c r="J2074" s="37" t="s">
        <v>2908</v>
      </c>
    </row>
    <row r="2075" spans="1:10" x14ac:dyDescent="0.25">
      <c r="A2075" s="32" t="s">
        <v>34</v>
      </c>
      <c r="B2075" s="32">
        <f>+B2074+1</f>
        <v>2044</v>
      </c>
      <c r="C2075" s="33" t="s">
        <v>17</v>
      </c>
      <c r="D2075" s="34" t="s">
        <v>1999</v>
      </c>
      <c r="E2075" s="35" t="str">
        <f t="shared" ref="E2075:E2090" si="498">_xlfn.CONCAT(A2075,"'!")</f>
        <v>PS'!</v>
      </c>
      <c r="F2075" s="34" t="str">
        <f t="shared" ref="F2075:F2090" si="499">_xlfn.CONCAT(D2075:E2075)</f>
        <v>C:\Users\jaime.benazar\Quorum Business Solutions\Ecopetrol Prometeo - Documents\Planning Space Implementation\3. Analysis &amp; Design\Design\FC22\DRR Jaime\QUIFA-CAJÚA\Cajua\[CAJUA_CF_SEC_New_27-Feb-2024Rev3.xlsx]D-PS'!</v>
      </c>
      <c r="G2075" s="32" t="s">
        <v>38</v>
      </c>
      <c r="H2075" s="33">
        <f t="shared" ref="H2075:H2090" si="500">IF(A2075&lt;&gt;A2074,12,H2074+1)</f>
        <v>33</v>
      </c>
      <c r="I2075" s="33" t="str">
        <f t="shared" ref="I2075:I2090" si="501">_xlfn.CONCAT("='",F2075:H2075)</f>
        <v>='C:\Users\jaime.benazar\Quorum Business Solutions\Ecopetrol Prometeo - Documents\Planning Space Implementation\3. Analysis &amp; Design\Design\FC22\DRR Jaime\QUIFA-CAJÚA\Cajua\[CAJUA_CF_SEC_New_27-Feb-2024Rev3.xlsx]D-PS'!$BX$33</v>
      </c>
      <c r="J2075" s="37" t="s">
        <v>2909</v>
      </c>
    </row>
    <row r="2076" spans="1:10" x14ac:dyDescent="0.25">
      <c r="A2076" s="32" t="s">
        <v>34</v>
      </c>
      <c r="B2076" s="32">
        <f t="shared" ref="B2076:B2090" si="502">+B2075+1</f>
        <v>2045</v>
      </c>
      <c r="C2076" s="33" t="s">
        <v>17</v>
      </c>
      <c r="D2076" s="34" t="s">
        <v>1999</v>
      </c>
      <c r="E2076" s="35" t="str">
        <f t="shared" si="498"/>
        <v>PS'!</v>
      </c>
      <c r="F2076" s="34" t="str">
        <f t="shared" si="499"/>
        <v>C:\Users\jaime.benazar\Quorum Business Solutions\Ecopetrol Prometeo - Documents\Planning Space Implementation\3. Analysis &amp; Design\Design\FC22\DRR Jaime\QUIFA-CAJÚA\Cajua\[CAJUA_CF_SEC_New_27-Feb-2024Rev3.xlsx]D-PS'!</v>
      </c>
      <c r="G2076" s="32" t="s">
        <v>38</v>
      </c>
      <c r="H2076" s="33">
        <f t="shared" si="500"/>
        <v>34</v>
      </c>
      <c r="I2076" s="33" t="str">
        <f t="shared" si="501"/>
        <v>='C:\Users\jaime.benazar\Quorum Business Solutions\Ecopetrol Prometeo - Documents\Planning Space Implementation\3. Analysis &amp; Design\Design\FC22\DRR Jaime\QUIFA-CAJÚA\Cajua\[CAJUA_CF_SEC_New_27-Feb-2024Rev3.xlsx]D-PS'!$BX$34</v>
      </c>
      <c r="J2076" s="37" t="s">
        <v>2910</v>
      </c>
    </row>
    <row r="2077" spans="1:10" x14ac:dyDescent="0.25">
      <c r="A2077" s="32" t="s">
        <v>34</v>
      </c>
      <c r="B2077" s="32">
        <f t="shared" si="502"/>
        <v>2046</v>
      </c>
      <c r="C2077" s="33" t="s">
        <v>17</v>
      </c>
      <c r="D2077" s="34" t="s">
        <v>1999</v>
      </c>
      <c r="E2077" s="35" t="str">
        <f t="shared" si="498"/>
        <v>PS'!</v>
      </c>
      <c r="F2077" s="34" t="str">
        <f t="shared" si="499"/>
        <v>C:\Users\jaime.benazar\Quorum Business Solutions\Ecopetrol Prometeo - Documents\Planning Space Implementation\3. Analysis &amp; Design\Design\FC22\DRR Jaime\QUIFA-CAJÚA\Cajua\[CAJUA_CF_SEC_New_27-Feb-2024Rev3.xlsx]D-PS'!</v>
      </c>
      <c r="G2077" s="32" t="s">
        <v>38</v>
      </c>
      <c r="H2077" s="33">
        <f t="shared" si="500"/>
        <v>35</v>
      </c>
      <c r="I2077" s="33" t="str">
        <f t="shared" si="501"/>
        <v>='C:\Users\jaime.benazar\Quorum Business Solutions\Ecopetrol Prometeo - Documents\Planning Space Implementation\3. Analysis &amp; Design\Design\FC22\DRR Jaime\QUIFA-CAJÚA\Cajua\[CAJUA_CF_SEC_New_27-Feb-2024Rev3.xlsx]D-PS'!$BX$35</v>
      </c>
      <c r="J2077" s="37" t="s">
        <v>2911</v>
      </c>
    </row>
    <row r="2078" spans="1:10" x14ac:dyDescent="0.25">
      <c r="A2078" s="32" t="s">
        <v>34</v>
      </c>
      <c r="B2078" s="32">
        <f t="shared" si="502"/>
        <v>2047</v>
      </c>
      <c r="C2078" s="33" t="s">
        <v>17</v>
      </c>
      <c r="D2078" s="34" t="s">
        <v>1999</v>
      </c>
      <c r="E2078" s="35" t="str">
        <f t="shared" si="498"/>
        <v>PS'!</v>
      </c>
      <c r="F2078" s="34" t="str">
        <f t="shared" si="499"/>
        <v>C:\Users\jaime.benazar\Quorum Business Solutions\Ecopetrol Prometeo - Documents\Planning Space Implementation\3. Analysis &amp; Design\Design\FC22\DRR Jaime\QUIFA-CAJÚA\Cajua\[CAJUA_CF_SEC_New_27-Feb-2024Rev3.xlsx]D-PS'!</v>
      </c>
      <c r="G2078" s="32" t="s">
        <v>38</v>
      </c>
      <c r="H2078" s="33">
        <f t="shared" si="500"/>
        <v>36</v>
      </c>
      <c r="I2078" s="33" t="str">
        <f t="shared" si="501"/>
        <v>='C:\Users\jaime.benazar\Quorum Business Solutions\Ecopetrol Prometeo - Documents\Planning Space Implementation\3. Analysis &amp; Design\Design\FC22\DRR Jaime\QUIFA-CAJÚA\Cajua\[CAJUA_CF_SEC_New_27-Feb-2024Rev3.xlsx]D-PS'!$BX$36</v>
      </c>
      <c r="J2078" s="37" t="s">
        <v>2912</v>
      </c>
    </row>
    <row r="2079" spans="1:10" x14ac:dyDescent="0.25">
      <c r="A2079" s="32" t="s">
        <v>34</v>
      </c>
      <c r="B2079" s="32">
        <f t="shared" si="502"/>
        <v>2048</v>
      </c>
      <c r="C2079" s="33" t="s">
        <v>17</v>
      </c>
      <c r="D2079" s="34" t="s">
        <v>1999</v>
      </c>
      <c r="E2079" s="35" t="str">
        <f t="shared" si="498"/>
        <v>PS'!</v>
      </c>
      <c r="F2079" s="34" t="str">
        <f t="shared" si="499"/>
        <v>C:\Users\jaime.benazar\Quorum Business Solutions\Ecopetrol Prometeo - Documents\Planning Space Implementation\3. Analysis &amp; Design\Design\FC22\DRR Jaime\QUIFA-CAJÚA\Cajua\[CAJUA_CF_SEC_New_27-Feb-2024Rev3.xlsx]D-PS'!</v>
      </c>
      <c r="G2079" s="32" t="s">
        <v>38</v>
      </c>
      <c r="H2079" s="33">
        <f t="shared" si="500"/>
        <v>37</v>
      </c>
      <c r="I2079" s="33" t="str">
        <f t="shared" si="501"/>
        <v>='C:\Users\jaime.benazar\Quorum Business Solutions\Ecopetrol Prometeo - Documents\Planning Space Implementation\3. Analysis &amp; Design\Design\FC22\DRR Jaime\QUIFA-CAJÚA\Cajua\[CAJUA_CF_SEC_New_27-Feb-2024Rev3.xlsx]D-PS'!$BX$37</v>
      </c>
      <c r="J2079" s="37" t="s">
        <v>2913</v>
      </c>
    </row>
    <row r="2080" spans="1:10" x14ac:dyDescent="0.25">
      <c r="A2080" s="32" t="s">
        <v>34</v>
      </c>
      <c r="B2080" s="32">
        <f t="shared" si="502"/>
        <v>2049</v>
      </c>
      <c r="C2080" s="33" t="s">
        <v>17</v>
      </c>
      <c r="D2080" s="34" t="s">
        <v>1999</v>
      </c>
      <c r="E2080" s="35" t="str">
        <f t="shared" si="498"/>
        <v>PS'!</v>
      </c>
      <c r="F2080" s="34" t="str">
        <f t="shared" si="499"/>
        <v>C:\Users\jaime.benazar\Quorum Business Solutions\Ecopetrol Prometeo - Documents\Planning Space Implementation\3. Analysis &amp; Design\Design\FC22\DRR Jaime\QUIFA-CAJÚA\Cajua\[CAJUA_CF_SEC_New_27-Feb-2024Rev3.xlsx]D-PS'!</v>
      </c>
      <c r="G2080" s="32" t="s">
        <v>38</v>
      </c>
      <c r="H2080" s="33">
        <f t="shared" si="500"/>
        <v>38</v>
      </c>
      <c r="I2080" s="33" t="str">
        <f t="shared" si="501"/>
        <v>='C:\Users\jaime.benazar\Quorum Business Solutions\Ecopetrol Prometeo - Documents\Planning Space Implementation\3. Analysis &amp; Design\Design\FC22\DRR Jaime\QUIFA-CAJÚA\Cajua\[CAJUA_CF_SEC_New_27-Feb-2024Rev3.xlsx]D-PS'!$BX$38</v>
      </c>
      <c r="J2080" s="37" t="s">
        <v>2914</v>
      </c>
    </row>
    <row r="2081" spans="1:10" x14ac:dyDescent="0.25">
      <c r="A2081" s="32" t="s">
        <v>34</v>
      </c>
      <c r="B2081" s="32">
        <f t="shared" si="502"/>
        <v>2050</v>
      </c>
      <c r="C2081" s="33" t="s">
        <v>17</v>
      </c>
      <c r="D2081" s="34" t="s">
        <v>1999</v>
      </c>
      <c r="E2081" s="35" t="str">
        <f t="shared" si="498"/>
        <v>PS'!</v>
      </c>
      <c r="F2081" s="34" t="str">
        <f t="shared" si="499"/>
        <v>C:\Users\jaime.benazar\Quorum Business Solutions\Ecopetrol Prometeo - Documents\Planning Space Implementation\3. Analysis &amp; Design\Design\FC22\DRR Jaime\QUIFA-CAJÚA\Cajua\[CAJUA_CF_SEC_New_27-Feb-2024Rev3.xlsx]D-PS'!</v>
      </c>
      <c r="G2081" s="32" t="s">
        <v>38</v>
      </c>
      <c r="H2081" s="33">
        <f t="shared" si="500"/>
        <v>39</v>
      </c>
      <c r="I2081" s="33" t="str">
        <f t="shared" si="501"/>
        <v>='C:\Users\jaime.benazar\Quorum Business Solutions\Ecopetrol Prometeo - Documents\Planning Space Implementation\3. Analysis &amp; Design\Design\FC22\DRR Jaime\QUIFA-CAJÚA\Cajua\[CAJUA_CF_SEC_New_27-Feb-2024Rev3.xlsx]D-PS'!$BX$39</v>
      </c>
      <c r="J2081" s="37" t="s">
        <v>2915</v>
      </c>
    </row>
    <row r="2082" spans="1:10" x14ac:dyDescent="0.25">
      <c r="A2082" s="32" t="s">
        <v>34</v>
      </c>
      <c r="B2082" s="32">
        <f t="shared" si="502"/>
        <v>2051</v>
      </c>
      <c r="C2082" s="33" t="s">
        <v>17</v>
      </c>
      <c r="D2082" s="34" t="s">
        <v>1999</v>
      </c>
      <c r="E2082" s="35" t="str">
        <f t="shared" si="498"/>
        <v>PS'!</v>
      </c>
      <c r="F2082" s="34" t="str">
        <f t="shared" si="499"/>
        <v>C:\Users\jaime.benazar\Quorum Business Solutions\Ecopetrol Prometeo - Documents\Planning Space Implementation\3. Analysis &amp; Design\Design\FC22\DRR Jaime\QUIFA-CAJÚA\Cajua\[CAJUA_CF_SEC_New_27-Feb-2024Rev3.xlsx]D-PS'!</v>
      </c>
      <c r="G2082" s="32" t="s">
        <v>38</v>
      </c>
      <c r="H2082" s="33">
        <f t="shared" si="500"/>
        <v>40</v>
      </c>
      <c r="I2082" s="33" t="str">
        <f t="shared" si="501"/>
        <v>='C:\Users\jaime.benazar\Quorum Business Solutions\Ecopetrol Prometeo - Documents\Planning Space Implementation\3. Analysis &amp; Design\Design\FC22\DRR Jaime\QUIFA-CAJÚA\Cajua\[CAJUA_CF_SEC_New_27-Feb-2024Rev3.xlsx]D-PS'!$BX$40</v>
      </c>
      <c r="J2082" s="37" t="s">
        <v>2916</v>
      </c>
    </row>
    <row r="2083" spans="1:10" x14ac:dyDescent="0.25">
      <c r="A2083" s="32" t="s">
        <v>34</v>
      </c>
      <c r="B2083" s="32">
        <f t="shared" si="502"/>
        <v>2052</v>
      </c>
      <c r="C2083" s="33" t="s">
        <v>17</v>
      </c>
      <c r="D2083" s="34" t="s">
        <v>1999</v>
      </c>
      <c r="E2083" s="35" t="str">
        <f t="shared" si="498"/>
        <v>PS'!</v>
      </c>
      <c r="F2083" s="34" t="str">
        <f t="shared" si="499"/>
        <v>C:\Users\jaime.benazar\Quorum Business Solutions\Ecopetrol Prometeo - Documents\Planning Space Implementation\3. Analysis &amp; Design\Design\FC22\DRR Jaime\QUIFA-CAJÚA\Cajua\[CAJUA_CF_SEC_New_27-Feb-2024Rev3.xlsx]D-PS'!</v>
      </c>
      <c r="G2083" s="32" t="s">
        <v>38</v>
      </c>
      <c r="H2083" s="33">
        <f t="shared" si="500"/>
        <v>41</v>
      </c>
      <c r="I2083" s="33" t="str">
        <f t="shared" si="501"/>
        <v>='C:\Users\jaime.benazar\Quorum Business Solutions\Ecopetrol Prometeo - Documents\Planning Space Implementation\3. Analysis &amp; Design\Design\FC22\DRR Jaime\QUIFA-CAJÚA\Cajua\[CAJUA_CF_SEC_New_27-Feb-2024Rev3.xlsx]D-PS'!$BX$41</v>
      </c>
      <c r="J2083" s="37" t="s">
        <v>2917</v>
      </c>
    </row>
    <row r="2084" spans="1:10" x14ac:dyDescent="0.25">
      <c r="A2084" s="32" t="s">
        <v>34</v>
      </c>
      <c r="B2084" s="32">
        <f t="shared" si="502"/>
        <v>2053</v>
      </c>
      <c r="C2084" s="33" t="s">
        <v>17</v>
      </c>
      <c r="D2084" s="34" t="s">
        <v>1999</v>
      </c>
      <c r="E2084" s="35" t="str">
        <f t="shared" si="498"/>
        <v>PS'!</v>
      </c>
      <c r="F2084" s="34" t="str">
        <f t="shared" si="499"/>
        <v>C:\Users\jaime.benazar\Quorum Business Solutions\Ecopetrol Prometeo - Documents\Planning Space Implementation\3. Analysis &amp; Design\Design\FC22\DRR Jaime\QUIFA-CAJÚA\Cajua\[CAJUA_CF_SEC_New_27-Feb-2024Rev3.xlsx]D-PS'!</v>
      </c>
      <c r="G2084" s="32" t="s">
        <v>38</v>
      </c>
      <c r="H2084" s="33">
        <f t="shared" si="500"/>
        <v>42</v>
      </c>
      <c r="I2084" s="33" t="str">
        <f t="shared" si="501"/>
        <v>='C:\Users\jaime.benazar\Quorum Business Solutions\Ecopetrol Prometeo - Documents\Planning Space Implementation\3. Analysis &amp; Design\Design\FC22\DRR Jaime\QUIFA-CAJÚA\Cajua\[CAJUA_CF_SEC_New_27-Feb-2024Rev3.xlsx]D-PS'!$BX$42</v>
      </c>
      <c r="J2084" s="37" t="s">
        <v>2918</v>
      </c>
    </row>
    <row r="2085" spans="1:10" x14ac:dyDescent="0.25">
      <c r="A2085" s="32" t="s">
        <v>34</v>
      </c>
      <c r="B2085" s="32">
        <f t="shared" si="502"/>
        <v>2054</v>
      </c>
      <c r="C2085" s="33" t="s">
        <v>17</v>
      </c>
      <c r="D2085" s="34" t="s">
        <v>1999</v>
      </c>
      <c r="E2085" s="35" t="str">
        <f t="shared" si="498"/>
        <v>PS'!</v>
      </c>
      <c r="F2085" s="34" t="str">
        <f t="shared" si="499"/>
        <v>C:\Users\jaime.benazar\Quorum Business Solutions\Ecopetrol Prometeo - Documents\Planning Space Implementation\3. Analysis &amp; Design\Design\FC22\DRR Jaime\QUIFA-CAJÚA\Cajua\[CAJUA_CF_SEC_New_27-Feb-2024Rev3.xlsx]D-PS'!</v>
      </c>
      <c r="G2085" s="32" t="s">
        <v>38</v>
      </c>
      <c r="H2085" s="33">
        <f t="shared" si="500"/>
        <v>43</v>
      </c>
      <c r="I2085" s="33" t="str">
        <f t="shared" si="501"/>
        <v>='C:\Users\jaime.benazar\Quorum Business Solutions\Ecopetrol Prometeo - Documents\Planning Space Implementation\3. Analysis &amp; Design\Design\FC22\DRR Jaime\QUIFA-CAJÚA\Cajua\[CAJUA_CF_SEC_New_27-Feb-2024Rev3.xlsx]D-PS'!$BX$43</v>
      </c>
      <c r="J2085" s="37" t="s">
        <v>2919</v>
      </c>
    </row>
    <row r="2086" spans="1:10" x14ac:dyDescent="0.25">
      <c r="A2086" s="32" t="s">
        <v>34</v>
      </c>
      <c r="B2086" s="32">
        <f t="shared" si="502"/>
        <v>2055</v>
      </c>
      <c r="C2086" s="33" t="s">
        <v>17</v>
      </c>
      <c r="D2086" s="34" t="s">
        <v>1999</v>
      </c>
      <c r="E2086" s="35" t="str">
        <f t="shared" si="498"/>
        <v>PS'!</v>
      </c>
      <c r="F2086" s="34" t="str">
        <f t="shared" si="499"/>
        <v>C:\Users\jaime.benazar\Quorum Business Solutions\Ecopetrol Prometeo - Documents\Planning Space Implementation\3. Analysis &amp; Design\Design\FC22\DRR Jaime\QUIFA-CAJÚA\Cajua\[CAJUA_CF_SEC_New_27-Feb-2024Rev3.xlsx]D-PS'!</v>
      </c>
      <c r="G2086" s="32" t="s">
        <v>38</v>
      </c>
      <c r="H2086" s="33">
        <f t="shared" si="500"/>
        <v>44</v>
      </c>
      <c r="I2086" s="33" t="str">
        <f t="shared" si="501"/>
        <v>='C:\Users\jaime.benazar\Quorum Business Solutions\Ecopetrol Prometeo - Documents\Planning Space Implementation\3. Analysis &amp; Design\Design\FC22\DRR Jaime\QUIFA-CAJÚA\Cajua\[CAJUA_CF_SEC_New_27-Feb-2024Rev3.xlsx]D-PS'!$BX$44</v>
      </c>
      <c r="J2086" s="37" t="s">
        <v>2920</v>
      </c>
    </row>
    <row r="2087" spans="1:10" x14ac:dyDescent="0.25">
      <c r="A2087" s="32" t="s">
        <v>34</v>
      </c>
      <c r="B2087" s="32">
        <f t="shared" si="502"/>
        <v>2056</v>
      </c>
      <c r="C2087" s="33" t="s">
        <v>17</v>
      </c>
      <c r="D2087" s="34" t="s">
        <v>1999</v>
      </c>
      <c r="E2087" s="35" t="str">
        <f t="shared" si="498"/>
        <v>PS'!</v>
      </c>
      <c r="F2087" s="34" t="str">
        <f t="shared" si="499"/>
        <v>C:\Users\jaime.benazar\Quorum Business Solutions\Ecopetrol Prometeo - Documents\Planning Space Implementation\3. Analysis &amp; Design\Design\FC22\DRR Jaime\QUIFA-CAJÚA\Cajua\[CAJUA_CF_SEC_New_27-Feb-2024Rev3.xlsx]D-PS'!</v>
      </c>
      <c r="G2087" s="32" t="s">
        <v>38</v>
      </c>
      <c r="H2087" s="33">
        <f t="shared" si="500"/>
        <v>45</v>
      </c>
      <c r="I2087" s="33" t="str">
        <f t="shared" si="501"/>
        <v>='C:\Users\jaime.benazar\Quorum Business Solutions\Ecopetrol Prometeo - Documents\Planning Space Implementation\3. Analysis &amp; Design\Design\FC22\DRR Jaime\QUIFA-CAJÚA\Cajua\[CAJUA_CF_SEC_New_27-Feb-2024Rev3.xlsx]D-PS'!$BX$45</v>
      </c>
      <c r="J2087" s="37" t="s">
        <v>2921</v>
      </c>
    </row>
    <row r="2088" spans="1:10" x14ac:dyDescent="0.25">
      <c r="A2088" s="32" t="s">
        <v>34</v>
      </c>
      <c r="B2088" s="32">
        <f t="shared" si="502"/>
        <v>2057</v>
      </c>
      <c r="C2088" s="33" t="s">
        <v>17</v>
      </c>
      <c r="D2088" s="34" t="s">
        <v>1999</v>
      </c>
      <c r="E2088" s="35" t="str">
        <f t="shared" si="498"/>
        <v>PS'!</v>
      </c>
      <c r="F2088" s="34" t="str">
        <f t="shared" si="499"/>
        <v>C:\Users\jaime.benazar\Quorum Business Solutions\Ecopetrol Prometeo - Documents\Planning Space Implementation\3. Analysis &amp; Design\Design\FC22\DRR Jaime\QUIFA-CAJÚA\Cajua\[CAJUA_CF_SEC_New_27-Feb-2024Rev3.xlsx]D-PS'!</v>
      </c>
      <c r="G2088" s="32" t="s">
        <v>38</v>
      </c>
      <c r="H2088" s="33">
        <f t="shared" si="500"/>
        <v>46</v>
      </c>
      <c r="I2088" s="33" t="str">
        <f t="shared" si="501"/>
        <v>='C:\Users\jaime.benazar\Quorum Business Solutions\Ecopetrol Prometeo - Documents\Planning Space Implementation\3. Analysis &amp; Design\Design\FC22\DRR Jaime\QUIFA-CAJÚA\Cajua\[CAJUA_CF_SEC_New_27-Feb-2024Rev3.xlsx]D-PS'!$BX$46</v>
      </c>
      <c r="J2088" s="37" t="s">
        <v>2922</v>
      </c>
    </row>
    <row r="2089" spans="1:10" x14ac:dyDescent="0.25">
      <c r="A2089" s="32" t="s">
        <v>34</v>
      </c>
      <c r="B2089" s="32">
        <f t="shared" si="502"/>
        <v>2058</v>
      </c>
      <c r="C2089" s="33" t="s">
        <v>17</v>
      </c>
      <c r="D2089" s="34" t="s">
        <v>1999</v>
      </c>
      <c r="E2089" s="35" t="str">
        <f t="shared" si="498"/>
        <v>PS'!</v>
      </c>
      <c r="F2089" s="34" t="str">
        <f t="shared" si="499"/>
        <v>C:\Users\jaime.benazar\Quorum Business Solutions\Ecopetrol Prometeo - Documents\Planning Space Implementation\3. Analysis &amp; Design\Design\FC22\DRR Jaime\QUIFA-CAJÚA\Cajua\[CAJUA_CF_SEC_New_27-Feb-2024Rev3.xlsx]D-PS'!</v>
      </c>
      <c r="G2089" s="32" t="s">
        <v>38</v>
      </c>
      <c r="H2089" s="33">
        <f t="shared" si="500"/>
        <v>47</v>
      </c>
      <c r="I2089" s="33" t="str">
        <f t="shared" si="501"/>
        <v>='C:\Users\jaime.benazar\Quorum Business Solutions\Ecopetrol Prometeo - Documents\Planning Space Implementation\3. Analysis &amp; Design\Design\FC22\DRR Jaime\QUIFA-CAJÚA\Cajua\[CAJUA_CF_SEC_New_27-Feb-2024Rev3.xlsx]D-PS'!$BX$47</v>
      </c>
      <c r="J2089" s="37" t="s">
        <v>2923</v>
      </c>
    </row>
    <row r="2090" spans="1:10" x14ac:dyDescent="0.25">
      <c r="A2090" s="32" t="s">
        <v>34</v>
      </c>
      <c r="B2090" s="32">
        <f t="shared" si="502"/>
        <v>2059</v>
      </c>
      <c r="C2090" s="33" t="s">
        <v>17</v>
      </c>
      <c r="D2090" s="34" t="s">
        <v>1999</v>
      </c>
      <c r="E2090" s="35" t="str">
        <f t="shared" si="498"/>
        <v>PS'!</v>
      </c>
      <c r="F2090" s="34" t="str">
        <f t="shared" si="499"/>
        <v>C:\Users\jaime.benazar\Quorum Business Solutions\Ecopetrol Prometeo - Documents\Planning Space Implementation\3. Analysis &amp; Design\Design\FC22\DRR Jaime\QUIFA-CAJÚA\Cajua\[CAJUA_CF_SEC_New_27-Feb-2024Rev3.xlsx]D-PS'!</v>
      </c>
      <c r="G2090" s="32" t="s">
        <v>38</v>
      </c>
      <c r="H2090" s="33">
        <f t="shared" si="500"/>
        <v>48</v>
      </c>
      <c r="I2090" s="33" t="str">
        <f t="shared" si="501"/>
        <v>='C:\Users\jaime.benazar\Quorum Business Solutions\Ecopetrol Prometeo - Documents\Planning Space Implementation\3. Analysis &amp; Design\Design\FC22\DRR Jaime\QUIFA-CAJÚA\Cajua\[CAJUA_CF_SEC_New_27-Feb-2024Rev3.xlsx]D-PS'!$BX$48</v>
      </c>
      <c r="J2090" s="37" t="s">
        <v>2924</v>
      </c>
    </row>
    <row r="2091" spans="1:10" x14ac:dyDescent="0.25">
      <c r="A2091" s="32" t="s">
        <v>28</v>
      </c>
      <c r="B2091" s="32"/>
      <c r="C2091" s="33" t="s">
        <v>17</v>
      </c>
      <c r="D2091" s="34"/>
      <c r="E2091" s="35"/>
      <c r="F2091" s="34"/>
      <c r="G2091" s="32"/>
      <c r="H2091" s="33"/>
      <c r="I2091" s="33"/>
      <c r="J2091" s="33"/>
    </row>
    <row r="2092" spans="1:10" x14ac:dyDescent="0.2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Jaime\QUIFA-CAJÚA\Cajua\[CAJUA_CF_SEC_New_27-Feb-2024Rev3.xlsx]D-PDP'!</v>
      </c>
      <c r="G2092" s="32" t="s">
        <v>115</v>
      </c>
      <c r="H2092" s="33">
        <v>12</v>
      </c>
      <c r="I2092" s="33" t="str">
        <f>_xlfn.CONCAT("='",F2092:H2092)</f>
        <v>='C:\Users\jaime.benazar\Quorum Business Solutions\Ecopetrol Prometeo - Documents\Planning Space Implementation\3. Analysis &amp; Design\Design\FC22\DRR Jaime\QUIFA-CAJÚA\Cajua\[CAJUA_CF_SEC_New_27-Feb-2024Rev3.xlsx]D-PDP'!$DC$12</v>
      </c>
      <c r="J2092" s="37" t="s">
        <v>2925</v>
      </c>
    </row>
    <row r="2093" spans="1:10" x14ac:dyDescent="0.25">
      <c r="A2093" s="32" t="s">
        <v>1</v>
      </c>
      <c r="B2093" s="32">
        <f>+B2092+1</f>
        <v>2024</v>
      </c>
      <c r="C2093" s="33" t="s">
        <v>20</v>
      </c>
      <c r="D2093" s="34" t="s">
        <v>1999</v>
      </c>
      <c r="E2093" s="35" t="str">
        <f t="shared" ref="E2093:E2186" si="503">_xlfn.CONCAT(A2093,"'!")</f>
        <v>PDP'!</v>
      </c>
      <c r="F2093" s="34" t="str">
        <f t="shared" ref="F2093:F2186" si="504">_xlfn.CONCAT(D2093:E2093)</f>
        <v>C:\Users\jaime.benazar\Quorum Business Solutions\Ecopetrol Prometeo - Documents\Planning Space Implementation\3. Analysis &amp; Design\Design\FC22\DRR Jaime\QUIFA-CAJÚA\Cajua\[CAJUA_CF_SEC_New_27-Feb-2024Rev3.xlsx]D-PDP'!</v>
      </c>
      <c r="G2093" s="32" t="s">
        <v>115</v>
      </c>
      <c r="H2093" s="33">
        <f t="shared" ref="H2093:H2112" si="505">IF(A2093&lt;&gt;A2092,12,H2092+1)</f>
        <v>13</v>
      </c>
      <c r="I2093" s="33" t="str">
        <f t="shared" ref="I2093:I2186" si="506">_xlfn.CONCAT("='",F2093:H2093)</f>
        <v>='C:\Users\jaime.benazar\Quorum Business Solutions\Ecopetrol Prometeo - Documents\Planning Space Implementation\3. Analysis &amp; Design\Design\FC22\DRR Jaime\QUIFA-CAJÚA\Cajua\[CAJUA_CF_SEC_New_27-Feb-2024Rev3.xlsx]D-PDP'!$DC$13</v>
      </c>
      <c r="J2093" s="37" t="s">
        <v>2926</v>
      </c>
    </row>
    <row r="2094" spans="1:10" x14ac:dyDescent="0.25">
      <c r="A2094" s="32" t="s">
        <v>1</v>
      </c>
      <c r="B2094" s="32">
        <f t="shared" ref="B2094:B2105" si="507">+B2093+1</f>
        <v>2025</v>
      </c>
      <c r="C2094" s="33" t="s">
        <v>20</v>
      </c>
      <c r="D2094" s="34" t="s">
        <v>1999</v>
      </c>
      <c r="E2094" s="35" t="str">
        <f t="shared" si="503"/>
        <v>PDP'!</v>
      </c>
      <c r="F2094" s="34" t="str">
        <f t="shared" si="504"/>
        <v>C:\Users\jaime.benazar\Quorum Business Solutions\Ecopetrol Prometeo - Documents\Planning Space Implementation\3. Analysis &amp; Design\Design\FC22\DRR Jaime\QUIFA-CAJÚA\Cajua\[CAJUA_CF_SEC_New_27-Feb-2024Rev3.xlsx]D-PDP'!</v>
      </c>
      <c r="G2094" s="32" t="s">
        <v>115</v>
      </c>
      <c r="H2094" s="33">
        <f t="shared" si="505"/>
        <v>14</v>
      </c>
      <c r="I2094" s="33" t="str">
        <f t="shared" si="506"/>
        <v>='C:\Users\jaime.benazar\Quorum Business Solutions\Ecopetrol Prometeo - Documents\Planning Space Implementation\3. Analysis &amp; Design\Design\FC22\DRR Jaime\QUIFA-CAJÚA\Cajua\[CAJUA_CF_SEC_New_27-Feb-2024Rev3.xlsx]D-PDP'!$DC$14</v>
      </c>
      <c r="J2094" s="37" t="s">
        <v>2927</v>
      </c>
    </row>
    <row r="2095" spans="1:10" x14ac:dyDescent="0.25">
      <c r="A2095" s="32" t="s">
        <v>1</v>
      </c>
      <c r="B2095" s="32">
        <f t="shared" si="507"/>
        <v>2026</v>
      </c>
      <c r="C2095" s="33" t="s">
        <v>20</v>
      </c>
      <c r="D2095" s="34" t="s">
        <v>1999</v>
      </c>
      <c r="E2095" s="35" t="str">
        <f t="shared" si="503"/>
        <v>PDP'!</v>
      </c>
      <c r="F2095" s="34" t="str">
        <f t="shared" si="504"/>
        <v>C:\Users\jaime.benazar\Quorum Business Solutions\Ecopetrol Prometeo - Documents\Planning Space Implementation\3. Analysis &amp; Design\Design\FC22\DRR Jaime\QUIFA-CAJÚA\Cajua\[CAJUA_CF_SEC_New_27-Feb-2024Rev3.xlsx]D-PDP'!</v>
      </c>
      <c r="G2095" s="32" t="s">
        <v>115</v>
      </c>
      <c r="H2095" s="33">
        <f t="shared" si="505"/>
        <v>15</v>
      </c>
      <c r="I2095" s="33" t="str">
        <f t="shared" si="506"/>
        <v>='C:\Users\jaime.benazar\Quorum Business Solutions\Ecopetrol Prometeo - Documents\Planning Space Implementation\3. Analysis &amp; Design\Design\FC22\DRR Jaime\QUIFA-CAJÚA\Cajua\[CAJUA_CF_SEC_New_27-Feb-2024Rev3.xlsx]D-PDP'!$DC$15</v>
      </c>
      <c r="J2095" s="37" t="s">
        <v>2928</v>
      </c>
    </row>
    <row r="2096" spans="1:10" x14ac:dyDescent="0.25">
      <c r="A2096" s="32" t="s">
        <v>1</v>
      </c>
      <c r="B2096" s="32">
        <f t="shared" si="507"/>
        <v>2027</v>
      </c>
      <c r="C2096" s="33" t="s">
        <v>20</v>
      </c>
      <c r="D2096" s="34" t="s">
        <v>1999</v>
      </c>
      <c r="E2096" s="35" t="str">
        <f t="shared" si="503"/>
        <v>PDP'!</v>
      </c>
      <c r="F2096" s="34" t="str">
        <f t="shared" si="504"/>
        <v>C:\Users\jaime.benazar\Quorum Business Solutions\Ecopetrol Prometeo - Documents\Planning Space Implementation\3. Analysis &amp; Design\Design\FC22\DRR Jaime\QUIFA-CAJÚA\Cajua\[CAJUA_CF_SEC_New_27-Feb-2024Rev3.xlsx]D-PDP'!</v>
      </c>
      <c r="G2096" s="32" t="s">
        <v>115</v>
      </c>
      <c r="H2096" s="33">
        <f t="shared" si="505"/>
        <v>16</v>
      </c>
      <c r="I2096" s="33" t="str">
        <f t="shared" si="506"/>
        <v>='C:\Users\jaime.benazar\Quorum Business Solutions\Ecopetrol Prometeo - Documents\Planning Space Implementation\3. Analysis &amp; Design\Design\FC22\DRR Jaime\QUIFA-CAJÚA\Cajua\[CAJUA_CF_SEC_New_27-Feb-2024Rev3.xlsx]D-PDP'!$DC$16</v>
      </c>
      <c r="J2096" s="37" t="s">
        <v>2929</v>
      </c>
    </row>
    <row r="2097" spans="1:10" x14ac:dyDescent="0.25">
      <c r="A2097" s="32" t="s">
        <v>1</v>
      </c>
      <c r="B2097" s="32">
        <f t="shared" si="507"/>
        <v>2028</v>
      </c>
      <c r="C2097" s="33" t="s">
        <v>20</v>
      </c>
      <c r="D2097" s="34" t="s">
        <v>1999</v>
      </c>
      <c r="E2097" s="35" t="str">
        <f t="shared" si="503"/>
        <v>PDP'!</v>
      </c>
      <c r="F2097" s="34" t="str">
        <f t="shared" si="504"/>
        <v>C:\Users\jaime.benazar\Quorum Business Solutions\Ecopetrol Prometeo - Documents\Planning Space Implementation\3. Analysis &amp; Design\Design\FC22\DRR Jaime\QUIFA-CAJÚA\Cajua\[CAJUA_CF_SEC_New_27-Feb-2024Rev3.xlsx]D-PDP'!</v>
      </c>
      <c r="G2097" s="32" t="s">
        <v>115</v>
      </c>
      <c r="H2097" s="33">
        <f t="shared" si="505"/>
        <v>17</v>
      </c>
      <c r="I2097" s="33" t="str">
        <f t="shared" si="506"/>
        <v>='C:\Users\jaime.benazar\Quorum Business Solutions\Ecopetrol Prometeo - Documents\Planning Space Implementation\3. Analysis &amp; Design\Design\FC22\DRR Jaime\QUIFA-CAJÚA\Cajua\[CAJUA_CF_SEC_New_27-Feb-2024Rev3.xlsx]D-PDP'!$DC$17</v>
      </c>
      <c r="J2097" s="37" t="s">
        <v>2930</v>
      </c>
    </row>
    <row r="2098" spans="1:10" x14ac:dyDescent="0.25">
      <c r="A2098" s="32" t="s">
        <v>1</v>
      </c>
      <c r="B2098" s="32">
        <f t="shared" si="507"/>
        <v>2029</v>
      </c>
      <c r="C2098" s="33" t="s">
        <v>20</v>
      </c>
      <c r="D2098" s="34" t="s">
        <v>1999</v>
      </c>
      <c r="E2098" s="35" t="str">
        <f t="shared" si="503"/>
        <v>PDP'!</v>
      </c>
      <c r="F2098" s="34" t="str">
        <f t="shared" si="504"/>
        <v>C:\Users\jaime.benazar\Quorum Business Solutions\Ecopetrol Prometeo - Documents\Planning Space Implementation\3. Analysis &amp; Design\Design\FC22\DRR Jaime\QUIFA-CAJÚA\Cajua\[CAJUA_CF_SEC_New_27-Feb-2024Rev3.xlsx]D-PDP'!</v>
      </c>
      <c r="G2098" s="32" t="s">
        <v>115</v>
      </c>
      <c r="H2098" s="33">
        <f t="shared" si="505"/>
        <v>18</v>
      </c>
      <c r="I2098" s="33" t="str">
        <f t="shared" si="506"/>
        <v>='C:\Users\jaime.benazar\Quorum Business Solutions\Ecopetrol Prometeo - Documents\Planning Space Implementation\3. Analysis &amp; Design\Design\FC22\DRR Jaime\QUIFA-CAJÚA\Cajua\[CAJUA_CF_SEC_New_27-Feb-2024Rev3.xlsx]D-PDP'!$DC$18</v>
      </c>
      <c r="J2098" s="37" t="s">
        <v>2931</v>
      </c>
    </row>
    <row r="2099" spans="1:10" x14ac:dyDescent="0.25">
      <c r="A2099" s="32" t="s">
        <v>1</v>
      </c>
      <c r="B2099" s="32">
        <f t="shared" si="507"/>
        <v>2030</v>
      </c>
      <c r="C2099" s="33" t="s">
        <v>20</v>
      </c>
      <c r="D2099" s="34" t="s">
        <v>1999</v>
      </c>
      <c r="E2099" s="35" t="str">
        <f t="shared" si="503"/>
        <v>PDP'!</v>
      </c>
      <c r="F2099" s="34" t="str">
        <f t="shared" si="504"/>
        <v>C:\Users\jaime.benazar\Quorum Business Solutions\Ecopetrol Prometeo - Documents\Planning Space Implementation\3. Analysis &amp; Design\Design\FC22\DRR Jaime\QUIFA-CAJÚA\Cajua\[CAJUA_CF_SEC_New_27-Feb-2024Rev3.xlsx]D-PDP'!</v>
      </c>
      <c r="G2099" s="32" t="s">
        <v>115</v>
      </c>
      <c r="H2099" s="33">
        <f t="shared" si="505"/>
        <v>19</v>
      </c>
      <c r="I2099" s="33" t="str">
        <f t="shared" si="506"/>
        <v>='C:\Users\jaime.benazar\Quorum Business Solutions\Ecopetrol Prometeo - Documents\Planning Space Implementation\3. Analysis &amp; Design\Design\FC22\DRR Jaime\QUIFA-CAJÚA\Cajua\[CAJUA_CF_SEC_New_27-Feb-2024Rev3.xlsx]D-PDP'!$DC$19</v>
      </c>
      <c r="J2099" s="37" t="s">
        <v>2932</v>
      </c>
    </row>
    <row r="2100" spans="1:10" x14ac:dyDescent="0.25">
      <c r="A2100" s="32" t="s">
        <v>1</v>
      </c>
      <c r="B2100" s="32">
        <f t="shared" si="507"/>
        <v>2031</v>
      </c>
      <c r="C2100" s="33" t="s">
        <v>20</v>
      </c>
      <c r="D2100" s="34" t="s">
        <v>1999</v>
      </c>
      <c r="E2100" s="35" t="str">
        <f t="shared" si="503"/>
        <v>PDP'!</v>
      </c>
      <c r="F2100" s="34" t="str">
        <f t="shared" si="504"/>
        <v>C:\Users\jaime.benazar\Quorum Business Solutions\Ecopetrol Prometeo - Documents\Planning Space Implementation\3. Analysis &amp; Design\Design\FC22\DRR Jaime\QUIFA-CAJÚA\Cajua\[CAJUA_CF_SEC_New_27-Feb-2024Rev3.xlsx]D-PDP'!</v>
      </c>
      <c r="G2100" s="32" t="s">
        <v>115</v>
      </c>
      <c r="H2100" s="33">
        <f t="shared" si="505"/>
        <v>20</v>
      </c>
      <c r="I2100" s="33" t="str">
        <f t="shared" si="506"/>
        <v>='C:\Users\jaime.benazar\Quorum Business Solutions\Ecopetrol Prometeo - Documents\Planning Space Implementation\3. Analysis &amp; Design\Design\FC22\DRR Jaime\QUIFA-CAJÚA\Cajua\[CAJUA_CF_SEC_New_27-Feb-2024Rev3.xlsx]D-PDP'!$DC$20</v>
      </c>
      <c r="J2100" s="37" t="s">
        <v>2933</v>
      </c>
    </row>
    <row r="2101" spans="1:10" x14ac:dyDescent="0.25">
      <c r="A2101" s="32" t="s">
        <v>1</v>
      </c>
      <c r="B2101" s="32">
        <f t="shared" si="507"/>
        <v>2032</v>
      </c>
      <c r="C2101" s="33" t="s">
        <v>20</v>
      </c>
      <c r="D2101" s="34" t="s">
        <v>1999</v>
      </c>
      <c r="E2101" s="35" t="str">
        <f t="shared" si="503"/>
        <v>PDP'!</v>
      </c>
      <c r="F2101" s="34" t="str">
        <f t="shared" si="504"/>
        <v>C:\Users\jaime.benazar\Quorum Business Solutions\Ecopetrol Prometeo - Documents\Planning Space Implementation\3. Analysis &amp; Design\Design\FC22\DRR Jaime\QUIFA-CAJÚA\Cajua\[CAJUA_CF_SEC_New_27-Feb-2024Rev3.xlsx]D-PDP'!</v>
      </c>
      <c r="G2101" s="32" t="s">
        <v>115</v>
      </c>
      <c r="H2101" s="33">
        <f t="shared" si="505"/>
        <v>21</v>
      </c>
      <c r="I2101" s="33" t="str">
        <f t="shared" si="506"/>
        <v>='C:\Users\jaime.benazar\Quorum Business Solutions\Ecopetrol Prometeo - Documents\Planning Space Implementation\3. Analysis &amp; Design\Design\FC22\DRR Jaime\QUIFA-CAJÚA\Cajua\[CAJUA_CF_SEC_New_27-Feb-2024Rev3.xlsx]D-PDP'!$DC$21</v>
      </c>
      <c r="J2101" s="37" t="s">
        <v>2934</v>
      </c>
    </row>
    <row r="2102" spans="1:10" x14ac:dyDescent="0.25">
      <c r="A2102" s="32" t="s">
        <v>1</v>
      </c>
      <c r="B2102" s="32">
        <f t="shared" si="507"/>
        <v>2033</v>
      </c>
      <c r="C2102" s="33" t="s">
        <v>20</v>
      </c>
      <c r="D2102" s="34" t="s">
        <v>1999</v>
      </c>
      <c r="E2102" s="35" t="str">
        <f t="shared" si="503"/>
        <v>PDP'!</v>
      </c>
      <c r="F2102" s="34" t="str">
        <f t="shared" si="504"/>
        <v>C:\Users\jaime.benazar\Quorum Business Solutions\Ecopetrol Prometeo - Documents\Planning Space Implementation\3. Analysis &amp; Design\Design\FC22\DRR Jaime\QUIFA-CAJÚA\Cajua\[CAJUA_CF_SEC_New_27-Feb-2024Rev3.xlsx]D-PDP'!</v>
      </c>
      <c r="G2102" s="32" t="s">
        <v>115</v>
      </c>
      <c r="H2102" s="33">
        <f t="shared" si="505"/>
        <v>22</v>
      </c>
      <c r="I2102" s="33" t="str">
        <f t="shared" si="506"/>
        <v>='C:\Users\jaime.benazar\Quorum Business Solutions\Ecopetrol Prometeo - Documents\Planning Space Implementation\3. Analysis &amp; Design\Design\FC22\DRR Jaime\QUIFA-CAJÚA\Cajua\[CAJUA_CF_SEC_New_27-Feb-2024Rev3.xlsx]D-PDP'!$DC$22</v>
      </c>
      <c r="J2102" s="37" t="s">
        <v>2935</v>
      </c>
    </row>
    <row r="2103" spans="1:10" x14ac:dyDescent="0.25">
      <c r="A2103" s="32" t="s">
        <v>1</v>
      </c>
      <c r="B2103" s="32">
        <f t="shared" si="507"/>
        <v>2034</v>
      </c>
      <c r="C2103" s="33" t="s">
        <v>20</v>
      </c>
      <c r="D2103" s="34" t="s">
        <v>1999</v>
      </c>
      <c r="E2103" s="35" t="str">
        <f t="shared" si="503"/>
        <v>PDP'!</v>
      </c>
      <c r="F2103" s="34" t="str">
        <f t="shared" si="504"/>
        <v>C:\Users\jaime.benazar\Quorum Business Solutions\Ecopetrol Prometeo - Documents\Planning Space Implementation\3. Analysis &amp; Design\Design\FC22\DRR Jaime\QUIFA-CAJÚA\Cajua\[CAJUA_CF_SEC_New_27-Feb-2024Rev3.xlsx]D-PDP'!</v>
      </c>
      <c r="G2103" s="32" t="s">
        <v>115</v>
      </c>
      <c r="H2103" s="33">
        <f t="shared" si="505"/>
        <v>23</v>
      </c>
      <c r="I2103" s="33" t="str">
        <f t="shared" si="506"/>
        <v>='C:\Users\jaime.benazar\Quorum Business Solutions\Ecopetrol Prometeo - Documents\Planning Space Implementation\3. Analysis &amp; Design\Design\FC22\DRR Jaime\QUIFA-CAJÚA\Cajua\[CAJUA_CF_SEC_New_27-Feb-2024Rev3.xlsx]D-PDP'!$DC$23</v>
      </c>
      <c r="J2103" s="37" t="s">
        <v>2936</v>
      </c>
    </row>
    <row r="2104" spans="1:10" x14ac:dyDescent="0.25">
      <c r="A2104" s="32" t="s">
        <v>1</v>
      </c>
      <c r="B2104" s="32">
        <f t="shared" si="507"/>
        <v>2035</v>
      </c>
      <c r="C2104" s="33" t="s">
        <v>20</v>
      </c>
      <c r="D2104" s="34" t="s">
        <v>1999</v>
      </c>
      <c r="E2104" s="35" t="str">
        <f t="shared" si="503"/>
        <v>PDP'!</v>
      </c>
      <c r="F2104" s="34" t="str">
        <f t="shared" si="504"/>
        <v>C:\Users\jaime.benazar\Quorum Business Solutions\Ecopetrol Prometeo - Documents\Planning Space Implementation\3. Analysis &amp; Design\Design\FC22\DRR Jaime\QUIFA-CAJÚA\Cajua\[CAJUA_CF_SEC_New_27-Feb-2024Rev3.xlsx]D-PDP'!</v>
      </c>
      <c r="G2104" s="32" t="s">
        <v>115</v>
      </c>
      <c r="H2104" s="33">
        <f t="shared" si="505"/>
        <v>24</v>
      </c>
      <c r="I2104" s="33" t="str">
        <f t="shared" si="506"/>
        <v>='C:\Users\jaime.benazar\Quorum Business Solutions\Ecopetrol Prometeo - Documents\Planning Space Implementation\3. Analysis &amp; Design\Design\FC22\DRR Jaime\QUIFA-CAJÚA\Cajua\[CAJUA_CF_SEC_New_27-Feb-2024Rev3.xlsx]D-PDP'!$DC$24</v>
      </c>
      <c r="J2104" s="37" t="s">
        <v>2937</v>
      </c>
    </row>
    <row r="2105" spans="1:10" x14ac:dyDescent="0.25">
      <c r="A2105" s="32" t="s">
        <v>1</v>
      </c>
      <c r="B2105" s="32">
        <f t="shared" si="507"/>
        <v>2036</v>
      </c>
      <c r="C2105" s="33" t="s">
        <v>20</v>
      </c>
      <c r="D2105" s="34" t="s">
        <v>1999</v>
      </c>
      <c r="E2105" s="35" t="str">
        <f t="shared" si="503"/>
        <v>PDP'!</v>
      </c>
      <c r="F2105" s="34" t="str">
        <f t="shared" si="504"/>
        <v>C:\Users\jaime.benazar\Quorum Business Solutions\Ecopetrol Prometeo - Documents\Planning Space Implementation\3. Analysis &amp; Design\Design\FC22\DRR Jaime\QUIFA-CAJÚA\Cajua\[CAJUA_CF_SEC_New_27-Feb-2024Rev3.xlsx]D-PDP'!</v>
      </c>
      <c r="G2105" s="32" t="s">
        <v>115</v>
      </c>
      <c r="H2105" s="33">
        <f t="shared" si="505"/>
        <v>25</v>
      </c>
      <c r="I2105" s="33" t="str">
        <f t="shared" si="506"/>
        <v>='C:\Users\jaime.benazar\Quorum Business Solutions\Ecopetrol Prometeo - Documents\Planning Space Implementation\3. Analysis &amp; Design\Design\FC22\DRR Jaime\QUIFA-CAJÚA\Cajua\[CAJUA_CF_SEC_New_27-Feb-2024Rev3.xlsx]D-PDP'!$DC$25</v>
      </c>
      <c r="J2105" s="37" t="s">
        <v>2938</v>
      </c>
    </row>
    <row r="2106" spans="1:10" x14ac:dyDescent="0.25">
      <c r="A2106" s="32" t="s">
        <v>1</v>
      </c>
      <c r="B2106" s="32">
        <f>+B2105+1</f>
        <v>2037</v>
      </c>
      <c r="C2106" s="33" t="s">
        <v>20</v>
      </c>
      <c r="D2106" s="34" t="s">
        <v>1999</v>
      </c>
      <c r="E2106" s="35" t="str">
        <f t="shared" si="503"/>
        <v>PDP'!</v>
      </c>
      <c r="F2106" s="34" t="str">
        <f t="shared" si="504"/>
        <v>C:\Users\jaime.benazar\Quorum Business Solutions\Ecopetrol Prometeo - Documents\Planning Space Implementation\3. Analysis &amp; Design\Design\FC22\DRR Jaime\QUIFA-CAJÚA\Cajua\[CAJUA_CF_SEC_New_27-Feb-2024Rev3.xlsx]D-PDP'!</v>
      </c>
      <c r="G2106" s="32" t="s">
        <v>115</v>
      </c>
      <c r="H2106" s="33">
        <f t="shared" si="505"/>
        <v>26</v>
      </c>
      <c r="I2106" s="33" t="str">
        <f t="shared" si="506"/>
        <v>='C:\Users\jaime.benazar\Quorum Business Solutions\Ecopetrol Prometeo - Documents\Planning Space Implementation\3. Analysis &amp; Design\Design\FC22\DRR Jaime\QUIFA-CAJÚA\Cajua\[CAJUA_CF_SEC_New_27-Feb-2024Rev3.xlsx]D-PDP'!$DC$26</v>
      </c>
      <c r="J2106" s="37" t="s">
        <v>2939</v>
      </c>
    </row>
    <row r="2107" spans="1:10" x14ac:dyDescent="0.25">
      <c r="A2107" s="32" t="s">
        <v>1</v>
      </c>
      <c r="B2107" s="32">
        <f t="shared" ref="B2107:B2109" si="508">+B2106+1</f>
        <v>2038</v>
      </c>
      <c r="C2107" s="33" t="s">
        <v>20</v>
      </c>
      <c r="D2107" s="34" t="s">
        <v>1999</v>
      </c>
      <c r="E2107" s="35" t="str">
        <f t="shared" si="503"/>
        <v>PDP'!</v>
      </c>
      <c r="F2107" s="34" t="str">
        <f t="shared" si="504"/>
        <v>C:\Users\jaime.benazar\Quorum Business Solutions\Ecopetrol Prometeo - Documents\Planning Space Implementation\3. Analysis &amp; Design\Design\FC22\DRR Jaime\QUIFA-CAJÚA\Cajua\[CAJUA_CF_SEC_New_27-Feb-2024Rev3.xlsx]D-PDP'!</v>
      </c>
      <c r="G2107" s="32" t="s">
        <v>115</v>
      </c>
      <c r="H2107" s="33">
        <f t="shared" si="505"/>
        <v>27</v>
      </c>
      <c r="I2107" s="33" t="str">
        <f t="shared" si="506"/>
        <v>='C:\Users\jaime.benazar\Quorum Business Solutions\Ecopetrol Prometeo - Documents\Planning Space Implementation\3. Analysis &amp; Design\Design\FC22\DRR Jaime\QUIFA-CAJÚA\Cajua\[CAJUA_CF_SEC_New_27-Feb-2024Rev3.xlsx]D-PDP'!$DC$27</v>
      </c>
      <c r="J2107" s="37" t="s">
        <v>2940</v>
      </c>
    </row>
    <row r="2108" spans="1:10" x14ac:dyDescent="0.25">
      <c r="A2108" s="32" t="s">
        <v>1</v>
      </c>
      <c r="B2108" s="32">
        <f t="shared" si="508"/>
        <v>2039</v>
      </c>
      <c r="C2108" s="33" t="s">
        <v>20</v>
      </c>
      <c r="D2108" s="34" t="s">
        <v>1999</v>
      </c>
      <c r="E2108" s="35" t="str">
        <f t="shared" si="503"/>
        <v>PDP'!</v>
      </c>
      <c r="F2108" s="34" t="str">
        <f t="shared" si="504"/>
        <v>C:\Users\jaime.benazar\Quorum Business Solutions\Ecopetrol Prometeo - Documents\Planning Space Implementation\3. Analysis &amp; Design\Design\FC22\DRR Jaime\QUIFA-CAJÚA\Cajua\[CAJUA_CF_SEC_New_27-Feb-2024Rev3.xlsx]D-PDP'!</v>
      </c>
      <c r="G2108" s="32" t="s">
        <v>115</v>
      </c>
      <c r="H2108" s="33">
        <f t="shared" si="505"/>
        <v>28</v>
      </c>
      <c r="I2108" s="33" t="str">
        <f t="shared" si="506"/>
        <v>='C:\Users\jaime.benazar\Quorum Business Solutions\Ecopetrol Prometeo - Documents\Planning Space Implementation\3. Analysis &amp; Design\Design\FC22\DRR Jaime\QUIFA-CAJÚA\Cajua\[CAJUA_CF_SEC_New_27-Feb-2024Rev3.xlsx]D-PDP'!$DC$28</v>
      </c>
      <c r="J2108" s="37" t="s">
        <v>2941</v>
      </c>
    </row>
    <row r="2109" spans="1:10" x14ac:dyDescent="0.25">
      <c r="A2109" s="32" t="s">
        <v>1</v>
      </c>
      <c r="B2109" s="32">
        <f t="shared" si="508"/>
        <v>2040</v>
      </c>
      <c r="C2109" s="33" t="s">
        <v>20</v>
      </c>
      <c r="D2109" s="34" t="s">
        <v>1999</v>
      </c>
      <c r="E2109" s="35" t="str">
        <f t="shared" si="503"/>
        <v>PDP'!</v>
      </c>
      <c r="F2109" s="34" t="str">
        <f t="shared" si="504"/>
        <v>C:\Users\jaime.benazar\Quorum Business Solutions\Ecopetrol Prometeo - Documents\Planning Space Implementation\3. Analysis &amp; Design\Design\FC22\DRR Jaime\QUIFA-CAJÚA\Cajua\[CAJUA_CF_SEC_New_27-Feb-2024Rev3.xlsx]D-PDP'!</v>
      </c>
      <c r="G2109" s="32" t="s">
        <v>115</v>
      </c>
      <c r="H2109" s="33">
        <f t="shared" si="505"/>
        <v>29</v>
      </c>
      <c r="I2109" s="33" t="str">
        <f t="shared" si="506"/>
        <v>='C:\Users\jaime.benazar\Quorum Business Solutions\Ecopetrol Prometeo - Documents\Planning Space Implementation\3. Analysis &amp; Design\Design\FC22\DRR Jaime\QUIFA-CAJÚA\Cajua\[CAJUA_CF_SEC_New_27-Feb-2024Rev3.xlsx]D-PDP'!$DC$29</v>
      </c>
      <c r="J2109" s="37" t="s">
        <v>2942</v>
      </c>
    </row>
    <row r="2110" spans="1:10" x14ac:dyDescent="0.25">
      <c r="A2110" s="32" t="s">
        <v>1</v>
      </c>
      <c r="B2110" s="32">
        <f>+B2109+1</f>
        <v>2041</v>
      </c>
      <c r="C2110" s="33" t="s">
        <v>20</v>
      </c>
      <c r="D2110" s="34" t="s">
        <v>1999</v>
      </c>
      <c r="E2110" s="35" t="str">
        <f t="shared" si="503"/>
        <v>PDP'!</v>
      </c>
      <c r="F2110" s="34" t="str">
        <f t="shared" si="504"/>
        <v>C:\Users\jaime.benazar\Quorum Business Solutions\Ecopetrol Prometeo - Documents\Planning Space Implementation\3. Analysis &amp; Design\Design\FC22\DRR Jaime\QUIFA-CAJÚA\Cajua\[CAJUA_CF_SEC_New_27-Feb-2024Rev3.xlsx]D-PDP'!</v>
      </c>
      <c r="G2110" s="32" t="s">
        <v>115</v>
      </c>
      <c r="H2110" s="33">
        <f t="shared" si="505"/>
        <v>30</v>
      </c>
      <c r="I2110" s="33" t="str">
        <f t="shared" si="506"/>
        <v>='C:\Users\jaime.benazar\Quorum Business Solutions\Ecopetrol Prometeo - Documents\Planning Space Implementation\3. Analysis &amp; Design\Design\FC22\DRR Jaime\QUIFA-CAJÚA\Cajua\[CAJUA_CF_SEC_New_27-Feb-2024Rev3.xlsx]D-PDP'!$DC$30</v>
      </c>
      <c r="J2110" s="37" t="s">
        <v>2943</v>
      </c>
    </row>
    <row r="2111" spans="1:10" x14ac:dyDescent="0.25">
      <c r="A2111" s="32" t="s">
        <v>1</v>
      </c>
      <c r="B2111" s="32">
        <f t="shared" ref="B2111:B2112" si="509">+B2110+1</f>
        <v>2042</v>
      </c>
      <c r="C2111" s="33" t="s">
        <v>20</v>
      </c>
      <c r="D2111" s="34" t="s">
        <v>1999</v>
      </c>
      <c r="E2111" s="35" t="str">
        <f t="shared" si="503"/>
        <v>PDP'!</v>
      </c>
      <c r="F2111" s="34" t="str">
        <f t="shared" si="504"/>
        <v>C:\Users\jaime.benazar\Quorum Business Solutions\Ecopetrol Prometeo - Documents\Planning Space Implementation\3. Analysis &amp; Design\Design\FC22\DRR Jaime\QUIFA-CAJÚA\Cajua\[CAJUA_CF_SEC_New_27-Feb-2024Rev3.xlsx]D-PDP'!</v>
      </c>
      <c r="G2111" s="32" t="s">
        <v>115</v>
      </c>
      <c r="H2111" s="33">
        <f t="shared" si="505"/>
        <v>31</v>
      </c>
      <c r="I2111" s="33" t="str">
        <f t="shared" si="506"/>
        <v>='C:\Users\jaime.benazar\Quorum Business Solutions\Ecopetrol Prometeo - Documents\Planning Space Implementation\3. Analysis &amp; Design\Design\FC22\DRR Jaime\QUIFA-CAJÚA\Cajua\[CAJUA_CF_SEC_New_27-Feb-2024Rev3.xlsx]D-PDP'!$DC$31</v>
      </c>
      <c r="J2111" s="37" t="s">
        <v>2944</v>
      </c>
    </row>
    <row r="2112" spans="1:10" x14ac:dyDescent="0.25">
      <c r="A2112" s="32" t="s">
        <v>1</v>
      </c>
      <c r="B2112" s="32">
        <f t="shared" si="509"/>
        <v>2043</v>
      </c>
      <c r="C2112" s="33" t="s">
        <v>20</v>
      </c>
      <c r="D2112" s="34" t="s">
        <v>1999</v>
      </c>
      <c r="E2112" s="35" t="str">
        <f t="shared" si="503"/>
        <v>PDP'!</v>
      </c>
      <c r="F2112" s="34" t="str">
        <f t="shared" si="504"/>
        <v>C:\Users\jaime.benazar\Quorum Business Solutions\Ecopetrol Prometeo - Documents\Planning Space Implementation\3. Analysis &amp; Design\Design\FC22\DRR Jaime\QUIFA-CAJÚA\Cajua\[CAJUA_CF_SEC_New_27-Feb-2024Rev3.xlsx]D-PDP'!</v>
      </c>
      <c r="G2112" s="32" t="s">
        <v>115</v>
      </c>
      <c r="H2112" s="33">
        <f t="shared" si="505"/>
        <v>32</v>
      </c>
      <c r="I2112" s="33" t="str">
        <f t="shared" si="506"/>
        <v>='C:\Users\jaime.benazar\Quorum Business Solutions\Ecopetrol Prometeo - Documents\Planning Space Implementation\3. Analysis &amp; Design\Design\FC22\DRR Jaime\QUIFA-CAJÚA\Cajua\[CAJUA_CF_SEC_New_27-Feb-2024Rev3.xlsx]D-PDP'!$DC$32</v>
      </c>
      <c r="J2112" s="37" t="s">
        <v>2945</v>
      </c>
    </row>
    <row r="2113" spans="1:10" x14ac:dyDescent="0.25">
      <c r="A2113" s="32" t="s">
        <v>1</v>
      </c>
      <c r="B2113" s="32">
        <f>+B2112+1</f>
        <v>2044</v>
      </c>
      <c r="C2113" s="33" t="s">
        <v>20</v>
      </c>
      <c r="D2113" s="34" t="s">
        <v>1999</v>
      </c>
      <c r="E2113" s="35" t="str">
        <f t="shared" ref="E2113:E2128" si="510">_xlfn.CONCAT(A2113,"'!")</f>
        <v>PDP'!</v>
      </c>
      <c r="F2113" s="34" t="str">
        <f t="shared" ref="F2113:F2128" si="511">_xlfn.CONCAT(D2113:E2113)</f>
        <v>C:\Users\jaime.benazar\Quorum Business Solutions\Ecopetrol Prometeo - Documents\Planning Space Implementation\3. Analysis &amp; Design\Design\FC22\DRR Jaime\QUIFA-CAJÚA\Cajua\[CAJUA_CF_SEC_New_27-Feb-2024Rev3.xlsx]D-PDP'!</v>
      </c>
      <c r="G2113" s="32" t="s">
        <v>115</v>
      </c>
      <c r="H2113" s="33">
        <f t="shared" ref="H2113:H2128" si="512">IF(A2113&lt;&gt;A2112,12,H2112+1)</f>
        <v>33</v>
      </c>
      <c r="I2113" s="33" t="str">
        <f t="shared" ref="I2113:I2128" si="513">_xlfn.CONCAT("='",F2113:H2113)</f>
        <v>='C:\Users\jaime.benazar\Quorum Business Solutions\Ecopetrol Prometeo - Documents\Planning Space Implementation\3. Analysis &amp; Design\Design\FC22\DRR Jaime\QUIFA-CAJÚA\Cajua\[CAJUA_CF_SEC_New_27-Feb-2024Rev3.xlsx]D-PDP'!$DC$33</v>
      </c>
      <c r="J2113" s="37" t="s">
        <v>2946</v>
      </c>
    </row>
    <row r="2114" spans="1:10" x14ac:dyDescent="0.25">
      <c r="A2114" s="32" t="s">
        <v>1</v>
      </c>
      <c r="B2114" s="32">
        <f t="shared" ref="B2114:B2128" si="514">+B2113+1</f>
        <v>2045</v>
      </c>
      <c r="C2114" s="33" t="s">
        <v>20</v>
      </c>
      <c r="D2114" s="34" t="s">
        <v>1999</v>
      </c>
      <c r="E2114" s="35" t="str">
        <f t="shared" si="510"/>
        <v>PDP'!</v>
      </c>
      <c r="F2114" s="34" t="str">
        <f t="shared" si="511"/>
        <v>C:\Users\jaime.benazar\Quorum Business Solutions\Ecopetrol Prometeo - Documents\Planning Space Implementation\3. Analysis &amp; Design\Design\FC22\DRR Jaime\QUIFA-CAJÚA\Cajua\[CAJUA_CF_SEC_New_27-Feb-2024Rev3.xlsx]D-PDP'!</v>
      </c>
      <c r="G2114" s="32" t="s">
        <v>115</v>
      </c>
      <c r="H2114" s="33">
        <f t="shared" si="512"/>
        <v>34</v>
      </c>
      <c r="I2114" s="33" t="str">
        <f t="shared" si="513"/>
        <v>='C:\Users\jaime.benazar\Quorum Business Solutions\Ecopetrol Prometeo - Documents\Planning Space Implementation\3. Analysis &amp; Design\Design\FC22\DRR Jaime\QUIFA-CAJÚA\Cajua\[CAJUA_CF_SEC_New_27-Feb-2024Rev3.xlsx]D-PDP'!$DC$34</v>
      </c>
      <c r="J2114" s="37" t="s">
        <v>2947</v>
      </c>
    </row>
    <row r="2115" spans="1:10" x14ac:dyDescent="0.25">
      <c r="A2115" s="32" t="s">
        <v>1</v>
      </c>
      <c r="B2115" s="32">
        <f t="shared" si="514"/>
        <v>2046</v>
      </c>
      <c r="C2115" s="33" t="s">
        <v>20</v>
      </c>
      <c r="D2115" s="34" t="s">
        <v>1999</v>
      </c>
      <c r="E2115" s="35" t="str">
        <f t="shared" si="510"/>
        <v>PDP'!</v>
      </c>
      <c r="F2115" s="34" t="str">
        <f t="shared" si="511"/>
        <v>C:\Users\jaime.benazar\Quorum Business Solutions\Ecopetrol Prometeo - Documents\Planning Space Implementation\3. Analysis &amp; Design\Design\FC22\DRR Jaime\QUIFA-CAJÚA\Cajua\[CAJUA_CF_SEC_New_27-Feb-2024Rev3.xlsx]D-PDP'!</v>
      </c>
      <c r="G2115" s="32" t="s">
        <v>115</v>
      </c>
      <c r="H2115" s="33">
        <f t="shared" si="512"/>
        <v>35</v>
      </c>
      <c r="I2115" s="33" t="str">
        <f t="shared" si="513"/>
        <v>='C:\Users\jaime.benazar\Quorum Business Solutions\Ecopetrol Prometeo - Documents\Planning Space Implementation\3. Analysis &amp; Design\Design\FC22\DRR Jaime\QUIFA-CAJÚA\Cajua\[CAJUA_CF_SEC_New_27-Feb-2024Rev3.xlsx]D-PDP'!$DC$35</v>
      </c>
      <c r="J2115" s="37" t="s">
        <v>2948</v>
      </c>
    </row>
    <row r="2116" spans="1:10" x14ac:dyDescent="0.25">
      <c r="A2116" s="32" t="s">
        <v>1</v>
      </c>
      <c r="B2116" s="32">
        <f t="shared" si="514"/>
        <v>2047</v>
      </c>
      <c r="C2116" s="33" t="s">
        <v>20</v>
      </c>
      <c r="D2116" s="34" t="s">
        <v>1999</v>
      </c>
      <c r="E2116" s="35" t="str">
        <f t="shared" si="510"/>
        <v>PDP'!</v>
      </c>
      <c r="F2116" s="34" t="str">
        <f t="shared" si="511"/>
        <v>C:\Users\jaime.benazar\Quorum Business Solutions\Ecopetrol Prometeo - Documents\Planning Space Implementation\3. Analysis &amp; Design\Design\FC22\DRR Jaime\QUIFA-CAJÚA\Cajua\[CAJUA_CF_SEC_New_27-Feb-2024Rev3.xlsx]D-PDP'!</v>
      </c>
      <c r="G2116" s="32" t="s">
        <v>115</v>
      </c>
      <c r="H2116" s="33">
        <f t="shared" si="512"/>
        <v>36</v>
      </c>
      <c r="I2116" s="33" t="str">
        <f t="shared" si="513"/>
        <v>='C:\Users\jaime.benazar\Quorum Business Solutions\Ecopetrol Prometeo - Documents\Planning Space Implementation\3. Analysis &amp; Design\Design\FC22\DRR Jaime\QUIFA-CAJÚA\Cajua\[CAJUA_CF_SEC_New_27-Feb-2024Rev3.xlsx]D-PDP'!$DC$36</v>
      </c>
      <c r="J2116" s="37" t="s">
        <v>2949</v>
      </c>
    </row>
    <row r="2117" spans="1:10" x14ac:dyDescent="0.25">
      <c r="A2117" s="32" t="s">
        <v>1</v>
      </c>
      <c r="B2117" s="32">
        <f t="shared" si="514"/>
        <v>2048</v>
      </c>
      <c r="C2117" s="33" t="s">
        <v>20</v>
      </c>
      <c r="D2117" s="34" t="s">
        <v>1999</v>
      </c>
      <c r="E2117" s="35" t="str">
        <f t="shared" si="510"/>
        <v>PDP'!</v>
      </c>
      <c r="F2117" s="34" t="str">
        <f t="shared" si="511"/>
        <v>C:\Users\jaime.benazar\Quorum Business Solutions\Ecopetrol Prometeo - Documents\Planning Space Implementation\3. Analysis &amp; Design\Design\FC22\DRR Jaime\QUIFA-CAJÚA\Cajua\[CAJUA_CF_SEC_New_27-Feb-2024Rev3.xlsx]D-PDP'!</v>
      </c>
      <c r="G2117" s="32" t="s">
        <v>115</v>
      </c>
      <c r="H2117" s="33">
        <f t="shared" si="512"/>
        <v>37</v>
      </c>
      <c r="I2117" s="33" t="str">
        <f t="shared" si="513"/>
        <v>='C:\Users\jaime.benazar\Quorum Business Solutions\Ecopetrol Prometeo - Documents\Planning Space Implementation\3. Analysis &amp; Design\Design\FC22\DRR Jaime\QUIFA-CAJÚA\Cajua\[CAJUA_CF_SEC_New_27-Feb-2024Rev3.xlsx]D-PDP'!$DC$37</v>
      </c>
      <c r="J2117" s="37" t="s">
        <v>2950</v>
      </c>
    </row>
    <row r="2118" spans="1:10" x14ac:dyDescent="0.25">
      <c r="A2118" s="32" t="s">
        <v>1</v>
      </c>
      <c r="B2118" s="32">
        <f t="shared" si="514"/>
        <v>2049</v>
      </c>
      <c r="C2118" s="33" t="s">
        <v>20</v>
      </c>
      <c r="D2118" s="34" t="s">
        <v>1999</v>
      </c>
      <c r="E2118" s="35" t="str">
        <f t="shared" si="510"/>
        <v>PDP'!</v>
      </c>
      <c r="F2118" s="34" t="str">
        <f t="shared" si="511"/>
        <v>C:\Users\jaime.benazar\Quorum Business Solutions\Ecopetrol Prometeo - Documents\Planning Space Implementation\3. Analysis &amp; Design\Design\FC22\DRR Jaime\QUIFA-CAJÚA\Cajua\[CAJUA_CF_SEC_New_27-Feb-2024Rev3.xlsx]D-PDP'!</v>
      </c>
      <c r="G2118" s="32" t="s">
        <v>115</v>
      </c>
      <c r="H2118" s="33">
        <f t="shared" si="512"/>
        <v>38</v>
      </c>
      <c r="I2118" s="33" t="str">
        <f t="shared" si="513"/>
        <v>='C:\Users\jaime.benazar\Quorum Business Solutions\Ecopetrol Prometeo - Documents\Planning Space Implementation\3. Analysis &amp; Design\Design\FC22\DRR Jaime\QUIFA-CAJÚA\Cajua\[CAJUA_CF_SEC_New_27-Feb-2024Rev3.xlsx]D-PDP'!$DC$38</v>
      </c>
      <c r="J2118" s="37" t="s">
        <v>2951</v>
      </c>
    </row>
    <row r="2119" spans="1:10" x14ac:dyDescent="0.25">
      <c r="A2119" s="32" t="s">
        <v>1</v>
      </c>
      <c r="B2119" s="32">
        <f t="shared" si="514"/>
        <v>2050</v>
      </c>
      <c r="C2119" s="33" t="s">
        <v>20</v>
      </c>
      <c r="D2119" s="34" t="s">
        <v>1999</v>
      </c>
      <c r="E2119" s="35" t="str">
        <f t="shared" si="510"/>
        <v>PDP'!</v>
      </c>
      <c r="F2119" s="34" t="str">
        <f t="shared" si="511"/>
        <v>C:\Users\jaime.benazar\Quorum Business Solutions\Ecopetrol Prometeo - Documents\Planning Space Implementation\3. Analysis &amp; Design\Design\FC22\DRR Jaime\QUIFA-CAJÚA\Cajua\[CAJUA_CF_SEC_New_27-Feb-2024Rev3.xlsx]D-PDP'!</v>
      </c>
      <c r="G2119" s="32" t="s">
        <v>115</v>
      </c>
      <c r="H2119" s="33">
        <f t="shared" si="512"/>
        <v>39</v>
      </c>
      <c r="I2119" s="33" t="str">
        <f t="shared" si="513"/>
        <v>='C:\Users\jaime.benazar\Quorum Business Solutions\Ecopetrol Prometeo - Documents\Planning Space Implementation\3. Analysis &amp; Design\Design\FC22\DRR Jaime\QUIFA-CAJÚA\Cajua\[CAJUA_CF_SEC_New_27-Feb-2024Rev3.xlsx]D-PDP'!$DC$39</v>
      </c>
      <c r="J2119" s="37" t="s">
        <v>2952</v>
      </c>
    </row>
    <row r="2120" spans="1:10" x14ac:dyDescent="0.25">
      <c r="A2120" s="32" t="s">
        <v>1</v>
      </c>
      <c r="B2120" s="32">
        <f t="shared" si="514"/>
        <v>2051</v>
      </c>
      <c r="C2120" s="33" t="s">
        <v>20</v>
      </c>
      <c r="D2120" s="34" t="s">
        <v>1999</v>
      </c>
      <c r="E2120" s="35" t="str">
        <f t="shared" si="510"/>
        <v>PDP'!</v>
      </c>
      <c r="F2120" s="34" t="str">
        <f t="shared" si="511"/>
        <v>C:\Users\jaime.benazar\Quorum Business Solutions\Ecopetrol Prometeo - Documents\Planning Space Implementation\3. Analysis &amp; Design\Design\FC22\DRR Jaime\QUIFA-CAJÚA\Cajua\[CAJUA_CF_SEC_New_27-Feb-2024Rev3.xlsx]D-PDP'!</v>
      </c>
      <c r="G2120" s="32" t="s">
        <v>115</v>
      </c>
      <c r="H2120" s="33">
        <f t="shared" si="512"/>
        <v>40</v>
      </c>
      <c r="I2120" s="33" t="str">
        <f t="shared" si="513"/>
        <v>='C:\Users\jaime.benazar\Quorum Business Solutions\Ecopetrol Prometeo - Documents\Planning Space Implementation\3. Analysis &amp; Design\Design\FC22\DRR Jaime\QUIFA-CAJÚA\Cajua\[CAJUA_CF_SEC_New_27-Feb-2024Rev3.xlsx]D-PDP'!$DC$40</v>
      </c>
      <c r="J2120" s="37" t="s">
        <v>2953</v>
      </c>
    </row>
    <row r="2121" spans="1:10" x14ac:dyDescent="0.25">
      <c r="A2121" s="32" t="s">
        <v>1</v>
      </c>
      <c r="B2121" s="32">
        <f t="shared" si="514"/>
        <v>2052</v>
      </c>
      <c r="C2121" s="33" t="s">
        <v>20</v>
      </c>
      <c r="D2121" s="34" t="s">
        <v>1999</v>
      </c>
      <c r="E2121" s="35" t="str">
        <f t="shared" si="510"/>
        <v>PDP'!</v>
      </c>
      <c r="F2121" s="34" t="str">
        <f t="shared" si="511"/>
        <v>C:\Users\jaime.benazar\Quorum Business Solutions\Ecopetrol Prometeo - Documents\Planning Space Implementation\3. Analysis &amp; Design\Design\FC22\DRR Jaime\QUIFA-CAJÚA\Cajua\[CAJUA_CF_SEC_New_27-Feb-2024Rev3.xlsx]D-PDP'!</v>
      </c>
      <c r="G2121" s="32" t="s">
        <v>115</v>
      </c>
      <c r="H2121" s="33">
        <f t="shared" si="512"/>
        <v>41</v>
      </c>
      <c r="I2121" s="33" t="str">
        <f t="shared" si="513"/>
        <v>='C:\Users\jaime.benazar\Quorum Business Solutions\Ecopetrol Prometeo - Documents\Planning Space Implementation\3. Analysis &amp; Design\Design\FC22\DRR Jaime\QUIFA-CAJÚA\Cajua\[CAJUA_CF_SEC_New_27-Feb-2024Rev3.xlsx]D-PDP'!$DC$41</v>
      </c>
      <c r="J2121" s="37" t="s">
        <v>2954</v>
      </c>
    </row>
    <row r="2122" spans="1:10" x14ac:dyDescent="0.25">
      <c r="A2122" s="32" t="s">
        <v>1</v>
      </c>
      <c r="B2122" s="32">
        <f t="shared" si="514"/>
        <v>2053</v>
      </c>
      <c r="C2122" s="33" t="s">
        <v>20</v>
      </c>
      <c r="D2122" s="34" t="s">
        <v>1999</v>
      </c>
      <c r="E2122" s="35" t="str">
        <f t="shared" si="510"/>
        <v>PDP'!</v>
      </c>
      <c r="F2122" s="34" t="str">
        <f t="shared" si="511"/>
        <v>C:\Users\jaime.benazar\Quorum Business Solutions\Ecopetrol Prometeo - Documents\Planning Space Implementation\3. Analysis &amp; Design\Design\FC22\DRR Jaime\QUIFA-CAJÚA\Cajua\[CAJUA_CF_SEC_New_27-Feb-2024Rev3.xlsx]D-PDP'!</v>
      </c>
      <c r="G2122" s="32" t="s">
        <v>115</v>
      </c>
      <c r="H2122" s="33">
        <f t="shared" si="512"/>
        <v>42</v>
      </c>
      <c r="I2122" s="33" t="str">
        <f t="shared" si="513"/>
        <v>='C:\Users\jaime.benazar\Quorum Business Solutions\Ecopetrol Prometeo - Documents\Planning Space Implementation\3. Analysis &amp; Design\Design\FC22\DRR Jaime\QUIFA-CAJÚA\Cajua\[CAJUA_CF_SEC_New_27-Feb-2024Rev3.xlsx]D-PDP'!$DC$42</v>
      </c>
      <c r="J2122" s="37" t="s">
        <v>2955</v>
      </c>
    </row>
    <row r="2123" spans="1:10" x14ac:dyDescent="0.25">
      <c r="A2123" s="32" t="s">
        <v>1</v>
      </c>
      <c r="B2123" s="32">
        <f t="shared" si="514"/>
        <v>2054</v>
      </c>
      <c r="C2123" s="33" t="s">
        <v>20</v>
      </c>
      <c r="D2123" s="34" t="s">
        <v>1999</v>
      </c>
      <c r="E2123" s="35" t="str">
        <f t="shared" si="510"/>
        <v>PDP'!</v>
      </c>
      <c r="F2123" s="34" t="str">
        <f t="shared" si="511"/>
        <v>C:\Users\jaime.benazar\Quorum Business Solutions\Ecopetrol Prometeo - Documents\Planning Space Implementation\3. Analysis &amp; Design\Design\FC22\DRR Jaime\QUIFA-CAJÚA\Cajua\[CAJUA_CF_SEC_New_27-Feb-2024Rev3.xlsx]D-PDP'!</v>
      </c>
      <c r="G2123" s="32" t="s">
        <v>115</v>
      </c>
      <c r="H2123" s="33">
        <f t="shared" si="512"/>
        <v>43</v>
      </c>
      <c r="I2123" s="33" t="str">
        <f t="shared" si="513"/>
        <v>='C:\Users\jaime.benazar\Quorum Business Solutions\Ecopetrol Prometeo - Documents\Planning Space Implementation\3. Analysis &amp; Design\Design\FC22\DRR Jaime\QUIFA-CAJÚA\Cajua\[CAJUA_CF_SEC_New_27-Feb-2024Rev3.xlsx]D-PDP'!$DC$43</v>
      </c>
      <c r="J2123" s="37" t="s">
        <v>2956</v>
      </c>
    </row>
    <row r="2124" spans="1:10" x14ac:dyDescent="0.25">
      <c r="A2124" s="32" t="s">
        <v>1</v>
      </c>
      <c r="B2124" s="32">
        <f t="shared" si="514"/>
        <v>2055</v>
      </c>
      <c r="C2124" s="33" t="s">
        <v>20</v>
      </c>
      <c r="D2124" s="34" t="s">
        <v>1999</v>
      </c>
      <c r="E2124" s="35" t="str">
        <f t="shared" si="510"/>
        <v>PDP'!</v>
      </c>
      <c r="F2124" s="34" t="str">
        <f t="shared" si="511"/>
        <v>C:\Users\jaime.benazar\Quorum Business Solutions\Ecopetrol Prometeo - Documents\Planning Space Implementation\3. Analysis &amp; Design\Design\FC22\DRR Jaime\QUIFA-CAJÚA\Cajua\[CAJUA_CF_SEC_New_27-Feb-2024Rev3.xlsx]D-PDP'!</v>
      </c>
      <c r="G2124" s="32" t="s">
        <v>115</v>
      </c>
      <c r="H2124" s="33">
        <f t="shared" si="512"/>
        <v>44</v>
      </c>
      <c r="I2124" s="33" t="str">
        <f t="shared" si="513"/>
        <v>='C:\Users\jaime.benazar\Quorum Business Solutions\Ecopetrol Prometeo - Documents\Planning Space Implementation\3. Analysis &amp; Design\Design\FC22\DRR Jaime\QUIFA-CAJÚA\Cajua\[CAJUA_CF_SEC_New_27-Feb-2024Rev3.xlsx]D-PDP'!$DC$44</v>
      </c>
      <c r="J2124" s="37" t="s">
        <v>2957</v>
      </c>
    </row>
    <row r="2125" spans="1:10" x14ac:dyDescent="0.25">
      <c r="A2125" s="32" t="s">
        <v>1</v>
      </c>
      <c r="B2125" s="32">
        <f t="shared" si="514"/>
        <v>2056</v>
      </c>
      <c r="C2125" s="33" t="s">
        <v>20</v>
      </c>
      <c r="D2125" s="34" t="s">
        <v>1999</v>
      </c>
      <c r="E2125" s="35" t="str">
        <f t="shared" si="510"/>
        <v>PDP'!</v>
      </c>
      <c r="F2125" s="34" t="str">
        <f t="shared" si="511"/>
        <v>C:\Users\jaime.benazar\Quorum Business Solutions\Ecopetrol Prometeo - Documents\Planning Space Implementation\3. Analysis &amp; Design\Design\FC22\DRR Jaime\QUIFA-CAJÚA\Cajua\[CAJUA_CF_SEC_New_27-Feb-2024Rev3.xlsx]D-PDP'!</v>
      </c>
      <c r="G2125" s="32" t="s">
        <v>115</v>
      </c>
      <c r="H2125" s="33">
        <f t="shared" si="512"/>
        <v>45</v>
      </c>
      <c r="I2125" s="33" t="str">
        <f t="shared" si="513"/>
        <v>='C:\Users\jaime.benazar\Quorum Business Solutions\Ecopetrol Prometeo - Documents\Planning Space Implementation\3. Analysis &amp; Design\Design\FC22\DRR Jaime\QUIFA-CAJÚA\Cajua\[CAJUA_CF_SEC_New_27-Feb-2024Rev3.xlsx]D-PDP'!$DC$45</v>
      </c>
      <c r="J2125" s="37" t="s">
        <v>2958</v>
      </c>
    </row>
    <row r="2126" spans="1:10" x14ac:dyDescent="0.25">
      <c r="A2126" s="32" t="s">
        <v>1</v>
      </c>
      <c r="B2126" s="32">
        <f t="shared" si="514"/>
        <v>2057</v>
      </c>
      <c r="C2126" s="33" t="s">
        <v>20</v>
      </c>
      <c r="D2126" s="34" t="s">
        <v>1999</v>
      </c>
      <c r="E2126" s="35" t="str">
        <f t="shared" si="510"/>
        <v>PDP'!</v>
      </c>
      <c r="F2126" s="34" t="str">
        <f t="shared" si="511"/>
        <v>C:\Users\jaime.benazar\Quorum Business Solutions\Ecopetrol Prometeo - Documents\Planning Space Implementation\3. Analysis &amp; Design\Design\FC22\DRR Jaime\QUIFA-CAJÚA\Cajua\[CAJUA_CF_SEC_New_27-Feb-2024Rev3.xlsx]D-PDP'!</v>
      </c>
      <c r="G2126" s="32" t="s">
        <v>115</v>
      </c>
      <c r="H2126" s="33">
        <f t="shared" si="512"/>
        <v>46</v>
      </c>
      <c r="I2126" s="33" t="str">
        <f t="shared" si="513"/>
        <v>='C:\Users\jaime.benazar\Quorum Business Solutions\Ecopetrol Prometeo - Documents\Planning Space Implementation\3. Analysis &amp; Design\Design\FC22\DRR Jaime\QUIFA-CAJÚA\Cajua\[CAJUA_CF_SEC_New_27-Feb-2024Rev3.xlsx]D-PDP'!$DC$46</v>
      </c>
      <c r="J2126" s="37" t="s">
        <v>2959</v>
      </c>
    </row>
    <row r="2127" spans="1:10" x14ac:dyDescent="0.25">
      <c r="A2127" s="32" t="s">
        <v>1</v>
      </c>
      <c r="B2127" s="32">
        <f t="shared" si="514"/>
        <v>2058</v>
      </c>
      <c r="C2127" s="33" t="s">
        <v>20</v>
      </c>
      <c r="D2127" s="34" t="s">
        <v>1999</v>
      </c>
      <c r="E2127" s="35" t="str">
        <f t="shared" si="510"/>
        <v>PDP'!</v>
      </c>
      <c r="F2127" s="34" t="str">
        <f t="shared" si="511"/>
        <v>C:\Users\jaime.benazar\Quorum Business Solutions\Ecopetrol Prometeo - Documents\Planning Space Implementation\3. Analysis &amp; Design\Design\FC22\DRR Jaime\QUIFA-CAJÚA\Cajua\[CAJUA_CF_SEC_New_27-Feb-2024Rev3.xlsx]D-PDP'!</v>
      </c>
      <c r="G2127" s="32" t="s">
        <v>115</v>
      </c>
      <c r="H2127" s="33">
        <f t="shared" si="512"/>
        <v>47</v>
      </c>
      <c r="I2127" s="33" t="str">
        <f t="shared" si="513"/>
        <v>='C:\Users\jaime.benazar\Quorum Business Solutions\Ecopetrol Prometeo - Documents\Planning Space Implementation\3. Analysis &amp; Design\Design\FC22\DRR Jaime\QUIFA-CAJÚA\Cajua\[CAJUA_CF_SEC_New_27-Feb-2024Rev3.xlsx]D-PDP'!$DC$47</v>
      </c>
      <c r="J2127" s="37" t="s">
        <v>2960</v>
      </c>
    </row>
    <row r="2128" spans="1:10" x14ac:dyDescent="0.25">
      <c r="A2128" s="32" t="s">
        <v>1</v>
      </c>
      <c r="B2128" s="32">
        <f t="shared" si="514"/>
        <v>2059</v>
      </c>
      <c r="C2128" s="33" t="s">
        <v>20</v>
      </c>
      <c r="D2128" s="34" t="s">
        <v>1999</v>
      </c>
      <c r="E2128" s="35" t="str">
        <f t="shared" si="510"/>
        <v>PDP'!</v>
      </c>
      <c r="F2128" s="34" t="str">
        <f t="shared" si="511"/>
        <v>C:\Users\jaime.benazar\Quorum Business Solutions\Ecopetrol Prometeo - Documents\Planning Space Implementation\3. Analysis &amp; Design\Design\FC22\DRR Jaime\QUIFA-CAJÚA\Cajua\[CAJUA_CF_SEC_New_27-Feb-2024Rev3.xlsx]D-PDP'!</v>
      </c>
      <c r="G2128" s="32" t="s">
        <v>115</v>
      </c>
      <c r="H2128" s="33">
        <f t="shared" si="512"/>
        <v>48</v>
      </c>
      <c r="I2128" s="33" t="str">
        <f t="shared" si="513"/>
        <v>='C:\Users\jaime.benazar\Quorum Business Solutions\Ecopetrol Prometeo - Documents\Planning Space Implementation\3. Analysis &amp; Design\Design\FC22\DRR Jaime\QUIFA-CAJÚA\Cajua\[CAJUA_CF_SEC_New_27-Feb-2024Rev3.xlsx]D-PDP'!$DC$48</v>
      </c>
      <c r="J2128" s="37" t="s">
        <v>2961</v>
      </c>
    </row>
    <row r="2129" spans="1:10" x14ac:dyDescent="0.25">
      <c r="A2129" s="32" t="s">
        <v>28</v>
      </c>
      <c r="B2129" s="32"/>
      <c r="C2129" s="33" t="s">
        <v>20</v>
      </c>
      <c r="D2129" s="34"/>
      <c r="E2129" s="35"/>
      <c r="F2129" s="34"/>
      <c r="G2129" s="32"/>
      <c r="H2129" s="33"/>
      <c r="I2129" s="33"/>
      <c r="J2129" s="33"/>
    </row>
    <row r="2130" spans="1:10" x14ac:dyDescent="0.25">
      <c r="A2130" s="32" t="s">
        <v>2</v>
      </c>
      <c r="B2130" s="32">
        <v>2023</v>
      </c>
      <c r="C2130" s="33" t="s">
        <v>20</v>
      </c>
      <c r="D2130" s="34" t="s">
        <v>1999</v>
      </c>
      <c r="E2130" s="35" t="str">
        <f t="shared" si="503"/>
        <v>PNP'!</v>
      </c>
      <c r="F2130" s="34" t="str">
        <f t="shared" si="504"/>
        <v>C:\Users\jaime.benazar\Quorum Business Solutions\Ecopetrol Prometeo - Documents\Planning Space Implementation\3. Analysis &amp; Design\Design\FC22\DRR Jaime\QUIFA-CAJÚA\Cajua\[CAJUA_CF_SEC_New_27-Feb-2024Rev3.xlsx]D-PNP'!</v>
      </c>
      <c r="G2130" s="32" t="s">
        <v>115</v>
      </c>
      <c r="H2130" s="33">
        <v>12</v>
      </c>
      <c r="I2130" s="33" t="str">
        <f t="shared" si="506"/>
        <v>='C:\Users\jaime.benazar\Quorum Business Solutions\Ecopetrol Prometeo - Documents\Planning Space Implementation\3. Analysis &amp; Design\Design\FC22\DRR Jaime\QUIFA-CAJÚA\Cajua\[CAJUA_CF_SEC_New_27-Feb-2024Rev3.xlsx]D-PNP'!$DC$12</v>
      </c>
      <c r="J2130" s="37" t="s">
        <v>2962</v>
      </c>
    </row>
    <row r="2131" spans="1:10" x14ac:dyDescent="0.25">
      <c r="A2131" s="32" t="s">
        <v>2</v>
      </c>
      <c r="B2131" s="32">
        <f>+B2130+1</f>
        <v>2024</v>
      </c>
      <c r="C2131" s="33" t="s">
        <v>20</v>
      </c>
      <c r="D2131" s="34" t="s">
        <v>1999</v>
      </c>
      <c r="E2131" s="35" t="str">
        <f t="shared" si="503"/>
        <v>PNP'!</v>
      </c>
      <c r="F2131" s="34" t="str">
        <f t="shared" si="504"/>
        <v>C:\Users\jaime.benazar\Quorum Business Solutions\Ecopetrol Prometeo - Documents\Planning Space Implementation\3. Analysis &amp; Design\Design\FC22\DRR Jaime\QUIFA-CAJÚA\Cajua\[CAJUA_CF_SEC_New_27-Feb-2024Rev3.xlsx]D-PNP'!</v>
      </c>
      <c r="G2131" s="32" t="s">
        <v>115</v>
      </c>
      <c r="H2131" s="33">
        <f t="shared" ref="H2131:H2150" si="515">IF(A2131&lt;&gt;A2130,12,H2130+1)</f>
        <v>13</v>
      </c>
      <c r="I2131" s="33" t="str">
        <f t="shared" si="506"/>
        <v>='C:\Users\jaime.benazar\Quorum Business Solutions\Ecopetrol Prometeo - Documents\Planning Space Implementation\3. Analysis &amp; Design\Design\FC22\DRR Jaime\QUIFA-CAJÚA\Cajua\[CAJUA_CF_SEC_New_27-Feb-2024Rev3.xlsx]D-PNP'!$DC$13</v>
      </c>
      <c r="J2131" s="37" t="s">
        <v>2963</v>
      </c>
    </row>
    <row r="2132" spans="1:10" x14ac:dyDescent="0.25">
      <c r="A2132" s="32" t="s">
        <v>2</v>
      </c>
      <c r="B2132" s="32">
        <f t="shared" ref="B2132:B2143" si="516">+B2131+1</f>
        <v>2025</v>
      </c>
      <c r="C2132" s="33" t="s">
        <v>20</v>
      </c>
      <c r="D2132" s="34" t="s">
        <v>1999</v>
      </c>
      <c r="E2132" s="35" t="str">
        <f t="shared" si="503"/>
        <v>PNP'!</v>
      </c>
      <c r="F2132" s="34" t="str">
        <f t="shared" si="504"/>
        <v>C:\Users\jaime.benazar\Quorum Business Solutions\Ecopetrol Prometeo - Documents\Planning Space Implementation\3. Analysis &amp; Design\Design\FC22\DRR Jaime\QUIFA-CAJÚA\Cajua\[CAJUA_CF_SEC_New_27-Feb-2024Rev3.xlsx]D-PNP'!</v>
      </c>
      <c r="G2132" s="32" t="s">
        <v>115</v>
      </c>
      <c r="H2132" s="33">
        <f t="shared" si="515"/>
        <v>14</v>
      </c>
      <c r="I2132" s="33" t="str">
        <f t="shared" si="506"/>
        <v>='C:\Users\jaime.benazar\Quorum Business Solutions\Ecopetrol Prometeo - Documents\Planning Space Implementation\3. Analysis &amp; Design\Design\FC22\DRR Jaime\QUIFA-CAJÚA\Cajua\[CAJUA_CF_SEC_New_27-Feb-2024Rev3.xlsx]D-PNP'!$DC$14</v>
      </c>
      <c r="J2132" s="37" t="s">
        <v>2964</v>
      </c>
    </row>
    <row r="2133" spans="1:10" x14ac:dyDescent="0.25">
      <c r="A2133" s="32" t="s">
        <v>2</v>
      </c>
      <c r="B2133" s="32">
        <f t="shared" si="516"/>
        <v>2026</v>
      </c>
      <c r="C2133" s="33" t="s">
        <v>20</v>
      </c>
      <c r="D2133" s="34" t="s">
        <v>1999</v>
      </c>
      <c r="E2133" s="35" t="str">
        <f t="shared" si="503"/>
        <v>PNP'!</v>
      </c>
      <c r="F2133" s="34" t="str">
        <f t="shared" si="504"/>
        <v>C:\Users\jaime.benazar\Quorum Business Solutions\Ecopetrol Prometeo - Documents\Planning Space Implementation\3. Analysis &amp; Design\Design\FC22\DRR Jaime\QUIFA-CAJÚA\Cajua\[CAJUA_CF_SEC_New_27-Feb-2024Rev3.xlsx]D-PNP'!</v>
      </c>
      <c r="G2133" s="32" t="s">
        <v>115</v>
      </c>
      <c r="H2133" s="33">
        <f t="shared" si="515"/>
        <v>15</v>
      </c>
      <c r="I2133" s="33" t="str">
        <f t="shared" si="506"/>
        <v>='C:\Users\jaime.benazar\Quorum Business Solutions\Ecopetrol Prometeo - Documents\Planning Space Implementation\3. Analysis &amp; Design\Design\FC22\DRR Jaime\QUIFA-CAJÚA\Cajua\[CAJUA_CF_SEC_New_27-Feb-2024Rev3.xlsx]D-PNP'!$DC$15</v>
      </c>
      <c r="J2133" s="37" t="s">
        <v>2965</v>
      </c>
    </row>
    <row r="2134" spans="1:10" x14ac:dyDescent="0.25">
      <c r="A2134" s="32" t="s">
        <v>2</v>
      </c>
      <c r="B2134" s="32">
        <f t="shared" si="516"/>
        <v>2027</v>
      </c>
      <c r="C2134" s="33" t="s">
        <v>20</v>
      </c>
      <c r="D2134" s="34" t="s">
        <v>1999</v>
      </c>
      <c r="E2134" s="35" t="str">
        <f t="shared" si="503"/>
        <v>PNP'!</v>
      </c>
      <c r="F2134" s="34" t="str">
        <f t="shared" si="504"/>
        <v>C:\Users\jaime.benazar\Quorum Business Solutions\Ecopetrol Prometeo - Documents\Planning Space Implementation\3. Analysis &amp; Design\Design\FC22\DRR Jaime\QUIFA-CAJÚA\Cajua\[CAJUA_CF_SEC_New_27-Feb-2024Rev3.xlsx]D-PNP'!</v>
      </c>
      <c r="G2134" s="32" t="s">
        <v>115</v>
      </c>
      <c r="H2134" s="33">
        <f t="shared" si="515"/>
        <v>16</v>
      </c>
      <c r="I2134" s="33" t="str">
        <f t="shared" si="506"/>
        <v>='C:\Users\jaime.benazar\Quorum Business Solutions\Ecopetrol Prometeo - Documents\Planning Space Implementation\3. Analysis &amp; Design\Design\FC22\DRR Jaime\QUIFA-CAJÚA\Cajua\[CAJUA_CF_SEC_New_27-Feb-2024Rev3.xlsx]D-PNP'!$DC$16</v>
      </c>
      <c r="J2134" s="37" t="s">
        <v>2966</v>
      </c>
    </row>
    <row r="2135" spans="1:10" x14ac:dyDescent="0.25">
      <c r="A2135" s="32" t="s">
        <v>2</v>
      </c>
      <c r="B2135" s="32">
        <f t="shared" si="516"/>
        <v>2028</v>
      </c>
      <c r="C2135" s="33" t="s">
        <v>20</v>
      </c>
      <c r="D2135" s="34" t="s">
        <v>1999</v>
      </c>
      <c r="E2135" s="35" t="str">
        <f t="shared" si="503"/>
        <v>PNP'!</v>
      </c>
      <c r="F2135" s="34" t="str">
        <f t="shared" si="504"/>
        <v>C:\Users\jaime.benazar\Quorum Business Solutions\Ecopetrol Prometeo - Documents\Planning Space Implementation\3. Analysis &amp; Design\Design\FC22\DRR Jaime\QUIFA-CAJÚA\Cajua\[CAJUA_CF_SEC_New_27-Feb-2024Rev3.xlsx]D-PNP'!</v>
      </c>
      <c r="G2135" s="32" t="s">
        <v>115</v>
      </c>
      <c r="H2135" s="33">
        <f t="shared" si="515"/>
        <v>17</v>
      </c>
      <c r="I2135" s="33" t="str">
        <f t="shared" si="506"/>
        <v>='C:\Users\jaime.benazar\Quorum Business Solutions\Ecopetrol Prometeo - Documents\Planning Space Implementation\3. Analysis &amp; Design\Design\FC22\DRR Jaime\QUIFA-CAJÚA\Cajua\[CAJUA_CF_SEC_New_27-Feb-2024Rev3.xlsx]D-PNP'!$DC$17</v>
      </c>
      <c r="J2135" s="37" t="s">
        <v>2967</v>
      </c>
    </row>
    <row r="2136" spans="1:10" x14ac:dyDescent="0.25">
      <c r="A2136" s="32" t="s">
        <v>2</v>
      </c>
      <c r="B2136" s="32">
        <f t="shared" si="516"/>
        <v>2029</v>
      </c>
      <c r="C2136" s="33" t="s">
        <v>20</v>
      </c>
      <c r="D2136" s="34" t="s">
        <v>1999</v>
      </c>
      <c r="E2136" s="35" t="str">
        <f t="shared" si="503"/>
        <v>PNP'!</v>
      </c>
      <c r="F2136" s="34" t="str">
        <f t="shared" si="504"/>
        <v>C:\Users\jaime.benazar\Quorum Business Solutions\Ecopetrol Prometeo - Documents\Planning Space Implementation\3. Analysis &amp; Design\Design\FC22\DRR Jaime\QUIFA-CAJÚA\Cajua\[CAJUA_CF_SEC_New_27-Feb-2024Rev3.xlsx]D-PNP'!</v>
      </c>
      <c r="G2136" s="32" t="s">
        <v>115</v>
      </c>
      <c r="H2136" s="33">
        <f t="shared" si="515"/>
        <v>18</v>
      </c>
      <c r="I2136" s="33" t="str">
        <f t="shared" si="506"/>
        <v>='C:\Users\jaime.benazar\Quorum Business Solutions\Ecopetrol Prometeo - Documents\Planning Space Implementation\3. Analysis &amp; Design\Design\FC22\DRR Jaime\QUIFA-CAJÚA\Cajua\[CAJUA_CF_SEC_New_27-Feb-2024Rev3.xlsx]D-PNP'!$DC$18</v>
      </c>
      <c r="J2136" s="37" t="s">
        <v>2968</v>
      </c>
    </row>
    <row r="2137" spans="1:10" x14ac:dyDescent="0.25">
      <c r="A2137" s="32" t="s">
        <v>2</v>
      </c>
      <c r="B2137" s="32">
        <f t="shared" si="516"/>
        <v>2030</v>
      </c>
      <c r="C2137" s="33" t="s">
        <v>20</v>
      </c>
      <c r="D2137" s="34" t="s">
        <v>1999</v>
      </c>
      <c r="E2137" s="35" t="str">
        <f t="shared" si="503"/>
        <v>PNP'!</v>
      </c>
      <c r="F2137" s="34" t="str">
        <f t="shared" si="504"/>
        <v>C:\Users\jaime.benazar\Quorum Business Solutions\Ecopetrol Prometeo - Documents\Planning Space Implementation\3. Analysis &amp; Design\Design\FC22\DRR Jaime\QUIFA-CAJÚA\Cajua\[CAJUA_CF_SEC_New_27-Feb-2024Rev3.xlsx]D-PNP'!</v>
      </c>
      <c r="G2137" s="32" t="s">
        <v>115</v>
      </c>
      <c r="H2137" s="33">
        <f t="shared" si="515"/>
        <v>19</v>
      </c>
      <c r="I2137" s="33" t="str">
        <f t="shared" si="506"/>
        <v>='C:\Users\jaime.benazar\Quorum Business Solutions\Ecopetrol Prometeo - Documents\Planning Space Implementation\3. Analysis &amp; Design\Design\FC22\DRR Jaime\QUIFA-CAJÚA\Cajua\[CAJUA_CF_SEC_New_27-Feb-2024Rev3.xlsx]D-PNP'!$DC$19</v>
      </c>
      <c r="J2137" s="37" t="s">
        <v>2969</v>
      </c>
    </row>
    <row r="2138" spans="1:10" x14ac:dyDescent="0.25">
      <c r="A2138" s="32" t="s">
        <v>2</v>
      </c>
      <c r="B2138" s="32">
        <f t="shared" si="516"/>
        <v>2031</v>
      </c>
      <c r="C2138" s="33" t="s">
        <v>20</v>
      </c>
      <c r="D2138" s="34" t="s">
        <v>1999</v>
      </c>
      <c r="E2138" s="35" t="str">
        <f t="shared" si="503"/>
        <v>PNP'!</v>
      </c>
      <c r="F2138" s="34" t="str">
        <f t="shared" si="504"/>
        <v>C:\Users\jaime.benazar\Quorum Business Solutions\Ecopetrol Prometeo - Documents\Planning Space Implementation\3. Analysis &amp; Design\Design\FC22\DRR Jaime\QUIFA-CAJÚA\Cajua\[CAJUA_CF_SEC_New_27-Feb-2024Rev3.xlsx]D-PNP'!</v>
      </c>
      <c r="G2138" s="32" t="s">
        <v>115</v>
      </c>
      <c r="H2138" s="33">
        <f t="shared" si="515"/>
        <v>20</v>
      </c>
      <c r="I2138" s="33" t="str">
        <f t="shared" si="506"/>
        <v>='C:\Users\jaime.benazar\Quorum Business Solutions\Ecopetrol Prometeo - Documents\Planning Space Implementation\3. Analysis &amp; Design\Design\FC22\DRR Jaime\QUIFA-CAJÚA\Cajua\[CAJUA_CF_SEC_New_27-Feb-2024Rev3.xlsx]D-PNP'!$DC$20</v>
      </c>
      <c r="J2138" s="37" t="s">
        <v>2970</v>
      </c>
    </row>
    <row r="2139" spans="1:10" x14ac:dyDescent="0.25">
      <c r="A2139" s="32" t="s">
        <v>2</v>
      </c>
      <c r="B2139" s="32">
        <f t="shared" si="516"/>
        <v>2032</v>
      </c>
      <c r="C2139" s="33" t="s">
        <v>20</v>
      </c>
      <c r="D2139" s="34" t="s">
        <v>1999</v>
      </c>
      <c r="E2139" s="35" t="str">
        <f t="shared" si="503"/>
        <v>PNP'!</v>
      </c>
      <c r="F2139" s="34" t="str">
        <f t="shared" si="504"/>
        <v>C:\Users\jaime.benazar\Quorum Business Solutions\Ecopetrol Prometeo - Documents\Planning Space Implementation\3. Analysis &amp; Design\Design\FC22\DRR Jaime\QUIFA-CAJÚA\Cajua\[CAJUA_CF_SEC_New_27-Feb-2024Rev3.xlsx]D-PNP'!</v>
      </c>
      <c r="G2139" s="32" t="s">
        <v>115</v>
      </c>
      <c r="H2139" s="33">
        <f t="shared" si="515"/>
        <v>21</v>
      </c>
      <c r="I2139" s="33" t="str">
        <f t="shared" si="506"/>
        <v>='C:\Users\jaime.benazar\Quorum Business Solutions\Ecopetrol Prometeo - Documents\Planning Space Implementation\3. Analysis &amp; Design\Design\FC22\DRR Jaime\QUIFA-CAJÚA\Cajua\[CAJUA_CF_SEC_New_27-Feb-2024Rev3.xlsx]D-PNP'!$DC$21</v>
      </c>
      <c r="J2139" s="37" t="s">
        <v>2971</v>
      </c>
    </row>
    <row r="2140" spans="1:10" x14ac:dyDescent="0.25">
      <c r="A2140" s="32" t="s">
        <v>2</v>
      </c>
      <c r="B2140" s="32">
        <f t="shared" si="516"/>
        <v>2033</v>
      </c>
      <c r="C2140" s="33" t="s">
        <v>20</v>
      </c>
      <c r="D2140" s="34" t="s">
        <v>1999</v>
      </c>
      <c r="E2140" s="35" t="str">
        <f t="shared" si="503"/>
        <v>PNP'!</v>
      </c>
      <c r="F2140" s="34" t="str">
        <f t="shared" si="504"/>
        <v>C:\Users\jaime.benazar\Quorum Business Solutions\Ecopetrol Prometeo - Documents\Planning Space Implementation\3. Analysis &amp; Design\Design\FC22\DRR Jaime\QUIFA-CAJÚA\Cajua\[CAJUA_CF_SEC_New_27-Feb-2024Rev3.xlsx]D-PNP'!</v>
      </c>
      <c r="G2140" s="32" t="s">
        <v>115</v>
      </c>
      <c r="H2140" s="33">
        <f t="shared" si="515"/>
        <v>22</v>
      </c>
      <c r="I2140" s="33" t="str">
        <f t="shared" si="506"/>
        <v>='C:\Users\jaime.benazar\Quorum Business Solutions\Ecopetrol Prometeo - Documents\Planning Space Implementation\3. Analysis &amp; Design\Design\FC22\DRR Jaime\QUIFA-CAJÚA\Cajua\[CAJUA_CF_SEC_New_27-Feb-2024Rev3.xlsx]D-PNP'!$DC$22</v>
      </c>
      <c r="J2140" s="37" t="s">
        <v>2972</v>
      </c>
    </row>
    <row r="2141" spans="1:10" x14ac:dyDescent="0.25">
      <c r="A2141" s="32" t="s">
        <v>2</v>
      </c>
      <c r="B2141" s="32">
        <f t="shared" si="516"/>
        <v>2034</v>
      </c>
      <c r="C2141" s="33" t="s">
        <v>20</v>
      </c>
      <c r="D2141" s="34" t="s">
        <v>1999</v>
      </c>
      <c r="E2141" s="35" t="str">
        <f t="shared" si="503"/>
        <v>PNP'!</v>
      </c>
      <c r="F2141" s="34" t="str">
        <f t="shared" si="504"/>
        <v>C:\Users\jaime.benazar\Quorum Business Solutions\Ecopetrol Prometeo - Documents\Planning Space Implementation\3. Analysis &amp; Design\Design\FC22\DRR Jaime\QUIFA-CAJÚA\Cajua\[CAJUA_CF_SEC_New_27-Feb-2024Rev3.xlsx]D-PNP'!</v>
      </c>
      <c r="G2141" s="32" t="s">
        <v>115</v>
      </c>
      <c r="H2141" s="33">
        <f t="shared" si="515"/>
        <v>23</v>
      </c>
      <c r="I2141" s="33" t="str">
        <f t="shared" si="506"/>
        <v>='C:\Users\jaime.benazar\Quorum Business Solutions\Ecopetrol Prometeo - Documents\Planning Space Implementation\3. Analysis &amp; Design\Design\FC22\DRR Jaime\QUIFA-CAJÚA\Cajua\[CAJUA_CF_SEC_New_27-Feb-2024Rev3.xlsx]D-PNP'!$DC$23</v>
      </c>
      <c r="J2141" s="37" t="s">
        <v>2973</v>
      </c>
    </row>
    <row r="2142" spans="1:10" x14ac:dyDescent="0.25">
      <c r="A2142" s="32" t="s">
        <v>2</v>
      </c>
      <c r="B2142" s="32">
        <f t="shared" si="516"/>
        <v>2035</v>
      </c>
      <c r="C2142" s="33" t="s">
        <v>20</v>
      </c>
      <c r="D2142" s="34" t="s">
        <v>1999</v>
      </c>
      <c r="E2142" s="35" t="str">
        <f t="shared" si="503"/>
        <v>PNP'!</v>
      </c>
      <c r="F2142" s="34" t="str">
        <f t="shared" si="504"/>
        <v>C:\Users\jaime.benazar\Quorum Business Solutions\Ecopetrol Prometeo - Documents\Planning Space Implementation\3. Analysis &amp; Design\Design\FC22\DRR Jaime\QUIFA-CAJÚA\Cajua\[CAJUA_CF_SEC_New_27-Feb-2024Rev3.xlsx]D-PNP'!</v>
      </c>
      <c r="G2142" s="32" t="s">
        <v>115</v>
      </c>
      <c r="H2142" s="33">
        <f t="shared" si="515"/>
        <v>24</v>
      </c>
      <c r="I2142" s="33" t="str">
        <f t="shared" si="506"/>
        <v>='C:\Users\jaime.benazar\Quorum Business Solutions\Ecopetrol Prometeo - Documents\Planning Space Implementation\3. Analysis &amp; Design\Design\FC22\DRR Jaime\QUIFA-CAJÚA\Cajua\[CAJUA_CF_SEC_New_27-Feb-2024Rev3.xlsx]D-PNP'!$DC$24</v>
      </c>
      <c r="J2142" s="37" t="s">
        <v>2974</v>
      </c>
    </row>
    <row r="2143" spans="1:10" x14ac:dyDescent="0.25">
      <c r="A2143" s="32" t="s">
        <v>2</v>
      </c>
      <c r="B2143" s="32">
        <f t="shared" si="516"/>
        <v>2036</v>
      </c>
      <c r="C2143" s="33" t="s">
        <v>20</v>
      </c>
      <c r="D2143" s="34" t="s">
        <v>1999</v>
      </c>
      <c r="E2143" s="35" t="str">
        <f t="shared" si="503"/>
        <v>PNP'!</v>
      </c>
      <c r="F2143" s="34" t="str">
        <f t="shared" si="504"/>
        <v>C:\Users\jaime.benazar\Quorum Business Solutions\Ecopetrol Prometeo - Documents\Planning Space Implementation\3. Analysis &amp; Design\Design\FC22\DRR Jaime\QUIFA-CAJÚA\Cajua\[CAJUA_CF_SEC_New_27-Feb-2024Rev3.xlsx]D-PNP'!</v>
      </c>
      <c r="G2143" s="32" t="s">
        <v>115</v>
      </c>
      <c r="H2143" s="33">
        <f t="shared" si="515"/>
        <v>25</v>
      </c>
      <c r="I2143" s="33" t="str">
        <f t="shared" si="506"/>
        <v>='C:\Users\jaime.benazar\Quorum Business Solutions\Ecopetrol Prometeo - Documents\Planning Space Implementation\3. Analysis &amp; Design\Design\FC22\DRR Jaime\QUIFA-CAJÚA\Cajua\[CAJUA_CF_SEC_New_27-Feb-2024Rev3.xlsx]D-PNP'!$DC$25</v>
      </c>
      <c r="J2143" s="37" t="s">
        <v>2975</v>
      </c>
    </row>
    <row r="2144" spans="1:10" x14ac:dyDescent="0.25">
      <c r="A2144" s="32" t="s">
        <v>2</v>
      </c>
      <c r="B2144" s="32">
        <f>+B2143+1</f>
        <v>2037</v>
      </c>
      <c r="C2144" s="33" t="s">
        <v>20</v>
      </c>
      <c r="D2144" s="34" t="s">
        <v>1999</v>
      </c>
      <c r="E2144" s="35" t="str">
        <f t="shared" si="503"/>
        <v>PNP'!</v>
      </c>
      <c r="F2144" s="34" t="str">
        <f t="shared" si="504"/>
        <v>C:\Users\jaime.benazar\Quorum Business Solutions\Ecopetrol Prometeo - Documents\Planning Space Implementation\3. Analysis &amp; Design\Design\FC22\DRR Jaime\QUIFA-CAJÚA\Cajua\[CAJUA_CF_SEC_New_27-Feb-2024Rev3.xlsx]D-PNP'!</v>
      </c>
      <c r="G2144" s="32" t="s">
        <v>115</v>
      </c>
      <c r="H2144" s="33">
        <f t="shared" si="515"/>
        <v>26</v>
      </c>
      <c r="I2144" s="33" t="str">
        <f t="shared" si="506"/>
        <v>='C:\Users\jaime.benazar\Quorum Business Solutions\Ecopetrol Prometeo - Documents\Planning Space Implementation\3. Analysis &amp; Design\Design\FC22\DRR Jaime\QUIFA-CAJÚA\Cajua\[CAJUA_CF_SEC_New_27-Feb-2024Rev3.xlsx]D-PNP'!$DC$26</v>
      </c>
      <c r="J2144" s="37" t="s">
        <v>2976</v>
      </c>
    </row>
    <row r="2145" spans="1:10" x14ac:dyDescent="0.25">
      <c r="A2145" s="32" t="s">
        <v>2</v>
      </c>
      <c r="B2145" s="32">
        <f t="shared" ref="B2145:B2147" si="517">+B2144+1</f>
        <v>2038</v>
      </c>
      <c r="C2145" s="33" t="s">
        <v>20</v>
      </c>
      <c r="D2145" s="34" t="s">
        <v>1999</v>
      </c>
      <c r="E2145" s="35" t="str">
        <f t="shared" si="503"/>
        <v>PNP'!</v>
      </c>
      <c r="F2145" s="34" t="str">
        <f t="shared" si="504"/>
        <v>C:\Users\jaime.benazar\Quorum Business Solutions\Ecopetrol Prometeo - Documents\Planning Space Implementation\3. Analysis &amp; Design\Design\FC22\DRR Jaime\QUIFA-CAJÚA\Cajua\[CAJUA_CF_SEC_New_27-Feb-2024Rev3.xlsx]D-PNP'!</v>
      </c>
      <c r="G2145" s="32" t="s">
        <v>115</v>
      </c>
      <c r="H2145" s="33">
        <f t="shared" si="515"/>
        <v>27</v>
      </c>
      <c r="I2145" s="33" t="str">
        <f t="shared" si="506"/>
        <v>='C:\Users\jaime.benazar\Quorum Business Solutions\Ecopetrol Prometeo - Documents\Planning Space Implementation\3. Analysis &amp; Design\Design\FC22\DRR Jaime\QUIFA-CAJÚA\Cajua\[CAJUA_CF_SEC_New_27-Feb-2024Rev3.xlsx]D-PNP'!$DC$27</v>
      </c>
      <c r="J2145" s="37" t="s">
        <v>2977</v>
      </c>
    </row>
    <row r="2146" spans="1:10" x14ac:dyDescent="0.25">
      <c r="A2146" s="32" t="s">
        <v>2</v>
      </c>
      <c r="B2146" s="32">
        <f t="shared" si="517"/>
        <v>2039</v>
      </c>
      <c r="C2146" s="33" t="s">
        <v>20</v>
      </c>
      <c r="D2146" s="34" t="s">
        <v>1999</v>
      </c>
      <c r="E2146" s="35" t="str">
        <f t="shared" si="503"/>
        <v>PNP'!</v>
      </c>
      <c r="F2146" s="34" t="str">
        <f t="shared" si="504"/>
        <v>C:\Users\jaime.benazar\Quorum Business Solutions\Ecopetrol Prometeo - Documents\Planning Space Implementation\3. Analysis &amp; Design\Design\FC22\DRR Jaime\QUIFA-CAJÚA\Cajua\[CAJUA_CF_SEC_New_27-Feb-2024Rev3.xlsx]D-PNP'!</v>
      </c>
      <c r="G2146" s="32" t="s">
        <v>115</v>
      </c>
      <c r="H2146" s="33">
        <f t="shared" si="515"/>
        <v>28</v>
      </c>
      <c r="I2146" s="33" t="str">
        <f t="shared" si="506"/>
        <v>='C:\Users\jaime.benazar\Quorum Business Solutions\Ecopetrol Prometeo - Documents\Planning Space Implementation\3. Analysis &amp; Design\Design\FC22\DRR Jaime\QUIFA-CAJÚA\Cajua\[CAJUA_CF_SEC_New_27-Feb-2024Rev3.xlsx]D-PNP'!$DC$28</v>
      </c>
      <c r="J2146" s="37" t="s">
        <v>2978</v>
      </c>
    </row>
    <row r="2147" spans="1:10" x14ac:dyDescent="0.25">
      <c r="A2147" s="32" t="s">
        <v>2</v>
      </c>
      <c r="B2147" s="32">
        <f t="shared" si="517"/>
        <v>2040</v>
      </c>
      <c r="C2147" s="33" t="s">
        <v>20</v>
      </c>
      <c r="D2147" s="34" t="s">
        <v>1999</v>
      </c>
      <c r="E2147" s="35" t="str">
        <f t="shared" si="503"/>
        <v>PNP'!</v>
      </c>
      <c r="F2147" s="34" t="str">
        <f t="shared" si="504"/>
        <v>C:\Users\jaime.benazar\Quorum Business Solutions\Ecopetrol Prometeo - Documents\Planning Space Implementation\3. Analysis &amp; Design\Design\FC22\DRR Jaime\QUIFA-CAJÚA\Cajua\[CAJUA_CF_SEC_New_27-Feb-2024Rev3.xlsx]D-PNP'!</v>
      </c>
      <c r="G2147" s="32" t="s">
        <v>115</v>
      </c>
      <c r="H2147" s="33">
        <f t="shared" si="515"/>
        <v>29</v>
      </c>
      <c r="I2147" s="33" t="str">
        <f t="shared" si="506"/>
        <v>='C:\Users\jaime.benazar\Quorum Business Solutions\Ecopetrol Prometeo - Documents\Planning Space Implementation\3. Analysis &amp; Design\Design\FC22\DRR Jaime\QUIFA-CAJÚA\Cajua\[CAJUA_CF_SEC_New_27-Feb-2024Rev3.xlsx]D-PNP'!$DC$29</v>
      </c>
      <c r="J2147" s="37" t="s">
        <v>2979</v>
      </c>
    </row>
    <row r="2148" spans="1:10" x14ac:dyDescent="0.25">
      <c r="A2148" s="32" t="s">
        <v>2</v>
      </c>
      <c r="B2148" s="32">
        <f>+B2147+1</f>
        <v>2041</v>
      </c>
      <c r="C2148" s="33" t="s">
        <v>20</v>
      </c>
      <c r="D2148" s="34" t="s">
        <v>1999</v>
      </c>
      <c r="E2148" s="35" t="str">
        <f t="shared" si="503"/>
        <v>PNP'!</v>
      </c>
      <c r="F2148" s="34" t="str">
        <f t="shared" si="504"/>
        <v>C:\Users\jaime.benazar\Quorum Business Solutions\Ecopetrol Prometeo - Documents\Planning Space Implementation\3. Analysis &amp; Design\Design\FC22\DRR Jaime\QUIFA-CAJÚA\Cajua\[CAJUA_CF_SEC_New_27-Feb-2024Rev3.xlsx]D-PNP'!</v>
      </c>
      <c r="G2148" s="32" t="s">
        <v>115</v>
      </c>
      <c r="H2148" s="33">
        <f t="shared" si="515"/>
        <v>30</v>
      </c>
      <c r="I2148" s="33" t="str">
        <f t="shared" si="506"/>
        <v>='C:\Users\jaime.benazar\Quorum Business Solutions\Ecopetrol Prometeo - Documents\Planning Space Implementation\3. Analysis &amp; Design\Design\FC22\DRR Jaime\QUIFA-CAJÚA\Cajua\[CAJUA_CF_SEC_New_27-Feb-2024Rev3.xlsx]D-PNP'!$DC$30</v>
      </c>
      <c r="J2148" s="37" t="s">
        <v>2980</v>
      </c>
    </row>
    <row r="2149" spans="1:10" x14ac:dyDescent="0.25">
      <c r="A2149" s="32" t="s">
        <v>2</v>
      </c>
      <c r="B2149" s="32">
        <f t="shared" ref="B2149:B2150" si="518">+B2148+1</f>
        <v>2042</v>
      </c>
      <c r="C2149" s="33" t="s">
        <v>20</v>
      </c>
      <c r="D2149" s="34" t="s">
        <v>1999</v>
      </c>
      <c r="E2149" s="35" t="str">
        <f t="shared" si="503"/>
        <v>PNP'!</v>
      </c>
      <c r="F2149" s="34" t="str">
        <f t="shared" si="504"/>
        <v>C:\Users\jaime.benazar\Quorum Business Solutions\Ecopetrol Prometeo - Documents\Planning Space Implementation\3. Analysis &amp; Design\Design\FC22\DRR Jaime\QUIFA-CAJÚA\Cajua\[CAJUA_CF_SEC_New_27-Feb-2024Rev3.xlsx]D-PNP'!</v>
      </c>
      <c r="G2149" s="32" t="s">
        <v>115</v>
      </c>
      <c r="H2149" s="33">
        <f t="shared" si="515"/>
        <v>31</v>
      </c>
      <c r="I2149" s="33" t="str">
        <f t="shared" si="506"/>
        <v>='C:\Users\jaime.benazar\Quorum Business Solutions\Ecopetrol Prometeo - Documents\Planning Space Implementation\3. Analysis &amp; Design\Design\FC22\DRR Jaime\QUIFA-CAJÚA\Cajua\[CAJUA_CF_SEC_New_27-Feb-2024Rev3.xlsx]D-PNP'!$DC$31</v>
      </c>
      <c r="J2149" s="37" t="s">
        <v>2981</v>
      </c>
    </row>
    <row r="2150" spans="1:10" x14ac:dyDescent="0.25">
      <c r="A2150" s="32" t="s">
        <v>2</v>
      </c>
      <c r="B2150" s="32">
        <f t="shared" si="518"/>
        <v>2043</v>
      </c>
      <c r="C2150" s="33" t="s">
        <v>20</v>
      </c>
      <c r="D2150" s="34" t="s">
        <v>1999</v>
      </c>
      <c r="E2150" s="35" t="str">
        <f t="shared" si="503"/>
        <v>PNP'!</v>
      </c>
      <c r="F2150" s="34" t="str">
        <f t="shared" si="504"/>
        <v>C:\Users\jaime.benazar\Quorum Business Solutions\Ecopetrol Prometeo - Documents\Planning Space Implementation\3. Analysis &amp; Design\Design\FC22\DRR Jaime\QUIFA-CAJÚA\Cajua\[CAJUA_CF_SEC_New_27-Feb-2024Rev3.xlsx]D-PNP'!</v>
      </c>
      <c r="G2150" s="32" t="s">
        <v>115</v>
      </c>
      <c r="H2150" s="33">
        <f t="shared" si="515"/>
        <v>32</v>
      </c>
      <c r="I2150" s="33" t="str">
        <f t="shared" si="506"/>
        <v>='C:\Users\jaime.benazar\Quorum Business Solutions\Ecopetrol Prometeo - Documents\Planning Space Implementation\3. Analysis &amp; Design\Design\FC22\DRR Jaime\QUIFA-CAJÚA\Cajua\[CAJUA_CF_SEC_New_27-Feb-2024Rev3.xlsx]D-PNP'!$DC$32</v>
      </c>
      <c r="J2150" s="37" t="s">
        <v>2982</v>
      </c>
    </row>
    <row r="2151" spans="1:10" x14ac:dyDescent="0.25">
      <c r="A2151" s="32" t="s">
        <v>2</v>
      </c>
      <c r="B2151" s="32">
        <f>+B2150+1</f>
        <v>2044</v>
      </c>
      <c r="C2151" s="33" t="s">
        <v>20</v>
      </c>
      <c r="D2151" s="34" t="s">
        <v>1999</v>
      </c>
      <c r="E2151" s="35" t="str">
        <f t="shared" ref="E2151:E2166" si="519">_xlfn.CONCAT(A2151,"'!")</f>
        <v>PNP'!</v>
      </c>
      <c r="F2151" s="34" t="str">
        <f t="shared" ref="F2151:F2166" si="520">_xlfn.CONCAT(D2151:E2151)</f>
        <v>C:\Users\jaime.benazar\Quorum Business Solutions\Ecopetrol Prometeo - Documents\Planning Space Implementation\3. Analysis &amp; Design\Design\FC22\DRR Jaime\QUIFA-CAJÚA\Cajua\[CAJUA_CF_SEC_New_27-Feb-2024Rev3.xlsx]D-PNP'!</v>
      </c>
      <c r="G2151" s="32" t="s">
        <v>115</v>
      </c>
      <c r="H2151" s="33">
        <f t="shared" ref="H2151:H2166" si="521">IF(A2151&lt;&gt;A2150,12,H2150+1)</f>
        <v>33</v>
      </c>
      <c r="I2151" s="33" t="str">
        <f t="shared" ref="I2151:I2166" si="522">_xlfn.CONCAT("='",F2151:H2151)</f>
        <v>='C:\Users\jaime.benazar\Quorum Business Solutions\Ecopetrol Prometeo - Documents\Planning Space Implementation\3. Analysis &amp; Design\Design\FC22\DRR Jaime\QUIFA-CAJÚA\Cajua\[CAJUA_CF_SEC_New_27-Feb-2024Rev3.xlsx]D-PNP'!$DC$33</v>
      </c>
      <c r="J2151" s="37" t="s">
        <v>2983</v>
      </c>
    </row>
    <row r="2152" spans="1:10" x14ac:dyDescent="0.25">
      <c r="A2152" s="32" t="s">
        <v>2</v>
      </c>
      <c r="B2152" s="32">
        <f t="shared" ref="B2152:B2166" si="523">+B2151+1</f>
        <v>2045</v>
      </c>
      <c r="C2152" s="33" t="s">
        <v>20</v>
      </c>
      <c r="D2152" s="34" t="s">
        <v>1999</v>
      </c>
      <c r="E2152" s="35" t="str">
        <f t="shared" si="519"/>
        <v>PNP'!</v>
      </c>
      <c r="F2152" s="34" t="str">
        <f t="shared" si="520"/>
        <v>C:\Users\jaime.benazar\Quorum Business Solutions\Ecopetrol Prometeo - Documents\Planning Space Implementation\3. Analysis &amp; Design\Design\FC22\DRR Jaime\QUIFA-CAJÚA\Cajua\[CAJUA_CF_SEC_New_27-Feb-2024Rev3.xlsx]D-PNP'!</v>
      </c>
      <c r="G2152" s="32" t="s">
        <v>115</v>
      </c>
      <c r="H2152" s="33">
        <f t="shared" si="521"/>
        <v>34</v>
      </c>
      <c r="I2152" s="33" t="str">
        <f t="shared" si="522"/>
        <v>='C:\Users\jaime.benazar\Quorum Business Solutions\Ecopetrol Prometeo - Documents\Planning Space Implementation\3. Analysis &amp; Design\Design\FC22\DRR Jaime\QUIFA-CAJÚA\Cajua\[CAJUA_CF_SEC_New_27-Feb-2024Rev3.xlsx]D-PNP'!$DC$34</v>
      </c>
      <c r="J2152" s="37" t="s">
        <v>2984</v>
      </c>
    </row>
    <row r="2153" spans="1:10" x14ac:dyDescent="0.25">
      <c r="A2153" s="32" t="s">
        <v>2</v>
      </c>
      <c r="B2153" s="32">
        <f t="shared" si="523"/>
        <v>2046</v>
      </c>
      <c r="C2153" s="33" t="s">
        <v>20</v>
      </c>
      <c r="D2153" s="34" t="s">
        <v>1999</v>
      </c>
      <c r="E2153" s="35" t="str">
        <f t="shared" si="519"/>
        <v>PNP'!</v>
      </c>
      <c r="F2153" s="34" t="str">
        <f t="shared" si="520"/>
        <v>C:\Users\jaime.benazar\Quorum Business Solutions\Ecopetrol Prometeo - Documents\Planning Space Implementation\3. Analysis &amp; Design\Design\FC22\DRR Jaime\QUIFA-CAJÚA\Cajua\[CAJUA_CF_SEC_New_27-Feb-2024Rev3.xlsx]D-PNP'!</v>
      </c>
      <c r="G2153" s="32" t="s">
        <v>115</v>
      </c>
      <c r="H2153" s="33">
        <f t="shared" si="521"/>
        <v>35</v>
      </c>
      <c r="I2153" s="33" t="str">
        <f t="shared" si="522"/>
        <v>='C:\Users\jaime.benazar\Quorum Business Solutions\Ecopetrol Prometeo - Documents\Planning Space Implementation\3. Analysis &amp; Design\Design\FC22\DRR Jaime\QUIFA-CAJÚA\Cajua\[CAJUA_CF_SEC_New_27-Feb-2024Rev3.xlsx]D-PNP'!$DC$35</v>
      </c>
      <c r="J2153" s="37" t="s">
        <v>2985</v>
      </c>
    </row>
    <row r="2154" spans="1:10" x14ac:dyDescent="0.25">
      <c r="A2154" s="32" t="s">
        <v>2</v>
      </c>
      <c r="B2154" s="32">
        <f t="shared" si="523"/>
        <v>2047</v>
      </c>
      <c r="C2154" s="33" t="s">
        <v>20</v>
      </c>
      <c r="D2154" s="34" t="s">
        <v>1999</v>
      </c>
      <c r="E2154" s="35" t="str">
        <f t="shared" si="519"/>
        <v>PNP'!</v>
      </c>
      <c r="F2154" s="34" t="str">
        <f t="shared" si="520"/>
        <v>C:\Users\jaime.benazar\Quorum Business Solutions\Ecopetrol Prometeo - Documents\Planning Space Implementation\3. Analysis &amp; Design\Design\FC22\DRR Jaime\QUIFA-CAJÚA\Cajua\[CAJUA_CF_SEC_New_27-Feb-2024Rev3.xlsx]D-PNP'!</v>
      </c>
      <c r="G2154" s="32" t="s">
        <v>115</v>
      </c>
      <c r="H2154" s="33">
        <f t="shared" si="521"/>
        <v>36</v>
      </c>
      <c r="I2154" s="33" t="str">
        <f t="shared" si="522"/>
        <v>='C:\Users\jaime.benazar\Quorum Business Solutions\Ecopetrol Prometeo - Documents\Planning Space Implementation\3. Analysis &amp; Design\Design\FC22\DRR Jaime\QUIFA-CAJÚA\Cajua\[CAJUA_CF_SEC_New_27-Feb-2024Rev3.xlsx]D-PNP'!$DC$36</v>
      </c>
      <c r="J2154" s="37" t="s">
        <v>2986</v>
      </c>
    </row>
    <row r="2155" spans="1:10" x14ac:dyDescent="0.25">
      <c r="A2155" s="32" t="s">
        <v>2</v>
      </c>
      <c r="B2155" s="32">
        <f t="shared" si="523"/>
        <v>2048</v>
      </c>
      <c r="C2155" s="33" t="s">
        <v>20</v>
      </c>
      <c r="D2155" s="34" t="s">
        <v>1999</v>
      </c>
      <c r="E2155" s="35" t="str">
        <f t="shared" si="519"/>
        <v>PNP'!</v>
      </c>
      <c r="F2155" s="34" t="str">
        <f t="shared" si="520"/>
        <v>C:\Users\jaime.benazar\Quorum Business Solutions\Ecopetrol Prometeo - Documents\Planning Space Implementation\3. Analysis &amp; Design\Design\FC22\DRR Jaime\QUIFA-CAJÚA\Cajua\[CAJUA_CF_SEC_New_27-Feb-2024Rev3.xlsx]D-PNP'!</v>
      </c>
      <c r="G2155" s="32" t="s">
        <v>115</v>
      </c>
      <c r="H2155" s="33">
        <f t="shared" si="521"/>
        <v>37</v>
      </c>
      <c r="I2155" s="33" t="str">
        <f t="shared" si="522"/>
        <v>='C:\Users\jaime.benazar\Quorum Business Solutions\Ecopetrol Prometeo - Documents\Planning Space Implementation\3. Analysis &amp; Design\Design\FC22\DRR Jaime\QUIFA-CAJÚA\Cajua\[CAJUA_CF_SEC_New_27-Feb-2024Rev3.xlsx]D-PNP'!$DC$37</v>
      </c>
      <c r="J2155" s="37" t="s">
        <v>2987</v>
      </c>
    </row>
    <row r="2156" spans="1:10" x14ac:dyDescent="0.25">
      <c r="A2156" s="32" t="s">
        <v>2</v>
      </c>
      <c r="B2156" s="32">
        <f t="shared" si="523"/>
        <v>2049</v>
      </c>
      <c r="C2156" s="33" t="s">
        <v>20</v>
      </c>
      <c r="D2156" s="34" t="s">
        <v>1999</v>
      </c>
      <c r="E2156" s="35" t="str">
        <f t="shared" si="519"/>
        <v>PNP'!</v>
      </c>
      <c r="F2156" s="34" t="str">
        <f t="shared" si="520"/>
        <v>C:\Users\jaime.benazar\Quorum Business Solutions\Ecopetrol Prometeo - Documents\Planning Space Implementation\3. Analysis &amp; Design\Design\FC22\DRR Jaime\QUIFA-CAJÚA\Cajua\[CAJUA_CF_SEC_New_27-Feb-2024Rev3.xlsx]D-PNP'!</v>
      </c>
      <c r="G2156" s="32" t="s">
        <v>115</v>
      </c>
      <c r="H2156" s="33">
        <f t="shared" si="521"/>
        <v>38</v>
      </c>
      <c r="I2156" s="33" t="str">
        <f t="shared" si="522"/>
        <v>='C:\Users\jaime.benazar\Quorum Business Solutions\Ecopetrol Prometeo - Documents\Planning Space Implementation\3. Analysis &amp; Design\Design\FC22\DRR Jaime\QUIFA-CAJÚA\Cajua\[CAJUA_CF_SEC_New_27-Feb-2024Rev3.xlsx]D-PNP'!$DC$38</v>
      </c>
      <c r="J2156" s="37" t="s">
        <v>2988</v>
      </c>
    </row>
    <row r="2157" spans="1:10" x14ac:dyDescent="0.25">
      <c r="A2157" s="32" t="s">
        <v>2</v>
      </c>
      <c r="B2157" s="32">
        <f t="shared" si="523"/>
        <v>2050</v>
      </c>
      <c r="C2157" s="33" t="s">
        <v>20</v>
      </c>
      <c r="D2157" s="34" t="s">
        <v>1999</v>
      </c>
      <c r="E2157" s="35" t="str">
        <f t="shared" si="519"/>
        <v>PNP'!</v>
      </c>
      <c r="F2157" s="34" t="str">
        <f t="shared" si="520"/>
        <v>C:\Users\jaime.benazar\Quorum Business Solutions\Ecopetrol Prometeo - Documents\Planning Space Implementation\3. Analysis &amp; Design\Design\FC22\DRR Jaime\QUIFA-CAJÚA\Cajua\[CAJUA_CF_SEC_New_27-Feb-2024Rev3.xlsx]D-PNP'!</v>
      </c>
      <c r="G2157" s="32" t="s">
        <v>115</v>
      </c>
      <c r="H2157" s="33">
        <f t="shared" si="521"/>
        <v>39</v>
      </c>
      <c r="I2157" s="33" t="str">
        <f t="shared" si="522"/>
        <v>='C:\Users\jaime.benazar\Quorum Business Solutions\Ecopetrol Prometeo - Documents\Planning Space Implementation\3. Analysis &amp; Design\Design\FC22\DRR Jaime\QUIFA-CAJÚA\Cajua\[CAJUA_CF_SEC_New_27-Feb-2024Rev3.xlsx]D-PNP'!$DC$39</v>
      </c>
      <c r="J2157" s="37" t="s">
        <v>2989</v>
      </c>
    </row>
    <row r="2158" spans="1:10" x14ac:dyDescent="0.25">
      <c r="A2158" s="32" t="s">
        <v>2</v>
      </c>
      <c r="B2158" s="32">
        <f t="shared" si="523"/>
        <v>2051</v>
      </c>
      <c r="C2158" s="33" t="s">
        <v>20</v>
      </c>
      <c r="D2158" s="34" t="s">
        <v>1999</v>
      </c>
      <c r="E2158" s="35" t="str">
        <f t="shared" si="519"/>
        <v>PNP'!</v>
      </c>
      <c r="F2158" s="34" t="str">
        <f t="shared" si="520"/>
        <v>C:\Users\jaime.benazar\Quorum Business Solutions\Ecopetrol Prometeo - Documents\Planning Space Implementation\3. Analysis &amp; Design\Design\FC22\DRR Jaime\QUIFA-CAJÚA\Cajua\[CAJUA_CF_SEC_New_27-Feb-2024Rev3.xlsx]D-PNP'!</v>
      </c>
      <c r="G2158" s="32" t="s">
        <v>115</v>
      </c>
      <c r="H2158" s="33">
        <f t="shared" si="521"/>
        <v>40</v>
      </c>
      <c r="I2158" s="33" t="str">
        <f t="shared" si="522"/>
        <v>='C:\Users\jaime.benazar\Quorum Business Solutions\Ecopetrol Prometeo - Documents\Planning Space Implementation\3. Analysis &amp; Design\Design\FC22\DRR Jaime\QUIFA-CAJÚA\Cajua\[CAJUA_CF_SEC_New_27-Feb-2024Rev3.xlsx]D-PNP'!$DC$40</v>
      </c>
      <c r="J2158" s="37" t="s">
        <v>2990</v>
      </c>
    </row>
    <row r="2159" spans="1:10" x14ac:dyDescent="0.25">
      <c r="A2159" s="32" t="s">
        <v>2</v>
      </c>
      <c r="B2159" s="32">
        <f t="shared" si="523"/>
        <v>2052</v>
      </c>
      <c r="C2159" s="33" t="s">
        <v>20</v>
      </c>
      <c r="D2159" s="34" t="s">
        <v>1999</v>
      </c>
      <c r="E2159" s="35" t="str">
        <f t="shared" si="519"/>
        <v>PNP'!</v>
      </c>
      <c r="F2159" s="34" t="str">
        <f t="shared" si="520"/>
        <v>C:\Users\jaime.benazar\Quorum Business Solutions\Ecopetrol Prometeo - Documents\Planning Space Implementation\3. Analysis &amp; Design\Design\FC22\DRR Jaime\QUIFA-CAJÚA\Cajua\[CAJUA_CF_SEC_New_27-Feb-2024Rev3.xlsx]D-PNP'!</v>
      </c>
      <c r="G2159" s="32" t="s">
        <v>115</v>
      </c>
      <c r="H2159" s="33">
        <f t="shared" si="521"/>
        <v>41</v>
      </c>
      <c r="I2159" s="33" t="str">
        <f t="shared" si="522"/>
        <v>='C:\Users\jaime.benazar\Quorum Business Solutions\Ecopetrol Prometeo - Documents\Planning Space Implementation\3. Analysis &amp; Design\Design\FC22\DRR Jaime\QUIFA-CAJÚA\Cajua\[CAJUA_CF_SEC_New_27-Feb-2024Rev3.xlsx]D-PNP'!$DC$41</v>
      </c>
      <c r="J2159" s="37" t="s">
        <v>2991</v>
      </c>
    </row>
    <row r="2160" spans="1:10" x14ac:dyDescent="0.25">
      <c r="A2160" s="32" t="s">
        <v>2</v>
      </c>
      <c r="B2160" s="32">
        <f t="shared" si="523"/>
        <v>2053</v>
      </c>
      <c r="C2160" s="33" t="s">
        <v>20</v>
      </c>
      <c r="D2160" s="34" t="s">
        <v>1999</v>
      </c>
      <c r="E2160" s="35" t="str">
        <f t="shared" si="519"/>
        <v>PNP'!</v>
      </c>
      <c r="F2160" s="34" t="str">
        <f t="shared" si="520"/>
        <v>C:\Users\jaime.benazar\Quorum Business Solutions\Ecopetrol Prometeo - Documents\Planning Space Implementation\3. Analysis &amp; Design\Design\FC22\DRR Jaime\QUIFA-CAJÚA\Cajua\[CAJUA_CF_SEC_New_27-Feb-2024Rev3.xlsx]D-PNP'!</v>
      </c>
      <c r="G2160" s="32" t="s">
        <v>115</v>
      </c>
      <c r="H2160" s="33">
        <f t="shared" si="521"/>
        <v>42</v>
      </c>
      <c r="I2160" s="33" t="str">
        <f t="shared" si="522"/>
        <v>='C:\Users\jaime.benazar\Quorum Business Solutions\Ecopetrol Prometeo - Documents\Planning Space Implementation\3. Analysis &amp; Design\Design\FC22\DRR Jaime\QUIFA-CAJÚA\Cajua\[CAJUA_CF_SEC_New_27-Feb-2024Rev3.xlsx]D-PNP'!$DC$42</v>
      </c>
      <c r="J2160" s="37" t="s">
        <v>2992</v>
      </c>
    </row>
    <row r="2161" spans="1:10" x14ac:dyDescent="0.25">
      <c r="A2161" s="32" t="s">
        <v>2</v>
      </c>
      <c r="B2161" s="32">
        <f t="shared" si="523"/>
        <v>2054</v>
      </c>
      <c r="C2161" s="33" t="s">
        <v>20</v>
      </c>
      <c r="D2161" s="34" t="s">
        <v>1999</v>
      </c>
      <c r="E2161" s="35" t="str">
        <f t="shared" si="519"/>
        <v>PNP'!</v>
      </c>
      <c r="F2161" s="34" t="str">
        <f t="shared" si="520"/>
        <v>C:\Users\jaime.benazar\Quorum Business Solutions\Ecopetrol Prometeo - Documents\Planning Space Implementation\3. Analysis &amp; Design\Design\FC22\DRR Jaime\QUIFA-CAJÚA\Cajua\[CAJUA_CF_SEC_New_27-Feb-2024Rev3.xlsx]D-PNP'!</v>
      </c>
      <c r="G2161" s="32" t="s">
        <v>115</v>
      </c>
      <c r="H2161" s="33">
        <f t="shared" si="521"/>
        <v>43</v>
      </c>
      <c r="I2161" s="33" t="str">
        <f t="shared" si="522"/>
        <v>='C:\Users\jaime.benazar\Quorum Business Solutions\Ecopetrol Prometeo - Documents\Planning Space Implementation\3. Analysis &amp; Design\Design\FC22\DRR Jaime\QUIFA-CAJÚA\Cajua\[CAJUA_CF_SEC_New_27-Feb-2024Rev3.xlsx]D-PNP'!$DC$43</v>
      </c>
      <c r="J2161" s="37" t="s">
        <v>2993</v>
      </c>
    </row>
    <row r="2162" spans="1:10" x14ac:dyDescent="0.25">
      <c r="A2162" s="32" t="s">
        <v>2</v>
      </c>
      <c r="B2162" s="32">
        <f t="shared" si="523"/>
        <v>2055</v>
      </c>
      <c r="C2162" s="33" t="s">
        <v>20</v>
      </c>
      <c r="D2162" s="34" t="s">
        <v>1999</v>
      </c>
      <c r="E2162" s="35" t="str">
        <f t="shared" si="519"/>
        <v>PNP'!</v>
      </c>
      <c r="F2162" s="34" t="str">
        <f t="shared" si="520"/>
        <v>C:\Users\jaime.benazar\Quorum Business Solutions\Ecopetrol Prometeo - Documents\Planning Space Implementation\3. Analysis &amp; Design\Design\FC22\DRR Jaime\QUIFA-CAJÚA\Cajua\[CAJUA_CF_SEC_New_27-Feb-2024Rev3.xlsx]D-PNP'!</v>
      </c>
      <c r="G2162" s="32" t="s">
        <v>115</v>
      </c>
      <c r="H2162" s="33">
        <f t="shared" si="521"/>
        <v>44</v>
      </c>
      <c r="I2162" s="33" t="str">
        <f t="shared" si="522"/>
        <v>='C:\Users\jaime.benazar\Quorum Business Solutions\Ecopetrol Prometeo - Documents\Planning Space Implementation\3. Analysis &amp; Design\Design\FC22\DRR Jaime\QUIFA-CAJÚA\Cajua\[CAJUA_CF_SEC_New_27-Feb-2024Rev3.xlsx]D-PNP'!$DC$44</v>
      </c>
      <c r="J2162" s="37" t="s">
        <v>2994</v>
      </c>
    </row>
    <row r="2163" spans="1:10" x14ac:dyDescent="0.25">
      <c r="A2163" s="32" t="s">
        <v>2</v>
      </c>
      <c r="B2163" s="32">
        <f t="shared" si="523"/>
        <v>2056</v>
      </c>
      <c r="C2163" s="33" t="s">
        <v>20</v>
      </c>
      <c r="D2163" s="34" t="s">
        <v>1999</v>
      </c>
      <c r="E2163" s="35" t="str">
        <f t="shared" si="519"/>
        <v>PNP'!</v>
      </c>
      <c r="F2163" s="34" t="str">
        <f t="shared" si="520"/>
        <v>C:\Users\jaime.benazar\Quorum Business Solutions\Ecopetrol Prometeo - Documents\Planning Space Implementation\3. Analysis &amp; Design\Design\FC22\DRR Jaime\QUIFA-CAJÚA\Cajua\[CAJUA_CF_SEC_New_27-Feb-2024Rev3.xlsx]D-PNP'!</v>
      </c>
      <c r="G2163" s="32" t="s">
        <v>115</v>
      </c>
      <c r="H2163" s="33">
        <f t="shared" si="521"/>
        <v>45</v>
      </c>
      <c r="I2163" s="33" t="str">
        <f t="shared" si="522"/>
        <v>='C:\Users\jaime.benazar\Quorum Business Solutions\Ecopetrol Prometeo - Documents\Planning Space Implementation\3. Analysis &amp; Design\Design\FC22\DRR Jaime\QUIFA-CAJÚA\Cajua\[CAJUA_CF_SEC_New_27-Feb-2024Rev3.xlsx]D-PNP'!$DC$45</v>
      </c>
      <c r="J2163" s="37" t="s">
        <v>2995</v>
      </c>
    </row>
    <row r="2164" spans="1:10" x14ac:dyDescent="0.25">
      <c r="A2164" s="32" t="s">
        <v>2</v>
      </c>
      <c r="B2164" s="32">
        <f t="shared" si="523"/>
        <v>2057</v>
      </c>
      <c r="C2164" s="33" t="s">
        <v>20</v>
      </c>
      <c r="D2164" s="34" t="s">
        <v>1999</v>
      </c>
      <c r="E2164" s="35" t="str">
        <f t="shared" si="519"/>
        <v>PNP'!</v>
      </c>
      <c r="F2164" s="34" t="str">
        <f t="shared" si="520"/>
        <v>C:\Users\jaime.benazar\Quorum Business Solutions\Ecopetrol Prometeo - Documents\Planning Space Implementation\3. Analysis &amp; Design\Design\FC22\DRR Jaime\QUIFA-CAJÚA\Cajua\[CAJUA_CF_SEC_New_27-Feb-2024Rev3.xlsx]D-PNP'!</v>
      </c>
      <c r="G2164" s="32" t="s">
        <v>115</v>
      </c>
      <c r="H2164" s="33">
        <f t="shared" si="521"/>
        <v>46</v>
      </c>
      <c r="I2164" s="33" t="str">
        <f t="shared" si="522"/>
        <v>='C:\Users\jaime.benazar\Quorum Business Solutions\Ecopetrol Prometeo - Documents\Planning Space Implementation\3. Analysis &amp; Design\Design\FC22\DRR Jaime\QUIFA-CAJÚA\Cajua\[CAJUA_CF_SEC_New_27-Feb-2024Rev3.xlsx]D-PNP'!$DC$46</v>
      </c>
      <c r="J2164" s="37" t="s">
        <v>2996</v>
      </c>
    </row>
    <row r="2165" spans="1:10" x14ac:dyDescent="0.25">
      <c r="A2165" s="32" t="s">
        <v>2</v>
      </c>
      <c r="B2165" s="32">
        <f t="shared" si="523"/>
        <v>2058</v>
      </c>
      <c r="C2165" s="33" t="s">
        <v>20</v>
      </c>
      <c r="D2165" s="34" t="s">
        <v>1999</v>
      </c>
      <c r="E2165" s="35" t="str">
        <f t="shared" si="519"/>
        <v>PNP'!</v>
      </c>
      <c r="F2165" s="34" t="str">
        <f t="shared" si="520"/>
        <v>C:\Users\jaime.benazar\Quorum Business Solutions\Ecopetrol Prometeo - Documents\Planning Space Implementation\3. Analysis &amp; Design\Design\FC22\DRR Jaime\QUIFA-CAJÚA\Cajua\[CAJUA_CF_SEC_New_27-Feb-2024Rev3.xlsx]D-PNP'!</v>
      </c>
      <c r="G2165" s="32" t="s">
        <v>115</v>
      </c>
      <c r="H2165" s="33">
        <f t="shared" si="521"/>
        <v>47</v>
      </c>
      <c r="I2165" s="33" t="str">
        <f t="shared" si="522"/>
        <v>='C:\Users\jaime.benazar\Quorum Business Solutions\Ecopetrol Prometeo - Documents\Planning Space Implementation\3. Analysis &amp; Design\Design\FC22\DRR Jaime\QUIFA-CAJÚA\Cajua\[CAJUA_CF_SEC_New_27-Feb-2024Rev3.xlsx]D-PNP'!$DC$47</v>
      </c>
      <c r="J2165" s="37" t="s">
        <v>2997</v>
      </c>
    </row>
    <row r="2166" spans="1:10" x14ac:dyDescent="0.25">
      <c r="A2166" s="32" t="s">
        <v>2</v>
      </c>
      <c r="B2166" s="32">
        <f t="shared" si="523"/>
        <v>2059</v>
      </c>
      <c r="C2166" s="33" t="s">
        <v>20</v>
      </c>
      <c r="D2166" s="34" t="s">
        <v>1999</v>
      </c>
      <c r="E2166" s="35" t="str">
        <f t="shared" si="519"/>
        <v>PNP'!</v>
      </c>
      <c r="F2166" s="34" t="str">
        <f t="shared" si="520"/>
        <v>C:\Users\jaime.benazar\Quorum Business Solutions\Ecopetrol Prometeo - Documents\Planning Space Implementation\3. Analysis &amp; Design\Design\FC22\DRR Jaime\QUIFA-CAJÚA\Cajua\[CAJUA_CF_SEC_New_27-Feb-2024Rev3.xlsx]D-PNP'!</v>
      </c>
      <c r="G2166" s="32" t="s">
        <v>115</v>
      </c>
      <c r="H2166" s="33">
        <f t="shared" si="521"/>
        <v>48</v>
      </c>
      <c r="I2166" s="33" t="str">
        <f t="shared" si="522"/>
        <v>='C:\Users\jaime.benazar\Quorum Business Solutions\Ecopetrol Prometeo - Documents\Planning Space Implementation\3. Analysis &amp; Design\Design\FC22\DRR Jaime\QUIFA-CAJÚA\Cajua\[CAJUA_CF_SEC_New_27-Feb-2024Rev3.xlsx]D-PNP'!$DC$48</v>
      </c>
      <c r="J2166" s="37" t="s">
        <v>2998</v>
      </c>
    </row>
    <row r="2167" spans="1:10" x14ac:dyDescent="0.25">
      <c r="A2167" s="32" t="s">
        <v>28</v>
      </c>
      <c r="B2167" s="32"/>
      <c r="C2167" s="33" t="s">
        <v>20</v>
      </c>
      <c r="D2167" s="34"/>
      <c r="E2167" s="35"/>
      <c r="F2167" s="34"/>
      <c r="G2167" s="32"/>
      <c r="H2167" s="33"/>
      <c r="I2167" s="33"/>
      <c r="J2167" s="33"/>
    </row>
    <row r="2168" spans="1:10" x14ac:dyDescent="0.25">
      <c r="A2168" s="32" t="s">
        <v>3</v>
      </c>
      <c r="B2168" s="32">
        <v>2023</v>
      </c>
      <c r="C2168" s="33" t="s">
        <v>20</v>
      </c>
      <c r="D2168" s="34" t="s">
        <v>1999</v>
      </c>
      <c r="E2168" s="35" t="str">
        <f t="shared" si="503"/>
        <v>PND'!</v>
      </c>
      <c r="F2168" s="34" t="str">
        <f t="shared" si="504"/>
        <v>C:\Users\jaime.benazar\Quorum Business Solutions\Ecopetrol Prometeo - Documents\Planning Space Implementation\3. Analysis &amp; Design\Design\FC22\DRR Jaime\QUIFA-CAJÚA\Cajua\[CAJUA_CF_SEC_New_27-Feb-2024Rev3.xlsx]D-PND'!</v>
      </c>
      <c r="G2168" s="32" t="s">
        <v>115</v>
      </c>
      <c r="H2168" s="33">
        <v>12</v>
      </c>
      <c r="I2168" s="33" t="str">
        <f t="shared" si="506"/>
        <v>='C:\Users\jaime.benazar\Quorum Business Solutions\Ecopetrol Prometeo - Documents\Planning Space Implementation\3. Analysis &amp; Design\Design\FC22\DRR Jaime\QUIFA-CAJÚA\Cajua\[CAJUA_CF_SEC_New_27-Feb-2024Rev3.xlsx]D-PND'!$DC$12</v>
      </c>
      <c r="J2168" s="37" t="s">
        <v>2999</v>
      </c>
    </row>
    <row r="2169" spans="1:10" x14ac:dyDescent="0.25">
      <c r="A2169" s="32" t="s">
        <v>3</v>
      </c>
      <c r="B2169" s="32">
        <f>+B2168+1</f>
        <v>2024</v>
      </c>
      <c r="C2169" s="33" t="s">
        <v>20</v>
      </c>
      <c r="D2169" s="34" t="s">
        <v>1999</v>
      </c>
      <c r="E2169" s="35" t="str">
        <f t="shared" si="503"/>
        <v>PND'!</v>
      </c>
      <c r="F2169" s="34" t="str">
        <f t="shared" si="504"/>
        <v>C:\Users\jaime.benazar\Quorum Business Solutions\Ecopetrol Prometeo - Documents\Planning Space Implementation\3. Analysis &amp; Design\Design\FC22\DRR Jaime\QUIFA-CAJÚA\Cajua\[CAJUA_CF_SEC_New_27-Feb-2024Rev3.xlsx]D-PND'!</v>
      </c>
      <c r="G2169" s="32" t="s">
        <v>115</v>
      </c>
      <c r="H2169" s="33">
        <f t="shared" ref="H2169:H2188" si="524">IF(A2169&lt;&gt;A2168,12,H2168+1)</f>
        <v>13</v>
      </c>
      <c r="I2169" s="33" t="str">
        <f t="shared" si="506"/>
        <v>='C:\Users\jaime.benazar\Quorum Business Solutions\Ecopetrol Prometeo - Documents\Planning Space Implementation\3. Analysis &amp; Design\Design\FC22\DRR Jaime\QUIFA-CAJÚA\Cajua\[CAJUA_CF_SEC_New_27-Feb-2024Rev3.xlsx]D-PND'!$DC$13</v>
      </c>
      <c r="J2169" s="37" t="s">
        <v>3000</v>
      </c>
    </row>
    <row r="2170" spans="1:10" x14ac:dyDescent="0.25">
      <c r="A2170" s="32" t="s">
        <v>3</v>
      </c>
      <c r="B2170" s="32">
        <f t="shared" ref="B2170:B2181" si="525">+B2169+1</f>
        <v>2025</v>
      </c>
      <c r="C2170" s="33" t="s">
        <v>20</v>
      </c>
      <c r="D2170" s="34" t="s">
        <v>1999</v>
      </c>
      <c r="E2170" s="35" t="str">
        <f t="shared" si="503"/>
        <v>PND'!</v>
      </c>
      <c r="F2170" s="34" t="str">
        <f t="shared" si="504"/>
        <v>C:\Users\jaime.benazar\Quorum Business Solutions\Ecopetrol Prometeo - Documents\Planning Space Implementation\3. Analysis &amp; Design\Design\FC22\DRR Jaime\QUIFA-CAJÚA\Cajua\[CAJUA_CF_SEC_New_27-Feb-2024Rev3.xlsx]D-PND'!</v>
      </c>
      <c r="G2170" s="32" t="s">
        <v>115</v>
      </c>
      <c r="H2170" s="33">
        <f t="shared" si="524"/>
        <v>14</v>
      </c>
      <c r="I2170" s="33" t="str">
        <f t="shared" si="506"/>
        <v>='C:\Users\jaime.benazar\Quorum Business Solutions\Ecopetrol Prometeo - Documents\Planning Space Implementation\3. Analysis &amp; Design\Design\FC22\DRR Jaime\QUIFA-CAJÚA\Cajua\[CAJUA_CF_SEC_New_27-Feb-2024Rev3.xlsx]D-PND'!$DC$14</v>
      </c>
      <c r="J2170" s="37" t="s">
        <v>3001</v>
      </c>
    </row>
    <row r="2171" spans="1:10" x14ac:dyDescent="0.25">
      <c r="A2171" s="32" t="s">
        <v>3</v>
      </c>
      <c r="B2171" s="32">
        <f t="shared" si="525"/>
        <v>2026</v>
      </c>
      <c r="C2171" s="33" t="s">
        <v>20</v>
      </c>
      <c r="D2171" s="34" t="s">
        <v>1999</v>
      </c>
      <c r="E2171" s="35" t="str">
        <f t="shared" si="503"/>
        <v>PND'!</v>
      </c>
      <c r="F2171" s="34" t="str">
        <f t="shared" si="504"/>
        <v>C:\Users\jaime.benazar\Quorum Business Solutions\Ecopetrol Prometeo - Documents\Planning Space Implementation\3. Analysis &amp; Design\Design\FC22\DRR Jaime\QUIFA-CAJÚA\Cajua\[CAJUA_CF_SEC_New_27-Feb-2024Rev3.xlsx]D-PND'!</v>
      </c>
      <c r="G2171" s="32" t="s">
        <v>115</v>
      </c>
      <c r="H2171" s="33">
        <f t="shared" si="524"/>
        <v>15</v>
      </c>
      <c r="I2171" s="33" t="str">
        <f t="shared" si="506"/>
        <v>='C:\Users\jaime.benazar\Quorum Business Solutions\Ecopetrol Prometeo - Documents\Planning Space Implementation\3. Analysis &amp; Design\Design\FC22\DRR Jaime\QUIFA-CAJÚA\Cajua\[CAJUA_CF_SEC_New_27-Feb-2024Rev3.xlsx]D-PND'!$DC$15</v>
      </c>
      <c r="J2171" s="37" t="s">
        <v>3002</v>
      </c>
    </row>
    <row r="2172" spans="1:10" x14ac:dyDescent="0.25">
      <c r="A2172" s="32" t="s">
        <v>3</v>
      </c>
      <c r="B2172" s="32">
        <f t="shared" si="525"/>
        <v>2027</v>
      </c>
      <c r="C2172" s="33" t="s">
        <v>20</v>
      </c>
      <c r="D2172" s="34" t="s">
        <v>1999</v>
      </c>
      <c r="E2172" s="35" t="str">
        <f t="shared" si="503"/>
        <v>PND'!</v>
      </c>
      <c r="F2172" s="34" t="str">
        <f t="shared" si="504"/>
        <v>C:\Users\jaime.benazar\Quorum Business Solutions\Ecopetrol Prometeo - Documents\Planning Space Implementation\3. Analysis &amp; Design\Design\FC22\DRR Jaime\QUIFA-CAJÚA\Cajua\[CAJUA_CF_SEC_New_27-Feb-2024Rev3.xlsx]D-PND'!</v>
      </c>
      <c r="G2172" s="32" t="s">
        <v>115</v>
      </c>
      <c r="H2172" s="33">
        <f t="shared" si="524"/>
        <v>16</v>
      </c>
      <c r="I2172" s="33" t="str">
        <f t="shared" si="506"/>
        <v>='C:\Users\jaime.benazar\Quorum Business Solutions\Ecopetrol Prometeo - Documents\Planning Space Implementation\3. Analysis &amp; Design\Design\FC22\DRR Jaime\QUIFA-CAJÚA\Cajua\[CAJUA_CF_SEC_New_27-Feb-2024Rev3.xlsx]D-PND'!$DC$16</v>
      </c>
      <c r="J2172" s="37" t="s">
        <v>3003</v>
      </c>
    </row>
    <row r="2173" spans="1:10" x14ac:dyDescent="0.25">
      <c r="A2173" s="32" t="s">
        <v>3</v>
      </c>
      <c r="B2173" s="32">
        <f t="shared" si="525"/>
        <v>2028</v>
      </c>
      <c r="C2173" s="33" t="s">
        <v>20</v>
      </c>
      <c r="D2173" s="34" t="s">
        <v>1999</v>
      </c>
      <c r="E2173" s="35" t="str">
        <f t="shared" si="503"/>
        <v>PND'!</v>
      </c>
      <c r="F2173" s="34" t="str">
        <f t="shared" si="504"/>
        <v>C:\Users\jaime.benazar\Quorum Business Solutions\Ecopetrol Prometeo - Documents\Planning Space Implementation\3. Analysis &amp; Design\Design\FC22\DRR Jaime\QUIFA-CAJÚA\Cajua\[CAJUA_CF_SEC_New_27-Feb-2024Rev3.xlsx]D-PND'!</v>
      </c>
      <c r="G2173" s="32" t="s">
        <v>115</v>
      </c>
      <c r="H2173" s="33">
        <f t="shared" si="524"/>
        <v>17</v>
      </c>
      <c r="I2173" s="33" t="str">
        <f t="shared" si="506"/>
        <v>='C:\Users\jaime.benazar\Quorum Business Solutions\Ecopetrol Prometeo - Documents\Planning Space Implementation\3. Analysis &amp; Design\Design\FC22\DRR Jaime\QUIFA-CAJÚA\Cajua\[CAJUA_CF_SEC_New_27-Feb-2024Rev3.xlsx]D-PND'!$DC$17</v>
      </c>
      <c r="J2173" s="37" t="s">
        <v>3004</v>
      </c>
    </row>
    <row r="2174" spans="1:10" x14ac:dyDescent="0.25">
      <c r="A2174" s="32" t="s">
        <v>3</v>
      </c>
      <c r="B2174" s="32">
        <f t="shared" si="525"/>
        <v>2029</v>
      </c>
      <c r="C2174" s="33" t="s">
        <v>20</v>
      </c>
      <c r="D2174" s="34" t="s">
        <v>1999</v>
      </c>
      <c r="E2174" s="35" t="str">
        <f t="shared" si="503"/>
        <v>PND'!</v>
      </c>
      <c r="F2174" s="34" t="str">
        <f t="shared" si="504"/>
        <v>C:\Users\jaime.benazar\Quorum Business Solutions\Ecopetrol Prometeo - Documents\Planning Space Implementation\3. Analysis &amp; Design\Design\FC22\DRR Jaime\QUIFA-CAJÚA\Cajua\[CAJUA_CF_SEC_New_27-Feb-2024Rev3.xlsx]D-PND'!</v>
      </c>
      <c r="G2174" s="32" t="s">
        <v>115</v>
      </c>
      <c r="H2174" s="33">
        <f t="shared" si="524"/>
        <v>18</v>
      </c>
      <c r="I2174" s="33" t="str">
        <f t="shared" si="506"/>
        <v>='C:\Users\jaime.benazar\Quorum Business Solutions\Ecopetrol Prometeo - Documents\Planning Space Implementation\3. Analysis &amp; Design\Design\FC22\DRR Jaime\QUIFA-CAJÚA\Cajua\[CAJUA_CF_SEC_New_27-Feb-2024Rev3.xlsx]D-PND'!$DC$18</v>
      </c>
      <c r="J2174" s="37" t="s">
        <v>3005</v>
      </c>
    </row>
    <row r="2175" spans="1:10" x14ac:dyDescent="0.25">
      <c r="A2175" s="32" t="s">
        <v>3</v>
      </c>
      <c r="B2175" s="32">
        <f t="shared" si="525"/>
        <v>2030</v>
      </c>
      <c r="C2175" s="33" t="s">
        <v>20</v>
      </c>
      <c r="D2175" s="34" t="s">
        <v>1999</v>
      </c>
      <c r="E2175" s="35" t="str">
        <f t="shared" si="503"/>
        <v>PND'!</v>
      </c>
      <c r="F2175" s="34" t="str">
        <f t="shared" si="504"/>
        <v>C:\Users\jaime.benazar\Quorum Business Solutions\Ecopetrol Prometeo - Documents\Planning Space Implementation\3. Analysis &amp; Design\Design\FC22\DRR Jaime\QUIFA-CAJÚA\Cajua\[CAJUA_CF_SEC_New_27-Feb-2024Rev3.xlsx]D-PND'!</v>
      </c>
      <c r="G2175" s="32" t="s">
        <v>115</v>
      </c>
      <c r="H2175" s="33">
        <f t="shared" si="524"/>
        <v>19</v>
      </c>
      <c r="I2175" s="33" t="str">
        <f t="shared" si="506"/>
        <v>='C:\Users\jaime.benazar\Quorum Business Solutions\Ecopetrol Prometeo - Documents\Planning Space Implementation\3. Analysis &amp; Design\Design\FC22\DRR Jaime\QUIFA-CAJÚA\Cajua\[CAJUA_CF_SEC_New_27-Feb-2024Rev3.xlsx]D-PND'!$DC$19</v>
      </c>
      <c r="J2175" s="37" t="s">
        <v>3006</v>
      </c>
    </row>
    <row r="2176" spans="1:10" x14ac:dyDescent="0.25">
      <c r="A2176" s="32" t="s">
        <v>3</v>
      </c>
      <c r="B2176" s="32">
        <f t="shared" si="525"/>
        <v>2031</v>
      </c>
      <c r="C2176" s="33" t="s">
        <v>20</v>
      </c>
      <c r="D2176" s="34" t="s">
        <v>1999</v>
      </c>
      <c r="E2176" s="35" t="str">
        <f t="shared" si="503"/>
        <v>PND'!</v>
      </c>
      <c r="F2176" s="34" t="str">
        <f t="shared" si="504"/>
        <v>C:\Users\jaime.benazar\Quorum Business Solutions\Ecopetrol Prometeo - Documents\Planning Space Implementation\3. Analysis &amp; Design\Design\FC22\DRR Jaime\QUIFA-CAJÚA\Cajua\[CAJUA_CF_SEC_New_27-Feb-2024Rev3.xlsx]D-PND'!</v>
      </c>
      <c r="G2176" s="32" t="s">
        <v>115</v>
      </c>
      <c r="H2176" s="33">
        <f t="shared" si="524"/>
        <v>20</v>
      </c>
      <c r="I2176" s="33" t="str">
        <f t="shared" si="506"/>
        <v>='C:\Users\jaime.benazar\Quorum Business Solutions\Ecopetrol Prometeo - Documents\Planning Space Implementation\3. Analysis &amp; Design\Design\FC22\DRR Jaime\QUIFA-CAJÚA\Cajua\[CAJUA_CF_SEC_New_27-Feb-2024Rev3.xlsx]D-PND'!$DC$20</v>
      </c>
      <c r="J2176" s="37" t="s">
        <v>3007</v>
      </c>
    </row>
    <row r="2177" spans="1:10" x14ac:dyDescent="0.25">
      <c r="A2177" s="32" t="s">
        <v>3</v>
      </c>
      <c r="B2177" s="32">
        <f t="shared" si="525"/>
        <v>2032</v>
      </c>
      <c r="C2177" s="33" t="s">
        <v>20</v>
      </c>
      <c r="D2177" s="34" t="s">
        <v>1999</v>
      </c>
      <c r="E2177" s="35" t="str">
        <f t="shared" si="503"/>
        <v>PND'!</v>
      </c>
      <c r="F2177" s="34" t="str">
        <f t="shared" si="504"/>
        <v>C:\Users\jaime.benazar\Quorum Business Solutions\Ecopetrol Prometeo - Documents\Planning Space Implementation\3. Analysis &amp; Design\Design\FC22\DRR Jaime\QUIFA-CAJÚA\Cajua\[CAJUA_CF_SEC_New_27-Feb-2024Rev3.xlsx]D-PND'!</v>
      </c>
      <c r="G2177" s="32" t="s">
        <v>115</v>
      </c>
      <c r="H2177" s="33">
        <f t="shared" si="524"/>
        <v>21</v>
      </c>
      <c r="I2177" s="33" t="str">
        <f t="shared" si="506"/>
        <v>='C:\Users\jaime.benazar\Quorum Business Solutions\Ecopetrol Prometeo - Documents\Planning Space Implementation\3. Analysis &amp; Design\Design\FC22\DRR Jaime\QUIFA-CAJÚA\Cajua\[CAJUA_CF_SEC_New_27-Feb-2024Rev3.xlsx]D-PND'!$DC$21</v>
      </c>
      <c r="J2177" s="37" t="s">
        <v>3008</v>
      </c>
    </row>
    <row r="2178" spans="1:10" x14ac:dyDescent="0.25">
      <c r="A2178" s="32" t="s">
        <v>3</v>
      </c>
      <c r="B2178" s="32">
        <f t="shared" si="525"/>
        <v>2033</v>
      </c>
      <c r="C2178" s="33" t="s">
        <v>20</v>
      </c>
      <c r="D2178" s="34" t="s">
        <v>1999</v>
      </c>
      <c r="E2178" s="35" t="str">
        <f t="shared" si="503"/>
        <v>PND'!</v>
      </c>
      <c r="F2178" s="34" t="str">
        <f t="shared" si="504"/>
        <v>C:\Users\jaime.benazar\Quorum Business Solutions\Ecopetrol Prometeo - Documents\Planning Space Implementation\3. Analysis &amp; Design\Design\FC22\DRR Jaime\QUIFA-CAJÚA\Cajua\[CAJUA_CF_SEC_New_27-Feb-2024Rev3.xlsx]D-PND'!</v>
      </c>
      <c r="G2178" s="32" t="s">
        <v>115</v>
      </c>
      <c r="H2178" s="33">
        <f t="shared" si="524"/>
        <v>22</v>
      </c>
      <c r="I2178" s="33" t="str">
        <f t="shared" si="506"/>
        <v>='C:\Users\jaime.benazar\Quorum Business Solutions\Ecopetrol Prometeo - Documents\Planning Space Implementation\3. Analysis &amp; Design\Design\FC22\DRR Jaime\QUIFA-CAJÚA\Cajua\[CAJUA_CF_SEC_New_27-Feb-2024Rev3.xlsx]D-PND'!$DC$22</v>
      </c>
      <c r="J2178" s="37" t="s">
        <v>3009</v>
      </c>
    </row>
    <row r="2179" spans="1:10" x14ac:dyDescent="0.25">
      <c r="A2179" s="32" t="s">
        <v>3</v>
      </c>
      <c r="B2179" s="32">
        <f t="shared" si="525"/>
        <v>2034</v>
      </c>
      <c r="C2179" s="33" t="s">
        <v>20</v>
      </c>
      <c r="D2179" s="34" t="s">
        <v>1999</v>
      </c>
      <c r="E2179" s="35" t="str">
        <f t="shared" si="503"/>
        <v>PND'!</v>
      </c>
      <c r="F2179" s="34" t="str">
        <f t="shared" si="504"/>
        <v>C:\Users\jaime.benazar\Quorum Business Solutions\Ecopetrol Prometeo - Documents\Planning Space Implementation\3. Analysis &amp; Design\Design\FC22\DRR Jaime\QUIFA-CAJÚA\Cajua\[CAJUA_CF_SEC_New_27-Feb-2024Rev3.xlsx]D-PND'!</v>
      </c>
      <c r="G2179" s="32" t="s">
        <v>115</v>
      </c>
      <c r="H2179" s="33">
        <f t="shared" si="524"/>
        <v>23</v>
      </c>
      <c r="I2179" s="33" t="str">
        <f t="shared" si="506"/>
        <v>='C:\Users\jaime.benazar\Quorum Business Solutions\Ecopetrol Prometeo - Documents\Planning Space Implementation\3. Analysis &amp; Design\Design\FC22\DRR Jaime\QUIFA-CAJÚA\Cajua\[CAJUA_CF_SEC_New_27-Feb-2024Rev3.xlsx]D-PND'!$DC$23</v>
      </c>
      <c r="J2179" s="37" t="s">
        <v>3010</v>
      </c>
    </row>
    <row r="2180" spans="1:10" x14ac:dyDescent="0.25">
      <c r="A2180" s="32" t="s">
        <v>3</v>
      </c>
      <c r="B2180" s="32">
        <f t="shared" si="525"/>
        <v>2035</v>
      </c>
      <c r="C2180" s="33" t="s">
        <v>20</v>
      </c>
      <c r="D2180" s="34" t="s">
        <v>1999</v>
      </c>
      <c r="E2180" s="35" t="str">
        <f t="shared" si="503"/>
        <v>PND'!</v>
      </c>
      <c r="F2180" s="34" t="str">
        <f t="shared" si="504"/>
        <v>C:\Users\jaime.benazar\Quorum Business Solutions\Ecopetrol Prometeo - Documents\Planning Space Implementation\3. Analysis &amp; Design\Design\FC22\DRR Jaime\QUIFA-CAJÚA\Cajua\[CAJUA_CF_SEC_New_27-Feb-2024Rev3.xlsx]D-PND'!</v>
      </c>
      <c r="G2180" s="32" t="s">
        <v>115</v>
      </c>
      <c r="H2180" s="33">
        <f t="shared" si="524"/>
        <v>24</v>
      </c>
      <c r="I2180" s="33" t="str">
        <f t="shared" si="506"/>
        <v>='C:\Users\jaime.benazar\Quorum Business Solutions\Ecopetrol Prometeo - Documents\Planning Space Implementation\3. Analysis &amp; Design\Design\FC22\DRR Jaime\QUIFA-CAJÚA\Cajua\[CAJUA_CF_SEC_New_27-Feb-2024Rev3.xlsx]D-PND'!$DC$24</v>
      </c>
      <c r="J2180" s="37" t="s">
        <v>3011</v>
      </c>
    </row>
    <row r="2181" spans="1:10" x14ac:dyDescent="0.25">
      <c r="A2181" s="32" t="s">
        <v>3</v>
      </c>
      <c r="B2181" s="32">
        <f t="shared" si="525"/>
        <v>2036</v>
      </c>
      <c r="C2181" s="33" t="s">
        <v>20</v>
      </c>
      <c r="D2181" s="34" t="s">
        <v>1999</v>
      </c>
      <c r="E2181" s="35" t="str">
        <f t="shared" si="503"/>
        <v>PND'!</v>
      </c>
      <c r="F2181" s="34" t="str">
        <f t="shared" si="504"/>
        <v>C:\Users\jaime.benazar\Quorum Business Solutions\Ecopetrol Prometeo - Documents\Planning Space Implementation\3. Analysis &amp; Design\Design\FC22\DRR Jaime\QUIFA-CAJÚA\Cajua\[CAJUA_CF_SEC_New_27-Feb-2024Rev3.xlsx]D-PND'!</v>
      </c>
      <c r="G2181" s="32" t="s">
        <v>115</v>
      </c>
      <c r="H2181" s="33">
        <f t="shared" si="524"/>
        <v>25</v>
      </c>
      <c r="I2181" s="33" t="str">
        <f t="shared" si="506"/>
        <v>='C:\Users\jaime.benazar\Quorum Business Solutions\Ecopetrol Prometeo - Documents\Planning Space Implementation\3. Analysis &amp; Design\Design\FC22\DRR Jaime\QUIFA-CAJÚA\Cajua\[CAJUA_CF_SEC_New_27-Feb-2024Rev3.xlsx]D-PND'!$DC$25</v>
      </c>
      <c r="J2181" s="37" t="s">
        <v>3012</v>
      </c>
    </row>
    <row r="2182" spans="1:10" x14ac:dyDescent="0.25">
      <c r="A2182" s="32" t="s">
        <v>3</v>
      </c>
      <c r="B2182" s="32">
        <f>+B2181+1</f>
        <v>2037</v>
      </c>
      <c r="C2182" s="33" t="s">
        <v>20</v>
      </c>
      <c r="D2182" s="34" t="s">
        <v>1999</v>
      </c>
      <c r="E2182" s="35" t="str">
        <f t="shared" si="503"/>
        <v>PND'!</v>
      </c>
      <c r="F2182" s="34" t="str">
        <f t="shared" si="504"/>
        <v>C:\Users\jaime.benazar\Quorum Business Solutions\Ecopetrol Prometeo - Documents\Planning Space Implementation\3. Analysis &amp; Design\Design\FC22\DRR Jaime\QUIFA-CAJÚA\Cajua\[CAJUA_CF_SEC_New_27-Feb-2024Rev3.xlsx]D-PND'!</v>
      </c>
      <c r="G2182" s="32" t="s">
        <v>115</v>
      </c>
      <c r="H2182" s="33">
        <f t="shared" si="524"/>
        <v>26</v>
      </c>
      <c r="I2182" s="33" t="str">
        <f t="shared" si="506"/>
        <v>='C:\Users\jaime.benazar\Quorum Business Solutions\Ecopetrol Prometeo - Documents\Planning Space Implementation\3. Analysis &amp; Design\Design\FC22\DRR Jaime\QUIFA-CAJÚA\Cajua\[CAJUA_CF_SEC_New_27-Feb-2024Rev3.xlsx]D-PND'!$DC$26</v>
      </c>
      <c r="J2182" s="37" t="s">
        <v>3013</v>
      </c>
    </row>
    <row r="2183" spans="1:10" x14ac:dyDescent="0.25">
      <c r="A2183" s="32" t="s">
        <v>3</v>
      </c>
      <c r="B2183" s="32">
        <f t="shared" ref="B2183:B2185" si="526">+B2182+1</f>
        <v>2038</v>
      </c>
      <c r="C2183" s="33" t="s">
        <v>20</v>
      </c>
      <c r="D2183" s="34" t="s">
        <v>1999</v>
      </c>
      <c r="E2183" s="35" t="str">
        <f t="shared" si="503"/>
        <v>PND'!</v>
      </c>
      <c r="F2183" s="34" t="str">
        <f t="shared" si="504"/>
        <v>C:\Users\jaime.benazar\Quorum Business Solutions\Ecopetrol Prometeo - Documents\Planning Space Implementation\3. Analysis &amp; Design\Design\FC22\DRR Jaime\QUIFA-CAJÚA\Cajua\[CAJUA_CF_SEC_New_27-Feb-2024Rev3.xlsx]D-PND'!</v>
      </c>
      <c r="G2183" s="32" t="s">
        <v>115</v>
      </c>
      <c r="H2183" s="33">
        <f t="shared" si="524"/>
        <v>27</v>
      </c>
      <c r="I2183" s="33" t="str">
        <f t="shared" si="506"/>
        <v>='C:\Users\jaime.benazar\Quorum Business Solutions\Ecopetrol Prometeo - Documents\Planning Space Implementation\3. Analysis &amp; Design\Design\FC22\DRR Jaime\QUIFA-CAJÚA\Cajua\[CAJUA_CF_SEC_New_27-Feb-2024Rev3.xlsx]D-PND'!$DC$27</v>
      </c>
      <c r="J2183" s="37" t="s">
        <v>3014</v>
      </c>
    </row>
    <row r="2184" spans="1:10" x14ac:dyDescent="0.25">
      <c r="A2184" s="32" t="s">
        <v>3</v>
      </c>
      <c r="B2184" s="32">
        <f t="shared" si="526"/>
        <v>2039</v>
      </c>
      <c r="C2184" s="33" t="s">
        <v>20</v>
      </c>
      <c r="D2184" s="34" t="s">
        <v>1999</v>
      </c>
      <c r="E2184" s="35" t="str">
        <f t="shared" si="503"/>
        <v>PND'!</v>
      </c>
      <c r="F2184" s="34" t="str">
        <f t="shared" si="504"/>
        <v>C:\Users\jaime.benazar\Quorum Business Solutions\Ecopetrol Prometeo - Documents\Planning Space Implementation\3. Analysis &amp; Design\Design\FC22\DRR Jaime\QUIFA-CAJÚA\Cajua\[CAJUA_CF_SEC_New_27-Feb-2024Rev3.xlsx]D-PND'!</v>
      </c>
      <c r="G2184" s="32" t="s">
        <v>115</v>
      </c>
      <c r="H2184" s="33">
        <f t="shared" si="524"/>
        <v>28</v>
      </c>
      <c r="I2184" s="33" t="str">
        <f t="shared" si="506"/>
        <v>='C:\Users\jaime.benazar\Quorum Business Solutions\Ecopetrol Prometeo - Documents\Planning Space Implementation\3. Analysis &amp; Design\Design\FC22\DRR Jaime\QUIFA-CAJÚA\Cajua\[CAJUA_CF_SEC_New_27-Feb-2024Rev3.xlsx]D-PND'!$DC$28</v>
      </c>
      <c r="J2184" s="37" t="s">
        <v>3015</v>
      </c>
    </row>
    <row r="2185" spans="1:10" x14ac:dyDescent="0.25">
      <c r="A2185" s="32" t="s">
        <v>3</v>
      </c>
      <c r="B2185" s="32">
        <f t="shared" si="526"/>
        <v>2040</v>
      </c>
      <c r="C2185" s="33" t="s">
        <v>20</v>
      </c>
      <c r="D2185" s="34" t="s">
        <v>1999</v>
      </c>
      <c r="E2185" s="35" t="str">
        <f t="shared" si="503"/>
        <v>PND'!</v>
      </c>
      <c r="F2185" s="34" t="str">
        <f t="shared" si="504"/>
        <v>C:\Users\jaime.benazar\Quorum Business Solutions\Ecopetrol Prometeo - Documents\Planning Space Implementation\3. Analysis &amp; Design\Design\FC22\DRR Jaime\QUIFA-CAJÚA\Cajua\[CAJUA_CF_SEC_New_27-Feb-2024Rev3.xlsx]D-PND'!</v>
      </c>
      <c r="G2185" s="32" t="s">
        <v>115</v>
      </c>
      <c r="H2185" s="33">
        <f t="shared" si="524"/>
        <v>29</v>
      </c>
      <c r="I2185" s="33" t="str">
        <f t="shared" si="506"/>
        <v>='C:\Users\jaime.benazar\Quorum Business Solutions\Ecopetrol Prometeo - Documents\Planning Space Implementation\3. Analysis &amp; Design\Design\FC22\DRR Jaime\QUIFA-CAJÚA\Cajua\[CAJUA_CF_SEC_New_27-Feb-2024Rev3.xlsx]D-PND'!$DC$29</v>
      </c>
      <c r="J2185" s="37" t="s">
        <v>3016</v>
      </c>
    </row>
    <row r="2186" spans="1:10" x14ac:dyDescent="0.25">
      <c r="A2186" s="32" t="s">
        <v>3</v>
      </c>
      <c r="B2186" s="32">
        <f>+B2185+1</f>
        <v>2041</v>
      </c>
      <c r="C2186" s="33" t="s">
        <v>20</v>
      </c>
      <c r="D2186" s="34" t="s">
        <v>1999</v>
      </c>
      <c r="E2186" s="35" t="str">
        <f t="shared" si="503"/>
        <v>PND'!</v>
      </c>
      <c r="F2186" s="34" t="str">
        <f t="shared" si="504"/>
        <v>C:\Users\jaime.benazar\Quorum Business Solutions\Ecopetrol Prometeo - Documents\Planning Space Implementation\3. Analysis &amp; Design\Design\FC22\DRR Jaime\QUIFA-CAJÚA\Cajua\[CAJUA_CF_SEC_New_27-Feb-2024Rev3.xlsx]D-PND'!</v>
      </c>
      <c r="G2186" s="32" t="s">
        <v>115</v>
      </c>
      <c r="H2186" s="33">
        <f t="shared" si="524"/>
        <v>30</v>
      </c>
      <c r="I2186" s="33" t="str">
        <f t="shared" si="506"/>
        <v>='C:\Users\jaime.benazar\Quorum Business Solutions\Ecopetrol Prometeo - Documents\Planning Space Implementation\3. Analysis &amp; Design\Design\FC22\DRR Jaime\QUIFA-CAJÚA\Cajua\[CAJUA_CF_SEC_New_27-Feb-2024Rev3.xlsx]D-PND'!$DC$30</v>
      </c>
      <c r="J2186" s="37" t="s">
        <v>3017</v>
      </c>
    </row>
    <row r="2187" spans="1:10" x14ac:dyDescent="0.25">
      <c r="A2187" s="32" t="s">
        <v>3</v>
      </c>
      <c r="B2187" s="32">
        <f t="shared" ref="B2187:B2188" si="527">+B2186+1</f>
        <v>2042</v>
      </c>
      <c r="C2187" s="33" t="s">
        <v>20</v>
      </c>
      <c r="D2187" s="34" t="s">
        <v>1999</v>
      </c>
      <c r="E2187" s="35" t="str">
        <f t="shared" ref="E2187:E2340" si="528">_xlfn.CONCAT(A2187,"'!")</f>
        <v>PND'!</v>
      </c>
      <c r="F2187" s="34" t="str">
        <f t="shared" ref="F2187:F2358" si="529">_xlfn.CONCAT(D2187:E2187)</f>
        <v>C:\Users\jaime.benazar\Quorum Business Solutions\Ecopetrol Prometeo - Documents\Planning Space Implementation\3. Analysis &amp; Design\Design\FC22\DRR Jaime\QUIFA-CAJÚA\Cajua\[CAJUA_CF_SEC_New_27-Feb-2024Rev3.xlsx]D-PND'!</v>
      </c>
      <c r="G2187" s="32" t="s">
        <v>115</v>
      </c>
      <c r="H2187" s="33">
        <f t="shared" si="524"/>
        <v>31</v>
      </c>
      <c r="I2187" s="33" t="str">
        <f t="shared" ref="I2187:I2340" si="530">_xlfn.CONCAT("='",F2187:H2187)</f>
        <v>='C:\Users\jaime.benazar\Quorum Business Solutions\Ecopetrol Prometeo - Documents\Planning Space Implementation\3. Analysis &amp; Design\Design\FC22\DRR Jaime\QUIFA-CAJÚA\Cajua\[CAJUA_CF_SEC_New_27-Feb-2024Rev3.xlsx]D-PND'!$DC$31</v>
      </c>
      <c r="J2187" s="37" t="s">
        <v>3018</v>
      </c>
    </row>
    <row r="2188" spans="1:10" x14ac:dyDescent="0.25">
      <c r="A2188" s="32" t="s">
        <v>3</v>
      </c>
      <c r="B2188" s="32">
        <f t="shared" si="527"/>
        <v>2043</v>
      </c>
      <c r="C2188" s="33" t="s">
        <v>20</v>
      </c>
      <c r="D2188" s="34" t="s">
        <v>1999</v>
      </c>
      <c r="E2188" s="35" t="str">
        <f t="shared" si="528"/>
        <v>PND'!</v>
      </c>
      <c r="F2188" s="34" t="str">
        <f t="shared" si="529"/>
        <v>C:\Users\jaime.benazar\Quorum Business Solutions\Ecopetrol Prometeo - Documents\Planning Space Implementation\3. Analysis &amp; Design\Design\FC22\DRR Jaime\QUIFA-CAJÚA\Cajua\[CAJUA_CF_SEC_New_27-Feb-2024Rev3.xlsx]D-PND'!</v>
      </c>
      <c r="G2188" s="32" t="s">
        <v>115</v>
      </c>
      <c r="H2188" s="33">
        <f t="shared" si="524"/>
        <v>32</v>
      </c>
      <c r="I2188" s="33" t="str">
        <f t="shared" si="530"/>
        <v>='C:\Users\jaime.benazar\Quorum Business Solutions\Ecopetrol Prometeo - Documents\Planning Space Implementation\3. Analysis &amp; Design\Design\FC22\DRR Jaime\QUIFA-CAJÚA\Cajua\[CAJUA_CF_SEC_New_27-Feb-2024Rev3.xlsx]D-PND'!$DC$32</v>
      </c>
      <c r="J2188" s="37" t="s">
        <v>3019</v>
      </c>
    </row>
    <row r="2189" spans="1:10" x14ac:dyDescent="0.25">
      <c r="A2189" s="32" t="s">
        <v>3</v>
      </c>
      <c r="B2189" s="32">
        <f>+B2188+1</f>
        <v>2044</v>
      </c>
      <c r="C2189" s="33" t="s">
        <v>20</v>
      </c>
      <c r="D2189" s="34" t="s">
        <v>1999</v>
      </c>
      <c r="E2189" s="35" t="str">
        <f t="shared" ref="E2189:E2204" si="531">_xlfn.CONCAT(A2189,"'!")</f>
        <v>PND'!</v>
      </c>
      <c r="F2189" s="34" t="str">
        <f t="shared" ref="F2189:F2204" si="532">_xlfn.CONCAT(D2189:E2189)</f>
        <v>C:\Users\jaime.benazar\Quorum Business Solutions\Ecopetrol Prometeo - Documents\Planning Space Implementation\3. Analysis &amp; Design\Design\FC22\DRR Jaime\QUIFA-CAJÚA\Cajua\[CAJUA_CF_SEC_New_27-Feb-2024Rev3.xlsx]D-PND'!</v>
      </c>
      <c r="G2189" s="32" t="s">
        <v>115</v>
      </c>
      <c r="H2189" s="33">
        <f t="shared" ref="H2189:H2204" si="533">IF(A2189&lt;&gt;A2188,12,H2188+1)</f>
        <v>33</v>
      </c>
      <c r="I2189" s="33" t="str">
        <f t="shared" ref="I2189:I2204" si="534">_xlfn.CONCAT("='",F2189:H2189)</f>
        <v>='C:\Users\jaime.benazar\Quorum Business Solutions\Ecopetrol Prometeo - Documents\Planning Space Implementation\3. Analysis &amp; Design\Design\FC22\DRR Jaime\QUIFA-CAJÚA\Cajua\[CAJUA_CF_SEC_New_27-Feb-2024Rev3.xlsx]D-PND'!$DC$33</v>
      </c>
      <c r="J2189" s="37" t="s">
        <v>3020</v>
      </c>
    </row>
    <row r="2190" spans="1:10" x14ac:dyDescent="0.25">
      <c r="A2190" s="32" t="s">
        <v>3</v>
      </c>
      <c r="B2190" s="32">
        <f t="shared" ref="B2190:B2204" si="535">+B2189+1</f>
        <v>2045</v>
      </c>
      <c r="C2190" s="33" t="s">
        <v>20</v>
      </c>
      <c r="D2190" s="34" t="s">
        <v>1999</v>
      </c>
      <c r="E2190" s="35" t="str">
        <f t="shared" si="531"/>
        <v>PND'!</v>
      </c>
      <c r="F2190" s="34" t="str">
        <f t="shared" si="532"/>
        <v>C:\Users\jaime.benazar\Quorum Business Solutions\Ecopetrol Prometeo - Documents\Planning Space Implementation\3. Analysis &amp; Design\Design\FC22\DRR Jaime\QUIFA-CAJÚA\Cajua\[CAJUA_CF_SEC_New_27-Feb-2024Rev3.xlsx]D-PND'!</v>
      </c>
      <c r="G2190" s="32" t="s">
        <v>115</v>
      </c>
      <c r="H2190" s="33">
        <f t="shared" si="533"/>
        <v>34</v>
      </c>
      <c r="I2190" s="33" t="str">
        <f t="shared" si="534"/>
        <v>='C:\Users\jaime.benazar\Quorum Business Solutions\Ecopetrol Prometeo - Documents\Planning Space Implementation\3. Analysis &amp; Design\Design\FC22\DRR Jaime\QUIFA-CAJÚA\Cajua\[CAJUA_CF_SEC_New_27-Feb-2024Rev3.xlsx]D-PND'!$DC$34</v>
      </c>
      <c r="J2190" s="37" t="s">
        <v>3021</v>
      </c>
    </row>
    <row r="2191" spans="1:10" x14ac:dyDescent="0.25">
      <c r="A2191" s="32" t="s">
        <v>3</v>
      </c>
      <c r="B2191" s="32">
        <f t="shared" si="535"/>
        <v>2046</v>
      </c>
      <c r="C2191" s="33" t="s">
        <v>20</v>
      </c>
      <c r="D2191" s="34" t="s">
        <v>1999</v>
      </c>
      <c r="E2191" s="35" t="str">
        <f t="shared" si="531"/>
        <v>PND'!</v>
      </c>
      <c r="F2191" s="34" t="str">
        <f t="shared" si="532"/>
        <v>C:\Users\jaime.benazar\Quorum Business Solutions\Ecopetrol Prometeo - Documents\Planning Space Implementation\3. Analysis &amp; Design\Design\FC22\DRR Jaime\QUIFA-CAJÚA\Cajua\[CAJUA_CF_SEC_New_27-Feb-2024Rev3.xlsx]D-PND'!</v>
      </c>
      <c r="G2191" s="32" t="s">
        <v>115</v>
      </c>
      <c r="H2191" s="33">
        <f t="shared" si="533"/>
        <v>35</v>
      </c>
      <c r="I2191" s="33" t="str">
        <f t="shared" si="534"/>
        <v>='C:\Users\jaime.benazar\Quorum Business Solutions\Ecopetrol Prometeo - Documents\Planning Space Implementation\3. Analysis &amp; Design\Design\FC22\DRR Jaime\QUIFA-CAJÚA\Cajua\[CAJUA_CF_SEC_New_27-Feb-2024Rev3.xlsx]D-PND'!$DC$35</v>
      </c>
      <c r="J2191" s="37" t="s">
        <v>3022</v>
      </c>
    </row>
    <row r="2192" spans="1:10" x14ac:dyDescent="0.25">
      <c r="A2192" s="32" t="s">
        <v>3</v>
      </c>
      <c r="B2192" s="32">
        <f t="shared" si="535"/>
        <v>2047</v>
      </c>
      <c r="C2192" s="33" t="s">
        <v>20</v>
      </c>
      <c r="D2192" s="34" t="s">
        <v>1999</v>
      </c>
      <c r="E2192" s="35" t="str">
        <f t="shared" si="531"/>
        <v>PND'!</v>
      </c>
      <c r="F2192" s="34" t="str">
        <f t="shared" si="532"/>
        <v>C:\Users\jaime.benazar\Quorum Business Solutions\Ecopetrol Prometeo - Documents\Planning Space Implementation\3. Analysis &amp; Design\Design\FC22\DRR Jaime\QUIFA-CAJÚA\Cajua\[CAJUA_CF_SEC_New_27-Feb-2024Rev3.xlsx]D-PND'!</v>
      </c>
      <c r="G2192" s="32" t="s">
        <v>115</v>
      </c>
      <c r="H2192" s="33">
        <f t="shared" si="533"/>
        <v>36</v>
      </c>
      <c r="I2192" s="33" t="str">
        <f t="shared" si="534"/>
        <v>='C:\Users\jaime.benazar\Quorum Business Solutions\Ecopetrol Prometeo - Documents\Planning Space Implementation\3. Analysis &amp; Design\Design\FC22\DRR Jaime\QUIFA-CAJÚA\Cajua\[CAJUA_CF_SEC_New_27-Feb-2024Rev3.xlsx]D-PND'!$DC$36</v>
      </c>
      <c r="J2192" s="37" t="s">
        <v>3023</v>
      </c>
    </row>
    <row r="2193" spans="1:10" x14ac:dyDescent="0.25">
      <c r="A2193" s="32" t="s">
        <v>3</v>
      </c>
      <c r="B2193" s="32">
        <f t="shared" si="535"/>
        <v>2048</v>
      </c>
      <c r="C2193" s="33" t="s">
        <v>20</v>
      </c>
      <c r="D2193" s="34" t="s">
        <v>1999</v>
      </c>
      <c r="E2193" s="35" t="str">
        <f t="shared" si="531"/>
        <v>PND'!</v>
      </c>
      <c r="F2193" s="34" t="str">
        <f t="shared" si="532"/>
        <v>C:\Users\jaime.benazar\Quorum Business Solutions\Ecopetrol Prometeo - Documents\Planning Space Implementation\3. Analysis &amp; Design\Design\FC22\DRR Jaime\QUIFA-CAJÚA\Cajua\[CAJUA_CF_SEC_New_27-Feb-2024Rev3.xlsx]D-PND'!</v>
      </c>
      <c r="G2193" s="32" t="s">
        <v>115</v>
      </c>
      <c r="H2193" s="33">
        <f t="shared" si="533"/>
        <v>37</v>
      </c>
      <c r="I2193" s="33" t="str">
        <f t="shared" si="534"/>
        <v>='C:\Users\jaime.benazar\Quorum Business Solutions\Ecopetrol Prometeo - Documents\Planning Space Implementation\3. Analysis &amp; Design\Design\FC22\DRR Jaime\QUIFA-CAJÚA\Cajua\[CAJUA_CF_SEC_New_27-Feb-2024Rev3.xlsx]D-PND'!$DC$37</v>
      </c>
      <c r="J2193" s="37" t="s">
        <v>3024</v>
      </c>
    </row>
    <row r="2194" spans="1:10" x14ac:dyDescent="0.25">
      <c r="A2194" s="32" t="s">
        <v>3</v>
      </c>
      <c r="B2194" s="32">
        <f t="shared" si="535"/>
        <v>2049</v>
      </c>
      <c r="C2194" s="33" t="s">
        <v>20</v>
      </c>
      <c r="D2194" s="34" t="s">
        <v>1999</v>
      </c>
      <c r="E2194" s="35" t="str">
        <f t="shared" si="531"/>
        <v>PND'!</v>
      </c>
      <c r="F2194" s="34" t="str">
        <f t="shared" si="532"/>
        <v>C:\Users\jaime.benazar\Quorum Business Solutions\Ecopetrol Prometeo - Documents\Planning Space Implementation\3. Analysis &amp; Design\Design\FC22\DRR Jaime\QUIFA-CAJÚA\Cajua\[CAJUA_CF_SEC_New_27-Feb-2024Rev3.xlsx]D-PND'!</v>
      </c>
      <c r="G2194" s="32" t="s">
        <v>115</v>
      </c>
      <c r="H2194" s="33">
        <f t="shared" si="533"/>
        <v>38</v>
      </c>
      <c r="I2194" s="33" t="str">
        <f t="shared" si="534"/>
        <v>='C:\Users\jaime.benazar\Quorum Business Solutions\Ecopetrol Prometeo - Documents\Planning Space Implementation\3. Analysis &amp; Design\Design\FC22\DRR Jaime\QUIFA-CAJÚA\Cajua\[CAJUA_CF_SEC_New_27-Feb-2024Rev3.xlsx]D-PND'!$DC$38</v>
      </c>
      <c r="J2194" s="37" t="s">
        <v>3025</v>
      </c>
    </row>
    <row r="2195" spans="1:10" x14ac:dyDescent="0.25">
      <c r="A2195" s="32" t="s">
        <v>3</v>
      </c>
      <c r="B2195" s="32">
        <f t="shared" si="535"/>
        <v>2050</v>
      </c>
      <c r="C2195" s="33" t="s">
        <v>20</v>
      </c>
      <c r="D2195" s="34" t="s">
        <v>1999</v>
      </c>
      <c r="E2195" s="35" t="str">
        <f t="shared" si="531"/>
        <v>PND'!</v>
      </c>
      <c r="F2195" s="34" t="str">
        <f t="shared" si="532"/>
        <v>C:\Users\jaime.benazar\Quorum Business Solutions\Ecopetrol Prometeo - Documents\Planning Space Implementation\3. Analysis &amp; Design\Design\FC22\DRR Jaime\QUIFA-CAJÚA\Cajua\[CAJUA_CF_SEC_New_27-Feb-2024Rev3.xlsx]D-PND'!</v>
      </c>
      <c r="G2195" s="32" t="s">
        <v>115</v>
      </c>
      <c r="H2195" s="33">
        <f t="shared" si="533"/>
        <v>39</v>
      </c>
      <c r="I2195" s="33" t="str">
        <f t="shared" si="534"/>
        <v>='C:\Users\jaime.benazar\Quorum Business Solutions\Ecopetrol Prometeo - Documents\Planning Space Implementation\3. Analysis &amp; Design\Design\FC22\DRR Jaime\QUIFA-CAJÚA\Cajua\[CAJUA_CF_SEC_New_27-Feb-2024Rev3.xlsx]D-PND'!$DC$39</v>
      </c>
      <c r="J2195" s="37" t="s">
        <v>3026</v>
      </c>
    </row>
    <row r="2196" spans="1:10" x14ac:dyDescent="0.25">
      <c r="A2196" s="32" t="s">
        <v>3</v>
      </c>
      <c r="B2196" s="32">
        <f t="shared" si="535"/>
        <v>2051</v>
      </c>
      <c r="C2196" s="33" t="s">
        <v>20</v>
      </c>
      <c r="D2196" s="34" t="s">
        <v>1999</v>
      </c>
      <c r="E2196" s="35" t="str">
        <f t="shared" si="531"/>
        <v>PND'!</v>
      </c>
      <c r="F2196" s="34" t="str">
        <f t="shared" si="532"/>
        <v>C:\Users\jaime.benazar\Quorum Business Solutions\Ecopetrol Prometeo - Documents\Planning Space Implementation\3. Analysis &amp; Design\Design\FC22\DRR Jaime\QUIFA-CAJÚA\Cajua\[CAJUA_CF_SEC_New_27-Feb-2024Rev3.xlsx]D-PND'!</v>
      </c>
      <c r="G2196" s="32" t="s">
        <v>115</v>
      </c>
      <c r="H2196" s="33">
        <f t="shared" si="533"/>
        <v>40</v>
      </c>
      <c r="I2196" s="33" t="str">
        <f t="shared" si="534"/>
        <v>='C:\Users\jaime.benazar\Quorum Business Solutions\Ecopetrol Prometeo - Documents\Planning Space Implementation\3. Analysis &amp; Design\Design\FC22\DRR Jaime\QUIFA-CAJÚA\Cajua\[CAJUA_CF_SEC_New_27-Feb-2024Rev3.xlsx]D-PND'!$DC$40</v>
      </c>
      <c r="J2196" s="37" t="s">
        <v>3027</v>
      </c>
    </row>
    <row r="2197" spans="1:10" x14ac:dyDescent="0.25">
      <c r="A2197" s="32" t="s">
        <v>3</v>
      </c>
      <c r="B2197" s="32">
        <f t="shared" si="535"/>
        <v>2052</v>
      </c>
      <c r="C2197" s="33" t="s">
        <v>20</v>
      </c>
      <c r="D2197" s="34" t="s">
        <v>1999</v>
      </c>
      <c r="E2197" s="35" t="str">
        <f t="shared" si="531"/>
        <v>PND'!</v>
      </c>
      <c r="F2197" s="34" t="str">
        <f t="shared" si="532"/>
        <v>C:\Users\jaime.benazar\Quorum Business Solutions\Ecopetrol Prometeo - Documents\Planning Space Implementation\3. Analysis &amp; Design\Design\FC22\DRR Jaime\QUIFA-CAJÚA\Cajua\[CAJUA_CF_SEC_New_27-Feb-2024Rev3.xlsx]D-PND'!</v>
      </c>
      <c r="G2197" s="32" t="s">
        <v>115</v>
      </c>
      <c r="H2197" s="33">
        <f t="shared" si="533"/>
        <v>41</v>
      </c>
      <c r="I2197" s="33" t="str">
        <f t="shared" si="534"/>
        <v>='C:\Users\jaime.benazar\Quorum Business Solutions\Ecopetrol Prometeo - Documents\Planning Space Implementation\3. Analysis &amp; Design\Design\FC22\DRR Jaime\QUIFA-CAJÚA\Cajua\[CAJUA_CF_SEC_New_27-Feb-2024Rev3.xlsx]D-PND'!$DC$41</v>
      </c>
      <c r="J2197" s="37" t="s">
        <v>3028</v>
      </c>
    </row>
    <row r="2198" spans="1:10" x14ac:dyDescent="0.25">
      <c r="A2198" s="32" t="s">
        <v>3</v>
      </c>
      <c r="B2198" s="32">
        <f t="shared" si="535"/>
        <v>2053</v>
      </c>
      <c r="C2198" s="33" t="s">
        <v>20</v>
      </c>
      <c r="D2198" s="34" t="s">
        <v>1999</v>
      </c>
      <c r="E2198" s="35" t="str">
        <f t="shared" si="531"/>
        <v>PND'!</v>
      </c>
      <c r="F2198" s="34" t="str">
        <f t="shared" si="532"/>
        <v>C:\Users\jaime.benazar\Quorum Business Solutions\Ecopetrol Prometeo - Documents\Planning Space Implementation\3. Analysis &amp; Design\Design\FC22\DRR Jaime\QUIFA-CAJÚA\Cajua\[CAJUA_CF_SEC_New_27-Feb-2024Rev3.xlsx]D-PND'!</v>
      </c>
      <c r="G2198" s="32" t="s">
        <v>115</v>
      </c>
      <c r="H2198" s="33">
        <f t="shared" si="533"/>
        <v>42</v>
      </c>
      <c r="I2198" s="33" t="str">
        <f t="shared" si="534"/>
        <v>='C:\Users\jaime.benazar\Quorum Business Solutions\Ecopetrol Prometeo - Documents\Planning Space Implementation\3. Analysis &amp; Design\Design\FC22\DRR Jaime\QUIFA-CAJÚA\Cajua\[CAJUA_CF_SEC_New_27-Feb-2024Rev3.xlsx]D-PND'!$DC$42</v>
      </c>
      <c r="J2198" s="37" t="s">
        <v>3029</v>
      </c>
    </row>
    <row r="2199" spans="1:10" x14ac:dyDescent="0.25">
      <c r="A2199" s="32" t="s">
        <v>3</v>
      </c>
      <c r="B2199" s="32">
        <f t="shared" si="535"/>
        <v>2054</v>
      </c>
      <c r="C2199" s="33" t="s">
        <v>20</v>
      </c>
      <c r="D2199" s="34" t="s">
        <v>1999</v>
      </c>
      <c r="E2199" s="35" t="str">
        <f t="shared" si="531"/>
        <v>PND'!</v>
      </c>
      <c r="F2199" s="34" t="str">
        <f t="shared" si="532"/>
        <v>C:\Users\jaime.benazar\Quorum Business Solutions\Ecopetrol Prometeo - Documents\Planning Space Implementation\3. Analysis &amp; Design\Design\FC22\DRR Jaime\QUIFA-CAJÚA\Cajua\[CAJUA_CF_SEC_New_27-Feb-2024Rev3.xlsx]D-PND'!</v>
      </c>
      <c r="G2199" s="32" t="s">
        <v>115</v>
      </c>
      <c r="H2199" s="33">
        <f t="shared" si="533"/>
        <v>43</v>
      </c>
      <c r="I2199" s="33" t="str">
        <f t="shared" si="534"/>
        <v>='C:\Users\jaime.benazar\Quorum Business Solutions\Ecopetrol Prometeo - Documents\Planning Space Implementation\3. Analysis &amp; Design\Design\FC22\DRR Jaime\QUIFA-CAJÚA\Cajua\[CAJUA_CF_SEC_New_27-Feb-2024Rev3.xlsx]D-PND'!$DC$43</v>
      </c>
      <c r="J2199" s="37" t="s">
        <v>3030</v>
      </c>
    </row>
    <row r="2200" spans="1:10" x14ac:dyDescent="0.25">
      <c r="A2200" s="32" t="s">
        <v>3</v>
      </c>
      <c r="B2200" s="32">
        <f t="shared" si="535"/>
        <v>2055</v>
      </c>
      <c r="C2200" s="33" t="s">
        <v>20</v>
      </c>
      <c r="D2200" s="34" t="s">
        <v>1999</v>
      </c>
      <c r="E2200" s="35" t="str">
        <f t="shared" si="531"/>
        <v>PND'!</v>
      </c>
      <c r="F2200" s="34" t="str">
        <f t="shared" si="532"/>
        <v>C:\Users\jaime.benazar\Quorum Business Solutions\Ecopetrol Prometeo - Documents\Planning Space Implementation\3. Analysis &amp; Design\Design\FC22\DRR Jaime\QUIFA-CAJÚA\Cajua\[CAJUA_CF_SEC_New_27-Feb-2024Rev3.xlsx]D-PND'!</v>
      </c>
      <c r="G2200" s="32" t="s">
        <v>115</v>
      </c>
      <c r="H2200" s="33">
        <f t="shared" si="533"/>
        <v>44</v>
      </c>
      <c r="I2200" s="33" t="str">
        <f t="shared" si="534"/>
        <v>='C:\Users\jaime.benazar\Quorum Business Solutions\Ecopetrol Prometeo - Documents\Planning Space Implementation\3. Analysis &amp; Design\Design\FC22\DRR Jaime\QUIFA-CAJÚA\Cajua\[CAJUA_CF_SEC_New_27-Feb-2024Rev3.xlsx]D-PND'!$DC$44</v>
      </c>
      <c r="J2200" s="37" t="s">
        <v>3031</v>
      </c>
    </row>
    <row r="2201" spans="1:10" x14ac:dyDescent="0.25">
      <c r="A2201" s="32" t="s">
        <v>3</v>
      </c>
      <c r="B2201" s="32">
        <f t="shared" si="535"/>
        <v>2056</v>
      </c>
      <c r="C2201" s="33" t="s">
        <v>20</v>
      </c>
      <c r="D2201" s="34" t="s">
        <v>1999</v>
      </c>
      <c r="E2201" s="35" t="str">
        <f t="shared" si="531"/>
        <v>PND'!</v>
      </c>
      <c r="F2201" s="34" t="str">
        <f t="shared" si="532"/>
        <v>C:\Users\jaime.benazar\Quorum Business Solutions\Ecopetrol Prometeo - Documents\Planning Space Implementation\3. Analysis &amp; Design\Design\FC22\DRR Jaime\QUIFA-CAJÚA\Cajua\[CAJUA_CF_SEC_New_27-Feb-2024Rev3.xlsx]D-PND'!</v>
      </c>
      <c r="G2201" s="32" t="s">
        <v>115</v>
      </c>
      <c r="H2201" s="33">
        <f t="shared" si="533"/>
        <v>45</v>
      </c>
      <c r="I2201" s="33" t="str">
        <f t="shared" si="534"/>
        <v>='C:\Users\jaime.benazar\Quorum Business Solutions\Ecopetrol Prometeo - Documents\Planning Space Implementation\3. Analysis &amp; Design\Design\FC22\DRR Jaime\QUIFA-CAJÚA\Cajua\[CAJUA_CF_SEC_New_27-Feb-2024Rev3.xlsx]D-PND'!$DC$45</v>
      </c>
      <c r="J2201" s="37" t="s">
        <v>3032</v>
      </c>
    </row>
    <row r="2202" spans="1:10" x14ac:dyDescent="0.25">
      <c r="A2202" s="32" t="s">
        <v>3</v>
      </c>
      <c r="B2202" s="32">
        <f t="shared" si="535"/>
        <v>2057</v>
      </c>
      <c r="C2202" s="33" t="s">
        <v>20</v>
      </c>
      <c r="D2202" s="34" t="s">
        <v>1999</v>
      </c>
      <c r="E2202" s="35" t="str">
        <f t="shared" si="531"/>
        <v>PND'!</v>
      </c>
      <c r="F2202" s="34" t="str">
        <f t="shared" si="532"/>
        <v>C:\Users\jaime.benazar\Quorum Business Solutions\Ecopetrol Prometeo - Documents\Planning Space Implementation\3. Analysis &amp; Design\Design\FC22\DRR Jaime\QUIFA-CAJÚA\Cajua\[CAJUA_CF_SEC_New_27-Feb-2024Rev3.xlsx]D-PND'!</v>
      </c>
      <c r="G2202" s="32" t="s">
        <v>115</v>
      </c>
      <c r="H2202" s="33">
        <f t="shared" si="533"/>
        <v>46</v>
      </c>
      <c r="I2202" s="33" t="str">
        <f t="shared" si="534"/>
        <v>='C:\Users\jaime.benazar\Quorum Business Solutions\Ecopetrol Prometeo - Documents\Planning Space Implementation\3. Analysis &amp; Design\Design\FC22\DRR Jaime\QUIFA-CAJÚA\Cajua\[CAJUA_CF_SEC_New_27-Feb-2024Rev3.xlsx]D-PND'!$DC$46</v>
      </c>
      <c r="J2202" s="37" t="s">
        <v>3033</v>
      </c>
    </row>
    <row r="2203" spans="1:10" x14ac:dyDescent="0.25">
      <c r="A2203" s="32" t="s">
        <v>3</v>
      </c>
      <c r="B2203" s="32">
        <f t="shared" si="535"/>
        <v>2058</v>
      </c>
      <c r="C2203" s="33" t="s">
        <v>20</v>
      </c>
      <c r="D2203" s="34" t="s">
        <v>1999</v>
      </c>
      <c r="E2203" s="35" t="str">
        <f t="shared" si="531"/>
        <v>PND'!</v>
      </c>
      <c r="F2203" s="34" t="str">
        <f t="shared" si="532"/>
        <v>C:\Users\jaime.benazar\Quorum Business Solutions\Ecopetrol Prometeo - Documents\Planning Space Implementation\3. Analysis &amp; Design\Design\FC22\DRR Jaime\QUIFA-CAJÚA\Cajua\[CAJUA_CF_SEC_New_27-Feb-2024Rev3.xlsx]D-PND'!</v>
      </c>
      <c r="G2203" s="32" t="s">
        <v>115</v>
      </c>
      <c r="H2203" s="33">
        <f t="shared" si="533"/>
        <v>47</v>
      </c>
      <c r="I2203" s="33" t="str">
        <f t="shared" si="534"/>
        <v>='C:\Users\jaime.benazar\Quorum Business Solutions\Ecopetrol Prometeo - Documents\Planning Space Implementation\3. Analysis &amp; Design\Design\FC22\DRR Jaime\QUIFA-CAJÚA\Cajua\[CAJUA_CF_SEC_New_27-Feb-2024Rev3.xlsx]D-PND'!$DC$47</v>
      </c>
      <c r="J2203" s="37" t="s">
        <v>3034</v>
      </c>
    </row>
    <row r="2204" spans="1:10" x14ac:dyDescent="0.25">
      <c r="A2204" s="32" t="s">
        <v>3</v>
      </c>
      <c r="B2204" s="32">
        <f t="shared" si="535"/>
        <v>2059</v>
      </c>
      <c r="C2204" s="33" t="s">
        <v>20</v>
      </c>
      <c r="D2204" s="34" t="s">
        <v>1999</v>
      </c>
      <c r="E2204" s="35" t="str">
        <f t="shared" si="531"/>
        <v>PND'!</v>
      </c>
      <c r="F2204" s="34" t="str">
        <f t="shared" si="532"/>
        <v>C:\Users\jaime.benazar\Quorum Business Solutions\Ecopetrol Prometeo - Documents\Planning Space Implementation\3. Analysis &amp; Design\Design\FC22\DRR Jaime\QUIFA-CAJÚA\Cajua\[CAJUA_CF_SEC_New_27-Feb-2024Rev3.xlsx]D-PND'!</v>
      </c>
      <c r="G2204" s="32" t="s">
        <v>115</v>
      </c>
      <c r="H2204" s="33">
        <f t="shared" si="533"/>
        <v>48</v>
      </c>
      <c r="I2204" s="33" t="str">
        <f t="shared" si="534"/>
        <v>='C:\Users\jaime.benazar\Quorum Business Solutions\Ecopetrol Prometeo - Documents\Planning Space Implementation\3. Analysis &amp; Design\Design\FC22\DRR Jaime\QUIFA-CAJÚA\Cajua\[CAJUA_CF_SEC_New_27-Feb-2024Rev3.xlsx]D-PND'!$DC$48</v>
      </c>
      <c r="J2204" s="37" t="s">
        <v>3035</v>
      </c>
    </row>
    <row r="2205" spans="1:10" x14ac:dyDescent="0.25">
      <c r="A2205" s="32" t="s">
        <v>28</v>
      </c>
      <c r="B2205" s="32"/>
      <c r="C2205" s="33" t="s">
        <v>20</v>
      </c>
      <c r="D2205" s="34"/>
      <c r="E2205" s="35"/>
      <c r="F2205" s="34"/>
      <c r="G2205" s="32"/>
      <c r="H2205" s="33"/>
      <c r="I2205" s="33"/>
      <c r="J2205" s="33"/>
    </row>
    <row r="2206" spans="1:10" x14ac:dyDescent="0.25">
      <c r="A2206" s="32" t="s">
        <v>99</v>
      </c>
      <c r="B2206" s="32">
        <v>2023</v>
      </c>
      <c r="C2206" s="33" t="s">
        <v>20</v>
      </c>
      <c r="D2206" s="34" t="s">
        <v>1999</v>
      </c>
      <c r="E2206" s="35" t="str">
        <f t="shared" ref="E2206:E2226" si="536">_xlfn.CONCAT(A2206,"'!")</f>
        <v>PRBDP'!</v>
      </c>
      <c r="F2206" s="34" t="str">
        <f t="shared" ref="F2206:F2226" si="537">_xlfn.CONCAT(D2206:E2206)</f>
        <v>C:\Users\jaime.benazar\Quorum Business Solutions\Ecopetrol Prometeo - Documents\Planning Space Implementation\3. Analysis &amp; Design\Design\FC22\DRR Jaime\QUIFA-CAJÚA\Cajua\[CAJUA_CF_SEC_New_27-Feb-2024Rev3.xlsx]D-PRBDP'!</v>
      </c>
      <c r="G2206" s="32" t="s">
        <v>115</v>
      </c>
      <c r="H2206" s="33"/>
      <c r="I2206" s="33"/>
      <c r="J2206" s="37"/>
    </row>
    <row r="2207" spans="1:10" x14ac:dyDescent="0.25">
      <c r="A2207" s="32" t="s">
        <v>99</v>
      </c>
      <c r="B2207" s="32">
        <f>+B2206+1</f>
        <v>2024</v>
      </c>
      <c r="C2207" s="33" t="s">
        <v>20</v>
      </c>
      <c r="D2207" s="34" t="s">
        <v>1999</v>
      </c>
      <c r="E2207" s="35" t="str">
        <f t="shared" si="536"/>
        <v>PRBDP'!</v>
      </c>
      <c r="F2207" s="34" t="str">
        <f t="shared" si="537"/>
        <v>C:\Users\jaime.benazar\Quorum Business Solutions\Ecopetrol Prometeo - Documents\Planning Space Implementation\3. Analysis &amp; Design\Design\FC22\DRR Jaime\QUIFA-CAJÚA\Cajua\[CAJUA_CF_SEC_New_27-Feb-2024Rev3.xlsx]D-PRBDP'!</v>
      </c>
      <c r="G2207" s="32" t="s">
        <v>115</v>
      </c>
      <c r="H2207" s="33"/>
      <c r="I2207" s="33"/>
      <c r="J2207" s="37"/>
    </row>
    <row r="2208" spans="1:10" x14ac:dyDescent="0.25">
      <c r="A2208" s="32" t="s">
        <v>99</v>
      </c>
      <c r="B2208" s="32">
        <f t="shared" ref="B2208:B2219" si="538">+B2207+1</f>
        <v>2025</v>
      </c>
      <c r="C2208" s="33" t="s">
        <v>20</v>
      </c>
      <c r="D2208" s="34" t="s">
        <v>1999</v>
      </c>
      <c r="E2208" s="35" t="str">
        <f t="shared" si="536"/>
        <v>PRBDP'!</v>
      </c>
      <c r="F2208" s="34" t="str">
        <f t="shared" si="537"/>
        <v>C:\Users\jaime.benazar\Quorum Business Solutions\Ecopetrol Prometeo - Documents\Planning Space Implementation\3. Analysis &amp; Design\Design\FC22\DRR Jaime\QUIFA-CAJÚA\Cajua\[CAJUA_CF_SEC_New_27-Feb-2024Rev3.xlsx]D-PRBDP'!</v>
      </c>
      <c r="G2208" s="32" t="s">
        <v>115</v>
      </c>
      <c r="H2208" s="33"/>
      <c r="I2208" s="33"/>
      <c r="J2208" s="37"/>
    </row>
    <row r="2209" spans="1:10" x14ac:dyDescent="0.25">
      <c r="A2209" s="32" t="s">
        <v>99</v>
      </c>
      <c r="B2209" s="32">
        <f t="shared" si="538"/>
        <v>2026</v>
      </c>
      <c r="C2209" s="33" t="s">
        <v>20</v>
      </c>
      <c r="D2209" s="34" t="s">
        <v>1999</v>
      </c>
      <c r="E2209" s="35" t="str">
        <f t="shared" si="536"/>
        <v>PRBDP'!</v>
      </c>
      <c r="F2209" s="34" t="str">
        <f t="shared" si="537"/>
        <v>C:\Users\jaime.benazar\Quorum Business Solutions\Ecopetrol Prometeo - Documents\Planning Space Implementation\3. Analysis &amp; Design\Design\FC22\DRR Jaime\QUIFA-CAJÚA\Cajua\[CAJUA_CF_SEC_New_27-Feb-2024Rev3.xlsx]D-PRBDP'!</v>
      </c>
      <c r="G2209" s="32" t="s">
        <v>115</v>
      </c>
      <c r="H2209" s="33"/>
      <c r="I2209" s="33"/>
      <c r="J2209" s="37"/>
    </row>
    <row r="2210" spans="1:10" x14ac:dyDescent="0.25">
      <c r="A2210" s="32" t="s">
        <v>99</v>
      </c>
      <c r="B2210" s="32">
        <f t="shared" si="538"/>
        <v>2027</v>
      </c>
      <c r="C2210" s="33" t="s">
        <v>20</v>
      </c>
      <c r="D2210" s="34" t="s">
        <v>1999</v>
      </c>
      <c r="E2210" s="35" t="str">
        <f t="shared" si="536"/>
        <v>PRBDP'!</v>
      </c>
      <c r="F2210" s="34" t="str">
        <f t="shared" si="537"/>
        <v>C:\Users\jaime.benazar\Quorum Business Solutions\Ecopetrol Prometeo - Documents\Planning Space Implementation\3. Analysis &amp; Design\Design\FC22\DRR Jaime\QUIFA-CAJÚA\Cajua\[CAJUA_CF_SEC_New_27-Feb-2024Rev3.xlsx]D-PRBDP'!</v>
      </c>
      <c r="G2210" s="32" t="s">
        <v>115</v>
      </c>
      <c r="H2210" s="33"/>
      <c r="I2210" s="33"/>
      <c r="J2210" s="37"/>
    </row>
    <row r="2211" spans="1:10" x14ac:dyDescent="0.25">
      <c r="A2211" s="32" t="s">
        <v>99</v>
      </c>
      <c r="B2211" s="32">
        <f t="shared" si="538"/>
        <v>2028</v>
      </c>
      <c r="C2211" s="33" t="s">
        <v>20</v>
      </c>
      <c r="D2211" s="34" t="s">
        <v>1999</v>
      </c>
      <c r="E2211" s="35" t="str">
        <f t="shared" si="536"/>
        <v>PRBDP'!</v>
      </c>
      <c r="F2211" s="34" t="str">
        <f t="shared" si="537"/>
        <v>C:\Users\jaime.benazar\Quorum Business Solutions\Ecopetrol Prometeo - Documents\Planning Space Implementation\3. Analysis &amp; Design\Design\FC22\DRR Jaime\QUIFA-CAJÚA\Cajua\[CAJUA_CF_SEC_New_27-Feb-2024Rev3.xlsx]D-PRBDP'!</v>
      </c>
      <c r="G2211" s="32" t="s">
        <v>115</v>
      </c>
      <c r="H2211" s="33"/>
      <c r="I2211" s="33"/>
      <c r="J2211" s="37"/>
    </row>
    <row r="2212" spans="1:10" x14ac:dyDescent="0.25">
      <c r="A2212" s="32" t="s">
        <v>99</v>
      </c>
      <c r="B2212" s="32">
        <f t="shared" si="538"/>
        <v>2029</v>
      </c>
      <c r="C2212" s="33" t="s">
        <v>20</v>
      </c>
      <c r="D2212" s="34" t="s">
        <v>1999</v>
      </c>
      <c r="E2212" s="35" t="str">
        <f t="shared" si="536"/>
        <v>PRBDP'!</v>
      </c>
      <c r="F2212" s="34" t="str">
        <f t="shared" si="537"/>
        <v>C:\Users\jaime.benazar\Quorum Business Solutions\Ecopetrol Prometeo - Documents\Planning Space Implementation\3. Analysis &amp; Design\Design\FC22\DRR Jaime\QUIFA-CAJÚA\Cajua\[CAJUA_CF_SEC_New_27-Feb-2024Rev3.xlsx]D-PRBDP'!</v>
      </c>
      <c r="G2212" s="32" t="s">
        <v>115</v>
      </c>
      <c r="H2212" s="33"/>
      <c r="I2212" s="33"/>
      <c r="J2212" s="37"/>
    </row>
    <row r="2213" spans="1:10" x14ac:dyDescent="0.25">
      <c r="A2213" s="32" t="s">
        <v>99</v>
      </c>
      <c r="B2213" s="32">
        <f t="shared" si="538"/>
        <v>2030</v>
      </c>
      <c r="C2213" s="33" t="s">
        <v>20</v>
      </c>
      <c r="D2213" s="34" t="s">
        <v>1999</v>
      </c>
      <c r="E2213" s="35" t="str">
        <f t="shared" si="536"/>
        <v>PRBDP'!</v>
      </c>
      <c r="F2213" s="34" t="str">
        <f t="shared" si="537"/>
        <v>C:\Users\jaime.benazar\Quorum Business Solutions\Ecopetrol Prometeo - Documents\Planning Space Implementation\3. Analysis &amp; Design\Design\FC22\DRR Jaime\QUIFA-CAJÚA\Cajua\[CAJUA_CF_SEC_New_27-Feb-2024Rev3.xlsx]D-PRBDP'!</v>
      </c>
      <c r="G2213" s="32" t="s">
        <v>115</v>
      </c>
      <c r="H2213" s="33"/>
      <c r="I2213" s="33"/>
      <c r="J2213" s="37"/>
    </row>
    <row r="2214" spans="1:10" x14ac:dyDescent="0.25">
      <c r="A2214" s="32" t="s">
        <v>99</v>
      </c>
      <c r="B2214" s="32">
        <f t="shared" si="538"/>
        <v>2031</v>
      </c>
      <c r="C2214" s="33" t="s">
        <v>20</v>
      </c>
      <c r="D2214" s="34" t="s">
        <v>1999</v>
      </c>
      <c r="E2214" s="35" t="str">
        <f t="shared" si="536"/>
        <v>PRBDP'!</v>
      </c>
      <c r="F2214" s="34" t="str">
        <f t="shared" si="537"/>
        <v>C:\Users\jaime.benazar\Quorum Business Solutions\Ecopetrol Prometeo - Documents\Planning Space Implementation\3. Analysis &amp; Design\Design\FC22\DRR Jaime\QUIFA-CAJÚA\Cajua\[CAJUA_CF_SEC_New_27-Feb-2024Rev3.xlsx]D-PRBDP'!</v>
      </c>
      <c r="G2214" s="32" t="s">
        <v>115</v>
      </c>
      <c r="H2214" s="33"/>
      <c r="I2214" s="33"/>
      <c r="J2214" s="37"/>
    </row>
    <row r="2215" spans="1:10" x14ac:dyDescent="0.25">
      <c r="A2215" s="32" t="s">
        <v>99</v>
      </c>
      <c r="B2215" s="32">
        <f t="shared" si="538"/>
        <v>2032</v>
      </c>
      <c r="C2215" s="33" t="s">
        <v>20</v>
      </c>
      <c r="D2215" s="34" t="s">
        <v>1999</v>
      </c>
      <c r="E2215" s="35" t="str">
        <f t="shared" si="536"/>
        <v>PRBDP'!</v>
      </c>
      <c r="F2215" s="34" t="str">
        <f t="shared" si="537"/>
        <v>C:\Users\jaime.benazar\Quorum Business Solutions\Ecopetrol Prometeo - Documents\Planning Space Implementation\3. Analysis &amp; Design\Design\FC22\DRR Jaime\QUIFA-CAJÚA\Cajua\[CAJUA_CF_SEC_New_27-Feb-2024Rev3.xlsx]D-PRBDP'!</v>
      </c>
      <c r="G2215" s="32" t="s">
        <v>115</v>
      </c>
      <c r="H2215" s="33"/>
      <c r="I2215" s="33"/>
      <c r="J2215" s="37"/>
    </row>
    <row r="2216" spans="1:10" x14ac:dyDescent="0.25">
      <c r="A2216" s="32" t="s">
        <v>99</v>
      </c>
      <c r="B2216" s="32">
        <f t="shared" si="538"/>
        <v>2033</v>
      </c>
      <c r="C2216" s="33" t="s">
        <v>20</v>
      </c>
      <c r="D2216" s="34" t="s">
        <v>1999</v>
      </c>
      <c r="E2216" s="35" t="str">
        <f t="shared" si="536"/>
        <v>PRBDP'!</v>
      </c>
      <c r="F2216" s="34" t="str">
        <f t="shared" si="537"/>
        <v>C:\Users\jaime.benazar\Quorum Business Solutions\Ecopetrol Prometeo - Documents\Planning Space Implementation\3. Analysis &amp; Design\Design\FC22\DRR Jaime\QUIFA-CAJÚA\Cajua\[CAJUA_CF_SEC_New_27-Feb-2024Rev3.xlsx]D-PRBDP'!</v>
      </c>
      <c r="G2216" s="32" t="s">
        <v>115</v>
      </c>
      <c r="H2216" s="33"/>
      <c r="I2216" s="33"/>
      <c r="J2216" s="37"/>
    </row>
    <row r="2217" spans="1:10" x14ac:dyDescent="0.25">
      <c r="A2217" s="32" t="s">
        <v>99</v>
      </c>
      <c r="B2217" s="32">
        <f t="shared" si="538"/>
        <v>2034</v>
      </c>
      <c r="C2217" s="33" t="s">
        <v>20</v>
      </c>
      <c r="D2217" s="34" t="s">
        <v>1999</v>
      </c>
      <c r="E2217" s="35" t="str">
        <f t="shared" si="536"/>
        <v>PRBDP'!</v>
      </c>
      <c r="F2217" s="34" t="str">
        <f t="shared" si="537"/>
        <v>C:\Users\jaime.benazar\Quorum Business Solutions\Ecopetrol Prometeo - Documents\Planning Space Implementation\3. Analysis &amp; Design\Design\FC22\DRR Jaime\QUIFA-CAJÚA\Cajua\[CAJUA_CF_SEC_New_27-Feb-2024Rev3.xlsx]D-PRBDP'!</v>
      </c>
      <c r="G2217" s="32" t="s">
        <v>115</v>
      </c>
      <c r="H2217" s="33"/>
      <c r="I2217" s="33"/>
      <c r="J2217" s="37"/>
    </row>
    <row r="2218" spans="1:10" x14ac:dyDescent="0.25">
      <c r="A2218" s="32" t="s">
        <v>99</v>
      </c>
      <c r="B2218" s="32">
        <f t="shared" si="538"/>
        <v>2035</v>
      </c>
      <c r="C2218" s="33" t="s">
        <v>20</v>
      </c>
      <c r="D2218" s="34" t="s">
        <v>1999</v>
      </c>
      <c r="E2218" s="35" t="str">
        <f t="shared" si="536"/>
        <v>PRBDP'!</v>
      </c>
      <c r="F2218" s="34" t="str">
        <f t="shared" si="537"/>
        <v>C:\Users\jaime.benazar\Quorum Business Solutions\Ecopetrol Prometeo - Documents\Planning Space Implementation\3. Analysis &amp; Design\Design\FC22\DRR Jaime\QUIFA-CAJÚA\Cajua\[CAJUA_CF_SEC_New_27-Feb-2024Rev3.xlsx]D-PRBDP'!</v>
      </c>
      <c r="G2218" s="32" t="s">
        <v>115</v>
      </c>
      <c r="H2218" s="33"/>
      <c r="I2218" s="33"/>
      <c r="J2218" s="37"/>
    </row>
    <row r="2219" spans="1:10" x14ac:dyDescent="0.25">
      <c r="A2219" s="32" t="s">
        <v>99</v>
      </c>
      <c r="B2219" s="32">
        <f t="shared" si="538"/>
        <v>2036</v>
      </c>
      <c r="C2219" s="33" t="s">
        <v>20</v>
      </c>
      <c r="D2219" s="34" t="s">
        <v>1999</v>
      </c>
      <c r="E2219" s="35" t="str">
        <f t="shared" si="536"/>
        <v>PRBDP'!</v>
      </c>
      <c r="F2219" s="34" t="str">
        <f t="shared" si="537"/>
        <v>C:\Users\jaime.benazar\Quorum Business Solutions\Ecopetrol Prometeo - Documents\Planning Space Implementation\3. Analysis &amp; Design\Design\FC22\DRR Jaime\QUIFA-CAJÚA\Cajua\[CAJUA_CF_SEC_New_27-Feb-2024Rev3.xlsx]D-PRBDP'!</v>
      </c>
      <c r="G2219" s="32" t="s">
        <v>115</v>
      </c>
      <c r="H2219" s="33"/>
      <c r="I2219" s="33"/>
      <c r="J2219" s="37"/>
    </row>
    <row r="2220" spans="1:10" x14ac:dyDescent="0.25">
      <c r="A2220" s="32" t="s">
        <v>99</v>
      </c>
      <c r="B2220" s="32">
        <f>+B2219+1</f>
        <v>2037</v>
      </c>
      <c r="C2220" s="33" t="s">
        <v>20</v>
      </c>
      <c r="D2220" s="34" t="s">
        <v>1999</v>
      </c>
      <c r="E2220" s="35" t="str">
        <f t="shared" si="536"/>
        <v>PRBDP'!</v>
      </c>
      <c r="F2220" s="34" t="str">
        <f t="shared" si="537"/>
        <v>C:\Users\jaime.benazar\Quorum Business Solutions\Ecopetrol Prometeo - Documents\Planning Space Implementation\3. Analysis &amp; Design\Design\FC22\DRR Jaime\QUIFA-CAJÚA\Cajua\[CAJUA_CF_SEC_New_27-Feb-2024Rev3.xlsx]D-PRBDP'!</v>
      </c>
      <c r="G2220" s="32" t="s">
        <v>115</v>
      </c>
      <c r="H2220" s="33"/>
      <c r="I2220" s="33"/>
      <c r="J2220" s="37"/>
    </row>
    <row r="2221" spans="1:10" x14ac:dyDescent="0.25">
      <c r="A2221" s="32" t="s">
        <v>99</v>
      </c>
      <c r="B2221" s="32">
        <f t="shared" ref="B2221:B2223" si="539">+B2220+1</f>
        <v>2038</v>
      </c>
      <c r="C2221" s="33" t="s">
        <v>20</v>
      </c>
      <c r="D2221" s="34" t="s">
        <v>1999</v>
      </c>
      <c r="E2221" s="35" t="str">
        <f t="shared" si="536"/>
        <v>PRBDP'!</v>
      </c>
      <c r="F2221" s="34" t="str">
        <f t="shared" si="537"/>
        <v>C:\Users\jaime.benazar\Quorum Business Solutions\Ecopetrol Prometeo - Documents\Planning Space Implementation\3. Analysis &amp; Design\Design\FC22\DRR Jaime\QUIFA-CAJÚA\Cajua\[CAJUA_CF_SEC_New_27-Feb-2024Rev3.xlsx]D-PRBDP'!</v>
      </c>
      <c r="G2221" s="32" t="s">
        <v>115</v>
      </c>
      <c r="H2221" s="33"/>
      <c r="I2221" s="33"/>
      <c r="J2221" s="37"/>
    </row>
    <row r="2222" spans="1:10" x14ac:dyDescent="0.25">
      <c r="A2222" s="32" t="s">
        <v>99</v>
      </c>
      <c r="B2222" s="32">
        <f t="shared" si="539"/>
        <v>2039</v>
      </c>
      <c r="C2222" s="33" t="s">
        <v>20</v>
      </c>
      <c r="D2222" s="34" t="s">
        <v>1999</v>
      </c>
      <c r="E2222" s="35" t="str">
        <f t="shared" si="536"/>
        <v>PRBDP'!</v>
      </c>
      <c r="F2222" s="34" t="str">
        <f t="shared" si="537"/>
        <v>C:\Users\jaime.benazar\Quorum Business Solutions\Ecopetrol Prometeo - Documents\Planning Space Implementation\3. Analysis &amp; Design\Design\FC22\DRR Jaime\QUIFA-CAJÚA\Cajua\[CAJUA_CF_SEC_New_27-Feb-2024Rev3.xlsx]D-PRBDP'!</v>
      </c>
      <c r="G2222" s="32" t="s">
        <v>115</v>
      </c>
      <c r="H2222" s="33"/>
      <c r="I2222" s="33"/>
      <c r="J2222" s="37"/>
    </row>
    <row r="2223" spans="1:10" x14ac:dyDescent="0.25">
      <c r="A2223" s="32" t="s">
        <v>99</v>
      </c>
      <c r="B2223" s="32">
        <f t="shared" si="539"/>
        <v>2040</v>
      </c>
      <c r="C2223" s="33" t="s">
        <v>20</v>
      </c>
      <c r="D2223" s="34" t="s">
        <v>1999</v>
      </c>
      <c r="E2223" s="35" t="str">
        <f t="shared" si="536"/>
        <v>PRBDP'!</v>
      </c>
      <c r="F2223" s="34" t="str">
        <f t="shared" si="537"/>
        <v>C:\Users\jaime.benazar\Quorum Business Solutions\Ecopetrol Prometeo - Documents\Planning Space Implementation\3. Analysis &amp; Design\Design\FC22\DRR Jaime\QUIFA-CAJÚA\Cajua\[CAJUA_CF_SEC_New_27-Feb-2024Rev3.xlsx]D-PRBDP'!</v>
      </c>
      <c r="G2223" s="32" t="s">
        <v>115</v>
      </c>
      <c r="H2223" s="33"/>
      <c r="I2223" s="33"/>
      <c r="J2223" s="37"/>
    </row>
    <row r="2224" spans="1:10" x14ac:dyDescent="0.25">
      <c r="A2224" s="32" t="s">
        <v>99</v>
      </c>
      <c r="B2224" s="32">
        <f>+B2223+1</f>
        <v>2041</v>
      </c>
      <c r="C2224" s="33" t="s">
        <v>20</v>
      </c>
      <c r="D2224" s="34" t="s">
        <v>1999</v>
      </c>
      <c r="E2224" s="35" t="str">
        <f t="shared" si="536"/>
        <v>PRBDP'!</v>
      </c>
      <c r="F2224" s="34" t="str">
        <f t="shared" si="537"/>
        <v>C:\Users\jaime.benazar\Quorum Business Solutions\Ecopetrol Prometeo - Documents\Planning Space Implementation\3. Analysis &amp; Design\Design\FC22\DRR Jaime\QUIFA-CAJÚA\Cajua\[CAJUA_CF_SEC_New_27-Feb-2024Rev3.xlsx]D-PRBDP'!</v>
      </c>
      <c r="G2224" s="32" t="s">
        <v>115</v>
      </c>
      <c r="H2224" s="33"/>
      <c r="I2224" s="33"/>
      <c r="J2224" s="37"/>
    </row>
    <row r="2225" spans="1:10" x14ac:dyDescent="0.25">
      <c r="A2225" s="32" t="s">
        <v>99</v>
      </c>
      <c r="B2225" s="32">
        <f t="shared" ref="B2225:B2226" si="540">+B2224+1</f>
        <v>2042</v>
      </c>
      <c r="C2225" s="33" t="s">
        <v>20</v>
      </c>
      <c r="D2225" s="34" t="s">
        <v>1999</v>
      </c>
      <c r="E2225" s="35" t="str">
        <f t="shared" si="536"/>
        <v>PRBDP'!</v>
      </c>
      <c r="F2225" s="34" t="str">
        <f t="shared" si="537"/>
        <v>C:\Users\jaime.benazar\Quorum Business Solutions\Ecopetrol Prometeo - Documents\Planning Space Implementation\3. Analysis &amp; Design\Design\FC22\DRR Jaime\QUIFA-CAJÚA\Cajua\[CAJUA_CF_SEC_New_27-Feb-2024Rev3.xlsx]D-PRBDP'!</v>
      </c>
      <c r="G2225" s="32" t="s">
        <v>115</v>
      </c>
      <c r="H2225" s="33"/>
      <c r="I2225" s="33"/>
      <c r="J2225" s="37"/>
    </row>
    <row r="2226" spans="1:10" x14ac:dyDescent="0.25">
      <c r="A2226" s="32" t="s">
        <v>99</v>
      </c>
      <c r="B2226" s="32">
        <f t="shared" si="540"/>
        <v>2043</v>
      </c>
      <c r="C2226" s="33" t="s">
        <v>20</v>
      </c>
      <c r="D2226" s="34" t="s">
        <v>1999</v>
      </c>
      <c r="E2226" s="35" t="str">
        <f t="shared" si="536"/>
        <v>PRBDP'!</v>
      </c>
      <c r="F2226" s="34" t="str">
        <f t="shared" si="537"/>
        <v>C:\Users\jaime.benazar\Quorum Business Solutions\Ecopetrol Prometeo - Documents\Planning Space Implementation\3. Analysis &amp; Design\Design\FC22\DRR Jaime\QUIFA-CAJÚA\Cajua\[CAJUA_CF_SEC_New_27-Feb-2024Rev3.xlsx]D-PRBDP'!</v>
      </c>
      <c r="G2226" s="32" t="s">
        <v>115</v>
      </c>
      <c r="H2226" s="33"/>
      <c r="I2226" s="33"/>
      <c r="J2226" s="37"/>
    </row>
    <row r="2227" spans="1:10" x14ac:dyDescent="0.25">
      <c r="A2227" s="32" t="s">
        <v>99</v>
      </c>
      <c r="B2227" s="32">
        <f>+B2226+1</f>
        <v>2044</v>
      </c>
      <c r="C2227" s="33" t="s">
        <v>20</v>
      </c>
      <c r="D2227" s="34" t="s">
        <v>1999</v>
      </c>
      <c r="E2227" s="35" t="str">
        <f t="shared" ref="E2227:E2242" si="541">_xlfn.CONCAT(A2227,"'!")</f>
        <v>PRBDP'!</v>
      </c>
      <c r="F2227" s="34" t="str">
        <f t="shared" ref="F2227:F2242" si="542">_xlfn.CONCAT(D2227:E2227)</f>
        <v>C:\Users\jaime.benazar\Quorum Business Solutions\Ecopetrol Prometeo - Documents\Planning Space Implementation\3. Analysis &amp; Design\Design\FC22\DRR Jaime\QUIFA-CAJÚA\Cajua\[CAJUA_CF_SEC_New_27-Feb-2024Rev3.xlsx]D-PRBDP'!</v>
      </c>
      <c r="G2227" s="32" t="s">
        <v>115</v>
      </c>
      <c r="H2227" s="33"/>
      <c r="I2227" s="33"/>
      <c r="J2227" s="37"/>
    </row>
    <row r="2228" spans="1:10" x14ac:dyDescent="0.25">
      <c r="A2228" s="32" t="s">
        <v>99</v>
      </c>
      <c r="B2228" s="32">
        <f t="shared" ref="B2228:B2242" si="543">+B2227+1</f>
        <v>2045</v>
      </c>
      <c r="C2228" s="33" t="s">
        <v>20</v>
      </c>
      <c r="D2228" s="34" t="s">
        <v>1999</v>
      </c>
      <c r="E2228" s="35" t="str">
        <f t="shared" si="541"/>
        <v>PRBDP'!</v>
      </c>
      <c r="F2228" s="34" t="str">
        <f t="shared" si="542"/>
        <v>C:\Users\jaime.benazar\Quorum Business Solutions\Ecopetrol Prometeo - Documents\Planning Space Implementation\3. Analysis &amp; Design\Design\FC22\DRR Jaime\QUIFA-CAJÚA\Cajua\[CAJUA_CF_SEC_New_27-Feb-2024Rev3.xlsx]D-PRBDP'!</v>
      </c>
      <c r="G2228" s="32" t="s">
        <v>115</v>
      </c>
      <c r="H2228" s="33"/>
      <c r="I2228" s="33"/>
      <c r="J2228" s="37"/>
    </row>
    <row r="2229" spans="1:10" x14ac:dyDescent="0.25">
      <c r="A2229" s="32" t="s">
        <v>99</v>
      </c>
      <c r="B2229" s="32">
        <f t="shared" si="543"/>
        <v>2046</v>
      </c>
      <c r="C2229" s="33" t="s">
        <v>20</v>
      </c>
      <c r="D2229" s="34" t="s">
        <v>1999</v>
      </c>
      <c r="E2229" s="35" t="str">
        <f t="shared" si="541"/>
        <v>PRBDP'!</v>
      </c>
      <c r="F2229" s="34" t="str">
        <f t="shared" si="542"/>
        <v>C:\Users\jaime.benazar\Quorum Business Solutions\Ecopetrol Prometeo - Documents\Planning Space Implementation\3. Analysis &amp; Design\Design\FC22\DRR Jaime\QUIFA-CAJÚA\Cajua\[CAJUA_CF_SEC_New_27-Feb-2024Rev3.xlsx]D-PRBDP'!</v>
      </c>
      <c r="G2229" s="32" t="s">
        <v>115</v>
      </c>
      <c r="H2229" s="33"/>
      <c r="I2229" s="33"/>
      <c r="J2229" s="37"/>
    </row>
    <row r="2230" spans="1:10" x14ac:dyDescent="0.25">
      <c r="A2230" s="32" t="s">
        <v>99</v>
      </c>
      <c r="B2230" s="32">
        <f t="shared" si="543"/>
        <v>2047</v>
      </c>
      <c r="C2230" s="33" t="s">
        <v>20</v>
      </c>
      <c r="D2230" s="34" t="s">
        <v>1999</v>
      </c>
      <c r="E2230" s="35" t="str">
        <f t="shared" si="541"/>
        <v>PRBDP'!</v>
      </c>
      <c r="F2230" s="34" t="str">
        <f t="shared" si="542"/>
        <v>C:\Users\jaime.benazar\Quorum Business Solutions\Ecopetrol Prometeo - Documents\Planning Space Implementation\3. Analysis &amp; Design\Design\FC22\DRR Jaime\QUIFA-CAJÚA\Cajua\[CAJUA_CF_SEC_New_27-Feb-2024Rev3.xlsx]D-PRBDP'!</v>
      </c>
      <c r="G2230" s="32" t="s">
        <v>115</v>
      </c>
      <c r="H2230" s="33"/>
      <c r="I2230" s="33"/>
      <c r="J2230" s="37"/>
    </row>
    <row r="2231" spans="1:10" x14ac:dyDescent="0.25">
      <c r="A2231" s="32" t="s">
        <v>99</v>
      </c>
      <c r="B2231" s="32">
        <f t="shared" si="543"/>
        <v>2048</v>
      </c>
      <c r="C2231" s="33" t="s">
        <v>20</v>
      </c>
      <c r="D2231" s="34" t="s">
        <v>1999</v>
      </c>
      <c r="E2231" s="35" t="str">
        <f t="shared" si="541"/>
        <v>PRBDP'!</v>
      </c>
      <c r="F2231" s="34" t="str">
        <f t="shared" si="542"/>
        <v>C:\Users\jaime.benazar\Quorum Business Solutions\Ecopetrol Prometeo - Documents\Planning Space Implementation\3. Analysis &amp; Design\Design\FC22\DRR Jaime\QUIFA-CAJÚA\Cajua\[CAJUA_CF_SEC_New_27-Feb-2024Rev3.xlsx]D-PRBDP'!</v>
      </c>
      <c r="G2231" s="32" t="s">
        <v>115</v>
      </c>
      <c r="H2231" s="33"/>
      <c r="I2231" s="33"/>
      <c r="J2231" s="37"/>
    </row>
    <row r="2232" spans="1:10" x14ac:dyDescent="0.25">
      <c r="A2232" s="32" t="s">
        <v>99</v>
      </c>
      <c r="B2232" s="32">
        <f t="shared" si="543"/>
        <v>2049</v>
      </c>
      <c r="C2232" s="33" t="s">
        <v>20</v>
      </c>
      <c r="D2232" s="34" t="s">
        <v>1999</v>
      </c>
      <c r="E2232" s="35" t="str">
        <f t="shared" si="541"/>
        <v>PRBDP'!</v>
      </c>
      <c r="F2232" s="34" t="str">
        <f t="shared" si="542"/>
        <v>C:\Users\jaime.benazar\Quorum Business Solutions\Ecopetrol Prometeo - Documents\Planning Space Implementation\3. Analysis &amp; Design\Design\FC22\DRR Jaime\QUIFA-CAJÚA\Cajua\[CAJUA_CF_SEC_New_27-Feb-2024Rev3.xlsx]D-PRBDP'!</v>
      </c>
      <c r="G2232" s="32" t="s">
        <v>115</v>
      </c>
      <c r="H2232" s="33"/>
      <c r="I2232" s="33"/>
      <c r="J2232" s="37"/>
    </row>
    <row r="2233" spans="1:10" x14ac:dyDescent="0.25">
      <c r="A2233" s="32" t="s">
        <v>99</v>
      </c>
      <c r="B2233" s="32">
        <f t="shared" si="543"/>
        <v>2050</v>
      </c>
      <c r="C2233" s="33" t="s">
        <v>20</v>
      </c>
      <c r="D2233" s="34" t="s">
        <v>1999</v>
      </c>
      <c r="E2233" s="35" t="str">
        <f t="shared" si="541"/>
        <v>PRBDP'!</v>
      </c>
      <c r="F2233" s="34" t="str">
        <f t="shared" si="542"/>
        <v>C:\Users\jaime.benazar\Quorum Business Solutions\Ecopetrol Prometeo - Documents\Planning Space Implementation\3. Analysis &amp; Design\Design\FC22\DRR Jaime\QUIFA-CAJÚA\Cajua\[CAJUA_CF_SEC_New_27-Feb-2024Rev3.xlsx]D-PRBDP'!</v>
      </c>
      <c r="G2233" s="32" t="s">
        <v>115</v>
      </c>
      <c r="H2233" s="33"/>
      <c r="I2233" s="33"/>
      <c r="J2233" s="37"/>
    </row>
    <row r="2234" spans="1:10" x14ac:dyDescent="0.25">
      <c r="A2234" s="32" t="s">
        <v>99</v>
      </c>
      <c r="B2234" s="32">
        <f t="shared" si="543"/>
        <v>2051</v>
      </c>
      <c r="C2234" s="33" t="s">
        <v>20</v>
      </c>
      <c r="D2234" s="34" t="s">
        <v>1999</v>
      </c>
      <c r="E2234" s="35" t="str">
        <f t="shared" si="541"/>
        <v>PRBDP'!</v>
      </c>
      <c r="F2234" s="34" t="str">
        <f t="shared" si="542"/>
        <v>C:\Users\jaime.benazar\Quorum Business Solutions\Ecopetrol Prometeo - Documents\Planning Space Implementation\3. Analysis &amp; Design\Design\FC22\DRR Jaime\QUIFA-CAJÚA\Cajua\[CAJUA_CF_SEC_New_27-Feb-2024Rev3.xlsx]D-PRBDP'!</v>
      </c>
      <c r="G2234" s="32" t="s">
        <v>115</v>
      </c>
      <c r="H2234" s="33"/>
      <c r="I2234" s="33"/>
      <c r="J2234" s="37"/>
    </row>
    <row r="2235" spans="1:10" x14ac:dyDescent="0.25">
      <c r="A2235" s="32" t="s">
        <v>99</v>
      </c>
      <c r="B2235" s="32">
        <f t="shared" si="543"/>
        <v>2052</v>
      </c>
      <c r="C2235" s="33" t="s">
        <v>20</v>
      </c>
      <c r="D2235" s="34" t="s">
        <v>1999</v>
      </c>
      <c r="E2235" s="35" t="str">
        <f t="shared" si="541"/>
        <v>PRBDP'!</v>
      </c>
      <c r="F2235" s="34" t="str">
        <f t="shared" si="542"/>
        <v>C:\Users\jaime.benazar\Quorum Business Solutions\Ecopetrol Prometeo - Documents\Planning Space Implementation\3. Analysis &amp; Design\Design\FC22\DRR Jaime\QUIFA-CAJÚA\Cajua\[CAJUA_CF_SEC_New_27-Feb-2024Rev3.xlsx]D-PRBDP'!</v>
      </c>
      <c r="G2235" s="32" t="s">
        <v>115</v>
      </c>
      <c r="H2235" s="33"/>
      <c r="I2235" s="33"/>
      <c r="J2235" s="37"/>
    </row>
    <row r="2236" spans="1:10" x14ac:dyDescent="0.25">
      <c r="A2236" s="32" t="s">
        <v>99</v>
      </c>
      <c r="B2236" s="32">
        <f t="shared" si="543"/>
        <v>2053</v>
      </c>
      <c r="C2236" s="33" t="s">
        <v>20</v>
      </c>
      <c r="D2236" s="34" t="s">
        <v>1999</v>
      </c>
      <c r="E2236" s="35" t="str">
        <f t="shared" si="541"/>
        <v>PRBDP'!</v>
      </c>
      <c r="F2236" s="34" t="str">
        <f t="shared" si="542"/>
        <v>C:\Users\jaime.benazar\Quorum Business Solutions\Ecopetrol Prometeo - Documents\Planning Space Implementation\3. Analysis &amp; Design\Design\FC22\DRR Jaime\QUIFA-CAJÚA\Cajua\[CAJUA_CF_SEC_New_27-Feb-2024Rev3.xlsx]D-PRBDP'!</v>
      </c>
      <c r="G2236" s="32" t="s">
        <v>115</v>
      </c>
      <c r="H2236" s="33"/>
      <c r="I2236" s="33"/>
      <c r="J2236" s="37"/>
    </row>
    <row r="2237" spans="1:10" x14ac:dyDescent="0.25">
      <c r="A2237" s="32" t="s">
        <v>99</v>
      </c>
      <c r="B2237" s="32">
        <f t="shared" si="543"/>
        <v>2054</v>
      </c>
      <c r="C2237" s="33" t="s">
        <v>20</v>
      </c>
      <c r="D2237" s="34" t="s">
        <v>1999</v>
      </c>
      <c r="E2237" s="35" t="str">
        <f t="shared" si="541"/>
        <v>PRBDP'!</v>
      </c>
      <c r="F2237" s="34" t="str">
        <f t="shared" si="542"/>
        <v>C:\Users\jaime.benazar\Quorum Business Solutions\Ecopetrol Prometeo - Documents\Planning Space Implementation\3. Analysis &amp; Design\Design\FC22\DRR Jaime\QUIFA-CAJÚA\Cajua\[CAJUA_CF_SEC_New_27-Feb-2024Rev3.xlsx]D-PRBDP'!</v>
      </c>
      <c r="G2237" s="32" t="s">
        <v>115</v>
      </c>
      <c r="H2237" s="33"/>
      <c r="I2237" s="33"/>
      <c r="J2237" s="37"/>
    </row>
    <row r="2238" spans="1:10" x14ac:dyDescent="0.25">
      <c r="A2238" s="32" t="s">
        <v>99</v>
      </c>
      <c r="B2238" s="32">
        <f t="shared" si="543"/>
        <v>2055</v>
      </c>
      <c r="C2238" s="33" t="s">
        <v>20</v>
      </c>
      <c r="D2238" s="34" t="s">
        <v>1999</v>
      </c>
      <c r="E2238" s="35" t="str">
        <f t="shared" si="541"/>
        <v>PRBDP'!</v>
      </c>
      <c r="F2238" s="34" t="str">
        <f t="shared" si="542"/>
        <v>C:\Users\jaime.benazar\Quorum Business Solutions\Ecopetrol Prometeo - Documents\Planning Space Implementation\3. Analysis &amp; Design\Design\FC22\DRR Jaime\QUIFA-CAJÚA\Cajua\[CAJUA_CF_SEC_New_27-Feb-2024Rev3.xlsx]D-PRBDP'!</v>
      </c>
      <c r="G2238" s="32" t="s">
        <v>115</v>
      </c>
      <c r="H2238" s="33"/>
      <c r="I2238" s="33"/>
      <c r="J2238" s="37"/>
    </row>
    <row r="2239" spans="1:10" x14ac:dyDescent="0.25">
      <c r="A2239" s="32" t="s">
        <v>99</v>
      </c>
      <c r="B2239" s="32">
        <f t="shared" si="543"/>
        <v>2056</v>
      </c>
      <c r="C2239" s="33" t="s">
        <v>20</v>
      </c>
      <c r="D2239" s="34" t="s">
        <v>1999</v>
      </c>
      <c r="E2239" s="35" t="str">
        <f t="shared" si="541"/>
        <v>PRBDP'!</v>
      </c>
      <c r="F2239" s="34" t="str">
        <f t="shared" si="542"/>
        <v>C:\Users\jaime.benazar\Quorum Business Solutions\Ecopetrol Prometeo - Documents\Planning Space Implementation\3. Analysis &amp; Design\Design\FC22\DRR Jaime\QUIFA-CAJÚA\Cajua\[CAJUA_CF_SEC_New_27-Feb-2024Rev3.xlsx]D-PRBDP'!</v>
      </c>
      <c r="G2239" s="32" t="s">
        <v>115</v>
      </c>
      <c r="H2239" s="33"/>
      <c r="I2239" s="33"/>
      <c r="J2239" s="37"/>
    </row>
    <row r="2240" spans="1:10" x14ac:dyDescent="0.25">
      <c r="A2240" s="32" t="s">
        <v>99</v>
      </c>
      <c r="B2240" s="32">
        <f t="shared" si="543"/>
        <v>2057</v>
      </c>
      <c r="C2240" s="33" t="s">
        <v>20</v>
      </c>
      <c r="D2240" s="34" t="s">
        <v>1999</v>
      </c>
      <c r="E2240" s="35" t="str">
        <f t="shared" si="541"/>
        <v>PRBDP'!</v>
      </c>
      <c r="F2240" s="34" t="str">
        <f t="shared" si="542"/>
        <v>C:\Users\jaime.benazar\Quorum Business Solutions\Ecopetrol Prometeo - Documents\Planning Space Implementation\3. Analysis &amp; Design\Design\FC22\DRR Jaime\QUIFA-CAJÚA\Cajua\[CAJUA_CF_SEC_New_27-Feb-2024Rev3.xlsx]D-PRBDP'!</v>
      </c>
      <c r="G2240" s="32" t="s">
        <v>115</v>
      </c>
      <c r="H2240" s="33"/>
      <c r="I2240" s="33"/>
      <c r="J2240" s="37"/>
    </row>
    <row r="2241" spans="1:10" x14ac:dyDescent="0.25">
      <c r="A2241" s="32" t="s">
        <v>99</v>
      </c>
      <c r="B2241" s="32">
        <f t="shared" si="543"/>
        <v>2058</v>
      </c>
      <c r="C2241" s="33" t="s">
        <v>20</v>
      </c>
      <c r="D2241" s="34" t="s">
        <v>1999</v>
      </c>
      <c r="E2241" s="35" t="str">
        <f t="shared" si="541"/>
        <v>PRBDP'!</v>
      </c>
      <c r="F2241" s="34" t="str">
        <f t="shared" si="542"/>
        <v>C:\Users\jaime.benazar\Quorum Business Solutions\Ecopetrol Prometeo - Documents\Planning Space Implementation\3. Analysis &amp; Design\Design\FC22\DRR Jaime\QUIFA-CAJÚA\Cajua\[CAJUA_CF_SEC_New_27-Feb-2024Rev3.xlsx]D-PRBDP'!</v>
      </c>
      <c r="G2241" s="32" t="s">
        <v>115</v>
      </c>
      <c r="H2241" s="33"/>
      <c r="I2241" s="33"/>
      <c r="J2241" s="37"/>
    </row>
    <row r="2242" spans="1:10" x14ac:dyDescent="0.25">
      <c r="A2242" s="32" t="s">
        <v>99</v>
      </c>
      <c r="B2242" s="32">
        <f t="shared" si="543"/>
        <v>2059</v>
      </c>
      <c r="C2242" s="33" t="s">
        <v>20</v>
      </c>
      <c r="D2242" s="34" t="s">
        <v>1999</v>
      </c>
      <c r="E2242" s="35" t="str">
        <f t="shared" si="541"/>
        <v>PRBDP'!</v>
      </c>
      <c r="F2242" s="34" t="str">
        <f t="shared" si="542"/>
        <v>C:\Users\jaime.benazar\Quorum Business Solutions\Ecopetrol Prometeo - Documents\Planning Space Implementation\3. Analysis &amp; Design\Design\FC22\DRR Jaime\QUIFA-CAJÚA\Cajua\[CAJUA_CF_SEC_New_27-Feb-2024Rev3.xlsx]D-PRBDP'!</v>
      </c>
      <c r="G2242" s="32" t="s">
        <v>115</v>
      </c>
      <c r="H2242" s="33"/>
      <c r="I2242" s="33"/>
      <c r="J2242" s="37"/>
    </row>
    <row r="2243" spans="1:10" x14ac:dyDescent="0.25">
      <c r="A2243" s="32" t="s">
        <v>28</v>
      </c>
      <c r="B2243" s="32"/>
      <c r="C2243" s="33" t="s">
        <v>20</v>
      </c>
      <c r="D2243" s="34"/>
      <c r="E2243" s="35"/>
      <c r="F2243" s="34"/>
      <c r="G2243" s="32"/>
      <c r="H2243" s="33"/>
      <c r="I2243" s="33"/>
      <c r="J2243" s="33"/>
    </row>
    <row r="2244" spans="1:10" x14ac:dyDescent="0.25">
      <c r="A2244" s="32" t="s">
        <v>100</v>
      </c>
      <c r="B2244" s="32">
        <v>2023</v>
      </c>
      <c r="C2244" s="33" t="s">
        <v>20</v>
      </c>
      <c r="D2244" s="34" t="s">
        <v>1999</v>
      </c>
      <c r="E2244" s="35" t="str">
        <f t="shared" ref="E2244:E2264" si="544">_xlfn.CONCAT(A2244,"'!")</f>
        <v>PRBNP'!</v>
      </c>
      <c r="F2244" s="34" t="str">
        <f t="shared" ref="F2244:F2264" si="545">_xlfn.CONCAT(D2244:E2244)</f>
        <v>C:\Users\jaime.benazar\Quorum Business Solutions\Ecopetrol Prometeo - Documents\Planning Space Implementation\3. Analysis &amp; Design\Design\FC22\DRR Jaime\QUIFA-CAJÚA\Cajua\[CAJUA_CF_SEC_New_27-Feb-2024Rev3.xlsx]D-PRBNP'!</v>
      </c>
      <c r="G2244" s="32" t="s">
        <v>115</v>
      </c>
      <c r="H2244" s="33"/>
      <c r="I2244" s="33"/>
      <c r="J2244" s="37"/>
    </row>
    <row r="2245" spans="1:10" x14ac:dyDescent="0.25">
      <c r="A2245" s="32" t="s">
        <v>100</v>
      </c>
      <c r="B2245" s="32">
        <f>+B2244+1</f>
        <v>2024</v>
      </c>
      <c r="C2245" s="33" t="s">
        <v>20</v>
      </c>
      <c r="D2245" s="34" t="s">
        <v>1999</v>
      </c>
      <c r="E2245" s="35" t="str">
        <f t="shared" si="544"/>
        <v>PRBNP'!</v>
      </c>
      <c r="F2245" s="34" t="str">
        <f t="shared" si="545"/>
        <v>C:\Users\jaime.benazar\Quorum Business Solutions\Ecopetrol Prometeo - Documents\Planning Space Implementation\3. Analysis &amp; Design\Design\FC22\DRR Jaime\QUIFA-CAJÚA\Cajua\[CAJUA_CF_SEC_New_27-Feb-2024Rev3.xlsx]D-PRBNP'!</v>
      </c>
      <c r="G2245" s="32" t="s">
        <v>115</v>
      </c>
      <c r="H2245" s="33"/>
      <c r="I2245" s="33"/>
      <c r="J2245" s="37"/>
    </row>
    <row r="2246" spans="1:10" x14ac:dyDescent="0.25">
      <c r="A2246" s="32" t="s">
        <v>100</v>
      </c>
      <c r="B2246" s="32">
        <f t="shared" ref="B2246:B2257" si="546">+B2245+1</f>
        <v>2025</v>
      </c>
      <c r="C2246" s="33" t="s">
        <v>20</v>
      </c>
      <c r="D2246" s="34" t="s">
        <v>1999</v>
      </c>
      <c r="E2246" s="35" t="str">
        <f t="shared" si="544"/>
        <v>PRBNP'!</v>
      </c>
      <c r="F2246" s="34" t="str">
        <f t="shared" si="545"/>
        <v>C:\Users\jaime.benazar\Quorum Business Solutions\Ecopetrol Prometeo - Documents\Planning Space Implementation\3. Analysis &amp; Design\Design\FC22\DRR Jaime\QUIFA-CAJÚA\Cajua\[CAJUA_CF_SEC_New_27-Feb-2024Rev3.xlsx]D-PRBNP'!</v>
      </c>
      <c r="G2246" s="32" t="s">
        <v>115</v>
      </c>
      <c r="H2246" s="33"/>
      <c r="I2246" s="33"/>
      <c r="J2246" s="37"/>
    </row>
    <row r="2247" spans="1:10" x14ac:dyDescent="0.25">
      <c r="A2247" s="32" t="s">
        <v>100</v>
      </c>
      <c r="B2247" s="32">
        <f t="shared" si="546"/>
        <v>2026</v>
      </c>
      <c r="C2247" s="33" t="s">
        <v>20</v>
      </c>
      <c r="D2247" s="34" t="s">
        <v>1999</v>
      </c>
      <c r="E2247" s="35" t="str">
        <f t="shared" si="544"/>
        <v>PRBNP'!</v>
      </c>
      <c r="F2247" s="34" t="str">
        <f t="shared" si="545"/>
        <v>C:\Users\jaime.benazar\Quorum Business Solutions\Ecopetrol Prometeo - Documents\Planning Space Implementation\3. Analysis &amp; Design\Design\FC22\DRR Jaime\QUIFA-CAJÚA\Cajua\[CAJUA_CF_SEC_New_27-Feb-2024Rev3.xlsx]D-PRBNP'!</v>
      </c>
      <c r="G2247" s="32" t="s">
        <v>115</v>
      </c>
      <c r="H2247" s="33"/>
      <c r="I2247" s="33"/>
      <c r="J2247" s="37"/>
    </row>
    <row r="2248" spans="1:10" x14ac:dyDescent="0.25">
      <c r="A2248" s="32" t="s">
        <v>100</v>
      </c>
      <c r="B2248" s="32">
        <f t="shared" si="546"/>
        <v>2027</v>
      </c>
      <c r="C2248" s="33" t="s">
        <v>20</v>
      </c>
      <c r="D2248" s="34" t="s">
        <v>1999</v>
      </c>
      <c r="E2248" s="35" t="str">
        <f t="shared" si="544"/>
        <v>PRBNP'!</v>
      </c>
      <c r="F2248" s="34" t="str">
        <f t="shared" si="545"/>
        <v>C:\Users\jaime.benazar\Quorum Business Solutions\Ecopetrol Prometeo - Documents\Planning Space Implementation\3. Analysis &amp; Design\Design\FC22\DRR Jaime\QUIFA-CAJÚA\Cajua\[CAJUA_CF_SEC_New_27-Feb-2024Rev3.xlsx]D-PRBNP'!</v>
      </c>
      <c r="G2248" s="32" t="s">
        <v>115</v>
      </c>
      <c r="H2248" s="33"/>
      <c r="I2248" s="33"/>
      <c r="J2248" s="37"/>
    </row>
    <row r="2249" spans="1:10" x14ac:dyDescent="0.25">
      <c r="A2249" s="32" t="s">
        <v>100</v>
      </c>
      <c r="B2249" s="32">
        <f t="shared" si="546"/>
        <v>2028</v>
      </c>
      <c r="C2249" s="33" t="s">
        <v>20</v>
      </c>
      <c r="D2249" s="34" t="s">
        <v>1999</v>
      </c>
      <c r="E2249" s="35" t="str">
        <f t="shared" si="544"/>
        <v>PRBNP'!</v>
      </c>
      <c r="F2249" s="34" t="str">
        <f t="shared" si="545"/>
        <v>C:\Users\jaime.benazar\Quorum Business Solutions\Ecopetrol Prometeo - Documents\Planning Space Implementation\3. Analysis &amp; Design\Design\FC22\DRR Jaime\QUIFA-CAJÚA\Cajua\[CAJUA_CF_SEC_New_27-Feb-2024Rev3.xlsx]D-PRBNP'!</v>
      </c>
      <c r="G2249" s="32" t="s">
        <v>115</v>
      </c>
      <c r="H2249" s="33"/>
      <c r="I2249" s="33"/>
      <c r="J2249" s="37"/>
    </row>
    <row r="2250" spans="1:10" x14ac:dyDescent="0.25">
      <c r="A2250" s="32" t="s">
        <v>100</v>
      </c>
      <c r="B2250" s="32">
        <f t="shared" si="546"/>
        <v>2029</v>
      </c>
      <c r="C2250" s="33" t="s">
        <v>20</v>
      </c>
      <c r="D2250" s="34" t="s">
        <v>1999</v>
      </c>
      <c r="E2250" s="35" t="str">
        <f t="shared" si="544"/>
        <v>PRBNP'!</v>
      </c>
      <c r="F2250" s="34" t="str">
        <f t="shared" si="545"/>
        <v>C:\Users\jaime.benazar\Quorum Business Solutions\Ecopetrol Prometeo - Documents\Planning Space Implementation\3. Analysis &amp; Design\Design\FC22\DRR Jaime\QUIFA-CAJÚA\Cajua\[CAJUA_CF_SEC_New_27-Feb-2024Rev3.xlsx]D-PRBNP'!</v>
      </c>
      <c r="G2250" s="32" t="s">
        <v>115</v>
      </c>
      <c r="H2250" s="33"/>
      <c r="I2250" s="33"/>
      <c r="J2250" s="37"/>
    </row>
    <row r="2251" spans="1:10" x14ac:dyDescent="0.25">
      <c r="A2251" s="32" t="s">
        <v>100</v>
      </c>
      <c r="B2251" s="32">
        <f t="shared" si="546"/>
        <v>2030</v>
      </c>
      <c r="C2251" s="33" t="s">
        <v>20</v>
      </c>
      <c r="D2251" s="34" t="s">
        <v>1999</v>
      </c>
      <c r="E2251" s="35" t="str">
        <f t="shared" si="544"/>
        <v>PRBNP'!</v>
      </c>
      <c r="F2251" s="34" t="str">
        <f t="shared" si="545"/>
        <v>C:\Users\jaime.benazar\Quorum Business Solutions\Ecopetrol Prometeo - Documents\Planning Space Implementation\3. Analysis &amp; Design\Design\FC22\DRR Jaime\QUIFA-CAJÚA\Cajua\[CAJUA_CF_SEC_New_27-Feb-2024Rev3.xlsx]D-PRBNP'!</v>
      </c>
      <c r="G2251" s="32" t="s">
        <v>115</v>
      </c>
      <c r="H2251" s="33"/>
      <c r="I2251" s="33"/>
      <c r="J2251" s="37"/>
    </row>
    <row r="2252" spans="1:10" x14ac:dyDescent="0.25">
      <c r="A2252" s="32" t="s">
        <v>100</v>
      </c>
      <c r="B2252" s="32">
        <f t="shared" si="546"/>
        <v>2031</v>
      </c>
      <c r="C2252" s="33" t="s">
        <v>20</v>
      </c>
      <c r="D2252" s="34" t="s">
        <v>1999</v>
      </c>
      <c r="E2252" s="35" t="str">
        <f t="shared" si="544"/>
        <v>PRBNP'!</v>
      </c>
      <c r="F2252" s="34" t="str">
        <f t="shared" si="545"/>
        <v>C:\Users\jaime.benazar\Quorum Business Solutions\Ecopetrol Prometeo - Documents\Planning Space Implementation\3. Analysis &amp; Design\Design\FC22\DRR Jaime\QUIFA-CAJÚA\Cajua\[CAJUA_CF_SEC_New_27-Feb-2024Rev3.xlsx]D-PRBNP'!</v>
      </c>
      <c r="G2252" s="32" t="s">
        <v>115</v>
      </c>
      <c r="H2252" s="33"/>
      <c r="I2252" s="33"/>
      <c r="J2252" s="37"/>
    </row>
    <row r="2253" spans="1:10" x14ac:dyDescent="0.25">
      <c r="A2253" s="32" t="s">
        <v>100</v>
      </c>
      <c r="B2253" s="32">
        <f t="shared" si="546"/>
        <v>2032</v>
      </c>
      <c r="C2253" s="33" t="s">
        <v>20</v>
      </c>
      <c r="D2253" s="34" t="s">
        <v>1999</v>
      </c>
      <c r="E2253" s="35" t="str">
        <f t="shared" si="544"/>
        <v>PRBNP'!</v>
      </c>
      <c r="F2253" s="34" t="str">
        <f t="shared" si="545"/>
        <v>C:\Users\jaime.benazar\Quorum Business Solutions\Ecopetrol Prometeo - Documents\Planning Space Implementation\3. Analysis &amp; Design\Design\FC22\DRR Jaime\QUIFA-CAJÚA\Cajua\[CAJUA_CF_SEC_New_27-Feb-2024Rev3.xlsx]D-PRBNP'!</v>
      </c>
      <c r="G2253" s="32" t="s">
        <v>115</v>
      </c>
      <c r="H2253" s="33"/>
      <c r="I2253" s="33"/>
      <c r="J2253" s="37"/>
    </row>
    <row r="2254" spans="1:10" x14ac:dyDescent="0.25">
      <c r="A2254" s="32" t="s">
        <v>100</v>
      </c>
      <c r="B2254" s="32">
        <f t="shared" si="546"/>
        <v>2033</v>
      </c>
      <c r="C2254" s="33" t="s">
        <v>20</v>
      </c>
      <c r="D2254" s="34" t="s">
        <v>1999</v>
      </c>
      <c r="E2254" s="35" t="str">
        <f t="shared" si="544"/>
        <v>PRBNP'!</v>
      </c>
      <c r="F2254" s="34" t="str">
        <f t="shared" si="545"/>
        <v>C:\Users\jaime.benazar\Quorum Business Solutions\Ecopetrol Prometeo - Documents\Planning Space Implementation\3. Analysis &amp; Design\Design\FC22\DRR Jaime\QUIFA-CAJÚA\Cajua\[CAJUA_CF_SEC_New_27-Feb-2024Rev3.xlsx]D-PRBNP'!</v>
      </c>
      <c r="G2254" s="32" t="s">
        <v>115</v>
      </c>
      <c r="H2254" s="33"/>
      <c r="I2254" s="33"/>
      <c r="J2254" s="37"/>
    </row>
    <row r="2255" spans="1:10" x14ac:dyDescent="0.25">
      <c r="A2255" s="32" t="s">
        <v>100</v>
      </c>
      <c r="B2255" s="32">
        <f t="shared" si="546"/>
        <v>2034</v>
      </c>
      <c r="C2255" s="33" t="s">
        <v>20</v>
      </c>
      <c r="D2255" s="34" t="s">
        <v>1999</v>
      </c>
      <c r="E2255" s="35" t="str">
        <f t="shared" si="544"/>
        <v>PRBNP'!</v>
      </c>
      <c r="F2255" s="34" t="str">
        <f t="shared" si="545"/>
        <v>C:\Users\jaime.benazar\Quorum Business Solutions\Ecopetrol Prometeo - Documents\Planning Space Implementation\3. Analysis &amp; Design\Design\FC22\DRR Jaime\QUIFA-CAJÚA\Cajua\[CAJUA_CF_SEC_New_27-Feb-2024Rev3.xlsx]D-PRBNP'!</v>
      </c>
      <c r="G2255" s="32" t="s">
        <v>115</v>
      </c>
      <c r="H2255" s="33"/>
      <c r="I2255" s="33"/>
      <c r="J2255" s="37"/>
    </row>
    <row r="2256" spans="1:10" x14ac:dyDescent="0.25">
      <c r="A2256" s="32" t="s">
        <v>100</v>
      </c>
      <c r="B2256" s="32">
        <f t="shared" si="546"/>
        <v>2035</v>
      </c>
      <c r="C2256" s="33" t="s">
        <v>20</v>
      </c>
      <c r="D2256" s="34" t="s">
        <v>1999</v>
      </c>
      <c r="E2256" s="35" t="str">
        <f t="shared" si="544"/>
        <v>PRBNP'!</v>
      </c>
      <c r="F2256" s="34" t="str">
        <f t="shared" si="545"/>
        <v>C:\Users\jaime.benazar\Quorum Business Solutions\Ecopetrol Prometeo - Documents\Planning Space Implementation\3. Analysis &amp; Design\Design\FC22\DRR Jaime\QUIFA-CAJÚA\Cajua\[CAJUA_CF_SEC_New_27-Feb-2024Rev3.xlsx]D-PRBNP'!</v>
      </c>
      <c r="G2256" s="32" t="s">
        <v>115</v>
      </c>
      <c r="H2256" s="33"/>
      <c r="I2256" s="33"/>
      <c r="J2256" s="37"/>
    </row>
    <row r="2257" spans="1:10" x14ac:dyDescent="0.25">
      <c r="A2257" s="32" t="s">
        <v>100</v>
      </c>
      <c r="B2257" s="32">
        <f t="shared" si="546"/>
        <v>2036</v>
      </c>
      <c r="C2257" s="33" t="s">
        <v>20</v>
      </c>
      <c r="D2257" s="34" t="s">
        <v>1999</v>
      </c>
      <c r="E2257" s="35" t="str">
        <f t="shared" si="544"/>
        <v>PRBNP'!</v>
      </c>
      <c r="F2257" s="34" t="str">
        <f t="shared" si="545"/>
        <v>C:\Users\jaime.benazar\Quorum Business Solutions\Ecopetrol Prometeo - Documents\Planning Space Implementation\3. Analysis &amp; Design\Design\FC22\DRR Jaime\QUIFA-CAJÚA\Cajua\[CAJUA_CF_SEC_New_27-Feb-2024Rev3.xlsx]D-PRBNP'!</v>
      </c>
      <c r="G2257" s="32" t="s">
        <v>115</v>
      </c>
      <c r="H2257" s="33"/>
      <c r="I2257" s="33"/>
      <c r="J2257" s="37"/>
    </row>
    <row r="2258" spans="1:10" x14ac:dyDescent="0.25">
      <c r="A2258" s="32" t="s">
        <v>100</v>
      </c>
      <c r="B2258" s="32">
        <f>+B2257+1</f>
        <v>2037</v>
      </c>
      <c r="C2258" s="33" t="s">
        <v>20</v>
      </c>
      <c r="D2258" s="34" t="s">
        <v>1999</v>
      </c>
      <c r="E2258" s="35" t="str">
        <f t="shared" si="544"/>
        <v>PRBNP'!</v>
      </c>
      <c r="F2258" s="34" t="str">
        <f t="shared" si="545"/>
        <v>C:\Users\jaime.benazar\Quorum Business Solutions\Ecopetrol Prometeo - Documents\Planning Space Implementation\3. Analysis &amp; Design\Design\FC22\DRR Jaime\QUIFA-CAJÚA\Cajua\[CAJUA_CF_SEC_New_27-Feb-2024Rev3.xlsx]D-PRBNP'!</v>
      </c>
      <c r="G2258" s="32" t="s">
        <v>115</v>
      </c>
      <c r="H2258" s="33"/>
      <c r="I2258" s="33"/>
      <c r="J2258" s="37"/>
    </row>
    <row r="2259" spans="1:10" x14ac:dyDescent="0.25">
      <c r="A2259" s="32" t="s">
        <v>100</v>
      </c>
      <c r="B2259" s="32">
        <f t="shared" ref="B2259:B2261" si="547">+B2258+1</f>
        <v>2038</v>
      </c>
      <c r="C2259" s="33" t="s">
        <v>20</v>
      </c>
      <c r="D2259" s="34" t="s">
        <v>1999</v>
      </c>
      <c r="E2259" s="35" t="str">
        <f t="shared" si="544"/>
        <v>PRBNP'!</v>
      </c>
      <c r="F2259" s="34" t="str">
        <f t="shared" si="545"/>
        <v>C:\Users\jaime.benazar\Quorum Business Solutions\Ecopetrol Prometeo - Documents\Planning Space Implementation\3. Analysis &amp; Design\Design\FC22\DRR Jaime\QUIFA-CAJÚA\Cajua\[CAJUA_CF_SEC_New_27-Feb-2024Rev3.xlsx]D-PRBNP'!</v>
      </c>
      <c r="G2259" s="32" t="s">
        <v>115</v>
      </c>
      <c r="H2259" s="33"/>
      <c r="I2259" s="33"/>
      <c r="J2259" s="37"/>
    </row>
    <row r="2260" spans="1:10" x14ac:dyDescent="0.25">
      <c r="A2260" s="32" t="s">
        <v>100</v>
      </c>
      <c r="B2260" s="32">
        <f t="shared" si="547"/>
        <v>2039</v>
      </c>
      <c r="C2260" s="33" t="s">
        <v>20</v>
      </c>
      <c r="D2260" s="34" t="s">
        <v>1999</v>
      </c>
      <c r="E2260" s="35" t="str">
        <f t="shared" si="544"/>
        <v>PRBNP'!</v>
      </c>
      <c r="F2260" s="34" t="str">
        <f t="shared" si="545"/>
        <v>C:\Users\jaime.benazar\Quorum Business Solutions\Ecopetrol Prometeo - Documents\Planning Space Implementation\3. Analysis &amp; Design\Design\FC22\DRR Jaime\QUIFA-CAJÚA\Cajua\[CAJUA_CF_SEC_New_27-Feb-2024Rev3.xlsx]D-PRBNP'!</v>
      </c>
      <c r="G2260" s="32" t="s">
        <v>115</v>
      </c>
      <c r="H2260" s="33"/>
      <c r="I2260" s="33"/>
      <c r="J2260" s="37"/>
    </row>
    <row r="2261" spans="1:10" x14ac:dyDescent="0.25">
      <c r="A2261" s="32" t="s">
        <v>100</v>
      </c>
      <c r="B2261" s="32">
        <f t="shared" si="547"/>
        <v>2040</v>
      </c>
      <c r="C2261" s="33" t="s">
        <v>20</v>
      </c>
      <c r="D2261" s="34" t="s">
        <v>1999</v>
      </c>
      <c r="E2261" s="35" t="str">
        <f t="shared" si="544"/>
        <v>PRBNP'!</v>
      </c>
      <c r="F2261" s="34" t="str">
        <f t="shared" si="545"/>
        <v>C:\Users\jaime.benazar\Quorum Business Solutions\Ecopetrol Prometeo - Documents\Planning Space Implementation\3. Analysis &amp; Design\Design\FC22\DRR Jaime\QUIFA-CAJÚA\Cajua\[CAJUA_CF_SEC_New_27-Feb-2024Rev3.xlsx]D-PRBNP'!</v>
      </c>
      <c r="G2261" s="32" t="s">
        <v>115</v>
      </c>
      <c r="H2261" s="33"/>
      <c r="I2261" s="33"/>
      <c r="J2261" s="37"/>
    </row>
    <row r="2262" spans="1:10" x14ac:dyDescent="0.25">
      <c r="A2262" s="32" t="s">
        <v>100</v>
      </c>
      <c r="B2262" s="32">
        <f>+B2261+1</f>
        <v>2041</v>
      </c>
      <c r="C2262" s="33" t="s">
        <v>20</v>
      </c>
      <c r="D2262" s="34" t="s">
        <v>1999</v>
      </c>
      <c r="E2262" s="35" t="str">
        <f t="shared" si="544"/>
        <v>PRBNP'!</v>
      </c>
      <c r="F2262" s="34" t="str">
        <f t="shared" si="545"/>
        <v>C:\Users\jaime.benazar\Quorum Business Solutions\Ecopetrol Prometeo - Documents\Planning Space Implementation\3. Analysis &amp; Design\Design\FC22\DRR Jaime\QUIFA-CAJÚA\Cajua\[CAJUA_CF_SEC_New_27-Feb-2024Rev3.xlsx]D-PRBNP'!</v>
      </c>
      <c r="G2262" s="32" t="s">
        <v>115</v>
      </c>
      <c r="H2262" s="33"/>
      <c r="I2262" s="33"/>
      <c r="J2262" s="37"/>
    </row>
    <row r="2263" spans="1:10" x14ac:dyDescent="0.25">
      <c r="A2263" s="32" t="s">
        <v>100</v>
      </c>
      <c r="B2263" s="32">
        <f t="shared" ref="B2263:B2264" si="548">+B2262+1</f>
        <v>2042</v>
      </c>
      <c r="C2263" s="33" t="s">
        <v>20</v>
      </c>
      <c r="D2263" s="34" t="s">
        <v>1999</v>
      </c>
      <c r="E2263" s="35" t="str">
        <f t="shared" si="544"/>
        <v>PRBNP'!</v>
      </c>
      <c r="F2263" s="34" t="str">
        <f t="shared" si="545"/>
        <v>C:\Users\jaime.benazar\Quorum Business Solutions\Ecopetrol Prometeo - Documents\Planning Space Implementation\3. Analysis &amp; Design\Design\FC22\DRR Jaime\QUIFA-CAJÚA\Cajua\[CAJUA_CF_SEC_New_27-Feb-2024Rev3.xlsx]D-PRBNP'!</v>
      </c>
      <c r="G2263" s="32" t="s">
        <v>115</v>
      </c>
      <c r="H2263" s="33"/>
      <c r="I2263" s="33"/>
      <c r="J2263" s="37"/>
    </row>
    <row r="2264" spans="1:10" x14ac:dyDescent="0.25">
      <c r="A2264" s="32" t="s">
        <v>100</v>
      </c>
      <c r="B2264" s="32">
        <f t="shared" si="548"/>
        <v>2043</v>
      </c>
      <c r="C2264" s="33" t="s">
        <v>20</v>
      </c>
      <c r="D2264" s="34" t="s">
        <v>1999</v>
      </c>
      <c r="E2264" s="35" t="str">
        <f t="shared" si="544"/>
        <v>PRBNP'!</v>
      </c>
      <c r="F2264" s="34" t="str">
        <f t="shared" si="545"/>
        <v>C:\Users\jaime.benazar\Quorum Business Solutions\Ecopetrol Prometeo - Documents\Planning Space Implementation\3. Analysis &amp; Design\Design\FC22\DRR Jaime\QUIFA-CAJÚA\Cajua\[CAJUA_CF_SEC_New_27-Feb-2024Rev3.xlsx]D-PRBNP'!</v>
      </c>
      <c r="G2264" s="32" t="s">
        <v>115</v>
      </c>
      <c r="H2264" s="33"/>
      <c r="I2264" s="33"/>
      <c r="J2264" s="37"/>
    </row>
    <row r="2265" spans="1:10" x14ac:dyDescent="0.25">
      <c r="A2265" s="32" t="s">
        <v>100</v>
      </c>
      <c r="B2265" s="32">
        <f>+B2264+1</f>
        <v>2044</v>
      </c>
      <c r="C2265" s="33" t="s">
        <v>20</v>
      </c>
      <c r="D2265" s="34" t="s">
        <v>1999</v>
      </c>
      <c r="E2265" s="35" t="str">
        <f t="shared" ref="E2265:E2280" si="549">_xlfn.CONCAT(A2265,"'!")</f>
        <v>PRBNP'!</v>
      </c>
      <c r="F2265" s="34" t="str">
        <f t="shared" ref="F2265:F2280" si="550">_xlfn.CONCAT(D2265:E2265)</f>
        <v>C:\Users\jaime.benazar\Quorum Business Solutions\Ecopetrol Prometeo - Documents\Planning Space Implementation\3. Analysis &amp; Design\Design\FC22\DRR Jaime\QUIFA-CAJÚA\Cajua\[CAJUA_CF_SEC_New_27-Feb-2024Rev3.xlsx]D-PRBNP'!</v>
      </c>
      <c r="G2265" s="32" t="s">
        <v>115</v>
      </c>
      <c r="H2265" s="33"/>
      <c r="I2265" s="33"/>
      <c r="J2265" s="37"/>
    </row>
    <row r="2266" spans="1:10" x14ac:dyDescent="0.25">
      <c r="A2266" s="32" t="s">
        <v>100</v>
      </c>
      <c r="B2266" s="32">
        <f t="shared" ref="B2266:B2280" si="551">+B2265+1</f>
        <v>2045</v>
      </c>
      <c r="C2266" s="33" t="s">
        <v>20</v>
      </c>
      <c r="D2266" s="34" t="s">
        <v>1999</v>
      </c>
      <c r="E2266" s="35" t="str">
        <f t="shared" si="549"/>
        <v>PRBNP'!</v>
      </c>
      <c r="F2266" s="34" t="str">
        <f t="shared" si="550"/>
        <v>C:\Users\jaime.benazar\Quorum Business Solutions\Ecopetrol Prometeo - Documents\Planning Space Implementation\3. Analysis &amp; Design\Design\FC22\DRR Jaime\QUIFA-CAJÚA\Cajua\[CAJUA_CF_SEC_New_27-Feb-2024Rev3.xlsx]D-PRBNP'!</v>
      </c>
      <c r="G2266" s="32" t="s">
        <v>115</v>
      </c>
      <c r="H2266" s="33"/>
      <c r="I2266" s="33"/>
      <c r="J2266" s="37"/>
    </row>
    <row r="2267" spans="1:10" x14ac:dyDescent="0.25">
      <c r="A2267" s="32" t="s">
        <v>100</v>
      </c>
      <c r="B2267" s="32">
        <f t="shared" si="551"/>
        <v>2046</v>
      </c>
      <c r="C2267" s="33" t="s">
        <v>20</v>
      </c>
      <c r="D2267" s="34" t="s">
        <v>1999</v>
      </c>
      <c r="E2267" s="35" t="str">
        <f t="shared" si="549"/>
        <v>PRBNP'!</v>
      </c>
      <c r="F2267" s="34" t="str">
        <f t="shared" si="550"/>
        <v>C:\Users\jaime.benazar\Quorum Business Solutions\Ecopetrol Prometeo - Documents\Planning Space Implementation\3. Analysis &amp; Design\Design\FC22\DRR Jaime\QUIFA-CAJÚA\Cajua\[CAJUA_CF_SEC_New_27-Feb-2024Rev3.xlsx]D-PRBNP'!</v>
      </c>
      <c r="G2267" s="32" t="s">
        <v>115</v>
      </c>
      <c r="H2267" s="33"/>
      <c r="I2267" s="33"/>
      <c r="J2267" s="37"/>
    </row>
    <row r="2268" spans="1:10" x14ac:dyDescent="0.25">
      <c r="A2268" s="32" t="s">
        <v>100</v>
      </c>
      <c r="B2268" s="32">
        <f t="shared" si="551"/>
        <v>2047</v>
      </c>
      <c r="C2268" s="33" t="s">
        <v>20</v>
      </c>
      <c r="D2268" s="34" t="s">
        <v>1999</v>
      </c>
      <c r="E2268" s="35" t="str">
        <f t="shared" si="549"/>
        <v>PRBNP'!</v>
      </c>
      <c r="F2268" s="34" t="str">
        <f t="shared" si="550"/>
        <v>C:\Users\jaime.benazar\Quorum Business Solutions\Ecopetrol Prometeo - Documents\Planning Space Implementation\3. Analysis &amp; Design\Design\FC22\DRR Jaime\QUIFA-CAJÚA\Cajua\[CAJUA_CF_SEC_New_27-Feb-2024Rev3.xlsx]D-PRBNP'!</v>
      </c>
      <c r="G2268" s="32" t="s">
        <v>115</v>
      </c>
      <c r="H2268" s="33"/>
      <c r="I2268" s="33"/>
      <c r="J2268" s="37"/>
    </row>
    <row r="2269" spans="1:10" x14ac:dyDescent="0.25">
      <c r="A2269" s="32" t="s">
        <v>100</v>
      </c>
      <c r="B2269" s="32">
        <f t="shared" si="551"/>
        <v>2048</v>
      </c>
      <c r="C2269" s="33" t="s">
        <v>20</v>
      </c>
      <c r="D2269" s="34" t="s">
        <v>1999</v>
      </c>
      <c r="E2269" s="35" t="str">
        <f t="shared" si="549"/>
        <v>PRBNP'!</v>
      </c>
      <c r="F2269" s="34" t="str">
        <f t="shared" si="550"/>
        <v>C:\Users\jaime.benazar\Quorum Business Solutions\Ecopetrol Prometeo - Documents\Planning Space Implementation\3. Analysis &amp; Design\Design\FC22\DRR Jaime\QUIFA-CAJÚA\Cajua\[CAJUA_CF_SEC_New_27-Feb-2024Rev3.xlsx]D-PRBNP'!</v>
      </c>
      <c r="G2269" s="32" t="s">
        <v>115</v>
      </c>
      <c r="H2269" s="33"/>
      <c r="I2269" s="33"/>
      <c r="J2269" s="37"/>
    </row>
    <row r="2270" spans="1:10" x14ac:dyDescent="0.25">
      <c r="A2270" s="32" t="s">
        <v>100</v>
      </c>
      <c r="B2270" s="32">
        <f t="shared" si="551"/>
        <v>2049</v>
      </c>
      <c r="C2270" s="33" t="s">
        <v>20</v>
      </c>
      <c r="D2270" s="34" t="s">
        <v>1999</v>
      </c>
      <c r="E2270" s="35" t="str">
        <f t="shared" si="549"/>
        <v>PRBNP'!</v>
      </c>
      <c r="F2270" s="34" t="str">
        <f t="shared" si="550"/>
        <v>C:\Users\jaime.benazar\Quorum Business Solutions\Ecopetrol Prometeo - Documents\Planning Space Implementation\3. Analysis &amp; Design\Design\FC22\DRR Jaime\QUIFA-CAJÚA\Cajua\[CAJUA_CF_SEC_New_27-Feb-2024Rev3.xlsx]D-PRBNP'!</v>
      </c>
      <c r="G2270" s="32" t="s">
        <v>115</v>
      </c>
      <c r="H2270" s="33"/>
      <c r="I2270" s="33"/>
      <c r="J2270" s="37"/>
    </row>
    <row r="2271" spans="1:10" x14ac:dyDescent="0.25">
      <c r="A2271" s="32" t="s">
        <v>100</v>
      </c>
      <c r="B2271" s="32">
        <f t="shared" si="551"/>
        <v>2050</v>
      </c>
      <c r="C2271" s="33" t="s">
        <v>20</v>
      </c>
      <c r="D2271" s="34" t="s">
        <v>1999</v>
      </c>
      <c r="E2271" s="35" t="str">
        <f t="shared" si="549"/>
        <v>PRBNP'!</v>
      </c>
      <c r="F2271" s="34" t="str">
        <f t="shared" si="550"/>
        <v>C:\Users\jaime.benazar\Quorum Business Solutions\Ecopetrol Prometeo - Documents\Planning Space Implementation\3. Analysis &amp; Design\Design\FC22\DRR Jaime\QUIFA-CAJÚA\Cajua\[CAJUA_CF_SEC_New_27-Feb-2024Rev3.xlsx]D-PRBNP'!</v>
      </c>
      <c r="G2271" s="32" t="s">
        <v>115</v>
      </c>
      <c r="H2271" s="33"/>
      <c r="I2271" s="33"/>
      <c r="J2271" s="37"/>
    </row>
    <row r="2272" spans="1:10" x14ac:dyDescent="0.25">
      <c r="A2272" s="32" t="s">
        <v>100</v>
      </c>
      <c r="B2272" s="32">
        <f t="shared" si="551"/>
        <v>2051</v>
      </c>
      <c r="C2272" s="33" t="s">
        <v>20</v>
      </c>
      <c r="D2272" s="34" t="s">
        <v>1999</v>
      </c>
      <c r="E2272" s="35" t="str">
        <f t="shared" si="549"/>
        <v>PRBNP'!</v>
      </c>
      <c r="F2272" s="34" t="str">
        <f t="shared" si="550"/>
        <v>C:\Users\jaime.benazar\Quorum Business Solutions\Ecopetrol Prometeo - Documents\Planning Space Implementation\3. Analysis &amp; Design\Design\FC22\DRR Jaime\QUIFA-CAJÚA\Cajua\[CAJUA_CF_SEC_New_27-Feb-2024Rev3.xlsx]D-PRBNP'!</v>
      </c>
      <c r="G2272" s="32" t="s">
        <v>115</v>
      </c>
      <c r="H2272" s="33"/>
      <c r="I2272" s="33"/>
      <c r="J2272" s="37"/>
    </row>
    <row r="2273" spans="1:10" x14ac:dyDescent="0.25">
      <c r="A2273" s="32" t="s">
        <v>100</v>
      </c>
      <c r="B2273" s="32">
        <f t="shared" si="551"/>
        <v>2052</v>
      </c>
      <c r="C2273" s="33" t="s">
        <v>20</v>
      </c>
      <c r="D2273" s="34" t="s">
        <v>1999</v>
      </c>
      <c r="E2273" s="35" t="str">
        <f t="shared" si="549"/>
        <v>PRBNP'!</v>
      </c>
      <c r="F2273" s="34" t="str">
        <f t="shared" si="550"/>
        <v>C:\Users\jaime.benazar\Quorum Business Solutions\Ecopetrol Prometeo - Documents\Planning Space Implementation\3. Analysis &amp; Design\Design\FC22\DRR Jaime\QUIFA-CAJÚA\Cajua\[CAJUA_CF_SEC_New_27-Feb-2024Rev3.xlsx]D-PRBNP'!</v>
      </c>
      <c r="G2273" s="32" t="s">
        <v>115</v>
      </c>
      <c r="H2273" s="33"/>
      <c r="I2273" s="33"/>
      <c r="J2273" s="37"/>
    </row>
    <row r="2274" spans="1:10" x14ac:dyDescent="0.25">
      <c r="A2274" s="32" t="s">
        <v>100</v>
      </c>
      <c r="B2274" s="32">
        <f t="shared" si="551"/>
        <v>2053</v>
      </c>
      <c r="C2274" s="33" t="s">
        <v>20</v>
      </c>
      <c r="D2274" s="34" t="s">
        <v>1999</v>
      </c>
      <c r="E2274" s="35" t="str">
        <f t="shared" si="549"/>
        <v>PRBNP'!</v>
      </c>
      <c r="F2274" s="34" t="str">
        <f t="shared" si="550"/>
        <v>C:\Users\jaime.benazar\Quorum Business Solutions\Ecopetrol Prometeo - Documents\Planning Space Implementation\3. Analysis &amp; Design\Design\FC22\DRR Jaime\QUIFA-CAJÚA\Cajua\[CAJUA_CF_SEC_New_27-Feb-2024Rev3.xlsx]D-PRBNP'!</v>
      </c>
      <c r="G2274" s="32" t="s">
        <v>115</v>
      </c>
      <c r="H2274" s="33"/>
      <c r="I2274" s="33"/>
      <c r="J2274" s="37"/>
    </row>
    <row r="2275" spans="1:10" x14ac:dyDescent="0.25">
      <c r="A2275" s="32" t="s">
        <v>100</v>
      </c>
      <c r="B2275" s="32">
        <f t="shared" si="551"/>
        <v>2054</v>
      </c>
      <c r="C2275" s="33" t="s">
        <v>20</v>
      </c>
      <c r="D2275" s="34" t="s">
        <v>1999</v>
      </c>
      <c r="E2275" s="35" t="str">
        <f t="shared" si="549"/>
        <v>PRBNP'!</v>
      </c>
      <c r="F2275" s="34" t="str">
        <f t="shared" si="550"/>
        <v>C:\Users\jaime.benazar\Quorum Business Solutions\Ecopetrol Prometeo - Documents\Planning Space Implementation\3. Analysis &amp; Design\Design\FC22\DRR Jaime\QUIFA-CAJÚA\Cajua\[CAJUA_CF_SEC_New_27-Feb-2024Rev3.xlsx]D-PRBNP'!</v>
      </c>
      <c r="G2275" s="32" t="s">
        <v>115</v>
      </c>
      <c r="H2275" s="33"/>
      <c r="I2275" s="33"/>
      <c r="J2275" s="37"/>
    </row>
    <row r="2276" spans="1:10" x14ac:dyDescent="0.25">
      <c r="A2276" s="32" t="s">
        <v>100</v>
      </c>
      <c r="B2276" s="32">
        <f t="shared" si="551"/>
        <v>2055</v>
      </c>
      <c r="C2276" s="33" t="s">
        <v>20</v>
      </c>
      <c r="D2276" s="34" t="s">
        <v>1999</v>
      </c>
      <c r="E2276" s="35" t="str">
        <f t="shared" si="549"/>
        <v>PRBNP'!</v>
      </c>
      <c r="F2276" s="34" t="str">
        <f t="shared" si="550"/>
        <v>C:\Users\jaime.benazar\Quorum Business Solutions\Ecopetrol Prometeo - Documents\Planning Space Implementation\3. Analysis &amp; Design\Design\FC22\DRR Jaime\QUIFA-CAJÚA\Cajua\[CAJUA_CF_SEC_New_27-Feb-2024Rev3.xlsx]D-PRBNP'!</v>
      </c>
      <c r="G2276" s="32" t="s">
        <v>115</v>
      </c>
      <c r="H2276" s="33"/>
      <c r="I2276" s="33"/>
      <c r="J2276" s="37"/>
    </row>
    <row r="2277" spans="1:10" x14ac:dyDescent="0.25">
      <c r="A2277" s="32" t="s">
        <v>100</v>
      </c>
      <c r="B2277" s="32">
        <f t="shared" si="551"/>
        <v>2056</v>
      </c>
      <c r="C2277" s="33" t="s">
        <v>20</v>
      </c>
      <c r="D2277" s="34" t="s">
        <v>1999</v>
      </c>
      <c r="E2277" s="35" t="str">
        <f t="shared" si="549"/>
        <v>PRBNP'!</v>
      </c>
      <c r="F2277" s="34" t="str">
        <f t="shared" si="550"/>
        <v>C:\Users\jaime.benazar\Quorum Business Solutions\Ecopetrol Prometeo - Documents\Planning Space Implementation\3. Analysis &amp; Design\Design\FC22\DRR Jaime\QUIFA-CAJÚA\Cajua\[CAJUA_CF_SEC_New_27-Feb-2024Rev3.xlsx]D-PRBNP'!</v>
      </c>
      <c r="G2277" s="32" t="s">
        <v>115</v>
      </c>
      <c r="H2277" s="33"/>
      <c r="I2277" s="33"/>
      <c r="J2277" s="37"/>
    </row>
    <row r="2278" spans="1:10" x14ac:dyDescent="0.25">
      <c r="A2278" s="32" t="s">
        <v>100</v>
      </c>
      <c r="B2278" s="32">
        <f t="shared" si="551"/>
        <v>2057</v>
      </c>
      <c r="C2278" s="33" t="s">
        <v>20</v>
      </c>
      <c r="D2278" s="34" t="s">
        <v>1999</v>
      </c>
      <c r="E2278" s="35" t="str">
        <f t="shared" si="549"/>
        <v>PRBNP'!</v>
      </c>
      <c r="F2278" s="34" t="str">
        <f t="shared" si="550"/>
        <v>C:\Users\jaime.benazar\Quorum Business Solutions\Ecopetrol Prometeo - Documents\Planning Space Implementation\3. Analysis &amp; Design\Design\FC22\DRR Jaime\QUIFA-CAJÚA\Cajua\[CAJUA_CF_SEC_New_27-Feb-2024Rev3.xlsx]D-PRBNP'!</v>
      </c>
      <c r="G2278" s="32" t="s">
        <v>115</v>
      </c>
      <c r="H2278" s="33"/>
      <c r="I2278" s="33"/>
      <c r="J2278" s="37"/>
    </row>
    <row r="2279" spans="1:10" x14ac:dyDescent="0.25">
      <c r="A2279" s="32" t="s">
        <v>100</v>
      </c>
      <c r="B2279" s="32">
        <f t="shared" si="551"/>
        <v>2058</v>
      </c>
      <c r="C2279" s="33" t="s">
        <v>20</v>
      </c>
      <c r="D2279" s="34" t="s">
        <v>1999</v>
      </c>
      <c r="E2279" s="35" t="str">
        <f t="shared" si="549"/>
        <v>PRBNP'!</v>
      </c>
      <c r="F2279" s="34" t="str">
        <f t="shared" si="550"/>
        <v>C:\Users\jaime.benazar\Quorum Business Solutions\Ecopetrol Prometeo - Documents\Planning Space Implementation\3. Analysis &amp; Design\Design\FC22\DRR Jaime\QUIFA-CAJÚA\Cajua\[CAJUA_CF_SEC_New_27-Feb-2024Rev3.xlsx]D-PRBNP'!</v>
      </c>
      <c r="G2279" s="32" t="s">
        <v>115</v>
      </c>
      <c r="H2279" s="33"/>
      <c r="I2279" s="33"/>
      <c r="J2279" s="37"/>
    </row>
    <row r="2280" spans="1:10" x14ac:dyDescent="0.25">
      <c r="A2280" s="32" t="s">
        <v>100</v>
      </c>
      <c r="B2280" s="32">
        <f t="shared" si="551"/>
        <v>2059</v>
      </c>
      <c r="C2280" s="33" t="s">
        <v>20</v>
      </c>
      <c r="D2280" s="34" t="s">
        <v>1999</v>
      </c>
      <c r="E2280" s="35" t="str">
        <f t="shared" si="549"/>
        <v>PRBNP'!</v>
      </c>
      <c r="F2280" s="34" t="str">
        <f t="shared" si="550"/>
        <v>C:\Users\jaime.benazar\Quorum Business Solutions\Ecopetrol Prometeo - Documents\Planning Space Implementation\3. Analysis &amp; Design\Design\FC22\DRR Jaime\QUIFA-CAJÚA\Cajua\[CAJUA_CF_SEC_New_27-Feb-2024Rev3.xlsx]D-PRBNP'!</v>
      </c>
      <c r="G2280" s="32" t="s">
        <v>115</v>
      </c>
      <c r="H2280" s="33"/>
      <c r="I2280" s="33"/>
      <c r="J2280" s="37"/>
    </row>
    <row r="2281" spans="1:10" x14ac:dyDescent="0.25">
      <c r="A2281" s="32" t="s">
        <v>28</v>
      </c>
      <c r="B2281" s="32"/>
      <c r="C2281" s="33" t="s">
        <v>20</v>
      </c>
      <c r="D2281" s="34"/>
      <c r="E2281" s="35"/>
      <c r="F2281" s="34"/>
      <c r="G2281" s="32"/>
      <c r="H2281" s="33"/>
      <c r="I2281" s="33"/>
      <c r="J2281" s="33"/>
    </row>
    <row r="2282" spans="1:10" x14ac:dyDescent="0.25">
      <c r="A2282" s="32" t="s">
        <v>101</v>
      </c>
      <c r="B2282" s="32">
        <v>2023</v>
      </c>
      <c r="C2282" s="33" t="s">
        <v>20</v>
      </c>
      <c r="D2282" s="34" t="s">
        <v>1999</v>
      </c>
      <c r="E2282" s="35" t="str">
        <f t="shared" ref="E2282:E2302" si="552">_xlfn.CONCAT(A2282,"'!")</f>
        <v>PRBND'!</v>
      </c>
      <c r="F2282" s="34" t="str">
        <f t="shared" ref="F2282:F2302" si="553">_xlfn.CONCAT(D2282:E2282)</f>
        <v>C:\Users\jaime.benazar\Quorum Business Solutions\Ecopetrol Prometeo - Documents\Planning Space Implementation\3. Analysis &amp; Design\Design\FC22\DRR Jaime\QUIFA-CAJÚA\Cajua\[CAJUA_CF_SEC_New_27-Feb-2024Rev3.xlsx]D-PRBND'!</v>
      </c>
      <c r="G2282" s="32" t="s">
        <v>115</v>
      </c>
      <c r="H2282" s="33"/>
      <c r="I2282" s="33"/>
      <c r="J2282" s="37"/>
    </row>
    <row r="2283" spans="1:10" x14ac:dyDescent="0.25">
      <c r="A2283" s="32" t="s">
        <v>101</v>
      </c>
      <c r="B2283" s="32">
        <f>+B2282+1</f>
        <v>2024</v>
      </c>
      <c r="C2283" s="33" t="s">
        <v>20</v>
      </c>
      <c r="D2283" s="34" t="s">
        <v>1999</v>
      </c>
      <c r="E2283" s="35" t="str">
        <f t="shared" si="552"/>
        <v>PRBND'!</v>
      </c>
      <c r="F2283" s="34" t="str">
        <f t="shared" si="553"/>
        <v>C:\Users\jaime.benazar\Quorum Business Solutions\Ecopetrol Prometeo - Documents\Planning Space Implementation\3. Analysis &amp; Design\Design\FC22\DRR Jaime\QUIFA-CAJÚA\Cajua\[CAJUA_CF_SEC_New_27-Feb-2024Rev3.xlsx]D-PRBND'!</v>
      </c>
      <c r="G2283" s="32" t="s">
        <v>115</v>
      </c>
      <c r="H2283" s="33"/>
      <c r="I2283" s="33"/>
      <c r="J2283" s="37"/>
    </row>
    <row r="2284" spans="1:10" x14ac:dyDescent="0.25">
      <c r="A2284" s="32" t="s">
        <v>101</v>
      </c>
      <c r="B2284" s="32">
        <f t="shared" ref="B2284:B2295" si="554">+B2283+1</f>
        <v>2025</v>
      </c>
      <c r="C2284" s="33" t="s">
        <v>20</v>
      </c>
      <c r="D2284" s="34" t="s">
        <v>1999</v>
      </c>
      <c r="E2284" s="35" t="str">
        <f t="shared" si="552"/>
        <v>PRBND'!</v>
      </c>
      <c r="F2284" s="34" t="str">
        <f t="shared" si="553"/>
        <v>C:\Users\jaime.benazar\Quorum Business Solutions\Ecopetrol Prometeo - Documents\Planning Space Implementation\3. Analysis &amp; Design\Design\FC22\DRR Jaime\QUIFA-CAJÚA\Cajua\[CAJUA_CF_SEC_New_27-Feb-2024Rev3.xlsx]D-PRBND'!</v>
      </c>
      <c r="G2284" s="32" t="s">
        <v>115</v>
      </c>
      <c r="H2284" s="33"/>
      <c r="I2284" s="33"/>
      <c r="J2284" s="37"/>
    </row>
    <row r="2285" spans="1:10" x14ac:dyDescent="0.25">
      <c r="A2285" s="32" t="s">
        <v>101</v>
      </c>
      <c r="B2285" s="32">
        <f t="shared" si="554"/>
        <v>2026</v>
      </c>
      <c r="C2285" s="33" t="s">
        <v>20</v>
      </c>
      <c r="D2285" s="34" t="s">
        <v>1999</v>
      </c>
      <c r="E2285" s="35" t="str">
        <f t="shared" si="552"/>
        <v>PRBND'!</v>
      </c>
      <c r="F2285" s="34" t="str">
        <f t="shared" si="553"/>
        <v>C:\Users\jaime.benazar\Quorum Business Solutions\Ecopetrol Prometeo - Documents\Planning Space Implementation\3. Analysis &amp; Design\Design\FC22\DRR Jaime\QUIFA-CAJÚA\Cajua\[CAJUA_CF_SEC_New_27-Feb-2024Rev3.xlsx]D-PRBND'!</v>
      </c>
      <c r="G2285" s="32" t="s">
        <v>115</v>
      </c>
      <c r="H2285" s="33"/>
      <c r="I2285" s="33"/>
      <c r="J2285" s="37"/>
    </row>
    <row r="2286" spans="1:10" x14ac:dyDescent="0.25">
      <c r="A2286" s="32" t="s">
        <v>101</v>
      </c>
      <c r="B2286" s="32">
        <f t="shared" si="554"/>
        <v>2027</v>
      </c>
      <c r="C2286" s="33" t="s">
        <v>20</v>
      </c>
      <c r="D2286" s="34" t="s">
        <v>1999</v>
      </c>
      <c r="E2286" s="35" t="str">
        <f t="shared" si="552"/>
        <v>PRBND'!</v>
      </c>
      <c r="F2286" s="34" t="str">
        <f t="shared" si="553"/>
        <v>C:\Users\jaime.benazar\Quorum Business Solutions\Ecopetrol Prometeo - Documents\Planning Space Implementation\3. Analysis &amp; Design\Design\FC22\DRR Jaime\QUIFA-CAJÚA\Cajua\[CAJUA_CF_SEC_New_27-Feb-2024Rev3.xlsx]D-PRBND'!</v>
      </c>
      <c r="G2286" s="32" t="s">
        <v>115</v>
      </c>
      <c r="H2286" s="33"/>
      <c r="I2286" s="33"/>
      <c r="J2286" s="37"/>
    </row>
    <row r="2287" spans="1:10" x14ac:dyDescent="0.25">
      <c r="A2287" s="32" t="s">
        <v>101</v>
      </c>
      <c r="B2287" s="32">
        <f t="shared" si="554"/>
        <v>2028</v>
      </c>
      <c r="C2287" s="33" t="s">
        <v>20</v>
      </c>
      <c r="D2287" s="34" t="s">
        <v>1999</v>
      </c>
      <c r="E2287" s="35" t="str">
        <f t="shared" si="552"/>
        <v>PRBND'!</v>
      </c>
      <c r="F2287" s="34" t="str">
        <f t="shared" si="553"/>
        <v>C:\Users\jaime.benazar\Quorum Business Solutions\Ecopetrol Prometeo - Documents\Planning Space Implementation\3. Analysis &amp; Design\Design\FC22\DRR Jaime\QUIFA-CAJÚA\Cajua\[CAJUA_CF_SEC_New_27-Feb-2024Rev3.xlsx]D-PRBND'!</v>
      </c>
      <c r="G2287" s="32" t="s">
        <v>115</v>
      </c>
      <c r="H2287" s="33"/>
      <c r="I2287" s="33"/>
      <c r="J2287" s="37"/>
    </row>
    <row r="2288" spans="1:10" x14ac:dyDescent="0.25">
      <c r="A2288" s="32" t="s">
        <v>101</v>
      </c>
      <c r="B2288" s="32">
        <f t="shared" si="554"/>
        <v>2029</v>
      </c>
      <c r="C2288" s="33" t="s">
        <v>20</v>
      </c>
      <c r="D2288" s="34" t="s">
        <v>1999</v>
      </c>
      <c r="E2288" s="35" t="str">
        <f t="shared" si="552"/>
        <v>PRBND'!</v>
      </c>
      <c r="F2288" s="34" t="str">
        <f t="shared" si="553"/>
        <v>C:\Users\jaime.benazar\Quorum Business Solutions\Ecopetrol Prometeo - Documents\Planning Space Implementation\3. Analysis &amp; Design\Design\FC22\DRR Jaime\QUIFA-CAJÚA\Cajua\[CAJUA_CF_SEC_New_27-Feb-2024Rev3.xlsx]D-PRBND'!</v>
      </c>
      <c r="G2288" s="32" t="s">
        <v>115</v>
      </c>
      <c r="H2288" s="33"/>
      <c r="I2288" s="33"/>
      <c r="J2288" s="37"/>
    </row>
    <row r="2289" spans="1:10" x14ac:dyDescent="0.25">
      <c r="A2289" s="32" t="s">
        <v>101</v>
      </c>
      <c r="B2289" s="32">
        <f t="shared" si="554"/>
        <v>2030</v>
      </c>
      <c r="C2289" s="33" t="s">
        <v>20</v>
      </c>
      <c r="D2289" s="34" t="s">
        <v>1999</v>
      </c>
      <c r="E2289" s="35" t="str">
        <f t="shared" si="552"/>
        <v>PRBND'!</v>
      </c>
      <c r="F2289" s="34" t="str">
        <f t="shared" si="553"/>
        <v>C:\Users\jaime.benazar\Quorum Business Solutions\Ecopetrol Prometeo - Documents\Planning Space Implementation\3. Analysis &amp; Design\Design\FC22\DRR Jaime\QUIFA-CAJÚA\Cajua\[CAJUA_CF_SEC_New_27-Feb-2024Rev3.xlsx]D-PRBND'!</v>
      </c>
      <c r="G2289" s="32" t="s">
        <v>115</v>
      </c>
      <c r="H2289" s="33"/>
      <c r="I2289" s="33"/>
      <c r="J2289" s="37"/>
    </row>
    <row r="2290" spans="1:10" x14ac:dyDescent="0.25">
      <c r="A2290" s="32" t="s">
        <v>101</v>
      </c>
      <c r="B2290" s="32">
        <f t="shared" si="554"/>
        <v>2031</v>
      </c>
      <c r="C2290" s="33" t="s">
        <v>20</v>
      </c>
      <c r="D2290" s="34" t="s">
        <v>1999</v>
      </c>
      <c r="E2290" s="35" t="str">
        <f t="shared" si="552"/>
        <v>PRBND'!</v>
      </c>
      <c r="F2290" s="34" t="str">
        <f t="shared" si="553"/>
        <v>C:\Users\jaime.benazar\Quorum Business Solutions\Ecopetrol Prometeo - Documents\Planning Space Implementation\3. Analysis &amp; Design\Design\FC22\DRR Jaime\QUIFA-CAJÚA\Cajua\[CAJUA_CF_SEC_New_27-Feb-2024Rev3.xlsx]D-PRBND'!</v>
      </c>
      <c r="G2290" s="32" t="s">
        <v>115</v>
      </c>
      <c r="H2290" s="33"/>
      <c r="I2290" s="33"/>
      <c r="J2290" s="37"/>
    </row>
    <row r="2291" spans="1:10" x14ac:dyDescent="0.25">
      <c r="A2291" s="32" t="s">
        <v>101</v>
      </c>
      <c r="B2291" s="32">
        <f t="shared" si="554"/>
        <v>2032</v>
      </c>
      <c r="C2291" s="33" t="s">
        <v>20</v>
      </c>
      <c r="D2291" s="34" t="s">
        <v>1999</v>
      </c>
      <c r="E2291" s="35" t="str">
        <f t="shared" si="552"/>
        <v>PRBND'!</v>
      </c>
      <c r="F2291" s="34" t="str">
        <f t="shared" si="553"/>
        <v>C:\Users\jaime.benazar\Quorum Business Solutions\Ecopetrol Prometeo - Documents\Planning Space Implementation\3. Analysis &amp; Design\Design\FC22\DRR Jaime\QUIFA-CAJÚA\Cajua\[CAJUA_CF_SEC_New_27-Feb-2024Rev3.xlsx]D-PRBND'!</v>
      </c>
      <c r="G2291" s="32" t="s">
        <v>115</v>
      </c>
      <c r="H2291" s="33"/>
      <c r="I2291" s="33"/>
      <c r="J2291" s="37"/>
    </row>
    <row r="2292" spans="1:10" x14ac:dyDescent="0.25">
      <c r="A2292" s="32" t="s">
        <v>101</v>
      </c>
      <c r="B2292" s="32">
        <f t="shared" si="554"/>
        <v>2033</v>
      </c>
      <c r="C2292" s="33" t="s">
        <v>20</v>
      </c>
      <c r="D2292" s="34" t="s">
        <v>1999</v>
      </c>
      <c r="E2292" s="35" t="str">
        <f t="shared" si="552"/>
        <v>PRBND'!</v>
      </c>
      <c r="F2292" s="34" t="str">
        <f t="shared" si="553"/>
        <v>C:\Users\jaime.benazar\Quorum Business Solutions\Ecopetrol Prometeo - Documents\Planning Space Implementation\3. Analysis &amp; Design\Design\FC22\DRR Jaime\QUIFA-CAJÚA\Cajua\[CAJUA_CF_SEC_New_27-Feb-2024Rev3.xlsx]D-PRBND'!</v>
      </c>
      <c r="G2292" s="32" t="s">
        <v>115</v>
      </c>
      <c r="H2292" s="33"/>
      <c r="I2292" s="33"/>
      <c r="J2292" s="37"/>
    </row>
    <row r="2293" spans="1:10" x14ac:dyDescent="0.25">
      <c r="A2293" s="32" t="s">
        <v>101</v>
      </c>
      <c r="B2293" s="32">
        <f t="shared" si="554"/>
        <v>2034</v>
      </c>
      <c r="C2293" s="33" t="s">
        <v>20</v>
      </c>
      <c r="D2293" s="34" t="s">
        <v>1999</v>
      </c>
      <c r="E2293" s="35" t="str">
        <f t="shared" si="552"/>
        <v>PRBND'!</v>
      </c>
      <c r="F2293" s="34" t="str">
        <f t="shared" si="553"/>
        <v>C:\Users\jaime.benazar\Quorum Business Solutions\Ecopetrol Prometeo - Documents\Planning Space Implementation\3. Analysis &amp; Design\Design\FC22\DRR Jaime\QUIFA-CAJÚA\Cajua\[CAJUA_CF_SEC_New_27-Feb-2024Rev3.xlsx]D-PRBND'!</v>
      </c>
      <c r="G2293" s="32" t="s">
        <v>115</v>
      </c>
      <c r="H2293" s="33"/>
      <c r="I2293" s="33"/>
      <c r="J2293" s="37"/>
    </row>
    <row r="2294" spans="1:10" x14ac:dyDescent="0.25">
      <c r="A2294" s="32" t="s">
        <v>101</v>
      </c>
      <c r="B2294" s="32">
        <f t="shared" si="554"/>
        <v>2035</v>
      </c>
      <c r="C2294" s="33" t="s">
        <v>20</v>
      </c>
      <c r="D2294" s="34" t="s">
        <v>1999</v>
      </c>
      <c r="E2294" s="35" t="str">
        <f t="shared" si="552"/>
        <v>PRBND'!</v>
      </c>
      <c r="F2294" s="34" t="str">
        <f t="shared" si="553"/>
        <v>C:\Users\jaime.benazar\Quorum Business Solutions\Ecopetrol Prometeo - Documents\Planning Space Implementation\3. Analysis &amp; Design\Design\FC22\DRR Jaime\QUIFA-CAJÚA\Cajua\[CAJUA_CF_SEC_New_27-Feb-2024Rev3.xlsx]D-PRBND'!</v>
      </c>
      <c r="G2294" s="32" t="s">
        <v>115</v>
      </c>
      <c r="H2294" s="33"/>
      <c r="I2294" s="33"/>
      <c r="J2294" s="37"/>
    </row>
    <row r="2295" spans="1:10" x14ac:dyDescent="0.25">
      <c r="A2295" s="32" t="s">
        <v>101</v>
      </c>
      <c r="B2295" s="32">
        <f t="shared" si="554"/>
        <v>2036</v>
      </c>
      <c r="C2295" s="33" t="s">
        <v>20</v>
      </c>
      <c r="D2295" s="34" t="s">
        <v>1999</v>
      </c>
      <c r="E2295" s="35" t="str">
        <f t="shared" si="552"/>
        <v>PRBND'!</v>
      </c>
      <c r="F2295" s="34" t="str">
        <f t="shared" si="553"/>
        <v>C:\Users\jaime.benazar\Quorum Business Solutions\Ecopetrol Prometeo - Documents\Planning Space Implementation\3. Analysis &amp; Design\Design\FC22\DRR Jaime\QUIFA-CAJÚA\Cajua\[CAJUA_CF_SEC_New_27-Feb-2024Rev3.xlsx]D-PRBND'!</v>
      </c>
      <c r="G2295" s="32" t="s">
        <v>115</v>
      </c>
      <c r="H2295" s="33"/>
      <c r="I2295" s="33"/>
      <c r="J2295" s="37"/>
    </row>
    <row r="2296" spans="1:10" x14ac:dyDescent="0.25">
      <c r="A2296" s="32" t="s">
        <v>101</v>
      </c>
      <c r="B2296" s="32">
        <f>+B2295+1</f>
        <v>2037</v>
      </c>
      <c r="C2296" s="33" t="s">
        <v>20</v>
      </c>
      <c r="D2296" s="34" t="s">
        <v>1999</v>
      </c>
      <c r="E2296" s="35" t="str">
        <f t="shared" si="552"/>
        <v>PRBND'!</v>
      </c>
      <c r="F2296" s="34" t="str">
        <f t="shared" si="553"/>
        <v>C:\Users\jaime.benazar\Quorum Business Solutions\Ecopetrol Prometeo - Documents\Planning Space Implementation\3. Analysis &amp; Design\Design\FC22\DRR Jaime\QUIFA-CAJÚA\Cajua\[CAJUA_CF_SEC_New_27-Feb-2024Rev3.xlsx]D-PRBND'!</v>
      </c>
      <c r="G2296" s="32" t="s">
        <v>115</v>
      </c>
      <c r="H2296" s="33"/>
      <c r="I2296" s="33"/>
      <c r="J2296" s="37"/>
    </row>
    <row r="2297" spans="1:10" x14ac:dyDescent="0.25">
      <c r="A2297" s="32" t="s">
        <v>101</v>
      </c>
      <c r="B2297" s="32">
        <f t="shared" ref="B2297:B2299" si="555">+B2296+1</f>
        <v>2038</v>
      </c>
      <c r="C2297" s="33" t="s">
        <v>20</v>
      </c>
      <c r="D2297" s="34" t="s">
        <v>1999</v>
      </c>
      <c r="E2297" s="35" t="str">
        <f t="shared" si="552"/>
        <v>PRBND'!</v>
      </c>
      <c r="F2297" s="34" t="str">
        <f t="shared" si="553"/>
        <v>C:\Users\jaime.benazar\Quorum Business Solutions\Ecopetrol Prometeo - Documents\Planning Space Implementation\3. Analysis &amp; Design\Design\FC22\DRR Jaime\QUIFA-CAJÚA\Cajua\[CAJUA_CF_SEC_New_27-Feb-2024Rev3.xlsx]D-PRBND'!</v>
      </c>
      <c r="G2297" s="32" t="s">
        <v>115</v>
      </c>
      <c r="H2297" s="33"/>
      <c r="I2297" s="33"/>
      <c r="J2297" s="37"/>
    </row>
    <row r="2298" spans="1:10" x14ac:dyDescent="0.25">
      <c r="A2298" s="32" t="s">
        <v>101</v>
      </c>
      <c r="B2298" s="32">
        <f t="shared" si="555"/>
        <v>2039</v>
      </c>
      <c r="C2298" s="33" t="s">
        <v>20</v>
      </c>
      <c r="D2298" s="34" t="s">
        <v>1999</v>
      </c>
      <c r="E2298" s="35" t="str">
        <f t="shared" si="552"/>
        <v>PRBND'!</v>
      </c>
      <c r="F2298" s="34" t="str">
        <f t="shared" si="553"/>
        <v>C:\Users\jaime.benazar\Quorum Business Solutions\Ecopetrol Prometeo - Documents\Planning Space Implementation\3. Analysis &amp; Design\Design\FC22\DRR Jaime\QUIFA-CAJÚA\Cajua\[CAJUA_CF_SEC_New_27-Feb-2024Rev3.xlsx]D-PRBND'!</v>
      </c>
      <c r="G2298" s="32" t="s">
        <v>115</v>
      </c>
      <c r="H2298" s="33"/>
      <c r="I2298" s="33"/>
      <c r="J2298" s="37"/>
    </row>
    <row r="2299" spans="1:10" x14ac:dyDescent="0.25">
      <c r="A2299" s="32" t="s">
        <v>101</v>
      </c>
      <c r="B2299" s="32">
        <f t="shared" si="555"/>
        <v>2040</v>
      </c>
      <c r="C2299" s="33" t="s">
        <v>20</v>
      </c>
      <c r="D2299" s="34" t="s">
        <v>1999</v>
      </c>
      <c r="E2299" s="35" t="str">
        <f t="shared" si="552"/>
        <v>PRBND'!</v>
      </c>
      <c r="F2299" s="34" t="str">
        <f t="shared" si="553"/>
        <v>C:\Users\jaime.benazar\Quorum Business Solutions\Ecopetrol Prometeo - Documents\Planning Space Implementation\3. Analysis &amp; Design\Design\FC22\DRR Jaime\QUIFA-CAJÚA\Cajua\[CAJUA_CF_SEC_New_27-Feb-2024Rev3.xlsx]D-PRBND'!</v>
      </c>
      <c r="G2299" s="32" t="s">
        <v>115</v>
      </c>
      <c r="H2299" s="33"/>
      <c r="I2299" s="33"/>
      <c r="J2299" s="37"/>
    </row>
    <row r="2300" spans="1:10" x14ac:dyDescent="0.25">
      <c r="A2300" s="32" t="s">
        <v>101</v>
      </c>
      <c r="B2300" s="32">
        <f>+B2299+1</f>
        <v>2041</v>
      </c>
      <c r="C2300" s="33" t="s">
        <v>20</v>
      </c>
      <c r="D2300" s="34" t="s">
        <v>1999</v>
      </c>
      <c r="E2300" s="35" t="str">
        <f t="shared" si="552"/>
        <v>PRBND'!</v>
      </c>
      <c r="F2300" s="34" t="str">
        <f t="shared" si="553"/>
        <v>C:\Users\jaime.benazar\Quorum Business Solutions\Ecopetrol Prometeo - Documents\Planning Space Implementation\3. Analysis &amp; Design\Design\FC22\DRR Jaime\QUIFA-CAJÚA\Cajua\[CAJUA_CF_SEC_New_27-Feb-2024Rev3.xlsx]D-PRBND'!</v>
      </c>
      <c r="G2300" s="32" t="s">
        <v>115</v>
      </c>
      <c r="H2300" s="33"/>
      <c r="I2300" s="33"/>
      <c r="J2300" s="37"/>
    </row>
    <row r="2301" spans="1:10" x14ac:dyDescent="0.25">
      <c r="A2301" s="32" t="s">
        <v>101</v>
      </c>
      <c r="B2301" s="32">
        <f t="shared" ref="B2301:B2302" si="556">+B2300+1</f>
        <v>2042</v>
      </c>
      <c r="C2301" s="33" t="s">
        <v>20</v>
      </c>
      <c r="D2301" s="34" t="s">
        <v>1999</v>
      </c>
      <c r="E2301" s="35" t="str">
        <f t="shared" si="552"/>
        <v>PRBND'!</v>
      </c>
      <c r="F2301" s="34" t="str">
        <f t="shared" si="553"/>
        <v>C:\Users\jaime.benazar\Quorum Business Solutions\Ecopetrol Prometeo - Documents\Planning Space Implementation\3. Analysis &amp; Design\Design\FC22\DRR Jaime\QUIFA-CAJÚA\Cajua\[CAJUA_CF_SEC_New_27-Feb-2024Rev3.xlsx]D-PRBND'!</v>
      </c>
      <c r="G2301" s="32" t="s">
        <v>115</v>
      </c>
      <c r="H2301" s="33"/>
      <c r="I2301" s="33"/>
      <c r="J2301" s="37"/>
    </row>
    <row r="2302" spans="1:10" x14ac:dyDescent="0.25">
      <c r="A2302" s="32" t="s">
        <v>101</v>
      </c>
      <c r="B2302" s="32">
        <f t="shared" si="556"/>
        <v>2043</v>
      </c>
      <c r="C2302" s="33" t="s">
        <v>20</v>
      </c>
      <c r="D2302" s="34" t="s">
        <v>1999</v>
      </c>
      <c r="E2302" s="35" t="str">
        <f t="shared" si="552"/>
        <v>PRBND'!</v>
      </c>
      <c r="F2302" s="34" t="str">
        <f t="shared" si="553"/>
        <v>C:\Users\jaime.benazar\Quorum Business Solutions\Ecopetrol Prometeo - Documents\Planning Space Implementation\3. Analysis &amp; Design\Design\FC22\DRR Jaime\QUIFA-CAJÚA\Cajua\[CAJUA_CF_SEC_New_27-Feb-2024Rev3.xlsx]D-PRBND'!</v>
      </c>
      <c r="G2302" s="32" t="s">
        <v>115</v>
      </c>
      <c r="H2302" s="33"/>
      <c r="I2302" s="33"/>
      <c r="J2302" s="37"/>
    </row>
    <row r="2303" spans="1:10" x14ac:dyDescent="0.25">
      <c r="A2303" s="32" t="s">
        <v>101</v>
      </c>
      <c r="B2303" s="32">
        <f>+B2302+1</f>
        <v>2044</v>
      </c>
      <c r="C2303" s="33" t="s">
        <v>20</v>
      </c>
      <c r="D2303" s="34" t="s">
        <v>1999</v>
      </c>
      <c r="E2303" s="35" t="str">
        <f t="shared" ref="E2303:E2318" si="557">_xlfn.CONCAT(A2303,"'!")</f>
        <v>PRBND'!</v>
      </c>
      <c r="F2303" s="34" t="str">
        <f t="shared" ref="F2303:F2318" si="558">_xlfn.CONCAT(D2303:E2303)</f>
        <v>C:\Users\jaime.benazar\Quorum Business Solutions\Ecopetrol Prometeo - Documents\Planning Space Implementation\3. Analysis &amp; Design\Design\FC22\DRR Jaime\QUIFA-CAJÚA\Cajua\[CAJUA_CF_SEC_New_27-Feb-2024Rev3.xlsx]D-PRBND'!</v>
      </c>
      <c r="G2303" s="32" t="s">
        <v>115</v>
      </c>
      <c r="H2303" s="33"/>
      <c r="I2303" s="33"/>
      <c r="J2303" s="37"/>
    </row>
    <row r="2304" spans="1:10" x14ac:dyDescent="0.25">
      <c r="A2304" s="32" t="s">
        <v>101</v>
      </c>
      <c r="B2304" s="32">
        <f t="shared" ref="B2304:B2318" si="559">+B2303+1</f>
        <v>2045</v>
      </c>
      <c r="C2304" s="33" t="s">
        <v>20</v>
      </c>
      <c r="D2304" s="34" t="s">
        <v>1999</v>
      </c>
      <c r="E2304" s="35" t="str">
        <f t="shared" si="557"/>
        <v>PRBND'!</v>
      </c>
      <c r="F2304" s="34" t="str">
        <f t="shared" si="558"/>
        <v>C:\Users\jaime.benazar\Quorum Business Solutions\Ecopetrol Prometeo - Documents\Planning Space Implementation\3. Analysis &amp; Design\Design\FC22\DRR Jaime\QUIFA-CAJÚA\Cajua\[CAJUA_CF_SEC_New_27-Feb-2024Rev3.xlsx]D-PRBND'!</v>
      </c>
      <c r="G2304" s="32" t="s">
        <v>115</v>
      </c>
      <c r="H2304" s="33"/>
      <c r="I2304" s="33"/>
      <c r="J2304" s="37"/>
    </row>
    <row r="2305" spans="1:10" x14ac:dyDescent="0.25">
      <c r="A2305" s="32" t="s">
        <v>101</v>
      </c>
      <c r="B2305" s="32">
        <f t="shared" si="559"/>
        <v>2046</v>
      </c>
      <c r="C2305" s="33" t="s">
        <v>20</v>
      </c>
      <c r="D2305" s="34" t="s">
        <v>1999</v>
      </c>
      <c r="E2305" s="35" t="str">
        <f t="shared" si="557"/>
        <v>PRBND'!</v>
      </c>
      <c r="F2305" s="34" t="str">
        <f t="shared" si="558"/>
        <v>C:\Users\jaime.benazar\Quorum Business Solutions\Ecopetrol Prometeo - Documents\Planning Space Implementation\3. Analysis &amp; Design\Design\FC22\DRR Jaime\QUIFA-CAJÚA\Cajua\[CAJUA_CF_SEC_New_27-Feb-2024Rev3.xlsx]D-PRBND'!</v>
      </c>
      <c r="G2305" s="32" t="s">
        <v>115</v>
      </c>
      <c r="H2305" s="33"/>
      <c r="I2305" s="33"/>
      <c r="J2305" s="37"/>
    </row>
    <row r="2306" spans="1:10" x14ac:dyDescent="0.25">
      <c r="A2306" s="32" t="s">
        <v>101</v>
      </c>
      <c r="B2306" s="32">
        <f t="shared" si="559"/>
        <v>2047</v>
      </c>
      <c r="C2306" s="33" t="s">
        <v>20</v>
      </c>
      <c r="D2306" s="34" t="s">
        <v>1999</v>
      </c>
      <c r="E2306" s="35" t="str">
        <f t="shared" si="557"/>
        <v>PRBND'!</v>
      </c>
      <c r="F2306" s="34" t="str">
        <f t="shared" si="558"/>
        <v>C:\Users\jaime.benazar\Quorum Business Solutions\Ecopetrol Prometeo - Documents\Planning Space Implementation\3. Analysis &amp; Design\Design\FC22\DRR Jaime\QUIFA-CAJÚA\Cajua\[CAJUA_CF_SEC_New_27-Feb-2024Rev3.xlsx]D-PRBND'!</v>
      </c>
      <c r="G2306" s="32" t="s">
        <v>115</v>
      </c>
      <c r="H2306" s="33"/>
      <c r="I2306" s="33"/>
      <c r="J2306" s="37"/>
    </row>
    <row r="2307" spans="1:10" x14ac:dyDescent="0.25">
      <c r="A2307" s="32" t="s">
        <v>101</v>
      </c>
      <c r="B2307" s="32">
        <f t="shared" si="559"/>
        <v>2048</v>
      </c>
      <c r="C2307" s="33" t="s">
        <v>20</v>
      </c>
      <c r="D2307" s="34" t="s">
        <v>1999</v>
      </c>
      <c r="E2307" s="35" t="str">
        <f t="shared" si="557"/>
        <v>PRBND'!</v>
      </c>
      <c r="F2307" s="34" t="str">
        <f t="shared" si="558"/>
        <v>C:\Users\jaime.benazar\Quorum Business Solutions\Ecopetrol Prometeo - Documents\Planning Space Implementation\3. Analysis &amp; Design\Design\FC22\DRR Jaime\QUIFA-CAJÚA\Cajua\[CAJUA_CF_SEC_New_27-Feb-2024Rev3.xlsx]D-PRBND'!</v>
      </c>
      <c r="G2307" s="32" t="s">
        <v>115</v>
      </c>
      <c r="H2307" s="33"/>
      <c r="I2307" s="33"/>
      <c r="J2307" s="37"/>
    </row>
    <row r="2308" spans="1:10" x14ac:dyDescent="0.25">
      <c r="A2308" s="32" t="s">
        <v>101</v>
      </c>
      <c r="B2308" s="32">
        <f t="shared" si="559"/>
        <v>2049</v>
      </c>
      <c r="C2308" s="33" t="s">
        <v>20</v>
      </c>
      <c r="D2308" s="34" t="s">
        <v>1999</v>
      </c>
      <c r="E2308" s="35" t="str">
        <f t="shared" si="557"/>
        <v>PRBND'!</v>
      </c>
      <c r="F2308" s="34" t="str">
        <f t="shared" si="558"/>
        <v>C:\Users\jaime.benazar\Quorum Business Solutions\Ecopetrol Prometeo - Documents\Planning Space Implementation\3. Analysis &amp; Design\Design\FC22\DRR Jaime\QUIFA-CAJÚA\Cajua\[CAJUA_CF_SEC_New_27-Feb-2024Rev3.xlsx]D-PRBND'!</v>
      </c>
      <c r="G2308" s="32" t="s">
        <v>115</v>
      </c>
      <c r="H2308" s="33"/>
      <c r="I2308" s="33"/>
      <c r="J2308" s="37"/>
    </row>
    <row r="2309" spans="1:10" x14ac:dyDescent="0.25">
      <c r="A2309" s="32" t="s">
        <v>101</v>
      </c>
      <c r="B2309" s="32">
        <f t="shared" si="559"/>
        <v>2050</v>
      </c>
      <c r="C2309" s="33" t="s">
        <v>20</v>
      </c>
      <c r="D2309" s="34" t="s">
        <v>1999</v>
      </c>
      <c r="E2309" s="35" t="str">
        <f t="shared" si="557"/>
        <v>PRBND'!</v>
      </c>
      <c r="F2309" s="34" t="str">
        <f t="shared" si="558"/>
        <v>C:\Users\jaime.benazar\Quorum Business Solutions\Ecopetrol Prometeo - Documents\Planning Space Implementation\3. Analysis &amp; Design\Design\FC22\DRR Jaime\QUIFA-CAJÚA\Cajua\[CAJUA_CF_SEC_New_27-Feb-2024Rev3.xlsx]D-PRBND'!</v>
      </c>
      <c r="G2309" s="32" t="s">
        <v>115</v>
      </c>
      <c r="H2309" s="33"/>
      <c r="I2309" s="33"/>
      <c r="J2309" s="37"/>
    </row>
    <row r="2310" spans="1:10" x14ac:dyDescent="0.25">
      <c r="A2310" s="32" t="s">
        <v>101</v>
      </c>
      <c r="B2310" s="32">
        <f t="shared" si="559"/>
        <v>2051</v>
      </c>
      <c r="C2310" s="33" t="s">
        <v>20</v>
      </c>
      <c r="D2310" s="34" t="s">
        <v>1999</v>
      </c>
      <c r="E2310" s="35" t="str">
        <f t="shared" si="557"/>
        <v>PRBND'!</v>
      </c>
      <c r="F2310" s="34" t="str">
        <f t="shared" si="558"/>
        <v>C:\Users\jaime.benazar\Quorum Business Solutions\Ecopetrol Prometeo - Documents\Planning Space Implementation\3. Analysis &amp; Design\Design\FC22\DRR Jaime\QUIFA-CAJÚA\Cajua\[CAJUA_CF_SEC_New_27-Feb-2024Rev3.xlsx]D-PRBND'!</v>
      </c>
      <c r="G2310" s="32" t="s">
        <v>115</v>
      </c>
      <c r="H2310" s="33"/>
      <c r="I2310" s="33"/>
      <c r="J2310" s="37"/>
    </row>
    <row r="2311" spans="1:10" x14ac:dyDescent="0.25">
      <c r="A2311" s="32" t="s">
        <v>101</v>
      </c>
      <c r="B2311" s="32">
        <f t="shared" si="559"/>
        <v>2052</v>
      </c>
      <c r="C2311" s="33" t="s">
        <v>20</v>
      </c>
      <c r="D2311" s="34" t="s">
        <v>1999</v>
      </c>
      <c r="E2311" s="35" t="str">
        <f t="shared" si="557"/>
        <v>PRBND'!</v>
      </c>
      <c r="F2311" s="34" t="str">
        <f t="shared" si="558"/>
        <v>C:\Users\jaime.benazar\Quorum Business Solutions\Ecopetrol Prometeo - Documents\Planning Space Implementation\3. Analysis &amp; Design\Design\FC22\DRR Jaime\QUIFA-CAJÚA\Cajua\[CAJUA_CF_SEC_New_27-Feb-2024Rev3.xlsx]D-PRBND'!</v>
      </c>
      <c r="G2311" s="32" t="s">
        <v>115</v>
      </c>
      <c r="H2311" s="33"/>
      <c r="I2311" s="33"/>
      <c r="J2311" s="37"/>
    </row>
    <row r="2312" spans="1:10" x14ac:dyDescent="0.25">
      <c r="A2312" s="32" t="s">
        <v>101</v>
      </c>
      <c r="B2312" s="32">
        <f t="shared" si="559"/>
        <v>2053</v>
      </c>
      <c r="C2312" s="33" t="s">
        <v>20</v>
      </c>
      <c r="D2312" s="34" t="s">
        <v>1999</v>
      </c>
      <c r="E2312" s="35" t="str">
        <f t="shared" si="557"/>
        <v>PRBND'!</v>
      </c>
      <c r="F2312" s="34" t="str">
        <f t="shared" si="558"/>
        <v>C:\Users\jaime.benazar\Quorum Business Solutions\Ecopetrol Prometeo - Documents\Planning Space Implementation\3. Analysis &amp; Design\Design\FC22\DRR Jaime\QUIFA-CAJÚA\Cajua\[CAJUA_CF_SEC_New_27-Feb-2024Rev3.xlsx]D-PRBND'!</v>
      </c>
      <c r="G2312" s="32" t="s">
        <v>115</v>
      </c>
      <c r="H2312" s="33"/>
      <c r="I2312" s="33"/>
      <c r="J2312" s="37"/>
    </row>
    <row r="2313" spans="1:10" x14ac:dyDescent="0.25">
      <c r="A2313" s="32" t="s">
        <v>101</v>
      </c>
      <c r="B2313" s="32">
        <f t="shared" si="559"/>
        <v>2054</v>
      </c>
      <c r="C2313" s="33" t="s">
        <v>20</v>
      </c>
      <c r="D2313" s="34" t="s">
        <v>1999</v>
      </c>
      <c r="E2313" s="35" t="str">
        <f t="shared" si="557"/>
        <v>PRBND'!</v>
      </c>
      <c r="F2313" s="34" t="str">
        <f t="shared" si="558"/>
        <v>C:\Users\jaime.benazar\Quorum Business Solutions\Ecopetrol Prometeo - Documents\Planning Space Implementation\3. Analysis &amp; Design\Design\FC22\DRR Jaime\QUIFA-CAJÚA\Cajua\[CAJUA_CF_SEC_New_27-Feb-2024Rev3.xlsx]D-PRBND'!</v>
      </c>
      <c r="G2313" s="32" t="s">
        <v>115</v>
      </c>
      <c r="H2313" s="33"/>
      <c r="I2313" s="33"/>
      <c r="J2313" s="37"/>
    </row>
    <row r="2314" spans="1:10" x14ac:dyDescent="0.25">
      <c r="A2314" s="32" t="s">
        <v>101</v>
      </c>
      <c r="B2314" s="32">
        <f t="shared" si="559"/>
        <v>2055</v>
      </c>
      <c r="C2314" s="33" t="s">
        <v>20</v>
      </c>
      <c r="D2314" s="34" t="s">
        <v>1999</v>
      </c>
      <c r="E2314" s="35" t="str">
        <f t="shared" si="557"/>
        <v>PRBND'!</v>
      </c>
      <c r="F2314" s="34" t="str">
        <f t="shared" si="558"/>
        <v>C:\Users\jaime.benazar\Quorum Business Solutions\Ecopetrol Prometeo - Documents\Planning Space Implementation\3. Analysis &amp; Design\Design\FC22\DRR Jaime\QUIFA-CAJÚA\Cajua\[CAJUA_CF_SEC_New_27-Feb-2024Rev3.xlsx]D-PRBND'!</v>
      </c>
      <c r="G2314" s="32" t="s">
        <v>115</v>
      </c>
      <c r="H2314" s="33"/>
      <c r="I2314" s="33"/>
      <c r="J2314" s="37"/>
    </row>
    <row r="2315" spans="1:10" x14ac:dyDescent="0.25">
      <c r="A2315" s="32" t="s">
        <v>101</v>
      </c>
      <c r="B2315" s="32">
        <f t="shared" si="559"/>
        <v>2056</v>
      </c>
      <c r="C2315" s="33" t="s">
        <v>20</v>
      </c>
      <c r="D2315" s="34" t="s">
        <v>1999</v>
      </c>
      <c r="E2315" s="35" t="str">
        <f t="shared" si="557"/>
        <v>PRBND'!</v>
      </c>
      <c r="F2315" s="34" t="str">
        <f t="shared" si="558"/>
        <v>C:\Users\jaime.benazar\Quorum Business Solutions\Ecopetrol Prometeo - Documents\Planning Space Implementation\3. Analysis &amp; Design\Design\FC22\DRR Jaime\QUIFA-CAJÚA\Cajua\[CAJUA_CF_SEC_New_27-Feb-2024Rev3.xlsx]D-PRBND'!</v>
      </c>
      <c r="G2315" s="32" t="s">
        <v>115</v>
      </c>
      <c r="H2315" s="33"/>
      <c r="I2315" s="33"/>
      <c r="J2315" s="37"/>
    </row>
    <row r="2316" spans="1:10" x14ac:dyDescent="0.25">
      <c r="A2316" s="32" t="s">
        <v>101</v>
      </c>
      <c r="B2316" s="32">
        <f t="shared" si="559"/>
        <v>2057</v>
      </c>
      <c r="C2316" s="33" t="s">
        <v>20</v>
      </c>
      <c r="D2316" s="34" t="s">
        <v>1999</v>
      </c>
      <c r="E2316" s="35" t="str">
        <f t="shared" si="557"/>
        <v>PRBND'!</v>
      </c>
      <c r="F2316" s="34" t="str">
        <f t="shared" si="558"/>
        <v>C:\Users\jaime.benazar\Quorum Business Solutions\Ecopetrol Prometeo - Documents\Planning Space Implementation\3. Analysis &amp; Design\Design\FC22\DRR Jaime\QUIFA-CAJÚA\Cajua\[CAJUA_CF_SEC_New_27-Feb-2024Rev3.xlsx]D-PRBND'!</v>
      </c>
      <c r="G2316" s="32" t="s">
        <v>115</v>
      </c>
      <c r="H2316" s="33"/>
      <c r="I2316" s="33"/>
      <c r="J2316" s="37"/>
    </row>
    <row r="2317" spans="1:10" x14ac:dyDescent="0.25">
      <c r="A2317" s="32" t="s">
        <v>101</v>
      </c>
      <c r="B2317" s="32">
        <f t="shared" si="559"/>
        <v>2058</v>
      </c>
      <c r="C2317" s="33" t="s">
        <v>20</v>
      </c>
      <c r="D2317" s="34" t="s">
        <v>1999</v>
      </c>
      <c r="E2317" s="35" t="str">
        <f t="shared" si="557"/>
        <v>PRBND'!</v>
      </c>
      <c r="F2317" s="34" t="str">
        <f t="shared" si="558"/>
        <v>C:\Users\jaime.benazar\Quorum Business Solutions\Ecopetrol Prometeo - Documents\Planning Space Implementation\3. Analysis &amp; Design\Design\FC22\DRR Jaime\QUIFA-CAJÚA\Cajua\[CAJUA_CF_SEC_New_27-Feb-2024Rev3.xlsx]D-PRBND'!</v>
      </c>
      <c r="G2317" s="32" t="s">
        <v>115</v>
      </c>
      <c r="H2317" s="33"/>
      <c r="I2317" s="33"/>
      <c r="J2317" s="37"/>
    </row>
    <row r="2318" spans="1:10" x14ac:dyDescent="0.25">
      <c r="A2318" s="32" t="s">
        <v>101</v>
      </c>
      <c r="B2318" s="32">
        <f t="shared" si="559"/>
        <v>2059</v>
      </c>
      <c r="C2318" s="33" t="s">
        <v>20</v>
      </c>
      <c r="D2318" s="34" t="s">
        <v>1999</v>
      </c>
      <c r="E2318" s="35" t="str">
        <f t="shared" si="557"/>
        <v>PRBND'!</v>
      </c>
      <c r="F2318" s="34" t="str">
        <f t="shared" si="558"/>
        <v>C:\Users\jaime.benazar\Quorum Business Solutions\Ecopetrol Prometeo - Documents\Planning Space Implementation\3. Analysis &amp; Design\Design\FC22\DRR Jaime\QUIFA-CAJÚA\Cajua\[CAJUA_CF_SEC_New_27-Feb-2024Rev3.xlsx]D-PRBND'!</v>
      </c>
      <c r="G2318" s="32" t="s">
        <v>115</v>
      </c>
      <c r="H2318" s="33"/>
      <c r="I2318" s="33"/>
      <c r="J2318" s="37"/>
    </row>
    <row r="2319" spans="1:10" x14ac:dyDescent="0.25">
      <c r="A2319" s="32" t="s">
        <v>28</v>
      </c>
      <c r="B2319" s="32"/>
      <c r="C2319" s="33" t="s">
        <v>20</v>
      </c>
      <c r="D2319" s="34"/>
      <c r="E2319" s="35"/>
      <c r="F2319" s="34"/>
      <c r="G2319" s="32"/>
      <c r="H2319" s="33"/>
      <c r="I2319" s="33"/>
      <c r="J2319" s="33"/>
    </row>
    <row r="2320" spans="1:10" x14ac:dyDescent="0.25">
      <c r="A2320" s="32" t="s">
        <v>4</v>
      </c>
      <c r="B2320" s="32">
        <v>2023</v>
      </c>
      <c r="C2320" s="33" t="s">
        <v>20</v>
      </c>
      <c r="D2320" s="34" t="s">
        <v>1999</v>
      </c>
      <c r="E2320" s="35" t="str">
        <f t="shared" si="528"/>
        <v>PRB'!</v>
      </c>
      <c r="F2320" s="34" t="str">
        <f t="shared" si="529"/>
        <v>C:\Users\jaime.benazar\Quorum Business Solutions\Ecopetrol Prometeo - Documents\Planning Space Implementation\3. Analysis &amp; Design\Design\FC22\DRR Jaime\QUIFA-CAJÚA\Cajua\[CAJUA_CF_SEC_New_27-Feb-2024Rev3.xlsx]D-PRB'!</v>
      </c>
      <c r="G2320" s="32" t="s">
        <v>115</v>
      </c>
      <c r="H2320" s="33">
        <v>12</v>
      </c>
      <c r="I2320" s="33" t="str">
        <f t="shared" si="530"/>
        <v>='C:\Users\jaime.benazar\Quorum Business Solutions\Ecopetrol Prometeo - Documents\Planning Space Implementation\3. Analysis &amp; Design\Design\FC22\DRR Jaime\QUIFA-CAJÚA\Cajua\[CAJUA_CF_SEC_New_27-Feb-2024Rev3.xlsx]D-PRB'!$DC$12</v>
      </c>
      <c r="J2320" s="37" t="s">
        <v>3036</v>
      </c>
    </row>
    <row r="2321" spans="1:10" x14ac:dyDescent="0.25">
      <c r="A2321" s="32" t="s">
        <v>4</v>
      </c>
      <c r="B2321" s="32">
        <f>+B2320+1</f>
        <v>2024</v>
      </c>
      <c r="C2321" s="33" t="s">
        <v>20</v>
      </c>
      <c r="D2321" s="34" t="s">
        <v>1999</v>
      </c>
      <c r="E2321" s="35" t="str">
        <f t="shared" si="528"/>
        <v>PRB'!</v>
      </c>
      <c r="F2321" s="34" t="str">
        <f t="shared" si="529"/>
        <v>C:\Users\jaime.benazar\Quorum Business Solutions\Ecopetrol Prometeo - Documents\Planning Space Implementation\3. Analysis &amp; Design\Design\FC22\DRR Jaime\QUIFA-CAJÚA\Cajua\[CAJUA_CF_SEC_New_27-Feb-2024Rev3.xlsx]D-PRB'!</v>
      </c>
      <c r="G2321" s="32" t="s">
        <v>115</v>
      </c>
      <c r="H2321" s="33">
        <f t="shared" ref="H2321:H2340" si="560">IF(A2321&lt;&gt;A2320,12,H2320+1)</f>
        <v>13</v>
      </c>
      <c r="I2321" s="33" t="str">
        <f t="shared" si="530"/>
        <v>='C:\Users\jaime.benazar\Quorum Business Solutions\Ecopetrol Prometeo - Documents\Planning Space Implementation\3. Analysis &amp; Design\Design\FC22\DRR Jaime\QUIFA-CAJÚA\Cajua\[CAJUA_CF_SEC_New_27-Feb-2024Rev3.xlsx]D-PRB'!$DC$13</v>
      </c>
      <c r="J2321" s="37" t="s">
        <v>3037</v>
      </c>
    </row>
    <row r="2322" spans="1:10" x14ac:dyDescent="0.25">
      <c r="A2322" s="32" t="s">
        <v>4</v>
      </c>
      <c r="B2322" s="32">
        <f t="shared" ref="B2322:B2333" si="561">+B2321+1</f>
        <v>2025</v>
      </c>
      <c r="C2322" s="33" t="s">
        <v>20</v>
      </c>
      <c r="D2322" s="34" t="s">
        <v>1999</v>
      </c>
      <c r="E2322" s="35" t="str">
        <f t="shared" si="528"/>
        <v>PRB'!</v>
      </c>
      <c r="F2322" s="34" t="str">
        <f t="shared" si="529"/>
        <v>C:\Users\jaime.benazar\Quorum Business Solutions\Ecopetrol Prometeo - Documents\Planning Space Implementation\3. Analysis &amp; Design\Design\FC22\DRR Jaime\QUIFA-CAJÚA\Cajua\[CAJUA_CF_SEC_New_27-Feb-2024Rev3.xlsx]D-PRB'!</v>
      </c>
      <c r="G2322" s="32" t="s">
        <v>115</v>
      </c>
      <c r="H2322" s="33">
        <f t="shared" si="560"/>
        <v>14</v>
      </c>
      <c r="I2322" s="33" t="str">
        <f t="shared" si="530"/>
        <v>='C:\Users\jaime.benazar\Quorum Business Solutions\Ecopetrol Prometeo - Documents\Planning Space Implementation\3. Analysis &amp; Design\Design\FC22\DRR Jaime\QUIFA-CAJÚA\Cajua\[CAJUA_CF_SEC_New_27-Feb-2024Rev3.xlsx]D-PRB'!$DC$14</v>
      </c>
      <c r="J2322" s="37" t="s">
        <v>3038</v>
      </c>
    </row>
    <row r="2323" spans="1:10" x14ac:dyDescent="0.25">
      <c r="A2323" s="32" t="s">
        <v>4</v>
      </c>
      <c r="B2323" s="32">
        <f t="shared" si="561"/>
        <v>2026</v>
      </c>
      <c r="C2323" s="33" t="s">
        <v>20</v>
      </c>
      <c r="D2323" s="34" t="s">
        <v>1999</v>
      </c>
      <c r="E2323" s="35" t="str">
        <f t="shared" si="528"/>
        <v>PRB'!</v>
      </c>
      <c r="F2323" s="34" t="str">
        <f t="shared" si="529"/>
        <v>C:\Users\jaime.benazar\Quorum Business Solutions\Ecopetrol Prometeo - Documents\Planning Space Implementation\3. Analysis &amp; Design\Design\FC22\DRR Jaime\QUIFA-CAJÚA\Cajua\[CAJUA_CF_SEC_New_27-Feb-2024Rev3.xlsx]D-PRB'!</v>
      </c>
      <c r="G2323" s="32" t="s">
        <v>115</v>
      </c>
      <c r="H2323" s="33">
        <f t="shared" si="560"/>
        <v>15</v>
      </c>
      <c r="I2323" s="33" t="str">
        <f t="shared" si="530"/>
        <v>='C:\Users\jaime.benazar\Quorum Business Solutions\Ecopetrol Prometeo - Documents\Planning Space Implementation\3. Analysis &amp; Design\Design\FC22\DRR Jaime\QUIFA-CAJÚA\Cajua\[CAJUA_CF_SEC_New_27-Feb-2024Rev3.xlsx]D-PRB'!$DC$15</v>
      </c>
      <c r="J2323" s="37" t="s">
        <v>3039</v>
      </c>
    </row>
    <row r="2324" spans="1:10" x14ac:dyDescent="0.25">
      <c r="A2324" s="32" t="s">
        <v>4</v>
      </c>
      <c r="B2324" s="32">
        <f t="shared" si="561"/>
        <v>2027</v>
      </c>
      <c r="C2324" s="33" t="s">
        <v>20</v>
      </c>
      <c r="D2324" s="34" t="s">
        <v>1999</v>
      </c>
      <c r="E2324" s="35" t="str">
        <f t="shared" si="528"/>
        <v>PRB'!</v>
      </c>
      <c r="F2324" s="34" t="str">
        <f t="shared" si="529"/>
        <v>C:\Users\jaime.benazar\Quorum Business Solutions\Ecopetrol Prometeo - Documents\Planning Space Implementation\3. Analysis &amp; Design\Design\FC22\DRR Jaime\QUIFA-CAJÚA\Cajua\[CAJUA_CF_SEC_New_27-Feb-2024Rev3.xlsx]D-PRB'!</v>
      </c>
      <c r="G2324" s="32" t="s">
        <v>115</v>
      </c>
      <c r="H2324" s="33">
        <f t="shared" si="560"/>
        <v>16</v>
      </c>
      <c r="I2324" s="33" t="str">
        <f t="shared" si="530"/>
        <v>='C:\Users\jaime.benazar\Quorum Business Solutions\Ecopetrol Prometeo - Documents\Planning Space Implementation\3. Analysis &amp; Design\Design\FC22\DRR Jaime\QUIFA-CAJÚA\Cajua\[CAJUA_CF_SEC_New_27-Feb-2024Rev3.xlsx]D-PRB'!$DC$16</v>
      </c>
      <c r="J2324" s="37" t="s">
        <v>3040</v>
      </c>
    </row>
    <row r="2325" spans="1:10" x14ac:dyDescent="0.25">
      <c r="A2325" s="32" t="s">
        <v>4</v>
      </c>
      <c r="B2325" s="32">
        <f t="shared" si="561"/>
        <v>2028</v>
      </c>
      <c r="C2325" s="33" t="s">
        <v>20</v>
      </c>
      <c r="D2325" s="34" t="s">
        <v>1999</v>
      </c>
      <c r="E2325" s="35" t="str">
        <f t="shared" si="528"/>
        <v>PRB'!</v>
      </c>
      <c r="F2325" s="34" t="str">
        <f t="shared" si="529"/>
        <v>C:\Users\jaime.benazar\Quorum Business Solutions\Ecopetrol Prometeo - Documents\Planning Space Implementation\3. Analysis &amp; Design\Design\FC22\DRR Jaime\QUIFA-CAJÚA\Cajua\[CAJUA_CF_SEC_New_27-Feb-2024Rev3.xlsx]D-PRB'!</v>
      </c>
      <c r="G2325" s="32" t="s">
        <v>115</v>
      </c>
      <c r="H2325" s="33">
        <f t="shared" si="560"/>
        <v>17</v>
      </c>
      <c r="I2325" s="33" t="str">
        <f t="shared" si="530"/>
        <v>='C:\Users\jaime.benazar\Quorum Business Solutions\Ecopetrol Prometeo - Documents\Planning Space Implementation\3. Analysis &amp; Design\Design\FC22\DRR Jaime\QUIFA-CAJÚA\Cajua\[CAJUA_CF_SEC_New_27-Feb-2024Rev3.xlsx]D-PRB'!$DC$17</v>
      </c>
      <c r="J2325" s="37" t="s">
        <v>3041</v>
      </c>
    </row>
    <row r="2326" spans="1:10" x14ac:dyDescent="0.25">
      <c r="A2326" s="32" t="s">
        <v>4</v>
      </c>
      <c r="B2326" s="32">
        <f t="shared" si="561"/>
        <v>2029</v>
      </c>
      <c r="C2326" s="33" t="s">
        <v>20</v>
      </c>
      <c r="D2326" s="34" t="s">
        <v>1999</v>
      </c>
      <c r="E2326" s="35" t="str">
        <f t="shared" si="528"/>
        <v>PRB'!</v>
      </c>
      <c r="F2326" s="34" t="str">
        <f t="shared" si="529"/>
        <v>C:\Users\jaime.benazar\Quorum Business Solutions\Ecopetrol Prometeo - Documents\Planning Space Implementation\3. Analysis &amp; Design\Design\FC22\DRR Jaime\QUIFA-CAJÚA\Cajua\[CAJUA_CF_SEC_New_27-Feb-2024Rev3.xlsx]D-PRB'!</v>
      </c>
      <c r="G2326" s="32" t="s">
        <v>115</v>
      </c>
      <c r="H2326" s="33">
        <f t="shared" si="560"/>
        <v>18</v>
      </c>
      <c r="I2326" s="33" t="str">
        <f t="shared" si="530"/>
        <v>='C:\Users\jaime.benazar\Quorum Business Solutions\Ecopetrol Prometeo - Documents\Planning Space Implementation\3. Analysis &amp; Design\Design\FC22\DRR Jaime\QUIFA-CAJÚA\Cajua\[CAJUA_CF_SEC_New_27-Feb-2024Rev3.xlsx]D-PRB'!$DC$18</v>
      </c>
      <c r="J2326" s="37" t="s">
        <v>3042</v>
      </c>
    </row>
    <row r="2327" spans="1:10" x14ac:dyDescent="0.25">
      <c r="A2327" s="32" t="s">
        <v>4</v>
      </c>
      <c r="B2327" s="32">
        <f t="shared" si="561"/>
        <v>2030</v>
      </c>
      <c r="C2327" s="33" t="s">
        <v>20</v>
      </c>
      <c r="D2327" s="34" t="s">
        <v>1999</v>
      </c>
      <c r="E2327" s="35" t="str">
        <f t="shared" si="528"/>
        <v>PRB'!</v>
      </c>
      <c r="F2327" s="34" t="str">
        <f t="shared" si="529"/>
        <v>C:\Users\jaime.benazar\Quorum Business Solutions\Ecopetrol Prometeo - Documents\Planning Space Implementation\3. Analysis &amp; Design\Design\FC22\DRR Jaime\QUIFA-CAJÚA\Cajua\[CAJUA_CF_SEC_New_27-Feb-2024Rev3.xlsx]D-PRB'!</v>
      </c>
      <c r="G2327" s="32" t="s">
        <v>115</v>
      </c>
      <c r="H2327" s="33">
        <f t="shared" si="560"/>
        <v>19</v>
      </c>
      <c r="I2327" s="33" t="str">
        <f t="shared" si="530"/>
        <v>='C:\Users\jaime.benazar\Quorum Business Solutions\Ecopetrol Prometeo - Documents\Planning Space Implementation\3. Analysis &amp; Design\Design\FC22\DRR Jaime\QUIFA-CAJÚA\Cajua\[CAJUA_CF_SEC_New_27-Feb-2024Rev3.xlsx]D-PRB'!$DC$19</v>
      </c>
      <c r="J2327" s="37" t="s">
        <v>3043</v>
      </c>
    </row>
    <row r="2328" spans="1:10" x14ac:dyDescent="0.25">
      <c r="A2328" s="32" t="s">
        <v>4</v>
      </c>
      <c r="B2328" s="32">
        <f t="shared" si="561"/>
        <v>2031</v>
      </c>
      <c r="C2328" s="33" t="s">
        <v>20</v>
      </c>
      <c r="D2328" s="34" t="s">
        <v>1999</v>
      </c>
      <c r="E2328" s="35" t="str">
        <f t="shared" si="528"/>
        <v>PRB'!</v>
      </c>
      <c r="F2328" s="34" t="str">
        <f t="shared" si="529"/>
        <v>C:\Users\jaime.benazar\Quorum Business Solutions\Ecopetrol Prometeo - Documents\Planning Space Implementation\3. Analysis &amp; Design\Design\FC22\DRR Jaime\QUIFA-CAJÚA\Cajua\[CAJUA_CF_SEC_New_27-Feb-2024Rev3.xlsx]D-PRB'!</v>
      </c>
      <c r="G2328" s="32" t="s">
        <v>115</v>
      </c>
      <c r="H2328" s="33">
        <f t="shared" si="560"/>
        <v>20</v>
      </c>
      <c r="I2328" s="33" t="str">
        <f t="shared" si="530"/>
        <v>='C:\Users\jaime.benazar\Quorum Business Solutions\Ecopetrol Prometeo - Documents\Planning Space Implementation\3. Analysis &amp; Design\Design\FC22\DRR Jaime\QUIFA-CAJÚA\Cajua\[CAJUA_CF_SEC_New_27-Feb-2024Rev3.xlsx]D-PRB'!$DC$20</v>
      </c>
      <c r="J2328" s="37" t="s">
        <v>3044</v>
      </c>
    </row>
    <row r="2329" spans="1:10" x14ac:dyDescent="0.25">
      <c r="A2329" s="32" t="s">
        <v>4</v>
      </c>
      <c r="B2329" s="32">
        <f t="shared" si="561"/>
        <v>2032</v>
      </c>
      <c r="C2329" s="33" t="s">
        <v>20</v>
      </c>
      <c r="D2329" s="34" t="s">
        <v>1999</v>
      </c>
      <c r="E2329" s="35" t="str">
        <f t="shared" si="528"/>
        <v>PRB'!</v>
      </c>
      <c r="F2329" s="34" t="str">
        <f t="shared" si="529"/>
        <v>C:\Users\jaime.benazar\Quorum Business Solutions\Ecopetrol Prometeo - Documents\Planning Space Implementation\3. Analysis &amp; Design\Design\FC22\DRR Jaime\QUIFA-CAJÚA\Cajua\[CAJUA_CF_SEC_New_27-Feb-2024Rev3.xlsx]D-PRB'!</v>
      </c>
      <c r="G2329" s="32" t="s">
        <v>115</v>
      </c>
      <c r="H2329" s="33">
        <f t="shared" si="560"/>
        <v>21</v>
      </c>
      <c r="I2329" s="33" t="str">
        <f t="shared" si="530"/>
        <v>='C:\Users\jaime.benazar\Quorum Business Solutions\Ecopetrol Prometeo - Documents\Planning Space Implementation\3. Analysis &amp; Design\Design\FC22\DRR Jaime\QUIFA-CAJÚA\Cajua\[CAJUA_CF_SEC_New_27-Feb-2024Rev3.xlsx]D-PRB'!$DC$21</v>
      </c>
      <c r="J2329" s="37" t="s">
        <v>3045</v>
      </c>
    </row>
    <row r="2330" spans="1:10" x14ac:dyDescent="0.25">
      <c r="A2330" s="32" t="s">
        <v>4</v>
      </c>
      <c r="B2330" s="32">
        <f t="shared" si="561"/>
        <v>2033</v>
      </c>
      <c r="C2330" s="33" t="s">
        <v>20</v>
      </c>
      <c r="D2330" s="34" t="s">
        <v>1999</v>
      </c>
      <c r="E2330" s="35" t="str">
        <f t="shared" si="528"/>
        <v>PRB'!</v>
      </c>
      <c r="F2330" s="34" t="str">
        <f t="shared" si="529"/>
        <v>C:\Users\jaime.benazar\Quorum Business Solutions\Ecopetrol Prometeo - Documents\Planning Space Implementation\3. Analysis &amp; Design\Design\FC22\DRR Jaime\QUIFA-CAJÚA\Cajua\[CAJUA_CF_SEC_New_27-Feb-2024Rev3.xlsx]D-PRB'!</v>
      </c>
      <c r="G2330" s="32" t="s">
        <v>115</v>
      </c>
      <c r="H2330" s="33">
        <f t="shared" si="560"/>
        <v>22</v>
      </c>
      <c r="I2330" s="33" t="str">
        <f t="shared" si="530"/>
        <v>='C:\Users\jaime.benazar\Quorum Business Solutions\Ecopetrol Prometeo - Documents\Planning Space Implementation\3. Analysis &amp; Design\Design\FC22\DRR Jaime\QUIFA-CAJÚA\Cajua\[CAJUA_CF_SEC_New_27-Feb-2024Rev3.xlsx]D-PRB'!$DC$22</v>
      </c>
      <c r="J2330" s="37" t="s">
        <v>3046</v>
      </c>
    </row>
    <row r="2331" spans="1:10" x14ac:dyDescent="0.25">
      <c r="A2331" s="32" t="s">
        <v>4</v>
      </c>
      <c r="B2331" s="32">
        <f t="shared" si="561"/>
        <v>2034</v>
      </c>
      <c r="C2331" s="33" t="s">
        <v>20</v>
      </c>
      <c r="D2331" s="34" t="s">
        <v>1999</v>
      </c>
      <c r="E2331" s="35" t="str">
        <f t="shared" si="528"/>
        <v>PRB'!</v>
      </c>
      <c r="F2331" s="34" t="str">
        <f t="shared" si="529"/>
        <v>C:\Users\jaime.benazar\Quorum Business Solutions\Ecopetrol Prometeo - Documents\Planning Space Implementation\3. Analysis &amp; Design\Design\FC22\DRR Jaime\QUIFA-CAJÚA\Cajua\[CAJUA_CF_SEC_New_27-Feb-2024Rev3.xlsx]D-PRB'!</v>
      </c>
      <c r="G2331" s="32" t="s">
        <v>115</v>
      </c>
      <c r="H2331" s="33">
        <f t="shared" si="560"/>
        <v>23</v>
      </c>
      <c r="I2331" s="33" t="str">
        <f t="shared" si="530"/>
        <v>='C:\Users\jaime.benazar\Quorum Business Solutions\Ecopetrol Prometeo - Documents\Planning Space Implementation\3. Analysis &amp; Design\Design\FC22\DRR Jaime\QUIFA-CAJÚA\Cajua\[CAJUA_CF_SEC_New_27-Feb-2024Rev3.xlsx]D-PRB'!$DC$23</v>
      </c>
      <c r="J2331" s="37" t="s">
        <v>3047</v>
      </c>
    </row>
    <row r="2332" spans="1:10" x14ac:dyDescent="0.25">
      <c r="A2332" s="32" t="s">
        <v>4</v>
      </c>
      <c r="B2332" s="32">
        <f t="shared" si="561"/>
        <v>2035</v>
      </c>
      <c r="C2332" s="33" t="s">
        <v>20</v>
      </c>
      <c r="D2332" s="34" t="s">
        <v>1999</v>
      </c>
      <c r="E2332" s="35" t="str">
        <f t="shared" si="528"/>
        <v>PRB'!</v>
      </c>
      <c r="F2332" s="34" t="str">
        <f t="shared" si="529"/>
        <v>C:\Users\jaime.benazar\Quorum Business Solutions\Ecopetrol Prometeo - Documents\Planning Space Implementation\3. Analysis &amp; Design\Design\FC22\DRR Jaime\QUIFA-CAJÚA\Cajua\[CAJUA_CF_SEC_New_27-Feb-2024Rev3.xlsx]D-PRB'!</v>
      </c>
      <c r="G2332" s="32" t="s">
        <v>115</v>
      </c>
      <c r="H2332" s="33">
        <f t="shared" si="560"/>
        <v>24</v>
      </c>
      <c r="I2332" s="33" t="str">
        <f t="shared" si="530"/>
        <v>='C:\Users\jaime.benazar\Quorum Business Solutions\Ecopetrol Prometeo - Documents\Planning Space Implementation\3. Analysis &amp; Design\Design\FC22\DRR Jaime\QUIFA-CAJÚA\Cajua\[CAJUA_CF_SEC_New_27-Feb-2024Rev3.xlsx]D-PRB'!$DC$24</v>
      </c>
      <c r="J2332" s="37" t="s">
        <v>3048</v>
      </c>
    </row>
    <row r="2333" spans="1:10" x14ac:dyDescent="0.25">
      <c r="A2333" s="32" t="s">
        <v>4</v>
      </c>
      <c r="B2333" s="32">
        <f t="shared" si="561"/>
        <v>2036</v>
      </c>
      <c r="C2333" s="33" t="s">
        <v>20</v>
      </c>
      <c r="D2333" s="34" t="s">
        <v>1999</v>
      </c>
      <c r="E2333" s="35" t="str">
        <f t="shared" si="528"/>
        <v>PRB'!</v>
      </c>
      <c r="F2333" s="34" t="str">
        <f t="shared" si="529"/>
        <v>C:\Users\jaime.benazar\Quorum Business Solutions\Ecopetrol Prometeo - Documents\Planning Space Implementation\3. Analysis &amp; Design\Design\FC22\DRR Jaime\QUIFA-CAJÚA\Cajua\[CAJUA_CF_SEC_New_27-Feb-2024Rev3.xlsx]D-PRB'!</v>
      </c>
      <c r="G2333" s="32" t="s">
        <v>115</v>
      </c>
      <c r="H2333" s="33">
        <f t="shared" si="560"/>
        <v>25</v>
      </c>
      <c r="I2333" s="33" t="str">
        <f t="shared" si="530"/>
        <v>='C:\Users\jaime.benazar\Quorum Business Solutions\Ecopetrol Prometeo - Documents\Planning Space Implementation\3. Analysis &amp; Design\Design\FC22\DRR Jaime\QUIFA-CAJÚA\Cajua\[CAJUA_CF_SEC_New_27-Feb-2024Rev3.xlsx]D-PRB'!$DC$25</v>
      </c>
      <c r="J2333" s="37" t="s">
        <v>3049</v>
      </c>
    </row>
    <row r="2334" spans="1:10" x14ac:dyDescent="0.25">
      <c r="A2334" s="32" t="s">
        <v>4</v>
      </c>
      <c r="B2334" s="32">
        <f>+B2333+1</f>
        <v>2037</v>
      </c>
      <c r="C2334" s="33" t="s">
        <v>20</v>
      </c>
      <c r="D2334" s="34" t="s">
        <v>1999</v>
      </c>
      <c r="E2334" s="35" t="str">
        <f t="shared" si="528"/>
        <v>PRB'!</v>
      </c>
      <c r="F2334" s="34" t="str">
        <f t="shared" si="529"/>
        <v>C:\Users\jaime.benazar\Quorum Business Solutions\Ecopetrol Prometeo - Documents\Planning Space Implementation\3. Analysis &amp; Design\Design\FC22\DRR Jaime\QUIFA-CAJÚA\Cajua\[CAJUA_CF_SEC_New_27-Feb-2024Rev3.xlsx]D-PRB'!</v>
      </c>
      <c r="G2334" s="32" t="s">
        <v>115</v>
      </c>
      <c r="H2334" s="33">
        <f t="shared" si="560"/>
        <v>26</v>
      </c>
      <c r="I2334" s="33" t="str">
        <f t="shared" si="530"/>
        <v>='C:\Users\jaime.benazar\Quorum Business Solutions\Ecopetrol Prometeo - Documents\Planning Space Implementation\3. Analysis &amp; Design\Design\FC22\DRR Jaime\QUIFA-CAJÚA\Cajua\[CAJUA_CF_SEC_New_27-Feb-2024Rev3.xlsx]D-PRB'!$DC$26</v>
      </c>
      <c r="J2334" s="37" t="s">
        <v>3050</v>
      </c>
    </row>
    <row r="2335" spans="1:10" x14ac:dyDescent="0.25">
      <c r="A2335" s="32" t="s">
        <v>4</v>
      </c>
      <c r="B2335" s="32">
        <f t="shared" ref="B2335:B2337" si="562">+B2334+1</f>
        <v>2038</v>
      </c>
      <c r="C2335" s="33" t="s">
        <v>20</v>
      </c>
      <c r="D2335" s="34" t="s">
        <v>1999</v>
      </c>
      <c r="E2335" s="35" t="str">
        <f t="shared" si="528"/>
        <v>PRB'!</v>
      </c>
      <c r="F2335" s="34" t="str">
        <f t="shared" si="529"/>
        <v>C:\Users\jaime.benazar\Quorum Business Solutions\Ecopetrol Prometeo - Documents\Planning Space Implementation\3. Analysis &amp; Design\Design\FC22\DRR Jaime\QUIFA-CAJÚA\Cajua\[CAJUA_CF_SEC_New_27-Feb-2024Rev3.xlsx]D-PRB'!</v>
      </c>
      <c r="G2335" s="32" t="s">
        <v>115</v>
      </c>
      <c r="H2335" s="33">
        <f t="shared" si="560"/>
        <v>27</v>
      </c>
      <c r="I2335" s="33" t="str">
        <f t="shared" si="530"/>
        <v>='C:\Users\jaime.benazar\Quorum Business Solutions\Ecopetrol Prometeo - Documents\Planning Space Implementation\3. Analysis &amp; Design\Design\FC22\DRR Jaime\QUIFA-CAJÚA\Cajua\[CAJUA_CF_SEC_New_27-Feb-2024Rev3.xlsx]D-PRB'!$DC$27</v>
      </c>
      <c r="J2335" s="37" t="s">
        <v>3051</v>
      </c>
    </row>
    <row r="2336" spans="1:10" x14ac:dyDescent="0.25">
      <c r="A2336" s="32" t="s">
        <v>4</v>
      </c>
      <c r="B2336" s="32">
        <f t="shared" si="562"/>
        <v>2039</v>
      </c>
      <c r="C2336" s="33" t="s">
        <v>20</v>
      </c>
      <c r="D2336" s="34" t="s">
        <v>1999</v>
      </c>
      <c r="E2336" s="35" t="str">
        <f t="shared" si="528"/>
        <v>PRB'!</v>
      </c>
      <c r="F2336" s="34" t="str">
        <f t="shared" si="529"/>
        <v>C:\Users\jaime.benazar\Quorum Business Solutions\Ecopetrol Prometeo - Documents\Planning Space Implementation\3. Analysis &amp; Design\Design\FC22\DRR Jaime\QUIFA-CAJÚA\Cajua\[CAJUA_CF_SEC_New_27-Feb-2024Rev3.xlsx]D-PRB'!</v>
      </c>
      <c r="G2336" s="32" t="s">
        <v>115</v>
      </c>
      <c r="H2336" s="33">
        <f t="shared" si="560"/>
        <v>28</v>
      </c>
      <c r="I2336" s="33" t="str">
        <f t="shared" si="530"/>
        <v>='C:\Users\jaime.benazar\Quorum Business Solutions\Ecopetrol Prometeo - Documents\Planning Space Implementation\3. Analysis &amp; Design\Design\FC22\DRR Jaime\QUIFA-CAJÚA\Cajua\[CAJUA_CF_SEC_New_27-Feb-2024Rev3.xlsx]D-PRB'!$DC$28</v>
      </c>
      <c r="J2336" s="37" t="s">
        <v>3052</v>
      </c>
    </row>
    <row r="2337" spans="1:10" x14ac:dyDescent="0.25">
      <c r="A2337" s="32" t="s">
        <v>4</v>
      </c>
      <c r="B2337" s="32">
        <f t="shared" si="562"/>
        <v>2040</v>
      </c>
      <c r="C2337" s="33" t="s">
        <v>20</v>
      </c>
      <c r="D2337" s="34" t="s">
        <v>1999</v>
      </c>
      <c r="E2337" s="35" t="str">
        <f t="shared" si="528"/>
        <v>PRB'!</v>
      </c>
      <c r="F2337" s="34" t="str">
        <f t="shared" si="529"/>
        <v>C:\Users\jaime.benazar\Quorum Business Solutions\Ecopetrol Prometeo - Documents\Planning Space Implementation\3. Analysis &amp; Design\Design\FC22\DRR Jaime\QUIFA-CAJÚA\Cajua\[CAJUA_CF_SEC_New_27-Feb-2024Rev3.xlsx]D-PRB'!</v>
      </c>
      <c r="G2337" s="32" t="s">
        <v>115</v>
      </c>
      <c r="H2337" s="33">
        <f t="shared" si="560"/>
        <v>29</v>
      </c>
      <c r="I2337" s="33" t="str">
        <f t="shared" si="530"/>
        <v>='C:\Users\jaime.benazar\Quorum Business Solutions\Ecopetrol Prometeo - Documents\Planning Space Implementation\3. Analysis &amp; Design\Design\FC22\DRR Jaime\QUIFA-CAJÚA\Cajua\[CAJUA_CF_SEC_New_27-Feb-2024Rev3.xlsx]D-PRB'!$DC$29</v>
      </c>
      <c r="J2337" s="37" t="s">
        <v>3053</v>
      </c>
    </row>
    <row r="2338" spans="1:10" x14ac:dyDescent="0.25">
      <c r="A2338" s="32" t="s">
        <v>4</v>
      </c>
      <c r="B2338" s="32">
        <f>+B2337+1</f>
        <v>2041</v>
      </c>
      <c r="C2338" s="33" t="s">
        <v>20</v>
      </c>
      <c r="D2338" s="34" t="s">
        <v>1999</v>
      </c>
      <c r="E2338" s="35" t="str">
        <f t="shared" si="528"/>
        <v>PRB'!</v>
      </c>
      <c r="F2338" s="34" t="str">
        <f t="shared" si="529"/>
        <v>C:\Users\jaime.benazar\Quorum Business Solutions\Ecopetrol Prometeo - Documents\Planning Space Implementation\3. Analysis &amp; Design\Design\FC22\DRR Jaime\QUIFA-CAJÚA\Cajua\[CAJUA_CF_SEC_New_27-Feb-2024Rev3.xlsx]D-PRB'!</v>
      </c>
      <c r="G2338" s="32" t="s">
        <v>115</v>
      </c>
      <c r="H2338" s="33">
        <f t="shared" si="560"/>
        <v>30</v>
      </c>
      <c r="I2338" s="33" t="str">
        <f t="shared" si="530"/>
        <v>='C:\Users\jaime.benazar\Quorum Business Solutions\Ecopetrol Prometeo - Documents\Planning Space Implementation\3. Analysis &amp; Design\Design\FC22\DRR Jaime\QUIFA-CAJÚA\Cajua\[CAJUA_CF_SEC_New_27-Feb-2024Rev3.xlsx]D-PRB'!$DC$30</v>
      </c>
      <c r="J2338" s="37" t="s">
        <v>3054</v>
      </c>
    </row>
    <row r="2339" spans="1:10" x14ac:dyDescent="0.25">
      <c r="A2339" s="32" t="s">
        <v>4</v>
      </c>
      <c r="B2339" s="32">
        <f t="shared" ref="B2339:B2340" si="563">+B2338+1</f>
        <v>2042</v>
      </c>
      <c r="C2339" s="33" t="s">
        <v>20</v>
      </c>
      <c r="D2339" s="34" t="s">
        <v>1999</v>
      </c>
      <c r="E2339" s="35" t="str">
        <f t="shared" si="528"/>
        <v>PRB'!</v>
      </c>
      <c r="F2339" s="34" t="str">
        <f t="shared" si="529"/>
        <v>C:\Users\jaime.benazar\Quorum Business Solutions\Ecopetrol Prometeo - Documents\Planning Space Implementation\3. Analysis &amp; Design\Design\FC22\DRR Jaime\QUIFA-CAJÚA\Cajua\[CAJUA_CF_SEC_New_27-Feb-2024Rev3.xlsx]D-PRB'!</v>
      </c>
      <c r="G2339" s="32" t="s">
        <v>115</v>
      </c>
      <c r="H2339" s="33">
        <f t="shared" si="560"/>
        <v>31</v>
      </c>
      <c r="I2339" s="33" t="str">
        <f t="shared" si="530"/>
        <v>='C:\Users\jaime.benazar\Quorum Business Solutions\Ecopetrol Prometeo - Documents\Planning Space Implementation\3. Analysis &amp; Design\Design\FC22\DRR Jaime\QUIFA-CAJÚA\Cajua\[CAJUA_CF_SEC_New_27-Feb-2024Rev3.xlsx]D-PRB'!$DC$31</v>
      </c>
      <c r="J2339" s="37" t="s">
        <v>3055</v>
      </c>
    </row>
    <row r="2340" spans="1:10" x14ac:dyDescent="0.25">
      <c r="A2340" s="32" t="s">
        <v>4</v>
      </c>
      <c r="B2340" s="32">
        <f t="shared" si="563"/>
        <v>2043</v>
      </c>
      <c r="C2340" s="33" t="s">
        <v>20</v>
      </c>
      <c r="D2340" s="34" t="s">
        <v>1999</v>
      </c>
      <c r="E2340" s="35" t="str">
        <f t="shared" si="528"/>
        <v>PRB'!</v>
      </c>
      <c r="F2340" s="34" t="str">
        <f t="shared" si="529"/>
        <v>C:\Users\jaime.benazar\Quorum Business Solutions\Ecopetrol Prometeo - Documents\Planning Space Implementation\3. Analysis &amp; Design\Design\FC22\DRR Jaime\QUIFA-CAJÚA\Cajua\[CAJUA_CF_SEC_New_27-Feb-2024Rev3.xlsx]D-PRB'!</v>
      </c>
      <c r="G2340" s="32" t="s">
        <v>115</v>
      </c>
      <c r="H2340" s="33">
        <f t="shared" si="560"/>
        <v>32</v>
      </c>
      <c r="I2340" s="33" t="str">
        <f t="shared" si="530"/>
        <v>='C:\Users\jaime.benazar\Quorum Business Solutions\Ecopetrol Prometeo - Documents\Planning Space Implementation\3. Analysis &amp; Design\Design\FC22\DRR Jaime\QUIFA-CAJÚA\Cajua\[CAJUA_CF_SEC_New_27-Feb-2024Rev3.xlsx]D-PRB'!$DC$32</v>
      </c>
      <c r="J2340" s="37" t="s">
        <v>3056</v>
      </c>
    </row>
    <row r="2341" spans="1:10" x14ac:dyDescent="0.25">
      <c r="A2341" s="32" t="s">
        <v>4</v>
      </c>
      <c r="B2341" s="32">
        <f>+B2340+1</f>
        <v>2044</v>
      </c>
      <c r="C2341" s="33" t="s">
        <v>20</v>
      </c>
      <c r="D2341" s="34" t="s">
        <v>1999</v>
      </c>
      <c r="E2341" s="35" t="str">
        <f t="shared" ref="E2341:E2356" si="564">_xlfn.CONCAT(A2341,"'!")</f>
        <v>PRB'!</v>
      </c>
      <c r="F2341" s="34" t="str">
        <f t="shared" ref="F2341:F2356" si="565">_xlfn.CONCAT(D2341:E2341)</f>
        <v>C:\Users\jaime.benazar\Quorum Business Solutions\Ecopetrol Prometeo - Documents\Planning Space Implementation\3. Analysis &amp; Design\Design\FC22\DRR Jaime\QUIFA-CAJÚA\Cajua\[CAJUA_CF_SEC_New_27-Feb-2024Rev3.xlsx]D-PRB'!</v>
      </c>
      <c r="G2341" s="32" t="s">
        <v>115</v>
      </c>
      <c r="H2341" s="33">
        <f t="shared" ref="H2341:H2356" si="566">IF(A2341&lt;&gt;A2340,12,H2340+1)</f>
        <v>33</v>
      </c>
      <c r="I2341" s="33" t="str">
        <f t="shared" ref="I2341:I2356" si="567">_xlfn.CONCAT("='",F2341:H2341)</f>
        <v>='C:\Users\jaime.benazar\Quorum Business Solutions\Ecopetrol Prometeo - Documents\Planning Space Implementation\3. Analysis &amp; Design\Design\FC22\DRR Jaime\QUIFA-CAJÚA\Cajua\[CAJUA_CF_SEC_New_27-Feb-2024Rev3.xlsx]D-PRB'!$DC$33</v>
      </c>
      <c r="J2341" s="37" t="s">
        <v>3057</v>
      </c>
    </row>
    <row r="2342" spans="1:10" x14ac:dyDescent="0.25">
      <c r="A2342" s="32" t="s">
        <v>4</v>
      </c>
      <c r="B2342" s="32">
        <f t="shared" ref="B2342:B2356" si="568">+B2341+1</f>
        <v>2045</v>
      </c>
      <c r="C2342" s="33" t="s">
        <v>20</v>
      </c>
      <c r="D2342" s="34" t="s">
        <v>1999</v>
      </c>
      <c r="E2342" s="35" t="str">
        <f t="shared" si="564"/>
        <v>PRB'!</v>
      </c>
      <c r="F2342" s="34" t="str">
        <f t="shared" si="565"/>
        <v>C:\Users\jaime.benazar\Quorum Business Solutions\Ecopetrol Prometeo - Documents\Planning Space Implementation\3. Analysis &amp; Design\Design\FC22\DRR Jaime\QUIFA-CAJÚA\Cajua\[CAJUA_CF_SEC_New_27-Feb-2024Rev3.xlsx]D-PRB'!</v>
      </c>
      <c r="G2342" s="32" t="s">
        <v>115</v>
      </c>
      <c r="H2342" s="33">
        <f t="shared" si="566"/>
        <v>34</v>
      </c>
      <c r="I2342" s="33" t="str">
        <f t="shared" si="567"/>
        <v>='C:\Users\jaime.benazar\Quorum Business Solutions\Ecopetrol Prometeo - Documents\Planning Space Implementation\3. Analysis &amp; Design\Design\FC22\DRR Jaime\QUIFA-CAJÚA\Cajua\[CAJUA_CF_SEC_New_27-Feb-2024Rev3.xlsx]D-PRB'!$DC$34</v>
      </c>
      <c r="J2342" s="37" t="s">
        <v>3058</v>
      </c>
    </row>
    <row r="2343" spans="1:10" x14ac:dyDescent="0.25">
      <c r="A2343" s="32" t="s">
        <v>4</v>
      </c>
      <c r="B2343" s="32">
        <f t="shared" si="568"/>
        <v>2046</v>
      </c>
      <c r="C2343" s="33" t="s">
        <v>20</v>
      </c>
      <c r="D2343" s="34" t="s">
        <v>1999</v>
      </c>
      <c r="E2343" s="35" t="str">
        <f t="shared" si="564"/>
        <v>PRB'!</v>
      </c>
      <c r="F2343" s="34" t="str">
        <f t="shared" si="565"/>
        <v>C:\Users\jaime.benazar\Quorum Business Solutions\Ecopetrol Prometeo - Documents\Planning Space Implementation\3. Analysis &amp; Design\Design\FC22\DRR Jaime\QUIFA-CAJÚA\Cajua\[CAJUA_CF_SEC_New_27-Feb-2024Rev3.xlsx]D-PRB'!</v>
      </c>
      <c r="G2343" s="32" t="s">
        <v>115</v>
      </c>
      <c r="H2343" s="33">
        <f t="shared" si="566"/>
        <v>35</v>
      </c>
      <c r="I2343" s="33" t="str">
        <f t="shared" si="567"/>
        <v>='C:\Users\jaime.benazar\Quorum Business Solutions\Ecopetrol Prometeo - Documents\Planning Space Implementation\3. Analysis &amp; Design\Design\FC22\DRR Jaime\QUIFA-CAJÚA\Cajua\[CAJUA_CF_SEC_New_27-Feb-2024Rev3.xlsx]D-PRB'!$DC$35</v>
      </c>
      <c r="J2343" s="37" t="s">
        <v>3059</v>
      </c>
    </row>
    <row r="2344" spans="1:10" x14ac:dyDescent="0.25">
      <c r="A2344" s="32" t="s">
        <v>4</v>
      </c>
      <c r="B2344" s="32">
        <f t="shared" si="568"/>
        <v>2047</v>
      </c>
      <c r="C2344" s="33" t="s">
        <v>20</v>
      </c>
      <c r="D2344" s="34" t="s">
        <v>1999</v>
      </c>
      <c r="E2344" s="35" t="str">
        <f t="shared" si="564"/>
        <v>PRB'!</v>
      </c>
      <c r="F2344" s="34" t="str">
        <f t="shared" si="565"/>
        <v>C:\Users\jaime.benazar\Quorum Business Solutions\Ecopetrol Prometeo - Documents\Planning Space Implementation\3. Analysis &amp; Design\Design\FC22\DRR Jaime\QUIFA-CAJÚA\Cajua\[CAJUA_CF_SEC_New_27-Feb-2024Rev3.xlsx]D-PRB'!</v>
      </c>
      <c r="G2344" s="32" t="s">
        <v>115</v>
      </c>
      <c r="H2344" s="33">
        <f t="shared" si="566"/>
        <v>36</v>
      </c>
      <c r="I2344" s="33" t="str">
        <f t="shared" si="567"/>
        <v>='C:\Users\jaime.benazar\Quorum Business Solutions\Ecopetrol Prometeo - Documents\Planning Space Implementation\3. Analysis &amp; Design\Design\FC22\DRR Jaime\QUIFA-CAJÚA\Cajua\[CAJUA_CF_SEC_New_27-Feb-2024Rev3.xlsx]D-PRB'!$DC$36</v>
      </c>
      <c r="J2344" s="37" t="s">
        <v>3060</v>
      </c>
    </row>
    <row r="2345" spans="1:10" x14ac:dyDescent="0.25">
      <c r="A2345" s="32" t="s">
        <v>4</v>
      </c>
      <c r="B2345" s="32">
        <f t="shared" si="568"/>
        <v>2048</v>
      </c>
      <c r="C2345" s="33" t="s">
        <v>20</v>
      </c>
      <c r="D2345" s="34" t="s">
        <v>1999</v>
      </c>
      <c r="E2345" s="35" t="str">
        <f t="shared" si="564"/>
        <v>PRB'!</v>
      </c>
      <c r="F2345" s="34" t="str">
        <f t="shared" si="565"/>
        <v>C:\Users\jaime.benazar\Quorum Business Solutions\Ecopetrol Prometeo - Documents\Planning Space Implementation\3. Analysis &amp; Design\Design\FC22\DRR Jaime\QUIFA-CAJÚA\Cajua\[CAJUA_CF_SEC_New_27-Feb-2024Rev3.xlsx]D-PRB'!</v>
      </c>
      <c r="G2345" s="32" t="s">
        <v>115</v>
      </c>
      <c r="H2345" s="33">
        <f t="shared" si="566"/>
        <v>37</v>
      </c>
      <c r="I2345" s="33" t="str">
        <f t="shared" si="567"/>
        <v>='C:\Users\jaime.benazar\Quorum Business Solutions\Ecopetrol Prometeo - Documents\Planning Space Implementation\3. Analysis &amp; Design\Design\FC22\DRR Jaime\QUIFA-CAJÚA\Cajua\[CAJUA_CF_SEC_New_27-Feb-2024Rev3.xlsx]D-PRB'!$DC$37</v>
      </c>
      <c r="J2345" s="37" t="s">
        <v>3061</v>
      </c>
    </row>
    <row r="2346" spans="1:10" x14ac:dyDescent="0.25">
      <c r="A2346" s="32" t="s">
        <v>4</v>
      </c>
      <c r="B2346" s="32">
        <f t="shared" si="568"/>
        <v>2049</v>
      </c>
      <c r="C2346" s="33" t="s">
        <v>20</v>
      </c>
      <c r="D2346" s="34" t="s">
        <v>1999</v>
      </c>
      <c r="E2346" s="35" t="str">
        <f t="shared" si="564"/>
        <v>PRB'!</v>
      </c>
      <c r="F2346" s="34" t="str">
        <f t="shared" si="565"/>
        <v>C:\Users\jaime.benazar\Quorum Business Solutions\Ecopetrol Prometeo - Documents\Planning Space Implementation\3. Analysis &amp; Design\Design\FC22\DRR Jaime\QUIFA-CAJÚA\Cajua\[CAJUA_CF_SEC_New_27-Feb-2024Rev3.xlsx]D-PRB'!</v>
      </c>
      <c r="G2346" s="32" t="s">
        <v>115</v>
      </c>
      <c r="H2346" s="33">
        <f t="shared" si="566"/>
        <v>38</v>
      </c>
      <c r="I2346" s="33" t="str">
        <f t="shared" si="567"/>
        <v>='C:\Users\jaime.benazar\Quorum Business Solutions\Ecopetrol Prometeo - Documents\Planning Space Implementation\3. Analysis &amp; Design\Design\FC22\DRR Jaime\QUIFA-CAJÚA\Cajua\[CAJUA_CF_SEC_New_27-Feb-2024Rev3.xlsx]D-PRB'!$DC$38</v>
      </c>
      <c r="J2346" s="37" t="s">
        <v>3062</v>
      </c>
    </row>
    <row r="2347" spans="1:10" x14ac:dyDescent="0.25">
      <c r="A2347" s="32" t="s">
        <v>4</v>
      </c>
      <c r="B2347" s="32">
        <f t="shared" si="568"/>
        <v>2050</v>
      </c>
      <c r="C2347" s="33" t="s">
        <v>20</v>
      </c>
      <c r="D2347" s="34" t="s">
        <v>1999</v>
      </c>
      <c r="E2347" s="35" t="str">
        <f t="shared" si="564"/>
        <v>PRB'!</v>
      </c>
      <c r="F2347" s="34" t="str">
        <f t="shared" si="565"/>
        <v>C:\Users\jaime.benazar\Quorum Business Solutions\Ecopetrol Prometeo - Documents\Planning Space Implementation\3. Analysis &amp; Design\Design\FC22\DRR Jaime\QUIFA-CAJÚA\Cajua\[CAJUA_CF_SEC_New_27-Feb-2024Rev3.xlsx]D-PRB'!</v>
      </c>
      <c r="G2347" s="32" t="s">
        <v>115</v>
      </c>
      <c r="H2347" s="33">
        <f t="shared" si="566"/>
        <v>39</v>
      </c>
      <c r="I2347" s="33" t="str">
        <f t="shared" si="567"/>
        <v>='C:\Users\jaime.benazar\Quorum Business Solutions\Ecopetrol Prometeo - Documents\Planning Space Implementation\3. Analysis &amp; Design\Design\FC22\DRR Jaime\QUIFA-CAJÚA\Cajua\[CAJUA_CF_SEC_New_27-Feb-2024Rev3.xlsx]D-PRB'!$DC$39</v>
      </c>
      <c r="J2347" s="37" t="s">
        <v>3063</v>
      </c>
    </row>
    <row r="2348" spans="1:10" x14ac:dyDescent="0.25">
      <c r="A2348" s="32" t="s">
        <v>4</v>
      </c>
      <c r="B2348" s="32">
        <f t="shared" si="568"/>
        <v>2051</v>
      </c>
      <c r="C2348" s="33" t="s">
        <v>20</v>
      </c>
      <c r="D2348" s="34" t="s">
        <v>1999</v>
      </c>
      <c r="E2348" s="35" t="str">
        <f t="shared" si="564"/>
        <v>PRB'!</v>
      </c>
      <c r="F2348" s="34" t="str">
        <f t="shared" si="565"/>
        <v>C:\Users\jaime.benazar\Quorum Business Solutions\Ecopetrol Prometeo - Documents\Planning Space Implementation\3. Analysis &amp; Design\Design\FC22\DRR Jaime\QUIFA-CAJÚA\Cajua\[CAJUA_CF_SEC_New_27-Feb-2024Rev3.xlsx]D-PRB'!</v>
      </c>
      <c r="G2348" s="32" t="s">
        <v>115</v>
      </c>
      <c r="H2348" s="33">
        <f t="shared" si="566"/>
        <v>40</v>
      </c>
      <c r="I2348" s="33" t="str">
        <f t="shared" si="567"/>
        <v>='C:\Users\jaime.benazar\Quorum Business Solutions\Ecopetrol Prometeo - Documents\Planning Space Implementation\3. Analysis &amp; Design\Design\FC22\DRR Jaime\QUIFA-CAJÚA\Cajua\[CAJUA_CF_SEC_New_27-Feb-2024Rev3.xlsx]D-PRB'!$DC$40</v>
      </c>
      <c r="J2348" s="37" t="s">
        <v>3064</v>
      </c>
    </row>
    <row r="2349" spans="1:10" x14ac:dyDescent="0.25">
      <c r="A2349" s="32" t="s">
        <v>4</v>
      </c>
      <c r="B2349" s="32">
        <f t="shared" si="568"/>
        <v>2052</v>
      </c>
      <c r="C2349" s="33" t="s">
        <v>20</v>
      </c>
      <c r="D2349" s="34" t="s">
        <v>1999</v>
      </c>
      <c r="E2349" s="35" t="str">
        <f t="shared" si="564"/>
        <v>PRB'!</v>
      </c>
      <c r="F2349" s="34" t="str">
        <f t="shared" si="565"/>
        <v>C:\Users\jaime.benazar\Quorum Business Solutions\Ecopetrol Prometeo - Documents\Planning Space Implementation\3. Analysis &amp; Design\Design\FC22\DRR Jaime\QUIFA-CAJÚA\Cajua\[CAJUA_CF_SEC_New_27-Feb-2024Rev3.xlsx]D-PRB'!</v>
      </c>
      <c r="G2349" s="32" t="s">
        <v>115</v>
      </c>
      <c r="H2349" s="33">
        <f t="shared" si="566"/>
        <v>41</v>
      </c>
      <c r="I2349" s="33" t="str">
        <f t="shared" si="567"/>
        <v>='C:\Users\jaime.benazar\Quorum Business Solutions\Ecopetrol Prometeo - Documents\Planning Space Implementation\3. Analysis &amp; Design\Design\FC22\DRR Jaime\QUIFA-CAJÚA\Cajua\[CAJUA_CF_SEC_New_27-Feb-2024Rev3.xlsx]D-PRB'!$DC$41</v>
      </c>
      <c r="J2349" s="37" t="s">
        <v>3065</v>
      </c>
    </row>
    <row r="2350" spans="1:10" x14ac:dyDescent="0.25">
      <c r="A2350" s="32" t="s">
        <v>4</v>
      </c>
      <c r="B2350" s="32">
        <f t="shared" si="568"/>
        <v>2053</v>
      </c>
      <c r="C2350" s="33" t="s">
        <v>20</v>
      </c>
      <c r="D2350" s="34" t="s">
        <v>1999</v>
      </c>
      <c r="E2350" s="35" t="str">
        <f t="shared" si="564"/>
        <v>PRB'!</v>
      </c>
      <c r="F2350" s="34" t="str">
        <f t="shared" si="565"/>
        <v>C:\Users\jaime.benazar\Quorum Business Solutions\Ecopetrol Prometeo - Documents\Planning Space Implementation\3. Analysis &amp; Design\Design\FC22\DRR Jaime\QUIFA-CAJÚA\Cajua\[CAJUA_CF_SEC_New_27-Feb-2024Rev3.xlsx]D-PRB'!</v>
      </c>
      <c r="G2350" s="32" t="s">
        <v>115</v>
      </c>
      <c r="H2350" s="33">
        <f t="shared" si="566"/>
        <v>42</v>
      </c>
      <c r="I2350" s="33" t="str">
        <f t="shared" si="567"/>
        <v>='C:\Users\jaime.benazar\Quorum Business Solutions\Ecopetrol Prometeo - Documents\Planning Space Implementation\3. Analysis &amp; Design\Design\FC22\DRR Jaime\QUIFA-CAJÚA\Cajua\[CAJUA_CF_SEC_New_27-Feb-2024Rev3.xlsx]D-PRB'!$DC$42</v>
      </c>
      <c r="J2350" s="37" t="s">
        <v>3066</v>
      </c>
    </row>
    <row r="2351" spans="1:10" x14ac:dyDescent="0.25">
      <c r="A2351" s="32" t="s">
        <v>4</v>
      </c>
      <c r="B2351" s="32">
        <f t="shared" si="568"/>
        <v>2054</v>
      </c>
      <c r="C2351" s="33" t="s">
        <v>20</v>
      </c>
      <c r="D2351" s="34" t="s">
        <v>1999</v>
      </c>
      <c r="E2351" s="35" t="str">
        <f t="shared" si="564"/>
        <v>PRB'!</v>
      </c>
      <c r="F2351" s="34" t="str">
        <f t="shared" si="565"/>
        <v>C:\Users\jaime.benazar\Quorum Business Solutions\Ecopetrol Prometeo - Documents\Planning Space Implementation\3. Analysis &amp; Design\Design\FC22\DRR Jaime\QUIFA-CAJÚA\Cajua\[CAJUA_CF_SEC_New_27-Feb-2024Rev3.xlsx]D-PRB'!</v>
      </c>
      <c r="G2351" s="32" t="s">
        <v>115</v>
      </c>
      <c r="H2351" s="33">
        <f t="shared" si="566"/>
        <v>43</v>
      </c>
      <c r="I2351" s="33" t="str">
        <f t="shared" si="567"/>
        <v>='C:\Users\jaime.benazar\Quorum Business Solutions\Ecopetrol Prometeo - Documents\Planning Space Implementation\3. Analysis &amp; Design\Design\FC22\DRR Jaime\QUIFA-CAJÚA\Cajua\[CAJUA_CF_SEC_New_27-Feb-2024Rev3.xlsx]D-PRB'!$DC$43</v>
      </c>
      <c r="J2351" s="37" t="s">
        <v>3067</v>
      </c>
    </row>
    <row r="2352" spans="1:10" x14ac:dyDescent="0.25">
      <c r="A2352" s="32" t="s">
        <v>4</v>
      </c>
      <c r="B2352" s="32">
        <f t="shared" si="568"/>
        <v>2055</v>
      </c>
      <c r="C2352" s="33" t="s">
        <v>20</v>
      </c>
      <c r="D2352" s="34" t="s">
        <v>1999</v>
      </c>
      <c r="E2352" s="35" t="str">
        <f t="shared" si="564"/>
        <v>PRB'!</v>
      </c>
      <c r="F2352" s="34" t="str">
        <f t="shared" si="565"/>
        <v>C:\Users\jaime.benazar\Quorum Business Solutions\Ecopetrol Prometeo - Documents\Planning Space Implementation\3. Analysis &amp; Design\Design\FC22\DRR Jaime\QUIFA-CAJÚA\Cajua\[CAJUA_CF_SEC_New_27-Feb-2024Rev3.xlsx]D-PRB'!</v>
      </c>
      <c r="G2352" s="32" t="s">
        <v>115</v>
      </c>
      <c r="H2352" s="33">
        <f t="shared" si="566"/>
        <v>44</v>
      </c>
      <c r="I2352" s="33" t="str">
        <f t="shared" si="567"/>
        <v>='C:\Users\jaime.benazar\Quorum Business Solutions\Ecopetrol Prometeo - Documents\Planning Space Implementation\3. Analysis &amp; Design\Design\FC22\DRR Jaime\QUIFA-CAJÚA\Cajua\[CAJUA_CF_SEC_New_27-Feb-2024Rev3.xlsx]D-PRB'!$DC$44</v>
      </c>
      <c r="J2352" s="37" t="s">
        <v>3068</v>
      </c>
    </row>
    <row r="2353" spans="1:10" x14ac:dyDescent="0.25">
      <c r="A2353" s="32" t="s">
        <v>4</v>
      </c>
      <c r="B2353" s="32">
        <f t="shared" si="568"/>
        <v>2056</v>
      </c>
      <c r="C2353" s="33" t="s">
        <v>20</v>
      </c>
      <c r="D2353" s="34" t="s">
        <v>1999</v>
      </c>
      <c r="E2353" s="35" t="str">
        <f t="shared" si="564"/>
        <v>PRB'!</v>
      </c>
      <c r="F2353" s="34" t="str">
        <f t="shared" si="565"/>
        <v>C:\Users\jaime.benazar\Quorum Business Solutions\Ecopetrol Prometeo - Documents\Planning Space Implementation\3. Analysis &amp; Design\Design\FC22\DRR Jaime\QUIFA-CAJÚA\Cajua\[CAJUA_CF_SEC_New_27-Feb-2024Rev3.xlsx]D-PRB'!</v>
      </c>
      <c r="G2353" s="32" t="s">
        <v>115</v>
      </c>
      <c r="H2353" s="33">
        <f t="shared" si="566"/>
        <v>45</v>
      </c>
      <c r="I2353" s="33" t="str">
        <f t="shared" si="567"/>
        <v>='C:\Users\jaime.benazar\Quorum Business Solutions\Ecopetrol Prometeo - Documents\Planning Space Implementation\3. Analysis &amp; Design\Design\FC22\DRR Jaime\QUIFA-CAJÚA\Cajua\[CAJUA_CF_SEC_New_27-Feb-2024Rev3.xlsx]D-PRB'!$DC$45</v>
      </c>
      <c r="J2353" s="37" t="s">
        <v>3069</v>
      </c>
    </row>
    <row r="2354" spans="1:10" x14ac:dyDescent="0.25">
      <c r="A2354" s="32" t="s">
        <v>4</v>
      </c>
      <c r="B2354" s="32">
        <f t="shared" si="568"/>
        <v>2057</v>
      </c>
      <c r="C2354" s="33" t="s">
        <v>20</v>
      </c>
      <c r="D2354" s="34" t="s">
        <v>1999</v>
      </c>
      <c r="E2354" s="35" t="str">
        <f t="shared" si="564"/>
        <v>PRB'!</v>
      </c>
      <c r="F2354" s="34" t="str">
        <f t="shared" si="565"/>
        <v>C:\Users\jaime.benazar\Quorum Business Solutions\Ecopetrol Prometeo - Documents\Planning Space Implementation\3. Analysis &amp; Design\Design\FC22\DRR Jaime\QUIFA-CAJÚA\Cajua\[CAJUA_CF_SEC_New_27-Feb-2024Rev3.xlsx]D-PRB'!</v>
      </c>
      <c r="G2354" s="32" t="s">
        <v>115</v>
      </c>
      <c r="H2354" s="33">
        <f t="shared" si="566"/>
        <v>46</v>
      </c>
      <c r="I2354" s="33" t="str">
        <f t="shared" si="567"/>
        <v>='C:\Users\jaime.benazar\Quorum Business Solutions\Ecopetrol Prometeo - Documents\Planning Space Implementation\3. Analysis &amp; Design\Design\FC22\DRR Jaime\QUIFA-CAJÚA\Cajua\[CAJUA_CF_SEC_New_27-Feb-2024Rev3.xlsx]D-PRB'!$DC$46</v>
      </c>
      <c r="J2354" s="37" t="s">
        <v>3070</v>
      </c>
    </row>
    <row r="2355" spans="1:10" x14ac:dyDescent="0.25">
      <c r="A2355" s="32" t="s">
        <v>4</v>
      </c>
      <c r="B2355" s="32">
        <f t="shared" si="568"/>
        <v>2058</v>
      </c>
      <c r="C2355" s="33" t="s">
        <v>20</v>
      </c>
      <c r="D2355" s="34" t="s">
        <v>1999</v>
      </c>
      <c r="E2355" s="35" t="str">
        <f t="shared" si="564"/>
        <v>PRB'!</v>
      </c>
      <c r="F2355" s="34" t="str">
        <f t="shared" si="565"/>
        <v>C:\Users\jaime.benazar\Quorum Business Solutions\Ecopetrol Prometeo - Documents\Planning Space Implementation\3. Analysis &amp; Design\Design\FC22\DRR Jaime\QUIFA-CAJÚA\Cajua\[CAJUA_CF_SEC_New_27-Feb-2024Rev3.xlsx]D-PRB'!</v>
      </c>
      <c r="G2355" s="32" t="s">
        <v>115</v>
      </c>
      <c r="H2355" s="33">
        <f t="shared" si="566"/>
        <v>47</v>
      </c>
      <c r="I2355" s="33" t="str">
        <f t="shared" si="567"/>
        <v>='C:\Users\jaime.benazar\Quorum Business Solutions\Ecopetrol Prometeo - Documents\Planning Space Implementation\3. Analysis &amp; Design\Design\FC22\DRR Jaime\QUIFA-CAJÚA\Cajua\[CAJUA_CF_SEC_New_27-Feb-2024Rev3.xlsx]D-PRB'!$DC$47</v>
      </c>
      <c r="J2355" s="37" t="s">
        <v>3071</v>
      </c>
    </row>
    <row r="2356" spans="1:10" x14ac:dyDescent="0.25">
      <c r="A2356" s="32" t="s">
        <v>4</v>
      </c>
      <c r="B2356" s="32">
        <f t="shared" si="568"/>
        <v>2059</v>
      </c>
      <c r="C2356" s="33" t="s">
        <v>20</v>
      </c>
      <c r="D2356" s="34" t="s">
        <v>1999</v>
      </c>
      <c r="E2356" s="35" t="str">
        <f t="shared" si="564"/>
        <v>PRB'!</v>
      </c>
      <c r="F2356" s="34" t="str">
        <f t="shared" si="565"/>
        <v>C:\Users\jaime.benazar\Quorum Business Solutions\Ecopetrol Prometeo - Documents\Planning Space Implementation\3. Analysis &amp; Design\Design\FC22\DRR Jaime\QUIFA-CAJÚA\Cajua\[CAJUA_CF_SEC_New_27-Feb-2024Rev3.xlsx]D-PRB'!</v>
      </c>
      <c r="G2356" s="32" t="s">
        <v>115</v>
      </c>
      <c r="H2356" s="33">
        <f t="shared" si="566"/>
        <v>48</v>
      </c>
      <c r="I2356" s="33" t="str">
        <f t="shared" si="567"/>
        <v>='C:\Users\jaime.benazar\Quorum Business Solutions\Ecopetrol Prometeo - Documents\Planning Space Implementation\3. Analysis &amp; Design\Design\FC22\DRR Jaime\QUIFA-CAJÚA\Cajua\[CAJUA_CF_SEC_New_27-Feb-2024Rev3.xlsx]D-PRB'!$DC$48</v>
      </c>
      <c r="J2356" s="37" t="s">
        <v>3072</v>
      </c>
    </row>
    <row r="2357" spans="1:10" x14ac:dyDescent="0.25">
      <c r="A2357" s="32" t="s">
        <v>28</v>
      </c>
      <c r="B2357" s="32"/>
      <c r="C2357" s="33" t="s">
        <v>20</v>
      </c>
      <c r="D2357" s="34"/>
      <c r="E2357" s="35"/>
      <c r="F2357" s="34"/>
      <c r="G2357" s="32"/>
      <c r="H2357" s="33"/>
      <c r="I2357" s="33"/>
      <c r="J2357" s="33"/>
    </row>
    <row r="2358" spans="1:10" x14ac:dyDescent="0.25">
      <c r="A2358" s="32" t="s">
        <v>102</v>
      </c>
      <c r="B2358" s="32">
        <v>2023</v>
      </c>
      <c r="C2358" s="33" t="s">
        <v>20</v>
      </c>
      <c r="D2358" s="34" t="s">
        <v>1999</v>
      </c>
      <c r="E2358" s="35" t="s">
        <v>105</v>
      </c>
      <c r="F2358" s="34" t="str">
        <f t="shared" si="529"/>
        <v>C:\Users\jaime.benazar\Quorum Business Solutions\Ecopetrol Prometeo - Documents\Planning Space Implementation\3. Analysis &amp; Design\Design\FC22\DRR Jaime\QUIFA-CAJÚA\Cajua\[CAJUA_CF_SEC_New_27-Feb-2024Rev3.xlsx]D-PSDP'!</v>
      </c>
      <c r="G2358" s="32" t="s">
        <v>115</v>
      </c>
      <c r="H2358" s="33"/>
      <c r="I2358" s="33"/>
      <c r="J2358" s="37"/>
    </row>
    <row r="2359" spans="1:10" x14ac:dyDescent="0.25">
      <c r="A2359" s="32" t="s">
        <v>102</v>
      </c>
      <c r="B2359" s="32">
        <v>2024</v>
      </c>
      <c r="C2359" s="33" t="s">
        <v>20</v>
      </c>
      <c r="D2359" s="34" t="s">
        <v>1999</v>
      </c>
      <c r="E2359" s="35" t="s">
        <v>105</v>
      </c>
      <c r="F2359" s="34" t="str">
        <f t="shared" ref="F2359:F2378" si="569">_xlfn.CONCAT(D2359:E2359)</f>
        <v>C:\Users\jaime.benazar\Quorum Business Solutions\Ecopetrol Prometeo - Documents\Planning Space Implementation\3. Analysis &amp; Design\Design\FC22\DRR Jaime\QUIFA-CAJÚA\Cajua\[CAJUA_CF_SEC_New_27-Feb-2024Rev3.xlsx]D-PSDP'!</v>
      </c>
      <c r="G2359" s="32" t="s">
        <v>115</v>
      </c>
      <c r="H2359" s="33"/>
      <c r="I2359" s="33"/>
      <c r="J2359" s="37"/>
    </row>
    <row r="2360" spans="1:10" x14ac:dyDescent="0.25">
      <c r="A2360" s="32" t="s">
        <v>102</v>
      </c>
      <c r="B2360" s="32">
        <v>2025</v>
      </c>
      <c r="C2360" s="33" t="s">
        <v>20</v>
      </c>
      <c r="D2360" s="34" t="s">
        <v>1999</v>
      </c>
      <c r="E2360" s="35" t="s">
        <v>105</v>
      </c>
      <c r="F2360" s="34" t="str">
        <f t="shared" si="569"/>
        <v>C:\Users\jaime.benazar\Quorum Business Solutions\Ecopetrol Prometeo - Documents\Planning Space Implementation\3. Analysis &amp; Design\Design\FC22\DRR Jaime\QUIFA-CAJÚA\Cajua\[CAJUA_CF_SEC_New_27-Feb-2024Rev3.xlsx]D-PSDP'!</v>
      </c>
      <c r="G2360" s="32" t="s">
        <v>115</v>
      </c>
      <c r="H2360" s="33"/>
      <c r="I2360" s="33"/>
      <c r="J2360" s="37"/>
    </row>
    <row r="2361" spans="1:10" x14ac:dyDescent="0.25">
      <c r="A2361" s="32" t="s">
        <v>102</v>
      </c>
      <c r="B2361" s="32">
        <v>2026</v>
      </c>
      <c r="C2361" s="33" t="s">
        <v>20</v>
      </c>
      <c r="D2361" s="34" t="s">
        <v>1999</v>
      </c>
      <c r="E2361" s="35" t="s">
        <v>105</v>
      </c>
      <c r="F2361" s="34" t="str">
        <f t="shared" si="569"/>
        <v>C:\Users\jaime.benazar\Quorum Business Solutions\Ecopetrol Prometeo - Documents\Planning Space Implementation\3. Analysis &amp; Design\Design\FC22\DRR Jaime\QUIFA-CAJÚA\Cajua\[CAJUA_CF_SEC_New_27-Feb-2024Rev3.xlsx]D-PSDP'!</v>
      </c>
      <c r="G2361" s="32" t="s">
        <v>115</v>
      </c>
      <c r="H2361" s="33"/>
      <c r="I2361" s="33"/>
      <c r="J2361" s="37"/>
    </row>
    <row r="2362" spans="1:10" x14ac:dyDescent="0.25">
      <c r="A2362" s="32" t="s">
        <v>102</v>
      </c>
      <c r="B2362" s="32">
        <v>2027</v>
      </c>
      <c r="C2362" s="33" t="s">
        <v>20</v>
      </c>
      <c r="D2362" s="34" t="s">
        <v>1999</v>
      </c>
      <c r="E2362" s="35" t="s">
        <v>105</v>
      </c>
      <c r="F2362" s="34" t="str">
        <f t="shared" si="569"/>
        <v>C:\Users\jaime.benazar\Quorum Business Solutions\Ecopetrol Prometeo - Documents\Planning Space Implementation\3. Analysis &amp; Design\Design\FC22\DRR Jaime\QUIFA-CAJÚA\Cajua\[CAJUA_CF_SEC_New_27-Feb-2024Rev3.xlsx]D-PSDP'!</v>
      </c>
      <c r="G2362" s="32" t="s">
        <v>115</v>
      </c>
      <c r="H2362" s="33"/>
      <c r="I2362" s="33"/>
      <c r="J2362" s="37"/>
    </row>
    <row r="2363" spans="1:10" x14ac:dyDescent="0.25">
      <c r="A2363" s="32" t="s">
        <v>102</v>
      </c>
      <c r="B2363" s="32">
        <v>2028</v>
      </c>
      <c r="C2363" s="33" t="s">
        <v>20</v>
      </c>
      <c r="D2363" s="34" t="s">
        <v>1999</v>
      </c>
      <c r="E2363" s="35" t="s">
        <v>105</v>
      </c>
      <c r="F2363" s="34" t="str">
        <f t="shared" si="569"/>
        <v>C:\Users\jaime.benazar\Quorum Business Solutions\Ecopetrol Prometeo - Documents\Planning Space Implementation\3. Analysis &amp; Design\Design\FC22\DRR Jaime\QUIFA-CAJÚA\Cajua\[CAJUA_CF_SEC_New_27-Feb-2024Rev3.xlsx]D-PSDP'!</v>
      </c>
      <c r="G2363" s="32" t="s">
        <v>115</v>
      </c>
      <c r="H2363" s="33"/>
      <c r="I2363" s="33"/>
      <c r="J2363" s="37"/>
    </row>
    <row r="2364" spans="1:10" x14ac:dyDescent="0.25">
      <c r="A2364" s="32" t="s">
        <v>102</v>
      </c>
      <c r="B2364" s="32">
        <v>2029</v>
      </c>
      <c r="C2364" s="33" t="s">
        <v>20</v>
      </c>
      <c r="D2364" s="34" t="s">
        <v>1999</v>
      </c>
      <c r="E2364" s="35" t="s">
        <v>105</v>
      </c>
      <c r="F2364" s="34" t="str">
        <f t="shared" si="569"/>
        <v>C:\Users\jaime.benazar\Quorum Business Solutions\Ecopetrol Prometeo - Documents\Planning Space Implementation\3. Analysis &amp; Design\Design\FC22\DRR Jaime\QUIFA-CAJÚA\Cajua\[CAJUA_CF_SEC_New_27-Feb-2024Rev3.xlsx]D-PSDP'!</v>
      </c>
      <c r="G2364" s="32" t="s">
        <v>115</v>
      </c>
      <c r="H2364" s="33"/>
      <c r="I2364" s="33"/>
      <c r="J2364" s="37"/>
    </row>
    <row r="2365" spans="1:10" x14ac:dyDescent="0.25">
      <c r="A2365" s="32" t="s">
        <v>102</v>
      </c>
      <c r="B2365" s="32">
        <v>2030</v>
      </c>
      <c r="C2365" s="33" t="s">
        <v>20</v>
      </c>
      <c r="D2365" s="34" t="s">
        <v>1999</v>
      </c>
      <c r="E2365" s="35" t="s">
        <v>105</v>
      </c>
      <c r="F2365" s="34" t="str">
        <f t="shared" si="569"/>
        <v>C:\Users\jaime.benazar\Quorum Business Solutions\Ecopetrol Prometeo - Documents\Planning Space Implementation\3. Analysis &amp; Design\Design\FC22\DRR Jaime\QUIFA-CAJÚA\Cajua\[CAJUA_CF_SEC_New_27-Feb-2024Rev3.xlsx]D-PSDP'!</v>
      </c>
      <c r="G2365" s="32" t="s">
        <v>115</v>
      </c>
      <c r="H2365" s="33"/>
      <c r="I2365" s="33"/>
      <c r="J2365" s="37"/>
    </row>
    <row r="2366" spans="1:10" x14ac:dyDescent="0.25">
      <c r="A2366" s="32" t="s">
        <v>102</v>
      </c>
      <c r="B2366" s="32">
        <v>2031</v>
      </c>
      <c r="C2366" s="33" t="s">
        <v>20</v>
      </c>
      <c r="D2366" s="34" t="s">
        <v>1999</v>
      </c>
      <c r="E2366" s="35" t="s">
        <v>105</v>
      </c>
      <c r="F2366" s="34" t="str">
        <f t="shared" si="569"/>
        <v>C:\Users\jaime.benazar\Quorum Business Solutions\Ecopetrol Prometeo - Documents\Planning Space Implementation\3. Analysis &amp; Design\Design\FC22\DRR Jaime\QUIFA-CAJÚA\Cajua\[CAJUA_CF_SEC_New_27-Feb-2024Rev3.xlsx]D-PSDP'!</v>
      </c>
      <c r="G2366" s="32" t="s">
        <v>115</v>
      </c>
      <c r="H2366" s="33"/>
      <c r="I2366" s="33"/>
      <c r="J2366" s="37"/>
    </row>
    <row r="2367" spans="1:10" x14ac:dyDescent="0.25">
      <c r="A2367" s="32" t="s">
        <v>102</v>
      </c>
      <c r="B2367" s="32">
        <v>2032</v>
      </c>
      <c r="C2367" s="33" t="s">
        <v>20</v>
      </c>
      <c r="D2367" s="34" t="s">
        <v>1999</v>
      </c>
      <c r="E2367" s="35" t="s">
        <v>105</v>
      </c>
      <c r="F2367" s="34" t="str">
        <f t="shared" si="569"/>
        <v>C:\Users\jaime.benazar\Quorum Business Solutions\Ecopetrol Prometeo - Documents\Planning Space Implementation\3. Analysis &amp; Design\Design\FC22\DRR Jaime\QUIFA-CAJÚA\Cajua\[CAJUA_CF_SEC_New_27-Feb-2024Rev3.xlsx]D-PSDP'!</v>
      </c>
      <c r="G2367" s="32" t="s">
        <v>115</v>
      </c>
      <c r="H2367" s="33"/>
      <c r="I2367" s="33"/>
      <c r="J2367" s="37"/>
    </row>
    <row r="2368" spans="1:10" x14ac:dyDescent="0.25">
      <c r="A2368" s="32" t="s">
        <v>102</v>
      </c>
      <c r="B2368" s="32">
        <v>2033</v>
      </c>
      <c r="C2368" s="33" t="s">
        <v>20</v>
      </c>
      <c r="D2368" s="34" t="s">
        <v>1999</v>
      </c>
      <c r="E2368" s="35" t="s">
        <v>105</v>
      </c>
      <c r="F2368" s="34" t="str">
        <f t="shared" si="569"/>
        <v>C:\Users\jaime.benazar\Quorum Business Solutions\Ecopetrol Prometeo - Documents\Planning Space Implementation\3. Analysis &amp; Design\Design\FC22\DRR Jaime\QUIFA-CAJÚA\Cajua\[CAJUA_CF_SEC_New_27-Feb-2024Rev3.xlsx]D-PSDP'!</v>
      </c>
      <c r="G2368" s="32" t="s">
        <v>115</v>
      </c>
      <c r="H2368" s="33"/>
      <c r="I2368" s="33"/>
      <c r="J2368" s="37"/>
    </row>
    <row r="2369" spans="1:10" x14ac:dyDescent="0.25">
      <c r="A2369" s="32" t="s">
        <v>102</v>
      </c>
      <c r="B2369" s="32">
        <v>2034</v>
      </c>
      <c r="C2369" s="33" t="s">
        <v>20</v>
      </c>
      <c r="D2369" s="34" t="s">
        <v>1999</v>
      </c>
      <c r="E2369" s="35" t="s">
        <v>105</v>
      </c>
      <c r="F2369" s="34" t="str">
        <f t="shared" si="569"/>
        <v>C:\Users\jaime.benazar\Quorum Business Solutions\Ecopetrol Prometeo - Documents\Planning Space Implementation\3. Analysis &amp; Design\Design\FC22\DRR Jaime\QUIFA-CAJÚA\Cajua\[CAJUA_CF_SEC_New_27-Feb-2024Rev3.xlsx]D-PSDP'!</v>
      </c>
      <c r="G2369" s="32" t="s">
        <v>115</v>
      </c>
      <c r="H2369" s="33"/>
      <c r="I2369" s="33"/>
      <c r="J2369" s="37"/>
    </row>
    <row r="2370" spans="1:10" x14ac:dyDescent="0.25">
      <c r="A2370" s="32" t="s">
        <v>102</v>
      </c>
      <c r="B2370" s="32">
        <v>2035</v>
      </c>
      <c r="C2370" s="33" t="s">
        <v>20</v>
      </c>
      <c r="D2370" s="34" t="s">
        <v>1999</v>
      </c>
      <c r="E2370" s="35" t="s">
        <v>105</v>
      </c>
      <c r="F2370" s="34" t="str">
        <f t="shared" si="569"/>
        <v>C:\Users\jaime.benazar\Quorum Business Solutions\Ecopetrol Prometeo - Documents\Planning Space Implementation\3. Analysis &amp; Design\Design\FC22\DRR Jaime\QUIFA-CAJÚA\Cajua\[CAJUA_CF_SEC_New_27-Feb-2024Rev3.xlsx]D-PSDP'!</v>
      </c>
      <c r="G2370" s="32" t="s">
        <v>115</v>
      </c>
      <c r="H2370" s="33"/>
      <c r="I2370" s="33"/>
      <c r="J2370" s="37"/>
    </row>
    <row r="2371" spans="1:10" x14ac:dyDescent="0.25">
      <c r="A2371" s="32" t="s">
        <v>102</v>
      </c>
      <c r="B2371" s="32">
        <v>2036</v>
      </c>
      <c r="C2371" s="33" t="s">
        <v>20</v>
      </c>
      <c r="D2371" s="34" t="s">
        <v>1999</v>
      </c>
      <c r="E2371" s="35" t="s">
        <v>105</v>
      </c>
      <c r="F2371" s="34" t="str">
        <f t="shared" si="569"/>
        <v>C:\Users\jaime.benazar\Quorum Business Solutions\Ecopetrol Prometeo - Documents\Planning Space Implementation\3. Analysis &amp; Design\Design\FC22\DRR Jaime\QUIFA-CAJÚA\Cajua\[CAJUA_CF_SEC_New_27-Feb-2024Rev3.xlsx]D-PSDP'!</v>
      </c>
      <c r="G2371" s="32" t="s">
        <v>115</v>
      </c>
      <c r="H2371" s="33"/>
      <c r="I2371" s="33"/>
      <c r="J2371" s="37"/>
    </row>
    <row r="2372" spans="1:10" x14ac:dyDescent="0.25">
      <c r="A2372" s="32" t="s">
        <v>102</v>
      </c>
      <c r="B2372" s="32">
        <v>2037</v>
      </c>
      <c r="C2372" s="33" t="s">
        <v>20</v>
      </c>
      <c r="D2372" s="34" t="s">
        <v>1999</v>
      </c>
      <c r="E2372" s="35" t="s">
        <v>105</v>
      </c>
      <c r="F2372" s="34" t="str">
        <f t="shared" si="569"/>
        <v>C:\Users\jaime.benazar\Quorum Business Solutions\Ecopetrol Prometeo - Documents\Planning Space Implementation\3. Analysis &amp; Design\Design\FC22\DRR Jaime\QUIFA-CAJÚA\Cajua\[CAJUA_CF_SEC_New_27-Feb-2024Rev3.xlsx]D-PSDP'!</v>
      </c>
      <c r="G2372" s="32" t="s">
        <v>115</v>
      </c>
      <c r="H2372" s="33"/>
      <c r="I2372" s="33"/>
      <c r="J2372" s="37"/>
    </row>
    <row r="2373" spans="1:10" x14ac:dyDescent="0.25">
      <c r="A2373" s="32" t="s">
        <v>102</v>
      </c>
      <c r="B2373" s="32">
        <v>2038</v>
      </c>
      <c r="C2373" s="33" t="s">
        <v>20</v>
      </c>
      <c r="D2373" s="34" t="s">
        <v>1999</v>
      </c>
      <c r="E2373" s="35" t="s">
        <v>105</v>
      </c>
      <c r="F2373" s="34" t="str">
        <f t="shared" si="569"/>
        <v>C:\Users\jaime.benazar\Quorum Business Solutions\Ecopetrol Prometeo - Documents\Planning Space Implementation\3. Analysis &amp; Design\Design\FC22\DRR Jaime\QUIFA-CAJÚA\Cajua\[CAJUA_CF_SEC_New_27-Feb-2024Rev3.xlsx]D-PSDP'!</v>
      </c>
      <c r="G2373" s="32" t="s">
        <v>115</v>
      </c>
      <c r="H2373" s="33"/>
      <c r="I2373" s="33"/>
      <c r="J2373" s="37"/>
    </row>
    <row r="2374" spans="1:10" x14ac:dyDescent="0.25">
      <c r="A2374" s="32" t="s">
        <v>102</v>
      </c>
      <c r="B2374" s="32">
        <v>2039</v>
      </c>
      <c r="C2374" s="33" t="s">
        <v>20</v>
      </c>
      <c r="D2374" s="34" t="s">
        <v>1999</v>
      </c>
      <c r="E2374" s="35" t="s">
        <v>105</v>
      </c>
      <c r="F2374" s="34" t="str">
        <f t="shared" si="569"/>
        <v>C:\Users\jaime.benazar\Quorum Business Solutions\Ecopetrol Prometeo - Documents\Planning Space Implementation\3. Analysis &amp; Design\Design\FC22\DRR Jaime\QUIFA-CAJÚA\Cajua\[CAJUA_CF_SEC_New_27-Feb-2024Rev3.xlsx]D-PSDP'!</v>
      </c>
      <c r="G2374" s="32" t="s">
        <v>115</v>
      </c>
      <c r="H2374" s="33"/>
      <c r="I2374" s="33"/>
      <c r="J2374" s="37"/>
    </row>
    <row r="2375" spans="1:10" x14ac:dyDescent="0.25">
      <c r="A2375" s="32" t="s">
        <v>102</v>
      </c>
      <c r="B2375" s="32">
        <v>2040</v>
      </c>
      <c r="C2375" s="33" t="s">
        <v>20</v>
      </c>
      <c r="D2375" s="34" t="s">
        <v>1999</v>
      </c>
      <c r="E2375" s="35" t="s">
        <v>105</v>
      </c>
      <c r="F2375" s="34" t="str">
        <f t="shared" si="569"/>
        <v>C:\Users\jaime.benazar\Quorum Business Solutions\Ecopetrol Prometeo - Documents\Planning Space Implementation\3. Analysis &amp; Design\Design\FC22\DRR Jaime\QUIFA-CAJÚA\Cajua\[CAJUA_CF_SEC_New_27-Feb-2024Rev3.xlsx]D-PSDP'!</v>
      </c>
      <c r="G2375" s="32" t="s">
        <v>115</v>
      </c>
      <c r="H2375" s="33"/>
      <c r="I2375" s="33"/>
      <c r="J2375" s="37"/>
    </row>
    <row r="2376" spans="1:10" x14ac:dyDescent="0.25">
      <c r="A2376" s="32" t="s">
        <v>102</v>
      </c>
      <c r="B2376" s="32">
        <v>2041</v>
      </c>
      <c r="C2376" s="33" t="s">
        <v>20</v>
      </c>
      <c r="D2376" s="34" t="s">
        <v>1999</v>
      </c>
      <c r="E2376" s="35" t="s">
        <v>105</v>
      </c>
      <c r="F2376" s="34" t="str">
        <f t="shared" si="569"/>
        <v>C:\Users\jaime.benazar\Quorum Business Solutions\Ecopetrol Prometeo - Documents\Planning Space Implementation\3. Analysis &amp; Design\Design\FC22\DRR Jaime\QUIFA-CAJÚA\Cajua\[CAJUA_CF_SEC_New_27-Feb-2024Rev3.xlsx]D-PSDP'!</v>
      </c>
      <c r="G2376" s="32" t="s">
        <v>115</v>
      </c>
      <c r="H2376" s="33"/>
      <c r="I2376" s="33"/>
      <c r="J2376" s="37"/>
    </row>
    <row r="2377" spans="1:10" x14ac:dyDescent="0.25">
      <c r="A2377" s="32" t="s">
        <v>102</v>
      </c>
      <c r="B2377" s="32">
        <v>2042</v>
      </c>
      <c r="C2377" s="33" t="s">
        <v>20</v>
      </c>
      <c r="D2377" s="34" t="s">
        <v>1999</v>
      </c>
      <c r="E2377" s="35" t="s">
        <v>105</v>
      </c>
      <c r="F2377" s="34" t="str">
        <f t="shared" si="569"/>
        <v>C:\Users\jaime.benazar\Quorum Business Solutions\Ecopetrol Prometeo - Documents\Planning Space Implementation\3. Analysis &amp; Design\Design\FC22\DRR Jaime\QUIFA-CAJÚA\Cajua\[CAJUA_CF_SEC_New_27-Feb-2024Rev3.xlsx]D-PSDP'!</v>
      </c>
      <c r="G2377" s="32" t="s">
        <v>115</v>
      </c>
      <c r="H2377" s="33"/>
      <c r="I2377" s="33"/>
      <c r="J2377" s="37"/>
    </row>
    <row r="2378" spans="1:10" x14ac:dyDescent="0.25">
      <c r="A2378" s="32" t="s">
        <v>102</v>
      </c>
      <c r="B2378" s="32">
        <v>2043</v>
      </c>
      <c r="C2378" s="33" t="s">
        <v>20</v>
      </c>
      <c r="D2378" s="34" t="s">
        <v>1999</v>
      </c>
      <c r="E2378" s="35" t="s">
        <v>105</v>
      </c>
      <c r="F2378" s="34" t="str">
        <f t="shared" si="569"/>
        <v>C:\Users\jaime.benazar\Quorum Business Solutions\Ecopetrol Prometeo - Documents\Planning Space Implementation\3. Analysis &amp; Design\Design\FC22\DRR Jaime\QUIFA-CAJÚA\Cajua\[CAJUA_CF_SEC_New_27-Feb-2024Rev3.xlsx]D-PSDP'!</v>
      </c>
      <c r="G2378" s="32" t="s">
        <v>115</v>
      </c>
      <c r="H2378" s="33"/>
      <c r="I2378" s="33"/>
      <c r="J2378" s="37"/>
    </row>
    <row r="2379" spans="1:10" x14ac:dyDescent="0.25">
      <c r="A2379" s="32" t="s">
        <v>102</v>
      </c>
      <c r="B2379" s="32">
        <v>2044</v>
      </c>
      <c r="C2379" s="33" t="s">
        <v>20</v>
      </c>
      <c r="D2379" s="34" t="s">
        <v>1999</v>
      </c>
      <c r="E2379" s="35" t="s">
        <v>105</v>
      </c>
      <c r="F2379" s="34" t="str">
        <f t="shared" ref="F2379:F2394" si="570">_xlfn.CONCAT(D2379:E2379)</f>
        <v>C:\Users\jaime.benazar\Quorum Business Solutions\Ecopetrol Prometeo - Documents\Planning Space Implementation\3. Analysis &amp; Design\Design\FC22\DRR Jaime\QUIFA-CAJÚA\Cajua\[CAJUA_CF_SEC_New_27-Feb-2024Rev3.xlsx]D-PSDP'!</v>
      </c>
      <c r="G2379" s="32" t="s">
        <v>115</v>
      </c>
      <c r="H2379" s="33"/>
      <c r="I2379" s="33"/>
      <c r="J2379" s="37"/>
    </row>
    <row r="2380" spans="1:10" x14ac:dyDescent="0.25">
      <c r="A2380" s="32" t="s">
        <v>102</v>
      </c>
      <c r="B2380" s="32">
        <v>2045</v>
      </c>
      <c r="C2380" s="33" t="s">
        <v>20</v>
      </c>
      <c r="D2380" s="34" t="s">
        <v>1999</v>
      </c>
      <c r="E2380" s="35" t="s">
        <v>105</v>
      </c>
      <c r="F2380" s="34" t="str">
        <f t="shared" si="570"/>
        <v>C:\Users\jaime.benazar\Quorum Business Solutions\Ecopetrol Prometeo - Documents\Planning Space Implementation\3. Analysis &amp; Design\Design\FC22\DRR Jaime\QUIFA-CAJÚA\Cajua\[CAJUA_CF_SEC_New_27-Feb-2024Rev3.xlsx]D-PSDP'!</v>
      </c>
      <c r="G2380" s="32" t="s">
        <v>115</v>
      </c>
      <c r="H2380" s="33"/>
      <c r="I2380" s="33"/>
      <c r="J2380" s="37"/>
    </row>
    <row r="2381" spans="1:10" x14ac:dyDescent="0.25">
      <c r="A2381" s="32" t="s">
        <v>102</v>
      </c>
      <c r="B2381" s="32">
        <v>2046</v>
      </c>
      <c r="C2381" s="33" t="s">
        <v>20</v>
      </c>
      <c r="D2381" s="34" t="s">
        <v>1999</v>
      </c>
      <c r="E2381" s="35" t="s">
        <v>105</v>
      </c>
      <c r="F2381" s="34" t="str">
        <f t="shared" si="570"/>
        <v>C:\Users\jaime.benazar\Quorum Business Solutions\Ecopetrol Prometeo - Documents\Planning Space Implementation\3. Analysis &amp; Design\Design\FC22\DRR Jaime\QUIFA-CAJÚA\Cajua\[CAJUA_CF_SEC_New_27-Feb-2024Rev3.xlsx]D-PSDP'!</v>
      </c>
      <c r="G2381" s="32" t="s">
        <v>115</v>
      </c>
      <c r="H2381" s="33"/>
      <c r="I2381" s="33"/>
      <c r="J2381" s="37"/>
    </row>
    <row r="2382" spans="1:10" x14ac:dyDescent="0.25">
      <c r="A2382" s="32" t="s">
        <v>102</v>
      </c>
      <c r="B2382" s="32">
        <v>2047</v>
      </c>
      <c r="C2382" s="33" t="s">
        <v>20</v>
      </c>
      <c r="D2382" s="34" t="s">
        <v>1999</v>
      </c>
      <c r="E2382" s="35" t="s">
        <v>105</v>
      </c>
      <c r="F2382" s="34" t="str">
        <f t="shared" si="570"/>
        <v>C:\Users\jaime.benazar\Quorum Business Solutions\Ecopetrol Prometeo - Documents\Planning Space Implementation\3. Analysis &amp; Design\Design\FC22\DRR Jaime\QUIFA-CAJÚA\Cajua\[CAJUA_CF_SEC_New_27-Feb-2024Rev3.xlsx]D-PSDP'!</v>
      </c>
      <c r="G2382" s="32" t="s">
        <v>115</v>
      </c>
      <c r="H2382" s="33"/>
      <c r="I2382" s="33"/>
      <c r="J2382" s="37"/>
    </row>
    <row r="2383" spans="1:10" x14ac:dyDescent="0.25">
      <c r="A2383" s="32" t="s">
        <v>102</v>
      </c>
      <c r="B2383" s="32">
        <v>2048</v>
      </c>
      <c r="C2383" s="33" t="s">
        <v>20</v>
      </c>
      <c r="D2383" s="34" t="s">
        <v>1999</v>
      </c>
      <c r="E2383" s="35" t="s">
        <v>105</v>
      </c>
      <c r="F2383" s="34" t="str">
        <f t="shared" si="570"/>
        <v>C:\Users\jaime.benazar\Quorum Business Solutions\Ecopetrol Prometeo - Documents\Planning Space Implementation\3. Analysis &amp; Design\Design\FC22\DRR Jaime\QUIFA-CAJÚA\Cajua\[CAJUA_CF_SEC_New_27-Feb-2024Rev3.xlsx]D-PSDP'!</v>
      </c>
      <c r="G2383" s="32" t="s">
        <v>115</v>
      </c>
      <c r="H2383" s="33"/>
      <c r="I2383" s="33"/>
      <c r="J2383" s="37"/>
    </row>
    <row r="2384" spans="1:10" x14ac:dyDescent="0.25">
      <c r="A2384" s="32" t="s">
        <v>102</v>
      </c>
      <c r="B2384" s="32">
        <v>2049</v>
      </c>
      <c r="C2384" s="33" t="s">
        <v>20</v>
      </c>
      <c r="D2384" s="34" t="s">
        <v>1999</v>
      </c>
      <c r="E2384" s="35" t="s">
        <v>105</v>
      </c>
      <c r="F2384" s="34" t="str">
        <f t="shared" si="570"/>
        <v>C:\Users\jaime.benazar\Quorum Business Solutions\Ecopetrol Prometeo - Documents\Planning Space Implementation\3. Analysis &amp; Design\Design\FC22\DRR Jaime\QUIFA-CAJÚA\Cajua\[CAJUA_CF_SEC_New_27-Feb-2024Rev3.xlsx]D-PSDP'!</v>
      </c>
      <c r="G2384" s="32" t="s">
        <v>115</v>
      </c>
      <c r="H2384" s="33"/>
      <c r="I2384" s="33"/>
      <c r="J2384" s="37"/>
    </row>
    <row r="2385" spans="1:10" x14ac:dyDescent="0.25">
      <c r="A2385" s="32" t="s">
        <v>102</v>
      </c>
      <c r="B2385" s="32">
        <v>2050</v>
      </c>
      <c r="C2385" s="33" t="s">
        <v>20</v>
      </c>
      <c r="D2385" s="34" t="s">
        <v>1999</v>
      </c>
      <c r="E2385" s="35" t="s">
        <v>105</v>
      </c>
      <c r="F2385" s="34" t="str">
        <f t="shared" si="570"/>
        <v>C:\Users\jaime.benazar\Quorum Business Solutions\Ecopetrol Prometeo - Documents\Planning Space Implementation\3. Analysis &amp; Design\Design\FC22\DRR Jaime\QUIFA-CAJÚA\Cajua\[CAJUA_CF_SEC_New_27-Feb-2024Rev3.xlsx]D-PSDP'!</v>
      </c>
      <c r="G2385" s="32" t="s">
        <v>115</v>
      </c>
      <c r="H2385" s="33"/>
      <c r="I2385" s="33"/>
      <c r="J2385" s="37"/>
    </row>
    <row r="2386" spans="1:10" x14ac:dyDescent="0.25">
      <c r="A2386" s="32" t="s">
        <v>102</v>
      </c>
      <c r="B2386" s="32">
        <v>2051</v>
      </c>
      <c r="C2386" s="33" t="s">
        <v>20</v>
      </c>
      <c r="D2386" s="34" t="s">
        <v>1999</v>
      </c>
      <c r="E2386" s="35" t="s">
        <v>105</v>
      </c>
      <c r="F2386" s="34" t="str">
        <f t="shared" si="570"/>
        <v>C:\Users\jaime.benazar\Quorum Business Solutions\Ecopetrol Prometeo - Documents\Planning Space Implementation\3. Analysis &amp; Design\Design\FC22\DRR Jaime\QUIFA-CAJÚA\Cajua\[CAJUA_CF_SEC_New_27-Feb-2024Rev3.xlsx]D-PSDP'!</v>
      </c>
      <c r="G2386" s="32" t="s">
        <v>115</v>
      </c>
      <c r="H2386" s="33"/>
      <c r="I2386" s="33"/>
      <c r="J2386" s="37"/>
    </row>
    <row r="2387" spans="1:10" x14ac:dyDescent="0.25">
      <c r="A2387" s="32" t="s">
        <v>102</v>
      </c>
      <c r="B2387" s="32">
        <v>2052</v>
      </c>
      <c r="C2387" s="33" t="s">
        <v>20</v>
      </c>
      <c r="D2387" s="34" t="s">
        <v>1999</v>
      </c>
      <c r="E2387" s="35" t="s">
        <v>105</v>
      </c>
      <c r="F2387" s="34" t="str">
        <f t="shared" si="570"/>
        <v>C:\Users\jaime.benazar\Quorum Business Solutions\Ecopetrol Prometeo - Documents\Planning Space Implementation\3. Analysis &amp; Design\Design\FC22\DRR Jaime\QUIFA-CAJÚA\Cajua\[CAJUA_CF_SEC_New_27-Feb-2024Rev3.xlsx]D-PSDP'!</v>
      </c>
      <c r="G2387" s="32" t="s">
        <v>115</v>
      </c>
      <c r="H2387" s="33"/>
      <c r="I2387" s="33"/>
      <c r="J2387" s="37"/>
    </row>
    <row r="2388" spans="1:10" x14ac:dyDescent="0.25">
      <c r="A2388" s="32" t="s">
        <v>102</v>
      </c>
      <c r="B2388" s="32">
        <v>2053</v>
      </c>
      <c r="C2388" s="33" t="s">
        <v>20</v>
      </c>
      <c r="D2388" s="34" t="s">
        <v>1999</v>
      </c>
      <c r="E2388" s="35" t="s">
        <v>105</v>
      </c>
      <c r="F2388" s="34" t="str">
        <f t="shared" si="570"/>
        <v>C:\Users\jaime.benazar\Quorum Business Solutions\Ecopetrol Prometeo - Documents\Planning Space Implementation\3. Analysis &amp; Design\Design\FC22\DRR Jaime\QUIFA-CAJÚA\Cajua\[CAJUA_CF_SEC_New_27-Feb-2024Rev3.xlsx]D-PSDP'!</v>
      </c>
      <c r="G2388" s="32" t="s">
        <v>115</v>
      </c>
      <c r="H2388" s="33"/>
      <c r="I2388" s="33"/>
      <c r="J2388" s="37"/>
    </row>
    <row r="2389" spans="1:10" x14ac:dyDescent="0.25">
      <c r="A2389" s="32" t="s">
        <v>102</v>
      </c>
      <c r="B2389" s="32">
        <v>2054</v>
      </c>
      <c r="C2389" s="33" t="s">
        <v>20</v>
      </c>
      <c r="D2389" s="34" t="s">
        <v>1999</v>
      </c>
      <c r="E2389" s="35" t="s">
        <v>105</v>
      </c>
      <c r="F2389" s="34" t="str">
        <f t="shared" si="570"/>
        <v>C:\Users\jaime.benazar\Quorum Business Solutions\Ecopetrol Prometeo - Documents\Planning Space Implementation\3. Analysis &amp; Design\Design\FC22\DRR Jaime\QUIFA-CAJÚA\Cajua\[CAJUA_CF_SEC_New_27-Feb-2024Rev3.xlsx]D-PSDP'!</v>
      </c>
      <c r="G2389" s="32" t="s">
        <v>115</v>
      </c>
      <c r="H2389" s="33"/>
      <c r="I2389" s="33"/>
      <c r="J2389" s="37"/>
    </row>
    <row r="2390" spans="1:10" x14ac:dyDescent="0.25">
      <c r="A2390" s="32" t="s">
        <v>102</v>
      </c>
      <c r="B2390" s="32">
        <v>2055</v>
      </c>
      <c r="C2390" s="33" t="s">
        <v>20</v>
      </c>
      <c r="D2390" s="34" t="s">
        <v>1999</v>
      </c>
      <c r="E2390" s="35" t="s">
        <v>105</v>
      </c>
      <c r="F2390" s="34" t="str">
        <f t="shared" si="570"/>
        <v>C:\Users\jaime.benazar\Quorum Business Solutions\Ecopetrol Prometeo - Documents\Planning Space Implementation\3. Analysis &amp; Design\Design\FC22\DRR Jaime\QUIFA-CAJÚA\Cajua\[CAJUA_CF_SEC_New_27-Feb-2024Rev3.xlsx]D-PSDP'!</v>
      </c>
      <c r="G2390" s="32" t="s">
        <v>115</v>
      </c>
      <c r="H2390" s="33"/>
      <c r="I2390" s="33"/>
      <c r="J2390" s="37"/>
    </row>
    <row r="2391" spans="1:10" x14ac:dyDescent="0.25">
      <c r="A2391" s="32" t="s">
        <v>102</v>
      </c>
      <c r="B2391" s="32">
        <v>2056</v>
      </c>
      <c r="C2391" s="33" t="s">
        <v>20</v>
      </c>
      <c r="D2391" s="34" t="s">
        <v>1999</v>
      </c>
      <c r="E2391" s="35" t="s">
        <v>105</v>
      </c>
      <c r="F2391" s="34" t="str">
        <f t="shared" si="570"/>
        <v>C:\Users\jaime.benazar\Quorum Business Solutions\Ecopetrol Prometeo - Documents\Planning Space Implementation\3. Analysis &amp; Design\Design\FC22\DRR Jaime\QUIFA-CAJÚA\Cajua\[CAJUA_CF_SEC_New_27-Feb-2024Rev3.xlsx]D-PSDP'!</v>
      </c>
      <c r="G2391" s="32" t="s">
        <v>115</v>
      </c>
      <c r="H2391" s="33"/>
      <c r="I2391" s="33"/>
      <c r="J2391" s="37"/>
    </row>
    <row r="2392" spans="1:10" x14ac:dyDescent="0.25">
      <c r="A2392" s="32" t="s">
        <v>102</v>
      </c>
      <c r="B2392" s="32">
        <v>2057</v>
      </c>
      <c r="C2392" s="33" t="s">
        <v>20</v>
      </c>
      <c r="D2392" s="34" t="s">
        <v>1999</v>
      </c>
      <c r="E2392" s="35" t="s">
        <v>105</v>
      </c>
      <c r="F2392" s="34" t="str">
        <f t="shared" si="570"/>
        <v>C:\Users\jaime.benazar\Quorum Business Solutions\Ecopetrol Prometeo - Documents\Planning Space Implementation\3. Analysis &amp; Design\Design\FC22\DRR Jaime\QUIFA-CAJÚA\Cajua\[CAJUA_CF_SEC_New_27-Feb-2024Rev3.xlsx]D-PSDP'!</v>
      </c>
      <c r="G2392" s="32" t="s">
        <v>115</v>
      </c>
      <c r="H2392" s="33"/>
      <c r="I2392" s="33"/>
      <c r="J2392" s="37"/>
    </row>
    <row r="2393" spans="1:10" x14ac:dyDescent="0.25">
      <c r="A2393" s="32" t="s">
        <v>102</v>
      </c>
      <c r="B2393" s="32">
        <v>2058</v>
      </c>
      <c r="C2393" s="33" t="s">
        <v>20</v>
      </c>
      <c r="D2393" s="34" t="s">
        <v>1999</v>
      </c>
      <c r="E2393" s="35" t="s">
        <v>105</v>
      </c>
      <c r="F2393" s="34" t="str">
        <f t="shared" si="570"/>
        <v>C:\Users\jaime.benazar\Quorum Business Solutions\Ecopetrol Prometeo - Documents\Planning Space Implementation\3. Analysis &amp; Design\Design\FC22\DRR Jaime\QUIFA-CAJÚA\Cajua\[CAJUA_CF_SEC_New_27-Feb-2024Rev3.xlsx]D-PSDP'!</v>
      </c>
      <c r="G2393" s="32" t="s">
        <v>115</v>
      </c>
      <c r="H2393" s="33"/>
      <c r="I2393" s="33"/>
      <c r="J2393" s="37"/>
    </row>
    <row r="2394" spans="1:10" x14ac:dyDescent="0.25">
      <c r="A2394" s="32" t="s">
        <v>102</v>
      </c>
      <c r="B2394" s="32">
        <v>2059</v>
      </c>
      <c r="C2394" s="33" t="s">
        <v>20</v>
      </c>
      <c r="D2394" s="34" t="s">
        <v>1999</v>
      </c>
      <c r="E2394" s="35" t="s">
        <v>105</v>
      </c>
      <c r="F2394" s="34" t="str">
        <f t="shared" si="570"/>
        <v>C:\Users\jaime.benazar\Quorum Business Solutions\Ecopetrol Prometeo - Documents\Planning Space Implementation\3. Analysis &amp; Design\Design\FC22\DRR Jaime\QUIFA-CAJÚA\Cajua\[CAJUA_CF_SEC_New_27-Feb-2024Rev3.xlsx]D-PSDP'!</v>
      </c>
      <c r="G2394" s="32" t="s">
        <v>115</v>
      </c>
      <c r="H2394" s="33"/>
      <c r="I2394" s="33"/>
      <c r="J2394" s="37"/>
    </row>
    <row r="2395" spans="1:10" x14ac:dyDescent="0.25">
      <c r="A2395" s="32" t="s">
        <v>28</v>
      </c>
      <c r="B2395" s="32"/>
      <c r="C2395" s="33" t="s">
        <v>20</v>
      </c>
      <c r="D2395" s="34"/>
      <c r="E2395" s="35"/>
      <c r="F2395" s="34"/>
      <c r="G2395" s="32"/>
      <c r="H2395" s="33"/>
      <c r="I2395" s="33"/>
      <c r="J2395" s="33"/>
    </row>
    <row r="2396" spans="1:10" x14ac:dyDescent="0.25">
      <c r="A2396" s="32" t="s">
        <v>103</v>
      </c>
      <c r="B2396" s="32">
        <v>2023</v>
      </c>
      <c r="C2396" s="33" t="s">
        <v>20</v>
      </c>
      <c r="D2396" s="34" t="s">
        <v>1999</v>
      </c>
      <c r="E2396" s="35" t="s">
        <v>106</v>
      </c>
      <c r="F2396" s="34" t="str">
        <f t="shared" ref="F2396:F2416" si="571">_xlfn.CONCAT(D2396:E2396)</f>
        <v>C:\Users\jaime.benazar\Quorum Business Solutions\Ecopetrol Prometeo - Documents\Planning Space Implementation\3. Analysis &amp; Design\Design\FC22\DRR Jaime\QUIFA-CAJÚA\Cajua\[CAJUA_CF_SEC_New_27-Feb-2024Rev3.xlsx]D-PSNP'!</v>
      </c>
      <c r="G2396" s="32" t="s">
        <v>115</v>
      </c>
      <c r="H2396" s="33"/>
      <c r="I2396" s="33"/>
      <c r="J2396" s="37"/>
    </row>
    <row r="2397" spans="1:10" x14ac:dyDescent="0.25">
      <c r="A2397" s="32" t="s">
        <v>103</v>
      </c>
      <c r="B2397" s="32">
        <v>2024</v>
      </c>
      <c r="C2397" s="33" t="s">
        <v>20</v>
      </c>
      <c r="D2397" s="34" t="s">
        <v>1999</v>
      </c>
      <c r="E2397" s="35" t="s">
        <v>106</v>
      </c>
      <c r="F2397" s="34" t="str">
        <f t="shared" si="571"/>
        <v>C:\Users\jaime.benazar\Quorum Business Solutions\Ecopetrol Prometeo - Documents\Planning Space Implementation\3. Analysis &amp; Design\Design\FC22\DRR Jaime\QUIFA-CAJÚA\Cajua\[CAJUA_CF_SEC_New_27-Feb-2024Rev3.xlsx]D-PSNP'!</v>
      </c>
      <c r="G2397" s="32" t="s">
        <v>115</v>
      </c>
      <c r="H2397" s="33"/>
      <c r="I2397" s="33"/>
      <c r="J2397" s="37"/>
    </row>
    <row r="2398" spans="1:10" x14ac:dyDescent="0.25">
      <c r="A2398" s="32" t="s">
        <v>103</v>
      </c>
      <c r="B2398" s="32">
        <v>2025</v>
      </c>
      <c r="C2398" s="33" t="s">
        <v>20</v>
      </c>
      <c r="D2398" s="34" t="s">
        <v>1999</v>
      </c>
      <c r="E2398" s="35" t="s">
        <v>106</v>
      </c>
      <c r="F2398" s="34" t="str">
        <f t="shared" si="571"/>
        <v>C:\Users\jaime.benazar\Quorum Business Solutions\Ecopetrol Prometeo - Documents\Planning Space Implementation\3. Analysis &amp; Design\Design\FC22\DRR Jaime\QUIFA-CAJÚA\Cajua\[CAJUA_CF_SEC_New_27-Feb-2024Rev3.xlsx]D-PSNP'!</v>
      </c>
      <c r="G2398" s="32" t="s">
        <v>115</v>
      </c>
      <c r="H2398" s="33"/>
      <c r="I2398" s="33"/>
      <c r="J2398" s="37"/>
    </row>
    <row r="2399" spans="1:10" x14ac:dyDescent="0.25">
      <c r="A2399" s="32" t="s">
        <v>103</v>
      </c>
      <c r="B2399" s="32">
        <v>2026</v>
      </c>
      <c r="C2399" s="33" t="s">
        <v>20</v>
      </c>
      <c r="D2399" s="34" t="s">
        <v>1999</v>
      </c>
      <c r="E2399" s="35" t="s">
        <v>106</v>
      </c>
      <c r="F2399" s="34" t="str">
        <f t="shared" si="571"/>
        <v>C:\Users\jaime.benazar\Quorum Business Solutions\Ecopetrol Prometeo - Documents\Planning Space Implementation\3. Analysis &amp; Design\Design\FC22\DRR Jaime\QUIFA-CAJÚA\Cajua\[CAJUA_CF_SEC_New_27-Feb-2024Rev3.xlsx]D-PSNP'!</v>
      </c>
      <c r="G2399" s="32" t="s">
        <v>115</v>
      </c>
      <c r="H2399" s="33"/>
      <c r="I2399" s="33"/>
      <c r="J2399" s="37"/>
    </row>
    <row r="2400" spans="1:10" x14ac:dyDescent="0.25">
      <c r="A2400" s="32" t="s">
        <v>103</v>
      </c>
      <c r="B2400" s="32">
        <v>2027</v>
      </c>
      <c r="C2400" s="33" t="s">
        <v>20</v>
      </c>
      <c r="D2400" s="34" t="s">
        <v>1999</v>
      </c>
      <c r="E2400" s="35" t="s">
        <v>106</v>
      </c>
      <c r="F2400" s="34" t="str">
        <f t="shared" si="571"/>
        <v>C:\Users\jaime.benazar\Quorum Business Solutions\Ecopetrol Prometeo - Documents\Planning Space Implementation\3. Analysis &amp; Design\Design\FC22\DRR Jaime\QUIFA-CAJÚA\Cajua\[CAJUA_CF_SEC_New_27-Feb-2024Rev3.xlsx]D-PSNP'!</v>
      </c>
      <c r="G2400" s="32" t="s">
        <v>115</v>
      </c>
      <c r="H2400" s="33"/>
      <c r="I2400" s="33"/>
      <c r="J2400" s="37"/>
    </row>
    <row r="2401" spans="1:10" x14ac:dyDescent="0.25">
      <c r="A2401" s="32" t="s">
        <v>103</v>
      </c>
      <c r="B2401" s="32">
        <v>2028</v>
      </c>
      <c r="C2401" s="33" t="s">
        <v>20</v>
      </c>
      <c r="D2401" s="34" t="s">
        <v>1999</v>
      </c>
      <c r="E2401" s="35" t="s">
        <v>106</v>
      </c>
      <c r="F2401" s="34" t="str">
        <f t="shared" si="571"/>
        <v>C:\Users\jaime.benazar\Quorum Business Solutions\Ecopetrol Prometeo - Documents\Planning Space Implementation\3. Analysis &amp; Design\Design\FC22\DRR Jaime\QUIFA-CAJÚA\Cajua\[CAJUA_CF_SEC_New_27-Feb-2024Rev3.xlsx]D-PSNP'!</v>
      </c>
      <c r="G2401" s="32" t="s">
        <v>115</v>
      </c>
      <c r="H2401" s="33"/>
      <c r="I2401" s="33"/>
      <c r="J2401" s="37"/>
    </row>
    <row r="2402" spans="1:10" x14ac:dyDescent="0.25">
      <c r="A2402" s="32" t="s">
        <v>103</v>
      </c>
      <c r="B2402" s="32">
        <v>2029</v>
      </c>
      <c r="C2402" s="33" t="s">
        <v>20</v>
      </c>
      <c r="D2402" s="34" t="s">
        <v>1999</v>
      </c>
      <c r="E2402" s="35" t="s">
        <v>106</v>
      </c>
      <c r="F2402" s="34" t="str">
        <f t="shared" si="571"/>
        <v>C:\Users\jaime.benazar\Quorum Business Solutions\Ecopetrol Prometeo - Documents\Planning Space Implementation\3. Analysis &amp; Design\Design\FC22\DRR Jaime\QUIFA-CAJÚA\Cajua\[CAJUA_CF_SEC_New_27-Feb-2024Rev3.xlsx]D-PSNP'!</v>
      </c>
      <c r="G2402" s="32" t="s">
        <v>115</v>
      </c>
      <c r="H2402" s="33"/>
      <c r="I2402" s="33"/>
      <c r="J2402" s="37"/>
    </row>
    <row r="2403" spans="1:10" x14ac:dyDescent="0.25">
      <c r="A2403" s="32" t="s">
        <v>103</v>
      </c>
      <c r="B2403" s="32">
        <v>2030</v>
      </c>
      <c r="C2403" s="33" t="s">
        <v>20</v>
      </c>
      <c r="D2403" s="34" t="s">
        <v>1999</v>
      </c>
      <c r="E2403" s="35" t="s">
        <v>106</v>
      </c>
      <c r="F2403" s="34" t="str">
        <f t="shared" si="571"/>
        <v>C:\Users\jaime.benazar\Quorum Business Solutions\Ecopetrol Prometeo - Documents\Planning Space Implementation\3. Analysis &amp; Design\Design\FC22\DRR Jaime\QUIFA-CAJÚA\Cajua\[CAJUA_CF_SEC_New_27-Feb-2024Rev3.xlsx]D-PSNP'!</v>
      </c>
      <c r="G2403" s="32" t="s">
        <v>115</v>
      </c>
      <c r="H2403" s="33"/>
      <c r="I2403" s="33"/>
      <c r="J2403" s="37"/>
    </row>
    <row r="2404" spans="1:10" x14ac:dyDescent="0.25">
      <c r="A2404" s="32" t="s">
        <v>103</v>
      </c>
      <c r="B2404" s="32">
        <v>2031</v>
      </c>
      <c r="C2404" s="33" t="s">
        <v>20</v>
      </c>
      <c r="D2404" s="34" t="s">
        <v>1999</v>
      </c>
      <c r="E2404" s="35" t="s">
        <v>106</v>
      </c>
      <c r="F2404" s="34" t="str">
        <f t="shared" si="571"/>
        <v>C:\Users\jaime.benazar\Quorum Business Solutions\Ecopetrol Prometeo - Documents\Planning Space Implementation\3. Analysis &amp; Design\Design\FC22\DRR Jaime\QUIFA-CAJÚA\Cajua\[CAJUA_CF_SEC_New_27-Feb-2024Rev3.xlsx]D-PSNP'!</v>
      </c>
      <c r="G2404" s="32" t="s">
        <v>115</v>
      </c>
      <c r="H2404" s="33"/>
      <c r="I2404" s="33"/>
      <c r="J2404" s="37"/>
    </row>
    <row r="2405" spans="1:10" x14ac:dyDescent="0.25">
      <c r="A2405" s="32" t="s">
        <v>103</v>
      </c>
      <c r="B2405" s="32">
        <v>2032</v>
      </c>
      <c r="C2405" s="33" t="s">
        <v>20</v>
      </c>
      <c r="D2405" s="34" t="s">
        <v>1999</v>
      </c>
      <c r="E2405" s="35" t="s">
        <v>106</v>
      </c>
      <c r="F2405" s="34" t="str">
        <f t="shared" si="571"/>
        <v>C:\Users\jaime.benazar\Quorum Business Solutions\Ecopetrol Prometeo - Documents\Planning Space Implementation\3. Analysis &amp; Design\Design\FC22\DRR Jaime\QUIFA-CAJÚA\Cajua\[CAJUA_CF_SEC_New_27-Feb-2024Rev3.xlsx]D-PSNP'!</v>
      </c>
      <c r="G2405" s="32" t="s">
        <v>115</v>
      </c>
      <c r="H2405" s="33"/>
      <c r="I2405" s="33"/>
      <c r="J2405" s="37"/>
    </row>
    <row r="2406" spans="1:10" x14ac:dyDescent="0.25">
      <c r="A2406" s="32" t="s">
        <v>103</v>
      </c>
      <c r="B2406" s="32">
        <v>2033</v>
      </c>
      <c r="C2406" s="33" t="s">
        <v>20</v>
      </c>
      <c r="D2406" s="34" t="s">
        <v>1999</v>
      </c>
      <c r="E2406" s="35" t="s">
        <v>106</v>
      </c>
      <c r="F2406" s="34" t="str">
        <f t="shared" si="571"/>
        <v>C:\Users\jaime.benazar\Quorum Business Solutions\Ecopetrol Prometeo - Documents\Planning Space Implementation\3. Analysis &amp; Design\Design\FC22\DRR Jaime\QUIFA-CAJÚA\Cajua\[CAJUA_CF_SEC_New_27-Feb-2024Rev3.xlsx]D-PSNP'!</v>
      </c>
      <c r="G2406" s="32" t="s">
        <v>115</v>
      </c>
      <c r="H2406" s="33"/>
      <c r="I2406" s="33"/>
      <c r="J2406" s="37"/>
    </row>
    <row r="2407" spans="1:10" x14ac:dyDescent="0.25">
      <c r="A2407" s="32" t="s">
        <v>103</v>
      </c>
      <c r="B2407" s="32">
        <v>2034</v>
      </c>
      <c r="C2407" s="33" t="s">
        <v>20</v>
      </c>
      <c r="D2407" s="34" t="s">
        <v>1999</v>
      </c>
      <c r="E2407" s="35" t="s">
        <v>106</v>
      </c>
      <c r="F2407" s="34" t="str">
        <f t="shared" si="571"/>
        <v>C:\Users\jaime.benazar\Quorum Business Solutions\Ecopetrol Prometeo - Documents\Planning Space Implementation\3. Analysis &amp; Design\Design\FC22\DRR Jaime\QUIFA-CAJÚA\Cajua\[CAJUA_CF_SEC_New_27-Feb-2024Rev3.xlsx]D-PSNP'!</v>
      </c>
      <c r="G2407" s="32" t="s">
        <v>115</v>
      </c>
      <c r="H2407" s="33"/>
      <c r="I2407" s="33"/>
      <c r="J2407" s="37"/>
    </row>
    <row r="2408" spans="1:10" x14ac:dyDescent="0.25">
      <c r="A2408" s="32" t="s">
        <v>103</v>
      </c>
      <c r="B2408" s="32">
        <v>2035</v>
      </c>
      <c r="C2408" s="33" t="s">
        <v>20</v>
      </c>
      <c r="D2408" s="34" t="s">
        <v>1999</v>
      </c>
      <c r="E2408" s="35" t="s">
        <v>106</v>
      </c>
      <c r="F2408" s="34" t="str">
        <f t="shared" si="571"/>
        <v>C:\Users\jaime.benazar\Quorum Business Solutions\Ecopetrol Prometeo - Documents\Planning Space Implementation\3. Analysis &amp; Design\Design\FC22\DRR Jaime\QUIFA-CAJÚA\Cajua\[CAJUA_CF_SEC_New_27-Feb-2024Rev3.xlsx]D-PSNP'!</v>
      </c>
      <c r="G2408" s="32" t="s">
        <v>115</v>
      </c>
      <c r="H2408" s="33"/>
      <c r="I2408" s="33"/>
      <c r="J2408" s="37"/>
    </row>
    <row r="2409" spans="1:10" x14ac:dyDescent="0.25">
      <c r="A2409" s="32" t="s">
        <v>103</v>
      </c>
      <c r="B2409" s="32">
        <v>2036</v>
      </c>
      <c r="C2409" s="33" t="s">
        <v>20</v>
      </c>
      <c r="D2409" s="34" t="s">
        <v>1999</v>
      </c>
      <c r="E2409" s="35" t="s">
        <v>106</v>
      </c>
      <c r="F2409" s="34" t="str">
        <f t="shared" si="571"/>
        <v>C:\Users\jaime.benazar\Quorum Business Solutions\Ecopetrol Prometeo - Documents\Planning Space Implementation\3. Analysis &amp; Design\Design\FC22\DRR Jaime\QUIFA-CAJÚA\Cajua\[CAJUA_CF_SEC_New_27-Feb-2024Rev3.xlsx]D-PSNP'!</v>
      </c>
      <c r="G2409" s="32" t="s">
        <v>115</v>
      </c>
      <c r="H2409" s="33"/>
      <c r="I2409" s="33"/>
      <c r="J2409" s="37"/>
    </row>
    <row r="2410" spans="1:10" x14ac:dyDescent="0.25">
      <c r="A2410" s="32" t="s">
        <v>103</v>
      </c>
      <c r="B2410" s="32">
        <v>2037</v>
      </c>
      <c r="C2410" s="33" t="s">
        <v>20</v>
      </c>
      <c r="D2410" s="34" t="s">
        <v>1999</v>
      </c>
      <c r="E2410" s="35" t="s">
        <v>106</v>
      </c>
      <c r="F2410" s="34" t="str">
        <f t="shared" si="571"/>
        <v>C:\Users\jaime.benazar\Quorum Business Solutions\Ecopetrol Prometeo - Documents\Planning Space Implementation\3. Analysis &amp; Design\Design\FC22\DRR Jaime\QUIFA-CAJÚA\Cajua\[CAJUA_CF_SEC_New_27-Feb-2024Rev3.xlsx]D-PSNP'!</v>
      </c>
      <c r="G2410" s="32" t="s">
        <v>115</v>
      </c>
      <c r="H2410" s="33"/>
      <c r="I2410" s="33"/>
      <c r="J2410" s="37"/>
    </row>
    <row r="2411" spans="1:10" x14ac:dyDescent="0.25">
      <c r="A2411" s="32" t="s">
        <v>103</v>
      </c>
      <c r="B2411" s="32">
        <v>2038</v>
      </c>
      <c r="C2411" s="33" t="s">
        <v>20</v>
      </c>
      <c r="D2411" s="34" t="s">
        <v>1999</v>
      </c>
      <c r="E2411" s="35" t="s">
        <v>106</v>
      </c>
      <c r="F2411" s="34" t="str">
        <f t="shared" si="571"/>
        <v>C:\Users\jaime.benazar\Quorum Business Solutions\Ecopetrol Prometeo - Documents\Planning Space Implementation\3. Analysis &amp; Design\Design\FC22\DRR Jaime\QUIFA-CAJÚA\Cajua\[CAJUA_CF_SEC_New_27-Feb-2024Rev3.xlsx]D-PSNP'!</v>
      </c>
      <c r="G2411" s="32" t="s">
        <v>115</v>
      </c>
      <c r="H2411" s="33"/>
      <c r="I2411" s="33"/>
      <c r="J2411" s="37"/>
    </row>
    <row r="2412" spans="1:10" x14ac:dyDescent="0.25">
      <c r="A2412" s="32" t="s">
        <v>103</v>
      </c>
      <c r="B2412" s="32">
        <v>2039</v>
      </c>
      <c r="C2412" s="33" t="s">
        <v>20</v>
      </c>
      <c r="D2412" s="34" t="s">
        <v>1999</v>
      </c>
      <c r="E2412" s="35" t="s">
        <v>106</v>
      </c>
      <c r="F2412" s="34" t="str">
        <f t="shared" si="571"/>
        <v>C:\Users\jaime.benazar\Quorum Business Solutions\Ecopetrol Prometeo - Documents\Planning Space Implementation\3. Analysis &amp; Design\Design\FC22\DRR Jaime\QUIFA-CAJÚA\Cajua\[CAJUA_CF_SEC_New_27-Feb-2024Rev3.xlsx]D-PSNP'!</v>
      </c>
      <c r="G2412" s="32" t="s">
        <v>115</v>
      </c>
      <c r="H2412" s="33"/>
      <c r="I2412" s="33"/>
      <c r="J2412" s="37"/>
    </row>
    <row r="2413" spans="1:10" x14ac:dyDescent="0.25">
      <c r="A2413" s="32" t="s">
        <v>103</v>
      </c>
      <c r="B2413" s="32">
        <v>2040</v>
      </c>
      <c r="C2413" s="33" t="s">
        <v>20</v>
      </c>
      <c r="D2413" s="34" t="s">
        <v>1999</v>
      </c>
      <c r="E2413" s="35" t="s">
        <v>106</v>
      </c>
      <c r="F2413" s="34" t="str">
        <f t="shared" si="571"/>
        <v>C:\Users\jaime.benazar\Quorum Business Solutions\Ecopetrol Prometeo - Documents\Planning Space Implementation\3. Analysis &amp; Design\Design\FC22\DRR Jaime\QUIFA-CAJÚA\Cajua\[CAJUA_CF_SEC_New_27-Feb-2024Rev3.xlsx]D-PSNP'!</v>
      </c>
      <c r="G2413" s="32" t="s">
        <v>115</v>
      </c>
      <c r="H2413" s="33"/>
      <c r="I2413" s="33"/>
      <c r="J2413" s="37"/>
    </row>
    <row r="2414" spans="1:10" x14ac:dyDescent="0.25">
      <c r="A2414" s="32" t="s">
        <v>103</v>
      </c>
      <c r="B2414" s="32">
        <v>2041</v>
      </c>
      <c r="C2414" s="33" t="s">
        <v>20</v>
      </c>
      <c r="D2414" s="34" t="s">
        <v>1999</v>
      </c>
      <c r="E2414" s="35" t="s">
        <v>106</v>
      </c>
      <c r="F2414" s="34" t="str">
        <f t="shared" si="571"/>
        <v>C:\Users\jaime.benazar\Quorum Business Solutions\Ecopetrol Prometeo - Documents\Planning Space Implementation\3. Analysis &amp; Design\Design\FC22\DRR Jaime\QUIFA-CAJÚA\Cajua\[CAJUA_CF_SEC_New_27-Feb-2024Rev3.xlsx]D-PSNP'!</v>
      </c>
      <c r="G2414" s="32" t="s">
        <v>115</v>
      </c>
      <c r="H2414" s="33"/>
      <c r="I2414" s="33"/>
      <c r="J2414" s="37"/>
    </row>
    <row r="2415" spans="1:10" x14ac:dyDescent="0.25">
      <c r="A2415" s="32" t="s">
        <v>103</v>
      </c>
      <c r="B2415" s="32">
        <v>2042</v>
      </c>
      <c r="C2415" s="33" t="s">
        <v>20</v>
      </c>
      <c r="D2415" s="34" t="s">
        <v>1999</v>
      </c>
      <c r="E2415" s="35" t="s">
        <v>106</v>
      </c>
      <c r="F2415" s="34" t="str">
        <f t="shared" si="571"/>
        <v>C:\Users\jaime.benazar\Quorum Business Solutions\Ecopetrol Prometeo - Documents\Planning Space Implementation\3. Analysis &amp; Design\Design\FC22\DRR Jaime\QUIFA-CAJÚA\Cajua\[CAJUA_CF_SEC_New_27-Feb-2024Rev3.xlsx]D-PSNP'!</v>
      </c>
      <c r="G2415" s="32" t="s">
        <v>115</v>
      </c>
      <c r="H2415" s="33"/>
      <c r="I2415" s="33"/>
      <c r="J2415" s="37"/>
    </row>
    <row r="2416" spans="1:10" x14ac:dyDescent="0.25">
      <c r="A2416" s="32" t="s">
        <v>103</v>
      </c>
      <c r="B2416" s="32">
        <v>2043</v>
      </c>
      <c r="C2416" s="33" t="s">
        <v>20</v>
      </c>
      <c r="D2416" s="34" t="s">
        <v>1999</v>
      </c>
      <c r="E2416" s="35" t="s">
        <v>106</v>
      </c>
      <c r="F2416" s="34" t="str">
        <f t="shared" si="571"/>
        <v>C:\Users\jaime.benazar\Quorum Business Solutions\Ecopetrol Prometeo - Documents\Planning Space Implementation\3. Analysis &amp; Design\Design\FC22\DRR Jaime\QUIFA-CAJÚA\Cajua\[CAJUA_CF_SEC_New_27-Feb-2024Rev3.xlsx]D-PSNP'!</v>
      </c>
      <c r="G2416" s="32" t="s">
        <v>115</v>
      </c>
      <c r="H2416" s="33"/>
      <c r="I2416" s="33"/>
      <c r="J2416" s="37"/>
    </row>
    <row r="2417" spans="1:10" x14ac:dyDescent="0.25">
      <c r="A2417" s="32" t="s">
        <v>103</v>
      </c>
      <c r="B2417" s="32">
        <v>2044</v>
      </c>
      <c r="C2417" s="33" t="s">
        <v>20</v>
      </c>
      <c r="D2417" s="34" t="s">
        <v>1999</v>
      </c>
      <c r="E2417" s="35" t="s">
        <v>106</v>
      </c>
      <c r="F2417" s="34" t="str">
        <f t="shared" ref="F2417:F2432" si="572">_xlfn.CONCAT(D2417:E2417)</f>
        <v>C:\Users\jaime.benazar\Quorum Business Solutions\Ecopetrol Prometeo - Documents\Planning Space Implementation\3. Analysis &amp; Design\Design\FC22\DRR Jaime\QUIFA-CAJÚA\Cajua\[CAJUA_CF_SEC_New_27-Feb-2024Rev3.xlsx]D-PSNP'!</v>
      </c>
      <c r="G2417" s="32" t="s">
        <v>115</v>
      </c>
      <c r="H2417" s="33"/>
      <c r="I2417" s="33"/>
      <c r="J2417" s="37"/>
    </row>
    <row r="2418" spans="1:10" x14ac:dyDescent="0.25">
      <c r="A2418" s="32" t="s">
        <v>103</v>
      </c>
      <c r="B2418" s="32">
        <v>2045</v>
      </c>
      <c r="C2418" s="33" t="s">
        <v>20</v>
      </c>
      <c r="D2418" s="34" t="s">
        <v>1999</v>
      </c>
      <c r="E2418" s="35" t="s">
        <v>106</v>
      </c>
      <c r="F2418" s="34" t="str">
        <f t="shared" si="572"/>
        <v>C:\Users\jaime.benazar\Quorum Business Solutions\Ecopetrol Prometeo - Documents\Planning Space Implementation\3. Analysis &amp; Design\Design\FC22\DRR Jaime\QUIFA-CAJÚA\Cajua\[CAJUA_CF_SEC_New_27-Feb-2024Rev3.xlsx]D-PSNP'!</v>
      </c>
      <c r="G2418" s="32" t="s">
        <v>115</v>
      </c>
      <c r="H2418" s="33"/>
      <c r="I2418" s="33"/>
      <c r="J2418" s="37"/>
    </row>
    <row r="2419" spans="1:10" x14ac:dyDescent="0.25">
      <c r="A2419" s="32" t="s">
        <v>103</v>
      </c>
      <c r="B2419" s="32">
        <v>2046</v>
      </c>
      <c r="C2419" s="33" t="s">
        <v>20</v>
      </c>
      <c r="D2419" s="34" t="s">
        <v>1999</v>
      </c>
      <c r="E2419" s="35" t="s">
        <v>106</v>
      </c>
      <c r="F2419" s="34" t="str">
        <f t="shared" si="572"/>
        <v>C:\Users\jaime.benazar\Quorum Business Solutions\Ecopetrol Prometeo - Documents\Planning Space Implementation\3. Analysis &amp; Design\Design\FC22\DRR Jaime\QUIFA-CAJÚA\Cajua\[CAJUA_CF_SEC_New_27-Feb-2024Rev3.xlsx]D-PSNP'!</v>
      </c>
      <c r="G2419" s="32" t="s">
        <v>115</v>
      </c>
      <c r="H2419" s="33"/>
      <c r="I2419" s="33"/>
      <c r="J2419" s="37"/>
    </row>
    <row r="2420" spans="1:10" x14ac:dyDescent="0.25">
      <c r="A2420" s="32" t="s">
        <v>103</v>
      </c>
      <c r="B2420" s="32">
        <v>2047</v>
      </c>
      <c r="C2420" s="33" t="s">
        <v>20</v>
      </c>
      <c r="D2420" s="34" t="s">
        <v>1999</v>
      </c>
      <c r="E2420" s="35" t="s">
        <v>106</v>
      </c>
      <c r="F2420" s="34" t="str">
        <f t="shared" si="572"/>
        <v>C:\Users\jaime.benazar\Quorum Business Solutions\Ecopetrol Prometeo - Documents\Planning Space Implementation\3. Analysis &amp; Design\Design\FC22\DRR Jaime\QUIFA-CAJÚA\Cajua\[CAJUA_CF_SEC_New_27-Feb-2024Rev3.xlsx]D-PSNP'!</v>
      </c>
      <c r="G2420" s="32" t="s">
        <v>115</v>
      </c>
      <c r="H2420" s="33"/>
      <c r="I2420" s="33"/>
      <c r="J2420" s="37"/>
    </row>
    <row r="2421" spans="1:10" x14ac:dyDescent="0.25">
      <c r="A2421" s="32" t="s">
        <v>103</v>
      </c>
      <c r="B2421" s="32">
        <v>2048</v>
      </c>
      <c r="C2421" s="33" t="s">
        <v>20</v>
      </c>
      <c r="D2421" s="34" t="s">
        <v>1999</v>
      </c>
      <c r="E2421" s="35" t="s">
        <v>106</v>
      </c>
      <c r="F2421" s="34" t="str">
        <f t="shared" si="572"/>
        <v>C:\Users\jaime.benazar\Quorum Business Solutions\Ecopetrol Prometeo - Documents\Planning Space Implementation\3. Analysis &amp; Design\Design\FC22\DRR Jaime\QUIFA-CAJÚA\Cajua\[CAJUA_CF_SEC_New_27-Feb-2024Rev3.xlsx]D-PSNP'!</v>
      </c>
      <c r="G2421" s="32" t="s">
        <v>115</v>
      </c>
      <c r="H2421" s="33"/>
      <c r="I2421" s="33"/>
      <c r="J2421" s="37"/>
    </row>
    <row r="2422" spans="1:10" x14ac:dyDescent="0.25">
      <c r="A2422" s="32" t="s">
        <v>103</v>
      </c>
      <c r="B2422" s="32">
        <v>2049</v>
      </c>
      <c r="C2422" s="33" t="s">
        <v>20</v>
      </c>
      <c r="D2422" s="34" t="s">
        <v>1999</v>
      </c>
      <c r="E2422" s="35" t="s">
        <v>106</v>
      </c>
      <c r="F2422" s="34" t="str">
        <f t="shared" si="572"/>
        <v>C:\Users\jaime.benazar\Quorum Business Solutions\Ecopetrol Prometeo - Documents\Planning Space Implementation\3. Analysis &amp; Design\Design\FC22\DRR Jaime\QUIFA-CAJÚA\Cajua\[CAJUA_CF_SEC_New_27-Feb-2024Rev3.xlsx]D-PSNP'!</v>
      </c>
      <c r="G2422" s="32" t="s">
        <v>115</v>
      </c>
      <c r="H2422" s="33"/>
      <c r="I2422" s="33"/>
      <c r="J2422" s="37"/>
    </row>
    <row r="2423" spans="1:10" x14ac:dyDescent="0.25">
      <c r="A2423" s="32" t="s">
        <v>103</v>
      </c>
      <c r="B2423" s="32">
        <v>2050</v>
      </c>
      <c r="C2423" s="33" t="s">
        <v>20</v>
      </c>
      <c r="D2423" s="34" t="s">
        <v>1999</v>
      </c>
      <c r="E2423" s="35" t="s">
        <v>106</v>
      </c>
      <c r="F2423" s="34" t="str">
        <f t="shared" si="572"/>
        <v>C:\Users\jaime.benazar\Quorum Business Solutions\Ecopetrol Prometeo - Documents\Planning Space Implementation\3. Analysis &amp; Design\Design\FC22\DRR Jaime\QUIFA-CAJÚA\Cajua\[CAJUA_CF_SEC_New_27-Feb-2024Rev3.xlsx]D-PSNP'!</v>
      </c>
      <c r="G2423" s="32" t="s">
        <v>115</v>
      </c>
      <c r="H2423" s="33"/>
      <c r="I2423" s="33"/>
      <c r="J2423" s="37"/>
    </row>
    <row r="2424" spans="1:10" x14ac:dyDescent="0.25">
      <c r="A2424" s="32" t="s">
        <v>103</v>
      </c>
      <c r="B2424" s="32">
        <v>2051</v>
      </c>
      <c r="C2424" s="33" t="s">
        <v>20</v>
      </c>
      <c r="D2424" s="34" t="s">
        <v>1999</v>
      </c>
      <c r="E2424" s="35" t="s">
        <v>106</v>
      </c>
      <c r="F2424" s="34" t="str">
        <f t="shared" si="572"/>
        <v>C:\Users\jaime.benazar\Quorum Business Solutions\Ecopetrol Prometeo - Documents\Planning Space Implementation\3. Analysis &amp; Design\Design\FC22\DRR Jaime\QUIFA-CAJÚA\Cajua\[CAJUA_CF_SEC_New_27-Feb-2024Rev3.xlsx]D-PSNP'!</v>
      </c>
      <c r="G2424" s="32" t="s">
        <v>115</v>
      </c>
      <c r="H2424" s="33"/>
      <c r="I2424" s="33"/>
      <c r="J2424" s="37"/>
    </row>
    <row r="2425" spans="1:10" x14ac:dyDescent="0.25">
      <c r="A2425" s="32" t="s">
        <v>103</v>
      </c>
      <c r="B2425" s="32">
        <v>2052</v>
      </c>
      <c r="C2425" s="33" t="s">
        <v>20</v>
      </c>
      <c r="D2425" s="34" t="s">
        <v>1999</v>
      </c>
      <c r="E2425" s="35" t="s">
        <v>106</v>
      </c>
      <c r="F2425" s="34" t="str">
        <f t="shared" si="572"/>
        <v>C:\Users\jaime.benazar\Quorum Business Solutions\Ecopetrol Prometeo - Documents\Planning Space Implementation\3. Analysis &amp; Design\Design\FC22\DRR Jaime\QUIFA-CAJÚA\Cajua\[CAJUA_CF_SEC_New_27-Feb-2024Rev3.xlsx]D-PSNP'!</v>
      </c>
      <c r="G2425" s="32" t="s">
        <v>115</v>
      </c>
      <c r="H2425" s="33"/>
      <c r="I2425" s="33"/>
      <c r="J2425" s="37"/>
    </row>
    <row r="2426" spans="1:10" x14ac:dyDescent="0.25">
      <c r="A2426" s="32" t="s">
        <v>103</v>
      </c>
      <c r="B2426" s="32">
        <v>2053</v>
      </c>
      <c r="C2426" s="33" t="s">
        <v>20</v>
      </c>
      <c r="D2426" s="34" t="s">
        <v>1999</v>
      </c>
      <c r="E2426" s="35" t="s">
        <v>106</v>
      </c>
      <c r="F2426" s="34" t="str">
        <f t="shared" si="572"/>
        <v>C:\Users\jaime.benazar\Quorum Business Solutions\Ecopetrol Prometeo - Documents\Planning Space Implementation\3. Analysis &amp; Design\Design\FC22\DRR Jaime\QUIFA-CAJÚA\Cajua\[CAJUA_CF_SEC_New_27-Feb-2024Rev3.xlsx]D-PSNP'!</v>
      </c>
      <c r="G2426" s="32" t="s">
        <v>115</v>
      </c>
      <c r="H2426" s="33"/>
      <c r="I2426" s="33"/>
      <c r="J2426" s="37"/>
    </row>
    <row r="2427" spans="1:10" x14ac:dyDescent="0.25">
      <c r="A2427" s="32" t="s">
        <v>103</v>
      </c>
      <c r="B2427" s="32">
        <v>2054</v>
      </c>
      <c r="C2427" s="33" t="s">
        <v>20</v>
      </c>
      <c r="D2427" s="34" t="s">
        <v>1999</v>
      </c>
      <c r="E2427" s="35" t="s">
        <v>106</v>
      </c>
      <c r="F2427" s="34" t="str">
        <f t="shared" si="572"/>
        <v>C:\Users\jaime.benazar\Quorum Business Solutions\Ecopetrol Prometeo - Documents\Planning Space Implementation\3. Analysis &amp; Design\Design\FC22\DRR Jaime\QUIFA-CAJÚA\Cajua\[CAJUA_CF_SEC_New_27-Feb-2024Rev3.xlsx]D-PSNP'!</v>
      </c>
      <c r="G2427" s="32" t="s">
        <v>115</v>
      </c>
      <c r="H2427" s="33"/>
      <c r="I2427" s="33"/>
      <c r="J2427" s="37"/>
    </row>
    <row r="2428" spans="1:10" x14ac:dyDescent="0.25">
      <c r="A2428" s="32" t="s">
        <v>103</v>
      </c>
      <c r="B2428" s="32">
        <v>2055</v>
      </c>
      <c r="C2428" s="33" t="s">
        <v>20</v>
      </c>
      <c r="D2428" s="34" t="s">
        <v>1999</v>
      </c>
      <c r="E2428" s="35" t="s">
        <v>106</v>
      </c>
      <c r="F2428" s="34" t="str">
        <f t="shared" si="572"/>
        <v>C:\Users\jaime.benazar\Quorum Business Solutions\Ecopetrol Prometeo - Documents\Planning Space Implementation\3. Analysis &amp; Design\Design\FC22\DRR Jaime\QUIFA-CAJÚA\Cajua\[CAJUA_CF_SEC_New_27-Feb-2024Rev3.xlsx]D-PSNP'!</v>
      </c>
      <c r="G2428" s="32" t="s">
        <v>115</v>
      </c>
      <c r="H2428" s="33"/>
      <c r="I2428" s="33"/>
      <c r="J2428" s="37"/>
    </row>
    <row r="2429" spans="1:10" x14ac:dyDescent="0.25">
      <c r="A2429" s="32" t="s">
        <v>103</v>
      </c>
      <c r="B2429" s="32">
        <v>2056</v>
      </c>
      <c r="C2429" s="33" t="s">
        <v>20</v>
      </c>
      <c r="D2429" s="34" t="s">
        <v>1999</v>
      </c>
      <c r="E2429" s="35" t="s">
        <v>106</v>
      </c>
      <c r="F2429" s="34" t="str">
        <f t="shared" si="572"/>
        <v>C:\Users\jaime.benazar\Quorum Business Solutions\Ecopetrol Prometeo - Documents\Planning Space Implementation\3. Analysis &amp; Design\Design\FC22\DRR Jaime\QUIFA-CAJÚA\Cajua\[CAJUA_CF_SEC_New_27-Feb-2024Rev3.xlsx]D-PSNP'!</v>
      </c>
      <c r="G2429" s="32" t="s">
        <v>115</v>
      </c>
      <c r="H2429" s="33"/>
      <c r="I2429" s="33"/>
      <c r="J2429" s="37"/>
    </row>
    <row r="2430" spans="1:10" x14ac:dyDescent="0.25">
      <c r="A2430" s="32" t="s">
        <v>103</v>
      </c>
      <c r="B2430" s="32">
        <v>2057</v>
      </c>
      <c r="C2430" s="33" t="s">
        <v>20</v>
      </c>
      <c r="D2430" s="34" t="s">
        <v>1999</v>
      </c>
      <c r="E2430" s="35" t="s">
        <v>106</v>
      </c>
      <c r="F2430" s="34" t="str">
        <f t="shared" si="572"/>
        <v>C:\Users\jaime.benazar\Quorum Business Solutions\Ecopetrol Prometeo - Documents\Planning Space Implementation\3. Analysis &amp; Design\Design\FC22\DRR Jaime\QUIFA-CAJÚA\Cajua\[CAJUA_CF_SEC_New_27-Feb-2024Rev3.xlsx]D-PSNP'!</v>
      </c>
      <c r="G2430" s="32" t="s">
        <v>115</v>
      </c>
      <c r="H2430" s="33"/>
      <c r="I2430" s="33"/>
      <c r="J2430" s="37"/>
    </row>
    <row r="2431" spans="1:10" x14ac:dyDescent="0.25">
      <c r="A2431" s="32" t="s">
        <v>103</v>
      </c>
      <c r="B2431" s="32">
        <v>2058</v>
      </c>
      <c r="C2431" s="33" t="s">
        <v>20</v>
      </c>
      <c r="D2431" s="34" t="s">
        <v>1999</v>
      </c>
      <c r="E2431" s="35" t="s">
        <v>106</v>
      </c>
      <c r="F2431" s="34" t="str">
        <f t="shared" si="572"/>
        <v>C:\Users\jaime.benazar\Quorum Business Solutions\Ecopetrol Prometeo - Documents\Planning Space Implementation\3. Analysis &amp; Design\Design\FC22\DRR Jaime\QUIFA-CAJÚA\Cajua\[CAJUA_CF_SEC_New_27-Feb-2024Rev3.xlsx]D-PSNP'!</v>
      </c>
      <c r="G2431" s="32" t="s">
        <v>115</v>
      </c>
      <c r="H2431" s="33"/>
      <c r="I2431" s="33"/>
      <c r="J2431" s="37"/>
    </row>
    <row r="2432" spans="1:10" x14ac:dyDescent="0.25">
      <c r="A2432" s="32" t="s">
        <v>103</v>
      </c>
      <c r="B2432" s="32">
        <v>2059</v>
      </c>
      <c r="C2432" s="33" t="s">
        <v>20</v>
      </c>
      <c r="D2432" s="34" t="s">
        <v>1999</v>
      </c>
      <c r="E2432" s="35" t="s">
        <v>106</v>
      </c>
      <c r="F2432" s="34" t="str">
        <f t="shared" si="572"/>
        <v>C:\Users\jaime.benazar\Quorum Business Solutions\Ecopetrol Prometeo - Documents\Planning Space Implementation\3. Analysis &amp; Design\Design\FC22\DRR Jaime\QUIFA-CAJÚA\Cajua\[CAJUA_CF_SEC_New_27-Feb-2024Rev3.xlsx]D-PSNP'!</v>
      </c>
      <c r="G2432" s="32" t="s">
        <v>115</v>
      </c>
      <c r="H2432" s="33"/>
      <c r="I2432" s="33"/>
      <c r="J2432" s="37"/>
    </row>
    <row r="2433" spans="1:10" x14ac:dyDescent="0.25">
      <c r="A2433" s="32" t="s">
        <v>28</v>
      </c>
      <c r="B2433" s="32"/>
      <c r="C2433" s="33" t="s">
        <v>20</v>
      </c>
      <c r="D2433" s="34"/>
      <c r="E2433" s="35"/>
      <c r="F2433" s="34"/>
      <c r="G2433" s="32"/>
      <c r="H2433" s="33"/>
      <c r="I2433" s="33"/>
      <c r="J2433" s="33"/>
    </row>
    <row r="2434" spans="1:10" x14ac:dyDescent="0.25">
      <c r="A2434" s="32" t="s">
        <v>104</v>
      </c>
      <c r="B2434" s="32">
        <v>2023</v>
      </c>
      <c r="C2434" s="33" t="s">
        <v>20</v>
      </c>
      <c r="D2434" s="34" t="s">
        <v>1999</v>
      </c>
      <c r="E2434" s="35" t="s">
        <v>107</v>
      </c>
      <c r="F2434" s="34" t="str">
        <f t="shared" ref="F2434:F2454" si="573">_xlfn.CONCAT(D2434:E2434)</f>
        <v>C:\Users\jaime.benazar\Quorum Business Solutions\Ecopetrol Prometeo - Documents\Planning Space Implementation\3. Analysis &amp; Design\Design\FC22\DRR Jaime\QUIFA-CAJÚA\Cajua\[CAJUA_CF_SEC_New_27-Feb-2024Rev3.xlsx]D-PSND'!</v>
      </c>
      <c r="G2434" s="32" t="s">
        <v>115</v>
      </c>
      <c r="H2434" s="33"/>
      <c r="I2434" s="33"/>
      <c r="J2434" s="37"/>
    </row>
    <row r="2435" spans="1:10" x14ac:dyDescent="0.25">
      <c r="A2435" s="32" t="s">
        <v>104</v>
      </c>
      <c r="B2435" s="32">
        <v>2024</v>
      </c>
      <c r="C2435" s="33" t="s">
        <v>20</v>
      </c>
      <c r="D2435" s="34" t="s">
        <v>1999</v>
      </c>
      <c r="E2435" s="35" t="s">
        <v>107</v>
      </c>
      <c r="F2435" s="34" t="str">
        <f t="shared" si="573"/>
        <v>C:\Users\jaime.benazar\Quorum Business Solutions\Ecopetrol Prometeo - Documents\Planning Space Implementation\3. Analysis &amp; Design\Design\FC22\DRR Jaime\QUIFA-CAJÚA\Cajua\[CAJUA_CF_SEC_New_27-Feb-2024Rev3.xlsx]D-PSND'!</v>
      </c>
      <c r="G2435" s="32" t="s">
        <v>115</v>
      </c>
      <c r="H2435" s="33"/>
      <c r="I2435" s="33"/>
      <c r="J2435" s="37"/>
    </row>
    <row r="2436" spans="1:10" x14ac:dyDescent="0.25">
      <c r="A2436" s="32" t="s">
        <v>104</v>
      </c>
      <c r="B2436" s="32">
        <v>2025</v>
      </c>
      <c r="C2436" s="33" t="s">
        <v>20</v>
      </c>
      <c r="D2436" s="34" t="s">
        <v>1999</v>
      </c>
      <c r="E2436" s="35" t="s">
        <v>107</v>
      </c>
      <c r="F2436" s="34" t="str">
        <f t="shared" si="573"/>
        <v>C:\Users\jaime.benazar\Quorum Business Solutions\Ecopetrol Prometeo - Documents\Planning Space Implementation\3. Analysis &amp; Design\Design\FC22\DRR Jaime\QUIFA-CAJÚA\Cajua\[CAJUA_CF_SEC_New_27-Feb-2024Rev3.xlsx]D-PSND'!</v>
      </c>
      <c r="G2436" s="32" t="s">
        <v>115</v>
      </c>
      <c r="H2436" s="33"/>
      <c r="I2436" s="33"/>
      <c r="J2436" s="37"/>
    </row>
    <row r="2437" spans="1:10" x14ac:dyDescent="0.25">
      <c r="A2437" s="32" t="s">
        <v>104</v>
      </c>
      <c r="B2437" s="32">
        <v>2026</v>
      </c>
      <c r="C2437" s="33" t="s">
        <v>20</v>
      </c>
      <c r="D2437" s="34" t="s">
        <v>1999</v>
      </c>
      <c r="E2437" s="35" t="s">
        <v>107</v>
      </c>
      <c r="F2437" s="34" t="str">
        <f t="shared" si="573"/>
        <v>C:\Users\jaime.benazar\Quorum Business Solutions\Ecopetrol Prometeo - Documents\Planning Space Implementation\3. Analysis &amp; Design\Design\FC22\DRR Jaime\QUIFA-CAJÚA\Cajua\[CAJUA_CF_SEC_New_27-Feb-2024Rev3.xlsx]D-PSND'!</v>
      </c>
      <c r="G2437" s="32" t="s">
        <v>115</v>
      </c>
      <c r="H2437" s="33"/>
      <c r="I2437" s="33"/>
      <c r="J2437" s="37"/>
    </row>
    <row r="2438" spans="1:10" x14ac:dyDescent="0.25">
      <c r="A2438" s="32" t="s">
        <v>104</v>
      </c>
      <c r="B2438" s="32">
        <v>2027</v>
      </c>
      <c r="C2438" s="33" t="s">
        <v>20</v>
      </c>
      <c r="D2438" s="34" t="s">
        <v>1999</v>
      </c>
      <c r="E2438" s="35" t="s">
        <v>107</v>
      </c>
      <c r="F2438" s="34" t="str">
        <f t="shared" si="573"/>
        <v>C:\Users\jaime.benazar\Quorum Business Solutions\Ecopetrol Prometeo - Documents\Planning Space Implementation\3. Analysis &amp; Design\Design\FC22\DRR Jaime\QUIFA-CAJÚA\Cajua\[CAJUA_CF_SEC_New_27-Feb-2024Rev3.xlsx]D-PSND'!</v>
      </c>
      <c r="G2438" s="32" t="s">
        <v>115</v>
      </c>
      <c r="H2438" s="33"/>
      <c r="I2438" s="33"/>
      <c r="J2438" s="37"/>
    </row>
    <row r="2439" spans="1:10" x14ac:dyDescent="0.25">
      <c r="A2439" s="32" t="s">
        <v>104</v>
      </c>
      <c r="B2439" s="32">
        <v>2028</v>
      </c>
      <c r="C2439" s="33" t="s">
        <v>20</v>
      </c>
      <c r="D2439" s="34" t="s">
        <v>1999</v>
      </c>
      <c r="E2439" s="35" t="s">
        <v>107</v>
      </c>
      <c r="F2439" s="34" t="str">
        <f t="shared" si="573"/>
        <v>C:\Users\jaime.benazar\Quorum Business Solutions\Ecopetrol Prometeo - Documents\Planning Space Implementation\3. Analysis &amp; Design\Design\FC22\DRR Jaime\QUIFA-CAJÚA\Cajua\[CAJUA_CF_SEC_New_27-Feb-2024Rev3.xlsx]D-PSND'!</v>
      </c>
      <c r="G2439" s="32" t="s">
        <v>115</v>
      </c>
      <c r="H2439" s="33"/>
      <c r="I2439" s="33"/>
      <c r="J2439" s="37"/>
    </row>
    <row r="2440" spans="1:10" x14ac:dyDescent="0.25">
      <c r="A2440" s="32" t="s">
        <v>104</v>
      </c>
      <c r="B2440" s="32">
        <v>2029</v>
      </c>
      <c r="C2440" s="33" t="s">
        <v>20</v>
      </c>
      <c r="D2440" s="34" t="s">
        <v>1999</v>
      </c>
      <c r="E2440" s="35" t="s">
        <v>107</v>
      </c>
      <c r="F2440" s="34" t="str">
        <f t="shared" si="573"/>
        <v>C:\Users\jaime.benazar\Quorum Business Solutions\Ecopetrol Prometeo - Documents\Planning Space Implementation\3. Analysis &amp; Design\Design\FC22\DRR Jaime\QUIFA-CAJÚA\Cajua\[CAJUA_CF_SEC_New_27-Feb-2024Rev3.xlsx]D-PSND'!</v>
      </c>
      <c r="G2440" s="32" t="s">
        <v>115</v>
      </c>
      <c r="H2440" s="33"/>
      <c r="I2440" s="33"/>
      <c r="J2440" s="37"/>
    </row>
    <row r="2441" spans="1:10" x14ac:dyDescent="0.25">
      <c r="A2441" s="32" t="s">
        <v>104</v>
      </c>
      <c r="B2441" s="32">
        <v>2030</v>
      </c>
      <c r="C2441" s="33" t="s">
        <v>20</v>
      </c>
      <c r="D2441" s="34" t="s">
        <v>1999</v>
      </c>
      <c r="E2441" s="35" t="s">
        <v>107</v>
      </c>
      <c r="F2441" s="34" t="str">
        <f t="shared" si="573"/>
        <v>C:\Users\jaime.benazar\Quorum Business Solutions\Ecopetrol Prometeo - Documents\Planning Space Implementation\3. Analysis &amp; Design\Design\FC22\DRR Jaime\QUIFA-CAJÚA\Cajua\[CAJUA_CF_SEC_New_27-Feb-2024Rev3.xlsx]D-PSND'!</v>
      </c>
      <c r="G2441" s="32" t="s">
        <v>115</v>
      </c>
      <c r="H2441" s="33"/>
      <c r="I2441" s="33"/>
      <c r="J2441" s="37"/>
    </row>
    <row r="2442" spans="1:10" x14ac:dyDescent="0.25">
      <c r="A2442" s="32" t="s">
        <v>104</v>
      </c>
      <c r="B2442" s="32">
        <v>2031</v>
      </c>
      <c r="C2442" s="33" t="s">
        <v>20</v>
      </c>
      <c r="D2442" s="34" t="s">
        <v>1999</v>
      </c>
      <c r="E2442" s="35" t="s">
        <v>107</v>
      </c>
      <c r="F2442" s="34" t="str">
        <f t="shared" si="573"/>
        <v>C:\Users\jaime.benazar\Quorum Business Solutions\Ecopetrol Prometeo - Documents\Planning Space Implementation\3. Analysis &amp; Design\Design\FC22\DRR Jaime\QUIFA-CAJÚA\Cajua\[CAJUA_CF_SEC_New_27-Feb-2024Rev3.xlsx]D-PSND'!</v>
      </c>
      <c r="G2442" s="32" t="s">
        <v>115</v>
      </c>
      <c r="H2442" s="33"/>
      <c r="I2442" s="33"/>
      <c r="J2442" s="37"/>
    </row>
    <row r="2443" spans="1:10" x14ac:dyDescent="0.25">
      <c r="A2443" s="32" t="s">
        <v>104</v>
      </c>
      <c r="B2443" s="32">
        <v>2032</v>
      </c>
      <c r="C2443" s="33" t="s">
        <v>20</v>
      </c>
      <c r="D2443" s="34" t="s">
        <v>1999</v>
      </c>
      <c r="E2443" s="35" t="s">
        <v>107</v>
      </c>
      <c r="F2443" s="34" t="str">
        <f t="shared" si="573"/>
        <v>C:\Users\jaime.benazar\Quorum Business Solutions\Ecopetrol Prometeo - Documents\Planning Space Implementation\3. Analysis &amp; Design\Design\FC22\DRR Jaime\QUIFA-CAJÚA\Cajua\[CAJUA_CF_SEC_New_27-Feb-2024Rev3.xlsx]D-PSND'!</v>
      </c>
      <c r="G2443" s="32" t="s">
        <v>115</v>
      </c>
      <c r="H2443" s="33"/>
      <c r="I2443" s="33"/>
      <c r="J2443" s="37"/>
    </row>
    <row r="2444" spans="1:10" x14ac:dyDescent="0.25">
      <c r="A2444" s="32" t="s">
        <v>104</v>
      </c>
      <c r="B2444" s="32">
        <v>2033</v>
      </c>
      <c r="C2444" s="33" t="s">
        <v>20</v>
      </c>
      <c r="D2444" s="34" t="s">
        <v>1999</v>
      </c>
      <c r="E2444" s="35" t="s">
        <v>107</v>
      </c>
      <c r="F2444" s="34" t="str">
        <f t="shared" si="573"/>
        <v>C:\Users\jaime.benazar\Quorum Business Solutions\Ecopetrol Prometeo - Documents\Planning Space Implementation\3. Analysis &amp; Design\Design\FC22\DRR Jaime\QUIFA-CAJÚA\Cajua\[CAJUA_CF_SEC_New_27-Feb-2024Rev3.xlsx]D-PSND'!</v>
      </c>
      <c r="G2444" s="32" t="s">
        <v>115</v>
      </c>
      <c r="H2444" s="33"/>
      <c r="I2444" s="33"/>
      <c r="J2444" s="37"/>
    </row>
    <row r="2445" spans="1:10" x14ac:dyDescent="0.25">
      <c r="A2445" s="32" t="s">
        <v>104</v>
      </c>
      <c r="B2445" s="32">
        <v>2034</v>
      </c>
      <c r="C2445" s="33" t="s">
        <v>20</v>
      </c>
      <c r="D2445" s="34" t="s">
        <v>1999</v>
      </c>
      <c r="E2445" s="35" t="s">
        <v>107</v>
      </c>
      <c r="F2445" s="34" t="str">
        <f t="shared" si="573"/>
        <v>C:\Users\jaime.benazar\Quorum Business Solutions\Ecopetrol Prometeo - Documents\Planning Space Implementation\3. Analysis &amp; Design\Design\FC22\DRR Jaime\QUIFA-CAJÚA\Cajua\[CAJUA_CF_SEC_New_27-Feb-2024Rev3.xlsx]D-PSND'!</v>
      </c>
      <c r="G2445" s="32" t="s">
        <v>115</v>
      </c>
      <c r="H2445" s="33"/>
      <c r="I2445" s="33"/>
      <c r="J2445" s="37"/>
    </row>
    <row r="2446" spans="1:10" x14ac:dyDescent="0.25">
      <c r="A2446" s="32" t="s">
        <v>104</v>
      </c>
      <c r="B2446" s="32">
        <v>2035</v>
      </c>
      <c r="C2446" s="33" t="s">
        <v>20</v>
      </c>
      <c r="D2446" s="34" t="s">
        <v>1999</v>
      </c>
      <c r="E2446" s="35" t="s">
        <v>107</v>
      </c>
      <c r="F2446" s="34" t="str">
        <f t="shared" si="573"/>
        <v>C:\Users\jaime.benazar\Quorum Business Solutions\Ecopetrol Prometeo - Documents\Planning Space Implementation\3. Analysis &amp; Design\Design\FC22\DRR Jaime\QUIFA-CAJÚA\Cajua\[CAJUA_CF_SEC_New_27-Feb-2024Rev3.xlsx]D-PSND'!</v>
      </c>
      <c r="G2446" s="32" t="s">
        <v>115</v>
      </c>
      <c r="H2446" s="33"/>
      <c r="I2446" s="33"/>
      <c r="J2446" s="37"/>
    </row>
    <row r="2447" spans="1:10" x14ac:dyDescent="0.25">
      <c r="A2447" s="32" t="s">
        <v>104</v>
      </c>
      <c r="B2447" s="32">
        <v>2036</v>
      </c>
      <c r="C2447" s="33" t="s">
        <v>20</v>
      </c>
      <c r="D2447" s="34" t="s">
        <v>1999</v>
      </c>
      <c r="E2447" s="35" t="s">
        <v>107</v>
      </c>
      <c r="F2447" s="34" t="str">
        <f t="shared" si="573"/>
        <v>C:\Users\jaime.benazar\Quorum Business Solutions\Ecopetrol Prometeo - Documents\Planning Space Implementation\3. Analysis &amp; Design\Design\FC22\DRR Jaime\QUIFA-CAJÚA\Cajua\[CAJUA_CF_SEC_New_27-Feb-2024Rev3.xlsx]D-PSND'!</v>
      </c>
      <c r="G2447" s="32" t="s">
        <v>115</v>
      </c>
      <c r="H2447" s="33"/>
      <c r="I2447" s="33"/>
      <c r="J2447" s="37"/>
    </row>
    <row r="2448" spans="1:10" x14ac:dyDescent="0.25">
      <c r="A2448" s="32" t="s">
        <v>104</v>
      </c>
      <c r="B2448" s="32">
        <v>2037</v>
      </c>
      <c r="C2448" s="33" t="s">
        <v>20</v>
      </c>
      <c r="D2448" s="34" t="s">
        <v>1999</v>
      </c>
      <c r="E2448" s="35" t="s">
        <v>107</v>
      </c>
      <c r="F2448" s="34" t="str">
        <f t="shared" si="573"/>
        <v>C:\Users\jaime.benazar\Quorum Business Solutions\Ecopetrol Prometeo - Documents\Planning Space Implementation\3. Analysis &amp; Design\Design\FC22\DRR Jaime\QUIFA-CAJÚA\Cajua\[CAJUA_CF_SEC_New_27-Feb-2024Rev3.xlsx]D-PSND'!</v>
      </c>
      <c r="G2448" s="32" t="s">
        <v>115</v>
      </c>
      <c r="H2448" s="33"/>
      <c r="I2448" s="33"/>
      <c r="J2448" s="37"/>
    </row>
    <row r="2449" spans="1:10" x14ac:dyDescent="0.25">
      <c r="A2449" s="32" t="s">
        <v>104</v>
      </c>
      <c r="B2449" s="32">
        <v>2038</v>
      </c>
      <c r="C2449" s="33" t="s">
        <v>20</v>
      </c>
      <c r="D2449" s="34" t="s">
        <v>1999</v>
      </c>
      <c r="E2449" s="35" t="s">
        <v>107</v>
      </c>
      <c r="F2449" s="34" t="str">
        <f t="shared" si="573"/>
        <v>C:\Users\jaime.benazar\Quorum Business Solutions\Ecopetrol Prometeo - Documents\Planning Space Implementation\3. Analysis &amp; Design\Design\FC22\DRR Jaime\QUIFA-CAJÚA\Cajua\[CAJUA_CF_SEC_New_27-Feb-2024Rev3.xlsx]D-PSND'!</v>
      </c>
      <c r="G2449" s="32" t="s">
        <v>115</v>
      </c>
      <c r="H2449" s="33"/>
      <c r="I2449" s="33"/>
      <c r="J2449" s="37"/>
    </row>
    <row r="2450" spans="1:10" x14ac:dyDescent="0.25">
      <c r="A2450" s="32" t="s">
        <v>104</v>
      </c>
      <c r="B2450" s="32">
        <v>2039</v>
      </c>
      <c r="C2450" s="33" t="s">
        <v>20</v>
      </c>
      <c r="D2450" s="34" t="s">
        <v>1999</v>
      </c>
      <c r="E2450" s="35" t="s">
        <v>107</v>
      </c>
      <c r="F2450" s="34" t="str">
        <f t="shared" si="573"/>
        <v>C:\Users\jaime.benazar\Quorum Business Solutions\Ecopetrol Prometeo - Documents\Planning Space Implementation\3. Analysis &amp; Design\Design\FC22\DRR Jaime\QUIFA-CAJÚA\Cajua\[CAJUA_CF_SEC_New_27-Feb-2024Rev3.xlsx]D-PSND'!</v>
      </c>
      <c r="G2450" s="32" t="s">
        <v>115</v>
      </c>
      <c r="H2450" s="33"/>
      <c r="I2450" s="33"/>
      <c r="J2450" s="37"/>
    </row>
    <row r="2451" spans="1:10" x14ac:dyDescent="0.25">
      <c r="A2451" s="32" t="s">
        <v>104</v>
      </c>
      <c r="B2451" s="32">
        <v>2040</v>
      </c>
      <c r="C2451" s="33" t="s">
        <v>20</v>
      </c>
      <c r="D2451" s="34" t="s">
        <v>1999</v>
      </c>
      <c r="E2451" s="35" t="s">
        <v>107</v>
      </c>
      <c r="F2451" s="34" t="str">
        <f t="shared" si="573"/>
        <v>C:\Users\jaime.benazar\Quorum Business Solutions\Ecopetrol Prometeo - Documents\Planning Space Implementation\3. Analysis &amp; Design\Design\FC22\DRR Jaime\QUIFA-CAJÚA\Cajua\[CAJUA_CF_SEC_New_27-Feb-2024Rev3.xlsx]D-PSND'!</v>
      </c>
      <c r="G2451" s="32" t="s">
        <v>115</v>
      </c>
      <c r="H2451" s="33"/>
      <c r="I2451" s="33"/>
      <c r="J2451" s="37"/>
    </row>
    <row r="2452" spans="1:10" x14ac:dyDescent="0.25">
      <c r="A2452" s="32" t="s">
        <v>104</v>
      </c>
      <c r="B2452" s="32">
        <v>2041</v>
      </c>
      <c r="C2452" s="33" t="s">
        <v>20</v>
      </c>
      <c r="D2452" s="34" t="s">
        <v>1999</v>
      </c>
      <c r="E2452" s="35" t="s">
        <v>107</v>
      </c>
      <c r="F2452" s="34" t="str">
        <f t="shared" si="573"/>
        <v>C:\Users\jaime.benazar\Quorum Business Solutions\Ecopetrol Prometeo - Documents\Planning Space Implementation\3. Analysis &amp; Design\Design\FC22\DRR Jaime\QUIFA-CAJÚA\Cajua\[CAJUA_CF_SEC_New_27-Feb-2024Rev3.xlsx]D-PSND'!</v>
      </c>
      <c r="G2452" s="32" t="s">
        <v>115</v>
      </c>
      <c r="H2452" s="33"/>
      <c r="I2452" s="33"/>
      <c r="J2452" s="37"/>
    </row>
    <row r="2453" spans="1:10" x14ac:dyDescent="0.25">
      <c r="A2453" s="32" t="s">
        <v>104</v>
      </c>
      <c r="B2453" s="32">
        <v>2042</v>
      </c>
      <c r="C2453" s="33" t="s">
        <v>20</v>
      </c>
      <c r="D2453" s="34" t="s">
        <v>1999</v>
      </c>
      <c r="E2453" s="35" t="s">
        <v>107</v>
      </c>
      <c r="F2453" s="34" t="str">
        <f t="shared" si="573"/>
        <v>C:\Users\jaime.benazar\Quorum Business Solutions\Ecopetrol Prometeo - Documents\Planning Space Implementation\3. Analysis &amp; Design\Design\FC22\DRR Jaime\QUIFA-CAJÚA\Cajua\[CAJUA_CF_SEC_New_27-Feb-2024Rev3.xlsx]D-PSND'!</v>
      </c>
      <c r="G2453" s="32" t="s">
        <v>115</v>
      </c>
      <c r="H2453" s="33"/>
      <c r="I2453" s="33"/>
      <c r="J2453" s="37"/>
    </row>
    <row r="2454" spans="1:10" x14ac:dyDescent="0.25">
      <c r="A2454" s="32" t="s">
        <v>104</v>
      </c>
      <c r="B2454" s="32">
        <v>2043</v>
      </c>
      <c r="C2454" s="33" t="s">
        <v>20</v>
      </c>
      <c r="D2454" s="34" t="s">
        <v>1999</v>
      </c>
      <c r="E2454" s="35" t="s">
        <v>107</v>
      </c>
      <c r="F2454" s="34" t="str">
        <f t="shared" si="573"/>
        <v>C:\Users\jaime.benazar\Quorum Business Solutions\Ecopetrol Prometeo - Documents\Planning Space Implementation\3. Analysis &amp; Design\Design\FC22\DRR Jaime\QUIFA-CAJÚA\Cajua\[CAJUA_CF_SEC_New_27-Feb-2024Rev3.xlsx]D-PSND'!</v>
      </c>
      <c r="G2454" s="32" t="s">
        <v>115</v>
      </c>
      <c r="H2454" s="33"/>
      <c r="I2454" s="33"/>
      <c r="J2454" s="37"/>
    </row>
    <row r="2455" spans="1:10" x14ac:dyDescent="0.25">
      <c r="A2455" s="32" t="s">
        <v>104</v>
      </c>
      <c r="B2455" s="32">
        <v>2044</v>
      </c>
      <c r="C2455" s="33" t="s">
        <v>20</v>
      </c>
      <c r="D2455" s="34" t="s">
        <v>1999</v>
      </c>
      <c r="E2455" s="35" t="s">
        <v>107</v>
      </c>
      <c r="F2455" s="34" t="str">
        <f t="shared" ref="F2455:F2470" si="574">_xlfn.CONCAT(D2455:E2455)</f>
        <v>C:\Users\jaime.benazar\Quorum Business Solutions\Ecopetrol Prometeo - Documents\Planning Space Implementation\3. Analysis &amp; Design\Design\FC22\DRR Jaime\QUIFA-CAJÚA\Cajua\[CAJUA_CF_SEC_New_27-Feb-2024Rev3.xlsx]D-PSND'!</v>
      </c>
      <c r="G2455" s="32" t="s">
        <v>115</v>
      </c>
      <c r="H2455" s="33"/>
      <c r="I2455" s="33"/>
      <c r="J2455" s="37"/>
    </row>
    <row r="2456" spans="1:10" x14ac:dyDescent="0.25">
      <c r="A2456" s="32" t="s">
        <v>104</v>
      </c>
      <c r="B2456" s="32">
        <v>2045</v>
      </c>
      <c r="C2456" s="33" t="s">
        <v>20</v>
      </c>
      <c r="D2456" s="34" t="s">
        <v>1999</v>
      </c>
      <c r="E2456" s="35" t="s">
        <v>107</v>
      </c>
      <c r="F2456" s="34" t="str">
        <f t="shared" si="574"/>
        <v>C:\Users\jaime.benazar\Quorum Business Solutions\Ecopetrol Prometeo - Documents\Planning Space Implementation\3. Analysis &amp; Design\Design\FC22\DRR Jaime\QUIFA-CAJÚA\Cajua\[CAJUA_CF_SEC_New_27-Feb-2024Rev3.xlsx]D-PSND'!</v>
      </c>
      <c r="G2456" s="32" t="s">
        <v>115</v>
      </c>
      <c r="H2456" s="33"/>
      <c r="I2456" s="33"/>
      <c r="J2456" s="37"/>
    </row>
    <row r="2457" spans="1:10" x14ac:dyDescent="0.25">
      <c r="A2457" s="32" t="s">
        <v>104</v>
      </c>
      <c r="B2457" s="32">
        <v>2046</v>
      </c>
      <c r="C2457" s="33" t="s">
        <v>20</v>
      </c>
      <c r="D2457" s="34" t="s">
        <v>1999</v>
      </c>
      <c r="E2457" s="35" t="s">
        <v>107</v>
      </c>
      <c r="F2457" s="34" t="str">
        <f t="shared" si="574"/>
        <v>C:\Users\jaime.benazar\Quorum Business Solutions\Ecopetrol Prometeo - Documents\Planning Space Implementation\3. Analysis &amp; Design\Design\FC22\DRR Jaime\QUIFA-CAJÚA\Cajua\[CAJUA_CF_SEC_New_27-Feb-2024Rev3.xlsx]D-PSND'!</v>
      </c>
      <c r="G2457" s="32" t="s">
        <v>115</v>
      </c>
      <c r="H2457" s="33"/>
      <c r="I2457" s="33"/>
      <c r="J2457" s="37"/>
    </row>
    <row r="2458" spans="1:10" x14ac:dyDescent="0.25">
      <c r="A2458" s="32" t="s">
        <v>104</v>
      </c>
      <c r="B2458" s="32">
        <v>2047</v>
      </c>
      <c r="C2458" s="33" t="s">
        <v>20</v>
      </c>
      <c r="D2458" s="34" t="s">
        <v>1999</v>
      </c>
      <c r="E2458" s="35" t="s">
        <v>107</v>
      </c>
      <c r="F2458" s="34" t="str">
        <f t="shared" si="574"/>
        <v>C:\Users\jaime.benazar\Quorum Business Solutions\Ecopetrol Prometeo - Documents\Planning Space Implementation\3. Analysis &amp; Design\Design\FC22\DRR Jaime\QUIFA-CAJÚA\Cajua\[CAJUA_CF_SEC_New_27-Feb-2024Rev3.xlsx]D-PSND'!</v>
      </c>
      <c r="G2458" s="32" t="s">
        <v>115</v>
      </c>
      <c r="H2458" s="33"/>
      <c r="I2458" s="33"/>
      <c r="J2458" s="37"/>
    </row>
    <row r="2459" spans="1:10" x14ac:dyDescent="0.25">
      <c r="A2459" s="32" t="s">
        <v>104</v>
      </c>
      <c r="B2459" s="32">
        <v>2048</v>
      </c>
      <c r="C2459" s="33" t="s">
        <v>20</v>
      </c>
      <c r="D2459" s="34" t="s">
        <v>1999</v>
      </c>
      <c r="E2459" s="35" t="s">
        <v>107</v>
      </c>
      <c r="F2459" s="34" t="str">
        <f t="shared" si="574"/>
        <v>C:\Users\jaime.benazar\Quorum Business Solutions\Ecopetrol Prometeo - Documents\Planning Space Implementation\3. Analysis &amp; Design\Design\FC22\DRR Jaime\QUIFA-CAJÚA\Cajua\[CAJUA_CF_SEC_New_27-Feb-2024Rev3.xlsx]D-PSND'!</v>
      </c>
      <c r="G2459" s="32" t="s">
        <v>115</v>
      </c>
      <c r="H2459" s="33"/>
      <c r="I2459" s="33"/>
      <c r="J2459" s="37"/>
    </row>
    <row r="2460" spans="1:10" x14ac:dyDescent="0.25">
      <c r="A2460" s="32" t="s">
        <v>104</v>
      </c>
      <c r="B2460" s="32">
        <v>2049</v>
      </c>
      <c r="C2460" s="33" t="s">
        <v>20</v>
      </c>
      <c r="D2460" s="34" t="s">
        <v>1999</v>
      </c>
      <c r="E2460" s="35" t="s">
        <v>107</v>
      </c>
      <c r="F2460" s="34" t="str">
        <f t="shared" si="574"/>
        <v>C:\Users\jaime.benazar\Quorum Business Solutions\Ecopetrol Prometeo - Documents\Planning Space Implementation\3. Analysis &amp; Design\Design\FC22\DRR Jaime\QUIFA-CAJÚA\Cajua\[CAJUA_CF_SEC_New_27-Feb-2024Rev3.xlsx]D-PSND'!</v>
      </c>
      <c r="G2460" s="32" t="s">
        <v>115</v>
      </c>
      <c r="H2460" s="33"/>
      <c r="I2460" s="33"/>
      <c r="J2460" s="37"/>
    </row>
    <row r="2461" spans="1:10" x14ac:dyDescent="0.25">
      <c r="A2461" s="32" t="s">
        <v>104</v>
      </c>
      <c r="B2461" s="32">
        <v>2050</v>
      </c>
      <c r="C2461" s="33" t="s">
        <v>20</v>
      </c>
      <c r="D2461" s="34" t="s">
        <v>1999</v>
      </c>
      <c r="E2461" s="35" t="s">
        <v>107</v>
      </c>
      <c r="F2461" s="34" t="str">
        <f t="shared" si="574"/>
        <v>C:\Users\jaime.benazar\Quorum Business Solutions\Ecopetrol Prometeo - Documents\Planning Space Implementation\3. Analysis &amp; Design\Design\FC22\DRR Jaime\QUIFA-CAJÚA\Cajua\[CAJUA_CF_SEC_New_27-Feb-2024Rev3.xlsx]D-PSND'!</v>
      </c>
      <c r="G2461" s="32" t="s">
        <v>115</v>
      </c>
      <c r="H2461" s="33"/>
      <c r="I2461" s="33"/>
      <c r="J2461" s="37"/>
    </row>
    <row r="2462" spans="1:10" x14ac:dyDescent="0.25">
      <c r="A2462" s="32" t="s">
        <v>104</v>
      </c>
      <c r="B2462" s="32">
        <v>2051</v>
      </c>
      <c r="C2462" s="33" t="s">
        <v>20</v>
      </c>
      <c r="D2462" s="34" t="s">
        <v>1999</v>
      </c>
      <c r="E2462" s="35" t="s">
        <v>107</v>
      </c>
      <c r="F2462" s="34" t="str">
        <f t="shared" si="574"/>
        <v>C:\Users\jaime.benazar\Quorum Business Solutions\Ecopetrol Prometeo - Documents\Planning Space Implementation\3. Analysis &amp; Design\Design\FC22\DRR Jaime\QUIFA-CAJÚA\Cajua\[CAJUA_CF_SEC_New_27-Feb-2024Rev3.xlsx]D-PSND'!</v>
      </c>
      <c r="G2462" s="32" t="s">
        <v>115</v>
      </c>
      <c r="H2462" s="33"/>
      <c r="I2462" s="33"/>
      <c r="J2462" s="37"/>
    </row>
    <row r="2463" spans="1:10" x14ac:dyDescent="0.25">
      <c r="A2463" s="32" t="s">
        <v>104</v>
      </c>
      <c r="B2463" s="32">
        <v>2052</v>
      </c>
      <c r="C2463" s="33" t="s">
        <v>20</v>
      </c>
      <c r="D2463" s="34" t="s">
        <v>1999</v>
      </c>
      <c r="E2463" s="35" t="s">
        <v>107</v>
      </c>
      <c r="F2463" s="34" t="str">
        <f t="shared" si="574"/>
        <v>C:\Users\jaime.benazar\Quorum Business Solutions\Ecopetrol Prometeo - Documents\Planning Space Implementation\3. Analysis &amp; Design\Design\FC22\DRR Jaime\QUIFA-CAJÚA\Cajua\[CAJUA_CF_SEC_New_27-Feb-2024Rev3.xlsx]D-PSND'!</v>
      </c>
      <c r="G2463" s="32" t="s">
        <v>115</v>
      </c>
      <c r="H2463" s="33"/>
      <c r="I2463" s="33"/>
      <c r="J2463" s="37"/>
    </row>
    <row r="2464" spans="1:10" x14ac:dyDescent="0.25">
      <c r="A2464" s="32" t="s">
        <v>104</v>
      </c>
      <c r="B2464" s="32">
        <v>2053</v>
      </c>
      <c r="C2464" s="33" t="s">
        <v>20</v>
      </c>
      <c r="D2464" s="34" t="s">
        <v>1999</v>
      </c>
      <c r="E2464" s="35" t="s">
        <v>107</v>
      </c>
      <c r="F2464" s="34" t="str">
        <f t="shared" si="574"/>
        <v>C:\Users\jaime.benazar\Quorum Business Solutions\Ecopetrol Prometeo - Documents\Planning Space Implementation\3. Analysis &amp; Design\Design\FC22\DRR Jaime\QUIFA-CAJÚA\Cajua\[CAJUA_CF_SEC_New_27-Feb-2024Rev3.xlsx]D-PSND'!</v>
      </c>
      <c r="G2464" s="32" t="s">
        <v>115</v>
      </c>
      <c r="H2464" s="33"/>
      <c r="I2464" s="33"/>
      <c r="J2464" s="37"/>
    </row>
    <row r="2465" spans="1:10" x14ac:dyDescent="0.25">
      <c r="A2465" s="32" t="s">
        <v>104</v>
      </c>
      <c r="B2465" s="32">
        <v>2054</v>
      </c>
      <c r="C2465" s="33" t="s">
        <v>20</v>
      </c>
      <c r="D2465" s="34" t="s">
        <v>1999</v>
      </c>
      <c r="E2465" s="35" t="s">
        <v>107</v>
      </c>
      <c r="F2465" s="34" t="str">
        <f t="shared" si="574"/>
        <v>C:\Users\jaime.benazar\Quorum Business Solutions\Ecopetrol Prometeo - Documents\Planning Space Implementation\3. Analysis &amp; Design\Design\FC22\DRR Jaime\QUIFA-CAJÚA\Cajua\[CAJUA_CF_SEC_New_27-Feb-2024Rev3.xlsx]D-PSND'!</v>
      </c>
      <c r="G2465" s="32" t="s">
        <v>115</v>
      </c>
      <c r="H2465" s="33"/>
      <c r="I2465" s="33"/>
      <c r="J2465" s="37"/>
    </row>
    <row r="2466" spans="1:10" x14ac:dyDescent="0.25">
      <c r="A2466" s="32" t="s">
        <v>104</v>
      </c>
      <c r="B2466" s="32">
        <v>2055</v>
      </c>
      <c r="C2466" s="33" t="s">
        <v>20</v>
      </c>
      <c r="D2466" s="34" t="s">
        <v>1999</v>
      </c>
      <c r="E2466" s="35" t="s">
        <v>107</v>
      </c>
      <c r="F2466" s="34" t="str">
        <f t="shared" si="574"/>
        <v>C:\Users\jaime.benazar\Quorum Business Solutions\Ecopetrol Prometeo - Documents\Planning Space Implementation\3. Analysis &amp; Design\Design\FC22\DRR Jaime\QUIFA-CAJÚA\Cajua\[CAJUA_CF_SEC_New_27-Feb-2024Rev3.xlsx]D-PSND'!</v>
      </c>
      <c r="G2466" s="32" t="s">
        <v>115</v>
      </c>
      <c r="H2466" s="33"/>
      <c r="I2466" s="33"/>
      <c r="J2466" s="37"/>
    </row>
    <row r="2467" spans="1:10" x14ac:dyDescent="0.25">
      <c r="A2467" s="32" t="s">
        <v>104</v>
      </c>
      <c r="B2467" s="32">
        <v>2056</v>
      </c>
      <c r="C2467" s="33" t="s">
        <v>20</v>
      </c>
      <c r="D2467" s="34" t="s">
        <v>1999</v>
      </c>
      <c r="E2467" s="35" t="s">
        <v>107</v>
      </c>
      <c r="F2467" s="34" t="str">
        <f t="shared" si="574"/>
        <v>C:\Users\jaime.benazar\Quorum Business Solutions\Ecopetrol Prometeo - Documents\Planning Space Implementation\3. Analysis &amp; Design\Design\FC22\DRR Jaime\QUIFA-CAJÚA\Cajua\[CAJUA_CF_SEC_New_27-Feb-2024Rev3.xlsx]D-PSND'!</v>
      </c>
      <c r="G2467" s="32" t="s">
        <v>115</v>
      </c>
      <c r="H2467" s="33"/>
      <c r="I2467" s="33"/>
      <c r="J2467" s="37"/>
    </row>
    <row r="2468" spans="1:10" x14ac:dyDescent="0.25">
      <c r="A2468" s="32" t="s">
        <v>104</v>
      </c>
      <c r="B2468" s="32">
        <v>2057</v>
      </c>
      <c r="C2468" s="33" t="s">
        <v>20</v>
      </c>
      <c r="D2468" s="34" t="s">
        <v>1999</v>
      </c>
      <c r="E2468" s="35" t="s">
        <v>107</v>
      </c>
      <c r="F2468" s="34" t="str">
        <f t="shared" si="574"/>
        <v>C:\Users\jaime.benazar\Quorum Business Solutions\Ecopetrol Prometeo - Documents\Planning Space Implementation\3. Analysis &amp; Design\Design\FC22\DRR Jaime\QUIFA-CAJÚA\Cajua\[CAJUA_CF_SEC_New_27-Feb-2024Rev3.xlsx]D-PSND'!</v>
      </c>
      <c r="G2468" s="32" t="s">
        <v>115</v>
      </c>
      <c r="H2468" s="33"/>
      <c r="I2468" s="33"/>
      <c r="J2468" s="37"/>
    </row>
    <row r="2469" spans="1:10" x14ac:dyDescent="0.25">
      <c r="A2469" s="32" t="s">
        <v>104</v>
      </c>
      <c r="B2469" s="32">
        <v>2058</v>
      </c>
      <c r="C2469" s="33" t="s">
        <v>20</v>
      </c>
      <c r="D2469" s="34" t="s">
        <v>1999</v>
      </c>
      <c r="E2469" s="35" t="s">
        <v>107</v>
      </c>
      <c r="F2469" s="34" t="str">
        <f t="shared" si="574"/>
        <v>C:\Users\jaime.benazar\Quorum Business Solutions\Ecopetrol Prometeo - Documents\Planning Space Implementation\3. Analysis &amp; Design\Design\FC22\DRR Jaime\QUIFA-CAJÚA\Cajua\[CAJUA_CF_SEC_New_27-Feb-2024Rev3.xlsx]D-PSND'!</v>
      </c>
      <c r="G2469" s="32" t="s">
        <v>115</v>
      </c>
      <c r="H2469" s="33"/>
      <c r="I2469" s="33"/>
      <c r="J2469" s="37"/>
    </row>
    <row r="2470" spans="1:10" x14ac:dyDescent="0.25">
      <c r="A2470" s="32" t="s">
        <v>104</v>
      </c>
      <c r="B2470" s="32">
        <v>2059</v>
      </c>
      <c r="C2470" s="33" t="s">
        <v>20</v>
      </c>
      <c r="D2470" s="34" t="s">
        <v>1999</v>
      </c>
      <c r="E2470" s="35" t="s">
        <v>107</v>
      </c>
      <c r="F2470" s="34" t="str">
        <f t="shared" si="574"/>
        <v>C:\Users\jaime.benazar\Quorum Business Solutions\Ecopetrol Prometeo - Documents\Planning Space Implementation\3. Analysis &amp; Design\Design\FC22\DRR Jaime\QUIFA-CAJÚA\Cajua\[CAJUA_CF_SEC_New_27-Feb-2024Rev3.xlsx]D-PSND'!</v>
      </c>
      <c r="G2470" s="32" t="s">
        <v>115</v>
      </c>
      <c r="H2470" s="33"/>
      <c r="I2470" s="33"/>
      <c r="J2470" s="37"/>
    </row>
    <row r="2471" spans="1:10" x14ac:dyDescent="0.25">
      <c r="A2471" s="32" t="s">
        <v>28</v>
      </c>
      <c r="B2471" s="32"/>
      <c r="C2471" s="33" t="s">
        <v>20</v>
      </c>
      <c r="D2471" s="34"/>
      <c r="E2471" s="35"/>
      <c r="F2471" s="34"/>
      <c r="G2471" s="32"/>
      <c r="H2471" s="33"/>
      <c r="I2471" s="33"/>
      <c r="J2471" s="33"/>
    </row>
    <row r="2472" spans="1:10" x14ac:dyDescent="0.25">
      <c r="A2472" s="32" t="s">
        <v>34</v>
      </c>
      <c r="B2472" s="32">
        <v>2023</v>
      </c>
      <c r="C2472" s="33" t="s">
        <v>20</v>
      </c>
      <c r="D2472" s="34" t="s">
        <v>1999</v>
      </c>
      <c r="E2472" s="35" t="str">
        <f t="shared" ref="E2472:E2492" si="575">_xlfn.CONCAT(A2472,"'!")</f>
        <v>PS'!</v>
      </c>
      <c r="F2472" s="34" t="str">
        <f t="shared" ref="F2472:F2492" si="576">_xlfn.CONCAT(D2472:E2472)</f>
        <v>C:\Users\jaime.benazar\Quorum Business Solutions\Ecopetrol Prometeo - Documents\Planning Space Implementation\3. Analysis &amp; Design\Design\FC22\DRR Jaime\QUIFA-CAJÚA\Cajua\[CAJUA_CF_SEC_New_27-Feb-2024Rev3.xlsx]D-PS'!</v>
      </c>
      <c r="G2472" s="32" t="s">
        <v>115</v>
      </c>
      <c r="H2472" s="33">
        <v>12</v>
      </c>
      <c r="I2472" s="33" t="str">
        <f t="shared" ref="I2472:I2508" si="577">_xlfn.CONCAT("='",F2472:H2472)</f>
        <v>='C:\Users\jaime.benazar\Quorum Business Solutions\Ecopetrol Prometeo - Documents\Planning Space Implementation\3. Analysis &amp; Design\Design\FC22\DRR Jaime\QUIFA-CAJÚA\Cajua\[CAJUA_CF_SEC_New_27-Feb-2024Rev3.xlsx]D-PS'!$DC$12</v>
      </c>
      <c r="J2472" s="37" t="s">
        <v>3073</v>
      </c>
    </row>
    <row r="2473" spans="1:10" x14ac:dyDescent="0.25">
      <c r="A2473" s="32" t="s">
        <v>34</v>
      </c>
      <c r="B2473" s="32">
        <f>+B2472+1</f>
        <v>2024</v>
      </c>
      <c r="C2473" s="33" t="s">
        <v>20</v>
      </c>
      <c r="D2473" s="34" t="s">
        <v>1999</v>
      </c>
      <c r="E2473" s="35" t="str">
        <f t="shared" si="575"/>
        <v>PS'!</v>
      </c>
      <c r="F2473" s="34" t="str">
        <f t="shared" si="576"/>
        <v>C:\Users\jaime.benazar\Quorum Business Solutions\Ecopetrol Prometeo - Documents\Planning Space Implementation\3. Analysis &amp; Design\Design\FC22\DRR Jaime\QUIFA-CAJÚA\Cajua\[CAJUA_CF_SEC_New_27-Feb-2024Rev3.xlsx]D-PS'!</v>
      </c>
      <c r="G2473" s="32" t="s">
        <v>115</v>
      </c>
      <c r="H2473" s="33">
        <f t="shared" ref="H2473:H2492" si="578">IF(A2473&lt;&gt;A2472,12,H2472+1)</f>
        <v>13</v>
      </c>
      <c r="I2473" s="33" t="str">
        <f t="shared" si="577"/>
        <v>='C:\Users\jaime.benazar\Quorum Business Solutions\Ecopetrol Prometeo - Documents\Planning Space Implementation\3. Analysis &amp; Design\Design\FC22\DRR Jaime\QUIFA-CAJÚA\Cajua\[CAJUA_CF_SEC_New_27-Feb-2024Rev3.xlsx]D-PS'!$DC$13</v>
      </c>
      <c r="J2473" s="37" t="s">
        <v>3074</v>
      </c>
    </row>
    <row r="2474" spans="1:10" x14ac:dyDescent="0.25">
      <c r="A2474" s="32" t="s">
        <v>34</v>
      </c>
      <c r="B2474" s="32">
        <f t="shared" ref="B2474:B2485" si="579">+B2473+1</f>
        <v>2025</v>
      </c>
      <c r="C2474" s="33" t="s">
        <v>20</v>
      </c>
      <c r="D2474" s="34" t="s">
        <v>1999</v>
      </c>
      <c r="E2474" s="35" t="str">
        <f t="shared" si="575"/>
        <v>PS'!</v>
      </c>
      <c r="F2474" s="34" t="str">
        <f t="shared" si="576"/>
        <v>C:\Users\jaime.benazar\Quorum Business Solutions\Ecopetrol Prometeo - Documents\Planning Space Implementation\3. Analysis &amp; Design\Design\FC22\DRR Jaime\QUIFA-CAJÚA\Cajua\[CAJUA_CF_SEC_New_27-Feb-2024Rev3.xlsx]D-PS'!</v>
      </c>
      <c r="G2474" s="32" t="s">
        <v>115</v>
      </c>
      <c r="H2474" s="33">
        <f t="shared" si="578"/>
        <v>14</v>
      </c>
      <c r="I2474" s="33" t="str">
        <f t="shared" si="577"/>
        <v>='C:\Users\jaime.benazar\Quorum Business Solutions\Ecopetrol Prometeo - Documents\Planning Space Implementation\3. Analysis &amp; Design\Design\FC22\DRR Jaime\QUIFA-CAJÚA\Cajua\[CAJUA_CF_SEC_New_27-Feb-2024Rev3.xlsx]D-PS'!$DC$14</v>
      </c>
      <c r="J2474" s="37" t="s">
        <v>3075</v>
      </c>
    </row>
    <row r="2475" spans="1:10" x14ac:dyDescent="0.25">
      <c r="A2475" s="32" t="s">
        <v>34</v>
      </c>
      <c r="B2475" s="32">
        <f t="shared" si="579"/>
        <v>2026</v>
      </c>
      <c r="C2475" s="33" t="s">
        <v>20</v>
      </c>
      <c r="D2475" s="34" t="s">
        <v>1999</v>
      </c>
      <c r="E2475" s="35" t="str">
        <f t="shared" si="575"/>
        <v>PS'!</v>
      </c>
      <c r="F2475" s="34" t="str">
        <f t="shared" si="576"/>
        <v>C:\Users\jaime.benazar\Quorum Business Solutions\Ecopetrol Prometeo - Documents\Planning Space Implementation\3. Analysis &amp; Design\Design\FC22\DRR Jaime\QUIFA-CAJÚA\Cajua\[CAJUA_CF_SEC_New_27-Feb-2024Rev3.xlsx]D-PS'!</v>
      </c>
      <c r="G2475" s="32" t="s">
        <v>115</v>
      </c>
      <c r="H2475" s="33">
        <f t="shared" si="578"/>
        <v>15</v>
      </c>
      <c r="I2475" s="33" t="str">
        <f t="shared" si="577"/>
        <v>='C:\Users\jaime.benazar\Quorum Business Solutions\Ecopetrol Prometeo - Documents\Planning Space Implementation\3. Analysis &amp; Design\Design\FC22\DRR Jaime\QUIFA-CAJÚA\Cajua\[CAJUA_CF_SEC_New_27-Feb-2024Rev3.xlsx]D-PS'!$DC$15</v>
      </c>
      <c r="J2475" s="37" t="s">
        <v>3076</v>
      </c>
    </row>
    <row r="2476" spans="1:10" x14ac:dyDescent="0.25">
      <c r="A2476" s="32" t="s">
        <v>34</v>
      </c>
      <c r="B2476" s="32">
        <f t="shared" si="579"/>
        <v>2027</v>
      </c>
      <c r="C2476" s="33" t="s">
        <v>20</v>
      </c>
      <c r="D2476" s="34" t="s">
        <v>1999</v>
      </c>
      <c r="E2476" s="35" t="str">
        <f t="shared" si="575"/>
        <v>PS'!</v>
      </c>
      <c r="F2476" s="34" t="str">
        <f t="shared" si="576"/>
        <v>C:\Users\jaime.benazar\Quorum Business Solutions\Ecopetrol Prometeo - Documents\Planning Space Implementation\3. Analysis &amp; Design\Design\FC22\DRR Jaime\QUIFA-CAJÚA\Cajua\[CAJUA_CF_SEC_New_27-Feb-2024Rev3.xlsx]D-PS'!</v>
      </c>
      <c r="G2476" s="32" t="s">
        <v>115</v>
      </c>
      <c r="H2476" s="33">
        <f t="shared" si="578"/>
        <v>16</v>
      </c>
      <c r="I2476" s="33" t="str">
        <f t="shared" si="577"/>
        <v>='C:\Users\jaime.benazar\Quorum Business Solutions\Ecopetrol Prometeo - Documents\Planning Space Implementation\3. Analysis &amp; Design\Design\FC22\DRR Jaime\QUIFA-CAJÚA\Cajua\[CAJUA_CF_SEC_New_27-Feb-2024Rev3.xlsx]D-PS'!$DC$16</v>
      </c>
      <c r="J2476" s="37" t="s">
        <v>3077</v>
      </c>
    </row>
    <row r="2477" spans="1:10" x14ac:dyDescent="0.25">
      <c r="A2477" s="32" t="s">
        <v>34</v>
      </c>
      <c r="B2477" s="32">
        <f t="shared" si="579"/>
        <v>2028</v>
      </c>
      <c r="C2477" s="33" t="s">
        <v>20</v>
      </c>
      <c r="D2477" s="34" t="s">
        <v>1999</v>
      </c>
      <c r="E2477" s="35" t="str">
        <f t="shared" si="575"/>
        <v>PS'!</v>
      </c>
      <c r="F2477" s="34" t="str">
        <f t="shared" si="576"/>
        <v>C:\Users\jaime.benazar\Quorum Business Solutions\Ecopetrol Prometeo - Documents\Planning Space Implementation\3. Analysis &amp; Design\Design\FC22\DRR Jaime\QUIFA-CAJÚA\Cajua\[CAJUA_CF_SEC_New_27-Feb-2024Rev3.xlsx]D-PS'!</v>
      </c>
      <c r="G2477" s="32" t="s">
        <v>115</v>
      </c>
      <c r="H2477" s="33">
        <f t="shared" si="578"/>
        <v>17</v>
      </c>
      <c r="I2477" s="33" t="str">
        <f t="shared" si="577"/>
        <v>='C:\Users\jaime.benazar\Quorum Business Solutions\Ecopetrol Prometeo - Documents\Planning Space Implementation\3. Analysis &amp; Design\Design\FC22\DRR Jaime\QUIFA-CAJÚA\Cajua\[CAJUA_CF_SEC_New_27-Feb-2024Rev3.xlsx]D-PS'!$DC$17</v>
      </c>
      <c r="J2477" s="37" t="s">
        <v>3078</v>
      </c>
    </row>
    <row r="2478" spans="1:10" x14ac:dyDescent="0.25">
      <c r="A2478" s="32" t="s">
        <v>34</v>
      </c>
      <c r="B2478" s="32">
        <f t="shared" si="579"/>
        <v>2029</v>
      </c>
      <c r="C2478" s="33" t="s">
        <v>20</v>
      </c>
      <c r="D2478" s="34" t="s">
        <v>1999</v>
      </c>
      <c r="E2478" s="35" t="str">
        <f t="shared" si="575"/>
        <v>PS'!</v>
      </c>
      <c r="F2478" s="34" t="str">
        <f t="shared" si="576"/>
        <v>C:\Users\jaime.benazar\Quorum Business Solutions\Ecopetrol Prometeo - Documents\Planning Space Implementation\3. Analysis &amp; Design\Design\FC22\DRR Jaime\QUIFA-CAJÚA\Cajua\[CAJUA_CF_SEC_New_27-Feb-2024Rev3.xlsx]D-PS'!</v>
      </c>
      <c r="G2478" s="32" t="s">
        <v>115</v>
      </c>
      <c r="H2478" s="33">
        <f t="shared" si="578"/>
        <v>18</v>
      </c>
      <c r="I2478" s="33" t="str">
        <f t="shared" si="577"/>
        <v>='C:\Users\jaime.benazar\Quorum Business Solutions\Ecopetrol Prometeo - Documents\Planning Space Implementation\3. Analysis &amp; Design\Design\FC22\DRR Jaime\QUIFA-CAJÚA\Cajua\[CAJUA_CF_SEC_New_27-Feb-2024Rev3.xlsx]D-PS'!$DC$18</v>
      </c>
      <c r="J2478" s="37" t="s">
        <v>3079</v>
      </c>
    </row>
    <row r="2479" spans="1:10" x14ac:dyDescent="0.25">
      <c r="A2479" s="32" t="s">
        <v>34</v>
      </c>
      <c r="B2479" s="32">
        <f t="shared" si="579"/>
        <v>2030</v>
      </c>
      <c r="C2479" s="33" t="s">
        <v>20</v>
      </c>
      <c r="D2479" s="34" t="s">
        <v>1999</v>
      </c>
      <c r="E2479" s="35" t="str">
        <f t="shared" si="575"/>
        <v>PS'!</v>
      </c>
      <c r="F2479" s="34" t="str">
        <f t="shared" si="576"/>
        <v>C:\Users\jaime.benazar\Quorum Business Solutions\Ecopetrol Prometeo - Documents\Planning Space Implementation\3. Analysis &amp; Design\Design\FC22\DRR Jaime\QUIFA-CAJÚA\Cajua\[CAJUA_CF_SEC_New_27-Feb-2024Rev3.xlsx]D-PS'!</v>
      </c>
      <c r="G2479" s="32" t="s">
        <v>115</v>
      </c>
      <c r="H2479" s="33">
        <f t="shared" si="578"/>
        <v>19</v>
      </c>
      <c r="I2479" s="33" t="str">
        <f t="shared" si="577"/>
        <v>='C:\Users\jaime.benazar\Quorum Business Solutions\Ecopetrol Prometeo - Documents\Planning Space Implementation\3. Analysis &amp; Design\Design\FC22\DRR Jaime\QUIFA-CAJÚA\Cajua\[CAJUA_CF_SEC_New_27-Feb-2024Rev3.xlsx]D-PS'!$DC$19</v>
      </c>
      <c r="J2479" s="37" t="s">
        <v>3080</v>
      </c>
    </row>
    <row r="2480" spans="1:10" x14ac:dyDescent="0.25">
      <c r="A2480" s="32" t="s">
        <v>34</v>
      </c>
      <c r="B2480" s="32">
        <f t="shared" si="579"/>
        <v>2031</v>
      </c>
      <c r="C2480" s="33" t="s">
        <v>20</v>
      </c>
      <c r="D2480" s="34" t="s">
        <v>1999</v>
      </c>
      <c r="E2480" s="35" t="str">
        <f t="shared" si="575"/>
        <v>PS'!</v>
      </c>
      <c r="F2480" s="34" t="str">
        <f t="shared" si="576"/>
        <v>C:\Users\jaime.benazar\Quorum Business Solutions\Ecopetrol Prometeo - Documents\Planning Space Implementation\3. Analysis &amp; Design\Design\FC22\DRR Jaime\QUIFA-CAJÚA\Cajua\[CAJUA_CF_SEC_New_27-Feb-2024Rev3.xlsx]D-PS'!</v>
      </c>
      <c r="G2480" s="32" t="s">
        <v>115</v>
      </c>
      <c r="H2480" s="33">
        <f t="shared" si="578"/>
        <v>20</v>
      </c>
      <c r="I2480" s="33" t="str">
        <f t="shared" si="577"/>
        <v>='C:\Users\jaime.benazar\Quorum Business Solutions\Ecopetrol Prometeo - Documents\Planning Space Implementation\3. Analysis &amp; Design\Design\FC22\DRR Jaime\QUIFA-CAJÚA\Cajua\[CAJUA_CF_SEC_New_27-Feb-2024Rev3.xlsx]D-PS'!$DC$20</v>
      </c>
      <c r="J2480" s="37" t="s">
        <v>3081</v>
      </c>
    </row>
    <row r="2481" spans="1:10" x14ac:dyDescent="0.25">
      <c r="A2481" s="32" t="s">
        <v>34</v>
      </c>
      <c r="B2481" s="32">
        <f t="shared" si="579"/>
        <v>2032</v>
      </c>
      <c r="C2481" s="33" t="s">
        <v>20</v>
      </c>
      <c r="D2481" s="34" t="s">
        <v>1999</v>
      </c>
      <c r="E2481" s="35" t="str">
        <f t="shared" si="575"/>
        <v>PS'!</v>
      </c>
      <c r="F2481" s="34" t="str">
        <f t="shared" si="576"/>
        <v>C:\Users\jaime.benazar\Quorum Business Solutions\Ecopetrol Prometeo - Documents\Planning Space Implementation\3. Analysis &amp; Design\Design\FC22\DRR Jaime\QUIFA-CAJÚA\Cajua\[CAJUA_CF_SEC_New_27-Feb-2024Rev3.xlsx]D-PS'!</v>
      </c>
      <c r="G2481" s="32" t="s">
        <v>115</v>
      </c>
      <c r="H2481" s="33">
        <f t="shared" si="578"/>
        <v>21</v>
      </c>
      <c r="I2481" s="33" t="str">
        <f t="shared" si="577"/>
        <v>='C:\Users\jaime.benazar\Quorum Business Solutions\Ecopetrol Prometeo - Documents\Planning Space Implementation\3. Analysis &amp; Design\Design\FC22\DRR Jaime\QUIFA-CAJÚA\Cajua\[CAJUA_CF_SEC_New_27-Feb-2024Rev3.xlsx]D-PS'!$DC$21</v>
      </c>
      <c r="J2481" s="37" t="s">
        <v>3082</v>
      </c>
    </row>
    <row r="2482" spans="1:10" x14ac:dyDescent="0.25">
      <c r="A2482" s="32" t="s">
        <v>34</v>
      </c>
      <c r="B2482" s="32">
        <f t="shared" si="579"/>
        <v>2033</v>
      </c>
      <c r="C2482" s="33" t="s">
        <v>20</v>
      </c>
      <c r="D2482" s="34" t="s">
        <v>1999</v>
      </c>
      <c r="E2482" s="35" t="str">
        <f t="shared" si="575"/>
        <v>PS'!</v>
      </c>
      <c r="F2482" s="34" t="str">
        <f t="shared" si="576"/>
        <v>C:\Users\jaime.benazar\Quorum Business Solutions\Ecopetrol Prometeo - Documents\Planning Space Implementation\3. Analysis &amp; Design\Design\FC22\DRR Jaime\QUIFA-CAJÚA\Cajua\[CAJUA_CF_SEC_New_27-Feb-2024Rev3.xlsx]D-PS'!</v>
      </c>
      <c r="G2482" s="32" t="s">
        <v>115</v>
      </c>
      <c r="H2482" s="33">
        <f t="shared" si="578"/>
        <v>22</v>
      </c>
      <c r="I2482" s="33" t="str">
        <f t="shared" si="577"/>
        <v>='C:\Users\jaime.benazar\Quorum Business Solutions\Ecopetrol Prometeo - Documents\Planning Space Implementation\3. Analysis &amp; Design\Design\FC22\DRR Jaime\QUIFA-CAJÚA\Cajua\[CAJUA_CF_SEC_New_27-Feb-2024Rev3.xlsx]D-PS'!$DC$22</v>
      </c>
      <c r="J2482" s="37" t="s">
        <v>3083</v>
      </c>
    </row>
    <row r="2483" spans="1:10" x14ac:dyDescent="0.25">
      <c r="A2483" s="32" t="s">
        <v>34</v>
      </c>
      <c r="B2483" s="32">
        <f t="shared" si="579"/>
        <v>2034</v>
      </c>
      <c r="C2483" s="33" t="s">
        <v>20</v>
      </c>
      <c r="D2483" s="34" t="s">
        <v>1999</v>
      </c>
      <c r="E2483" s="35" t="str">
        <f t="shared" si="575"/>
        <v>PS'!</v>
      </c>
      <c r="F2483" s="34" t="str">
        <f t="shared" si="576"/>
        <v>C:\Users\jaime.benazar\Quorum Business Solutions\Ecopetrol Prometeo - Documents\Planning Space Implementation\3. Analysis &amp; Design\Design\FC22\DRR Jaime\QUIFA-CAJÚA\Cajua\[CAJUA_CF_SEC_New_27-Feb-2024Rev3.xlsx]D-PS'!</v>
      </c>
      <c r="G2483" s="32" t="s">
        <v>115</v>
      </c>
      <c r="H2483" s="33">
        <f t="shared" si="578"/>
        <v>23</v>
      </c>
      <c r="I2483" s="33" t="str">
        <f t="shared" si="577"/>
        <v>='C:\Users\jaime.benazar\Quorum Business Solutions\Ecopetrol Prometeo - Documents\Planning Space Implementation\3. Analysis &amp; Design\Design\FC22\DRR Jaime\QUIFA-CAJÚA\Cajua\[CAJUA_CF_SEC_New_27-Feb-2024Rev3.xlsx]D-PS'!$DC$23</v>
      </c>
      <c r="J2483" s="37" t="s">
        <v>3084</v>
      </c>
    </row>
    <row r="2484" spans="1:10" x14ac:dyDescent="0.25">
      <c r="A2484" s="32" t="s">
        <v>34</v>
      </c>
      <c r="B2484" s="32">
        <f t="shared" si="579"/>
        <v>2035</v>
      </c>
      <c r="C2484" s="33" t="s">
        <v>20</v>
      </c>
      <c r="D2484" s="34" t="s">
        <v>1999</v>
      </c>
      <c r="E2484" s="35" t="str">
        <f t="shared" si="575"/>
        <v>PS'!</v>
      </c>
      <c r="F2484" s="34" t="str">
        <f t="shared" si="576"/>
        <v>C:\Users\jaime.benazar\Quorum Business Solutions\Ecopetrol Prometeo - Documents\Planning Space Implementation\3. Analysis &amp; Design\Design\FC22\DRR Jaime\QUIFA-CAJÚA\Cajua\[CAJUA_CF_SEC_New_27-Feb-2024Rev3.xlsx]D-PS'!</v>
      </c>
      <c r="G2484" s="32" t="s">
        <v>115</v>
      </c>
      <c r="H2484" s="33">
        <f t="shared" si="578"/>
        <v>24</v>
      </c>
      <c r="I2484" s="33" t="str">
        <f t="shared" si="577"/>
        <v>='C:\Users\jaime.benazar\Quorum Business Solutions\Ecopetrol Prometeo - Documents\Planning Space Implementation\3. Analysis &amp; Design\Design\FC22\DRR Jaime\QUIFA-CAJÚA\Cajua\[CAJUA_CF_SEC_New_27-Feb-2024Rev3.xlsx]D-PS'!$DC$24</v>
      </c>
      <c r="J2484" s="37" t="s">
        <v>3085</v>
      </c>
    </row>
    <row r="2485" spans="1:10" x14ac:dyDescent="0.25">
      <c r="A2485" s="32" t="s">
        <v>34</v>
      </c>
      <c r="B2485" s="32">
        <f t="shared" si="579"/>
        <v>2036</v>
      </c>
      <c r="C2485" s="33" t="s">
        <v>20</v>
      </c>
      <c r="D2485" s="34" t="s">
        <v>1999</v>
      </c>
      <c r="E2485" s="35" t="str">
        <f t="shared" si="575"/>
        <v>PS'!</v>
      </c>
      <c r="F2485" s="34" t="str">
        <f t="shared" si="576"/>
        <v>C:\Users\jaime.benazar\Quorum Business Solutions\Ecopetrol Prometeo - Documents\Planning Space Implementation\3. Analysis &amp; Design\Design\FC22\DRR Jaime\QUIFA-CAJÚA\Cajua\[CAJUA_CF_SEC_New_27-Feb-2024Rev3.xlsx]D-PS'!</v>
      </c>
      <c r="G2485" s="32" t="s">
        <v>115</v>
      </c>
      <c r="H2485" s="33">
        <f t="shared" si="578"/>
        <v>25</v>
      </c>
      <c r="I2485" s="33" t="str">
        <f t="shared" si="577"/>
        <v>='C:\Users\jaime.benazar\Quorum Business Solutions\Ecopetrol Prometeo - Documents\Planning Space Implementation\3. Analysis &amp; Design\Design\FC22\DRR Jaime\QUIFA-CAJÚA\Cajua\[CAJUA_CF_SEC_New_27-Feb-2024Rev3.xlsx]D-PS'!$DC$25</v>
      </c>
      <c r="J2485" s="37" t="s">
        <v>3086</v>
      </c>
    </row>
    <row r="2486" spans="1:10" x14ac:dyDescent="0.25">
      <c r="A2486" s="32" t="s">
        <v>34</v>
      </c>
      <c r="B2486" s="32">
        <f>+B2485+1</f>
        <v>2037</v>
      </c>
      <c r="C2486" s="33" t="s">
        <v>20</v>
      </c>
      <c r="D2486" s="34" t="s">
        <v>1999</v>
      </c>
      <c r="E2486" s="35" t="str">
        <f t="shared" si="575"/>
        <v>PS'!</v>
      </c>
      <c r="F2486" s="34" t="str">
        <f t="shared" si="576"/>
        <v>C:\Users\jaime.benazar\Quorum Business Solutions\Ecopetrol Prometeo - Documents\Planning Space Implementation\3. Analysis &amp; Design\Design\FC22\DRR Jaime\QUIFA-CAJÚA\Cajua\[CAJUA_CF_SEC_New_27-Feb-2024Rev3.xlsx]D-PS'!</v>
      </c>
      <c r="G2486" s="32" t="s">
        <v>115</v>
      </c>
      <c r="H2486" s="33">
        <f t="shared" si="578"/>
        <v>26</v>
      </c>
      <c r="I2486" s="33" t="str">
        <f t="shared" si="577"/>
        <v>='C:\Users\jaime.benazar\Quorum Business Solutions\Ecopetrol Prometeo - Documents\Planning Space Implementation\3. Analysis &amp; Design\Design\FC22\DRR Jaime\QUIFA-CAJÚA\Cajua\[CAJUA_CF_SEC_New_27-Feb-2024Rev3.xlsx]D-PS'!$DC$26</v>
      </c>
      <c r="J2486" s="37" t="s">
        <v>3087</v>
      </c>
    </row>
    <row r="2487" spans="1:10" x14ac:dyDescent="0.25">
      <c r="A2487" s="32" t="s">
        <v>34</v>
      </c>
      <c r="B2487" s="32">
        <f t="shared" ref="B2487:B2489" si="580">+B2486+1</f>
        <v>2038</v>
      </c>
      <c r="C2487" s="33" t="s">
        <v>20</v>
      </c>
      <c r="D2487" s="34" t="s">
        <v>1999</v>
      </c>
      <c r="E2487" s="35" t="str">
        <f t="shared" si="575"/>
        <v>PS'!</v>
      </c>
      <c r="F2487" s="34" t="str">
        <f t="shared" si="576"/>
        <v>C:\Users\jaime.benazar\Quorum Business Solutions\Ecopetrol Prometeo - Documents\Planning Space Implementation\3. Analysis &amp; Design\Design\FC22\DRR Jaime\QUIFA-CAJÚA\Cajua\[CAJUA_CF_SEC_New_27-Feb-2024Rev3.xlsx]D-PS'!</v>
      </c>
      <c r="G2487" s="32" t="s">
        <v>115</v>
      </c>
      <c r="H2487" s="33">
        <f t="shared" si="578"/>
        <v>27</v>
      </c>
      <c r="I2487" s="33" t="str">
        <f t="shared" si="577"/>
        <v>='C:\Users\jaime.benazar\Quorum Business Solutions\Ecopetrol Prometeo - Documents\Planning Space Implementation\3. Analysis &amp; Design\Design\FC22\DRR Jaime\QUIFA-CAJÚA\Cajua\[CAJUA_CF_SEC_New_27-Feb-2024Rev3.xlsx]D-PS'!$DC$27</v>
      </c>
      <c r="J2487" s="37" t="s">
        <v>3088</v>
      </c>
    </row>
    <row r="2488" spans="1:10" x14ac:dyDescent="0.25">
      <c r="A2488" s="32" t="s">
        <v>34</v>
      </c>
      <c r="B2488" s="32">
        <f t="shared" si="580"/>
        <v>2039</v>
      </c>
      <c r="C2488" s="33" t="s">
        <v>20</v>
      </c>
      <c r="D2488" s="34" t="s">
        <v>1999</v>
      </c>
      <c r="E2488" s="35" t="str">
        <f t="shared" si="575"/>
        <v>PS'!</v>
      </c>
      <c r="F2488" s="34" t="str">
        <f t="shared" si="576"/>
        <v>C:\Users\jaime.benazar\Quorum Business Solutions\Ecopetrol Prometeo - Documents\Planning Space Implementation\3. Analysis &amp; Design\Design\FC22\DRR Jaime\QUIFA-CAJÚA\Cajua\[CAJUA_CF_SEC_New_27-Feb-2024Rev3.xlsx]D-PS'!</v>
      </c>
      <c r="G2488" s="32" t="s">
        <v>115</v>
      </c>
      <c r="H2488" s="33">
        <f t="shared" si="578"/>
        <v>28</v>
      </c>
      <c r="I2488" s="33" t="str">
        <f t="shared" si="577"/>
        <v>='C:\Users\jaime.benazar\Quorum Business Solutions\Ecopetrol Prometeo - Documents\Planning Space Implementation\3. Analysis &amp; Design\Design\FC22\DRR Jaime\QUIFA-CAJÚA\Cajua\[CAJUA_CF_SEC_New_27-Feb-2024Rev3.xlsx]D-PS'!$DC$28</v>
      </c>
      <c r="J2488" s="37" t="s">
        <v>3089</v>
      </c>
    </row>
    <row r="2489" spans="1:10" x14ac:dyDescent="0.25">
      <c r="A2489" s="32" t="s">
        <v>34</v>
      </c>
      <c r="B2489" s="32">
        <f t="shared" si="580"/>
        <v>2040</v>
      </c>
      <c r="C2489" s="33" t="s">
        <v>20</v>
      </c>
      <c r="D2489" s="34" t="s">
        <v>1999</v>
      </c>
      <c r="E2489" s="35" t="str">
        <f t="shared" si="575"/>
        <v>PS'!</v>
      </c>
      <c r="F2489" s="34" t="str">
        <f t="shared" si="576"/>
        <v>C:\Users\jaime.benazar\Quorum Business Solutions\Ecopetrol Prometeo - Documents\Planning Space Implementation\3. Analysis &amp; Design\Design\FC22\DRR Jaime\QUIFA-CAJÚA\Cajua\[CAJUA_CF_SEC_New_27-Feb-2024Rev3.xlsx]D-PS'!</v>
      </c>
      <c r="G2489" s="32" t="s">
        <v>115</v>
      </c>
      <c r="H2489" s="33">
        <f t="shared" si="578"/>
        <v>29</v>
      </c>
      <c r="I2489" s="33" t="str">
        <f t="shared" si="577"/>
        <v>='C:\Users\jaime.benazar\Quorum Business Solutions\Ecopetrol Prometeo - Documents\Planning Space Implementation\3. Analysis &amp; Design\Design\FC22\DRR Jaime\QUIFA-CAJÚA\Cajua\[CAJUA_CF_SEC_New_27-Feb-2024Rev3.xlsx]D-PS'!$DC$29</v>
      </c>
      <c r="J2489" s="37" t="s">
        <v>3090</v>
      </c>
    </row>
    <row r="2490" spans="1:10" x14ac:dyDescent="0.25">
      <c r="A2490" s="32" t="s">
        <v>34</v>
      </c>
      <c r="B2490" s="32">
        <f>+B2489+1</f>
        <v>2041</v>
      </c>
      <c r="C2490" s="33" t="s">
        <v>20</v>
      </c>
      <c r="D2490" s="34" t="s">
        <v>1999</v>
      </c>
      <c r="E2490" s="35" t="str">
        <f t="shared" si="575"/>
        <v>PS'!</v>
      </c>
      <c r="F2490" s="34" t="str">
        <f t="shared" si="576"/>
        <v>C:\Users\jaime.benazar\Quorum Business Solutions\Ecopetrol Prometeo - Documents\Planning Space Implementation\3. Analysis &amp; Design\Design\FC22\DRR Jaime\QUIFA-CAJÚA\Cajua\[CAJUA_CF_SEC_New_27-Feb-2024Rev3.xlsx]D-PS'!</v>
      </c>
      <c r="G2490" s="32" t="s">
        <v>115</v>
      </c>
      <c r="H2490" s="33">
        <f t="shared" si="578"/>
        <v>30</v>
      </c>
      <c r="I2490" s="33" t="str">
        <f t="shared" si="577"/>
        <v>='C:\Users\jaime.benazar\Quorum Business Solutions\Ecopetrol Prometeo - Documents\Planning Space Implementation\3. Analysis &amp; Design\Design\FC22\DRR Jaime\QUIFA-CAJÚA\Cajua\[CAJUA_CF_SEC_New_27-Feb-2024Rev3.xlsx]D-PS'!$DC$30</v>
      </c>
      <c r="J2490" s="37" t="s">
        <v>3091</v>
      </c>
    </row>
    <row r="2491" spans="1:10" x14ac:dyDescent="0.25">
      <c r="A2491" s="32" t="s">
        <v>34</v>
      </c>
      <c r="B2491" s="32">
        <f t="shared" ref="B2491:B2492" si="581">+B2490+1</f>
        <v>2042</v>
      </c>
      <c r="C2491" s="33" t="s">
        <v>20</v>
      </c>
      <c r="D2491" s="34" t="s">
        <v>1999</v>
      </c>
      <c r="E2491" s="35" t="str">
        <f t="shared" si="575"/>
        <v>PS'!</v>
      </c>
      <c r="F2491" s="34" t="str">
        <f t="shared" si="576"/>
        <v>C:\Users\jaime.benazar\Quorum Business Solutions\Ecopetrol Prometeo - Documents\Planning Space Implementation\3. Analysis &amp; Design\Design\FC22\DRR Jaime\QUIFA-CAJÚA\Cajua\[CAJUA_CF_SEC_New_27-Feb-2024Rev3.xlsx]D-PS'!</v>
      </c>
      <c r="G2491" s="32" t="s">
        <v>115</v>
      </c>
      <c r="H2491" s="33">
        <f t="shared" si="578"/>
        <v>31</v>
      </c>
      <c r="I2491" s="33" t="str">
        <f t="shared" si="577"/>
        <v>='C:\Users\jaime.benazar\Quorum Business Solutions\Ecopetrol Prometeo - Documents\Planning Space Implementation\3. Analysis &amp; Design\Design\FC22\DRR Jaime\QUIFA-CAJÚA\Cajua\[CAJUA_CF_SEC_New_27-Feb-2024Rev3.xlsx]D-PS'!$DC$31</v>
      </c>
      <c r="J2491" s="37" t="s">
        <v>3092</v>
      </c>
    </row>
    <row r="2492" spans="1:10" x14ac:dyDescent="0.25">
      <c r="A2492" s="32" t="s">
        <v>34</v>
      </c>
      <c r="B2492" s="32">
        <f t="shared" si="581"/>
        <v>2043</v>
      </c>
      <c r="C2492" s="33" t="s">
        <v>20</v>
      </c>
      <c r="D2492" s="34" t="s">
        <v>1999</v>
      </c>
      <c r="E2492" s="35" t="str">
        <f t="shared" si="575"/>
        <v>PS'!</v>
      </c>
      <c r="F2492" s="34" t="str">
        <f t="shared" si="576"/>
        <v>C:\Users\jaime.benazar\Quorum Business Solutions\Ecopetrol Prometeo - Documents\Planning Space Implementation\3. Analysis &amp; Design\Design\FC22\DRR Jaime\QUIFA-CAJÚA\Cajua\[CAJUA_CF_SEC_New_27-Feb-2024Rev3.xlsx]D-PS'!</v>
      </c>
      <c r="G2492" s="32" t="s">
        <v>115</v>
      </c>
      <c r="H2492" s="33">
        <f t="shared" si="578"/>
        <v>32</v>
      </c>
      <c r="I2492" s="33" t="str">
        <f t="shared" si="577"/>
        <v>='C:\Users\jaime.benazar\Quorum Business Solutions\Ecopetrol Prometeo - Documents\Planning Space Implementation\3. Analysis &amp; Design\Design\FC22\DRR Jaime\QUIFA-CAJÚA\Cajua\[CAJUA_CF_SEC_New_27-Feb-2024Rev3.xlsx]D-PS'!$DC$32</v>
      </c>
      <c r="J2492" s="37" t="s">
        <v>3093</v>
      </c>
    </row>
    <row r="2493" spans="1:10" x14ac:dyDescent="0.25">
      <c r="A2493" s="32" t="s">
        <v>34</v>
      </c>
      <c r="B2493" s="32">
        <f>+B2492+1</f>
        <v>2044</v>
      </c>
      <c r="C2493" s="33" t="s">
        <v>20</v>
      </c>
      <c r="D2493" s="34" t="s">
        <v>1999</v>
      </c>
      <c r="E2493" s="35" t="str">
        <f t="shared" ref="E2493:E2508" si="582">_xlfn.CONCAT(A2493,"'!")</f>
        <v>PS'!</v>
      </c>
      <c r="F2493" s="34" t="str">
        <f t="shared" ref="F2493:F2508" si="583">_xlfn.CONCAT(D2493:E2493)</f>
        <v>C:\Users\jaime.benazar\Quorum Business Solutions\Ecopetrol Prometeo - Documents\Planning Space Implementation\3. Analysis &amp; Design\Design\FC22\DRR Jaime\QUIFA-CAJÚA\Cajua\[CAJUA_CF_SEC_New_27-Feb-2024Rev3.xlsx]D-PS'!</v>
      </c>
      <c r="G2493" s="32" t="s">
        <v>115</v>
      </c>
      <c r="H2493" s="33">
        <f t="shared" ref="H2493:H2508" si="584">IF(A2493&lt;&gt;A2492,12,H2492+1)</f>
        <v>33</v>
      </c>
      <c r="I2493" s="33" t="str">
        <f t="shared" si="577"/>
        <v>='C:\Users\jaime.benazar\Quorum Business Solutions\Ecopetrol Prometeo - Documents\Planning Space Implementation\3. Analysis &amp; Design\Design\FC22\DRR Jaime\QUIFA-CAJÚA\Cajua\[CAJUA_CF_SEC_New_27-Feb-2024Rev3.xlsx]D-PS'!$DC$33</v>
      </c>
      <c r="J2493" s="37" t="s">
        <v>3094</v>
      </c>
    </row>
    <row r="2494" spans="1:10" x14ac:dyDescent="0.25">
      <c r="A2494" s="32" t="s">
        <v>34</v>
      </c>
      <c r="B2494" s="32">
        <f t="shared" ref="B2494:B2508" si="585">+B2493+1</f>
        <v>2045</v>
      </c>
      <c r="C2494" s="33" t="s">
        <v>20</v>
      </c>
      <c r="D2494" s="34" t="s">
        <v>1999</v>
      </c>
      <c r="E2494" s="35" t="str">
        <f t="shared" si="582"/>
        <v>PS'!</v>
      </c>
      <c r="F2494" s="34" t="str">
        <f t="shared" si="583"/>
        <v>C:\Users\jaime.benazar\Quorum Business Solutions\Ecopetrol Prometeo - Documents\Planning Space Implementation\3. Analysis &amp; Design\Design\FC22\DRR Jaime\QUIFA-CAJÚA\Cajua\[CAJUA_CF_SEC_New_27-Feb-2024Rev3.xlsx]D-PS'!</v>
      </c>
      <c r="G2494" s="32" t="s">
        <v>115</v>
      </c>
      <c r="H2494" s="33">
        <f t="shared" si="584"/>
        <v>34</v>
      </c>
      <c r="I2494" s="33" t="str">
        <f t="shared" si="577"/>
        <v>='C:\Users\jaime.benazar\Quorum Business Solutions\Ecopetrol Prometeo - Documents\Planning Space Implementation\3. Analysis &amp; Design\Design\FC22\DRR Jaime\QUIFA-CAJÚA\Cajua\[CAJUA_CF_SEC_New_27-Feb-2024Rev3.xlsx]D-PS'!$DC$34</v>
      </c>
      <c r="J2494" s="37" t="s">
        <v>3095</v>
      </c>
    </row>
    <row r="2495" spans="1:10" x14ac:dyDescent="0.25">
      <c r="A2495" s="32" t="s">
        <v>34</v>
      </c>
      <c r="B2495" s="32">
        <f t="shared" si="585"/>
        <v>2046</v>
      </c>
      <c r="C2495" s="33" t="s">
        <v>20</v>
      </c>
      <c r="D2495" s="34" t="s">
        <v>1999</v>
      </c>
      <c r="E2495" s="35" t="str">
        <f t="shared" si="582"/>
        <v>PS'!</v>
      </c>
      <c r="F2495" s="34" t="str">
        <f t="shared" si="583"/>
        <v>C:\Users\jaime.benazar\Quorum Business Solutions\Ecopetrol Prometeo - Documents\Planning Space Implementation\3. Analysis &amp; Design\Design\FC22\DRR Jaime\QUIFA-CAJÚA\Cajua\[CAJUA_CF_SEC_New_27-Feb-2024Rev3.xlsx]D-PS'!</v>
      </c>
      <c r="G2495" s="32" t="s">
        <v>115</v>
      </c>
      <c r="H2495" s="33">
        <f t="shared" si="584"/>
        <v>35</v>
      </c>
      <c r="I2495" s="33" t="str">
        <f t="shared" si="577"/>
        <v>='C:\Users\jaime.benazar\Quorum Business Solutions\Ecopetrol Prometeo - Documents\Planning Space Implementation\3. Analysis &amp; Design\Design\FC22\DRR Jaime\QUIFA-CAJÚA\Cajua\[CAJUA_CF_SEC_New_27-Feb-2024Rev3.xlsx]D-PS'!$DC$35</v>
      </c>
      <c r="J2495" s="37" t="s">
        <v>3096</v>
      </c>
    </row>
    <row r="2496" spans="1:10" x14ac:dyDescent="0.25">
      <c r="A2496" s="32" t="s">
        <v>34</v>
      </c>
      <c r="B2496" s="32">
        <f t="shared" si="585"/>
        <v>2047</v>
      </c>
      <c r="C2496" s="33" t="s">
        <v>20</v>
      </c>
      <c r="D2496" s="34" t="s">
        <v>1999</v>
      </c>
      <c r="E2496" s="35" t="str">
        <f t="shared" si="582"/>
        <v>PS'!</v>
      </c>
      <c r="F2496" s="34" t="str">
        <f t="shared" si="583"/>
        <v>C:\Users\jaime.benazar\Quorum Business Solutions\Ecopetrol Prometeo - Documents\Planning Space Implementation\3. Analysis &amp; Design\Design\FC22\DRR Jaime\QUIFA-CAJÚA\Cajua\[CAJUA_CF_SEC_New_27-Feb-2024Rev3.xlsx]D-PS'!</v>
      </c>
      <c r="G2496" s="32" t="s">
        <v>115</v>
      </c>
      <c r="H2496" s="33">
        <f t="shared" si="584"/>
        <v>36</v>
      </c>
      <c r="I2496" s="33" t="str">
        <f t="shared" si="577"/>
        <v>='C:\Users\jaime.benazar\Quorum Business Solutions\Ecopetrol Prometeo - Documents\Planning Space Implementation\3. Analysis &amp; Design\Design\FC22\DRR Jaime\QUIFA-CAJÚA\Cajua\[CAJUA_CF_SEC_New_27-Feb-2024Rev3.xlsx]D-PS'!$DC$36</v>
      </c>
      <c r="J2496" s="37" t="s">
        <v>3097</v>
      </c>
    </row>
    <row r="2497" spans="1:10" x14ac:dyDescent="0.25">
      <c r="A2497" s="32" t="s">
        <v>34</v>
      </c>
      <c r="B2497" s="32">
        <f t="shared" si="585"/>
        <v>2048</v>
      </c>
      <c r="C2497" s="33" t="s">
        <v>20</v>
      </c>
      <c r="D2497" s="34" t="s">
        <v>1999</v>
      </c>
      <c r="E2497" s="35" t="str">
        <f t="shared" si="582"/>
        <v>PS'!</v>
      </c>
      <c r="F2497" s="34" t="str">
        <f t="shared" si="583"/>
        <v>C:\Users\jaime.benazar\Quorum Business Solutions\Ecopetrol Prometeo - Documents\Planning Space Implementation\3. Analysis &amp; Design\Design\FC22\DRR Jaime\QUIFA-CAJÚA\Cajua\[CAJUA_CF_SEC_New_27-Feb-2024Rev3.xlsx]D-PS'!</v>
      </c>
      <c r="G2497" s="32" t="s">
        <v>115</v>
      </c>
      <c r="H2497" s="33">
        <f t="shared" si="584"/>
        <v>37</v>
      </c>
      <c r="I2497" s="33" t="str">
        <f t="shared" si="577"/>
        <v>='C:\Users\jaime.benazar\Quorum Business Solutions\Ecopetrol Prometeo - Documents\Planning Space Implementation\3. Analysis &amp; Design\Design\FC22\DRR Jaime\QUIFA-CAJÚA\Cajua\[CAJUA_CF_SEC_New_27-Feb-2024Rev3.xlsx]D-PS'!$DC$37</v>
      </c>
      <c r="J2497" s="37" t="s">
        <v>3098</v>
      </c>
    </row>
    <row r="2498" spans="1:10" x14ac:dyDescent="0.25">
      <c r="A2498" s="32" t="s">
        <v>34</v>
      </c>
      <c r="B2498" s="32">
        <f t="shared" si="585"/>
        <v>2049</v>
      </c>
      <c r="C2498" s="33" t="s">
        <v>20</v>
      </c>
      <c r="D2498" s="34" t="s">
        <v>1999</v>
      </c>
      <c r="E2498" s="35" t="str">
        <f t="shared" si="582"/>
        <v>PS'!</v>
      </c>
      <c r="F2498" s="34" t="str">
        <f t="shared" si="583"/>
        <v>C:\Users\jaime.benazar\Quorum Business Solutions\Ecopetrol Prometeo - Documents\Planning Space Implementation\3. Analysis &amp; Design\Design\FC22\DRR Jaime\QUIFA-CAJÚA\Cajua\[CAJUA_CF_SEC_New_27-Feb-2024Rev3.xlsx]D-PS'!</v>
      </c>
      <c r="G2498" s="32" t="s">
        <v>115</v>
      </c>
      <c r="H2498" s="33">
        <f t="shared" si="584"/>
        <v>38</v>
      </c>
      <c r="I2498" s="33" t="str">
        <f t="shared" si="577"/>
        <v>='C:\Users\jaime.benazar\Quorum Business Solutions\Ecopetrol Prometeo - Documents\Planning Space Implementation\3. Analysis &amp; Design\Design\FC22\DRR Jaime\QUIFA-CAJÚA\Cajua\[CAJUA_CF_SEC_New_27-Feb-2024Rev3.xlsx]D-PS'!$DC$38</v>
      </c>
      <c r="J2498" s="37" t="s">
        <v>3099</v>
      </c>
    </row>
    <row r="2499" spans="1:10" x14ac:dyDescent="0.25">
      <c r="A2499" s="32" t="s">
        <v>34</v>
      </c>
      <c r="B2499" s="32">
        <f t="shared" si="585"/>
        <v>2050</v>
      </c>
      <c r="C2499" s="33" t="s">
        <v>20</v>
      </c>
      <c r="D2499" s="34" t="s">
        <v>1999</v>
      </c>
      <c r="E2499" s="35" t="str">
        <f t="shared" si="582"/>
        <v>PS'!</v>
      </c>
      <c r="F2499" s="34" t="str">
        <f t="shared" si="583"/>
        <v>C:\Users\jaime.benazar\Quorum Business Solutions\Ecopetrol Prometeo - Documents\Planning Space Implementation\3. Analysis &amp; Design\Design\FC22\DRR Jaime\QUIFA-CAJÚA\Cajua\[CAJUA_CF_SEC_New_27-Feb-2024Rev3.xlsx]D-PS'!</v>
      </c>
      <c r="G2499" s="32" t="s">
        <v>115</v>
      </c>
      <c r="H2499" s="33">
        <f t="shared" si="584"/>
        <v>39</v>
      </c>
      <c r="I2499" s="33" t="str">
        <f t="shared" si="577"/>
        <v>='C:\Users\jaime.benazar\Quorum Business Solutions\Ecopetrol Prometeo - Documents\Planning Space Implementation\3. Analysis &amp; Design\Design\FC22\DRR Jaime\QUIFA-CAJÚA\Cajua\[CAJUA_CF_SEC_New_27-Feb-2024Rev3.xlsx]D-PS'!$DC$39</v>
      </c>
      <c r="J2499" s="37" t="s">
        <v>3100</v>
      </c>
    </row>
    <row r="2500" spans="1:10" x14ac:dyDescent="0.25">
      <c r="A2500" s="32" t="s">
        <v>34</v>
      </c>
      <c r="B2500" s="32">
        <f t="shared" si="585"/>
        <v>2051</v>
      </c>
      <c r="C2500" s="33" t="s">
        <v>20</v>
      </c>
      <c r="D2500" s="34" t="s">
        <v>1999</v>
      </c>
      <c r="E2500" s="35" t="str">
        <f t="shared" si="582"/>
        <v>PS'!</v>
      </c>
      <c r="F2500" s="34" t="str">
        <f t="shared" si="583"/>
        <v>C:\Users\jaime.benazar\Quorum Business Solutions\Ecopetrol Prometeo - Documents\Planning Space Implementation\3. Analysis &amp; Design\Design\FC22\DRR Jaime\QUIFA-CAJÚA\Cajua\[CAJUA_CF_SEC_New_27-Feb-2024Rev3.xlsx]D-PS'!</v>
      </c>
      <c r="G2500" s="32" t="s">
        <v>115</v>
      </c>
      <c r="H2500" s="33">
        <f t="shared" si="584"/>
        <v>40</v>
      </c>
      <c r="I2500" s="33" t="str">
        <f t="shared" si="577"/>
        <v>='C:\Users\jaime.benazar\Quorum Business Solutions\Ecopetrol Prometeo - Documents\Planning Space Implementation\3. Analysis &amp; Design\Design\FC22\DRR Jaime\QUIFA-CAJÚA\Cajua\[CAJUA_CF_SEC_New_27-Feb-2024Rev3.xlsx]D-PS'!$DC$40</v>
      </c>
      <c r="J2500" s="37" t="s">
        <v>3101</v>
      </c>
    </row>
    <row r="2501" spans="1:10" x14ac:dyDescent="0.25">
      <c r="A2501" s="32" t="s">
        <v>34</v>
      </c>
      <c r="B2501" s="32">
        <f t="shared" si="585"/>
        <v>2052</v>
      </c>
      <c r="C2501" s="33" t="s">
        <v>20</v>
      </c>
      <c r="D2501" s="34" t="s">
        <v>1999</v>
      </c>
      <c r="E2501" s="35" t="str">
        <f t="shared" si="582"/>
        <v>PS'!</v>
      </c>
      <c r="F2501" s="34" t="str">
        <f t="shared" si="583"/>
        <v>C:\Users\jaime.benazar\Quorum Business Solutions\Ecopetrol Prometeo - Documents\Planning Space Implementation\3. Analysis &amp; Design\Design\FC22\DRR Jaime\QUIFA-CAJÚA\Cajua\[CAJUA_CF_SEC_New_27-Feb-2024Rev3.xlsx]D-PS'!</v>
      </c>
      <c r="G2501" s="32" t="s">
        <v>115</v>
      </c>
      <c r="H2501" s="33">
        <f t="shared" si="584"/>
        <v>41</v>
      </c>
      <c r="I2501" s="33" t="str">
        <f t="shared" si="577"/>
        <v>='C:\Users\jaime.benazar\Quorum Business Solutions\Ecopetrol Prometeo - Documents\Planning Space Implementation\3. Analysis &amp; Design\Design\FC22\DRR Jaime\QUIFA-CAJÚA\Cajua\[CAJUA_CF_SEC_New_27-Feb-2024Rev3.xlsx]D-PS'!$DC$41</v>
      </c>
      <c r="J2501" s="37" t="s">
        <v>3102</v>
      </c>
    </row>
    <row r="2502" spans="1:10" x14ac:dyDescent="0.25">
      <c r="A2502" s="32" t="s">
        <v>34</v>
      </c>
      <c r="B2502" s="32">
        <f t="shared" si="585"/>
        <v>2053</v>
      </c>
      <c r="C2502" s="33" t="s">
        <v>20</v>
      </c>
      <c r="D2502" s="34" t="s">
        <v>1999</v>
      </c>
      <c r="E2502" s="35" t="str">
        <f t="shared" si="582"/>
        <v>PS'!</v>
      </c>
      <c r="F2502" s="34" t="str">
        <f t="shared" si="583"/>
        <v>C:\Users\jaime.benazar\Quorum Business Solutions\Ecopetrol Prometeo - Documents\Planning Space Implementation\3. Analysis &amp; Design\Design\FC22\DRR Jaime\QUIFA-CAJÚA\Cajua\[CAJUA_CF_SEC_New_27-Feb-2024Rev3.xlsx]D-PS'!</v>
      </c>
      <c r="G2502" s="32" t="s">
        <v>115</v>
      </c>
      <c r="H2502" s="33">
        <f t="shared" si="584"/>
        <v>42</v>
      </c>
      <c r="I2502" s="33" t="str">
        <f t="shared" si="577"/>
        <v>='C:\Users\jaime.benazar\Quorum Business Solutions\Ecopetrol Prometeo - Documents\Planning Space Implementation\3. Analysis &amp; Design\Design\FC22\DRR Jaime\QUIFA-CAJÚA\Cajua\[CAJUA_CF_SEC_New_27-Feb-2024Rev3.xlsx]D-PS'!$DC$42</v>
      </c>
      <c r="J2502" s="37" t="s">
        <v>3103</v>
      </c>
    </row>
    <row r="2503" spans="1:10" x14ac:dyDescent="0.25">
      <c r="A2503" s="32" t="s">
        <v>34</v>
      </c>
      <c r="B2503" s="32">
        <f t="shared" si="585"/>
        <v>2054</v>
      </c>
      <c r="C2503" s="33" t="s">
        <v>20</v>
      </c>
      <c r="D2503" s="34" t="s">
        <v>1999</v>
      </c>
      <c r="E2503" s="35" t="str">
        <f t="shared" si="582"/>
        <v>PS'!</v>
      </c>
      <c r="F2503" s="34" t="str">
        <f t="shared" si="583"/>
        <v>C:\Users\jaime.benazar\Quorum Business Solutions\Ecopetrol Prometeo - Documents\Planning Space Implementation\3. Analysis &amp; Design\Design\FC22\DRR Jaime\QUIFA-CAJÚA\Cajua\[CAJUA_CF_SEC_New_27-Feb-2024Rev3.xlsx]D-PS'!</v>
      </c>
      <c r="G2503" s="32" t="s">
        <v>115</v>
      </c>
      <c r="H2503" s="33">
        <f t="shared" si="584"/>
        <v>43</v>
      </c>
      <c r="I2503" s="33" t="str">
        <f t="shared" si="577"/>
        <v>='C:\Users\jaime.benazar\Quorum Business Solutions\Ecopetrol Prometeo - Documents\Planning Space Implementation\3. Analysis &amp; Design\Design\FC22\DRR Jaime\QUIFA-CAJÚA\Cajua\[CAJUA_CF_SEC_New_27-Feb-2024Rev3.xlsx]D-PS'!$DC$43</v>
      </c>
      <c r="J2503" s="37" t="s">
        <v>3104</v>
      </c>
    </row>
    <row r="2504" spans="1:10" x14ac:dyDescent="0.25">
      <c r="A2504" s="32" t="s">
        <v>34</v>
      </c>
      <c r="B2504" s="32">
        <f t="shared" si="585"/>
        <v>2055</v>
      </c>
      <c r="C2504" s="33" t="s">
        <v>20</v>
      </c>
      <c r="D2504" s="34" t="s">
        <v>1999</v>
      </c>
      <c r="E2504" s="35" t="str">
        <f t="shared" si="582"/>
        <v>PS'!</v>
      </c>
      <c r="F2504" s="34" t="str">
        <f t="shared" si="583"/>
        <v>C:\Users\jaime.benazar\Quorum Business Solutions\Ecopetrol Prometeo - Documents\Planning Space Implementation\3. Analysis &amp; Design\Design\FC22\DRR Jaime\QUIFA-CAJÚA\Cajua\[CAJUA_CF_SEC_New_27-Feb-2024Rev3.xlsx]D-PS'!</v>
      </c>
      <c r="G2504" s="32" t="s">
        <v>115</v>
      </c>
      <c r="H2504" s="33">
        <f t="shared" si="584"/>
        <v>44</v>
      </c>
      <c r="I2504" s="33" t="str">
        <f t="shared" si="577"/>
        <v>='C:\Users\jaime.benazar\Quorum Business Solutions\Ecopetrol Prometeo - Documents\Planning Space Implementation\3. Analysis &amp; Design\Design\FC22\DRR Jaime\QUIFA-CAJÚA\Cajua\[CAJUA_CF_SEC_New_27-Feb-2024Rev3.xlsx]D-PS'!$DC$44</v>
      </c>
      <c r="J2504" s="37" t="s">
        <v>3105</v>
      </c>
    </row>
    <row r="2505" spans="1:10" x14ac:dyDescent="0.25">
      <c r="A2505" s="32" t="s">
        <v>34</v>
      </c>
      <c r="B2505" s="32">
        <f t="shared" si="585"/>
        <v>2056</v>
      </c>
      <c r="C2505" s="33" t="s">
        <v>20</v>
      </c>
      <c r="D2505" s="34" t="s">
        <v>1999</v>
      </c>
      <c r="E2505" s="35" t="str">
        <f t="shared" si="582"/>
        <v>PS'!</v>
      </c>
      <c r="F2505" s="34" t="str">
        <f t="shared" si="583"/>
        <v>C:\Users\jaime.benazar\Quorum Business Solutions\Ecopetrol Prometeo - Documents\Planning Space Implementation\3. Analysis &amp; Design\Design\FC22\DRR Jaime\QUIFA-CAJÚA\Cajua\[CAJUA_CF_SEC_New_27-Feb-2024Rev3.xlsx]D-PS'!</v>
      </c>
      <c r="G2505" s="32" t="s">
        <v>115</v>
      </c>
      <c r="H2505" s="33">
        <f t="shared" si="584"/>
        <v>45</v>
      </c>
      <c r="I2505" s="33" t="str">
        <f t="shared" si="577"/>
        <v>='C:\Users\jaime.benazar\Quorum Business Solutions\Ecopetrol Prometeo - Documents\Planning Space Implementation\3. Analysis &amp; Design\Design\FC22\DRR Jaime\QUIFA-CAJÚA\Cajua\[CAJUA_CF_SEC_New_27-Feb-2024Rev3.xlsx]D-PS'!$DC$45</v>
      </c>
      <c r="J2505" s="37" t="s">
        <v>3106</v>
      </c>
    </row>
    <row r="2506" spans="1:10" x14ac:dyDescent="0.25">
      <c r="A2506" s="32" t="s">
        <v>34</v>
      </c>
      <c r="B2506" s="32">
        <f t="shared" si="585"/>
        <v>2057</v>
      </c>
      <c r="C2506" s="33" t="s">
        <v>20</v>
      </c>
      <c r="D2506" s="34" t="s">
        <v>1999</v>
      </c>
      <c r="E2506" s="35" t="str">
        <f t="shared" si="582"/>
        <v>PS'!</v>
      </c>
      <c r="F2506" s="34" t="str">
        <f t="shared" si="583"/>
        <v>C:\Users\jaime.benazar\Quorum Business Solutions\Ecopetrol Prometeo - Documents\Planning Space Implementation\3. Analysis &amp; Design\Design\FC22\DRR Jaime\QUIFA-CAJÚA\Cajua\[CAJUA_CF_SEC_New_27-Feb-2024Rev3.xlsx]D-PS'!</v>
      </c>
      <c r="G2506" s="32" t="s">
        <v>115</v>
      </c>
      <c r="H2506" s="33">
        <f t="shared" si="584"/>
        <v>46</v>
      </c>
      <c r="I2506" s="33" t="str">
        <f t="shared" si="577"/>
        <v>='C:\Users\jaime.benazar\Quorum Business Solutions\Ecopetrol Prometeo - Documents\Planning Space Implementation\3. Analysis &amp; Design\Design\FC22\DRR Jaime\QUIFA-CAJÚA\Cajua\[CAJUA_CF_SEC_New_27-Feb-2024Rev3.xlsx]D-PS'!$DC$46</v>
      </c>
      <c r="J2506" s="37" t="s">
        <v>3107</v>
      </c>
    </row>
    <row r="2507" spans="1:10" x14ac:dyDescent="0.25">
      <c r="A2507" s="32" t="s">
        <v>34</v>
      </c>
      <c r="B2507" s="32">
        <f t="shared" si="585"/>
        <v>2058</v>
      </c>
      <c r="C2507" s="33" t="s">
        <v>20</v>
      </c>
      <c r="D2507" s="34" t="s">
        <v>1999</v>
      </c>
      <c r="E2507" s="35" t="str">
        <f t="shared" si="582"/>
        <v>PS'!</v>
      </c>
      <c r="F2507" s="34" t="str">
        <f t="shared" si="583"/>
        <v>C:\Users\jaime.benazar\Quorum Business Solutions\Ecopetrol Prometeo - Documents\Planning Space Implementation\3. Analysis &amp; Design\Design\FC22\DRR Jaime\QUIFA-CAJÚA\Cajua\[CAJUA_CF_SEC_New_27-Feb-2024Rev3.xlsx]D-PS'!</v>
      </c>
      <c r="G2507" s="32" t="s">
        <v>115</v>
      </c>
      <c r="H2507" s="33">
        <f t="shared" si="584"/>
        <v>47</v>
      </c>
      <c r="I2507" s="33" t="str">
        <f t="shared" si="577"/>
        <v>='C:\Users\jaime.benazar\Quorum Business Solutions\Ecopetrol Prometeo - Documents\Planning Space Implementation\3. Analysis &amp; Design\Design\FC22\DRR Jaime\QUIFA-CAJÚA\Cajua\[CAJUA_CF_SEC_New_27-Feb-2024Rev3.xlsx]D-PS'!$DC$47</v>
      </c>
      <c r="J2507" s="37" t="s">
        <v>3108</v>
      </c>
    </row>
    <row r="2508" spans="1:10" x14ac:dyDescent="0.25">
      <c r="A2508" s="32" t="s">
        <v>34</v>
      </c>
      <c r="B2508" s="32">
        <f t="shared" si="585"/>
        <v>2059</v>
      </c>
      <c r="C2508" s="33" t="s">
        <v>20</v>
      </c>
      <c r="D2508" s="34" t="s">
        <v>1999</v>
      </c>
      <c r="E2508" s="35" t="str">
        <f t="shared" si="582"/>
        <v>PS'!</v>
      </c>
      <c r="F2508" s="34" t="str">
        <f t="shared" si="583"/>
        <v>C:\Users\jaime.benazar\Quorum Business Solutions\Ecopetrol Prometeo - Documents\Planning Space Implementation\3. Analysis &amp; Design\Design\FC22\DRR Jaime\QUIFA-CAJÚA\Cajua\[CAJUA_CF_SEC_New_27-Feb-2024Rev3.xlsx]D-PS'!</v>
      </c>
      <c r="G2508" s="32" t="s">
        <v>115</v>
      </c>
      <c r="H2508" s="33">
        <f t="shared" si="584"/>
        <v>48</v>
      </c>
      <c r="I2508" s="33" t="str">
        <f t="shared" si="577"/>
        <v>='C:\Users\jaime.benazar\Quorum Business Solutions\Ecopetrol Prometeo - Documents\Planning Space Implementation\3. Analysis &amp; Design\Design\FC22\DRR Jaime\QUIFA-CAJÚA\Cajua\[CAJUA_CF_SEC_New_27-Feb-2024Rev3.xlsx]D-PS'!$DC$48</v>
      </c>
      <c r="J2508" s="37" t="s">
        <v>3109</v>
      </c>
    </row>
    <row r="2509" spans="1:10" x14ac:dyDescent="0.25">
      <c r="A2509" s="32" t="s">
        <v>28</v>
      </c>
      <c r="B2509" s="32"/>
      <c r="C2509" s="33" t="s">
        <v>20</v>
      </c>
      <c r="D2509" s="34"/>
      <c r="E2509" s="35"/>
      <c r="F2509" s="34"/>
      <c r="G2509" s="32"/>
      <c r="H2509" s="33"/>
      <c r="I2509" s="33"/>
      <c r="J2509" s="33"/>
    </row>
    <row r="2510" spans="1:10" x14ac:dyDescent="0.25">
      <c r="A2510" s="32" t="s">
        <v>1</v>
      </c>
      <c r="B2510" s="32">
        <v>2023</v>
      </c>
      <c r="C2510" s="33" t="s">
        <v>23</v>
      </c>
      <c r="D2510" s="34" t="s">
        <v>1999</v>
      </c>
      <c r="E2510" s="35" t="str">
        <f t="shared" ref="E2510:E2530" si="586">_xlfn.CONCAT(A2510,"'!")</f>
        <v>PDP'!</v>
      </c>
      <c r="F2510" s="34" t="str">
        <f t="shared" ref="F2510:F2530" si="587">_xlfn.CONCAT(D2510:E2510)</f>
        <v>C:\Users\jaime.benazar\Quorum Business Solutions\Ecopetrol Prometeo - Documents\Planning Space Implementation\3. Analysis &amp; Design\Design\FC22\DRR Jaime\QUIFA-CAJÚA\Cajua\[CAJUA_CF_SEC_New_27-Feb-2024Rev3.xlsx]D-PDP'!</v>
      </c>
      <c r="G2510" s="32" t="s">
        <v>116</v>
      </c>
      <c r="H2510" s="33">
        <v>12</v>
      </c>
      <c r="I2510" s="33" t="str">
        <f>_xlfn.CONCAT("='",F2510:H2510)</f>
        <v>='C:\Users\jaime.benazar\Quorum Business Solutions\Ecopetrol Prometeo - Documents\Planning Space Implementation\3. Analysis &amp; Design\Design\FC22\DRR Jaime\QUIFA-CAJÚA\Cajua\[CAJUA_CF_SEC_New_27-Feb-2024Rev3.xlsx]D-PDP'!$EA$12</v>
      </c>
      <c r="J2510" s="37" t="s">
        <v>3110</v>
      </c>
    </row>
    <row r="2511" spans="1:10" x14ac:dyDescent="0.25">
      <c r="A2511" s="32" t="s">
        <v>1</v>
      </c>
      <c r="B2511" s="32">
        <f>+B2510+1</f>
        <v>2024</v>
      </c>
      <c r="C2511" s="33" t="s">
        <v>23</v>
      </c>
      <c r="D2511" s="34" t="s">
        <v>1999</v>
      </c>
      <c r="E2511" s="35" t="str">
        <f t="shared" si="586"/>
        <v>PDP'!</v>
      </c>
      <c r="F2511" s="34" t="str">
        <f t="shared" si="587"/>
        <v>C:\Users\jaime.benazar\Quorum Business Solutions\Ecopetrol Prometeo - Documents\Planning Space Implementation\3. Analysis &amp; Design\Design\FC22\DRR Jaime\QUIFA-CAJÚA\Cajua\[CAJUA_CF_SEC_New_27-Feb-2024Rev3.xlsx]D-PDP'!</v>
      </c>
      <c r="G2511" s="32" t="s">
        <v>116</v>
      </c>
      <c r="H2511" s="33">
        <f t="shared" ref="H2511:H2530" si="588">IF(A2511&lt;&gt;A2510,12,H2510+1)</f>
        <v>13</v>
      </c>
      <c r="I2511" s="33" t="str">
        <f t="shared" ref="I2511:I2530" si="589">_xlfn.CONCAT("='",F2511:H2511)</f>
        <v>='C:\Users\jaime.benazar\Quorum Business Solutions\Ecopetrol Prometeo - Documents\Planning Space Implementation\3. Analysis &amp; Design\Design\FC22\DRR Jaime\QUIFA-CAJÚA\Cajua\[CAJUA_CF_SEC_New_27-Feb-2024Rev3.xlsx]D-PDP'!$EA$13</v>
      </c>
      <c r="J2511" s="37" t="s">
        <v>3111</v>
      </c>
    </row>
    <row r="2512" spans="1:10" x14ac:dyDescent="0.25">
      <c r="A2512" s="32" t="s">
        <v>1</v>
      </c>
      <c r="B2512" s="32">
        <f t="shared" ref="B2512:B2523" si="590">+B2511+1</f>
        <v>2025</v>
      </c>
      <c r="C2512" s="33" t="s">
        <v>23</v>
      </c>
      <c r="D2512" s="34" t="s">
        <v>1999</v>
      </c>
      <c r="E2512" s="35" t="str">
        <f t="shared" si="586"/>
        <v>PDP'!</v>
      </c>
      <c r="F2512" s="34" t="str">
        <f t="shared" si="587"/>
        <v>C:\Users\jaime.benazar\Quorum Business Solutions\Ecopetrol Prometeo - Documents\Planning Space Implementation\3. Analysis &amp; Design\Design\FC22\DRR Jaime\QUIFA-CAJÚA\Cajua\[CAJUA_CF_SEC_New_27-Feb-2024Rev3.xlsx]D-PDP'!</v>
      </c>
      <c r="G2512" s="32" t="s">
        <v>116</v>
      </c>
      <c r="H2512" s="33">
        <f t="shared" si="588"/>
        <v>14</v>
      </c>
      <c r="I2512" s="33" t="str">
        <f t="shared" si="589"/>
        <v>='C:\Users\jaime.benazar\Quorum Business Solutions\Ecopetrol Prometeo - Documents\Planning Space Implementation\3. Analysis &amp; Design\Design\FC22\DRR Jaime\QUIFA-CAJÚA\Cajua\[CAJUA_CF_SEC_New_27-Feb-2024Rev3.xlsx]D-PDP'!$EA$14</v>
      </c>
      <c r="J2512" s="37" t="s">
        <v>3112</v>
      </c>
    </row>
    <row r="2513" spans="1:10" x14ac:dyDescent="0.25">
      <c r="A2513" s="32" t="s">
        <v>1</v>
      </c>
      <c r="B2513" s="32">
        <f t="shared" si="590"/>
        <v>2026</v>
      </c>
      <c r="C2513" s="33" t="s">
        <v>23</v>
      </c>
      <c r="D2513" s="34" t="s">
        <v>1999</v>
      </c>
      <c r="E2513" s="35" t="str">
        <f t="shared" si="586"/>
        <v>PDP'!</v>
      </c>
      <c r="F2513" s="34" t="str">
        <f t="shared" si="587"/>
        <v>C:\Users\jaime.benazar\Quorum Business Solutions\Ecopetrol Prometeo - Documents\Planning Space Implementation\3. Analysis &amp; Design\Design\FC22\DRR Jaime\QUIFA-CAJÚA\Cajua\[CAJUA_CF_SEC_New_27-Feb-2024Rev3.xlsx]D-PDP'!</v>
      </c>
      <c r="G2513" s="32" t="s">
        <v>116</v>
      </c>
      <c r="H2513" s="33">
        <f t="shared" si="588"/>
        <v>15</v>
      </c>
      <c r="I2513" s="33" t="str">
        <f t="shared" si="589"/>
        <v>='C:\Users\jaime.benazar\Quorum Business Solutions\Ecopetrol Prometeo - Documents\Planning Space Implementation\3. Analysis &amp; Design\Design\FC22\DRR Jaime\QUIFA-CAJÚA\Cajua\[CAJUA_CF_SEC_New_27-Feb-2024Rev3.xlsx]D-PDP'!$EA$15</v>
      </c>
      <c r="J2513" s="37" t="s">
        <v>3113</v>
      </c>
    </row>
    <row r="2514" spans="1:10" x14ac:dyDescent="0.25">
      <c r="A2514" s="32" t="s">
        <v>1</v>
      </c>
      <c r="B2514" s="32">
        <f t="shared" si="590"/>
        <v>2027</v>
      </c>
      <c r="C2514" s="33" t="s">
        <v>23</v>
      </c>
      <c r="D2514" s="34" t="s">
        <v>1999</v>
      </c>
      <c r="E2514" s="35" t="str">
        <f t="shared" si="586"/>
        <v>PDP'!</v>
      </c>
      <c r="F2514" s="34" t="str">
        <f t="shared" si="587"/>
        <v>C:\Users\jaime.benazar\Quorum Business Solutions\Ecopetrol Prometeo - Documents\Planning Space Implementation\3. Analysis &amp; Design\Design\FC22\DRR Jaime\QUIFA-CAJÚA\Cajua\[CAJUA_CF_SEC_New_27-Feb-2024Rev3.xlsx]D-PDP'!</v>
      </c>
      <c r="G2514" s="32" t="s">
        <v>116</v>
      </c>
      <c r="H2514" s="33">
        <f t="shared" si="588"/>
        <v>16</v>
      </c>
      <c r="I2514" s="33" t="str">
        <f t="shared" si="589"/>
        <v>='C:\Users\jaime.benazar\Quorum Business Solutions\Ecopetrol Prometeo - Documents\Planning Space Implementation\3. Analysis &amp; Design\Design\FC22\DRR Jaime\QUIFA-CAJÚA\Cajua\[CAJUA_CF_SEC_New_27-Feb-2024Rev3.xlsx]D-PDP'!$EA$16</v>
      </c>
      <c r="J2514" s="37" t="s">
        <v>3114</v>
      </c>
    </row>
    <row r="2515" spans="1:10" x14ac:dyDescent="0.25">
      <c r="A2515" s="32" t="s">
        <v>1</v>
      </c>
      <c r="B2515" s="32">
        <f t="shared" si="590"/>
        <v>2028</v>
      </c>
      <c r="C2515" s="33" t="s">
        <v>23</v>
      </c>
      <c r="D2515" s="34" t="s">
        <v>1999</v>
      </c>
      <c r="E2515" s="35" t="str">
        <f t="shared" si="586"/>
        <v>PDP'!</v>
      </c>
      <c r="F2515" s="34" t="str">
        <f t="shared" si="587"/>
        <v>C:\Users\jaime.benazar\Quorum Business Solutions\Ecopetrol Prometeo - Documents\Planning Space Implementation\3. Analysis &amp; Design\Design\FC22\DRR Jaime\QUIFA-CAJÚA\Cajua\[CAJUA_CF_SEC_New_27-Feb-2024Rev3.xlsx]D-PDP'!</v>
      </c>
      <c r="G2515" s="32" t="s">
        <v>116</v>
      </c>
      <c r="H2515" s="33">
        <f t="shared" si="588"/>
        <v>17</v>
      </c>
      <c r="I2515" s="33" t="str">
        <f t="shared" si="589"/>
        <v>='C:\Users\jaime.benazar\Quorum Business Solutions\Ecopetrol Prometeo - Documents\Planning Space Implementation\3. Analysis &amp; Design\Design\FC22\DRR Jaime\QUIFA-CAJÚA\Cajua\[CAJUA_CF_SEC_New_27-Feb-2024Rev3.xlsx]D-PDP'!$EA$17</v>
      </c>
      <c r="J2515" s="37" t="s">
        <v>3115</v>
      </c>
    </row>
    <row r="2516" spans="1:10" x14ac:dyDescent="0.25">
      <c r="A2516" s="32" t="s">
        <v>1</v>
      </c>
      <c r="B2516" s="32">
        <f t="shared" si="590"/>
        <v>2029</v>
      </c>
      <c r="C2516" s="33" t="s">
        <v>23</v>
      </c>
      <c r="D2516" s="34" t="s">
        <v>1999</v>
      </c>
      <c r="E2516" s="35" t="str">
        <f t="shared" si="586"/>
        <v>PDP'!</v>
      </c>
      <c r="F2516" s="34" t="str">
        <f t="shared" si="587"/>
        <v>C:\Users\jaime.benazar\Quorum Business Solutions\Ecopetrol Prometeo - Documents\Planning Space Implementation\3. Analysis &amp; Design\Design\FC22\DRR Jaime\QUIFA-CAJÚA\Cajua\[CAJUA_CF_SEC_New_27-Feb-2024Rev3.xlsx]D-PDP'!</v>
      </c>
      <c r="G2516" s="32" t="s">
        <v>116</v>
      </c>
      <c r="H2516" s="33">
        <f t="shared" si="588"/>
        <v>18</v>
      </c>
      <c r="I2516" s="33" t="str">
        <f t="shared" si="589"/>
        <v>='C:\Users\jaime.benazar\Quorum Business Solutions\Ecopetrol Prometeo - Documents\Planning Space Implementation\3. Analysis &amp; Design\Design\FC22\DRR Jaime\QUIFA-CAJÚA\Cajua\[CAJUA_CF_SEC_New_27-Feb-2024Rev3.xlsx]D-PDP'!$EA$18</v>
      </c>
      <c r="J2516" s="37" t="s">
        <v>3116</v>
      </c>
    </row>
    <row r="2517" spans="1:10" x14ac:dyDescent="0.25">
      <c r="A2517" s="32" t="s">
        <v>1</v>
      </c>
      <c r="B2517" s="32">
        <f t="shared" si="590"/>
        <v>2030</v>
      </c>
      <c r="C2517" s="33" t="s">
        <v>23</v>
      </c>
      <c r="D2517" s="34" t="s">
        <v>1999</v>
      </c>
      <c r="E2517" s="35" t="str">
        <f t="shared" si="586"/>
        <v>PDP'!</v>
      </c>
      <c r="F2517" s="34" t="str">
        <f t="shared" si="587"/>
        <v>C:\Users\jaime.benazar\Quorum Business Solutions\Ecopetrol Prometeo - Documents\Planning Space Implementation\3. Analysis &amp; Design\Design\FC22\DRR Jaime\QUIFA-CAJÚA\Cajua\[CAJUA_CF_SEC_New_27-Feb-2024Rev3.xlsx]D-PDP'!</v>
      </c>
      <c r="G2517" s="32" t="s">
        <v>116</v>
      </c>
      <c r="H2517" s="33">
        <f t="shared" si="588"/>
        <v>19</v>
      </c>
      <c r="I2517" s="33" t="str">
        <f t="shared" si="589"/>
        <v>='C:\Users\jaime.benazar\Quorum Business Solutions\Ecopetrol Prometeo - Documents\Planning Space Implementation\3. Analysis &amp; Design\Design\FC22\DRR Jaime\QUIFA-CAJÚA\Cajua\[CAJUA_CF_SEC_New_27-Feb-2024Rev3.xlsx]D-PDP'!$EA$19</v>
      </c>
      <c r="J2517" s="37" t="s">
        <v>3117</v>
      </c>
    </row>
    <row r="2518" spans="1:10" x14ac:dyDescent="0.25">
      <c r="A2518" s="32" t="s">
        <v>1</v>
      </c>
      <c r="B2518" s="32">
        <f t="shared" si="590"/>
        <v>2031</v>
      </c>
      <c r="C2518" s="33" t="s">
        <v>23</v>
      </c>
      <c r="D2518" s="34" t="s">
        <v>1999</v>
      </c>
      <c r="E2518" s="35" t="str">
        <f t="shared" si="586"/>
        <v>PDP'!</v>
      </c>
      <c r="F2518" s="34" t="str">
        <f t="shared" si="587"/>
        <v>C:\Users\jaime.benazar\Quorum Business Solutions\Ecopetrol Prometeo - Documents\Planning Space Implementation\3. Analysis &amp; Design\Design\FC22\DRR Jaime\QUIFA-CAJÚA\Cajua\[CAJUA_CF_SEC_New_27-Feb-2024Rev3.xlsx]D-PDP'!</v>
      </c>
      <c r="G2518" s="32" t="s">
        <v>116</v>
      </c>
      <c r="H2518" s="33">
        <f t="shared" si="588"/>
        <v>20</v>
      </c>
      <c r="I2518" s="33" t="str">
        <f t="shared" si="589"/>
        <v>='C:\Users\jaime.benazar\Quorum Business Solutions\Ecopetrol Prometeo - Documents\Planning Space Implementation\3. Analysis &amp; Design\Design\FC22\DRR Jaime\QUIFA-CAJÚA\Cajua\[CAJUA_CF_SEC_New_27-Feb-2024Rev3.xlsx]D-PDP'!$EA$20</v>
      </c>
      <c r="J2518" s="37" t="s">
        <v>3118</v>
      </c>
    </row>
    <row r="2519" spans="1:10" x14ac:dyDescent="0.25">
      <c r="A2519" s="32" t="s">
        <v>1</v>
      </c>
      <c r="B2519" s="32">
        <f t="shared" si="590"/>
        <v>2032</v>
      </c>
      <c r="C2519" s="33" t="s">
        <v>23</v>
      </c>
      <c r="D2519" s="34" t="s">
        <v>1999</v>
      </c>
      <c r="E2519" s="35" t="str">
        <f t="shared" si="586"/>
        <v>PDP'!</v>
      </c>
      <c r="F2519" s="34" t="str">
        <f t="shared" si="587"/>
        <v>C:\Users\jaime.benazar\Quorum Business Solutions\Ecopetrol Prometeo - Documents\Planning Space Implementation\3. Analysis &amp; Design\Design\FC22\DRR Jaime\QUIFA-CAJÚA\Cajua\[CAJUA_CF_SEC_New_27-Feb-2024Rev3.xlsx]D-PDP'!</v>
      </c>
      <c r="G2519" s="32" t="s">
        <v>116</v>
      </c>
      <c r="H2519" s="33">
        <f t="shared" si="588"/>
        <v>21</v>
      </c>
      <c r="I2519" s="33" t="str">
        <f t="shared" si="589"/>
        <v>='C:\Users\jaime.benazar\Quorum Business Solutions\Ecopetrol Prometeo - Documents\Planning Space Implementation\3. Analysis &amp; Design\Design\FC22\DRR Jaime\QUIFA-CAJÚA\Cajua\[CAJUA_CF_SEC_New_27-Feb-2024Rev3.xlsx]D-PDP'!$EA$21</v>
      </c>
      <c r="J2519" s="37" t="s">
        <v>3119</v>
      </c>
    </row>
    <row r="2520" spans="1:10" x14ac:dyDescent="0.25">
      <c r="A2520" s="32" t="s">
        <v>1</v>
      </c>
      <c r="B2520" s="32">
        <f t="shared" si="590"/>
        <v>2033</v>
      </c>
      <c r="C2520" s="33" t="s">
        <v>23</v>
      </c>
      <c r="D2520" s="34" t="s">
        <v>1999</v>
      </c>
      <c r="E2520" s="35" t="str">
        <f t="shared" si="586"/>
        <v>PDP'!</v>
      </c>
      <c r="F2520" s="34" t="str">
        <f t="shared" si="587"/>
        <v>C:\Users\jaime.benazar\Quorum Business Solutions\Ecopetrol Prometeo - Documents\Planning Space Implementation\3. Analysis &amp; Design\Design\FC22\DRR Jaime\QUIFA-CAJÚA\Cajua\[CAJUA_CF_SEC_New_27-Feb-2024Rev3.xlsx]D-PDP'!</v>
      </c>
      <c r="G2520" s="32" t="s">
        <v>116</v>
      </c>
      <c r="H2520" s="33">
        <f t="shared" si="588"/>
        <v>22</v>
      </c>
      <c r="I2520" s="33" t="str">
        <f t="shared" si="589"/>
        <v>='C:\Users\jaime.benazar\Quorum Business Solutions\Ecopetrol Prometeo - Documents\Planning Space Implementation\3. Analysis &amp; Design\Design\FC22\DRR Jaime\QUIFA-CAJÚA\Cajua\[CAJUA_CF_SEC_New_27-Feb-2024Rev3.xlsx]D-PDP'!$EA$22</v>
      </c>
      <c r="J2520" s="37" t="s">
        <v>3120</v>
      </c>
    </row>
    <row r="2521" spans="1:10" x14ac:dyDescent="0.25">
      <c r="A2521" s="32" t="s">
        <v>1</v>
      </c>
      <c r="B2521" s="32">
        <f t="shared" si="590"/>
        <v>2034</v>
      </c>
      <c r="C2521" s="33" t="s">
        <v>23</v>
      </c>
      <c r="D2521" s="34" t="s">
        <v>1999</v>
      </c>
      <c r="E2521" s="35" t="str">
        <f t="shared" si="586"/>
        <v>PDP'!</v>
      </c>
      <c r="F2521" s="34" t="str">
        <f t="shared" si="587"/>
        <v>C:\Users\jaime.benazar\Quorum Business Solutions\Ecopetrol Prometeo - Documents\Planning Space Implementation\3. Analysis &amp; Design\Design\FC22\DRR Jaime\QUIFA-CAJÚA\Cajua\[CAJUA_CF_SEC_New_27-Feb-2024Rev3.xlsx]D-PDP'!</v>
      </c>
      <c r="G2521" s="32" t="s">
        <v>116</v>
      </c>
      <c r="H2521" s="33">
        <f t="shared" si="588"/>
        <v>23</v>
      </c>
      <c r="I2521" s="33" t="str">
        <f t="shared" si="589"/>
        <v>='C:\Users\jaime.benazar\Quorum Business Solutions\Ecopetrol Prometeo - Documents\Planning Space Implementation\3. Analysis &amp; Design\Design\FC22\DRR Jaime\QUIFA-CAJÚA\Cajua\[CAJUA_CF_SEC_New_27-Feb-2024Rev3.xlsx]D-PDP'!$EA$23</v>
      </c>
      <c r="J2521" s="37" t="s">
        <v>3121</v>
      </c>
    </row>
    <row r="2522" spans="1:10" x14ac:dyDescent="0.25">
      <c r="A2522" s="32" t="s">
        <v>1</v>
      </c>
      <c r="B2522" s="32">
        <f t="shared" si="590"/>
        <v>2035</v>
      </c>
      <c r="C2522" s="33" t="s">
        <v>23</v>
      </c>
      <c r="D2522" s="34" t="s">
        <v>1999</v>
      </c>
      <c r="E2522" s="35" t="str">
        <f t="shared" si="586"/>
        <v>PDP'!</v>
      </c>
      <c r="F2522" s="34" t="str">
        <f t="shared" si="587"/>
        <v>C:\Users\jaime.benazar\Quorum Business Solutions\Ecopetrol Prometeo - Documents\Planning Space Implementation\3. Analysis &amp; Design\Design\FC22\DRR Jaime\QUIFA-CAJÚA\Cajua\[CAJUA_CF_SEC_New_27-Feb-2024Rev3.xlsx]D-PDP'!</v>
      </c>
      <c r="G2522" s="32" t="s">
        <v>116</v>
      </c>
      <c r="H2522" s="33">
        <f t="shared" si="588"/>
        <v>24</v>
      </c>
      <c r="I2522" s="33" t="str">
        <f t="shared" si="589"/>
        <v>='C:\Users\jaime.benazar\Quorum Business Solutions\Ecopetrol Prometeo - Documents\Planning Space Implementation\3. Analysis &amp; Design\Design\FC22\DRR Jaime\QUIFA-CAJÚA\Cajua\[CAJUA_CF_SEC_New_27-Feb-2024Rev3.xlsx]D-PDP'!$EA$24</v>
      </c>
      <c r="J2522" s="37" t="s">
        <v>3122</v>
      </c>
    </row>
    <row r="2523" spans="1:10" x14ac:dyDescent="0.25">
      <c r="A2523" s="32" t="s">
        <v>1</v>
      </c>
      <c r="B2523" s="32">
        <f t="shared" si="590"/>
        <v>2036</v>
      </c>
      <c r="C2523" s="33" t="s">
        <v>23</v>
      </c>
      <c r="D2523" s="34" t="s">
        <v>1999</v>
      </c>
      <c r="E2523" s="35" t="str">
        <f t="shared" si="586"/>
        <v>PDP'!</v>
      </c>
      <c r="F2523" s="34" t="str">
        <f t="shared" si="587"/>
        <v>C:\Users\jaime.benazar\Quorum Business Solutions\Ecopetrol Prometeo - Documents\Planning Space Implementation\3. Analysis &amp; Design\Design\FC22\DRR Jaime\QUIFA-CAJÚA\Cajua\[CAJUA_CF_SEC_New_27-Feb-2024Rev3.xlsx]D-PDP'!</v>
      </c>
      <c r="G2523" s="32" t="s">
        <v>116</v>
      </c>
      <c r="H2523" s="33">
        <f t="shared" si="588"/>
        <v>25</v>
      </c>
      <c r="I2523" s="33" t="str">
        <f t="shared" si="589"/>
        <v>='C:\Users\jaime.benazar\Quorum Business Solutions\Ecopetrol Prometeo - Documents\Planning Space Implementation\3. Analysis &amp; Design\Design\FC22\DRR Jaime\QUIFA-CAJÚA\Cajua\[CAJUA_CF_SEC_New_27-Feb-2024Rev3.xlsx]D-PDP'!$EA$25</v>
      </c>
      <c r="J2523" s="37" t="s">
        <v>3123</v>
      </c>
    </row>
    <row r="2524" spans="1:10" x14ac:dyDescent="0.25">
      <c r="A2524" s="32" t="s">
        <v>1</v>
      </c>
      <c r="B2524" s="32">
        <f>+B2523+1</f>
        <v>2037</v>
      </c>
      <c r="C2524" s="33" t="s">
        <v>23</v>
      </c>
      <c r="D2524" s="34" t="s">
        <v>1999</v>
      </c>
      <c r="E2524" s="35" t="str">
        <f t="shared" si="586"/>
        <v>PDP'!</v>
      </c>
      <c r="F2524" s="34" t="str">
        <f t="shared" si="587"/>
        <v>C:\Users\jaime.benazar\Quorum Business Solutions\Ecopetrol Prometeo - Documents\Planning Space Implementation\3. Analysis &amp; Design\Design\FC22\DRR Jaime\QUIFA-CAJÚA\Cajua\[CAJUA_CF_SEC_New_27-Feb-2024Rev3.xlsx]D-PDP'!</v>
      </c>
      <c r="G2524" s="32" t="s">
        <v>116</v>
      </c>
      <c r="H2524" s="33">
        <f t="shared" si="588"/>
        <v>26</v>
      </c>
      <c r="I2524" s="33" t="str">
        <f t="shared" si="589"/>
        <v>='C:\Users\jaime.benazar\Quorum Business Solutions\Ecopetrol Prometeo - Documents\Planning Space Implementation\3. Analysis &amp; Design\Design\FC22\DRR Jaime\QUIFA-CAJÚA\Cajua\[CAJUA_CF_SEC_New_27-Feb-2024Rev3.xlsx]D-PDP'!$EA$26</v>
      </c>
      <c r="J2524" s="37" t="s">
        <v>3124</v>
      </c>
    </row>
    <row r="2525" spans="1:10" x14ac:dyDescent="0.25">
      <c r="A2525" s="32" t="s">
        <v>1</v>
      </c>
      <c r="B2525" s="32">
        <f t="shared" ref="B2525:B2527" si="591">+B2524+1</f>
        <v>2038</v>
      </c>
      <c r="C2525" s="33" t="s">
        <v>23</v>
      </c>
      <c r="D2525" s="34" t="s">
        <v>1999</v>
      </c>
      <c r="E2525" s="35" t="str">
        <f t="shared" si="586"/>
        <v>PDP'!</v>
      </c>
      <c r="F2525" s="34" t="str">
        <f t="shared" si="587"/>
        <v>C:\Users\jaime.benazar\Quorum Business Solutions\Ecopetrol Prometeo - Documents\Planning Space Implementation\3. Analysis &amp; Design\Design\FC22\DRR Jaime\QUIFA-CAJÚA\Cajua\[CAJUA_CF_SEC_New_27-Feb-2024Rev3.xlsx]D-PDP'!</v>
      </c>
      <c r="G2525" s="32" t="s">
        <v>116</v>
      </c>
      <c r="H2525" s="33">
        <f t="shared" si="588"/>
        <v>27</v>
      </c>
      <c r="I2525" s="33" t="str">
        <f t="shared" si="589"/>
        <v>='C:\Users\jaime.benazar\Quorum Business Solutions\Ecopetrol Prometeo - Documents\Planning Space Implementation\3. Analysis &amp; Design\Design\FC22\DRR Jaime\QUIFA-CAJÚA\Cajua\[CAJUA_CF_SEC_New_27-Feb-2024Rev3.xlsx]D-PDP'!$EA$27</v>
      </c>
      <c r="J2525" s="37" t="s">
        <v>3125</v>
      </c>
    </row>
    <row r="2526" spans="1:10" x14ac:dyDescent="0.25">
      <c r="A2526" s="32" t="s">
        <v>1</v>
      </c>
      <c r="B2526" s="32">
        <f t="shared" si="591"/>
        <v>2039</v>
      </c>
      <c r="C2526" s="33" t="s">
        <v>23</v>
      </c>
      <c r="D2526" s="34" t="s">
        <v>1999</v>
      </c>
      <c r="E2526" s="35" t="str">
        <f t="shared" si="586"/>
        <v>PDP'!</v>
      </c>
      <c r="F2526" s="34" t="str">
        <f t="shared" si="587"/>
        <v>C:\Users\jaime.benazar\Quorum Business Solutions\Ecopetrol Prometeo - Documents\Planning Space Implementation\3. Analysis &amp; Design\Design\FC22\DRR Jaime\QUIFA-CAJÚA\Cajua\[CAJUA_CF_SEC_New_27-Feb-2024Rev3.xlsx]D-PDP'!</v>
      </c>
      <c r="G2526" s="32" t="s">
        <v>116</v>
      </c>
      <c r="H2526" s="33">
        <f t="shared" si="588"/>
        <v>28</v>
      </c>
      <c r="I2526" s="33" t="str">
        <f t="shared" si="589"/>
        <v>='C:\Users\jaime.benazar\Quorum Business Solutions\Ecopetrol Prometeo - Documents\Planning Space Implementation\3. Analysis &amp; Design\Design\FC22\DRR Jaime\QUIFA-CAJÚA\Cajua\[CAJUA_CF_SEC_New_27-Feb-2024Rev3.xlsx]D-PDP'!$EA$28</v>
      </c>
      <c r="J2526" s="37" t="s">
        <v>3126</v>
      </c>
    </row>
    <row r="2527" spans="1:10" x14ac:dyDescent="0.25">
      <c r="A2527" s="32" t="s">
        <v>1</v>
      </c>
      <c r="B2527" s="32">
        <f t="shared" si="591"/>
        <v>2040</v>
      </c>
      <c r="C2527" s="33" t="s">
        <v>23</v>
      </c>
      <c r="D2527" s="34" t="s">
        <v>1999</v>
      </c>
      <c r="E2527" s="35" t="str">
        <f t="shared" si="586"/>
        <v>PDP'!</v>
      </c>
      <c r="F2527" s="34" t="str">
        <f t="shared" si="587"/>
        <v>C:\Users\jaime.benazar\Quorum Business Solutions\Ecopetrol Prometeo - Documents\Planning Space Implementation\3. Analysis &amp; Design\Design\FC22\DRR Jaime\QUIFA-CAJÚA\Cajua\[CAJUA_CF_SEC_New_27-Feb-2024Rev3.xlsx]D-PDP'!</v>
      </c>
      <c r="G2527" s="32" t="s">
        <v>116</v>
      </c>
      <c r="H2527" s="33">
        <f t="shared" si="588"/>
        <v>29</v>
      </c>
      <c r="I2527" s="33" t="str">
        <f t="shared" si="589"/>
        <v>='C:\Users\jaime.benazar\Quorum Business Solutions\Ecopetrol Prometeo - Documents\Planning Space Implementation\3. Analysis &amp; Design\Design\FC22\DRR Jaime\QUIFA-CAJÚA\Cajua\[CAJUA_CF_SEC_New_27-Feb-2024Rev3.xlsx]D-PDP'!$EA$29</v>
      </c>
      <c r="J2527" s="37" t="s">
        <v>3127</v>
      </c>
    </row>
    <row r="2528" spans="1:10" x14ac:dyDescent="0.25">
      <c r="A2528" s="32" t="s">
        <v>1</v>
      </c>
      <c r="B2528" s="32">
        <f>+B2527+1</f>
        <v>2041</v>
      </c>
      <c r="C2528" s="33" t="s">
        <v>23</v>
      </c>
      <c r="D2528" s="34" t="s">
        <v>1999</v>
      </c>
      <c r="E2528" s="35" t="str">
        <f t="shared" si="586"/>
        <v>PDP'!</v>
      </c>
      <c r="F2528" s="34" t="str">
        <f t="shared" si="587"/>
        <v>C:\Users\jaime.benazar\Quorum Business Solutions\Ecopetrol Prometeo - Documents\Planning Space Implementation\3. Analysis &amp; Design\Design\FC22\DRR Jaime\QUIFA-CAJÚA\Cajua\[CAJUA_CF_SEC_New_27-Feb-2024Rev3.xlsx]D-PDP'!</v>
      </c>
      <c r="G2528" s="32" t="s">
        <v>116</v>
      </c>
      <c r="H2528" s="33">
        <f t="shared" si="588"/>
        <v>30</v>
      </c>
      <c r="I2528" s="33" t="str">
        <f t="shared" si="589"/>
        <v>='C:\Users\jaime.benazar\Quorum Business Solutions\Ecopetrol Prometeo - Documents\Planning Space Implementation\3. Analysis &amp; Design\Design\FC22\DRR Jaime\QUIFA-CAJÚA\Cajua\[CAJUA_CF_SEC_New_27-Feb-2024Rev3.xlsx]D-PDP'!$EA$30</v>
      </c>
      <c r="J2528" s="37" t="s">
        <v>3128</v>
      </c>
    </row>
    <row r="2529" spans="1:10" x14ac:dyDescent="0.25">
      <c r="A2529" s="32" t="s">
        <v>1</v>
      </c>
      <c r="B2529" s="32">
        <f t="shared" ref="B2529:B2530" si="592">+B2528+1</f>
        <v>2042</v>
      </c>
      <c r="C2529" s="33" t="s">
        <v>23</v>
      </c>
      <c r="D2529" s="34" t="s">
        <v>1999</v>
      </c>
      <c r="E2529" s="35" t="str">
        <f t="shared" si="586"/>
        <v>PDP'!</v>
      </c>
      <c r="F2529" s="34" t="str">
        <f t="shared" si="587"/>
        <v>C:\Users\jaime.benazar\Quorum Business Solutions\Ecopetrol Prometeo - Documents\Planning Space Implementation\3. Analysis &amp; Design\Design\FC22\DRR Jaime\QUIFA-CAJÚA\Cajua\[CAJUA_CF_SEC_New_27-Feb-2024Rev3.xlsx]D-PDP'!</v>
      </c>
      <c r="G2529" s="32" t="s">
        <v>116</v>
      </c>
      <c r="H2529" s="33">
        <f t="shared" si="588"/>
        <v>31</v>
      </c>
      <c r="I2529" s="33" t="str">
        <f t="shared" si="589"/>
        <v>='C:\Users\jaime.benazar\Quorum Business Solutions\Ecopetrol Prometeo - Documents\Planning Space Implementation\3. Analysis &amp; Design\Design\FC22\DRR Jaime\QUIFA-CAJÚA\Cajua\[CAJUA_CF_SEC_New_27-Feb-2024Rev3.xlsx]D-PDP'!$EA$31</v>
      </c>
      <c r="J2529" s="37" t="s">
        <v>3129</v>
      </c>
    </row>
    <row r="2530" spans="1:10" x14ac:dyDescent="0.25">
      <c r="A2530" s="32" t="s">
        <v>1</v>
      </c>
      <c r="B2530" s="32">
        <f t="shared" si="592"/>
        <v>2043</v>
      </c>
      <c r="C2530" s="33" t="s">
        <v>23</v>
      </c>
      <c r="D2530" s="34" t="s">
        <v>1999</v>
      </c>
      <c r="E2530" s="35" t="str">
        <f t="shared" si="586"/>
        <v>PDP'!</v>
      </c>
      <c r="F2530" s="34" t="str">
        <f t="shared" si="587"/>
        <v>C:\Users\jaime.benazar\Quorum Business Solutions\Ecopetrol Prometeo - Documents\Planning Space Implementation\3. Analysis &amp; Design\Design\FC22\DRR Jaime\QUIFA-CAJÚA\Cajua\[CAJUA_CF_SEC_New_27-Feb-2024Rev3.xlsx]D-PDP'!</v>
      </c>
      <c r="G2530" s="32" t="s">
        <v>116</v>
      </c>
      <c r="H2530" s="33">
        <f t="shared" si="588"/>
        <v>32</v>
      </c>
      <c r="I2530" s="33" t="str">
        <f t="shared" si="589"/>
        <v>='C:\Users\jaime.benazar\Quorum Business Solutions\Ecopetrol Prometeo - Documents\Planning Space Implementation\3. Analysis &amp; Design\Design\FC22\DRR Jaime\QUIFA-CAJÚA\Cajua\[CAJUA_CF_SEC_New_27-Feb-2024Rev3.xlsx]D-PDP'!$EA$32</v>
      </c>
      <c r="J2530" s="37" t="s">
        <v>3130</v>
      </c>
    </row>
    <row r="2531" spans="1:10" x14ac:dyDescent="0.25">
      <c r="A2531" s="32" t="s">
        <v>1</v>
      </c>
      <c r="B2531" s="32">
        <f>+B2530+1</f>
        <v>2044</v>
      </c>
      <c r="C2531" s="33" t="s">
        <v>23</v>
      </c>
      <c r="D2531" s="34" t="s">
        <v>1999</v>
      </c>
      <c r="E2531" s="35" t="str">
        <f t="shared" ref="E2531:E2546" si="593">_xlfn.CONCAT(A2531,"'!")</f>
        <v>PDP'!</v>
      </c>
      <c r="F2531" s="34" t="str">
        <f t="shared" ref="F2531:F2546" si="594">_xlfn.CONCAT(D2531:E2531)</f>
        <v>C:\Users\jaime.benazar\Quorum Business Solutions\Ecopetrol Prometeo - Documents\Planning Space Implementation\3. Analysis &amp; Design\Design\FC22\DRR Jaime\QUIFA-CAJÚA\Cajua\[CAJUA_CF_SEC_New_27-Feb-2024Rev3.xlsx]D-PDP'!</v>
      </c>
      <c r="G2531" s="32" t="s">
        <v>116</v>
      </c>
      <c r="H2531" s="33">
        <f t="shared" ref="H2531:H2546" si="595">IF(A2531&lt;&gt;A2530,12,H2530+1)</f>
        <v>33</v>
      </c>
      <c r="I2531" s="33" t="str">
        <f t="shared" ref="I2531:I2546" si="596">_xlfn.CONCAT("='",F2531:H2531)</f>
        <v>='C:\Users\jaime.benazar\Quorum Business Solutions\Ecopetrol Prometeo - Documents\Planning Space Implementation\3. Analysis &amp; Design\Design\FC22\DRR Jaime\QUIFA-CAJÚA\Cajua\[CAJUA_CF_SEC_New_27-Feb-2024Rev3.xlsx]D-PDP'!$EA$33</v>
      </c>
      <c r="J2531" s="37" t="s">
        <v>3131</v>
      </c>
    </row>
    <row r="2532" spans="1:10" x14ac:dyDescent="0.25">
      <c r="A2532" s="32" t="s">
        <v>1</v>
      </c>
      <c r="B2532" s="32">
        <f t="shared" ref="B2532:B2546" si="597">+B2531+1</f>
        <v>2045</v>
      </c>
      <c r="C2532" s="33" t="s">
        <v>23</v>
      </c>
      <c r="D2532" s="34" t="s">
        <v>1999</v>
      </c>
      <c r="E2532" s="35" t="str">
        <f t="shared" si="593"/>
        <v>PDP'!</v>
      </c>
      <c r="F2532" s="34" t="str">
        <f t="shared" si="594"/>
        <v>C:\Users\jaime.benazar\Quorum Business Solutions\Ecopetrol Prometeo - Documents\Planning Space Implementation\3. Analysis &amp; Design\Design\FC22\DRR Jaime\QUIFA-CAJÚA\Cajua\[CAJUA_CF_SEC_New_27-Feb-2024Rev3.xlsx]D-PDP'!</v>
      </c>
      <c r="G2532" s="32" t="s">
        <v>116</v>
      </c>
      <c r="H2532" s="33">
        <f t="shared" si="595"/>
        <v>34</v>
      </c>
      <c r="I2532" s="33" t="str">
        <f t="shared" si="596"/>
        <v>='C:\Users\jaime.benazar\Quorum Business Solutions\Ecopetrol Prometeo - Documents\Planning Space Implementation\3. Analysis &amp; Design\Design\FC22\DRR Jaime\QUIFA-CAJÚA\Cajua\[CAJUA_CF_SEC_New_27-Feb-2024Rev3.xlsx]D-PDP'!$EA$34</v>
      </c>
      <c r="J2532" s="37" t="s">
        <v>3132</v>
      </c>
    </row>
    <row r="2533" spans="1:10" x14ac:dyDescent="0.25">
      <c r="A2533" s="32" t="s">
        <v>1</v>
      </c>
      <c r="B2533" s="32">
        <f t="shared" si="597"/>
        <v>2046</v>
      </c>
      <c r="C2533" s="33" t="s">
        <v>23</v>
      </c>
      <c r="D2533" s="34" t="s">
        <v>1999</v>
      </c>
      <c r="E2533" s="35" t="str">
        <f t="shared" si="593"/>
        <v>PDP'!</v>
      </c>
      <c r="F2533" s="34" t="str">
        <f t="shared" si="594"/>
        <v>C:\Users\jaime.benazar\Quorum Business Solutions\Ecopetrol Prometeo - Documents\Planning Space Implementation\3. Analysis &amp; Design\Design\FC22\DRR Jaime\QUIFA-CAJÚA\Cajua\[CAJUA_CF_SEC_New_27-Feb-2024Rev3.xlsx]D-PDP'!</v>
      </c>
      <c r="G2533" s="32" t="s">
        <v>116</v>
      </c>
      <c r="H2533" s="33">
        <f t="shared" si="595"/>
        <v>35</v>
      </c>
      <c r="I2533" s="33" t="str">
        <f t="shared" si="596"/>
        <v>='C:\Users\jaime.benazar\Quorum Business Solutions\Ecopetrol Prometeo - Documents\Planning Space Implementation\3. Analysis &amp; Design\Design\FC22\DRR Jaime\QUIFA-CAJÚA\Cajua\[CAJUA_CF_SEC_New_27-Feb-2024Rev3.xlsx]D-PDP'!$EA$35</v>
      </c>
      <c r="J2533" s="37" t="s">
        <v>3133</v>
      </c>
    </row>
    <row r="2534" spans="1:10" x14ac:dyDescent="0.25">
      <c r="A2534" s="32" t="s">
        <v>1</v>
      </c>
      <c r="B2534" s="32">
        <f t="shared" si="597"/>
        <v>2047</v>
      </c>
      <c r="C2534" s="33" t="s">
        <v>23</v>
      </c>
      <c r="D2534" s="34" t="s">
        <v>1999</v>
      </c>
      <c r="E2534" s="35" t="str">
        <f t="shared" si="593"/>
        <v>PDP'!</v>
      </c>
      <c r="F2534" s="34" t="str">
        <f t="shared" si="594"/>
        <v>C:\Users\jaime.benazar\Quorum Business Solutions\Ecopetrol Prometeo - Documents\Planning Space Implementation\3. Analysis &amp; Design\Design\FC22\DRR Jaime\QUIFA-CAJÚA\Cajua\[CAJUA_CF_SEC_New_27-Feb-2024Rev3.xlsx]D-PDP'!</v>
      </c>
      <c r="G2534" s="32" t="s">
        <v>116</v>
      </c>
      <c r="H2534" s="33">
        <f t="shared" si="595"/>
        <v>36</v>
      </c>
      <c r="I2534" s="33" t="str">
        <f t="shared" si="596"/>
        <v>='C:\Users\jaime.benazar\Quorum Business Solutions\Ecopetrol Prometeo - Documents\Planning Space Implementation\3. Analysis &amp; Design\Design\FC22\DRR Jaime\QUIFA-CAJÚA\Cajua\[CAJUA_CF_SEC_New_27-Feb-2024Rev3.xlsx]D-PDP'!$EA$36</v>
      </c>
      <c r="J2534" s="37" t="s">
        <v>3134</v>
      </c>
    </row>
    <row r="2535" spans="1:10" x14ac:dyDescent="0.25">
      <c r="A2535" s="32" t="s">
        <v>1</v>
      </c>
      <c r="B2535" s="32">
        <f t="shared" si="597"/>
        <v>2048</v>
      </c>
      <c r="C2535" s="33" t="s">
        <v>23</v>
      </c>
      <c r="D2535" s="34" t="s">
        <v>1999</v>
      </c>
      <c r="E2535" s="35" t="str">
        <f t="shared" si="593"/>
        <v>PDP'!</v>
      </c>
      <c r="F2535" s="34" t="str">
        <f t="shared" si="594"/>
        <v>C:\Users\jaime.benazar\Quorum Business Solutions\Ecopetrol Prometeo - Documents\Planning Space Implementation\3. Analysis &amp; Design\Design\FC22\DRR Jaime\QUIFA-CAJÚA\Cajua\[CAJUA_CF_SEC_New_27-Feb-2024Rev3.xlsx]D-PDP'!</v>
      </c>
      <c r="G2535" s="32" t="s">
        <v>116</v>
      </c>
      <c r="H2535" s="33">
        <f t="shared" si="595"/>
        <v>37</v>
      </c>
      <c r="I2535" s="33" t="str">
        <f t="shared" si="596"/>
        <v>='C:\Users\jaime.benazar\Quorum Business Solutions\Ecopetrol Prometeo - Documents\Planning Space Implementation\3. Analysis &amp; Design\Design\FC22\DRR Jaime\QUIFA-CAJÚA\Cajua\[CAJUA_CF_SEC_New_27-Feb-2024Rev3.xlsx]D-PDP'!$EA$37</v>
      </c>
      <c r="J2535" s="37" t="s">
        <v>3135</v>
      </c>
    </row>
    <row r="2536" spans="1:10" x14ac:dyDescent="0.25">
      <c r="A2536" s="32" t="s">
        <v>1</v>
      </c>
      <c r="B2536" s="32">
        <f t="shared" si="597"/>
        <v>2049</v>
      </c>
      <c r="C2536" s="33" t="s">
        <v>23</v>
      </c>
      <c r="D2536" s="34" t="s">
        <v>1999</v>
      </c>
      <c r="E2536" s="35" t="str">
        <f t="shared" si="593"/>
        <v>PDP'!</v>
      </c>
      <c r="F2536" s="34" t="str">
        <f t="shared" si="594"/>
        <v>C:\Users\jaime.benazar\Quorum Business Solutions\Ecopetrol Prometeo - Documents\Planning Space Implementation\3. Analysis &amp; Design\Design\FC22\DRR Jaime\QUIFA-CAJÚA\Cajua\[CAJUA_CF_SEC_New_27-Feb-2024Rev3.xlsx]D-PDP'!</v>
      </c>
      <c r="G2536" s="32" t="s">
        <v>116</v>
      </c>
      <c r="H2536" s="33">
        <f t="shared" si="595"/>
        <v>38</v>
      </c>
      <c r="I2536" s="33" t="str">
        <f t="shared" si="596"/>
        <v>='C:\Users\jaime.benazar\Quorum Business Solutions\Ecopetrol Prometeo - Documents\Planning Space Implementation\3. Analysis &amp; Design\Design\FC22\DRR Jaime\QUIFA-CAJÚA\Cajua\[CAJUA_CF_SEC_New_27-Feb-2024Rev3.xlsx]D-PDP'!$EA$38</v>
      </c>
      <c r="J2536" s="37" t="s">
        <v>3136</v>
      </c>
    </row>
    <row r="2537" spans="1:10" x14ac:dyDescent="0.25">
      <c r="A2537" s="32" t="s">
        <v>1</v>
      </c>
      <c r="B2537" s="32">
        <f t="shared" si="597"/>
        <v>2050</v>
      </c>
      <c r="C2537" s="33" t="s">
        <v>23</v>
      </c>
      <c r="D2537" s="34" t="s">
        <v>1999</v>
      </c>
      <c r="E2537" s="35" t="str">
        <f t="shared" si="593"/>
        <v>PDP'!</v>
      </c>
      <c r="F2537" s="34" t="str">
        <f t="shared" si="594"/>
        <v>C:\Users\jaime.benazar\Quorum Business Solutions\Ecopetrol Prometeo - Documents\Planning Space Implementation\3. Analysis &amp; Design\Design\FC22\DRR Jaime\QUIFA-CAJÚA\Cajua\[CAJUA_CF_SEC_New_27-Feb-2024Rev3.xlsx]D-PDP'!</v>
      </c>
      <c r="G2537" s="32" t="s">
        <v>116</v>
      </c>
      <c r="H2537" s="33">
        <f t="shared" si="595"/>
        <v>39</v>
      </c>
      <c r="I2537" s="33" t="str">
        <f t="shared" si="596"/>
        <v>='C:\Users\jaime.benazar\Quorum Business Solutions\Ecopetrol Prometeo - Documents\Planning Space Implementation\3. Analysis &amp; Design\Design\FC22\DRR Jaime\QUIFA-CAJÚA\Cajua\[CAJUA_CF_SEC_New_27-Feb-2024Rev3.xlsx]D-PDP'!$EA$39</v>
      </c>
      <c r="J2537" s="37" t="s">
        <v>3137</v>
      </c>
    </row>
    <row r="2538" spans="1:10" x14ac:dyDescent="0.25">
      <c r="A2538" s="32" t="s">
        <v>1</v>
      </c>
      <c r="B2538" s="32">
        <f t="shared" si="597"/>
        <v>2051</v>
      </c>
      <c r="C2538" s="33" t="s">
        <v>23</v>
      </c>
      <c r="D2538" s="34" t="s">
        <v>1999</v>
      </c>
      <c r="E2538" s="35" t="str">
        <f t="shared" si="593"/>
        <v>PDP'!</v>
      </c>
      <c r="F2538" s="34" t="str">
        <f t="shared" si="594"/>
        <v>C:\Users\jaime.benazar\Quorum Business Solutions\Ecopetrol Prometeo - Documents\Planning Space Implementation\3. Analysis &amp; Design\Design\FC22\DRR Jaime\QUIFA-CAJÚA\Cajua\[CAJUA_CF_SEC_New_27-Feb-2024Rev3.xlsx]D-PDP'!</v>
      </c>
      <c r="G2538" s="32" t="s">
        <v>116</v>
      </c>
      <c r="H2538" s="33">
        <f t="shared" si="595"/>
        <v>40</v>
      </c>
      <c r="I2538" s="33" t="str">
        <f t="shared" si="596"/>
        <v>='C:\Users\jaime.benazar\Quorum Business Solutions\Ecopetrol Prometeo - Documents\Planning Space Implementation\3. Analysis &amp; Design\Design\FC22\DRR Jaime\QUIFA-CAJÚA\Cajua\[CAJUA_CF_SEC_New_27-Feb-2024Rev3.xlsx]D-PDP'!$EA$40</v>
      </c>
      <c r="J2538" s="37" t="s">
        <v>3138</v>
      </c>
    </row>
    <row r="2539" spans="1:10" x14ac:dyDescent="0.25">
      <c r="A2539" s="32" t="s">
        <v>1</v>
      </c>
      <c r="B2539" s="32">
        <f t="shared" si="597"/>
        <v>2052</v>
      </c>
      <c r="C2539" s="33" t="s">
        <v>23</v>
      </c>
      <c r="D2539" s="34" t="s">
        <v>1999</v>
      </c>
      <c r="E2539" s="35" t="str">
        <f t="shared" si="593"/>
        <v>PDP'!</v>
      </c>
      <c r="F2539" s="34" t="str">
        <f t="shared" si="594"/>
        <v>C:\Users\jaime.benazar\Quorum Business Solutions\Ecopetrol Prometeo - Documents\Planning Space Implementation\3. Analysis &amp; Design\Design\FC22\DRR Jaime\QUIFA-CAJÚA\Cajua\[CAJUA_CF_SEC_New_27-Feb-2024Rev3.xlsx]D-PDP'!</v>
      </c>
      <c r="G2539" s="32" t="s">
        <v>116</v>
      </c>
      <c r="H2539" s="33">
        <f t="shared" si="595"/>
        <v>41</v>
      </c>
      <c r="I2539" s="33" t="str">
        <f t="shared" si="596"/>
        <v>='C:\Users\jaime.benazar\Quorum Business Solutions\Ecopetrol Prometeo - Documents\Planning Space Implementation\3. Analysis &amp; Design\Design\FC22\DRR Jaime\QUIFA-CAJÚA\Cajua\[CAJUA_CF_SEC_New_27-Feb-2024Rev3.xlsx]D-PDP'!$EA$41</v>
      </c>
      <c r="J2539" s="37" t="s">
        <v>3139</v>
      </c>
    </row>
    <row r="2540" spans="1:10" x14ac:dyDescent="0.25">
      <c r="A2540" s="32" t="s">
        <v>1</v>
      </c>
      <c r="B2540" s="32">
        <f t="shared" si="597"/>
        <v>2053</v>
      </c>
      <c r="C2540" s="33" t="s">
        <v>23</v>
      </c>
      <c r="D2540" s="34" t="s">
        <v>1999</v>
      </c>
      <c r="E2540" s="35" t="str">
        <f t="shared" si="593"/>
        <v>PDP'!</v>
      </c>
      <c r="F2540" s="34" t="str">
        <f t="shared" si="594"/>
        <v>C:\Users\jaime.benazar\Quorum Business Solutions\Ecopetrol Prometeo - Documents\Planning Space Implementation\3. Analysis &amp; Design\Design\FC22\DRR Jaime\QUIFA-CAJÚA\Cajua\[CAJUA_CF_SEC_New_27-Feb-2024Rev3.xlsx]D-PDP'!</v>
      </c>
      <c r="G2540" s="32" t="s">
        <v>116</v>
      </c>
      <c r="H2540" s="33">
        <f t="shared" si="595"/>
        <v>42</v>
      </c>
      <c r="I2540" s="33" t="str">
        <f t="shared" si="596"/>
        <v>='C:\Users\jaime.benazar\Quorum Business Solutions\Ecopetrol Prometeo - Documents\Planning Space Implementation\3. Analysis &amp; Design\Design\FC22\DRR Jaime\QUIFA-CAJÚA\Cajua\[CAJUA_CF_SEC_New_27-Feb-2024Rev3.xlsx]D-PDP'!$EA$42</v>
      </c>
      <c r="J2540" s="37" t="s">
        <v>3140</v>
      </c>
    </row>
    <row r="2541" spans="1:10" x14ac:dyDescent="0.25">
      <c r="A2541" s="32" t="s">
        <v>1</v>
      </c>
      <c r="B2541" s="32">
        <f t="shared" si="597"/>
        <v>2054</v>
      </c>
      <c r="C2541" s="33" t="s">
        <v>23</v>
      </c>
      <c r="D2541" s="34" t="s">
        <v>1999</v>
      </c>
      <c r="E2541" s="35" t="str">
        <f t="shared" si="593"/>
        <v>PDP'!</v>
      </c>
      <c r="F2541" s="34" t="str">
        <f t="shared" si="594"/>
        <v>C:\Users\jaime.benazar\Quorum Business Solutions\Ecopetrol Prometeo - Documents\Planning Space Implementation\3. Analysis &amp; Design\Design\FC22\DRR Jaime\QUIFA-CAJÚA\Cajua\[CAJUA_CF_SEC_New_27-Feb-2024Rev3.xlsx]D-PDP'!</v>
      </c>
      <c r="G2541" s="32" t="s">
        <v>116</v>
      </c>
      <c r="H2541" s="33">
        <f t="shared" si="595"/>
        <v>43</v>
      </c>
      <c r="I2541" s="33" t="str">
        <f t="shared" si="596"/>
        <v>='C:\Users\jaime.benazar\Quorum Business Solutions\Ecopetrol Prometeo - Documents\Planning Space Implementation\3. Analysis &amp; Design\Design\FC22\DRR Jaime\QUIFA-CAJÚA\Cajua\[CAJUA_CF_SEC_New_27-Feb-2024Rev3.xlsx]D-PDP'!$EA$43</v>
      </c>
      <c r="J2541" s="37" t="s">
        <v>3141</v>
      </c>
    </row>
    <row r="2542" spans="1:10" x14ac:dyDescent="0.25">
      <c r="A2542" s="32" t="s">
        <v>1</v>
      </c>
      <c r="B2542" s="32">
        <f t="shared" si="597"/>
        <v>2055</v>
      </c>
      <c r="C2542" s="33" t="s">
        <v>23</v>
      </c>
      <c r="D2542" s="34" t="s">
        <v>1999</v>
      </c>
      <c r="E2542" s="35" t="str">
        <f t="shared" si="593"/>
        <v>PDP'!</v>
      </c>
      <c r="F2542" s="34" t="str">
        <f t="shared" si="594"/>
        <v>C:\Users\jaime.benazar\Quorum Business Solutions\Ecopetrol Prometeo - Documents\Planning Space Implementation\3. Analysis &amp; Design\Design\FC22\DRR Jaime\QUIFA-CAJÚA\Cajua\[CAJUA_CF_SEC_New_27-Feb-2024Rev3.xlsx]D-PDP'!</v>
      </c>
      <c r="G2542" s="32" t="s">
        <v>116</v>
      </c>
      <c r="H2542" s="33">
        <f t="shared" si="595"/>
        <v>44</v>
      </c>
      <c r="I2542" s="33" t="str">
        <f t="shared" si="596"/>
        <v>='C:\Users\jaime.benazar\Quorum Business Solutions\Ecopetrol Prometeo - Documents\Planning Space Implementation\3. Analysis &amp; Design\Design\FC22\DRR Jaime\QUIFA-CAJÚA\Cajua\[CAJUA_CF_SEC_New_27-Feb-2024Rev3.xlsx]D-PDP'!$EA$44</v>
      </c>
      <c r="J2542" s="37" t="s">
        <v>3142</v>
      </c>
    </row>
    <row r="2543" spans="1:10" x14ac:dyDescent="0.25">
      <c r="A2543" s="32" t="s">
        <v>1</v>
      </c>
      <c r="B2543" s="32">
        <f t="shared" si="597"/>
        <v>2056</v>
      </c>
      <c r="C2543" s="33" t="s">
        <v>23</v>
      </c>
      <c r="D2543" s="34" t="s">
        <v>1999</v>
      </c>
      <c r="E2543" s="35" t="str">
        <f t="shared" si="593"/>
        <v>PDP'!</v>
      </c>
      <c r="F2543" s="34" t="str">
        <f t="shared" si="594"/>
        <v>C:\Users\jaime.benazar\Quorum Business Solutions\Ecopetrol Prometeo - Documents\Planning Space Implementation\3. Analysis &amp; Design\Design\FC22\DRR Jaime\QUIFA-CAJÚA\Cajua\[CAJUA_CF_SEC_New_27-Feb-2024Rev3.xlsx]D-PDP'!</v>
      </c>
      <c r="G2543" s="32" t="s">
        <v>116</v>
      </c>
      <c r="H2543" s="33">
        <f t="shared" si="595"/>
        <v>45</v>
      </c>
      <c r="I2543" s="33" t="str">
        <f t="shared" si="596"/>
        <v>='C:\Users\jaime.benazar\Quorum Business Solutions\Ecopetrol Prometeo - Documents\Planning Space Implementation\3. Analysis &amp; Design\Design\FC22\DRR Jaime\QUIFA-CAJÚA\Cajua\[CAJUA_CF_SEC_New_27-Feb-2024Rev3.xlsx]D-PDP'!$EA$45</v>
      </c>
      <c r="J2543" s="37" t="s">
        <v>3143</v>
      </c>
    </row>
    <row r="2544" spans="1:10" x14ac:dyDescent="0.25">
      <c r="A2544" s="32" t="s">
        <v>1</v>
      </c>
      <c r="B2544" s="32">
        <f t="shared" si="597"/>
        <v>2057</v>
      </c>
      <c r="C2544" s="33" t="s">
        <v>23</v>
      </c>
      <c r="D2544" s="34" t="s">
        <v>1999</v>
      </c>
      <c r="E2544" s="35" t="str">
        <f t="shared" si="593"/>
        <v>PDP'!</v>
      </c>
      <c r="F2544" s="34" t="str">
        <f t="shared" si="594"/>
        <v>C:\Users\jaime.benazar\Quorum Business Solutions\Ecopetrol Prometeo - Documents\Planning Space Implementation\3. Analysis &amp; Design\Design\FC22\DRR Jaime\QUIFA-CAJÚA\Cajua\[CAJUA_CF_SEC_New_27-Feb-2024Rev3.xlsx]D-PDP'!</v>
      </c>
      <c r="G2544" s="32" t="s">
        <v>116</v>
      </c>
      <c r="H2544" s="33">
        <f t="shared" si="595"/>
        <v>46</v>
      </c>
      <c r="I2544" s="33" t="str">
        <f t="shared" si="596"/>
        <v>='C:\Users\jaime.benazar\Quorum Business Solutions\Ecopetrol Prometeo - Documents\Planning Space Implementation\3. Analysis &amp; Design\Design\FC22\DRR Jaime\QUIFA-CAJÚA\Cajua\[CAJUA_CF_SEC_New_27-Feb-2024Rev3.xlsx]D-PDP'!$EA$46</v>
      </c>
      <c r="J2544" s="37" t="s">
        <v>3144</v>
      </c>
    </row>
    <row r="2545" spans="1:10" x14ac:dyDescent="0.25">
      <c r="A2545" s="32" t="s">
        <v>1</v>
      </c>
      <c r="B2545" s="32">
        <f t="shared" si="597"/>
        <v>2058</v>
      </c>
      <c r="C2545" s="33" t="s">
        <v>23</v>
      </c>
      <c r="D2545" s="34" t="s">
        <v>1999</v>
      </c>
      <c r="E2545" s="35" t="str">
        <f t="shared" si="593"/>
        <v>PDP'!</v>
      </c>
      <c r="F2545" s="34" t="str">
        <f t="shared" si="594"/>
        <v>C:\Users\jaime.benazar\Quorum Business Solutions\Ecopetrol Prometeo - Documents\Planning Space Implementation\3. Analysis &amp; Design\Design\FC22\DRR Jaime\QUIFA-CAJÚA\Cajua\[CAJUA_CF_SEC_New_27-Feb-2024Rev3.xlsx]D-PDP'!</v>
      </c>
      <c r="G2545" s="32" t="s">
        <v>116</v>
      </c>
      <c r="H2545" s="33">
        <f t="shared" si="595"/>
        <v>47</v>
      </c>
      <c r="I2545" s="33" t="str">
        <f t="shared" si="596"/>
        <v>='C:\Users\jaime.benazar\Quorum Business Solutions\Ecopetrol Prometeo - Documents\Planning Space Implementation\3. Analysis &amp; Design\Design\FC22\DRR Jaime\QUIFA-CAJÚA\Cajua\[CAJUA_CF_SEC_New_27-Feb-2024Rev3.xlsx]D-PDP'!$EA$47</v>
      </c>
      <c r="J2545" s="37" t="s">
        <v>3145</v>
      </c>
    </row>
    <row r="2546" spans="1:10" x14ac:dyDescent="0.25">
      <c r="A2546" s="32" t="s">
        <v>1</v>
      </c>
      <c r="B2546" s="32">
        <f t="shared" si="597"/>
        <v>2059</v>
      </c>
      <c r="C2546" s="33" t="s">
        <v>23</v>
      </c>
      <c r="D2546" s="34" t="s">
        <v>1999</v>
      </c>
      <c r="E2546" s="35" t="str">
        <f t="shared" si="593"/>
        <v>PDP'!</v>
      </c>
      <c r="F2546" s="34" t="str">
        <f t="shared" si="594"/>
        <v>C:\Users\jaime.benazar\Quorum Business Solutions\Ecopetrol Prometeo - Documents\Planning Space Implementation\3. Analysis &amp; Design\Design\FC22\DRR Jaime\QUIFA-CAJÚA\Cajua\[CAJUA_CF_SEC_New_27-Feb-2024Rev3.xlsx]D-PDP'!</v>
      </c>
      <c r="G2546" s="32" t="s">
        <v>116</v>
      </c>
      <c r="H2546" s="33">
        <f t="shared" si="595"/>
        <v>48</v>
      </c>
      <c r="I2546" s="33" t="str">
        <f t="shared" si="596"/>
        <v>='C:\Users\jaime.benazar\Quorum Business Solutions\Ecopetrol Prometeo - Documents\Planning Space Implementation\3. Analysis &amp; Design\Design\FC22\DRR Jaime\QUIFA-CAJÚA\Cajua\[CAJUA_CF_SEC_New_27-Feb-2024Rev3.xlsx]D-PDP'!$EA$48</v>
      </c>
      <c r="J2546" s="37" t="s">
        <v>3146</v>
      </c>
    </row>
    <row r="2547" spans="1:10" x14ac:dyDescent="0.25">
      <c r="A2547" s="32" t="s">
        <v>28</v>
      </c>
      <c r="B2547" s="32"/>
      <c r="C2547" s="33" t="s">
        <v>23</v>
      </c>
      <c r="D2547" s="34"/>
      <c r="E2547" s="35"/>
      <c r="F2547" s="34"/>
      <c r="G2547" s="32"/>
      <c r="H2547" s="33"/>
      <c r="I2547" s="33"/>
      <c r="J2547" s="33"/>
    </row>
    <row r="2548" spans="1:10" x14ac:dyDescent="0.25">
      <c r="A2548" s="32" t="s">
        <v>2</v>
      </c>
      <c r="B2548" s="32">
        <v>2023</v>
      </c>
      <c r="C2548" s="33" t="s">
        <v>23</v>
      </c>
      <c r="D2548" s="34" t="s">
        <v>1999</v>
      </c>
      <c r="E2548" s="35" t="str">
        <f t="shared" ref="E2548:E2568" si="598">_xlfn.CONCAT(A2548,"'!")</f>
        <v>PNP'!</v>
      </c>
      <c r="F2548" s="34" t="str">
        <f t="shared" ref="F2548:F2568" si="599">_xlfn.CONCAT(D2548:E2548)</f>
        <v>C:\Users\jaime.benazar\Quorum Business Solutions\Ecopetrol Prometeo - Documents\Planning Space Implementation\3. Analysis &amp; Design\Design\FC22\DRR Jaime\QUIFA-CAJÚA\Cajua\[CAJUA_CF_SEC_New_27-Feb-2024Rev3.xlsx]D-PNP'!</v>
      </c>
      <c r="G2548" s="32" t="s">
        <v>116</v>
      </c>
      <c r="H2548" s="33">
        <v>12</v>
      </c>
      <c r="I2548" s="33" t="str">
        <f t="shared" ref="I2548:I2568" si="600">_xlfn.CONCAT("='",F2548:H2548)</f>
        <v>='C:\Users\jaime.benazar\Quorum Business Solutions\Ecopetrol Prometeo - Documents\Planning Space Implementation\3. Analysis &amp; Design\Design\FC22\DRR Jaime\QUIFA-CAJÚA\Cajua\[CAJUA_CF_SEC_New_27-Feb-2024Rev3.xlsx]D-PNP'!$EA$12</v>
      </c>
      <c r="J2548" s="37" t="s">
        <v>3147</v>
      </c>
    </row>
    <row r="2549" spans="1:10" x14ac:dyDescent="0.25">
      <c r="A2549" s="32" t="s">
        <v>2</v>
      </c>
      <c r="B2549" s="32">
        <f>+B2548+1</f>
        <v>2024</v>
      </c>
      <c r="C2549" s="33" t="s">
        <v>23</v>
      </c>
      <c r="D2549" s="34" t="s">
        <v>1999</v>
      </c>
      <c r="E2549" s="35" t="str">
        <f t="shared" si="598"/>
        <v>PNP'!</v>
      </c>
      <c r="F2549" s="34" t="str">
        <f t="shared" si="599"/>
        <v>C:\Users\jaime.benazar\Quorum Business Solutions\Ecopetrol Prometeo - Documents\Planning Space Implementation\3. Analysis &amp; Design\Design\FC22\DRR Jaime\QUIFA-CAJÚA\Cajua\[CAJUA_CF_SEC_New_27-Feb-2024Rev3.xlsx]D-PNP'!</v>
      </c>
      <c r="G2549" s="32" t="s">
        <v>116</v>
      </c>
      <c r="H2549" s="33">
        <f t="shared" ref="H2549:H2568" si="601">IF(A2549&lt;&gt;A2548,12,H2548+1)</f>
        <v>13</v>
      </c>
      <c r="I2549" s="33" t="str">
        <f t="shared" si="600"/>
        <v>='C:\Users\jaime.benazar\Quorum Business Solutions\Ecopetrol Prometeo - Documents\Planning Space Implementation\3. Analysis &amp; Design\Design\FC22\DRR Jaime\QUIFA-CAJÚA\Cajua\[CAJUA_CF_SEC_New_27-Feb-2024Rev3.xlsx]D-PNP'!$EA$13</v>
      </c>
      <c r="J2549" s="37" t="s">
        <v>3148</v>
      </c>
    </row>
    <row r="2550" spans="1:10" x14ac:dyDescent="0.25">
      <c r="A2550" s="32" t="s">
        <v>2</v>
      </c>
      <c r="B2550" s="32">
        <f t="shared" ref="B2550:B2561" si="602">+B2549+1</f>
        <v>2025</v>
      </c>
      <c r="C2550" s="33" t="s">
        <v>23</v>
      </c>
      <c r="D2550" s="34" t="s">
        <v>1999</v>
      </c>
      <c r="E2550" s="35" t="str">
        <f t="shared" si="598"/>
        <v>PNP'!</v>
      </c>
      <c r="F2550" s="34" t="str">
        <f t="shared" si="599"/>
        <v>C:\Users\jaime.benazar\Quorum Business Solutions\Ecopetrol Prometeo - Documents\Planning Space Implementation\3. Analysis &amp; Design\Design\FC22\DRR Jaime\QUIFA-CAJÚA\Cajua\[CAJUA_CF_SEC_New_27-Feb-2024Rev3.xlsx]D-PNP'!</v>
      </c>
      <c r="G2550" s="32" t="s">
        <v>116</v>
      </c>
      <c r="H2550" s="33">
        <f t="shared" si="601"/>
        <v>14</v>
      </c>
      <c r="I2550" s="33" t="str">
        <f t="shared" si="600"/>
        <v>='C:\Users\jaime.benazar\Quorum Business Solutions\Ecopetrol Prometeo - Documents\Planning Space Implementation\3. Analysis &amp; Design\Design\FC22\DRR Jaime\QUIFA-CAJÚA\Cajua\[CAJUA_CF_SEC_New_27-Feb-2024Rev3.xlsx]D-PNP'!$EA$14</v>
      </c>
      <c r="J2550" s="37" t="s">
        <v>3149</v>
      </c>
    </row>
    <row r="2551" spans="1:10" x14ac:dyDescent="0.25">
      <c r="A2551" s="32" t="s">
        <v>2</v>
      </c>
      <c r="B2551" s="32">
        <f t="shared" si="602"/>
        <v>2026</v>
      </c>
      <c r="C2551" s="33" t="s">
        <v>23</v>
      </c>
      <c r="D2551" s="34" t="s">
        <v>1999</v>
      </c>
      <c r="E2551" s="35" t="str">
        <f t="shared" si="598"/>
        <v>PNP'!</v>
      </c>
      <c r="F2551" s="34" t="str">
        <f t="shared" si="599"/>
        <v>C:\Users\jaime.benazar\Quorum Business Solutions\Ecopetrol Prometeo - Documents\Planning Space Implementation\3. Analysis &amp; Design\Design\FC22\DRR Jaime\QUIFA-CAJÚA\Cajua\[CAJUA_CF_SEC_New_27-Feb-2024Rev3.xlsx]D-PNP'!</v>
      </c>
      <c r="G2551" s="32" t="s">
        <v>116</v>
      </c>
      <c r="H2551" s="33">
        <f t="shared" si="601"/>
        <v>15</v>
      </c>
      <c r="I2551" s="33" t="str">
        <f t="shared" si="600"/>
        <v>='C:\Users\jaime.benazar\Quorum Business Solutions\Ecopetrol Prometeo - Documents\Planning Space Implementation\3. Analysis &amp; Design\Design\FC22\DRR Jaime\QUIFA-CAJÚA\Cajua\[CAJUA_CF_SEC_New_27-Feb-2024Rev3.xlsx]D-PNP'!$EA$15</v>
      </c>
      <c r="J2551" s="37" t="s">
        <v>3150</v>
      </c>
    </row>
    <row r="2552" spans="1:10" x14ac:dyDescent="0.25">
      <c r="A2552" s="32" t="s">
        <v>2</v>
      </c>
      <c r="B2552" s="32">
        <f t="shared" si="602"/>
        <v>2027</v>
      </c>
      <c r="C2552" s="33" t="s">
        <v>23</v>
      </c>
      <c r="D2552" s="34" t="s">
        <v>1999</v>
      </c>
      <c r="E2552" s="35" t="str">
        <f t="shared" si="598"/>
        <v>PNP'!</v>
      </c>
      <c r="F2552" s="34" t="str">
        <f t="shared" si="599"/>
        <v>C:\Users\jaime.benazar\Quorum Business Solutions\Ecopetrol Prometeo - Documents\Planning Space Implementation\3. Analysis &amp; Design\Design\FC22\DRR Jaime\QUIFA-CAJÚA\Cajua\[CAJUA_CF_SEC_New_27-Feb-2024Rev3.xlsx]D-PNP'!</v>
      </c>
      <c r="G2552" s="32" t="s">
        <v>116</v>
      </c>
      <c r="H2552" s="33">
        <f t="shared" si="601"/>
        <v>16</v>
      </c>
      <c r="I2552" s="33" t="str">
        <f t="shared" si="600"/>
        <v>='C:\Users\jaime.benazar\Quorum Business Solutions\Ecopetrol Prometeo - Documents\Planning Space Implementation\3. Analysis &amp; Design\Design\FC22\DRR Jaime\QUIFA-CAJÚA\Cajua\[CAJUA_CF_SEC_New_27-Feb-2024Rev3.xlsx]D-PNP'!$EA$16</v>
      </c>
      <c r="J2552" s="37" t="s">
        <v>3151</v>
      </c>
    </row>
    <row r="2553" spans="1:10" x14ac:dyDescent="0.25">
      <c r="A2553" s="32" t="s">
        <v>2</v>
      </c>
      <c r="B2553" s="32">
        <f t="shared" si="602"/>
        <v>2028</v>
      </c>
      <c r="C2553" s="33" t="s">
        <v>23</v>
      </c>
      <c r="D2553" s="34" t="s">
        <v>1999</v>
      </c>
      <c r="E2553" s="35" t="str">
        <f t="shared" si="598"/>
        <v>PNP'!</v>
      </c>
      <c r="F2553" s="34" t="str">
        <f t="shared" si="599"/>
        <v>C:\Users\jaime.benazar\Quorum Business Solutions\Ecopetrol Prometeo - Documents\Planning Space Implementation\3. Analysis &amp; Design\Design\FC22\DRR Jaime\QUIFA-CAJÚA\Cajua\[CAJUA_CF_SEC_New_27-Feb-2024Rev3.xlsx]D-PNP'!</v>
      </c>
      <c r="G2553" s="32" t="s">
        <v>116</v>
      </c>
      <c r="H2553" s="33">
        <f t="shared" si="601"/>
        <v>17</v>
      </c>
      <c r="I2553" s="33" t="str">
        <f t="shared" si="600"/>
        <v>='C:\Users\jaime.benazar\Quorum Business Solutions\Ecopetrol Prometeo - Documents\Planning Space Implementation\3. Analysis &amp; Design\Design\FC22\DRR Jaime\QUIFA-CAJÚA\Cajua\[CAJUA_CF_SEC_New_27-Feb-2024Rev3.xlsx]D-PNP'!$EA$17</v>
      </c>
      <c r="J2553" s="37" t="s">
        <v>3152</v>
      </c>
    </row>
    <row r="2554" spans="1:10" x14ac:dyDescent="0.25">
      <c r="A2554" s="32" t="s">
        <v>2</v>
      </c>
      <c r="B2554" s="32">
        <f t="shared" si="602"/>
        <v>2029</v>
      </c>
      <c r="C2554" s="33" t="s">
        <v>23</v>
      </c>
      <c r="D2554" s="34" t="s">
        <v>1999</v>
      </c>
      <c r="E2554" s="35" t="str">
        <f t="shared" si="598"/>
        <v>PNP'!</v>
      </c>
      <c r="F2554" s="34" t="str">
        <f t="shared" si="599"/>
        <v>C:\Users\jaime.benazar\Quorum Business Solutions\Ecopetrol Prometeo - Documents\Planning Space Implementation\3. Analysis &amp; Design\Design\FC22\DRR Jaime\QUIFA-CAJÚA\Cajua\[CAJUA_CF_SEC_New_27-Feb-2024Rev3.xlsx]D-PNP'!</v>
      </c>
      <c r="G2554" s="32" t="s">
        <v>116</v>
      </c>
      <c r="H2554" s="33">
        <f t="shared" si="601"/>
        <v>18</v>
      </c>
      <c r="I2554" s="33" t="str">
        <f t="shared" si="600"/>
        <v>='C:\Users\jaime.benazar\Quorum Business Solutions\Ecopetrol Prometeo - Documents\Planning Space Implementation\3. Analysis &amp; Design\Design\FC22\DRR Jaime\QUIFA-CAJÚA\Cajua\[CAJUA_CF_SEC_New_27-Feb-2024Rev3.xlsx]D-PNP'!$EA$18</v>
      </c>
      <c r="J2554" s="37" t="s">
        <v>3153</v>
      </c>
    </row>
    <row r="2555" spans="1:10" x14ac:dyDescent="0.25">
      <c r="A2555" s="32" t="s">
        <v>2</v>
      </c>
      <c r="B2555" s="32">
        <f t="shared" si="602"/>
        <v>2030</v>
      </c>
      <c r="C2555" s="33" t="s">
        <v>23</v>
      </c>
      <c r="D2555" s="34" t="s">
        <v>1999</v>
      </c>
      <c r="E2555" s="35" t="str">
        <f t="shared" si="598"/>
        <v>PNP'!</v>
      </c>
      <c r="F2555" s="34" t="str">
        <f t="shared" si="599"/>
        <v>C:\Users\jaime.benazar\Quorum Business Solutions\Ecopetrol Prometeo - Documents\Planning Space Implementation\3. Analysis &amp; Design\Design\FC22\DRR Jaime\QUIFA-CAJÚA\Cajua\[CAJUA_CF_SEC_New_27-Feb-2024Rev3.xlsx]D-PNP'!</v>
      </c>
      <c r="G2555" s="32" t="s">
        <v>116</v>
      </c>
      <c r="H2555" s="33">
        <f t="shared" si="601"/>
        <v>19</v>
      </c>
      <c r="I2555" s="33" t="str">
        <f t="shared" si="600"/>
        <v>='C:\Users\jaime.benazar\Quorum Business Solutions\Ecopetrol Prometeo - Documents\Planning Space Implementation\3. Analysis &amp; Design\Design\FC22\DRR Jaime\QUIFA-CAJÚA\Cajua\[CAJUA_CF_SEC_New_27-Feb-2024Rev3.xlsx]D-PNP'!$EA$19</v>
      </c>
      <c r="J2555" s="37" t="s">
        <v>3154</v>
      </c>
    </row>
    <row r="2556" spans="1:10" x14ac:dyDescent="0.25">
      <c r="A2556" s="32" t="s">
        <v>2</v>
      </c>
      <c r="B2556" s="32">
        <f t="shared" si="602"/>
        <v>2031</v>
      </c>
      <c r="C2556" s="33" t="s">
        <v>23</v>
      </c>
      <c r="D2556" s="34" t="s">
        <v>1999</v>
      </c>
      <c r="E2556" s="35" t="str">
        <f t="shared" si="598"/>
        <v>PNP'!</v>
      </c>
      <c r="F2556" s="34" t="str">
        <f t="shared" si="599"/>
        <v>C:\Users\jaime.benazar\Quorum Business Solutions\Ecopetrol Prometeo - Documents\Planning Space Implementation\3. Analysis &amp; Design\Design\FC22\DRR Jaime\QUIFA-CAJÚA\Cajua\[CAJUA_CF_SEC_New_27-Feb-2024Rev3.xlsx]D-PNP'!</v>
      </c>
      <c r="G2556" s="32" t="s">
        <v>116</v>
      </c>
      <c r="H2556" s="33">
        <f t="shared" si="601"/>
        <v>20</v>
      </c>
      <c r="I2556" s="33" t="str">
        <f t="shared" si="600"/>
        <v>='C:\Users\jaime.benazar\Quorum Business Solutions\Ecopetrol Prometeo - Documents\Planning Space Implementation\3. Analysis &amp; Design\Design\FC22\DRR Jaime\QUIFA-CAJÚA\Cajua\[CAJUA_CF_SEC_New_27-Feb-2024Rev3.xlsx]D-PNP'!$EA$20</v>
      </c>
      <c r="J2556" s="37" t="s">
        <v>3155</v>
      </c>
    </row>
    <row r="2557" spans="1:10" x14ac:dyDescent="0.25">
      <c r="A2557" s="32" t="s">
        <v>2</v>
      </c>
      <c r="B2557" s="32">
        <f t="shared" si="602"/>
        <v>2032</v>
      </c>
      <c r="C2557" s="33" t="s">
        <v>23</v>
      </c>
      <c r="D2557" s="34" t="s">
        <v>1999</v>
      </c>
      <c r="E2557" s="35" t="str">
        <f t="shared" si="598"/>
        <v>PNP'!</v>
      </c>
      <c r="F2557" s="34" t="str">
        <f t="shared" si="599"/>
        <v>C:\Users\jaime.benazar\Quorum Business Solutions\Ecopetrol Prometeo - Documents\Planning Space Implementation\3. Analysis &amp; Design\Design\FC22\DRR Jaime\QUIFA-CAJÚA\Cajua\[CAJUA_CF_SEC_New_27-Feb-2024Rev3.xlsx]D-PNP'!</v>
      </c>
      <c r="G2557" s="32" t="s">
        <v>116</v>
      </c>
      <c r="H2557" s="33">
        <f t="shared" si="601"/>
        <v>21</v>
      </c>
      <c r="I2557" s="33" t="str">
        <f t="shared" si="600"/>
        <v>='C:\Users\jaime.benazar\Quorum Business Solutions\Ecopetrol Prometeo - Documents\Planning Space Implementation\3. Analysis &amp; Design\Design\FC22\DRR Jaime\QUIFA-CAJÚA\Cajua\[CAJUA_CF_SEC_New_27-Feb-2024Rev3.xlsx]D-PNP'!$EA$21</v>
      </c>
      <c r="J2557" s="37" t="s">
        <v>3156</v>
      </c>
    </row>
    <row r="2558" spans="1:10" x14ac:dyDescent="0.25">
      <c r="A2558" s="32" t="s">
        <v>2</v>
      </c>
      <c r="B2558" s="32">
        <f t="shared" si="602"/>
        <v>2033</v>
      </c>
      <c r="C2558" s="33" t="s">
        <v>23</v>
      </c>
      <c r="D2558" s="34" t="s">
        <v>1999</v>
      </c>
      <c r="E2558" s="35" t="str">
        <f t="shared" si="598"/>
        <v>PNP'!</v>
      </c>
      <c r="F2558" s="34" t="str">
        <f t="shared" si="599"/>
        <v>C:\Users\jaime.benazar\Quorum Business Solutions\Ecopetrol Prometeo - Documents\Planning Space Implementation\3. Analysis &amp; Design\Design\FC22\DRR Jaime\QUIFA-CAJÚA\Cajua\[CAJUA_CF_SEC_New_27-Feb-2024Rev3.xlsx]D-PNP'!</v>
      </c>
      <c r="G2558" s="32" t="s">
        <v>116</v>
      </c>
      <c r="H2558" s="33">
        <f t="shared" si="601"/>
        <v>22</v>
      </c>
      <c r="I2558" s="33" t="str">
        <f t="shared" si="600"/>
        <v>='C:\Users\jaime.benazar\Quorum Business Solutions\Ecopetrol Prometeo - Documents\Planning Space Implementation\3. Analysis &amp; Design\Design\FC22\DRR Jaime\QUIFA-CAJÚA\Cajua\[CAJUA_CF_SEC_New_27-Feb-2024Rev3.xlsx]D-PNP'!$EA$22</v>
      </c>
      <c r="J2558" s="37" t="s">
        <v>3157</v>
      </c>
    </row>
    <row r="2559" spans="1:10" x14ac:dyDescent="0.25">
      <c r="A2559" s="32" t="s">
        <v>2</v>
      </c>
      <c r="B2559" s="32">
        <f t="shared" si="602"/>
        <v>2034</v>
      </c>
      <c r="C2559" s="33" t="s">
        <v>23</v>
      </c>
      <c r="D2559" s="34" t="s">
        <v>1999</v>
      </c>
      <c r="E2559" s="35" t="str">
        <f t="shared" si="598"/>
        <v>PNP'!</v>
      </c>
      <c r="F2559" s="34" t="str">
        <f t="shared" si="599"/>
        <v>C:\Users\jaime.benazar\Quorum Business Solutions\Ecopetrol Prometeo - Documents\Planning Space Implementation\3. Analysis &amp; Design\Design\FC22\DRR Jaime\QUIFA-CAJÚA\Cajua\[CAJUA_CF_SEC_New_27-Feb-2024Rev3.xlsx]D-PNP'!</v>
      </c>
      <c r="G2559" s="32" t="s">
        <v>116</v>
      </c>
      <c r="H2559" s="33">
        <f t="shared" si="601"/>
        <v>23</v>
      </c>
      <c r="I2559" s="33" t="str">
        <f t="shared" si="600"/>
        <v>='C:\Users\jaime.benazar\Quorum Business Solutions\Ecopetrol Prometeo - Documents\Planning Space Implementation\3. Analysis &amp; Design\Design\FC22\DRR Jaime\QUIFA-CAJÚA\Cajua\[CAJUA_CF_SEC_New_27-Feb-2024Rev3.xlsx]D-PNP'!$EA$23</v>
      </c>
      <c r="J2559" s="37" t="s">
        <v>3158</v>
      </c>
    </row>
    <row r="2560" spans="1:10" x14ac:dyDescent="0.25">
      <c r="A2560" s="32" t="s">
        <v>2</v>
      </c>
      <c r="B2560" s="32">
        <f t="shared" si="602"/>
        <v>2035</v>
      </c>
      <c r="C2560" s="33" t="s">
        <v>23</v>
      </c>
      <c r="D2560" s="34" t="s">
        <v>1999</v>
      </c>
      <c r="E2560" s="35" t="str">
        <f t="shared" si="598"/>
        <v>PNP'!</v>
      </c>
      <c r="F2560" s="34" t="str">
        <f t="shared" si="599"/>
        <v>C:\Users\jaime.benazar\Quorum Business Solutions\Ecopetrol Prometeo - Documents\Planning Space Implementation\3. Analysis &amp; Design\Design\FC22\DRR Jaime\QUIFA-CAJÚA\Cajua\[CAJUA_CF_SEC_New_27-Feb-2024Rev3.xlsx]D-PNP'!</v>
      </c>
      <c r="G2560" s="32" t="s">
        <v>116</v>
      </c>
      <c r="H2560" s="33">
        <f t="shared" si="601"/>
        <v>24</v>
      </c>
      <c r="I2560" s="33" t="str">
        <f t="shared" si="600"/>
        <v>='C:\Users\jaime.benazar\Quorum Business Solutions\Ecopetrol Prometeo - Documents\Planning Space Implementation\3. Analysis &amp; Design\Design\FC22\DRR Jaime\QUIFA-CAJÚA\Cajua\[CAJUA_CF_SEC_New_27-Feb-2024Rev3.xlsx]D-PNP'!$EA$24</v>
      </c>
      <c r="J2560" s="37" t="s">
        <v>3159</v>
      </c>
    </row>
    <row r="2561" spans="1:10" x14ac:dyDescent="0.25">
      <c r="A2561" s="32" t="s">
        <v>2</v>
      </c>
      <c r="B2561" s="32">
        <f t="shared" si="602"/>
        <v>2036</v>
      </c>
      <c r="C2561" s="33" t="s">
        <v>23</v>
      </c>
      <c r="D2561" s="34" t="s">
        <v>1999</v>
      </c>
      <c r="E2561" s="35" t="str">
        <f t="shared" si="598"/>
        <v>PNP'!</v>
      </c>
      <c r="F2561" s="34" t="str">
        <f t="shared" si="599"/>
        <v>C:\Users\jaime.benazar\Quorum Business Solutions\Ecopetrol Prometeo - Documents\Planning Space Implementation\3. Analysis &amp; Design\Design\FC22\DRR Jaime\QUIFA-CAJÚA\Cajua\[CAJUA_CF_SEC_New_27-Feb-2024Rev3.xlsx]D-PNP'!</v>
      </c>
      <c r="G2561" s="32" t="s">
        <v>116</v>
      </c>
      <c r="H2561" s="33">
        <f t="shared" si="601"/>
        <v>25</v>
      </c>
      <c r="I2561" s="33" t="str">
        <f t="shared" si="600"/>
        <v>='C:\Users\jaime.benazar\Quorum Business Solutions\Ecopetrol Prometeo - Documents\Planning Space Implementation\3. Analysis &amp; Design\Design\FC22\DRR Jaime\QUIFA-CAJÚA\Cajua\[CAJUA_CF_SEC_New_27-Feb-2024Rev3.xlsx]D-PNP'!$EA$25</v>
      </c>
      <c r="J2561" s="37" t="s">
        <v>3160</v>
      </c>
    </row>
    <row r="2562" spans="1:10" x14ac:dyDescent="0.25">
      <c r="A2562" s="32" t="s">
        <v>2</v>
      </c>
      <c r="B2562" s="32">
        <f>+B2561+1</f>
        <v>2037</v>
      </c>
      <c r="C2562" s="33" t="s">
        <v>23</v>
      </c>
      <c r="D2562" s="34" t="s">
        <v>1999</v>
      </c>
      <c r="E2562" s="35" t="str">
        <f t="shared" si="598"/>
        <v>PNP'!</v>
      </c>
      <c r="F2562" s="34" t="str">
        <f t="shared" si="599"/>
        <v>C:\Users\jaime.benazar\Quorum Business Solutions\Ecopetrol Prometeo - Documents\Planning Space Implementation\3. Analysis &amp; Design\Design\FC22\DRR Jaime\QUIFA-CAJÚA\Cajua\[CAJUA_CF_SEC_New_27-Feb-2024Rev3.xlsx]D-PNP'!</v>
      </c>
      <c r="G2562" s="32" t="s">
        <v>116</v>
      </c>
      <c r="H2562" s="33">
        <f t="shared" si="601"/>
        <v>26</v>
      </c>
      <c r="I2562" s="33" t="str">
        <f t="shared" si="600"/>
        <v>='C:\Users\jaime.benazar\Quorum Business Solutions\Ecopetrol Prometeo - Documents\Planning Space Implementation\3. Analysis &amp; Design\Design\FC22\DRR Jaime\QUIFA-CAJÚA\Cajua\[CAJUA_CF_SEC_New_27-Feb-2024Rev3.xlsx]D-PNP'!$EA$26</v>
      </c>
      <c r="J2562" s="37" t="s">
        <v>3161</v>
      </c>
    </row>
    <row r="2563" spans="1:10" x14ac:dyDescent="0.25">
      <c r="A2563" s="32" t="s">
        <v>2</v>
      </c>
      <c r="B2563" s="32">
        <f t="shared" ref="B2563:B2565" si="603">+B2562+1</f>
        <v>2038</v>
      </c>
      <c r="C2563" s="33" t="s">
        <v>23</v>
      </c>
      <c r="D2563" s="34" t="s">
        <v>1999</v>
      </c>
      <c r="E2563" s="35" t="str">
        <f t="shared" si="598"/>
        <v>PNP'!</v>
      </c>
      <c r="F2563" s="34" t="str">
        <f t="shared" si="599"/>
        <v>C:\Users\jaime.benazar\Quorum Business Solutions\Ecopetrol Prometeo - Documents\Planning Space Implementation\3. Analysis &amp; Design\Design\FC22\DRR Jaime\QUIFA-CAJÚA\Cajua\[CAJUA_CF_SEC_New_27-Feb-2024Rev3.xlsx]D-PNP'!</v>
      </c>
      <c r="G2563" s="32" t="s">
        <v>116</v>
      </c>
      <c r="H2563" s="33">
        <f t="shared" si="601"/>
        <v>27</v>
      </c>
      <c r="I2563" s="33" t="str">
        <f t="shared" si="600"/>
        <v>='C:\Users\jaime.benazar\Quorum Business Solutions\Ecopetrol Prometeo - Documents\Planning Space Implementation\3. Analysis &amp; Design\Design\FC22\DRR Jaime\QUIFA-CAJÚA\Cajua\[CAJUA_CF_SEC_New_27-Feb-2024Rev3.xlsx]D-PNP'!$EA$27</v>
      </c>
      <c r="J2563" s="37" t="s">
        <v>3162</v>
      </c>
    </row>
    <row r="2564" spans="1:10" x14ac:dyDescent="0.25">
      <c r="A2564" s="32" t="s">
        <v>2</v>
      </c>
      <c r="B2564" s="32">
        <f t="shared" si="603"/>
        <v>2039</v>
      </c>
      <c r="C2564" s="33" t="s">
        <v>23</v>
      </c>
      <c r="D2564" s="34" t="s">
        <v>1999</v>
      </c>
      <c r="E2564" s="35" t="str">
        <f t="shared" si="598"/>
        <v>PNP'!</v>
      </c>
      <c r="F2564" s="34" t="str">
        <f t="shared" si="599"/>
        <v>C:\Users\jaime.benazar\Quorum Business Solutions\Ecopetrol Prometeo - Documents\Planning Space Implementation\3. Analysis &amp; Design\Design\FC22\DRR Jaime\QUIFA-CAJÚA\Cajua\[CAJUA_CF_SEC_New_27-Feb-2024Rev3.xlsx]D-PNP'!</v>
      </c>
      <c r="G2564" s="32" t="s">
        <v>116</v>
      </c>
      <c r="H2564" s="33">
        <f t="shared" si="601"/>
        <v>28</v>
      </c>
      <c r="I2564" s="33" t="str">
        <f t="shared" si="600"/>
        <v>='C:\Users\jaime.benazar\Quorum Business Solutions\Ecopetrol Prometeo - Documents\Planning Space Implementation\3. Analysis &amp; Design\Design\FC22\DRR Jaime\QUIFA-CAJÚA\Cajua\[CAJUA_CF_SEC_New_27-Feb-2024Rev3.xlsx]D-PNP'!$EA$28</v>
      </c>
      <c r="J2564" s="37" t="s">
        <v>3163</v>
      </c>
    </row>
    <row r="2565" spans="1:10" x14ac:dyDescent="0.25">
      <c r="A2565" s="32" t="s">
        <v>2</v>
      </c>
      <c r="B2565" s="32">
        <f t="shared" si="603"/>
        <v>2040</v>
      </c>
      <c r="C2565" s="33" t="s">
        <v>23</v>
      </c>
      <c r="D2565" s="34" t="s">
        <v>1999</v>
      </c>
      <c r="E2565" s="35" t="str">
        <f t="shared" si="598"/>
        <v>PNP'!</v>
      </c>
      <c r="F2565" s="34" t="str">
        <f t="shared" si="599"/>
        <v>C:\Users\jaime.benazar\Quorum Business Solutions\Ecopetrol Prometeo - Documents\Planning Space Implementation\3. Analysis &amp; Design\Design\FC22\DRR Jaime\QUIFA-CAJÚA\Cajua\[CAJUA_CF_SEC_New_27-Feb-2024Rev3.xlsx]D-PNP'!</v>
      </c>
      <c r="G2565" s="32" t="s">
        <v>116</v>
      </c>
      <c r="H2565" s="33">
        <f t="shared" si="601"/>
        <v>29</v>
      </c>
      <c r="I2565" s="33" t="str">
        <f t="shared" si="600"/>
        <v>='C:\Users\jaime.benazar\Quorum Business Solutions\Ecopetrol Prometeo - Documents\Planning Space Implementation\3. Analysis &amp; Design\Design\FC22\DRR Jaime\QUIFA-CAJÚA\Cajua\[CAJUA_CF_SEC_New_27-Feb-2024Rev3.xlsx]D-PNP'!$EA$29</v>
      </c>
      <c r="J2565" s="37" t="s">
        <v>3164</v>
      </c>
    </row>
    <row r="2566" spans="1:10" x14ac:dyDescent="0.25">
      <c r="A2566" s="32" t="s">
        <v>2</v>
      </c>
      <c r="B2566" s="32">
        <f>+B2565+1</f>
        <v>2041</v>
      </c>
      <c r="C2566" s="33" t="s">
        <v>23</v>
      </c>
      <c r="D2566" s="34" t="s">
        <v>1999</v>
      </c>
      <c r="E2566" s="35" t="str">
        <f t="shared" si="598"/>
        <v>PNP'!</v>
      </c>
      <c r="F2566" s="34" t="str">
        <f t="shared" si="599"/>
        <v>C:\Users\jaime.benazar\Quorum Business Solutions\Ecopetrol Prometeo - Documents\Planning Space Implementation\3. Analysis &amp; Design\Design\FC22\DRR Jaime\QUIFA-CAJÚA\Cajua\[CAJUA_CF_SEC_New_27-Feb-2024Rev3.xlsx]D-PNP'!</v>
      </c>
      <c r="G2566" s="32" t="s">
        <v>116</v>
      </c>
      <c r="H2566" s="33">
        <f t="shared" si="601"/>
        <v>30</v>
      </c>
      <c r="I2566" s="33" t="str">
        <f t="shared" si="600"/>
        <v>='C:\Users\jaime.benazar\Quorum Business Solutions\Ecopetrol Prometeo - Documents\Planning Space Implementation\3. Analysis &amp; Design\Design\FC22\DRR Jaime\QUIFA-CAJÚA\Cajua\[CAJUA_CF_SEC_New_27-Feb-2024Rev3.xlsx]D-PNP'!$EA$30</v>
      </c>
      <c r="J2566" s="37" t="s">
        <v>3165</v>
      </c>
    </row>
    <row r="2567" spans="1:10" x14ac:dyDescent="0.25">
      <c r="A2567" s="32" t="s">
        <v>2</v>
      </c>
      <c r="B2567" s="32">
        <f t="shared" ref="B2567:B2568" si="604">+B2566+1</f>
        <v>2042</v>
      </c>
      <c r="C2567" s="33" t="s">
        <v>23</v>
      </c>
      <c r="D2567" s="34" t="s">
        <v>1999</v>
      </c>
      <c r="E2567" s="35" t="str">
        <f t="shared" si="598"/>
        <v>PNP'!</v>
      </c>
      <c r="F2567" s="34" t="str">
        <f t="shared" si="599"/>
        <v>C:\Users\jaime.benazar\Quorum Business Solutions\Ecopetrol Prometeo - Documents\Planning Space Implementation\3. Analysis &amp; Design\Design\FC22\DRR Jaime\QUIFA-CAJÚA\Cajua\[CAJUA_CF_SEC_New_27-Feb-2024Rev3.xlsx]D-PNP'!</v>
      </c>
      <c r="G2567" s="32" t="s">
        <v>116</v>
      </c>
      <c r="H2567" s="33">
        <f t="shared" si="601"/>
        <v>31</v>
      </c>
      <c r="I2567" s="33" t="str">
        <f t="shared" si="600"/>
        <v>='C:\Users\jaime.benazar\Quorum Business Solutions\Ecopetrol Prometeo - Documents\Planning Space Implementation\3. Analysis &amp; Design\Design\FC22\DRR Jaime\QUIFA-CAJÚA\Cajua\[CAJUA_CF_SEC_New_27-Feb-2024Rev3.xlsx]D-PNP'!$EA$31</v>
      </c>
      <c r="J2567" s="37" t="s">
        <v>3166</v>
      </c>
    </row>
    <row r="2568" spans="1:10" x14ac:dyDescent="0.25">
      <c r="A2568" s="32" t="s">
        <v>2</v>
      </c>
      <c r="B2568" s="32">
        <f t="shared" si="604"/>
        <v>2043</v>
      </c>
      <c r="C2568" s="33" t="s">
        <v>23</v>
      </c>
      <c r="D2568" s="34" t="s">
        <v>1999</v>
      </c>
      <c r="E2568" s="35" t="str">
        <f t="shared" si="598"/>
        <v>PNP'!</v>
      </c>
      <c r="F2568" s="34" t="str">
        <f t="shared" si="599"/>
        <v>C:\Users\jaime.benazar\Quorum Business Solutions\Ecopetrol Prometeo - Documents\Planning Space Implementation\3. Analysis &amp; Design\Design\FC22\DRR Jaime\QUIFA-CAJÚA\Cajua\[CAJUA_CF_SEC_New_27-Feb-2024Rev3.xlsx]D-PNP'!</v>
      </c>
      <c r="G2568" s="32" t="s">
        <v>116</v>
      </c>
      <c r="H2568" s="33">
        <f t="shared" si="601"/>
        <v>32</v>
      </c>
      <c r="I2568" s="33" t="str">
        <f t="shared" si="600"/>
        <v>='C:\Users\jaime.benazar\Quorum Business Solutions\Ecopetrol Prometeo - Documents\Planning Space Implementation\3. Analysis &amp; Design\Design\FC22\DRR Jaime\QUIFA-CAJÚA\Cajua\[CAJUA_CF_SEC_New_27-Feb-2024Rev3.xlsx]D-PNP'!$EA$32</v>
      </c>
      <c r="J2568" s="37" t="s">
        <v>3167</v>
      </c>
    </row>
    <row r="2569" spans="1:10" x14ac:dyDescent="0.25">
      <c r="A2569" s="32" t="s">
        <v>2</v>
      </c>
      <c r="B2569" s="32">
        <f>+B2568+1</f>
        <v>2044</v>
      </c>
      <c r="C2569" s="33" t="s">
        <v>23</v>
      </c>
      <c r="D2569" s="34" t="s">
        <v>1999</v>
      </c>
      <c r="E2569" s="35" t="str">
        <f t="shared" ref="E2569:E2584" si="605">_xlfn.CONCAT(A2569,"'!")</f>
        <v>PNP'!</v>
      </c>
      <c r="F2569" s="34" t="str">
        <f t="shared" ref="F2569:F2584" si="606">_xlfn.CONCAT(D2569:E2569)</f>
        <v>C:\Users\jaime.benazar\Quorum Business Solutions\Ecopetrol Prometeo - Documents\Planning Space Implementation\3. Analysis &amp; Design\Design\FC22\DRR Jaime\QUIFA-CAJÚA\Cajua\[CAJUA_CF_SEC_New_27-Feb-2024Rev3.xlsx]D-PNP'!</v>
      </c>
      <c r="G2569" s="32" t="s">
        <v>116</v>
      </c>
      <c r="H2569" s="33">
        <f t="shared" ref="H2569:H2584" si="607">IF(A2569&lt;&gt;A2568,12,H2568+1)</f>
        <v>33</v>
      </c>
      <c r="I2569" s="33" t="str">
        <f t="shared" ref="I2569:I2584" si="608">_xlfn.CONCAT("='",F2569:H2569)</f>
        <v>='C:\Users\jaime.benazar\Quorum Business Solutions\Ecopetrol Prometeo - Documents\Planning Space Implementation\3. Analysis &amp; Design\Design\FC22\DRR Jaime\QUIFA-CAJÚA\Cajua\[CAJUA_CF_SEC_New_27-Feb-2024Rev3.xlsx]D-PNP'!$EA$33</v>
      </c>
      <c r="J2569" s="37" t="s">
        <v>3168</v>
      </c>
    </row>
    <row r="2570" spans="1:10" x14ac:dyDescent="0.25">
      <c r="A2570" s="32" t="s">
        <v>2</v>
      </c>
      <c r="B2570" s="32">
        <f t="shared" ref="B2570:B2584" si="609">+B2569+1</f>
        <v>2045</v>
      </c>
      <c r="C2570" s="33" t="s">
        <v>23</v>
      </c>
      <c r="D2570" s="34" t="s">
        <v>1999</v>
      </c>
      <c r="E2570" s="35" t="str">
        <f t="shared" si="605"/>
        <v>PNP'!</v>
      </c>
      <c r="F2570" s="34" t="str">
        <f t="shared" si="606"/>
        <v>C:\Users\jaime.benazar\Quorum Business Solutions\Ecopetrol Prometeo - Documents\Planning Space Implementation\3. Analysis &amp; Design\Design\FC22\DRR Jaime\QUIFA-CAJÚA\Cajua\[CAJUA_CF_SEC_New_27-Feb-2024Rev3.xlsx]D-PNP'!</v>
      </c>
      <c r="G2570" s="32" t="s">
        <v>116</v>
      </c>
      <c r="H2570" s="33">
        <f t="shared" si="607"/>
        <v>34</v>
      </c>
      <c r="I2570" s="33" t="str">
        <f t="shared" si="608"/>
        <v>='C:\Users\jaime.benazar\Quorum Business Solutions\Ecopetrol Prometeo - Documents\Planning Space Implementation\3. Analysis &amp; Design\Design\FC22\DRR Jaime\QUIFA-CAJÚA\Cajua\[CAJUA_CF_SEC_New_27-Feb-2024Rev3.xlsx]D-PNP'!$EA$34</v>
      </c>
      <c r="J2570" s="37" t="s">
        <v>3169</v>
      </c>
    </row>
    <row r="2571" spans="1:10" x14ac:dyDescent="0.25">
      <c r="A2571" s="32" t="s">
        <v>2</v>
      </c>
      <c r="B2571" s="32">
        <f t="shared" si="609"/>
        <v>2046</v>
      </c>
      <c r="C2571" s="33" t="s">
        <v>23</v>
      </c>
      <c r="D2571" s="34" t="s">
        <v>1999</v>
      </c>
      <c r="E2571" s="35" t="str">
        <f t="shared" si="605"/>
        <v>PNP'!</v>
      </c>
      <c r="F2571" s="34" t="str">
        <f t="shared" si="606"/>
        <v>C:\Users\jaime.benazar\Quorum Business Solutions\Ecopetrol Prometeo - Documents\Planning Space Implementation\3. Analysis &amp; Design\Design\FC22\DRR Jaime\QUIFA-CAJÚA\Cajua\[CAJUA_CF_SEC_New_27-Feb-2024Rev3.xlsx]D-PNP'!</v>
      </c>
      <c r="G2571" s="32" t="s">
        <v>116</v>
      </c>
      <c r="H2571" s="33">
        <f t="shared" si="607"/>
        <v>35</v>
      </c>
      <c r="I2571" s="33" t="str">
        <f t="shared" si="608"/>
        <v>='C:\Users\jaime.benazar\Quorum Business Solutions\Ecopetrol Prometeo - Documents\Planning Space Implementation\3. Analysis &amp; Design\Design\FC22\DRR Jaime\QUIFA-CAJÚA\Cajua\[CAJUA_CF_SEC_New_27-Feb-2024Rev3.xlsx]D-PNP'!$EA$35</v>
      </c>
      <c r="J2571" s="37" t="s">
        <v>3170</v>
      </c>
    </row>
    <row r="2572" spans="1:10" x14ac:dyDescent="0.25">
      <c r="A2572" s="32" t="s">
        <v>2</v>
      </c>
      <c r="B2572" s="32">
        <f t="shared" si="609"/>
        <v>2047</v>
      </c>
      <c r="C2572" s="33" t="s">
        <v>23</v>
      </c>
      <c r="D2572" s="34" t="s">
        <v>1999</v>
      </c>
      <c r="E2572" s="35" t="str">
        <f t="shared" si="605"/>
        <v>PNP'!</v>
      </c>
      <c r="F2572" s="34" t="str">
        <f t="shared" si="606"/>
        <v>C:\Users\jaime.benazar\Quorum Business Solutions\Ecopetrol Prometeo - Documents\Planning Space Implementation\3. Analysis &amp; Design\Design\FC22\DRR Jaime\QUIFA-CAJÚA\Cajua\[CAJUA_CF_SEC_New_27-Feb-2024Rev3.xlsx]D-PNP'!</v>
      </c>
      <c r="G2572" s="32" t="s">
        <v>116</v>
      </c>
      <c r="H2572" s="33">
        <f t="shared" si="607"/>
        <v>36</v>
      </c>
      <c r="I2572" s="33" t="str">
        <f t="shared" si="608"/>
        <v>='C:\Users\jaime.benazar\Quorum Business Solutions\Ecopetrol Prometeo - Documents\Planning Space Implementation\3. Analysis &amp; Design\Design\FC22\DRR Jaime\QUIFA-CAJÚA\Cajua\[CAJUA_CF_SEC_New_27-Feb-2024Rev3.xlsx]D-PNP'!$EA$36</v>
      </c>
      <c r="J2572" s="37" t="s">
        <v>3171</v>
      </c>
    </row>
    <row r="2573" spans="1:10" x14ac:dyDescent="0.25">
      <c r="A2573" s="32" t="s">
        <v>2</v>
      </c>
      <c r="B2573" s="32">
        <f t="shared" si="609"/>
        <v>2048</v>
      </c>
      <c r="C2573" s="33" t="s">
        <v>23</v>
      </c>
      <c r="D2573" s="34" t="s">
        <v>1999</v>
      </c>
      <c r="E2573" s="35" t="str">
        <f t="shared" si="605"/>
        <v>PNP'!</v>
      </c>
      <c r="F2573" s="34" t="str">
        <f t="shared" si="606"/>
        <v>C:\Users\jaime.benazar\Quorum Business Solutions\Ecopetrol Prometeo - Documents\Planning Space Implementation\3. Analysis &amp; Design\Design\FC22\DRR Jaime\QUIFA-CAJÚA\Cajua\[CAJUA_CF_SEC_New_27-Feb-2024Rev3.xlsx]D-PNP'!</v>
      </c>
      <c r="G2573" s="32" t="s">
        <v>116</v>
      </c>
      <c r="H2573" s="33">
        <f t="shared" si="607"/>
        <v>37</v>
      </c>
      <c r="I2573" s="33" t="str">
        <f t="shared" si="608"/>
        <v>='C:\Users\jaime.benazar\Quorum Business Solutions\Ecopetrol Prometeo - Documents\Planning Space Implementation\3. Analysis &amp; Design\Design\FC22\DRR Jaime\QUIFA-CAJÚA\Cajua\[CAJUA_CF_SEC_New_27-Feb-2024Rev3.xlsx]D-PNP'!$EA$37</v>
      </c>
      <c r="J2573" s="37" t="s">
        <v>3172</v>
      </c>
    </row>
    <row r="2574" spans="1:10" x14ac:dyDescent="0.25">
      <c r="A2574" s="32" t="s">
        <v>2</v>
      </c>
      <c r="B2574" s="32">
        <f t="shared" si="609"/>
        <v>2049</v>
      </c>
      <c r="C2574" s="33" t="s">
        <v>23</v>
      </c>
      <c r="D2574" s="34" t="s">
        <v>1999</v>
      </c>
      <c r="E2574" s="35" t="str">
        <f t="shared" si="605"/>
        <v>PNP'!</v>
      </c>
      <c r="F2574" s="34" t="str">
        <f t="shared" si="606"/>
        <v>C:\Users\jaime.benazar\Quorum Business Solutions\Ecopetrol Prometeo - Documents\Planning Space Implementation\3. Analysis &amp; Design\Design\FC22\DRR Jaime\QUIFA-CAJÚA\Cajua\[CAJUA_CF_SEC_New_27-Feb-2024Rev3.xlsx]D-PNP'!</v>
      </c>
      <c r="G2574" s="32" t="s">
        <v>116</v>
      </c>
      <c r="H2574" s="33">
        <f t="shared" si="607"/>
        <v>38</v>
      </c>
      <c r="I2574" s="33" t="str">
        <f t="shared" si="608"/>
        <v>='C:\Users\jaime.benazar\Quorum Business Solutions\Ecopetrol Prometeo - Documents\Planning Space Implementation\3. Analysis &amp; Design\Design\FC22\DRR Jaime\QUIFA-CAJÚA\Cajua\[CAJUA_CF_SEC_New_27-Feb-2024Rev3.xlsx]D-PNP'!$EA$38</v>
      </c>
      <c r="J2574" s="37" t="s">
        <v>3173</v>
      </c>
    </row>
    <row r="2575" spans="1:10" x14ac:dyDescent="0.25">
      <c r="A2575" s="32" t="s">
        <v>2</v>
      </c>
      <c r="B2575" s="32">
        <f t="shared" si="609"/>
        <v>2050</v>
      </c>
      <c r="C2575" s="33" t="s">
        <v>23</v>
      </c>
      <c r="D2575" s="34" t="s">
        <v>1999</v>
      </c>
      <c r="E2575" s="35" t="str">
        <f t="shared" si="605"/>
        <v>PNP'!</v>
      </c>
      <c r="F2575" s="34" t="str">
        <f t="shared" si="606"/>
        <v>C:\Users\jaime.benazar\Quorum Business Solutions\Ecopetrol Prometeo - Documents\Planning Space Implementation\3. Analysis &amp; Design\Design\FC22\DRR Jaime\QUIFA-CAJÚA\Cajua\[CAJUA_CF_SEC_New_27-Feb-2024Rev3.xlsx]D-PNP'!</v>
      </c>
      <c r="G2575" s="32" t="s">
        <v>116</v>
      </c>
      <c r="H2575" s="33">
        <f t="shared" si="607"/>
        <v>39</v>
      </c>
      <c r="I2575" s="33" t="str">
        <f t="shared" si="608"/>
        <v>='C:\Users\jaime.benazar\Quorum Business Solutions\Ecopetrol Prometeo - Documents\Planning Space Implementation\3. Analysis &amp; Design\Design\FC22\DRR Jaime\QUIFA-CAJÚA\Cajua\[CAJUA_CF_SEC_New_27-Feb-2024Rev3.xlsx]D-PNP'!$EA$39</v>
      </c>
      <c r="J2575" s="37" t="s">
        <v>3174</v>
      </c>
    </row>
    <row r="2576" spans="1:10" x14ac:dyDescent="0.25">
      <c r="A2576" s="32" t="s">
        <v>2</v>
      </c>
      <c r="B2576" s="32">
        <f t="shared" si="609"/>
        <v>2051</v>
      </c>
      <c r="C2576" s="33" t="s">
        <v>23</v>
      </c>
      <c r="D2576" s="34" t="s">
        <v>1999</v>
      </c>
      <c r="E2576" s="35" t="str">
        <f t="shared" si="605"/>
        <v>PNP'!</v>
      </c>
      <c r="F2576" s="34" t="str">
        <f t="shared" si="606"/>
        <v>C:\Users\jaime.benazar\Quorum Business Solutions\Ecopetrol Prometeo - Documents\Planning Space Implementation\3. Analysis &amp; Design\Design\FC22\DRR Jaime\QUIFA-CAJÚA\Cajua\[CAJUA_CF_SEC_New_27-Feb-2024Rev3.xlsx]D-PNP'!</v>
      </c>
      <c r="G2576" s="32" t="s">
        <v>116</v>
      </c>
      <c r="H2576" s="33">
        <f t="shared" si="607"/>
        <v>40</v>
      </c>
      <c r="I2576" s="33" t="str">
        <f t="shared" si="608"/>
        <v>='C:\Users\jaime.benazar\Quorum Business Solutions\Ecopetrol Prometeo - Documents\Planning Space Implementation\3. Analysis &amp; Design\Design\FC22\DRR Jaime\QUIFA-CAJÚA\Cajua\[CAJUA_CF_SEC_New_27-Feb-2024Rev3.xlsx]D-PNP'!$EA$40</v>
      </c>
      <c r="J2576" s="37" t="s">
        <v>3175</v>
      </c>
    </row>
    <row r="2577" spans="1:10" x14ac:dyDescent="0.25">
      <c r="A2577" s="32" t="s">
        <v>2</v>
      </c>
      <c r="B2577" s="32">
        <f t="shared" si="609"/>
        <v>2052</v>
      </c>
      <c r="C2577" s="33" t="s">
        <v>23</v>
      </c>
      <c r="D2577" s="34" t="s">
        <v>1999</v>
      </c>
      <c r="E2577" s="35" t="str">
        <f t="shared" si="605"/>
        <v>PNP'!</v>
      </c>
      <c r="F2577" s="34" t="str">
        <f t="shared" si="606"/>
        <v>C:\Users\jaime.benazar\Quorum Business Solutions\Ecopetrol Prometeo - Documents\Planning Space Implementation\3. Analysis &amp; Design\Design\FC22\DRR Jaime\QUIFA-CAJÚA\Cajua\[CAJUA_CF_SEC_New_27-Feb-2024Rev3.xlsx]D-PNP'!</v>
      </c>
      <c r="G2577" s="32" t="s">
        <v>116</v>
      </c>
      <c r="H2577" s="33">
        <f t="shared" si="607"/>
        <v>41</v>
      </c>
      <c r="I2577" s="33" t="str">
        <f t="shared" si="608"/>
        <v>='C:\Users\jaime.benazar\Quorum Business Solutions\Ecopetrol Prometeo - Documents\Planning Space Implementation\3. Analysis &amp; Design\Design\FC22\DRR Jaime\QUIFA-CAJÚA\Cajua\[CAJUA_CF_SEC_New_27-Feb-2024Rev3.xlsx]D-PNP'!$EA$41</v>
      </c>
      <c r="J2577" s="37" t="s">
        <v>3176</v>
      </c>
    </row>
    <row r="2578" spans="1:10" x14ac:dyDescent="0.25">
      <c r="A2578" s="32" t="s">
        <v>2</v>
      </c>
      <c r="B2578" s="32">
        <f t="shared" si="609"/>
        <v>2053</v>
      </c>
      <c r="C2578" s="33" t="s">
        <v>23</v>
      </c>
      <c r="D2578" s="34" t="s">
        <v>1999</v>
      </c>
      <c r="E2578" s="35" t="str">
        <f t="shared" si="605"/>
        <v>PNP'!</v>
      </c>
      <c r="F2578" s="34" t="str">
        <f t="shared" si="606"/>
        <v>C:\Users\jaime.benazar\Quorum Business Solutions\Ecopetrol Prometeo - Documents\Planning Space Implementation\3. Analysis &amp; Design\Design\FC22\DRR Jaime\QUIFA-CAJÚA\Cajua\[CAJUA_CF_SEC_New_27-Feb-2024Rev3.xlsx]D-PNP'!</v>
      </c>
      <c r="G2578" s="32" t="s">
        <v>116</v>
      </c>
      <c r="H2578" s="33">
        <f t="shared" si="607"/>
        <v>42</v>
      </c>
      <c r="I2578" s="33" t="str">
        <f t="shared" si="608"/>
        <v>='C:\Users\jaime.benazar\Quorum Business Solutions\Ecopetrol Prometeo - Documents\Planning Space Implementation\3. Analysis &amp; Design\Design\FC22\DRR Jaime\QUIFA-CAJÚA\Cajua\[CAJUA_CF_SEC_New_27-Feb-2024Rev3.xlsx]D-PNP'!$EA$42</v>
      </c>
      <c r="J2578" s="37" t="s">
        <v>3177</v>
      </c>
    </row>
    <row r="2579" spans="1:10" x14ac:dyDescent="0.25">
      <c r="A2579" s="32" t="s">
        <v>2</v>
      </c>
      <c r="B2579" s="32">
        <f t="shared" si="609"/>
        <v>2054</v>
      </c>
      <c r="C2579" s="33" t="s">
        <v>23</v>
      </c>
      <c r="D2579" s="34" t="s">
        <v>1999</v>
      </c>
      <c r="E2579" s="35" t="str">
        <f t="shared" si="605"/>
        <v>PNP'!</v>
      </c>
      <c r="F2579" s="34" t="str">
        <f t="shared" si="606"/>
        <v>C:\Users\jaime.benazar\Quorum Business Solutions\Ecopetrol Prometeo - Documents\Planning Space Implementation\3. Analysis &amp; Design\Design\FC22\DRR Jaime\QUIFA-CAJÚA\Cajua\[CAJUA_CF_SEC_New_27-Feb-2024Rev3.xlsx]D-PNP'!</v>
      </c>
      <c r="G2579" s="32" t="s">
        <v>116</v>
      </c>
      <c r="H2579" s="33">
        <f t="shared" si="607"/>
        <v>43</v>
      </c>
      <c r="I2579" s="33" t="str">
        <f t="shared" si="608"/>
        <v>='C:\Users\jaime.benazar\Quorum Business Solutions\Ecopetrol Prometeo - Documents\Planning Space Implementation\3. Analysis &amp; Design\Design\FC22\DRR Jaime\QUIFA-CAJÚA\Cajua\[CAJUA_CF_SEC_New_27-Feb-2024Rev3.xlsx]D-PNP'!$EA$43</v>
      </c>
      <c r="J2579" s="37" t="s">
        <v>3178</v>
      </c>
    </row>
    <row r="2580" spans="1:10" x14ac:dyDescent="0.25">
      <c r="A2580" s="32" t="s">
        <v>2</v>
      </c>
      <c r="B2580" s="32">
        <f t="shared" si="609"/>
        <v>2055</v>
      </c>
      <c r="C2580" s="33" t="s">
        <v>23</v>
      </c>
      <c r="D2580" s="34" t="s">
        <v>1999</v>
      </c>
      <c r="E2580" s="35" t="str">
        <f t="shared" si="605"/>
        <v>PNP'!</v>
      </c>
      <c r="F2580" s="34" t="str">
        <f t="shared" si="606"/>
        <v>C:\Users\jaime.benazar\Quorum Business Solutions\Ecopetrol Prometeo - Documents\Planning Space Implementation\3. Analysis &amp; Design\Design\FC22\DRR Jaime\QUIFA-CAJÚA\Cajua\[CAJUA_CF_SEC_New_27-Feb-2024Rev3.xlsx]D-PNP'!</v>
      </c>
      <c r="G2580" s="32" t="s">
        <v>116</v>
      </c>
      <c r="H2580" s="33">
        <f t="shared" si="607"/>
        <v>44</v>
      </c>
      <c r="I2580" s="33" t="str">
        <f t="shared" si="608"/>
        <v>='C:\Users\jaime.benazar\Quorum Business Solutions\Ecopetrol Prometeo - Documents\Planning Space Implementation\3. Analysis &amp; Design\Design\FC22\DRR Jaime\QUIFA-CAJÚA\Cajua\[CAJUA_CF_SEC_New_27-Feb-2024Rev3.xlsx]D-PNP'!$EA$44</v>
      </c>
      <c r="J2580" s="37" t="s">
        <v>3179</v>
      </c>
    </row>
    <row r="2581" spans="1:10" x14ac:dyDescent="0.25">
      <c r="A2581" s="32" t="s">
        <v>2</v>
      </c>
      <c r="B2581" s="32">
        <f t="shared" si="609"/>
        <v>2056</v>
      </c>
      <c r="C2581" s="33" t="s">
        <v>23</v>
      </c>
      <c r="D2581" s="34" t="s">
        <v>1999</v>
      </c>
      <c r="E2581" s="35" t="str">
        <f t="shared" si="605"/>
        <v>PNP'!</v>
      </c>
      <c r="F2581" s="34" t="str">
        <f t="shared" si="606"/>
        <v>C:\Users\jaime.benazar\Quorum Business Solutions\Ecopetrol Prometeo - Documents\Planning Space Implementation\3. Analysis &amp; Design\Design\FC22\DRR Jaime\QUIFA-CAJÚA\Cajua\[CAJUA_CF_SEC_New_27-Feb-2024Rev3.xlsx]D-PNP'!</v>
      </c>
      <c r="G2581" s="32" t="s">
        <v>116</v>
      </c>
      <c r="H2581" s="33">
        <f t="shared" si="607"/>
        <v>45</v>
      </c>
      <c r="I2581" s="33" t="str">
        <f t="shared" si="608"/>
        <v>='C:\Users\jaime.benazar\Quorum Business Solutions\Ecopetrol Prometeo - Documents\Planning Space Implementation\3. Analysis &amp; Design\Design\FC22\DRR Jaime\QUIFA-CAJÚA\Cajua\[CAJUA_CF_SEC_New_27-Feb-2024Rev3.xlsx]D-PNP'!$EA$45</v>
      </c>
      <c r="J2581" s="37" t="s">
        <v>3180</v>
      </c>
    </row>
    <row r="2582" spans="1:10" x14ac:dyDescent="0.25">
      <c r="A2582" s="32" t="s">
        <v>2</v>
      </c>
      <c r="B2582" s="32">
        <f t="shared" si="609"/>
        <v>2057</v>
      </c>
      <c r="C2582" s="33" t="s">
        <v>23</v>
      </c>
      <c r="D2582" s="34" t="s">
        <v>1999</v>
      </c>
      <c r="E2582" s="35" t="str">
        <f t="shared" si="605"/>
        <v>PNP'!</v>
      </c>
      <c r="F2582" s="34" t="str">
        <f t="shared" si="606"/>
        <v>C:\Users\jaime.benazar\Quorum Business Solutions\Ecopetrol Prometeo - Documents\Planning Space Implementation\3. Analysis &amp; Design\Design\FC22\DRR Jaime\QUIFA-CAJÚA\Cajua\[CAJUA_CF_SEC_New_27-Feb-2024Rev3.xlsx]D-PNP'!</v>
      </c>
      <c r="G2582" s="32" t="s">
        <v>116</v>
      </c>
      <c r="H2582" s="33">
        <f t="shared" si="607"/>
        <v>46</v>
      </c>
      <c r="I2582" s="33" t="str">
        <f t="shared" si="608"/>
        <v>='C:\Users\jaime.benazar\Quorum Business Solutions\Ecopetrol Prometeo - Documents\Planning Space Implementation\3. Analysis &amp; Design\Design\FC22\DRR Jaime\QUIFA-CAJÚA\Cajua\[CAJUA_CF_SEC_New_27-Feb-2024Rev3.xlsx]D-PNP'!$EA$46</v>
      </c>
      <c r="J2582" s="37" t="s">
        <v>3181</v>
      </c>
    </row>
    <row r="2583" spans="1:10" x14ac:dyDescent="0.25">
      <c r="A2583" s="32" t="s">
        <v>2</v>
      </c>
      <c r="B2583" s="32">
        <f t="shared" si="609"/>
        <v>2058</v>
      </c>
      <c r="C2583" s="33" t="s">
        <v>23</v>
      </c>
      <c r="D2583" s="34" t="s">
        <v>1999</v>
      </c>
      <c r="E2583" s="35" t="str">
        <f t="shared" si="605"/>
        <v>PNP'!</v>
      </c>
      <c r="F2583" s="34" t="str">
        <f t="shared" si="606"/>
        <v>C:\Users\jaime.benazar\Quorum Business Solutions\Ecopetrol Prometeo - Documents\Planning Space Implementation\3. Analysis &amp; Design\Design\FC22\DRR Jaime\QUIFA-CAJÚA\Cajua\[CAJUA_CF_SEC_New_27-Feb-2024Rev3.xlsx]D-PNP'!</v>
      </c>
      <c r="G2583" s="32" t="s">
        <v>116</v>
      </c>
      <c r="H2583" s="33">
        <f t="shared" si="607"/>
        <v>47</v>
      </c>
      <c r="I2583" s="33" t="str">
        <f t="shared" si="608"/>
        <v>='C:\Users\jaime.benazar\Quorum Business Solutions\Ecopetrol Prometeo - Documents\Planning Space Implementation\3. Analysis &amp; Design\Design\FC22\DRR Jaime\QUIFA-CAJÚA\Cajua\[CAJUA_CF_SEC_New_27-Feb-2024Rev3.xlsx]D-PNP'!$EA$47</v>
      </c>
      <c r="J2583" s="37" t="s">
        <v>3182</v>
      </c>
    </row>
    <row r="2584" spans="1:10" x14ac:dyDescent="0.25">
      <c r="A2584" s="32" t="s">
        <v>2</v>
      </c>
      <c r="B2584" s="32">
        <f t="shared" si="609"/>
        <v>2059</v>
      </c>
      <c r="C2584" s="33" t="s">
        <v>23</v>
      </c>
      <c r="D2584" s="34" t="s">
        <v>1999</v>
      </c>
      <c r="E2584" s="35" t="str">
        <f t="shared" si="605"/>
        <v>PNP'!</v>
      </c>
      <c r="F2584" s="34" t="str">
        <f t="shared" si="606"/>
        <v>C:\Users\jaime.benazar\Quorum Business Solutions\Ecopetrol Prometeo - Documents\Planning Space Implementation\3. Analysis &amp; Design\Design\FC22\DRR Jaime\QUIFA-CAJÚA\Cajua\[CAJUA_CF_SEC_New_27-Feb-2024Rev3.xlsx]D-PNP'!</v>
      </c>
      <c r="G2584" s="32" t="s">
        <v>116</v>
      </c>
      <c r="H2584" s="33">
        <f t="shared" si="607"/>
        <v>48</v>
      </c>
      <c r="I2584" s="33" t="str">
        <f t="shared" si="608"/>
        <v>='C:\Users\jaime.benazar\Quorum Business Solutions\Ecopetrol Prometeo - Documents\Planning Space Implementation\3. Analysis &amp; Design\Design\FC22\DRR Jaime\QUIFA-CAJÚA\Cajua\[CAJUA_CF_SEC_New_27-Feb-2024Rev3.xlsx]D-PNP'!$EA$48</v>
      </c>
      <c r="J2584" s="37" t="s">
        <v>3183</v>
      </c>
    </row>
    <row r="2585" spans="1:10" x14ac:dyDescent="0.25">
      <c r="A2585" s="32" t="s">
        <v>28</v>
      </c>
      <c r="B2585" s="32"/>
      <c r="C2585" s="33" t="s">
        <v>23</v>
      </c>
      <c r="D2585" s="34"/>
      <c r="E2585" s="35"/>
      <c r="F2585" s="34"/>
      <c r="G2585" s="32"/>
      <c r="H2585" s="33"/>
      <c r="I2585" s="33"/>
      <c r="J2585" s="33"/>
    </row>
    <row r="2586" spans="1:10" x14ac:dyDescent="0.25">
      <c r="A2586" s="32" t="s">
        <v>3</v>
      </c>
      <c r="B2586" s="32">
        <v>2023</v>
      </c>
      <c r="C2586" s="33" t="s">
        <v>23</v>
      </c>
      <c r="D2586" s="34" t="s">
        <v>1999</v>
      </c>
      <c r="E2586" s="35" t="str">
        <f t="shared" ref="E2586:E2606" si="610">_xlfn.CONCAT(A2586,"'!")</f>
        <v>PND'!</v>
      </c>
      <c r="F2586" s="34" t="str">
        <f t="shared" ref="F2586:F2606" si="611">_xlfn.CONCAT(D2586:E2586)</f>
        <v>C:\Users\jaime.benazar\Quorum Business Solutions\Ecopetrol Prometeo - Documents\Planning Space Implementation\3. Analysis &amp; Design\Design\FC22\DRR Jaime\QUIFA-CAJÚA\Cajua\[CAJUA_CF_SEC_New_27-Feb-2024Rev3.xlsx]D-PND'!</v>
      </c>
      <c r="G2586" s="32" t="s">
        <v>116</v>
      </c>
      <c r="H2586" s="33">
        <v>12</v>
      </c>
      <c r="I2586" s="33" t="str">
        <f t="shared" ref="I2586:I2606" si="612">_xlfn.CONCAT("='",F2586:H2586)</f>
        <v>='C:\Users\jaime.benazar\Quorum Business Solutions\Ecopetrol Prometeo - Documents\Planning Space Implementation\3. Analysis &amp; Design\Design\FC22\DRR Jaime\QUIFA-CAJÚA\Cajua\[CAJUA_CF_SEC_New_27-Feb-2024Rev3.xlsx]D-PND'!$EA$12</v>
      </c>
      <c r="J2586" s="37" t="s">
        <v>3184</v>
      </c>
    </row>
    <row r="2587" spans="1:10" x14ac:dyDescent="0.25">
      <c r="A2587" s="32" t="s">
        <v>3</v>
      </c>
      <c r="B2587" s="32">
        <f>+B2586+1</f>
        <v>2024</v>
      </c>
      <c r="C2587" s="33" t="s">
        <v>23</v>
      </c>
      <c r="D2587" s="34" t="s">
        <v>1999</v>
      </c>
      <c r="E2587" s="35" t="str">
        <f t="shared" si="610"/>
        <v>PND'!</v>
      </c>
      <c r="F2587" s="34" t="str">
        <f t="shared" si="611"/>
        <v>C:\Users\jaime.benazar\Quorum Business Solutions\Ecopetrol Prometeo - Documents\Planning Space Implementation\3. Analysis &amp; Design\Design\FC22\DRR Jaime\QUIFA-CAJÚA\Cajua\[CAJUA_CF_SEC_New_27-Feb-2024Rev3.xlsx]D-PND'!</v>
      </c>
      <c r="G2587" s="32" t="s">
        <v>116</v>
      </c>
      <c r="H2587" s="33">
        <f t="shared" ref="H2587:H2606" si="613">IF(A2587&lt;&gt;A2586,12,H2586+1)</f>
        <v>13</v>
      </c>
      <c r="I2587" s="33" t="str">
        <f t="shared" si="612"/>
        <v>='C:\Users\jaime.benazar\Quorum Business Solutions\Ecopetrol Prometeo - Documents\Planning Space Implementation\3. Analysis &amp; Design\Design\FC22\DRR Jaime\QUIFA-CAJÚA\Cajua\[CAJUA_CF_SEC_New_27-Feb-2024Rev3.xlsx]D-PND'!$EA$13</v>
      </c>
      <c r="J2587" s="37" t="s">
        <v>3185</v>
      </c>
    </row>
    <row r="2588" spans="1:10" x14ac:dyDescent="0.25">
      <c r="A2588" s="32" t="s">
        <v>3</v>
      </c>
      <c r="B2588" s="32">
        <f t="shared" ref="B2588:B2599" si="614">+B2587+1</f>
        <v>2025</v>
      </c>
      <c r="C2588" s="33" t="s">
        <v>23</v>
      </c>
      <c r="D2588" s="34" t="s">
        <v>1999</v>
      </c>
      <c r="E2588" s="35" t="str">
        <f t="shared" si="610"/>
        <v>PND'!</v>
      </c>
      <c r="F2588" s="34" t="str">
        <f t="shared" si="611"/>
        <v>C:\Users\jaime.benazar\Quorum Business Solutions\Ecopetrol Prometeo - Documents\Planning Space Implementation\3. Analysis &amp; Design\Design\FC22\DRR Jaime\QUIFA-CAJÚA\Cajua\[CAJUA_CF_SEC_New_27-Feb-2024Rev3.xlsx]D-PND'!</v>
      </c>
      <c r="G2588" s="32" t="s">
        <v>116</v>
      </c>
      <c r="H2588" s="33">
        <f t="shared" si="613"/>
        <v>14</v>
      </c>
      <c r="I2588" s="33" t="str">
        <f t="shared" si="612"/>
        <v>='C:\Users\jaime.benazar\Quorum Business Solutions\Ecopetrol Prometeo - Documents\Planning Space Implementation\3. Analysis &amp; Design\Design\FC22\DRR Jaime\QUIFA-CAJÚA\Cajua\[CAJUA_CF_SEC_New_27-Feb-2024Rev3.xlsx]D-PND'!$EA$14</v>
      </c>
      <c r="J2588" s="37" t="s">
        <v>3186</v>
      </c>
    </row>
    <row r="2589" spans="1:10" x14ac:dyDescent="0.25">
      <c r="A2589" s="32" t="s">
        <v>3</v>
      </c>
      <c r="B2589" s="32">
        <f t="shared" si="614"/>
        <v>2026</v>
      </c>
      <c r="C2589" s="33" t="s">
        <v>23</v>
      </c>
      <c r="D2589" s="34" t="s">
        <v>1999</v>
      </c>
      <c r="E2589" s="35" t="str">
        <f t="shared" si="610"/>
        <v>PND'!</v>
      </c>
      <c r="F2589" s="34" t="str">
        <f t="shared" si="611"/>
        <v>C:\Users\jaime.benazar\Quorum Business Solutions\Ecopetrol Prometeo - Documents\Planning Space Implementation\3. Analysis &amp; Design\Design\FC22\DRR Jaime\QUIFA-CAJÚA\Cajua\[CAJUA_CF_SEC_New_27-Feb-2024Rev3.xlsx]D-PND'!</v>
      </c>
      <c r="G2589" s="32" t="s">
        <v>116</v>
      </c>
      <c r="H2589" s="33">
        <f t="shared" si="613"/>
        <v>15</v>
      </c>
      <c r="I2589" s="33" t="str">
        <f t="shared" si="612"/>
        <v>='C:\Users\jaime.benazar\Quorum Business Solutions\Ecopetrol Prometeo - Documents\Planning Space Implementation\3. Analysis &amp; Design\Design\FC22\DRR Jaime\QUIFA-CAJÚA\Cajua\[CAJUA_CF_SEC_New_27-Feb-2024Rev3.xlsx]D-PND'!$EA$15</v>
      </c>
      <c r="J2589" s="37" t="s">
        <v>3187</v>
      </c>
    </row>
    <row r="2590" spans="1:10" x14ac:dyDescent="0.25">
      <c r="A2590" s="32" t="s">
        <v>3</v>
      </c>
      <c r="B2590" s="32">
        <f t="shared" si="614"/>
        <v>2027</v>
      </c>
      <c r="C2590" s="33" t="s">
        <v>23</v>
      </c>
      <c r="D2590" s="34" t="s">
        <v>1999</v>
      </c>
      <c r="E2590" s="35" t="str">
        <f t="shared" si="610"/>
        <v>PND'!</v>
      </c>
      <c r="F2590" s="34" t="str">
        <f t="shared" si="611"/>
        <v>C:\Users\jaime.benazar\Quorum Business Solutions\Ecopetrol Prometeo - Documents\Planning Space Implementation\3. Analysis &amp; Design\Design\FC22\DRR Jaime\QUIFA-CAJÚA\Cajua\[CAJUA_CF_SEC_New_27-Feb-2024Rev3.xlsx]D-PND'!</v>
      </c>
      <c r="G2590" s="32" t="s">
        <v>116</v>
      </c>
      <c r="H2590" s="33">
        <f t="shared" si="613"/>
        <v>16</v>
      </c>
      <c r="I2590" s="33" t="str">
        <f t="shared" si="612"/>
        <v>='C:\Users\jaime.benazar\Quorum Business Solutions\Ecopetrol Prometeo - Documents\Planning Space Implementation\3. Analysis &amp; Design\Design\FC22\DRR Jaime\QUIFA-CAJÚA\Cajua\[CAJUA_CF_SEC_New_27-Feb-2024Rev3.xlsx]D-PND'!$EA$16</v>
      </c>
      <c r="J2590" s="37" t="s">
        <v>3188</v>
      </c>
    </row>
    <row r="2591" spans="1:10" x14ac:dyDescent="0.25">
      <c r="A2591" s="32" t="s">
        <v>3</v>
      </c>
      <c r="B2591" s="32">
        <f t="shared" si="614"/>
        <v>2028</v>
      </c>
      <c r="C2591" s="33" t="s">
        <v>23</v>
      </c>
      <c r="D2591" s="34" t="s">
        <v>1999</v>
      </c>
      <c r="E2591" s="35" t="str">
        <f t="shared" si="610"/>
        <v>PND'!</v>
      </c>
      <c r="F2591" s="34" t="str">
        <f t="shared" si="611"/>
        <v>C:\Users\jaime.benazar\Quorum Business Solutions\Ecopetrol Prometeo - Documents\Planning Space Implementation\3. Analysis &amp; Design\Design\FC22\DRR Jaime\QUIFA-CAJÚA\Cajua\[CAJUA_CF_SEC_New_27-Feb-2024Rev3.xlsx]D-PND'!</v>
      </c>
      <c r="G2591" s="32" t="s">
        <v>116</v>
      </c>
      <c r="H2591" s="33">
        <f t="shared" si="613"/>
        <v>17</v>
      </c>
      <c r="I2591" s="33" t="str">
        <f t="shared" si="612"/>
        <v>='C:\Users\jaime.benazar\Quorum Business Solutions\Ecopetrol Prometeo - Documents\Planning Space Implementation\3. Analysis &amp; Design\Design\FC22\DRR Jaime\QUIFA-CAJÚA\Cajua\[CAJUA_CF_SEC_New_27-Feb-2024Rev3.xlsx]D-PND'!$EA$17</v>
      </c>
      <c r="J2591" s="37" t="s">
        <v>3189</v>
      </c>
    </row>
    <row r="2592" spans="1:10" x14ac:dyDescent="0.25">
      <c r="A2592" s="32" t="s">
        <v>3</v>
      </c>
      <c r="B2592" s="32">
        <f t="shared" si="614"/>
        <v>2029</v>
      </c>
      <c r="C2592" s="33" t="s">
        <v>23</v>
      </c>
      <c r="D2592" s="34" t="s">
        <v>1999</v>
      </c>
      <c r="E2592" s="35" t="str">
        <f t="shared" si="610"/>
        <v>PND'!</v>
      </c>
      <c r="F2592" s="34" t="str">
        <f t="shared" si="611"/>
        <v>C:\Users\jaime.benazar\Quorum Business Solutions\Ecopetrol Prometeo - Documents\Planning Space Implementation\3. Analysis &amp; Design\Design\FC22\DRR Jaime\QUIFA-CAJÚA\Cajua\[CAJUA_CF_SEC_New_27-Feb-2024Rev3.xlsx]D-PND'!</v>
      </c>
      <c r="G2592" s="32" t="s">
        <v>116</v>
      </c>
      <c r="H2592" s="33">
        <f t="shared" si="613"/>
        <v>18</v>
      </c>
      <c r="I2592" s="33" t="str">
        <f t="shared" si="612"/>
        <v>='C:\Users\jaime.benazar\Quorum Business Solutions\Ecopetrol Prometeo - Documents\Planning Space Implementation\3. Analysis &amp; Design\Design\FC22\DRR Jaime\QUIFA-CAJÚA\Cajua\[CAJUA_CF_SEC_New_27-Feb-2024Rev3.xlsx]D-PND'!$EA$18</v>
      </c>
      <c r="J2592" s="37" t="s">
        <v>3190</v>
      </c>
    </row>
    <row r="2593" spans="1:10" x14ac:dyDescent="0.25">
      <c r="A2593" s="32" t="s">
        <v>3</v>
      </c>
      <c r="B2593" s="32">
        <f t="shared" si="614"/>
        <v>2030</v>
      </c>
      <c r="C2593" s="33" t="s">
        <v>23</v>
      </c>
      <c r="D2593" s="34" t="s">
        <v>1999</v>
      </c>
      <c r="E2593" s="35" t="str">
        <f t="shared" si="610"/>
        <v>PND'!</v>
      </c>
      <c r="F2593" s="34" t="str">
        <f t="shared" si="611"/>
        <v>C:\Users\jaime.benazar\Quorum Business Solutions\Ecopetrol Prometeo - Documents\Planning Space Implementation\3. Analysis &amp; Design\Design\FC22\DRR Jaime\QUIFA-CAJÚA\Cajua\[CAJUA_CF_SEC_New_27-Feb-2024Rev3.xlsx]D-PND'!</v>
      </c>
      <c r="G2593" s="32" t="s">
        <v>116</v>
      </c>
      <c r="H2593" s="33">
        <f t="shared" si="613"/>
        <v>19</v>
      </c>
      <c r="I2593" s="33" t="str">
        <f t="shared" si="612"/>
        <v>='C:\Users\jaime.benazar\Quorum Business Solutions\Ecopetrol Prometeo - Documents\Planning Space Implementation\3. Analysis &amp; Design\Design\FC22\DRR Jaime\QUIFA-CAJÚA\Cajua\[CAJUA_CF_SEC_New_27-Feb-2024Rev3.xlsx]D-PND'!$EA$19</v>
      </c>
      <c r="J2593" s="37" t="s">
        <v>3191</v>
      </c>
    </row>
    <row r="2594" spans="1:10" x14ac:dyDescent="0.25">
      <c r="A2594" s="32" t="s">
        <v>3</v>
      </c>
      <c r="B2594" s="32">
        <f t="shared" si="614"/>
        <v>2031</v>
      </c>
      <c r="C2594" s="33" t="s">
        <v>23</v>
      </c>
      <c r="D2594" s="34" t="s">
        <v>1999</v>
      </c>
      <c r="E2594" s="35" t="str">
        <f t="shared" si="610"/>
        <v>PND'!</v>
      </c>
      <c r="F2594" s="34" t="str">
        <f t="shared" si="611"/>
        <v>C:\Users\jaime.benazar\Quorum Business Solutions\Ecopetrol Prometeo - Documents\Planning Space Implementation\3. Analysis &amp; Design\Design\FC22\DRR Jaime\QUIFA-CAJÚA\Cajua\[CAJUA_CF_SEC_New_27-Feb-2024Rev3.xlsx]D-PND'!</v>
      </c>
      <c r="G2594" s="32" t="s">
        <v>116</v>
      </c>
      <c r="H2594" s="33">
        <f t="shared" si="613"/>
        <v>20</v>
      </c>
      <c r="I2594" s="33" t="str">
        <f t="shared" si="612"/>
        <v>='C:\Users\jaime.benazar\Quorum Business Solutions\Ecopetrol Prometeo - Documents\Planning Space Implementation\3. Analysis &amp; Design\Design\FC22\DRR Jaime\QUIFA-CAJÚA\Cajua\[CAJUA_CF_SEC_New_27-Feb-2024Rev3.xlsx]D-PND'!$EA$20</v>
      </c>
      <c r="J2594" s="37" t="s">
        <v>3192</v>
      </c>
    </row>
    <row r="2595" spans="1:10" x14ac:dyDescent="0.25">
      <c r="A2595" s="32" t="s">
        <v>3</v>
      </c>
      <c r="B2595" s="32">
        <f t="shared" si="614"/>
        <v>2032</v>
      </c>
      <c r="C2595" s="33" t="s">
        <v>23</v>
      </c>
      <c r="D2595" s="34" t="s">
        <v>1999</v>
      </c>
      <c r="E2595" s="35" t="str">
        <f t="shared" si="610"/>
        <v>PND'!</v>
      </c>
      <c r="F2595" s="34" t="str">
        <f t="shared" si="611"/>
        <v>C:\Users\jaime.benazar\Quorum Business Solutions\Ecopetrol Prometeo - Documents\Planning Space Implementation\3. Analysis &amp; Design\Design\FC22\DRR Jaime\QUIFA-CAJÚA\Cajua\[CAJUA_CF_SEC_New_27-Feb-2024Rev3.xlsx]D-PND'!</v>
      </c>
      <c r="G2595" s="32" t="s">
        <v>116</v>
      </c>
      <c r="H2595" s="33">
        <f t="shared" si="613"/>
        <v>21</v>
      </c>
      <c r="I2595" s="33" t="str">
        <f t="shared" si="612"/>
        <v>='C:\Users\jaime.benazar\Quorum Business Solutions\Ecopetrol Prometeo - Documents\Planning Space Implementation\3. Analysis &amp; Design\Design\FC22\DRR Jaime\QUIFA-CAJÚA\Cajua\[CAJUA_CF_SEC_New_27-Feb-2024Rev3.xlsx]D-PND'!$EA$21</v>
      </c>
      <c r="J2595" s="37" t="s">
        <v>3193</v>
      </c>
    </row>
    <row r="2596" spans="1:10" x14ac:dyDescent="0.25">
      <c r="A2596" s="32" t="s">
        <v>3</v>
      </c>
      <c r="B2596" s="32">
        <f t="shared" si="614"/>
        <v>2033</v>
      </c>
      <c r="C2596" s="33" t="s">
        <v>23</v>
      </c>
      <c r="D2596" s="34" t="s">
        <v>1999</v>
      </c>
      <c r="E2596" s="35" t="str">
        <f t="shared" si="610"/>
        <v>PND'!</v>
      </c>
      <c r="F2596" s="34" t="str">
        <f t="shared" si="611"/>
        <v>C:\Users\jaime.benazar\Quorum Business Solutions\Ecopetrol Prometeo - Documents\Planning Space Implementation\3. Analysis &amp; Design\Design\FC22\DRR Jaime\QUIFA-CAJÚA\Cajua\[CAJUA_CF_SEC_New_27-Feb-2024Rev3.xlsx]D-PND'!</v>
      </c>
      <c r="G2596" s="32" t="s">
        <v>116</v>
      </c>
      <c r="H2596" s="33">
        <f t="shared" si="613"/>
        <v>22</v>
      </c>
      <c r="I2596" s="33" t="str">
        <f t="shared" si="612"/>
        <v>='C:\Users\jaime.benazar\Quorum Business Solutions\Ecopetrol Prometeo - Documents\Planning Space Implementation\3. Analysis &amp; Design\Design\FC22\DRR Jaime\QUIFA-CAJÚA\Cajua\[CAJUA_CF_SEC_New_27-Feb-2024Rev3.xlsx]D-PND'!$EA$22</v>
      </c>
      <c r="J2596" s="37" t="s">
        <v>3194</v>
      </c>
    </row>
    <row r="2597" spans="1:10" x14ac:dyDescent="0.25">
      <c r="A2597" s="32" t="s">
        <v>3</v>
      </c>
      <c r="B2597" s="32">
        <f t="shared" si="614"/>
        <v>2034</v>
      </c>
      <c r="C2597" s="33" t="s">
        <v>23</v>
      </c>
      <c r="D2597" s="34" t="s">
        <v>1999</v>
      </c>
      <c r="E2597" s="35" t="str">
        <f t="shared" si="610"/>
        <v>PND'!</v>
      </c>
      <c r="F2597" s="34" t="str">
        <f t="shared" si="611"/>
        <v>C:\Users\jaime.benazar\Quorum Business Solutions\Ecopetrol Prometeo - Documents\Planning Space Implementation\3. Analysis &amp; Design\Design\FC22\DRR Jaime\QUIFA-CAJÚA\Cajua\[CAJUA_CF_SEC_New_27-Feb-2024Rev3.xlsx]D-PND'!</v>
      </c>
      <c r="G2597" s="32" t="s">
        <v>116</v>
      </c>
      <c r="H2597" s="33">
        <f t="shared" si="613"/>
        <v>23</v>
      </c>
      <c r="I2597" s="33" t="str">
        <f t="shared" si="612"/>
        <v>='C:\Users\jaime.benazar\Quorum Business Solutions\Ecopetrol Prometeo - Documents\Planning Space Implementation\3. Analysis &amp; Design\Design\FC22\DRR Jaime\QUIFA-CAJÚA\Cajua\[CAJUA_CF_SEC_New_27-Feb-2024Rev3.xlsx]D-PND'!$EA$23</v>
      </c>
      <c r="J2597" s="37" t="s">
        <v>3195</v>
      </c>
    </row>
    <row r="2598" spans="1:10" x14ac:dyDescent="0.25">
      <c r="A2598" s="32" t="s">
        <v>3</v>
      </c>
      <c r="B2598" s="32">
        <f t="shared" si="614"/>
        <v>2035</v>
      </c>
      <c r="C2598" s="33" t="s">
        <v>23</v>
      </c>
      <c r="D2598" s="34" t="s">
        <v>1999</v>
      </c>
      <c r="E2598" s="35" t="str">
        <f t="shared" si="610"/>
        <v>PND'!</v>
      </c>
      <c r="F2598" s="34" t="str">
        <f t="shared" si="611"/>
        <v>C:\Users\jaime.benazar\Quorum Business Solutions\Ecopetrol Prometeo - Documents\Planning Space Implementation\3. Analysis &amp; Design\Design\FC22\DRR Jaime\QUIFA-CAJÚA\Cajua\[CAJUA_CF_SEC_New_27-Feb-2024Rev3.xlsx]D-PND'!</v>
      </c>
      <c r="G2598" s="32" t="s">
        <v>116</v>
      </c>
      <c r="H2598" s="33">
        <f t="shared" si="613"/>
        <v>24</v>
      </c>
      <c r="I2598" s="33" t="str">
        <f t="shared" si="612"/>
        <v>='C:\Users\jaime.benazar\Quorum Business Solutions\Ecopetrol Prometeo - Documents\Planning Space Implementation\3. Analysis &amp; Design\Design\FC22\DRR Jaime\QUIFA-CAJÚA\Cajua\[CAJUA_CF_SEC_New_27-Feb-2024Rev3.xlsx]D-PND'!$EA$24</v>
      </c>
      <c r="J2598" s="37" t="s">
        <v>3196</v>
      </c>
    </row>
    <row r="2599" spans="1:10" x14ac:dyDescent="0.25">
      <c r="A2599" s="32" t="s">
        <v>3</v>
      </c>
      <c r="B2599" s="32">
        <f t="shared" si="614"/>
        <v>2036</v>
      </c>
      <c r="C2599" s="33" t="s">
        <v>23</v>
      </c>
      <c r="D2599" s="34" t="s">
        <v>1999</v>
      </c>
      <c r="E2599" s="35" t="str">
        <f t="shared" si="610"/>
        <v>PND'!</v>
      </c>
      <c r="F2599" s="34" t="str">
        <f t="shared" si="611"/>
        <v>C:\Users\jaime.benazar\Quorum Business Solutions\Ecopetrol Prometeo - Documents\Planning Space Implementation\3. Analysis &amp; Design\Design\FC22\DRR Jaime\QUIFA-CAJÚA\Cajua\[CAJUA_CF_SEC_New_27-Feb-2024Rev3.xlsx]D-PND'!</v>
      </c>
      <c r="G2599" s="32" t="s">
        <v>116</v>
      </c>
      <c r="H2599" s="33">
        <f t="shared" si="613"/>
        <v>25</v>
      </c>
      <c r="I2599" s="33" t="str">
        <f t="shared" si="612"/>
        <v>='C:\Users\jaime.benazar\Quorum Business Solutions\Ecopetrol Prometeo - Documents\Planning Space Implementation\3. Analysis &amp; Design\Design\FC22\DRR Jaime\QUIFA-CAJÚA\Cajua\[CAJUA_CF_SEC_New_27-Feb-2024Rev3.xlsx]D-PND'!$EA$25</v>
      </c>
      <c r="J2599" s="37" t="s">
        <v>3197</v>
      </c>
    </row>
    <row r="2600" spans="1:10" x14ac:dyDescent="0.25">
      <c r="A2600" s="32" t="s">
        <v>3</v>
      </c>
      <c r="B2600" s="32">
        <f>+B2599+1</f>
        <v>2037</v>
      </c>
      <c r="C2600" s="33" t="s">
        <v>23</v>
      </c>
      <c r="D2600" s="34" t="s">
        <v>1999</v>
      </c>
      <c r="E2600" s="35" t="str">
        <f t="shared" si="610"/>
        <v>PND'!</v>
      </c>
      <c r="F2600" s="34" t="str">
        <f t="shared" si="611"/>
        <v>C:\Users\jaime.benazar\Quorum Business Solutions\Ecopetrol Prometeo - Documents\Planning Space Implementation\3. Analysis &amp; Design\Design\FC22\DRR Jaime\QUIFA-CAJÚA\Cajua\[CAJUA_CF_SEC_New_27-Feb-2024Rev3.xlsx]D-PND'!</v>
      </c>
      <c r="G2600" s="32" t="s">
        <v>116</v>
      </c>
      <c r="H2600" s="33">
        <f t="shared" si="613"/>
        <v>26</v>
      </c>
      <c r="I2600" s="33" t="str">
        <f t="shared" si="612"/>
        <v>='C:\Users\jaime.benazar\Quorum Business Solutions\Ecopetrol Prometeo - Documents\Planning Space Implementation\3. Analysis &amp; Design\Design\FC22\DRR Jaime\QUIFA-CAJÚA\Cajua\[CAJUA_CF_SEC_New_27-Feb-2024Rev3.xlsx]D-PND'!$EA$26</v>
      </c>
      <c r="J2600" s="37" t="s">
        <v>3198</v>
      </c>
    </row>
    <row r="2601" spans="1:10" x14ac:dyDescent="0.25">
      <c r="A2601" s="32" t="s">
        <v>3</v>
      </c>
      <c r="B2601" s="32">
        <f t="shared" ref="B2601:B2603" si="615">+B2600+1</f>
        <v>2038</v>
      </c>
      <c r="C2601" s="33" t="s">
        <v>23</v>
      </c>
      <c r="D2601" s="34" t="s">
        <v>1999</v>
      </c>
      <c r="E2601" s="35" t="str">
        <f t="shared" si="610"/>
        <v>PND'!</v>
      </c>
      <c r="F2601" s="34" t="str">
        <f t="shared" si="611"/>
        <v>C:\Users\jaime.benazar\Quorum Business Solutions\Ecopetrol Prometeo - Documents\Planning Space Implementation\3. Analysis &amp; Design\Design\FC22\DRR Jaime\QUIFA-CAJÚA\Cajua\[CAJUA_CF_SEC_New_27-Feb-2024Rev3.xlsx]D-PND'!</v>
      </c>
      <c r="G2601" s="32" t="s">
        <v>116</v>
      </c>
      <c r="H2601" s="33">
        <f t="shared" si="613"/>
        <v>27</v>
      </c>
      <c r="I2601" s="33" t="str">
        <f t="shared" si="612"/>
        <v>='C:\Users\jaime.benazar\Quorum Business Solutions\Ecopetrol Prometeo - Documents\Planning Space Implementation\3. Analysis &amp; Design\Design\FC22\DRR Jaime\QUIFA-CAJÚA\Cajua\[CAJUA_CF_SEC_New_27-Feb-2024Rev3.xlsx]D-PND'!$EA$27</v>
      </c>
      <c r="J2601" s="37" t="s">
        <v>3199</v>
      </c>
    </row>
    <row r="2602" spans="1:10" x14ac:dyDescent="0.25">
      <c r="A2602" s="32" t="s">
        <v>3</v>
      </c>
      <c r="B2602" s="32">
        <f t="shared" si="615"/>
        <v>2039</v>
      </c>
      <c r="C2602" s="33" t="s">
        <v>23</v>
      </c>
      <c r="D2602" s="34" t="s">
        <v>1999</v>
      </c>
      <c r="E2602" s="35" t="str">
        <f t="shared" si="610"/>
        <v>PND'!</v>
      </c>
      <c r="F2602" s="34" t="str">
        <f t="shared" si="611"/>
        <v>C:\Users\jaime.benazar\Quorum Business Solutions\Ecopetrol Prometeo - Documents\Planning Space Implementation\3. Analysis &amp; Design\Design\FC22\DRR Jaime\QUIFA-CAJÚA\Cajua\[CAJUA_CF_SEC_New_27-Feb-2024Rev3.xlsx]D-PND'!</v>
      </c>
      <c r="G2602" s="32" t="s">
        <v>116</v>
      </c>
      <c r="H2602" s="33">
        <f t="shared" si="613"/>
        <v>28</v>
      </c>
      <c r="I2602" s="33" t="str">
        <f t="shared" si="612"/>
        <v>='C:\Users\jaime.benazar\Quorum Business Solutions\Ecopetrol Prometeo - Documents\Planning Space Implementation\3. Analysis &amp; Design\Design\FC22\DRR Jaime\QUIFA-CAJÚA\Cajua\[CAJUA_CF_SEC_New_27-Feb-2024Rev3.xlsx]D-PND'!$EA$28</v>
      </c>
      <c r="J2602" s="37" t="s">
        <v>3200</v>
      </c>
    </row>
    <row r="2603" spans="1:10" x14ac:dyDescent="0.25">
      <c r="A2603" s="32" t="s">
        <v>3</v>
      </c>
      <c r="B2603" s="32">
        <f t="shared" si="615"/>
        <v>2040</v>
      </c>
      <c r="C2603" s="33" t="s">
        <v>23</v>
      </c>
      <c r="D2603" s="34" t="s">
        <v>1999</v>
      </c>
      <c r="E2603" s="35" t="str">
        <f t="shared" si="610"/>
        <v>PND'!</v>
      </c>
      <c r="F2603" s="34" t="str">
        <f t="shared" si="611"/>
        <v>C:\Users\jaime.benazar\Quorum Business Solutions\Ecopetrol Prometeo - Documents\Planning Space Implementation\3. Analysis &amp; Design\Design\FC22\DRR Jaime\QUIFA-CAJÚA\Cajua\[CAJUA_CF_SEC_New_27-Feb-2024Rev3.xlsx]D-PND'!</v>
      </c>
      <c r="G2603" s="32" t="s">
        <v>116</v>
      </c>
      <c r="H2603" s="33">
        <f t="shared" si="613"/>
        <v>29</v>
      </c>
      <c r="I2603" s="33" t="str">
        <f t="shared" si="612"/>
        <v>='C:\Users\jaime.benazar\Quorum Business Solutions\Ecopetrol Prometeo - Documents\Planning Space Implementation\3. Analysis &amp; Design\Design\FC22\DRR Jaime\QUIFA-CAJÚA\Cajua\[CAJUA_CF_SEC_New_27-Feb-2024Rev3.xlsx]D-PND'!$EA$29</v>
      </c>
      <c r="J2603" s="37" t="s">
        <v>3201</v>
      </c>
    </row>
    <row r="2604" spans="1:10" x14ac:dyDescent="0.25">
      <c r="A2604" s="32" t="s">
        <v>3</v>
      </c>
      <c r="B2604" s="32">
        <f>+B2603+1</f>
        <v>2041</v>
      </c>
      <c r="C2604" s="33" t="s">
        <v>23</v>
      </c>
      <c r="D2604" s="34" t="s">
        <v>1999</v>
      </c>
      <c r="E2604" s="35" t="str">
        <f t="shared" si="610"/>
        <v>PND'!</v>
      </c>
      <c r="F2604" s="34" t="str">
        <f t="shared" si="611"/>
        <v>C:\Users\jaime.benazar\Quorum Business Solutions\Ecopetrol Prometeo - Documents\Planning Space Implementation\3. Analysis &amp; Design\Design\FC22\DRR Jaime\QUIFA-CAJÚA\Cajua\[CAJUA_CF_SEC_New_27-Feb-2024Rev3.xlsx]D-PND'!</v>
      </c>
      <c r="G2604" s="32" t="s">
        <v>116</v>
      </c>
      <c r="H2604" s="33">
        <f t="shared" si="613"/>
        <v>30</v>
      </c>
      <c r="I2604" s="33" t="str">
        <f t="shared" si="612"/>
        <v>='C:\Users\jaime.benazar\Quorum Business Solutions\Ecopetrol Prometeo - Documents\Planning Space Implementation\3. Analysis &amp; Design\Design\FC22\DRR Jaime\QUIFA-CAJÚA\Cajua\[CAJUA_CF_SEC_New_27-Feb-2024Rev3.xlsx]D-PND'!$EA$30</v>
      </c>
      <c r="J2604" s="37" t="s">
        <v>3202</v>
      </c>
    </row>
    <row r="2605" spans="1:10" x14ac:dyDescent="0.25">
      <c r="A2605" s="32" t="s">
        <v>3</v>
      </c>
      <c r="B2605" s="32">
        <f t="shared" ref="B2605:B2606" si="616">+B2604+1</f>
        <v>2042</v>
      </c>
      <c r="C2605" s="33" t="s">
        <v>23</v>
      </c>
      <c r="D2605" s="34" t="s">
        <v>1999</v>
      </c>
      <c r="E2605" s="35" t="str">
        <f t="shared" si="610"/>
        <v>PND'!</v>
      </c>
      <c r="F2605" s="34" t="str">
        <f t="shared" si="611"/>
        <v>C:\Users\jaime.benazar\Quorum Business Solutions\Ecopetrol Prometeo - Documents\Planning Space Implementation\3. Analysis &amp; Design\Design\FC22\DRR Jaime\QUIFA-CAJÚA\Cajua\[CAJUA_CF_SEC_New_27-Feb-2024Rev3.xlsx]D-PND'!</v>
      </c>
      <c r="G2605" s="32" t="s">
        <v>116</v>
      </c>
      <c r="H2605" s="33">
        <f t="shared" si="613"/>
        <v>31</v>
      </c>
      <c r="I2605" s="33" t="str">
        <f t="shared" si="612"/>
        <v>='C:\Users\jaime.benazar\Quorum Business Solutions\Ecopetrol Prometeo - Documents\Planning Space Implementation\3. Analysis &amp; Design\Design\FC22\DRR Jaime\QUIFA-CAJÚA\Cajua\[CAJUA_CF_SEC_New_27-Feb-2024Rev3.xlsx]D-PND'!$EA$31</v>
      </c>
      <c r="J2605" s="37" t="s">
        <v>3203</v>
      </c>
    </row>
    <row r="2606" spans="1:10" x14ac:dyDescent="0.25">
      <c r="A2606" s="32" t="s">
        <v>3</v>
      </c>
      <c r="B2606" s="32">
        <f t="shared" si="616"/>
        <v>2043</v>
      </c>
      <c r="C2606" s="33" t="s">
        <v>23</v>
      </c>
      <c r="D2606" s="34" t="s">
        <v>1999</v>
      </c>
      <c r="E2606" s="35" t="str">
        <f t="shared" si="610"/>
        <v>PND'!</v>
      </c>
      <c r="F2606" s="34" t="str">
        <f t="shared" si="611"/>
        <v>C:\Users\jaime.benazar\Quorum Business Solutions\Ecopetrol Prometeo - Documents\Planning Space Implementation\3. Analysis &amp; Design\Design\FC22\DRR Jaime\QUIFA-CAJÚA\Cajua\[CAJUA_CF_SEC_New_27-Feb-2024Rev3.xlsx]D-PND'!</v>
      </c>
      <c r="G2606" s="32" t="s">
        <v>116</v>
      </c>
      <c r="H2606" s="33">
        <f t="shared" si="613"/>
        <v>32</v>
      </c>
      <c r="I2606" s="33" t="str">
        <f t="shared" si="612"/>
        <v>='C:\Users\jaime.benazar\Quorum Business Solutions\Ecopetrol Prometeo - Documents\Planning Space Implementation\3. Analysis &amp; Design\Design\FC22\DRR Jaime\QUIFA-CAJÚA\Cajua\[CAJUA_CF_SEC_New_27-Feb-2024Rev3.xlsx]D-PND'!$EA$32</v>
      </c>
      <c r="J2606" s="37" t="s">
        <v>3204</v>
      </c>
    </row>
    <row r="2607" spans="1:10" x14ac:dyDescent="0.25">
      <c r="A2607" s="32" t="s">
        <v>3</v>
      </c>
      <c r="B2607" s="32">
        <f>+B2606+1</f>
        <v>2044</v>
      </c>
      <c r="C2607" s="33" t="s">
        <v>23</v>
      </c>
      <c r="D2607" s="34" t="s">
        <v>1999</v>
      </c>
      <c r="E2607" s="35" t="str">
        <f t="shared" ref="E2607:E2622" si="617">_xlfn.CONCAT(A2607,"'!")</f>
        <v>PND'!</v>
      </c>
      <c r="F2607" s="34" t="str">
        <f t="shared" ref="F2607:F2622" si="618">_xlfn.CONCAT(D2607:E2607)</f>
        <v>C:\Users\jaime.benazar\Quorum Business Solutions\Ecopetrol Prometeo - Documents\Planning Space Implementation\3. Analysis &amp; Design\Design\FC22\DRR Jaime\QUIFA-CAJÚA\Cajua\[CAJUA_CF_SEC_New_27-Feb-2024Rev3.xlsx]D-PND'!</v>
      </c>
      <c r="G2607" s="32" t="s">
        <v>116</v>
      </c>
      <c r="H2607" s="33">
        <f t="shared" ref="H2607:H2622" si="619">IF(A2607&lt;&gt;A2606,12,H2606+1)</f>
        <v>33</v>
      </c>
      <c r="I2607" s="33" t="str">
        <f t="shared" ref="I2607:I2622" si="620">_xlfn.CONCAT("='",F2607:H2607)</f>
        <v>='C:\Users\jaime.benazar\Quorum Business Solutions\Ecopetrol Prometeo - Documents\Planning Space Implementation\3. Analysis &amp; Design\Design\FC22\DRR Jaime\QUIFA-CAJÚA\Cajua\[CAJUA_CF_SEC_New_27-Feb-2024Rev3.xlsx]D-PND'!$EA$33</v>
      </c>
      <c r="J2607" s="37" t="s">
        <v>3205</v>
      </c>
    </row>
    <row r="2608" spans="1:10" x14ac:dyDescent="0.25">
      <c r="A2608" s="32" t="s">
        <v>3</v>
      </c>
      <c r="B2608" s="32">
        <f t="shared" ref="B2608:B2622" si="621">+B2607+1</f>
        <v>2045</v>
      </c>
      <c r="C2608" s="33" t="s">
        <v>23</v>
      </c>
      <c r="D2608" s="34" t="s">
        <v>1999</v>
      </c>
      <c r="E2608" s="35" t="str">
        <f t="shared" si="617"/>
        <v>PND'!</v>
      </c>
      <c r="F2608" s="34" t="str">
        <f t="shared" si="618"/>
        <v>C:\Users\jaime.benazar\Quorum Business Solutions\Ecopetrol Prometeo - Documents\Planning Space Implementation\3. Analysis &amp; Design\Design\FC22\DRR Jaime\QUIFA-CAJÚA\Cajua\[CAJUA_CF_SEC_New_27-Feb-2024Rev3.xlsx]D-PND'!</v>
      </c>
      <c r="G2608" s="32" t="s">
        <v>116</v>
      </c>
      <c r="H2608" s="33">
        <f t="shared" si="619"/>
        <v>34</v>
      </c>
      <c r="I2608" s="33" t="str">
        <f t="shared" si="620"/>
        <v>='C:\Users\jaime.benazar\Quorum Business Solutions\Ecopetrol Prometeo - Documents\Planning Space Implementation\3. Analysis &amp; Design\Design\FC22\DRR Jaime\QUIFA-CAJÚA\Cajua\[CAJUA_CF_SEC_New_27-Feb-2024Rev3.xlsx]D-PND'!$EA$34</v>
      </c>
      <c r="J2608" s="37" t="s">
        <v>3206</v>
      </c>
    </row>
    <row r="2609" spans="1:10" x14ac:dyDescent="0.25">
      <c r="A2609" s="32" t="s">
        <v>3</v>
      </c>
      <c r="B2609" s="32">
        <f t="shared" si="621"/>
        <v>2046</v>
      </c>
      <c r="C2609" s="33" t="s">
        <v>23</v>
      </c>
      <c r="D2609" s="34" t="s">
        <v>1999</v>
      </c>
      <c r="E2609" s="35" t="str">
        <f t="shared" si="617"/>
        <v>PND'!</v>
      </c>
      <c r="F2609" s="34" t="str">
        <f t="shared" si="618"/>
        <v>C:\Users\jaime.benazar\Quorum Business Solutions\Ecopetrol Prometeo - Documents\Planning Space Implementation\3. Analysis &amp; Design\Design\FC22\DRR Jaime\QUIFA-CAJÚA\Cajua\[CAJUA_CF_SEC_New_27-Feb-2024Rev3.xlsx]D-PND'!</v>
      </c>
      <c r="G2609" s="32" t="s">
        <v>116</v>
      </c>
      <c r="H2609" s="33">
        <f t="shared" si="619"/>
        <v>35</v>
      </c>
      <c r="I2609" s="33" t="str">
        <f t="shared" si="620"/>
        <v>='C:\Users\jaime.benazar\Quorum Business Solutions\Ecopetrol Prometeo - Documents\Planning Space Implementation\3. Analysis &amp; Design\Design\FC22\DRR Jaime\QUIFA-CAJÚA\Cajua\[CAJUA_CF_SEC_New_27-Feb-2024Rev3.xlsx]D-PND'!$EA$35</v>
      </c>
      <c r="J2609" s="37" t="s">
        <v>3207</v>
      </c>
    </row>
    <row r="2610" spans="1:10" x14ac:dyDescent="0.25">
      <c r="A2610" s="32" t="s">
        <v>3</v>
      </c>
      <c r="B2610" s="32">
        <f t="shared" si="621"/>
        <v>2047</v>
      </c>
      <c r="C2610" s="33" t="s">
        <v>23</v>
      </c>
      <c r="D2610" s="34" t="s">
        <v>1999</v>
      </c>
      <c r="E2610" s="35" t="str">
        <f t="shared" si="617"/>
        <v>PND'!</v>
      </c>
      <c r="F2610" s="34" t="str">
        <f t="shared" si="618"/>
        <v>C:\Users\jaime.benazar\Quorum Business Solutions\Ecopetrol Prometeo - Documents\Planning Space Implementation\3. Analysis &amp; Design\Design\FC22\DRR Jaime\QUIFA-CAJÚA\Cajua\[CAJUA_CF_SEC_New_27-Feb-2024Rev3.xlsx]D-PND'!</v>
      </c>
      <c r="G2610" s="32" t="s">
        <v>116</v>
      </c>
      <c r="H2610" s="33">
        <f t="shared" si="619"/>
        <v>36</v>
      </c>
      <c r="I2610" s="33" t="str">
        <f t="shared" si="620"/>
        <v>='C:\Users\jaime.benazar\Quorum Business Solutions\Ecopetrol Prometeo - Documents\Planning Space Implementation\3. Analysis &amp; Design\Design\FC22\DRR Jaime\QUIFA-CAJÚA\Cajua\[CAJUA_CF_SEC_New_27-Feb-2024Rev3.xlsx]D-PND'!$EA$36</v>
      </c>
      <c r="J2610" s="37" t="s">
        <v>3208</v>
      </c>
    </row>
    <row r="2611" spans="1:10" x14ac:dyDescent="0.25">
      <c r="A2611" s="32" t="s">
        <v>3</v>
      </c>
      <c r="B2611" s="32">
        <f t="shared" si="621"/>
        <v>2048</v>
      </c>
      <c r="C2611" s="33" t="s">
        <v>23</v>
      </c>
      <c r="D2611" s="34" t="s">
        <v>1999</v>
      </c>
      <c r="E2611" s="35" t="str">
        <f t="shared" si="617"/>
        <v>PND'!</v>
      </c>
      <c r="F2611" s="34" t="str">
        <f t="shared" si="618"/>
        <v>C:\Users\jaime.benazar\Quorum Business Solutions\Ecopetrol Prometeo - Documents\Planning Space Implementation\3. Analysis &amp; Design\Design\FC22\DRR Jaime\QUIFA-CAJÚA\Cajua\[CAJUA_CF_SEC_New_27-Feb-2024Rev3.xlsx]D-PND'!</v>
      </c>
      <c r="G2611" s="32" t="s">
        <v>116</v>
      </c>
      <c r="H2611" s="33">
        <f t="shared" si="619"/>
        <v>37</v>
      </c>
      <c r="I2611" s="33" t="str">
        <f t="shared" si="620"/>
        <v>='C:\Users\jaime.benazar\Quorum Business Solutions\Ecopetrol Prometeo - Documents\Planning Space Implementation\3. Analysis &amp; Design\Design\FC22\DRR Jaime\QUIFA-CAJÚA\Cajua\[CAJUA_CF_SEC_New_27-Feb-2024Rev3.xlsx]D-PND'!$EA$37</v>
      </c>
      <c r="J2611" s="37" t="s">
        <v>3209</v>
      </c>
    </row>
    <row r="2612" spans="1:10" x14ac:dyDescent="0.25">
      <c r="A2612" s="32" t="s">
        <v>3</v>
      </c>
      <c r="B2612" s="32">
        <f t="shared" si="621"/>
        <v>2049</v>
      </c>
      <c r="C2612" s="33" t="s">
        <v>23</v>
      </c>
      <c r="D2612" s="34" t="s">
        <v>1999</v>
      </c>
      <c r="E2612" s="35" t="str">
        <f t="shared" si="617"/>
        <v>PND'!</v>
      </c>
      <c r="F2612" s="34" t="str">
        <f t="shared" si="618"/>
        <v>C:\Users\jaime.benazar\Quorum Business Solutions\Ecopetrol Prometeo - Documents\Planning Space Implementation\3. Analysis &amp; Design\Design\FC22\DRR Jaime\QUIFA-CAJÚA\Cajua\[CAJUA_CF_SEC_New_27-Feb-2024Rev3.xlsx]D-PND'!</v>
      </c>
      <c r="G2612" s="32" t="s">
        <v>116</v>
      </c>
      <c r="H2612" s="33">
        <f t="shared" si="619"/>
        <v>38</v>
      </c>
      <c r="I2612" s="33" t="str">
        <f t="shared" si="620"/>
        <v>='C:\Users\jaime.benazar\Quorum Business Solutions\Ecopetrol Prometeo - Documents\Planning Space Implementation\3. Analysis &amp; Design\Design\FC22\DRR Jaime\QUIFA-CAJÚA\Cajua\[CAJUA_CF_SEC_New_27-Feb-2024Rev3.xlsx]D-PND'!$EA$38</v>
      </c>
      <c r="J2612" s="37" t="s">
        <v>3210</v>
      </c>
    </row>
    <row r="2613" spans="1:10" x14ac:dyDescent="0.25">
      <c r="A2613" s="32" t="s">
        <v>3</v>
      </c>
      <c r="B2613" s="32">
        <f t="shared" si="621"/>
        <v>2050</v>
      </c>
      <c r="C2613" s="33" t="s">
        <v>23</v>
      </c>
      <c r="D2613" s="34" t="s">
        <v>1999</v>
      </c>
      <c r="E2613" s="35" t="str">
        <f t="shared" si="617"/>
        <v>PND'!</v>
      </c>
      <c r="F2613" s="34" t="str">
        <f t="shared" si="618"/>
        <v>C:\Users\jaime.benazar\Quorum Business Solutions\Ecopetrol Prometeo - Documents\Planning Space Implementation\3. Analysis &amp; Design\Design\FC22\DRR Jaime\QUIFA-CAJÚA\Cajua\[CAJUA_CF_SEC_New_27-Feb-2024Rev3.xlsx]D-PND'!</v>
      </c>
      <c r="G2613" s="32" t="s">
        <v>116</v>
      </c>
      <c r="H2613" s="33">
        <f t="shared" si="619"/>
        <v>39</v>
      </c>
      <c r="I2613" s="33" t="str">
        <f t="shared" si="620"/>
        <v>='C:\Users\jaime.benazar\Quorum Business Solutions\Ecopetrol Prometeo - Documents\Planning Space Implementation\3. Analysis &amp; Design\Design\FC22\DRR Jaime\QUIFA-CAJÚA\Cajua\[CAJUA_CF_SEC_New_27-Feb-2024Rev3.xlsx]D-PND'!$EA$39</v>
      </c>
      <c r="J2613" s="37" t="s">
        <v>3211</v>
      </c>
    </row>
    <row r="2614" spans="1:10" x14ac:dyDescent="0.25">
      <c r="A2614" s="32" t="s">
        <v>3</v>
      </c>
      <c r="B2614" s="32">
        <f t="shared" si="621"/>
        <v>2051</v>
      </c>
      <c r="C2614" s="33" t="s">
        <v>23</v>
      </c>
      <c r="D2614" s="34" t="s">
        <v>1999</v>
      </c>
      <c r="E2614" s="35" t="str">
        <f t="shared" si="617"/>
        <v>PND'!</v>
      </c>
      <c r="F2614" s="34" t="str">
        <f t="shared" si="618"/>
        <v>C:\Users\jaime.benazar\Quorum Business Solutions\Ecopetrol Prometeo - Documents\Planning Space Implementation\3. Analysis &amp; Design\Design\FC22\DRR Jaime\QUIFA-CAJÚA\Cajua\[CAJUA_CF_SEC_New_27-Feb-2024Rev3.xlsx]D-PND'!</v>
      </c>
      <c r="G2614" s="32" t="s">
        <v>116</v>
      </c>
      <c r="H2614" s="33">
        <f t="shared" si="619"/>
        <v>40</v>
      </c>
      <c r="I2614" s="33" t="str">
        <f t="shared" si="620"/>
        <v>='C:\Users\jaime.benazar\Quorum Business Solutions\Ecopetrol Prometeo - Documents\Planning Space Implementation\3. Analysis &amp; Design\Design\FC22\DRR Jaime\QUIFA-CAJÚA\Cajua\[CAJUA_CF_SEC_New_27-Feb-2024Rev3.xlsx]D-PND'!$EA$40</v>
      </c>
      <c r="J2614" s="37" t="s">
        <v>3212</v>
      </c>
    </row>
    <row r="2615" spans="1:10" x14ac:dyDescent="0.25">
      <c r="A2615" s="32" t="s">
        <v>3</v>
      </c>
      <c r="B2615" s="32">
        <f t="shared" si="621"/>
        <v>2052</v>
      </c>
      <c r="C2615" s="33" t="s">
        <v>23</v>
      </c>
      <c r="D2615" s="34" t="s">
        <v>1999</v>
      </c>
      <c r="E2615" s="35" t="str">
        <f t="shared" si="617"/>
        <v>PND'!</v>
      </c>
      <c r="F2615" s="34" t="str">
        <f t="shared" si="618"/>
        <v>C:\Users\jaime.benazar\Quorum Business Solutions\Ecopetrol Prometeo - Documents\Planning Space Implementation\3. Analysis &amp; Design\Design\FC22\DRR Jaime\QUIFA-CAJÚA\Cajua\[CAJUA_CF_SEC_New_27-Feb-2024Rev3.xlsx]D-PND'!</v>
      </c>
      <c r="G2615" s="32" t="s">
        <v>116</v>
      </c>
      <c r="H2615" s="33">
        <f t="shared" si="619"/>
        <v>41</v>
      </c>
      <c r="I2615" s="33" t="str">
        <f t="shared" si="620"/>
        <v>='C:\Users\jaime.benazar\Quorum Business Solutions\Ecopetrol Prometeo - Documents\Planning Space Implementation\3. Analysis &amp; Design\Design\FC22\DRR Jaime\QUIFA-CAJÚA\Cajua\[CAJUA_CF_SEC_New_27-Feb-2024Rev3.xlsx]D-PND'!$EA$41</v>
      </c>
      <c r="J2615" s="37" t="s">
        <v>3213</v>
      </c>
    </row>
    <row r="2616" spans="1:10" x14ac:dyDescent="0.25">
      <c r="A2616" s="32" t="s">
        <v>3</v>
      </c>
      <c r="B2616" s="32">
        <f t="shared" si="621"/>
        <v>2053</v>
      </c>
      <c r="C2616" s="33" t="s">
        <v>23</v>
      </c>
      <c r="D2616" s="34" t="s">
        <v>1999</v>
      </c>
      <c r="E2616" s="35" t="str">
        <f t="shared" si="617"/>
        <v>PND'!</v>
      </c>
      <c r="F2616" s="34" t="str">
        <f t="shared" si="618"/>
        <v>C:\Users\jaime.benazar\Quorum Business Solutions\Ecopetrol Prometeo - Documents\Planning Space Implementation\3. Analysis &amp; Design\Design\FC22\DRR Jaime\QUIFA-CAJÚA\Cajua\[CAJUA_CF_SEC_New_27-Feb-2024Rev3.xlsx]D-PND'!</v>
      </c>
      <c r="G2616" s="32" t="s">
        <v>116</v>
      </c>
      <c r="H2616" s="33">
        <f t="shared" si="619"/>
        <v>42</v>
      </c>
      <c r="I2616" s="33" t="str">
        <f t="shared" si="620"/>
        <v>='C:\Users\jaime.benazar\Quorum Business Solutions\Ecopetrol Prometeo - Documents\Planning Space Implementation\3. Analysis &amp; Design\Design\FC22\DRR Jaime\QUIFA-CAJÚA\Cajua\[CAJUA_CF_SEC_New_27-Feb-2024Rev3.xlsx]D-PND'!$EA$42</v>
      </c>
      <c r="J2616" s="37" t="s">
        <v>3214</v>
      </c>
    </row>
    <row r="2617" spans="1:10" x14ac:dyDescent="0.25">
      <c r="A2617" s="32" t="s">
        <v>3</v>
      </c>
      <c r="B2617" s="32">
        <f t="shared" si="621"/>
        <v>2054</v>
      </c>
      <c r="C2617" s="33" t="s">
        <v>23</v>
      </c>
      <c r="D2617" s="34" t="s">
        <v>1999</v>
      </c>
      <c r="E2617" s="35" t="str">
        <f t="shared" si="617"/>
        <v>PND'!</v>
      </c>
      <c r="F2617" s="34" t="str">
        <f t="shared" si="618"/>
        <v>C:\Users\jaime.benazar\Quorum Business Solutions\Ecopetrol Prometeo - Documents\Planning Space Implementation\3. Analysis &amp; Design\Design\FC22\DRR Jaime\QUIFA-CAJÚA\Cajua\[CAJUA_CF_SEC_New_27-Feb-2024Rev3.xlsx]D-PND'!</v>
      </c>
      <c r="G2617" s="32" t="s">
        <v>116</v>
      </c>
      <c r="H2617" s="33">
        <f t="shared" si="619"/>
        <v>43</v>
      </c>
      <c r="I2617" s="33" t="str">
        <f t="shared" si="620"/>
        <v>='C:\Users\jaime.benazar\Quorum Business Solutions\Ecopetrol Prometeo - Documents\Planning Space Implementation\3. Analysis &amp; Design\Design\FC22\DRR Jaime\QUIFA-CAJÚA\Cajua\[CAJUA_CF_SEC_New_27-Feb-2024Rev3.xlsx]D-PND'!$EA$43</v>
      </c>
      <c r="J2617" s="37" t="s">
        <v>3215</v>
      </c>
    </row>
    <row r="2618" spans="1:10" x14ac:dyDescent="0.25">
      <c r="A2618" s="32" t="s">
        <v>3</v>
      </c>
      <c r="B2618" s="32">
        <f t="shared" si="621"/>
        <v>2055</v>
      </c>
      <c r="C2618" s="33" t="s">
        <v>23</v>
      </c>
      <c r="D2618" s="34" t="s">
        <v>1999</v>
      </c>
      <c r="E2618" s="35" t="str">
        <f t="shared" si="617"/>
        <v>PND'!</v>
      </c>
      <c r="F2618" s="34" t="str">
        <f t="shared" si="618"/>
        <v>C:\Users\jaime.benazar\Quorum Business Solutions\Ecopetrol Prometeo - Documents\Planning Space Implementation\3. Analysis &amp; Design\Design\FC22\DRR Jaime\QUIFA-CAJÚA\Cajua\[CAJUA_CF_SEC_New_27-Feb-2024Rev3.xlsx]D-PND'!</v>
      </c>
      <c r="G2618" s="32" t="s">
        <v>116</v>
      </c>
      <c r="H2618" s="33">
        <f t="shared" si="619"/>
        <v>44</v>
      </c>
      <c r="I2618" s="33" t="str">
        <f t="shared" si="620"/>
        <v>='C:\Users\jaime.benazar\Quorum Business Solutions\Ecopetrol Prometeo - Documents\Planning Space Implementation\3. Analysis &amp; Design\Design\FC22\DRR Jaime\QUIFA-CAJÚA\Cajua\[CAJUA_CF_SEC_New_27-Feb-2024Rev3.xlsx]D-PND'!$EA$44</v>
      </c>
      <c r="J2618" s="37" t="s">
        <v>3216</v>
      </c>
    </row>
    <row r="2619" spans="1:10" x14ac:dyDescent="0.25">
      <c r="A2619" s="32" t="s">
        <v>3</v>
      </c>
      <c r="B2619" s="32">
        <f t="shared" si="621"/>
        <v>2056</v>
      </c>
      <c r="C2619" s="33" t="s">
        <v>23</v>
      </c>
      <c r="D2619" s="34" t="s">
        <v>1999</v>
      </c>
      <c r="E2619" s="35" t="str">
        <f t="shared" si="617"/>
        <v>PND'!</v>
      </c>
      <c r="F2619" s="34" t="str">
        <f t="shared" si="618"/>
        <v>C:\Users\jaime.benazar\Quorum Business Solutions\Ecopetrol Prometeo - Documents\Planning Space Implementation\3. Analysis &amp; Design\Design\FC22\DRR Jaime\QUIFA-CAJÚA\Cajua\[CAJUA_CF_SEC_New_27-Feb-2024Rev3.xlsx]D-PND'!</v>
      </c>
      <c r="G2619" s="32" t="s">
        <v>116</v>
      </c>
      <c r="H2619" s="33">
        <f t="shared" si="619"/>
        <v>45</v>
      </c>
      <c r="I2619" s="33" t="str">
        <f t="shared" si="620"/>
        <v>='C:\Users\jaime.benazar\Quorum Business Solutions\Ecopetrol Prometeo - Documents\Planning Space Implementation\3. Analysis &amp; Design\Design\FC22\DRR Jaime\QUIFA-CAJÚA\Cajua\[CAJUA_CF_SEC_New_27-Feb-2024Rev3.xlsx]D-PND'!$EA$45</v>
      </c>
      <c r="J2619" s="37" t="s">
        <v>3217</v>
      </c>
    </row>
    <row r="2620" spans="1:10" x14ac:dyDescent="0.25">
      <c r="A2620" s="32" t="s">
        <v>3</v>
      </c>
      <c r="B2620" s="32">
        <f t="shared" si="621"/>
        <v>2057</v>
      </c>
      <c r="C2620" s="33" t="s">
        <v>23</v>
      </c>
      <c r="D2620" s="34" t="s">
        <v>1999</v>
      </c>
      <c r="E2620" s="35" t="str">
        <f t="shared" si="617"/>
        <v>PND'!</v>
      </c>
      <c r="F2620" s="34" t="str">
        <f t="shared" si="618"/>
        <v>C:\Users\jaime.benazar\Quorum Business Solutions\Ecopetrol Prometeo - Documents\Planning Space Implementation\3. Analysis &amp; Design\Design\FC22\DRR Jaime\QUIFA-CAJÚA\Cajua\[CAJUA_CF_SEC_New_27-Feb-2024Rev3.xlsx]D-PND'!</v>
      </c>
      <c r="G2620" s="32" t="s">
        <v>116</v>
      </c>
      <c r="H2620" s="33">
        <f t="shared" si="619"/>
        <v>46</v>
      </c>
      <c r="I2620" s="33" t="str">
        <f t="shared" si="620"/>
        <v>='C:\Users\jaime.benazar\Quorum Business Solutions\Ecopetrol Prometeo - Documents\Planning Space Implementation\3. Analysis &amp; Design\Design\FC22\DRR Jaime\QUIFA-CAJÚA\Cajua\[CAJUA_CF_SEC_New_27-Feb-2024Rev3.xlsx]D-PND'!$EA$46</v>
      </c>
      <c r="J2620" s="37" t="s">
        <v>3218</v>
      </c>
    </row>
    <row r="2621" spans="1:10" x14ac:dyDescent="0.25">
      <c r="A2621" s="32" t="s">
        <v>3</v>
      </c>
      <c r="B2621" s="32">
        <f t="shared" si="621"/>
        <v>2058</v>
      </c>
      <c r="C2621" s="33" t="s">
        <v>23</v>
      </c>
      <c r="D2621" s="34" t="s">
        <v>1999</v>
      </c>
      <c r="E2621" s="35" t="str">
        <f t="shared" si="617"/>
        <v>PND'!</v>
      </c>
      <c r="F2621" s="34" t="str">
        <f t="shared" si="618"/>
        <v>C:\Users\jaime.benazar\Quorum Business Solutions\Ecopetrol Prometeo - Documents\Planning Space Implementation\3. Analysis &amp; Design\Design\FC22\DRR Jaime\QUIFA-CAJÚA\Cajua\[CAJUA_CF_SEC_New_27-Feb-2024Rev3.xlsx]D-PND'!</v>
      </c>
      <c r="G2621" s="32" t="s">
        <v>116</v>
      </c>
      <c r="H2621" s="33">
        <f t="shared" si="619"/>
        <v>47</v>
      </c>
      <c r="I2621" s="33" t="str">
        <f t="shared" si="620"/>
        <v>='C:\Users\jaime.benazar\Quorum Business Solutions\Ecopetrol Prometeo - Documents\Planning Space Implementation\3. Analysis &amp; Design\Design\FC22\DRR Jaime\QUIFA-CAJÚA\Cajua\[CAJUA_CF_SEC_New_27-Feb-2024Rev3.xlsx]D-PND'!$EA$47</v>
      </c>
      <c r="J2621" s="37" t="s">
        <v>3219</v>
      </c>
    </row>
    <row r="2622" spans="1:10" x14ac:dyDescent="0.25">
      <c r="A2622" s="32" t="s">
        <v>3</v>
      </c>
      <c r="B2622" s="32">
        <f t="shared" si="621"/>
        <v>2059</v>
      </c>
      <c r="C2622" s="33" t="s">
        <v>23</v>
      </c>
      <c r="D2622" s="34" t="s">
        <v>1999</v>
      </c>
      <c r="E2622" s="35" t="str">
        <f t="shared" si="617"/>
        <v>PND'!</v>
      </c>
      <c r="F2622" s="34" t="str">
        <f t="shared" si="618"/>
        <v>C:\Users\jaime.benazar\Quorum Business Solutions\Ecopetrol Prometeo - Documents\Planning Space Implementation\3. Analysis &amp; Design\Design\FC22\DRR Jaime\QUIFA-CAJÚA\Cajua\[CAJUA_CF_SEC_New_27-Feb-2024Rev3.xlsx]D-PND'!</v>
      </c>
      <c r="G2622" s="32" t="s">
        <v>116</v>
      </c>
      <c r="H2622" s="33">
        <f t="shared" si="619"/>
        <v>48</v>
      </c>
      <c r="I2622" s="33" t="str">
        <f t="shared" si="620"/>
        <v>='C:\Users\jaime.benazar\Quorum Business Solutions\Ecopetrol Prometeo - Documents\Planning Space Implementation\3. Analysis &amp; Design\Design\FC22\DRR Jaime\QUIFA-CAJÚA\Cajua\[CAJUA_CF_SEC_New_27-Feb-2024Rev3.xlsx]D-PND'!$EA$48</v>
      </c>
      <c r="J2622" s="37" t="s">
        <v>3220</v>
      </c>
    </row>
    <row r="2623" spans="1:10" x14ac:dyDescent="0.25">
      <c r="A2623" s="32" t="s">
        <v>28</v>
      </c>
      <c r="B2623" s="32"/>
      <c r="C2623" s="33" t="s">
        <v>23</v>
      </c>
      <c r="D2623" s="34"/>
      <c r="E2623" s="35"/>
      <c r="F2623" s="34"/>
      <c r="G2623" s="32"/>
      <c r="H2623" s="33"/>
      <c r="I2623" s="33"/>
      <c r="J2623" s="33"/>
    </row>
    <row r="2624" spans="1:10" x14ac:dyDescent="0.25">
      <c r="A2624" s="32" t="s">
        <v>99</v>
      </c>
      <c r="B2624" s="32">
        <v>2023</v>
      </c>
      <c r="C2624" s="33" t="s">
        <v>23</v>
      </c>
      <c r="D2624" s="34" t="s">
        <v>1999</v>
      </c>
      <c r="E2624" s="35" t="str">
        <f t="shared" ref="E2624:E2644" si="622">_xlfn.CONCAT(A2624,"'!")</f>
        <v>PRBDP'!</v>
      </c>
      <c r="F2624" s="34" t="str">
        <f t="shared" ref="F2624:F2644" si="623">_xlfn.CONCAT(D2624:E2624)</f>
        <v>C:\Users\jaime.benazar\Quorum Business Solutions\Ecopetrol Prometeo - Documents\Planning Space Implementation\3. Analysis &amp; Design\Design\FC22\DRR Jaime\QUIFA-CAJÚA\Cajua\[CAJUA_CF_SEC_New_27-Feb-2024Rev3.xlsx]D-PRBDP'!</v>
      </c>
      <c r="G2624" s="32" t="s">
        <v>116</v>
      </c>
      <c r="H2624" s="33"/>
      <c r="I2624" s="33"/>
      <c r="J2624" s="37"/>
    </row>
    <row r="2625" spans="1:10" x14ac:dyDescent="0.25">
      <c r="A2625" s="32" t="s">
        <v>99</v>
      </c>
      <c r="B2625" s="32">
        <f>+B2624+1</f>
        <v>2024</v>
      </c>
      <c r="C2625" s="33" t="s">
        <v>23</v>
      </c>
      <c r="D2625" s="34" t="s">
        <v>1999</v>
      </c>
      <c r="E2625" s="35" t="str">
        <f t="shared" si="622"/>
        <v>PRBDP'!</v>
      </c>
      <c r="F2625" s="34" t="str">
        <f t="shared" si="623"/>
        <v>C:\Users\jaime.benazar\Quorum Business Solutions\Ecopetrol Prometeo - Documents\Planning Space Implementation\3. Analysis &amp; Design\Design\FC22\DRR Jaime\QUIFA-CAJÚA\Cajua\[CAJUA_CF_SEC_New_27-Feb-2024Rev3.xlsx]D-PRBDP'!</v>
      </c>
      <c r="G2625" s="32" t="s">
        <v>116</v>
      </c>
      <c r="H2625" s="33"/>
      <c r="I2625" s="33"/>
      <c r="J2625" s="37"/>
    </row>
    <row r="2626" spans="1:10" x14ac:dyDescent="0.25">
      <c r="A2626" s="32" t="s">
        <v>99</v>
      </c>
      <c r="B2626" s="32">
        <f t="shared" ref="B2626:B2637" si="624">+B2625+1</f>
        <v>2025</v>
      </c>
      <c r="C2626" s="33" t="s">
        <v>23</v>
      </c>
      <c r="D2626" s="34" t="s">
        <v>1999</v>
      </c>
      <c r="E2626" s="35" t="str">
        <f t="shared" si="622"/>
        <v>PRBDP'!</v>
      </c>
      <c r="F2626" s="34" t="str">
        <f t="shared" si="623"/>
        <v>C:\Users\jaime.benazar\Quorum Business Solutions\Ecopetrol Prometeo - Documents\Planning Space Implementation\3. Analysis &amp; Design\Design\FC22\DRR Jaime\QUIFA-CAJÚA\Cajua\[CAJUA_CF_SEC_New_27-Feb-2024Rev3.xlsx]D-PRBDP'!</v>
      </c>
      <c r="G2626" s="32" t="s">
        <v>116</v>
      </c>
      <c r="H2626" s="33"/>
      <c r="I2626" s="33"/>
      <c r="J2626" s="37"/>
    </row>
    <row r="2627" spans="1:10" x14ac:dyDescent="0.25">
      <c r="A2627" s="32" t="s">
        <v>99</v>
      </c>
      <c r="B2627" s="32">
        <f t="shared" si="624"/>
        <v>2026</v>
      </c>
      <c r="C2627" s="33" t="s">
        <v>23</v>
      </c>
      <c r="D2627" s="34" t="s">
        <v>1999</v>
      </c>
      <c r="E2627" s="35" t="str">
        <f t="shared" si="622"/>
        <v>PRBDP'!</v>
      </c>
      <c r="F2627" s="34" t="str">
        <f t="shared" si="623"/>
        <v>C:\Users\jaime.benazar\Quorum Business Solutions\Ecopetrol Prometeo - Documents\Planning Space Implementation\3. Analysis &amp; Design\Design\FC22\DRR Jaime\QUIFA-CAJÚA\Cajua\[CAJUA_CF_SEC_New_27-Feb-2024Rev3.xlsx]D-PRBDP'!</v>
      </c>
      <c r="G2627" s="32" t="s">
        <v>116</v>
      </c>
      <c r="H2627" s="33"/>
      <c r="I2627" s="33"/>
      <c r="J2627" s="37"/>
    </row>
    <row r="2628" spans="1:10" x14ac:dyDescent="0.25">
      <c r="A2628" s="32" t="s">
        <v>99</v>
      </c>
      <c r="B2628" s="32">
        <f t="shared" si="624"/>
        <v>2027</v>
      </c>
      <c r="C2628" s="33" t="s">
        <v>23</v>
      </c>
      <c r="D2628" s="34" t="s">
        <v>1999</v>
      </c>
      <c r="E2628" s="35" t="str">
        <f t="shared" si="622"/>
        <v>PRBDP'!</v>
      </c>
      <c r="F2628" s="34" t="str">
        <f t="shared" si="623"/>
        <v>C:\Users\jaime.benazar\Quorum Business Solutions\Ecopetrol Prometeo - Documents\Planning Space Implementation\3. Analysis &amp; Design\Design\FC22\DRR Jaime\QUIFA-CAJÚA\Cajua\[CAJUA_CF_SEC_New_27-Feb-2024Rev3.xlsx]D-PRBDP'!</v>
      </c>
      <c r="G2628" s="32" t="s">
        <v>116</v>
      </c>
      <c r="H2628" s="33"/>
      <c r="I2628" s="33"/>
      <c r="J2628" s="37"/>
    </row>
    <row r="2629" spans="1:10" x14ac:dyDescent="0.25">
      <c r="A2629" s="32" t="s">
        <v>99</v>
      </c>
      <c r="B2629" s="32">
        <f t="shared" si="624"/>
        <v>2028</v>
      </c>
      <c r="C2629" s="33" t="s">
        <v>23</v>
      </c>
      <c r="D2629" s="34" t="s">
        <v>1999</v>
      </c>
      <c r="E2629" s="35" t="str">
        <f t="shared" si="622"/>
        <v>PRBDP'!</v>
      </c>
      <c r="F2629" s="34" t="str">
        <f t="shared" si="623"/>
        <v>C:\Users\jaime.benazar\Quorum Business Solutions\Ecopetrol Prometeo - Documents\Planning Space Implementation\3. Analysis &amp; Design\Design\FC22\DRR Jaime\QUIFA-CAJÚA\Cajua\[CAJUA_CF_SEC_New_27-Feb-2024Rev3.xlsx]D-PRBDP'!</v>
      </c>
      <c r="G2629" s="32" t="s">
        <v>116</v>
      </c>
      <c r="H2629" s="33"/>
      <c r="I2629" s="33"/>
      <c r="J2629" s="37"/>
    </row>
    <row r="2630" spans="1:10" x14ac:dyDescent="0.25">
      <c r="A2630" s="32" t="s">
        <v>99</v>
      </c>
      <c r="B2630" s="32">
        <f t="shared" si="624"/>
        <v>2029</v>
      </c>
      <c r="C2630" s="33" t="s">
        <v>23</v>
      </c>
      <c r="D2630" s="34" t="s">
        <v>1999</v>
      </c>
      <c r="E2630" s="35" t="str">
        <f t="shared" si="622"/>
        <v>PRBDP'!</v>
      </c>
      <c r="F2630" s="34" t="str">
        <f t="shared" si="623"/>
        <v>C:\Users\jaime.benazar\Quorum Business Solutions\Ecopetrol Prometeo - Documents\Planning Space Implementation\3. Analysis &amp; Design\Design\FC22\DRR Jaime\QUIFA-CAJÚA\Cajua\[CAJUA_CF_SEC_New_27-Feb-2024Rev3.xlsx]D-PRBDP'!</v>
      </c>
      <c r="G2630" s="32" t="s">
        <v>116</v>
      </c>
      <c r="H2630" s="33"/>
      <c r="I2630" s="33"/>
      <c r="J2630" s="37"/>
    </row>
    <row r="2631" spans="1:10" x14ac:dyDescent="0.25">
      <c r="A2631" s="32" t="s">
        <v>99</v>
      </c>
      <c r="B2631" s="32">
        <f t="shared" si="624"/>
        <v>2030</v>
      </c>
      <c r="C2631" s="33" t="s">
        <v>23</v>
      </c>
      <c r="D2631" s="34" t="s">
        <v>1999</v>
      </c>
      <c r="E2631" s="35" t="str">
        <f t="shared" si="622"/>
        <v>PRBDP'!</v>
      </c>
      <c r="F2631" s="34" t="str">
        <f t="shared" si="623"/>
        <v>C:\Users\jaime.benazar\Quorum Business Solutions\Ecopetrol Prometeo - Documents\Planning Space Implementation\3. Analysis &amp; Design\Design\FC22\DRR Jaime\QUIFA-CAJÚA\Cajua\[CAJUA_CF_SEC_New_27-Feb-2024Rev3.xlsx]D-PRBDP'!</v>
      </c>
      <c r="G2631" s="32" t="s">
        <v>116</v>
      </c>
      <c r="H2631" s="33"/>
      <c r="I2631" s="33"/>
      <c r="J2631" s="37"/>
    </row>
    <row r="2632" spans="1:10" x14ac:dyDescent="0.25">
      <c r="A2632" s="32" t="s">
        <v>99</v>
      </c>
      <c r="B2632" s="32">
        <f t="shared" si="624"/>
        <v>2031</v>
      </c>
      <c r="C2632" s="33" t="s">
        <v>23</v>
      </c>
      <c r="D2632" s="34" t="s">
        <v>1999</v>
      </c>
      <c r="E2632" s="35" t="str">
        <f t="shared" si="622"/>
        <v>PRBDP'!</v>
      </c>
      <c r="F2632" s="34" t="str">
        <f t="shared" si="623"/>
        <v>C:\Users\jaime.benazar\Quorum Business Solutions\Ecopetrol Prometeo - Documents\Planning Space Implementation\3. Analysis &amp; Design\Design\FC22\DRR Jaime\QUIFA-CAJÚA\Cajua\[CAJUA_CF_SEC_New_27-Feb-2024Rev3.xlsx]D-PRBDP'!</v>
      </c>
      <c r="G2632" s="32" t="s">
        <v>116</v>
      </c>
      <c r="H2632" s="33"/>
      <c r="I2632" s="33"/>
      <c r="J2632" s="37"/>
    </row>
    <row r="2633" spans="1:10" x14ac:dyDescent="0.25">
      <c r="A2633" s="32" t="s">
        <v>99</v>
      </c>
      <c r="B2633" s="32">
        <f t="shared" si="624"/>
        <v>2032</v>
      </c>
      <c r="C2633" s="33" t="s">
        <v>23</v>
      </c>
      <c r="D2633" s="34" t="s">
        <v>1999</v>
      </c>
      <c r="E2633" s="35" t="str">
        <f t="shared" si="622"/>
        <v>PRBDP'!</v>
      </c>
      <c r="F2633" s="34" t="str">
        <f t="shared" si="623"/>
        <v>C:\Users\jaime.benazar\Quorum Business Solutions\Ecopetrol Prometeo - Documents\Planning Space Implementation\3. Analysis &amp; Design\Design\FC22\DRR Jaime\QUIFA-CAJÚA\Cajua\[CAJUA_CF_SEC_New_27-Feb-2024Rev3.xlsx]D-PRBDP'!</v>
      </c>
      <c r="G2633" s="32" t="s">
        <v>116</v>
      </c>
      <c r="H2633" s="33"/>
      <c r="I2633" s="33"/>
      <c r="J2633" s="37"/>
    </row>
    <row r="2634" spans="1:10" x14ac:dyDescent="0.25">
      <c r="A2634" s="32" t="s">
        <v>99</v>
      </c>
      <c r="B2634" s="32">
        <f t="shared" si="624"/>
        <v>2033</v>
      </c>
      <c r="C2634" s="33" t="s">
        <v>23</v>
      </c>
      <c r="D2634" s="34" t="s">
        <v>1999</v>
      </c>
      <c r="E2634" s="35" t="str">
        <f t="shared" si="622"/>
        <v>PRBDP'!</v>
      </c>
      <c r="F2634" s="34" t="str">
        <f t="shared" si="623"/>
        <v>C:\Users\jaime.benazar\Quorum Business Solutions\Ecopetrol Prometeo - Documents\Planning Space Implementation\3. Analysis &amp; Design\Design\FC22\DRR Jaime\QUIFA-CAJÚA\Cajua\[CAJUA_CF_SEC_New_27-Feb-2024Rev3.xlsx]D-PRBDP'!</v>
      </c>
      <c r="G2634" s="32" t="s">
        <v>116</v>
      </c>
      <c r="H2634" s="33"/>
      <c r="I2634" s="33"/>
      <c r="J2634" s="37"/>
    </row>
    <row r="2635" spans="1:10" x14ac:dyDescent="0.25">
      <c r="A2635" s="32" t="s">
        <v>99</v>
      </c>
      <c r="B2635" s="32">
        <f t="shared" si="624"/>
        <v>2034</v>
      </c>
      <c r="C2635" s="33" t="s">
        <v>23</v>
      </c>
      <c r="D2635" s="34" t="s">
        <v>1999</v>
      </c>
      <c r="E2635" s="35" t="str">
        <f t="shared" si="622"/>
        <v>PRBDP'!</v>
      </c>
      <c r="F2635" s="34" t="str">
        <f t="shared" si="623"/>
        <v>C:\Users\jaime.benazar\Quorum Business Solutions\Ecopetrol Prometeo - Documents\Planning Space Implementation\3. Analysis &amp; Design\Design\FC22\DRR Jaime\QUIFA-CAJÚA\Cajua\[CAJUA_CF_SEC_New_27-Feb-2024Rev3.xlsx]D-PRBDP'!</v>
      </c>
      <c r="G2635" s="32" t="s">
        <v>116</v>
      </c>
      <c r="H2635" s="33"/>
      <c r="I2635" s="33"/>
      <c r="J2635" s="37"/>
    </row>
    <row r="2636" spans="1:10" x14ac:dyDescent="0.25">
      <c r="A2636" s="32" t="s">
        <v>99</v>
      </c>
      <c r="B2636" s="32">
        <f t="shared" si="624"/>
        <v>2035</v>
      </c>
      <c r="C2636" s="33" t="s">
        <v>23</v>
      </c>
      <c r="D2636" s="34" t="s">
        <v>1999</v>
      </c>
      <c r="E2636" s="35" t="str">
        <f t="shared" si="622"/>
        <v>PRBDP'!</v>
      </c>
      <c r="F2636" s="34" t="str">
        <f t="shared" si="623"/>
        <v>C:\Users\jaime.benazar\Quorum Business Solutions\Ecopetrol Prometeo - Documents\Planning Space Implementation\3. Analysis &amp; Design\Design\FC22\DRR Jaime\QUIFA-CAJÚA\Cajua\[CAJUA_CF_SEC_New_27-Feb-2024Rev3.xlsx]D-PRBDP'!</v>
      </c>
      <c r="G2636" s="32" t="s">
        <v>116</v>
      </c>
      <c r="H2636" s="33"/>
      <c r="I2636" s="33"/>
      <c r="J2636" s="37"/>
    </row>
    <row r="2637" spans="1:10" x14ac:dyDescent="0.25">
      <c r="A2637" s="32" t="s">
        <v>99</v>
      </c>
      <c r="B2637" s="32">
        <f t="shared" si="624"/>
        <v>2036</v>
      </c>
      <c r="C2637" s="33" t="s">
        <v>23</v>
      </c>
      <c r="D2637" s="34" t="s">
        <v>1999</v>
      </c>
      <c r="E2637" s="35" t="str">
        <f t="shared" si="622"/>
        <v>PRBDP'!</v>
      </c>
      <c r="F2637" s="34" t="str">
        <f t="shared" si="623"/>
        <v>C:\Users\jaime.benazar\Quorum Business Solutions\Ecopetrol Prometeo - Documents\Planning Space Implementation\3. Analysis &amp; Design\Design\FC22\DRR Jaime\QUIFA-CAJÚA\Cajua\[CAJUA_CF_SEC_New_27-Feb-2024Rev3.xlsx]D-PRBDP'!</v>
      </c>
      <c r="G2637" s="32" t="s">
        <v>116</v>
      </c>
      <c r="H2637" s="33"/>
      <c r="I2637" s="33"/>
      <c r="J2637" s="37"/>
    </row>
    <row r="2638" spans="1:10" x14ac:dyDescent="0.25">
      <c r="A2638" s="32" t="s">
        <v>99</v>
      </c>
      <c r="B2638" s="32">
        <f>+B2637+1</f>
        <v>2037</v>
      </c>
      <c r="C2638" s="33" t="s">
        <v>23</v>
      </c>
      <c r="D2638" s="34" t="s">
        <v>1999</v>
      </c>
      <c r="E2638" s="35" t="str">
        <f t="shared" si="622"/>
        <v>PRBDP'!</v>
      </c>
      <c r="F2638" s="34" t="str">
        <f t="shared" si="623"/>
        <v>C:\Users\jaime.benazar\Quorum Business Solutions\Ecopetrol Prometeo - Documents\Planning Space Implementation\3. Analysis &amp; Design\Design\FC22\DRR Jaime\QUIFA-CAJÚA\Cajua\[CAJUA_CF_SEC_New_27-Feb-2024Rev3.xlsx]D-PRBDP'!</v>
      </c>
      <c r="G2638" s="32" t="s">
        <v>116</v>
      </c>
      <c r="H2638" s="33"/>
      <c r="I2638" s="33"/>
      <c r="J2638" s="37"/>
    </row>
    <row r="2639" spans="1:10" x14ac:dyDescent="0.25">
      <c r="A2639" s="32" t="s">
        <v>99</v>
      </c>
      <c r="B2639" s="32">
        <f t="shared" ref="B2639:B2641" si="625">+B2638+1</f>
        <v>2038</v>
      </c>
      <c r="C2639" s="33" t="s">
        <v>23</v>
      </c>
      <c r="D2639" s="34" t="s">
        <v>1999</v>
      </c>
      <c r="E2639" s="35" t="str">
        <f t="shared" si="622"/>
        <v>PRBDP'!</v>
      </c>
      <c r="F2639" s="34" t="str">
        <f t="shared" si="623"/>
        <v>C:\Users\jaime.benazar\Quorum Business Solutions\Ecopetrol Prometeo - Documents\Planning Space Implementation\3. Analysis &amp; Design\Design\FC22\DRR Jaime\QUIFA-CAJÚA\Cajua\[CAJUA_CF_SEC_New_27-Feb-2024Rev3.xlsx]D-PRBDP'!</v>
      </c>
      <c r="G2639" s="32" t="s">
        <v>116</v>
      </c>
      <c r="H2639" s="33"/>
      <c r="I2639" s="33"/>
      <c r="J2639" s="37"/>
    </row>
    <row r="2640" spans="1:10" x14ac:dyDescent="0.25">
      <c r="A2640" s="32" t="s">
        <v>99</v>
      </c>
      <c r="B2640" s="32">
        <f t="shared" si="625"/>
        <v>2039</v>
      </c>
      <c r="C2640" s="33" t="s">
        <v>23</v>
      </c>
      <c r="D2640" s="34" t="s">
        <v>1999</v>
      </c>
      <c r="E2640" s="35" t="str">
        <f t="shared" si="622"/>
        <v>PRBDP'!</v>
      </c>
      <c r="F2640" s="34" t="str">
        <f t="shared" si="623"/>
        <v>C:\Users\jaime.benazar\Quorum Business Solutions\Ecopetrol Prometeo - Documents\Planning Space Implementation\3. Analysis &amp; Design\Design\FC22\DRR Jaime\QUIFA-CAJÚA\Cajua\[CAJUA_CF_SEC_New_27-Feb-2024Rev3.xlsx]D-PRBDP'!</v>
      </c>
      <c r="G2640" s="32" t="s">
        <v>116</v>
      </c>
      <c r="H2640" s="33"/>
      <c r="I2640" s="33"/>
      <c r="J2640" s="37"/>
    </row>
    <row r="2641" spans="1:10" x14ac:dyDescent="0.25">
      <c r="A2641" s="32" t="s">
        <v>99</v>
      </c>
      <c r="B2641" s="32">
        <f t="shared" si="625"/>
        <v>2040</v>
      </c>
      <c r="C2641" s="33" t="s">
        <v>23</v>
      </c>
      <c r="D2641" s="34" t="s">
        <v>1999</v>
      </c>
      <c r="E2641" s="35" t="str">
        <f t="shared" si="622"/>
        <v>PRBDP'!</v>
      </c>
      <c r="F2641" s="34" t="str">
        <f t="shared" si="623"/>
        <v>C:\Users\jaime.benazar\Quorum Business Solutions\Ecopetrol Prometeo - Documents\Planning Space Implementation\3. Analysis &amp; Design\Design\FC22\DRR Jaime\QUIFA-CAJÚA\Cajua\[CAJUA_CF_SEC_New_27-Feb-2024Rev3.xlsx]D-PRBDP'!</v>
      </c>
      <c r="G2641" s="32" t="s">
        <v>116</v>
      </c>
      <c r="H2641" s="33"/>
      <c r="I2641" s="33"/>
      <c r="J2641" s="37"/>
    </row>
    <row r="2642" spans="1:10" x14ac:dyDescent="0.25">
      <c r="A2642" s="32" t="s">
        <v>99</v>
      </c>
      <c r="B2642" s="32">
        <f>+B2641+1</f>
        <v>2041</v>
      </c>
      <c r="C2642" s="33" t="s">
        <v>23</v>
      </c>
      <c r="D2642" s="34" t="s">
        <v>1999</v>
      </c>
      <c r="E2642" s="35" t="str">
        <f t="shared" si="622"/>
        <v>PRBDP'!</v>
      </c>
      <c r="F2642" s="34" t="str">
        <f t="shared" si="623"/>
        <v>C:\Users\jaime.benazar\Quorum Business Solutions\Ecopetrol Prometeo - Documents\Planning Space Implementation\3. Analysis &amp; Design\Design\FC22\DRR Jaime\QUIFA-CAJÚA\Cajua\[CAJUA_CF_SEC_New_27-Feb-2024Rev3.xlsx]D-PRBDP'!</v>
      </c>
      <c r="G2642" s="32" t="s">
        <v>116</v>
      </c>
      <c r="H2642" s="33"/>
      <c r="I2642" s="33"/>
      <c r="J2642" s="37"/>
    </row>
    <row r="2643" spans="1:10" x14ac:dyDescent="0.25">
      <c r="A2643" s="32" t="s">
        <v>99</v>
      </c>
      <c r="B2643" s="32">
        <f t="shared" ref="B2643:B2644" si="626">+B2642+1</f>
        <v>2042</v>
      </c>
      <c r="C2643" s="33" t="s">
        <v>23</v>
      </c>
      <c r="D2643" s="34" t="s">
        <v>1999</v>
      </c>
      <c r="E2643" s="35" t="str">
        <f t="shared" si="622"/>
        <v>PRBDP'!</v>
      </c>
      <c r="F2643" s="34" t="str">
        <f t="shared" si="623"/>
        <v>C:\Users\jaime.benazar\Quorum Business Solutions\Ecopetrol Prometeo - Documents\Planning Space Implementation\3. Analysis &amp; Design\Design\FC22\DRR Jaime\QUIFA-CAJÚA\Cajua\[CAJUA_CF_SEC_New_27-Feb-2024Rev3.xlsx]D-PRBDP'!</v>
      </c>
      <c r="G2643" s="32" t="s">
        <v>116</v>
      </c>
      <c r="H2643" s="33"/>
      <c r="I2643" s="33"/>
      <c r="J2643" s="37"/>
    </row>
    <row r="2644" spans="1:10" x14ac:dyDescent="0.25">
      <c r="A2644" s="32" t="s">
        <v>99</v>
      </c>
      <c r="B2644" s="32">
        <f t="shared" si="626"/>
        <v>2043</v>
      </c>
      <c r="C2644" s="33" t="s">
        <v>23</v>
      </c>
      <c r="D2644" s="34" t="s">
        <v>1999</v>
      </c>
      <c r="E2644" s="35" t="str">
        <f t="shared" si="622"/>
        <v>PRBDP'!</v>
      </c>
      <c r="F2644" s="34" t="str">
        <f t="shared" si="623"/>
        <v>C:\Users\jaime.benazar\Quorum Business Solutions\Ecopetrol Prometeo - Documents\Planning Space Implementation\3. Analysis &amp; Design\Design\FC22\DRR Jaime\QUIFA-CAJÚA\Cajua\[CAJUA_CF_SEC_New_27-Feb-2024Rev3.xlsx]D-PRBDP'!</v>
      </c>
      <c r="G2644" s="32" t="s">
        <v>116</v>
      </c>
      <c r="H2644" s="33"/>
      <c r="I2644" s="33"/>
      <c r="J2644" s="37"/>
    </row>
    <row r="2645" spans="1:10" x14ac:dyDescent="0.25">
      <c r="A2645" s="32" t="s">
        <v>99</v>
      </c>
      <c r="B2645" s="32">
        <f>+B2644+1</f>
        <v>2044</v>
      </c>
      <c r="C2645" s="33" t="s">
        <v>23</v>
      </c>
      <c r="D2645" s="34" t="s">
        <v>1999</v>
      </c>
      <c r="E2645" s="35" t="str">
        <f t="shared" ref="E2645:E2660" si="627">_xlfn.CONCAT(A2645,"'!")</f>
        <v>PRBDP'!</v>
      </c>
      <c r="F2645" s="34" t="str">
        <f t="shared" ref="F2645:F2660" si="628">_xlfn.CONCAT(D2645:E2645)</f>
        <v>C:\Users\jaime.benazar\Quorum Business Solutions\Ecopetrol Prometeo - Documents\Planning Space Implementation\3. Analysis &amp; Design\Design\FC22\DRR Jaime\QUIFA-CAJÚA\Cajua\[CAJUA_CF_SEC_New_27-Feb-2024Rev3.xlsx]D-PRBDP'!</v>
      </c>
      <c r="G2645" s="32" t="s">
        <v>116</v>
      </c>
      <c r="H2645" s="33"/>
      <c r="I2645" s="33"/>
      <c r="J2645" s="37"/>
    </row>
    <row r="2646" spans="1:10" x14ac:dyDescent="0.25">
      <c r="A2646" s="32" t="s">
        <v>99</v>
      </c>
      <c r="B2646" s="32">
        <f t="shared" ref="B2646:B2660" si="629">+B2645+1</f>
        <v>2045</v>
      </c>
      <c r="C2646" s="33" t="s">
        <v>23</v>
      </c>
      <c r="D2646" s="34" t="s">
        <v>1999</v>
      </c>
      <c r="E2646" s="35" t="str">
        <f t="shared" si="627"/>
        <v>PRBDP'!</v>
      </c>
      <c r="F2646" s="34" t="str">
        <f t="shared" si="628"/>
        <v>C:\Users\jaime.benazar\Quorum Business Solutions\Ecopetrol Prometeo - Documents\Planning Space Implementation\3. Analysis &amp; Design\Design\FC22\DRR Jaime\QUIFA-CAJÚA\Cajua\[CAJUA_CF_SEC_New_27-Feb-2024Rev3.xlsx]D-PRBDP'!</v>
      </c>
      <c r="G2646" s="32" t="s">
        <v>116</v>
      </c>
      <c r="H2646" s="33"/>
      <c r="I2646" s="33"/>
      <c r="J2646" s="37"/>
    </row>
    <row r="2647" spans="1:10" x14ac:dyDescent="0.25">
      <c r="A2647" s="32" t="s">
        <v>99</v>
      </c>
      <c r="B2647" s="32">
        <f t="shared" si="629"/>
        <v>2046</v>
      </c>
      <c r="C2647" s="33" t="s">
        <v>23</v>
      </c>
      <c r="D2647" s="34" t="s">
        <v>1999</v>
      </c>
      <c r="E2647" s="35" t="str">
        <f t="shared" si="627"/>
        <v>PRBDP'!</v>
      </c>
      <c r="F2647" s="34" t="str">
        <f t="shared" si="628"/>
        <v>C:\Users\jaime.benazar\Quorum Business Solutions\Ecopetrol Prometeo - Documents\Planning Space Implementation\3. Analysis &amp; Design\Design\FC22\DRR Jaime\QUIFA-CAJÚA\Cajua\[CAJUA_CF_SEC_New_27-Feb-2024Rev3.xlsx]D-PRBDP'!</v>
      </c>
      <c r="G2647" s="32" t="s">
        <v>116</v>
      </c>
      <c r="H2647" s="33"/>
      <c r="I2647" s="33"/>
      <c r="J2647" s="37"/>
    </row>
    <row r="2648" spans="1:10" x14ac:dyDescent="0.25">
      <c r="A2648" s="32" t="s">
        <v>99</v>
      </c>
      <c r="B2648" s="32">
        <f t="shared" si="629"/>
        <v>2047</v>
      </c>
      <c r="C2648" s="33" t="s">
        <v>23</v>
      </c>
      <c r="D2648" s="34" t="s">
        <v>1999</v>
      </c>
      <c r="E2648" s="35" t="str">
        <f t="shared" si="627"/>
        <v>PRBDP'!</v>
      </c>
      <c r="F2648" s="34" t="str">
        <f t="shared" si="628"/>
        <v>C:\Users\jaime.benazar\Quorum Business Solutions\Ecopetrol Prometeo - Documents\Planning Space Implementation\3. Analysis &amp; Design\Design\FC22\DRR Jaime\QUIFA-CAJÚA\Cajua\[CAJUA_CF_SEC_New_27-Feb-2024Rev3.xlsx]D-PRBDP'!</v>
      </c>
      <c r="G2648" s="32" t="s">
        <v>116</v>
      </c>
      <c r="H2648" s="33"/>
      <c r="I2648" s="33"/>
      <c r="J2648" s="37"/>
    </row>
    <row r="2649" spans="1:10" x14ac:dyDescent="0.25">
      <c r="A2649" s="32" t="s">
        <v>99</v>
      </c>
      <c r="B2649" s="32">
        <f t="shared" si="629"/>
        <v>2048</v>
      </c>
      <c r="C2649" s="33" t="s">
        <v>23</v>
      </c>
      <c r="D2649" s="34" t="s">
        <v>1999</v>
      </c>
      <c r="E2649" s="35" t="str">
        <f t="shared" si="627"/>
        <v>PRBDP'!</v>
      </c>
      <c r="F2649" s="34" t="str">
        <f t="shared" si="628"/>
        <v>C:\Users\jaime.benazar\Quorum Business Solutions\Ecopetrol Prometeo - Documents\Planning Space Implementation\3. Analysis &amp; Design\Design\FC22\DRR Jaime\QUIFA-CAJÚA\Cajua\[CAJUA_CF_SEC_New_27-Feb-2024Rev3.xlsx]D-PRBDP'!</v>
      </c>
      <c r="G2649" s="32" t="s">
        <v>116</v>
      </c>
      <c r="H2649" s="33"/>
      <c r="I2649" s="33"/>
      <c r="J2649" s="37"/>
    </row>
    <row r="2650" spans="1:10" x14ac:dyDescent="0.25">
      <c r="A2650" s="32" t="s">
        <v>99</v>
      </c>
      <c r="B2650" s="32">
        <f t="shared" si="629"/>
        <v>2049</v>
      </c>
      <c r="C2650" s="33" t="s">
        <v>23</v>
      </c>
      <c r="D2650" s="34" t="s">
        <v>1999</v>
      </c>
      <c r="E2650" s="35" t="str">
        <f t="shared" si="627"/>
        <v>PRBDP'!</v>
      </c>
      <c r="F2650" s="34" t="str">
        <f t="shared" si="628"/>
        <v>C:\Users\jaime.benazar\Quorum Business Solutions\Ecopetrol Prometeo - Documents\Planning Space Implementation\3. Analysis &amp; Design\Design\FC22\DRR Jaime\QUIFA-CAJÚA\Cajua\[CAJUA_CF_SEC_New_27-Feb-2024Rev3.xlsx]D-PRBDP'!</v>
      </c>
      <c r="G2650" s="32" t="s">
        <v>116</v>
      </c>
      <c r="H2650" s="33"/>
      <c r="I2650" s="33"/>
      <c r="J2650" s="37"/>
    </row>
    <row r="2651" spans="1:10" x14ac:dyDescent="0.25">
      <c r="A2651" s="32" t="s">
        <v>99</v>
      </c>
      <c r="B2651" s="32">
        <f t="shared" si="629"/>
        <v>2050</v>
      </c>
      <c r="C2651" s="33" t="s">
        <v>23</v>
      </c>
      <c r="D2651" s="34" t="s">
        <v>1999</v>
      </c>
      <c r="E2651" s="35" t="str">
        <f t="shared" si="627"/>
        <v>PRBDP'!</v>
      </c>
      <c r="F2651" s="34" t="str">
        <f t="shared" si="628"/>
        <v>C:\Users\jaime.benazar\Quorum Business Solutions\Ecopetrol Prometeo - Documents\Planning Space Implementation\3. Analysis &amp; Design\Design\FC22\DRR Jaime\QUIFA-CAJÚA\Cajua\[CAJUA_CF_SEC_New_27-Feb-2024Rev3.xlsx]D-PRBDP'!</v>
      </c>
      <c r="G2651" s="32" t="s">
        <v>116</v>
      </c>
      <c r="H2651" s="33"/>
      <c r="I2651" s="33"/>
      <c r="J2651" s="37"/>
    </row>
    <row r="2652" spans="1:10" x14ac:dyDescent="0.25">
      <c r="A2652" s="32" t="s">
        <v>99</v>
      </c>
      <c r="B2652" s="32">
        <f t="shared" si="629"/>
        <v>2051</v>
      </c>
      <c r="C2652" s="33" t="s">
        <v>23</v>
      </c>
      <c r="D2652" s="34" t="s">
        <v>1999</v>
      </c>
      <c r="E2652" s="35" t="str">
        <f t="shared" si="627"/>
        <v>PRBDP'!</v>
      </c>
      <c r="F2652" s="34" t="str">
        <f t="shared" si="628"/>
        <v>C:\Users\jaime.benazar\Quorum Business Solutions\Ecopetrol Prometeo - Documents\Planning Space Implementation\3. Analysis &amp; Design\Design\FC22\DRR Jaime\QUIFA-CAJÚA\Cajua\[CAJUA_CF_SEC_New_27-Feb-2024Rev3.xlsx]D-PRBDP'!</v>
      </c>
      <c r="G2652" s="32" t="s">
        <v>116</v>
      </c>
      <c r="H2652" s="33"/>
      <c r="I2652" s="33"/>
      <c r="J2652" s="37"/>
    </row>
    <row r="2653" spans="1:10" x14ac:dyDescent="0.25">
      <c r="A2653" s="32" t="s">
        <v>99</v>
      </c>
      <c r="B2653" s="32">
        <f t="shared" si="629"/>
        <v>2052</v>
      </c>
      <c r="C2653" s="33" t="s">
        <v>23</v>
      </c>
      <c r="D2653" s="34" t="s">
        <v>1999</v>
      </c>
      <c r="E2653" s="35" t="str">
        <f t="shared" si="627"/>
        <v>PRBDP'!</v>
      </c>
      <c r="F2653" s="34" t="str">
        <f t="shared" si="628"/>
        <v>C:\Users\jaime.benazar\Quorum Business Solutions\Ecopetrol Prometeo - Documents\Planning Space Implementation\3. Analysis &amp; Design\Design\FC22\DRR Jaime\QUIFA-CAJÚA\Cajua\[CAJUA_CF_SEC_New_27-Feb-2024Rev3.xlsx]D-PRBDP'!</v>
      </c>
      <c r="G2653" s="32" t="s">
        <v>116</v>
      </c>
      <c r="H2653" s="33"/>
      <c r="I2653" s="33"/>
      <c r="J2653" s="37"/>
    </row>
    <row r="2654" spans="1:10" x14ac:dyDescent="0.25">
      <c r="A2654" s="32" t="s">
        <v>99</v>
      </c>
      <c r="B2654" s="32">
        <f t="shared" si="629"/>
        <v>2053</v>
      </c>
      <c r="C2654" s="33" t="s">
        <v>23</v>
      </c>
      <c r="D2654" s="34" t="s">
        <v>1999</v>
      </c>
      <c r="E2654" s="35" t="str">
        <f t="shared" si="627"/>
        <v>PRBDP'!</v>
      </c>
      <c r="F2654" s="34" t="str">
        <f t="shared" si="628"/>
        <v>C:\Users\jaime.benazar\Quorum Business Solutions\Ecopetrol Prometeo - Documents\Planning Space Implementation\3. Analysis &amp; Design\Design\FC22\DRR Jaime\QUIFA-CAJÚA\Cajua\[CAJUA_CF_SEC_New_27-Feb-2024Rev3.xlsx]D-PRBDP'!</v>
      </c>
      <c r="G2654" s="32" t="s">
        <v>116</v>
      </c>
      <c r="H2654" s="33"/>
      <c r="I2654" s="33"/>
      <c r="J2654" s="37"/>
    </row>
    <row r="2655" spans="1:10" x14ac:dyDescent="0.25">
      <c r="A2655" s="32" t="s">
        <v>99</v>
      </c>
      <c r="B2655" s="32">
        <f t="shared" si="629"/>
        <v>2054</v>
      </c>
      <c r="C2655" s="33" t="s">
        <v>23</v>
      </c>
      <c r="D2655" s="34" t="s">
        <v>1999</v>
      </c>
      <c r="E2655" s="35" t="str">
        <f t="shared" si="627"/>
        <v>PRBDP'!</v>
      </c>
      <c r="F2655" s="34" t="str">
        <f t="shared" si="628"/>
        <v>C:\Users\jaime.benazar\Quorum Business Solutions\Ecopetrol Prometeo - Documents\Planning Space Implementation\3. Analysis &amp; Design\Design\FC22\DRR Jaime\QUIFA-CAJÚA\Cajua\[CAJUA_CF_SEC_New_27-Feb-2024Rev3.xlsx]D-PRBDP'!</v>
      </c>
      <c r="G2655" s="32" t="s">
        <v>116</v>
      </c>
      <c r="H2655" s="33"/>
      <c r="I2655" s="33"/>
      <c r="J2655" s="37"/>
    </row>
    <row r="2656" spans="1:10" x14ac:dyDescent="0.25">
      <c r="A2656" s="32" t="s">
        <v>99</v>
      </c>
      <c r="B2656" s="32">
        <f t="shared" si="629"/>
        <v>2055</v>
      </c>
      <c r="C2656" s="33" t="s">
        <v>23</v>
      </c>
      <c r="D2656" s="34" t="s">
        <v>1999</v>
      </c>
      <c r="E2656" s="35" t="str">
        <f t="shared" si="627"/>
        <v>PRBDP'!</v>
      </c>
      <c r="F2656" s="34" t="str">
        <f t="shared" si="628"/>
        <v>C:\Users\jaime.benazar\Quorum Business Solutions\Ecopetrol Prometeo - Documents\Planning Space Implementation\3. Analysis &amp; Design\Design\FC22\DRR Jaime\QUIFA-CAJÚA\Cajua\[CAJUA_CF_SEC_New_27-Feb-2024Rev3.xlsx]D-PRBDP'!</v>
      </c>
      <c r="G2656" s="32" t="s">
        <v>116</v>
      </c>
      <c r="H2656" s="33"/>
      <c r="I2656" s="33"/>
      <c r="J2656" s="37"/>
    </row>
    <row r="2657" spans="1:10" x14ac:dyDescent="0.25">
      <c r="A2657" s="32" t="s">
        <v>99</v>
      </c>
      <c r="B2657" s="32">
        <f t="shared" si="629"/>
        <v>2056</v>
      </c>
      <c r="C2657" s="33" t="s">
        <v>23</v>
      </c>
      <c r="D2657" s="34" t="s">
        <v>1999</v>
      </c>
      <c r="E2657" s="35" t="str">
        <f t="shared" si="627"/>
        <v>PRBDP'!</v>
      </c>
      <c r="F2657" s="34" t="str">
        <f t="shared" si="628"/>
        <v>C:\Users\jaime.benazar\Quorum Business Solutions\Ecopetrol Prometeo - Documents\Planning Space Implementation\3. Analysis &amp; Design\Design\FC22\DRR Jaime\QUIFA-CAJÚA\Cajua\[CAJUA_CF_SEC_New_27-Feb-2024Rev3.xlsx]D-PRBDP'!</v>
      </c>
      <c r="G2657" s="32" t="s">
        <v>116</v>
      </c>
      <c r="H2657" s="33"/>
      <c r="I2657" s="33"/>
      <c r="J2657" s="37"/>
    </row>
    <row r="2658" spans="1:10" x14ac:dyDescent="0.25">
      <c r="A2658" s="32" t="s">
        <v>99</v>
      </c>
      <c r="B2658" s="32">
        <f t="shared" si="629"/>
        <v>2057</v>
      </c>
      <c r="C2658" s="33" t="s">
        <v>23</v>
      </c>
      <c r="D2658" s="34" t="s">
        <v>1999</v>
      </c>
      <c r="E2658" s="35" t="str">
        <f t="shared" si="627"/>
        <v>PRBDP'!</v>
      </c>
      <c r="F2658" s="34" t="str">
        <f t="shared" si="628"/>
        <v>C:\Users\jaime.benazar\Quorum Business Solutions\Ecopetrol Prometeo - Documents\Planning Space Implementation\3. Analysis &amp; Design\Design\FC22\DRR Jaime\QUIFA-CAJÚA\Cajua\[CAJUA_CF_SEC_New_27-Feb-2024Rev3.xlsx]D-PRBDP'!</v>
      </c>
      <c r="G2658" s="32" t="s">
        <v>116</v>
      </c>
      <c r="H2658" s="33"/>
      <c r="I2658" s="33"/>
      <c r="J2658" s="37"/>
    </row>
    <row r="2659" spans="1:10" x14ac:dyDescent="0.25">
      <c r="A2659" s="32" t="s">
        <v>99</v>
      </c>
      <c r="B2659" s="32">
        <f t="shared" si="629"/>
        <v>2058</v>
      </c>
      <c r="C2659" s="33" t="s">
        <v>23</v>
      </c>
      <c r="D2659" s="34" t="s">
        <v>1999</v>
      </c>
      <c r="E2659" s="35" t="str">
        <f t="shared" si="627"/>
        <v>PRBDP'!</v>
      </c>
      <c r="F2659" s="34" t="str">
        <f t="shared" si="628"/>
        <v>C:\Users\jaime.benazar\Quorum Business Solutions\Ecopetrol Prometeo - Documents\Planning Space Implementation\3. Analysis &amp; Design\Design\FC22\DRR Jaime\QUIFA-CAJÚA\Cajua\[CAJUA_CF_SEC_New_27-Feb-2024Rev3.xlsx]D-PRBDP'!</v>
      </c>
      <c r="G2659" s="32" t="s">
        <v>116</v>
      </c>
      <c r="H2659" s="33"/>
      <c r="I2659" s="33"/>
      <c r="J2659" s="37"/>
    </row>
    <row r="2660" spans="1:10" x14ac:dyDescent="0.25">
      <c r="A2660" s="32" t="s">
        <v>99</v>
      </c>
      <c r="B2660" s="32">
        <f t="shared" si="629"/>
        <v>2059</v>
      </c>
      <c r="C2660" s="33" t="s">
        <v>23</v>
      </c>
      <c r="D2660" s="34" t="s">
        <v>1999</v>
      </c>
      <c r="E2660" s="35" t="str">
        <f t="shared" si="627"/>
        <v>PRBDP'!</v>
      </c>
      <c r="F2660" s="34" t="str">
        <f t="shared" si="628"/>
        <v>C:\Users\jaime.benazar\Quorum Business Solutions\Ecopetrol Prometeo - Documents\Planning Space Implementation\3. Analysis &amp; Design\Design\FC22\DRR Jaime\QUIFA-CAJÚA\Cajua\[CAJUA_CF_SEC_New_27-Feb-2024Rev3.xlsx]D-PRBDP'!</v>
      </c>
      <c r="G2660" s="32" t="s">
        <v>116</v>
      </c>
      <c r="H2660" s="33"/>
      <c r="I2660" s="33"/>
      <c r="J2660" s="37"/>
    </row>
    <row r="2661" spans="1:10" x14ac:dyDescent="0.25">
      <c r="A2661" s="32" t="s">
        <v>28</v>
      </c>
      <c r="B2661" s="32"/>
      <c r="C2661" s="33" t="s">
        <v>23</v>
      </c>
      <c r="D2661" s="34"/>
      <c r="E2661" s="35"/>
      <c r="F2661" s="34"/>
      <c r="G2661" s="32"/>
      <c r="H2661" s="33"/>
      <c r="I2661" s="33"/>
      <c r="J2661" s="33"/>
    </row>
    <row r="2662" spans="1:10" x14ac:dyDescent="0.25">
      <c r="A2662" s="32" t="s">
        <v>100</v>
      </c>
      <c r="B2662" s="32">
        <v>2023</v>
      </c>
      <c r="C2662" s="33" t="s">
        <v>23</v>
      </c>
      <c r="D2662" s="34" t="s">
        <v>1999</v>
      </c>
      <c r="E2662" s="35" t="str">
        <f t="shared" ref="E2662:E2682" si="630">_xlfn.CONCAT(A2662,"'!")</f>
        <v>PRBNP'!</v>
      </c>
      <c r="F2662" s="34" t="str">
        <f t="shared" ref="F2662:F2682" si="631">_xlfn.CONCAT(D2662:E2662)</f>
        <v>C:\Users\jaime.benazar\Quorum Business Solutions\Ecopetrol Prometeo - Documents\Planning Space Implementation\3. Analysis &amp; Design\Design\FC22\DRR Jaime\QUIFA-CAJÚA\Cajua\[CAJUA_CF_SEC_New_27-Feb-2024Rev3.xlsx]D-PRBNP'!</v>
      </c>
      <c r="G2662" s="32" t="s">
        <v>116</v>
      </c>
      <c r="H2662" s="33"/>
      <c r="I2662" s="33"/>
      <c r="J2662" s="37"/>
    </row>
    <row r="2663" spans="1:10" x14ac:dyDescent="0.25">
      <c r="A2663" s="32" t="s">
        <v>100</v>
      </c>
      <c r="B2663" s="32">
        <f>+B2662+1</f>
        <v>2024</v>
      </c>
      <c r="C2663" s="33" t="s">
        <v>23</v>
      </c>
      <c r="D2663" s="34" t="s">
        <v>1999</v>
      </c>
      <c r="E2663" s="35" t="str">
        <f t="shared" si="630"/>
        <v>PRBNP'!</v>
      </c>
      <c r="F2663" s="34" t="str">
        <f t="shared" si="631"/>
        <v>C:\Users\jaime.benazar\Quorum Business Solutions\Ecopetrol Prometeo - Documents\Planning Space Implementation\3. Analysis &amp; Design\Design\FC22\DRR Jaime\QUIFA-CAJÚA\Cajua\[CAJUA_CF_SEC_New_27-Feb-2024Rev3.xlsx]D-PRBNP'!</v>
      </c>
      <c r="G2663" s="32" t="s">
        <v>116</v>
      </c>
      <c r="H2663" s="33"/>
      <c r="I2663" s="33"/>
      <c r="J2663" s="37"/>
    </row>
    <row r="2664" spans="1:10" x14ac:dyDescent="0.25">
      <c r="A2664" s="32" t="s">
        <v>100</v>
      </c>
      <c r="B2664" s="32">
        <f t="shared" ref="B2664:B2675" si="632">+B2663+1</f>
        <v>2025</v>
      </c>
      <c r="C2664" s="33" t="s">
        <v>23</v>
      </c>
      <c r="D2664" s="34" t="s">
        <v>1999</v>
      </c>
      <c r="E2664" s="35" t="str">
        <f t="shared" si="630"/>
        <v>PRBNP'!</v>
      </c>
      <c r="F2664" s="34" t="str">
        <f t="shared" si="631"/>
        <v>C:\Users\jaime.benazar\Quorum Business Solutions\Ecopetrol Prometeo - Documents\Planning Space Implementation\3. Analysis &amp; Design\Design\FC22\DRR Jaime\QUIFA-CAJÚA\Cajua\[CAJUA_CF_SEC_New_27-Feb-2024Rev3.xlsx]D-PRBNP'!</v>
      </c>
      <c r="G2664" s="32" t="s">
        <v>116</v>
      </c>
      <c r="H2664" s="33"/>
      <c r="I2664" s="33"/>
      <c r="J2664" s="37"/>
    </row>
    <row r="2665" spans="1:10" x14ac:dyDescent="0.25">
      <c r="A2665" s="32" t="s">
        <v>100</v>
      </c>
      <c r="B2665" s="32">
        <f t="shared" si="632"/>
        <v>2026</v>
      </c>
      <c r="C2665" s="33" t="s">
        <v>23</v>
      </c>
      <c r="D2665" s="34" t="s">
        <v>1999</v>
      </c>
      <c r="E2665" s="35" t="str">
        <f t="shared" si="630"/>
        <v>PRBNP'!</v>
      </c>
      <c r="F2665" s="34" t="str">
        <f t="shared" si="631"/>
        <v>C:\Users\jaime.benazar\Quorum Business Solutions\Ecopetrol Prometeo - Documents\Planning Space Implementation\3. Analysis &amp; Design\Design\FC22\DRR Jaime\QUIFA-CAJÚA\Cajua\[CAJUA_CF_SEC_New_27-Feb-2024Rev3.xlsx]D-PRBNP'!</v>
      </c>
      <c r="G2665" s="32" t="s">
        <v>116</v>
      </c>
      <c r="H2665" s="33"/>
      <c r="I2665" s="33"/>
      <c r="J2665" s="37"/>
    </row>
    <row r="2666" spans="1:10" x14ac:dyDescent="0.25">
      <c r="A2666" s="32" t="s">
        <v>100</v>
      </c>
      <c r="B2666" s="32">
        <f t="shared" si="632"/>
        <v>2027</v>
      </c>
      <c r="C2666" s="33" t="s">
        <v>23</v>
      </c>
      <c r="D2666" s="34" t="s">
        <v>1999</v>
      </c>
      <c r="E2666" s="35" t="str">
        <f t="shared" si="630"/>
        <v>PRBNP'!</v>
      </c>
      <c r="F2666" s="34" t="str">
        <f t="shared" si="631"/>
        <v>C:\Users\jaime.benazar\Quorum Business Solutions\Ecopetrol Prometeo - Documents\Planning Space Implementation\3. Analysis &amp; Design\Design\FC22\DRR Jaime\QUIFA-CAJÚA\Cajua\[CAJUA_CF_SEC_New_27-Feb-2024Rev3.xlsx]D-PRBNP'!</v>
      </c>
      <c r="G2666" s="32" t="s">
        <v>116</v>
      </c>
      <c r="H2666" s="33"/>
      <c r="I2666" s="33"/>
      <c r="J2666" s="37"/>
    </row>
    <row r="2667" spans="1:10" x14ac:dyDescent="0.25">
      <c r="A2667" s="32" t="s">
        <v>100</v>
      </c>
      <c r="B2667" s="32">
        <f t="shared" si="632"/>
        <v>2028</v>
      </c>
      <c r="C2667" s="33" t="s">
        <v>23</v>
      </c>
      <c r="D2667" s="34" t="s">
        <v>1999</v>
      </c>
      <c r="E2667" s="35" t="str">
        <f t="shared" si="630"/>
        <v>PRBNP'!</v>
      </c>
      <c r="F2667" s="34" t="str">
        <f t="shared" si="631"/>
        <v>C:\Users\jaime.benazar\Quorum Business Solutions\Ecopetrol Prometeo - Documents\Planning Space Implementation\3. Analysis &amp; Design\Design\FC22\DRR Jaime\QUIFA-CAJÚA\Cajua\[CAJUA_CF_SEC_New_27-Feb-2024Rev3.xlsx]D-PRBNP'!</v>
      </c>
      <c r="G2667" s="32" t="s">
        <v>116</v>
      </c>
      <c r="H2667" s="33"/>
      <c r="I2667" s="33"/>
      <c r="J2667" s="37"/>
    </row>
    <row r="2668" spans="1:10" x14ac:dyDescent="0.25">
      <c r="A2668" s="32" t="s">
        <v>100</v>
      </c>
      <c r="B2668" s="32">
        <f t="shared" si="632"/>
        <v>2029</v>
      </c>
      <c r="C2668" s="33" t="s">
        <v>23</v>
      </c>
      <c r="D2668" s="34" t="s">
        <v>1999</v>
      </c>
      <c r="E2668" s="35" t="str">
        <f t="shared" si="630"/>
        <v>PRBNP'!</v>
      </c>
      <c r="F2668" s="34" t="str">
        <f t="shared" si="631"/>
        <v>C:\Users\jaime.benazar\Quorum Business Solutions\Ecopetrol Prometeo - Documents\Planning Space Implementation\3. Analysis &amp; Design\Design\FC22\DRR Jaime\QUIFA-CAJÚA\Cajua\[CAJUA_CF_SEC_New_27-Feb-2024Rev3.xlsx]D-PRBNP'!</v>
      </c>
      <c r="G2668" s="32" t="s">
        <v>116</v>
      </c>
      <c r="H2668" s="33"/>
      <c r="I2668" s="33"/>
      <c r="J2668" s="37"/>
    </row>
    <row r="2669" spans="1:10" x14ac:dyDescent="0.25">
      <c r="A2669" s="32" t="s">
        <v>100</v>
      </c>
      <c r="B2669" s="32">
        <f t="shared" si="632"/>
        <v>2030</v>
      </c>
      <c r="C2669" s="33" t="s">
        <v>23</v>
      </c>
      <c r="D2669" s="34" t="s">
        <v>1999</v>
      </c>
      <c r="E2669" s="35" t="str">
        <f t="shared" si="630"/>
        <v>PRBNP'!</v>
      </c>
      <c r="F2669" s="34" t="str">
        <f t="shared" si="631"/>
        <v>C:\Users\jaime.benazar\Quorum Business Solutions\Ecopetrol Prometeo - Documents\Planning Space Implementation\3. Analysis &amp; Design\Design\FC22\DRR Jaime\QUIFA-CAJÚA\Cajua\[CAJUA_CF_SEC_New_27-Feb-2024Rev3.xlsx]D-PRBNP'!</v>
      </c>
      <c r="G2669" s="32" t="s">
        <v>116</v>
      </c>
      <c r="H2669" s="33"/>
      <c r="I2669" s="33"/>
      <c r="J2669" s="37"/>
    </row>
    <row r="2670" spans="1:10" x14ac:dyDescent="0.25">
      <c r="A2670" s="32" t="s">
        <v>100</v>
      </c>
      <c r="B2670" s="32">
        <f t="shared" si="632"/>
        <v>2031</v>
      </c>
      <c r="C2670" s="33" t="s">
        <v>23</v>
      </c>
      <c r="D2670" s="34" t="s">
        <v>1999</v>
      </c>
      <c r="E2670" s="35" t="str">
        <f t="shared" si="630"/>
        <v>PRBNP'!</v>
      </c>
      <c r="F2670" s="34" t="str">
        <f t="shared" si="631"/>
        <v>C:\Users\jaime.benazar\Quorum Business Solutions\Ecopetrol Prometeo - Documents\Planning Space Implementation\3. Analysis &amp; Design\Design\FC22\DRR Jaime\QUIFA-CAJÚA\Cajua\[CAJUA_CF_SEC_New_27-Feb-2024Rev3.xlsx]D-PRBNP'!</v>
      </c>
      <c r="G2670" s="32" t="s">
        <v>116</v>
      </c>
      <c r="H2670" s="33"/>
      <c r="I2670" s="33"/>
      <c r="J2670" s="37"/>
    </row>
    <row r="2671" spans="1:10" x14ac:dyDescent="0.25">
      <c r="A2671" s="32" t="s">
        <v>100</v>
      </c>
      <c r="B2671" s="32">
        <f t="shared" si="632"/>
        <v>2032</v>
      </c>
      <c r="C2671" s="33" t="s">
        <v>23</v>
      </c>
      <c r="D2671" s="34" t="s">
        <v>1999</v>
      </c>
      <c r="E2671" s="35" t="str">
        <f t="shared" si="630"/>
        <v>PRBNP'!</v>
      </c>
      <c r="F2671" s="34" t="str">
        <f t="shared" si="631"/>
        <v>C:\Users\jaime.benazar\Quorum Business Solutions\Ecopetrol Prometeo - Documents\Planning Space Implementation\3. Analysis &amp; Design\Design\FC22\DRR Jaime\QUIFA-CAJÚA\Cajua\[CAJUA_CF_SEC_New_27-Feb-2024Rev3.xlsx]D-PRBNP'!</v>
      </c>
      <c r="G2671" s="32" t="s">
        <v>116</v>
      </c>
      <c r="H2671" s="33"/>
      <c r="I2671" s="33"/>
      <c r="J2671" s="37"/>
    </row>
    <row r="2672" spans="1:10" x14ac:dyDescent="0.25">
      <c r="A2672" s="32" t="s">
        <v>100</v>
      </c>
      <c r="B2672" s="32">
        <f t="shared" si="632"/>
        <v>2033</v>
      </c>
      <c r="C2672" s="33" t="s">
        <v>23</v>
      </c>
      <c r="D2672" s="34" t="s">
        <v>1999</v>
      </c>
      <c r="E2672" s="35" t="str">
        <f t="shared" si="630"/>
        <v>PRBNP'!</v>
      </c>
      <c r="F2672" s="34" t="str">
        <f t="shared" si="631"/>
        <v>C:\Users\jaime.benazar\Quorum Business Solutions\Ecopetrol Prometeo - Documents\Planning Space Implementation\3. Analysis &amp; Design\Design\FC22\DRR Jaime\QUIFA-CAJÚA\Cajua\[CAJUA_CF_SEC_New_27-Feb-2024Rev3.xlsx]D-PRBNP'!</v>
      </c>
      <c r="G2672" s="32" t="s">
        <v>116</v>
      </c>
      <c r="H2672" s="33"/>
      <c r="I2672" s="33"/>
      <c r="J2672" s="37"/>
    </row>
    <row r="2673" spans="1:10" x14ac:dyDescent="0.25">
      <c r="A2673" s="32" t="s">
        <v>100</v>
      </c>
      <c r="B2673" s="32">
        <f t="shared" si="632"/>
        <v>2034</v>
      </c>
      <c r="C2673" s="33" t="s">
        <v>23</v>
      </c>
      <c r="D2673" s="34" t="s">
        <v>1999</v>
      </c>
      <c r="E2673" s="35" t="str">
        <f t="shared" si="630"/>
        <v>PRBNP'!</v>
      </c>
      <c r="F2673" s="34" t="str">
        <f t="shared" si="631"/>
        <v>C:\Users\jaime.benazar\Quorum Business Solutions\Ecopetrol Prometeo - Documents\Planning Space Implementation\3. Analysis &amp; Design\Design\FC22\DRR Jaime\QUIFA-CAJÚA\Cajua\[CAJUA_CF_SEC_New_27-Feb-2024Rev3.xlsx]D-PRBNP'!</v>
      </c>
      <c r="G2673" s="32" t="s">
        <v>116</v>
      </c>
      <c r="H2673" s="33"/>
      <c r="I2673" s="33"/>
      <c r="J2673" s="37"/>
    </row>
    <row r="2674" spans="1:10" x14ac:dyDescent="0.25">
      <c r="A2674" s="32" t="s">
        <v>100</v>
      </c>
      <c r="B2674" s="32">
        <f t="shared" si="632"/>
        <v>2035</v>
      </c>
      <c r="C2674" s="33" t="s">
        <v>23</v>
      </c>
      <c r="D2674" s="34" t="s">
        <v>1999</v>
      </c>
      <c r="E2674" s="35" t="str">
        <f t="shared" si="630"/>
        <v>PRBNP'!</v>
      </c>
      <c r="F2674" s="34" t="str">
        <f t="shared" si="631"/>
        <v>C:\Users\jaime.benazar\Quorum Business Solutions\Ecopetrol Prometeo - Documents\Planning Space Implementation\3. Analysis &amp; Design\Design\FC22\DRR Jaime\QUIFA-CAJÚA\Cajua\[CAJUA_CF_SEC_New_27-Feb-2024Rev3.xlsx]D-PRBNP'!</v>
      </c>
      <c r="G2674" s="32" t="s">
        <v>116</v>
      </c>
      <c r="H2674" s="33"/>
      <c r="I2674" s="33"/>
      <c r="J2674" s="37"/>
    </row>
    <row r="2675" spans="1:10" x14ac:dyDescent="0.25">
      <c r="A2675" s="32" t="s">
        <v>100</v>
      </c>
      <c r="B2675" s="32">
        <f t="shared" si="632"/>
        <v>2036</v>
      </c>
      <c r="C2675" s="33" t="s">
        <v>23</v>
      </c>
      <c r="D2675" s="34" t="s">
        <v>1999</v>
      </c>
      <c r="E2675" s="35" t="str">
        <f t="shared" si="630"/>
        <v>PRBNP'!</v>
      </c>
      <c r="F2675" s="34" t="str">
        <f t="shared" si="631"/>
        <v>C:\Users\jaime.benazar\Quorum Business Solutions\Ecopetrol Prometeo - Documents\Planning Space Implementation\3. Analysis &amp; Design\Design\FC22\DRR Jaime\QUIFA-CAJÚA\Cajua\[CAJUA_CF_SEC_New_27-Feb-2024Rev3.xlsx]D-PRBNP'!</v>
      </c>
      <c r="G2675" s="32" t="s">
        <v>116</v>
      </c>
      <c r="H2675" s="33"/>
      <c r="I2675" s="33"/>
      <c r="J2675" s="37"/>
    </row>
    <row r="2676" spans="1:10" x14ac:dyDescent="0.25">
      <c r="A2676" s="32" t="s">
        <v>100</v>
      </c>
      <c r="B2676" s="32">
        <f>+B2675+1</f>
        <v>2037</v>
      </c>
      <c r="C2676" s="33" t="s">
        <v>23</v>
      </c>
      <c r="D2676" s="34" t="s">
        <v>1999</v>
      </c>
      <c r="E2676" s="35" t="str">
        <f t="shared" si="630"/>
        <v>PRBNP'!</v>
      </c>
      <c r="F2676" s="34" t="str">
        <f t="shared" si="631"/>
        <v>C:\Users\jaime.benazar\Quorum Business Solutions\Ecopetrol Prometeo - Documents\Planning Space Implementation\3. Analysis &amp; Design\Design\FC22\DRR Jaime\QUIFA-CAJÚA\Cajua\[CAJUA_CF_SEC_New_27-Feb-2024Rev3.xlsx]D-PRBNP'!</v>
      </c>
      <c r="G2676" s="32" t="s">
        <v>116</v>
      </c>
      <c r="H2676" s="33"/>
      <c r="I2676" s="33"/>
      <c r="J2676" s="37"/>
    </row>
    <row r="2677" spans="1:10" x14ac:dyDescent="0.25">
      <c r="A2677" s="32" t="s">
        <v>100</v>
      </c>
      <c r="B2677" s="32">
        <f t="shared" ref="B2677:B2679" si="633">+B2676+1</f>
        <v>2038</v>
      </c>
      <c r="C2677" s="33" t="s">
        <v>23</v>
      </c>
      <c r="D2677" s="34" t="s">
        <v>1999</v>
      </c>
      <c r="E2677" s="35" t="str">
        <f t="shared" si="630"/>
        <v>PRBNP'!</v>
      </c>
      <c r="F2677" s="34" t="str">
        <f t="shared" si="631"/>
        <v>C:\Users\jaime.benazar\Quorum Business Solutions\Ecopetrol Prometeo - Documents\Planning Space Implementation\3. Analysis &amp; Design\Design\FC22\DRR Jaime\QUIFA-CAJÚA\Cajua\[CAJUA_CF_SEC_New_27-Feb-2024Rev3.xlsx]D-PRBNP'!</v>
      </c>
      <c r="G2677" s="32" t="s">
        <v>116</v>
      </c>
      <c r="H2677" s="33"/>
      <c r="I2677" s="33"/>
      <c r="J2677" s="37"/>
    </row>
    <row r="2678" spans="1:10" x14ac:dyDescent="0.25">
      <c r="A2678" s="32" t="s">
        <v>100</v>
      </c>
      <c r="B2678" s="32">
        <f t="shared" si="633"/>
        <v>2039</v>
      </c>
      <c r="C2678" s="33" t="s">
        <v>23</v>
      </c>
      <c r="D2678" s="34" t="s">
        <v>1999</v>
      </c>
      <c r="E2678" s="35" t="str">
        <f t="shared" si="630"/>
        <v>PRBNP'!</v>
      </c>
      <c r="F2678" s="34" t="str">
        <f t="shared" si="631"/>
        <v>C:\Users\jaime.benazar\Quorum Business Solutions\Ecopetrol Prometeo - Documents\Planning Space Implementation\3. Analysis &amp; Design\Design\FC22\DRR Jaime\QUIFA-CAJÚA\Cajua\[CAJUA_CF_SEC_New_27-Feb-2024Rev3.xlsx]D-PRBNP'!</v>
      </c>
      <c r="G2678" s="32" t="s">
        <v>116</v>
      </c>
      <c r="H2678" s="33"/>
      <c r="I2678" s="33"/>
      <c r="J2678" s="37"/>
    </row>
    <row r="2679" spans="1:10" x14ac:dyDescent="0.25">
      <c r="A2679" s="32" t="s">
        <v>100</v>
      </c>
      <c r="B2679" s="32">
        <f t="shared" si="633"/>
        <v>2040</v>
      </c>
      <c r="C2679" s="33" t="s">
        <v>23</v>
      </c>
      <c r="D2679" s="34" t="s">
        <v>1999</v>
      </c>
      <c r="E2679" s="35" t="str">
        <f t="shared" si="630"/>
        <v>PRBNP'!</v>
      </c>
      <c r="F2679" s="34" t="str">
        <f t="shared" si="631"/>
        <v>C:\Users\jaime.benazar\Quorum Business Solutions\Ecopetrol Prometeo - Documents\Planning Space Implementation\3. Analysis &amp; Design\Design\FC22\DRR Jaime\QUIFA-CAJÚA\Cajua\[CAJUA_CF_SEC_New_27-Feb-2024Rev3.xlsx]D-PRBNP'!</v>
      </c>
      <c r="G2679" s="32" t="s">
        <v>116</v>
      </c>
      <c r="H2679" s="33"/>
      <c r="I2679" s="33"/>
      <c r="J2679" s="37"/>
    </row>
    <row r="2680" spans="1:10" x14ac:dyDescent="0.25">
      <c r="A2680" s="32" t="s">
        <v>100</v>
      </c>
      <c r="B2680" s="32">
        <f>+B2679+1</f>
        <v>2041</v>
      </c>
      <c r="C2680" s="33" t="s">
        <v>23</v>
      </c>
      <c r="D2680" s="34" t="s">
        <v>1999</v>
      </c>
      <c r="E2680" s="35" t="str">
        <f t="shared" si="630"/>
        <v>PRBNP'!</v>
      </c>
      <c r="F2680" s="34" t="str">
        <f t="shared" si="631"/>
        <v>C:\Users\jaime.benazar\Quorum Business Solutions\Ecopetrol Prometeo - Documents\Planning Space Implementation\3. Analysis &amp; Design\Design\FC22\DRR Jaime\QUIFA-CAJÚA\Cajua\[CAJUA_CF_SEC_New_27-Feb-2024Rev3.xlsx]D-PRBNP'!</v>
      </c>
      <c r="G2680" s="32" t="s">
        <v>116</v>
      </c>
      <c r="H2680" s="33"/>
      <c r="I2680" s="33"/>
      <c r="J2680" s="37"/>
    </row>
    <row r="2681" spans="1:10" x14ac:dyDescent="0.25">
      <c r="A2681" s="32" t="s">
        <v>100</v>
      </c>
      <c r="B2681" s="32">
        <f t="shared" ref="B2681:B2682" si="634">+B2680+1</f>
        <v>2042</v>
      </c>
      <c r="C2681" s="33" t="s">
        <v>23</v>
      </c>
      <c r="D2681" s="34" t="s">
        <v>1999</v>
      </c>
      <c r="E2681" s="35" t="str">
        <f t="shared" si="630"/>
        <v>PRBNP'!</v>
      </c>
      <c r="F2681" s="34" t="str">
        <f t="shared" si="631"/>
        <v>C:\Users\jaime.benazar\Quorum Business Solutions\Ecopetrol Prometeo - Documents\Planning Space Implementation\3. Analysis &amp; Design\Design\FC22\DRR Jaime\QUIFA-CAJÚA\Cajua\[CAJUA_CF_SEC_New_27-Feb-2024Rev3.xlsx]D-PRBNP'!</v>
      </c>
      <c r="G2681" s="32" t="s">
        <v>116</v>
      </c>
      <c r="H2681" s="33"/>
      <c r="I2681" s="33"/>
      <c r="J2681" s="37"/>
    </row>
    <row r="2682" spans="1:10" x14ac:dyDescent="0.25">
      <c r="A2682" s="32" t="s">
        <v>100</v>
      </c>
      <c r="B2682" s="32">
        <f t="shared" si="634"/>
        <v>2043</v>
      </c>
      <c r="C2682" s="33" t="s">
        <v>23</v>
      </c>
      <c r="D2682" s="34" t="s">
        <v>1999</v>
      </c>
      <c r="E2682" s="35" t="str">
        <f t="shared" si="630"/>
        <v>PRBNP'!</v>
      </c>
      <c r="F2682" s="34" t="str">
        <f t="shared" si="631"/>
        <v>C:\Users\jaime.benazar\Quorum Business Solutions\Ecopetrol Prometeo - Documents\Planning Space Implementation\3. Analysis &amp; Design\Design\FC22\DRR Jaime\QUIFA-CAJÚA\Cajua\[CAJUA_CF_SEC_New_27-Feb-2024Rev3.xlsx]D-PRBNP'!</v>
      </c>
      <c r="G2682" s="32" t="s">
        <v>116</v>
      </c>
      <c r="H2682" s="33"/>
      <c r="I2682" s="33"/>
      <c r="J2682" s="37"/>
    </row>
    <row r="2683" spans="1:10" x14ac:dyDescent="0.25">
      <c r="A2683" s="32" t="s">
        <v>100</v>
      </c>
      <c r="B2683" s="32">
        <f>+B2682+1</f>
        <v>2044</v>
      </c>
      <c r="C2683" s="33" t="s">
        <v>23</v>
      </c>
      <c r="D2683" s="34" t="s">
        <v>1999</v>
      </c>
      <c r="E2683" s="35" t="str">
        <f t="shared" ref="E2683:E2698" si="635">_xlfn.CONCAT(A2683,"'!")</f>
        <v>PRBNP'!</v>
      </c>
      <c r="F2683" s="34" t="str">
        <f t="shared" ref="F2683:F2698" si="636">_xlfn.CONCAT(D2683:E2683)</f>
        <v>C:\Users\jaime.benazar\Quorum Business Solutions\Ecopetrol Prometeo - Documents\Planning Space Implementation\3. Analysis &amp; Design\Design\FC22\DRR Jaime\QUIFA-CAJÚA\Cajua\[CAJUA_CF_SEC_New_27-Feb-2024Rev3.xlsx]D-PRBNP'!</v>
      </c>
      <c r="G2683" s="32" t="s">
        <v>116</v>
      </c>
      <c r="H2683" s="33"/>
      <c r="I2683" s="33"/>
      <c r="J2683" s="37"/>
    </row>
    <row r="2684" spans="1:10" x14ac:dyDescent="0.25">
      <c r="A2684" s="32" t="s">
        <v>100</v>
      </c>
      <c r="B2684" s="32">
        <f t="shared" ref="B2684:B2698" si="637">+B2683+1</f>
        <v>2045</v>
      </c>
      <c r="C2684" s="33" t="s">
        <v>23</v>
      </c>
      <c r="D2684" s="34" t="s">
        <v>1999</v>
      </c>
      <c r="E2684" s="35" t="str">
        <f t="shared" si="635"/>
        <v>PRBNP'!</v>
      </c>
      <c r="F2684" s="34" t="str">
        <f t="shared" si="636"/>
        <v>C:\Users\jaime.benazar\Quorum Business Solutions\Ecopetrol Prometeo - Documents\Planning Space Implementation\3. Analysis &amp; Design\Design\FC22\DRR Jaime\QUIFA-CAJÚA\Cajua\[CAJUA_CF_SEC_New_27-Feb-2024Rev3.xlsx]D-PRBNP'!</v>
      </c>
      <c r="G2684" s="32" t="s">
        <v>116</v>
      </c>
      <c r="H2684" s="33"/>
      <c r="I2684" s="33"/>
      <c r="J2684" s="37"/>
    </row>
    <row r="2685" spans="1:10" x14ac:dyDescent="0.25">
      <c r="A2685" s="32" t="s">
        <v>100</v>
      </c>
      <c r="B2685" s="32">
        <f t="shared" si="637"/>
        <v>2046</v>
      </c>
      <c r="C2685" s="33" t="s">
        <v>23</v>
      </c>
      <c r="D2685" s="34" t="s">
        <v>1999</v>
      </c>
      <c r="E2685" s="35" t="str">
        <f t="shared" si="635"/>
        <v>PRBNP'!</v>
      </c>
      <c r="F2685" s="34" t="str">
        <f t="shared" si="636"/>
        <v>C:\Users\jaime.benazar\Quorum Business Solutions\Ecopetrol Prometeo - Documents\Planning Space Implementation\3. Analysis &amp; Design\Design\FC22\DRR Jaime\QUIFA-CAJÚA\Cajua\[CAJUA_CF_SEC_New_27-Feb-2024Rev3.xlsx]D-PRBNP'!</v>
      </c>
      <c r="G2685" s="32" t="s">
        <v>116</v>
      </c>
      <c r="H2685" s="33"/>
      <c r="I2685" s="33"/>
      <c r="J2685" s="37"/>
    </row>
    <row r="2686" spans="1:10" x14ac:dyDescent="0.25">
      <c r="A2686" s="32" t="s">
        <v>100</v>
      </c>
      <c r="B2686" s="32">
        <f t="shared" si="637"/>
        <v>2047</v>
      </c>
      <c r="C2686" s="33" t="s">
        <v>23</v>
      </c>
      <c r="D2686" s="34" t="s">
        <v>1999</v>
      </c>
      <c r="E2686" s="35" t="str">
        <f t="shared" si="635"/>
        <v>PRBNP'!</v>
      </c>
      <c r="F2686" s="34" t="str">
        <f t="shared" si="636"/>
        <v>C:\Users\jaime.benazar\Quorum Business Solutions\Ecopetrol Prometeo - Documents\Planning Space Implementation\3. Analysis &amp; Design\Design\FC22\DRR Jaime\QUIFA-CAJÚA\Cajua\[CAJUA_CF_SEC_New_27-Feb-2024Rev3.xlsx]D-PRBNP'!</v>
      </c>
      <c r="G2686" s="32" t="s">
        <v>116</v>
      </c>
      <c r="H2686" s="33"/>
      <c r="I2686" s="33"/>
      <c r="J2686" s="37"/>
    </row>
    <row r="2687" spans="1:10" x14ac:dyDescent="0.25">
      <c r="A2687" s="32" t="s">
        <v>100</v>
      </c>
      <c r="B2687" s="32">
        <f t="shared" si="637"/>
        <v>2048</v>
      </c>
      <c r="C2687" s="33" t="s">
        <v>23</v>
      </c>
      <c r="D2687" s="34" t="s">
        <v>1999</v>
      </c>
      <c r="E2687" s="35" t="str">
        <f t="shared" si="635"/>
        <v>PRBNP'!</v>
      </c>
      <c r="F2687" s="34" t="str">
        <f t="shared" si="636"/>
        <v>C:\Users\jaime.benazar\Quorum Business Solutions\Ecopetrol Prometeo - Documents\Planning Space Implementation\3. Analysis &amp; Design\Design\FC22\DRR Jaime\QUIFA-CAJÚA\Cajua\[CAJUA_CF_SEC_New_27-Feb-2024Rev3.xlsx]D-PRBNP'!</v>
      </c>
      <c r="G2687" s="32" t="s">
        <v>116</v>
      </c>
      <c r="H2687" s="33"/>
      <c r="I2687" s="33"/>
      <c r="J2687" s="37"/>
    </row>
    <row r="2688" spans="1:10" x14ac:dyDescent="0.25">
      <c r="A2688" s="32" t="s">
        <v>100</v>
      </c>
      <c r="B2688" s="32">
        <f t="shared" si="637"/>
        <v>2049</v>
      </c>
      <c r="C2688" s="33" t="s">
        <v>23</v>
      </c>
      <c r="D2688" s="34" t="s">
        <v>1999</v>
      </c>
      <c r="E2688" s="35" t="str">
        <f t="shared" si="635"/>
        <v>PRBNP'!</v>
      </c>
      <c r="F2688" s="34" t="str">
        <f t="shared" si="636"/>
        <v>C:\Users\jaime.benazar\Quorum Business Solutions\Ecopetrol Prometeo - Documents\Planning Space Implementation\3. Analysis &amp; Design\Design\FC22\DRR Jaime\QUIFA-CAJÚA\Cajua\[CAJUA_CF_SEC_New_27-Feb-2024Rev3.xlsx]D-PRBNP'!</v>
      </c>
      <c r="G2688" s="32" t="s">
        <v>116</v>
      </c>
      <c r="H2688" s="33"/>
      <c r="I2688" s="33"/>
      <c r="J2688" s="37"/>
    </row>
    <row r="2689" spans="1:10" x14ac:dyDescent="0.25">
      <c r="A2689" s="32" t="s">
        <v>100</v>
      </c>
      <c r="B2689" s="32">
        <f t="shared" si="637"/>
        <v>2050</v>
      </c>
      <c r="C2689" s="33" t="s">
        <v>23</v>
      </c>
      <c r="D2689" s="34" t="s">
        <v>1999</v>
      </c>
      <c r="E2689" s="35" t="str">
        <f t="shared" si="635"/>
        <v>PRBNP'!</v>
      </c>
      <c r="F2689" s="34" t="str">
        <f t="shared" si="636"/>
        <v>C:\Users\jaime.benazar\Quorum Business Solutions\Ecopetrol Prometeo - Documents\Planning Space Implementation\3. Analysis &amp; Design\Design\FC22\DRR Jaime\QUIFA-CAJÚA\Cajua\[CAJUA_CF_SEC_New_27-Feb-2024Rev3.xlsx]D-PRBNP'!</v>
      </c>
      <c r="G2689" s="32" t="s">
        <v>116</v>
      </c>
      <c r="H2689" s="33"/>
      <c r="I2689" s="33"/>
      <c r="J2689" s="37"/>
    </row>
    <row r="2690" spans="1:10" x14ac:dyDescent="0.25">
      <c r="A2690" s="32" t="s">
        <v>100</v>
      </c>
      <c r="B2690" s="32">
        <f t="shared" si="637"/>
        <v>2051</v>
      </c>
      <c r="C2690" s="33" t="s">
        <v>23</v>
      </c>
      <c r="D2690" s="34" t="s">
        <v>1999</v>
      </c>
      <c r="E2690" s="35" t="str">
        <f t="shared" si="635"/>
        <v>PRBNP'!</v>
      </c>
      <c r="F2690" s="34" t="str">
        <f t="shared" si="636"/>
        <v>C:\Users\jaime.benazar\Quorum Business Solutions\Ecopetrol Prometeo - Documents\Planning Space Implementation\3. Analysis &amp; Design\Design\FC22\DRR Jaime\QUIFA-CAJÚA\Cajua\[CAJUA_CF_SEC_New_27-Feb-2024Rev3.xlsx]D-PRBNP'!</v>
      </c>
      <c r="G2690" s="32" t="s">
        <v>116</v>
      </c>
      <c r="H2690" s="33"/>
      <c r="I2690" s="33"/>
      <c r="J2690" s="37"/>
    </row>
    <row r="2691" spans="1:10" x14ac:dyDescent="0.25">
      <c r="A2691" s="32" t="s">
        <v>100</v>
      </c>
      <c r="B2691" s="32">
        <f t="shared" si="637"/>
        <v>2052</v>
      </c>
      <c r="C2691" s="33" t="s">
        <v>23</v>
      </c>
      <c r="D2691" s="34" t="s">
        <v>1999</v>
      </c>
      <c r="E2691" s="35" t="str">
        <f t="shared" si="635"/>
        <v>PRBNP'!</v>
      </c>
      <c r="F2691" s="34" t="str">
        <f t="shared" si="636"/>
        <v>C:\Users\jaime.benazar\Quorum Business Solutions\Ecopetrol Prometeo - Documents\Planning Space Implementation\3. Analysis &amp; Design\Design\FC22\DRR Jaime\QUIFA-CAJÚA\Cajua\[CAJUA_CF_SEC_New_27-Feb-2024Rev3.xlsx]D-PRBNP'!</v>
      </c>
      <c r="G2691" s="32" t="s">
        <v>116</v>
      </c>
      <c r="H2691" s="33"/>
      <c r="I2691" s="33"/>
      <c r="J2691" s="37"/>
    </row>
    <row r="2692" spans="1:10" x14ac:dyDescent="0.25">
      <c r="A2692" s="32" t="s">
        <v>100</v>
      </c>
      <c r="B2692" s="32">
        <f t="shared" si="637"/>
        <v>2053</v>
      </c>
      <c r="C2692" s="33" t="s">
        <v>23</v>
      </c>
      <c r="D2692" s="34" t="s">
        <v>1999</v>
      </c>
      <c r="E2692" s="35" t="str">
        <f t="shared" si="635"/>
        <v>PRBNP'!</v>
      </c>
      <c r="F2692" s="34" t="str">
        <f t="shared" si="636"/>
        <v>C:\Users\jaime.benazar\Quorum Business Solutions\Ecopetrol Prometeo - Documents\Planning Space Implementation\3. Analysis &amp; Design\Design\FC22\DRR Jaime\QUIFA-CAJÚA\Cajua\[CAJUA_CF_SEC_New_27-Feb-2024Rev3.xlsx]D-PRBNP'!</v>
      </c>
      <c r="G2692" s="32" t="s">
        <v>116</v>
      </c>
      <c r="H2692" s="33"/>
      <c r="I2692" s="33"/>
      <c r="J2692" s="37"/>
    </row>
    <row r="2693" spans="1:10" x14ac:dyDescent="0.25">
      <c r="A2693" s="32" t="s">
        <v>100</v>
      </c>
      <c r="B2693" s="32">
        <f t="shared" si="637"/>
        <v>2054</v>
      </c>
      <c r="C2693" s="33" t="s">
        <v>23</v>
      </c>
      <c r="D2693" s="34" t="s">
        <v>1999</v>
      </c>
      <c r="E2693" s="35" t="str">
        <f t="shared" si="635"/>
        <v>PRBNP'!</v>
      </c>
      <c r="F2693" s="34" t="str">
        <f t="shared" si="636"/>
        <v>C:\Users\jaime.benazar\Quorum Business Solutions\Ecopetrol Prometeo - Documents\Planning Space Implementation\3. Analysis &amp; Design\Design\FC22\DRR Jaime\QUIFA-CAJÚA\Cajua\[CAJUA_CF_SEC_New_27-Feb-2024Rev3.xlsx]D-PRBNP'!</v>
      </c>
      <c r="G2693" s="32" t="s">
        <v>116</v>
      </c>
      <c r="H2693" s="33"/>
      <c r="I2693" s="33"/>
      <c r="J2693" s="37"/>
    </row>
    <row r="2694" spans="1:10" x14ac:dyDescent="0.25">
      <c r="A2694" s="32" t="s">
        <v>100</v>
      </c>
      <c r="B2694" s="32">
        <f t="shared" si="637"/>
        <v>2055</v>
      </c>
      <c r="C2694" s="33" t="s">
        <v>23</v>
      </c>
      <c r="D2694" s="34" t="s">
        <v>1999</v>
      </c>
      <c r="E2694" s="35" t="str">
        <f t="shared" si="635"/>
        <v>PRBNP'!</v>
      </c>
      <c r="F2694" s="34" t="str">
        <f t="shared" si="636"/>
        <v>C:\Users\jaime.benazar\Quorum Business Solutions\Ecopetrol Prometeo - Documents\Planning Space Implementation\3. Analysis &amp; Design\Design\FC22\DRR Jaime\QUIFA-CAJÚA\Cajua\[CAJUA_CF_SEC_New_27-Feb-2024Rev3.xlsx]D-PRBNP'!</v>
      </c>
      <c r="G2694" s="32" t="s">
        <v>116</v>
      </c>
      <c r="H2694" s="33"/>
      <c r="I2694" s="33"/>
      <c r="J2694" s="37"/>
    </row>
    <row r="2695" spans="1:10" x14ac:dyDescent="0.25">
      <c r="A2695" s="32" t="s">
        <v>100</v>
      </c>
      <c r="B2695" s="32">
        <f t="shared" si="637"/>
        <v>2056</v>
      </c>
      <c r="C2695" s="33" t="s">
        <v>23</v>
      </c>
      <c r="D2695" s="34" t="s">
        <v>1999</v>
      </c>
      <c r="E2695" s="35" t="str">
        <f t="shared" si="635"/>
        <v>PRBNP'!</v>
      </c>
      <c r="F2695" s="34" t="str">
        <f t="shared" si="636"/>
        <v>C:\Users\jaime.benazar\Quorum Business Solutions\Ecopetrol Prometeo - Documents\Planning Space Implementation\3. Analysis &amp; Design\Design\FC22\DRR Jaime\QUIFA-CAJÚA\Cajua\[CAJUA_CF_SEC_New_27-Feb-2024Rev3.xlsx]D-PRBNP'!</v>
      </c>
      <c r="G2695" s="32" t="s">
        <v>116</v>
      </c>
      <c r="H2695" s="33"/>
      <c r="I2695" s="33"/>
      <c r="J2695" s="37"/>
    </row>
    <row r="2696" spans="1:10" x14ac:dyDescent="0.25">
      <c r="A2696" s="32" t="s">
        <v>100</v>
      </c>
      <c r="B2696" s="32">
        <f t="shared" si="637"/>
        <v>2057</v>
      </c>
      <c r="C2696" s="33" t="s">
        <v>23</v>
      </c>
      <c r="D2696" s="34" t="s">
        <v>1999</v>
      </c>
      <c r="E2696" s="35" t="str">
        <f t="shared" si="635"/>
        <v>PRBNP'!</v>
      </c>
      <c r="F2696" s="34" t="str">
        <f t="shared" si="636"/>
        <v>C:\Users\jaime.benazar\Quorum Business Solutions\Ecopetrol Prometeo - Documents\Planning Space Implementation\3. Analysis &amp; Design\Design\FC22\DRR Jaime\QUIFA-CAJÚA\Cajua\[CAJUA_CF_SEC_New_27-Feb-2024Rev3.xlsx]D-PRBNP'!</v>
      </c>
      <c r="G2696" s="32" t="s">
        <v>116</v>
      </c>
      <c r="H2696" s="33"/>
      <c r="I2696" s="33"/>
      <c r="J2696" s="37"/>
    </row>
    <row r="2697" spans="1:10" x14ac:dyDescent="0.25">
      <c r="A2697" s="32" t="s">
        <v>100</v>
      </c>
      <c r="B2697" s="32">
        <f t="shared" si="637"/>
        <v>2058</v>
      </c>
      <c r="C2697" s="33" t="s">
        <v>23</v>
      </c>
      <c r="D2697" s="34" t="s">
        <v>1999</v>
      </c>
      <c r="E2697" s="35" t="str">
        <f t="shared" si="635"/>
        <v>PRBNP'!</v>
      </c>
      <c r="F2697" s="34" t="str">
        <f t="shared" si="636"/>
        <v>C:\Users\jaime.benazar\Quorum Business Solutions\Ecopetrol Prometeo - Documents\Planning Space Implementation\3. Analysis &amp; Design\Design\FC22\DRR Jaime\QUIFA-CAJÚA\Cajua\[CAJUA_CF_SEC_New_27-Feb-2024Rev3.xlsx]D-PRBNP'!</v>
      </c>
      <c r="G2697" s="32" t="s">
        <v>116</v>
      </c>
      <c r="H2697" s="33"/>
      <c r="I2697" s="33"/>
      <c r="J2697" s="37"/>
    </row>
    <row r="2698" spans="1:10" x14ac:dyDescent="0.25">
      <c r="A2698" s="32" t="s">
        <v>100</v>
      </c>
      <c r="B2698" s="32">
        <f t="shared" si="637"/>
        <v>2059</v>
      </c>
      <c r="C2698" s="33" t="s">
        <v>23</v>
      </c>
      <c r="D2698" s="34" t="s">
        <v>1999</v>
      </c>
      <c r="E2698" s="35" t="str">
        <f t="shared" si="635"/>
        <v>PRBNP'!</v>
      </c>
      <c r="F2698" s="34" t="str">
        <f t="shared" si="636"/>
        <v>C:\Users\jaime.benazar\Quorum Business Solutions\Ecopetrol Prometeo - Documents\Planning Space Implementation\3. Analysis &amp; Design\Design\FC22\DRR Jaime\QUIFA-CAJÚA\Cajua\[CAJUA_CF_SEC_New_27-Feb-2024Rev3.xlsx]D-PRBNP'!</v>
      </c>
      <c r="G2698" s="32" t="s">
        <v>116</v>
      </c>
      <c r="H2698" s="33"/>
      <c r="I2698" s="33"/>
      <c r="J2698" s="37"/>
    </row>
    <row r="2699" spans="1:10" x14ac:dyDescent="0.25">
      <c r="A2699" s="32" t="s">
        <v>28</v>
      </c>
      <c r="B2699" s="32"/>
      <c r="C2699" s="33" t="s">
        <v>23</v>
      </c>
      <c r="D2699" s="34"/>
      <c r="E2699" s="35"/>
      <c r="F2699" s="34"/>
      <c r="G2699" s="32"/>
      <c r="H2699" s="33"/>
      <c r="I2699" s="33"/>
      <c r="J2699" s="33"/>
    </row>
    <row r="2700" spans="1:10" x14ac:dyDescent="0.25">
      <c r="A2700" s="32" t="s">
        <v>101</v>
      </c>
      <c r="B2700" s="32">
        <v>2023</v>
      </c>
      <c r="C2700" s="33" t="s">
        <v>23</v>
      </c>
      <c r="D2700" s="34" t="s">
        <v>1999</v>
      </c>
      <c r="E2700" s="35" t="str">
        <f t="shared" ref="E2700:E2720" si="638">_xlfn.CONCAT(A2700,"'!")</f>
        <v>PRBND'!</v>
      </c>
      <c r="F2700" s="34" t="str">
        <f t="shared" ref="F2700:F2720" si="639">_xlfn.CONCAT(D2700:E2700)</f>
        <v>C:\Users\jaime.benazar\Quorum Business Solutions\Ecopetrol Prometeo - Documents\Planning Space Implementation\3. Analysis &amp; Design\Design\FC22\DRR Jaime\QUIFA-CAJÚA\Cajua\[CAJUA_CF_SEC_New_27-Feb-2024Rev3.xlsx]D-PRBND'!</v>
      </c>
      <c r="G2700" s="32" t="s">
        <v>116</v>
      </c>
      <c r="H2700" s="33"/>
      <c r="I2700" s="33"/>
      <c r="J2700" s="37"/>
    </row>
    <row r="2701" spans="1:10" x14ac:dyDescent="0.25">
      <c r="A2701" s="32" t="s">
        <v>101</v>
      </c>
      <c r="B2701" s="32">
        <f>+B2700+1</f>
        <v>2024</v>
      </c>
      <c r="C2701" s="33" t="s">
        <v>23</v>
      </c>
      <c r="D2701" s="34" t="s">
        <v>1999</v>
      </c>
      <c r="E2701" s="35" t="str">
        <f t="shared" si="638"/>
        <v>PRBND'!</v>
      </c>
      <c r="F2701" s="34" t="str">
        <f t="shared" si="639"/>
        <v>C:\Users\jaime.benazar\Quorum Business Solutions\Ecopetrol Prometeo - Documents\Planning Space Implementation\3. Analysis &amp; Design\Design\FC22\DRR Jaime\QUIFA-CAJÚA\Cajua\[CAJUA_CF_SEC_New_27-Feb-2024Rev3.xlsx]D-PRBND'!</v>
      </c>
      <c r="G2701" s="32" t="s">
        <v>116</v>
      </c>
      <c r="H2701" s="33"/>
      <c r="I2701" s="33"/>
      <c r="J2701" s="37"/>
    </row>
    <row r="2702" spans="1:10" x14ac:dyDescent="0.25">
      <c r="A2702" s="32" t="s">
        <v>101</v>
      </c>
      <c r="B2702" s="32">
        <f t="shared" ref="B2702:B2713" si="640">+B2701+1</f>
        <v>2025</v>
      </c>
      <c r="C2702" s="33" t="s">
        <v>23</v>
      </c>
      <c r="D2702" s="34" t="s">
        <v>1999</v>
      </c>
      <c r="E2702" s="35" t="str">
        <f t="shared" si="638"/>
        <v>PRBND'!</v>
      </c>
      <c r="F2702" s="34" t="str">
        <f t="shared" si="639"/>
        <v>C:\Users\jaime.benazar\Quorum Business Solutions\Ecopetrol Prometeo - Documents\Planning Space Implementation\3. Analysis &amp; Design\Design\FC22\DRR Jaime\QUIFA-CAJÚA\Cajua\[CAJUA_CF_SEC_New_27-Feb-2024Rev3.xlsx]D-PRBND'!</v>
      </c>
      <c r="G2702" s="32" t="s">
        <v>116</v>
      </c>
      <c r="H2702" s="33"/>
      <c r="I2702" s="33"/>
      <c r="J2702" s="37"/>
    </row>
    <row r="2703" spans="1:10" x14ac:dyDescent="0.25">
      <c r="A2703" s="32" t="s">
        <v>101</v>
      </c>
      <c r="B2703" s="32">
        <f t="shared" si="640"/>
        <v>2026</v>
      </c>
      <c r="C2703" s="33" t="s">
        <v>23</v>
      </c>
      <c r="D2703" s="34" t="s">
        <v>1999</v>
      </c>
      <c r="E2703" s="35" t="str">
        <f t="shared" si="638"/>
        <v>PRBND'!</v>
      </c>
      <c r="F2703" s="34" t="str">
        <f t="shared" si="639"/>
        <v>C:\Users\jaime.benazar\Quorum Business Solutions\Ecopetrol Prometeo - Documents\Planning Space Implementation\3. Analysis &amp; Design\Design\FC22\DRR Jaime\QUIFA-CAJÚA\Cajua\[CAJUA_CF_SEC_New_27-Feb-2024Rev3.xlsx]D-PRBND'!</v>
      </c>
      <c r="G2703" s="32" t="s">
        <v>116</v>
      </c>
      <c r="H2703" s="33"/>
      <c r="I2703" s="33"/>
      <c r="J2703" s="37"/>
    </row>
    <row r="2704" spans="1:10" x14ac:dyDescent="0.25">
      <c r="A2704" s="32" t="s">
        <v>101</v>
      </c>
      <c r="B2704" s="32">
        <f t="shared" si="640"/>
        <v>2027</v>
      </c>
      <c r="C2704" s="33" t="s">
        <v>23</v>
      </c>
      <c r="D2704" s="34" t="s">
        <v>1999</v>
      </c>
      <c r="E2704" s="35" t="str">
        <f t="shared" si="638"/>
        <v>PRBND'!</v>
      </c>
      <c r="F2704" s="34" t="str">
        <f t="shared" si="639"/>
        <v>C:\Users\jaime.benazar\Quorum Business Solutions\Ecopetrol Prometeo - Documents\Planning Space Implementation\3. Analysis &amp; Design\Design\FC22\DRR Jaime\QUIFA-CAJÚA\Cajua\[CAJUA_CF_SEC_New_27-Feb-2024Rev3.xlsx]D-PRBND'!</v>
      </c>
      <c r="G2704" s="32" t="s">
        <v>116</v>
      </c>
      <c r="H2704" s="33"/>
      <c r="I2704" s="33"/>
      <c r="J2704" s="37"/>
    </row>
    <row r="2705" spans="1:10" x14ac:dyDescent="0.25">
      <c r="A2705" s="32" t="s">
        <v>101</v>
      </c>
      <c r="B2705" s="32">
        <f t="shared" si="640"/>
        <v>2028</v>
      </c>
      <c r="C2705" s="33" t="s">
        <v>23</v>
      </c>
      <c r="D2705" s="34" t="s">
        <v>1999</v>
      </c>
      <c r="E2705" s="35" t="str">
        <f t="shared" si="638"/>
        <v>PRBND'!</v>
      </c>
      <c r="F2705" s="34" t="str">
        <f t="shared" si="639"/>
        <v>C:\Users\jaime.benazar\Quorum Business Solutions\Ecopetrol Prometeo - Documents\Planning Space Implementation\3. Analysis &amp; Design\Design\FC22\DRR Jaime\QUIFA-CAJÚA\Cajua\[CAJUA_CF_SEC_New_27-Feb-2024Rev3.xlsx]D-PRBND'!</v>
      </c>
      <c r="G2705" s="32" t="s">
        <v>116</v>
      </c>
      <c r="H2705" s="33"/>
      <c r="I2705" s="33"/>
      <c r="J2705" s="37"/>
    </row>
    <row r="2706" spans="1:10" x14ac:dyDescent="0.25">
      <c r="A2706" s="32" t="s">
        <v>101</v>
      </c>
      <c r="B2706" s="32">
        <f t="shared" si="640"/>
        <v>2029</v>
      </c>
      <c r="C2706" s="33" t="s">
        <v>23</v>
      </c>
      <c r="D2706" s="34" t="s">
        <v>1999</v>
      </c>
      <c r="E2706" s="35" t="str">
        <f t="shared" si="638"/>
        <v>PRBND'!</v>
      </c>
      <c r="F2706" s="34" t="str">
        <f t="shared" si="639"/>
        <v>C:\Users\jaime.benazar\Quorum Business Solutions\Ecopetrol Prometeo - Documents\Planning Space Implementation\3. Analysis &amp; Design\Design\FC22\DRR Jaime\QUIFA-CAJÚA\Cajua\[CAJUA_CF_SEC_New_27-Feb-2024Rev3.xlsx]D-PRBND'!</v>
      </c>
      <c r="G2706" s="32" t="s">
        <v>116</v>
      </c>
      <c r="H2706" s="33"/>
      <c r="I2706" s="33"/>
      <c r="J2706" s="37"/>
    </row>
    <row r="2707" spans="1:10" x14ac:dyDescent="0.25">
      <c r="A2707" s="32" t="s">
        <v>101</v>
      </c>
      <c r="B2707" s="32">
        <f t="shared" si="640"/>
        <v>2030</v>
      </c>
      <c r="C2707" s="33" t="s">
        <v>23</v>
      </c>
      <c r="D2707" s="34" t="s">
        <v>1999</v>
      </c>
      <c r="E2707" s="35" t="str">
        <f t="shared" si="638"/>
        <v>PRBND'!</v>
      </c>
      <c r="F2707" s="34" t="str">
        <f t="shared" si="639"/>
        <v>C:\Users\jaime.benazar\Quorum Business Solutions\Ecopetrol Prometeo - Documents\Planning Space Implementation\3. Analysis &amp; Design\Design\FC22\DRR Jaime\QUIFA-CAJÚA\Cajua\[CAJUA_CF_SEC_New_27-Feb-2024Rev3.xlsx]D-PRBND'!</v>
      </c>
      <c r="G2707" s="32" t="s">
        <v>116</v>
      </c>
      <c r="H2707" s="33"/>
      <c r="I2707" s="33"/>
      <c r="J2707" s="37"/>
    </row>
    <row r="2708" spans="1:10" x14ac:dyDescent="0.25">
      <c r="A2708" s="32" t="s">
        <v>101</v>
      </c>
      <c r="B2708" s="32">
        <f t="shared" si="640"/>
        <v>2031</v>
      </c>
      <c r="C2708" s="33" t="s">
        <v>23</v>
      </c>
      <c r="D2708" s="34" t="s">
        <v>1999</v>
      </c>
      <c r="E2708" s="35" t="str">
        <f t="shared" si="638"/>
        <v>PRBND'!</v>
      </c>
      <c r="F2708" s="34" t="str">
        <f t="shared" si="639"/>
        <v>C:\Users\jaime.benazar\Quorum Business Solutions\Ecopetrol Prometeo - Documents\Planning Space Implementation\3. Analysis &amp; Design\Design\FC22\DRR Jaime\QUIFA-CAJÚA\Cajua\[CAJUA_CF_SEC_New_27-Feb-2024Rev3.xlsx]D-PRBND'!</v>
      </c>
      <c r="G2708" s="32" t="s">
        <v>116</v>
      </c>
      <c r="H2708" s="33"/>
      <c r="I2708" s="33"/>
      <c r="J2708" s="37"/>
    </row>
    <row r="2709" spans="1:10" x14ac:dyDescent="0.25">
      <c r="A2709" s="32" t="s">
        <v>101</v>
      </c>
      <c r="B2709" s="32">
        <f t="shared" si="640"/>
        <v>2032</v>
      </c>
      <c r="C2709" s="33" t="s">
        <v>23</v>
      </c>
      <c r="D2709" s="34" t="s">
        <v>1999</v>
      </c>
      <c r="E2709" s="35" t="str">
        <f t="shared" si="638"/>
        <v>PRBND'!</v>
      </c>
      <c r="F2709" s="34" t="str">
        <f t="shared" si="639"/>
        <v>C:\Users\jaime.benazar\Quorum Business Solutions\Ecopetrol Prometeo - Documents\Planning Space Implementation\3. Analysis &amp; Design\Design\FC22\DRR Jaime\QUIFA-CAJÚA\Cajua\[CAJUA_CF_SEC_New_27-Feb-2024Rev3.xlsx]D-PRBND'!</v>
      </c>
      <c r="G2709" s="32" t="s">
        <v>116</v>
      </c>
      <c r="H2709" s="33"/>
      <c r="I2709" s="33"/>
      <c r="J2709" s="37"/>
    </row>
    <row r="2710" spans="1:10" x14ac:dyDescent="0.25">
      <c r="A2710" s="32" t="s">
        <v>101</v>
      </c>
      <c r="B2710" s="32">
        <f t="shared" si="640"/>
        <v>2033</v>
      </c>
      <c r="C2710" s="33" t="s">
        <v>23</v>
      </c>
      <c r="D2710" s="34" t="s">
        <v>1999</v>
      </c>
      <c r="E2710" s="35" t="str">
        <f t="shared" si="638"/>
        <v>PRBND'!</v>
      </c>
      <c r="F2710" s="34" t="str">
        <f t="shared" si="639"/>
        <v>C:\Users\jaime.benazar\Quorum Business Solutions\Ecopetrol Prometeo - Documents\Planning Space Implementation\3. Analysis &amp; Design\Design\FC22\DRR Jaime\QUIFA-CAJÚA\Cajua\[CAJUA_CF_SEC_New_27-Feb-2024Rev3.xlsx]D-PRBND'!</v>
      </c>
      <c r="G2710" s="32" t="s">
        <v>116</v>
      </c>
      <c r="H2710" s="33"/>
      <c r="I2710" s="33"/>
      <c r="J2710" s="37"/>
    </row>
    <row r="2711" spans="1:10" x14ac:dyDescent="0.25">
      <c r="A2711" s="32" t="s">
        <v>101</v>
      </c>
      <c r="B2711" s="32">
        <f t="shared" si="640"/>
        <v>2034</v>
      </c>
      <c r="C2711" s="33" t="s">
        <v>23</v>
      </c>
      <c r="D2711" s="34" t="s">
        <v>1999</v>
      </c>
      <c r="E2711" s="35" t="str">
        <f t="shared" si="638"/>
        <v>PRBND'!</v>
      </c>
      <c r="F2711" s="34" t="str">
        <f t="shared" si="639"/>
        <v>C:\Users\jaime.benazar\Quorum Business Solutions\Ecopetrol Prometeo - Documents\Planning Space Implementation\3. Analysis &amp; Design\Design\FC22\DRR Jaime\QUIFA-CAJÚA\Cajua\[CAJUA_CF_SEC_New_27-Feb-2024Rev3.xlsx]D-PRBND'!</v>
      </c>
      <c r="G2711" s="32" t="s">
        <v>116</v>
      </c>
      <c r="H2711" s="33"/>
      <c r="I2711" s="33"/>
      <c r="J2711" s="37"/>
    </row>
    <row r="2712" spans="1:10" x14ac:dyDescent="0.25">
      <c r="A2712" s="32" t="s">
        <v>101</v>
      </c>
      <c r="B2712" s="32">
        <f t="shared" si="640"/>
        <v>2035</v>
      </c>
      <c r="C2712" s="33" t="s">
        <v>23</v>
      </c>
      <c r="D2712" s="34" t="s">
        <v>1999</v>
      </c>
      <c r="E2712" s="35" t="str">
        <f t="shared" si="638"/>
        <v>PRBND'!</v>
      </c>
      <c r="F2712" s="34" t="str">
        <f t="shared" si="639"/>
        <v>C:\Users\jaime.benazar\Quorum Business Solutions\Ecopetrol Prometeo - Documents\Planning Space Implementation\3. Analysis &amp; Design\Design\FC22\DRR Jaime\QUIFA-CAJÚA\Cajua\[CAJUA_CF_SEC_New_27-Feb-2024Rev3.xlsx]D-PRBND'!</v>
      </c>
      <c r="G2712" s="32" t="s">
        <v>116</v>
      </c>
      <c r="H2712" s="33"/>
      <c r="I2712" s="33"/>
      <c r="J2712" s="37"/>
    </row>
    <row r="2713" spans="1:10" x14ac:dyDescent="0.25">
      <c r="A2713" s="32" t="s">
        <v>101</v>
      </c>
      <c r="B2713" s="32">
        <f t="shared" si="640"/>
        <v>2036</v>
      </c>
      <c r="C2713" s="33" t="s">
        <v>23</v>
      </c>
      <c r="D2713" s="34" t="s">
        <v>1999</v>
      </c>
      <c r="E2713" s="35" t="str">
        <f t="shared" si="638"/>
        <v>PRBND'!</v>
      </c>
      <c r="F2713" s="34" t="str">
        <f t="shared" si="639"/>
        <v>C:\Users\jaime.benazar\Quorum Business Solutions\Ecopetrol Prometeo - Documents\Planning Space Implementation\3. Analysis &amp; Design\Design\FC22\DRR Jaime\QUIFA-CAJÚA\Cajua\[CAJUA_CF_SEC_New_27-Feb-2024Rev3.xlsx]D-PRBND'!</v>
      </c>
      <c r="G2713" s="32" t="s">
        <v>116</v>
      </c>
      <c r="H2713" s="33"/>
      <c r="I2713" s="33"/>
      <c r="J2713" s="37"/>
    </row>
    <row r="2714" spans="1:10" x14ac:dyDescent="0.25">
      <c r="A2714" s="32" t="s">
        <v>101</v>
      </c>
      <c r="B2714" s="32">
        <f>+B2713+1</f>
        <v>2037</v>
      </c>
      <c r="C2714" s="33" t="s">
        <v>23</v>
      </c>
      <c r="D2714" s="34" t="s">
        <v>1999</v>
      </c>
      <c r="E2714" s="35" t="str">
        <f t="shared" si="638"/>
        <v>PRBND'!</v>
      </c>
      <c r="F2714" s="34" t="str">
        <f t="shared" si="639"/>
        <v>C:\Users\jaime.benazar\Quorum Business Solutions\Ecopetrol Prometeo - Documents\Planning Space Implementation\3. Analysis &amp; Design\Design\FC22\DRR Jaime\QUIFA-CAJÚA\Cajua\[CAJUA_CF_SEC_New_27-Feb-2024Rev3.xlsx]D-PRBND'!</v>
      </c>
      <c r="G2714" s="32" t="s">
        <v>116</v>
      </c>
      <c r="H2714" s="33"/>
      <c r="I2714" s="33"/>
      <c r="J2714" s="37"/>
    </row>
    <row r="2715" spans="1:10" x14ac:dyDescent="0.25">
      <c r="A2715" s="32" t="s">
        <v>101</v>
      </c>
      <c r="B2715" s="32">
        <f t="shared" ref="B2715:B2717" si="641">+B2714+1</f>
        <v>2038</v>
      </c>
      <c r="C2715" s="33" t="s">
        <v>23</v>
      </c>
      <c r="D2715" s="34" t="s">
        <v>1999</v>
      </c>
      <c r="E2715" s="35" t="str">
        <f t="shared" si="638"/>
        <v>PRBND'!</v>
      </c>
      <c r="F2715" s="34" t="str">
        <f t="shared" si="639"/>
        <v>C:\Users\jaime.benazar\Quorum Business Solutions\Ecopetrol Prometeo - Documents\Planning Space Implementation\3. Analysis &amp; Design\Design\FC22\DRR Jaime\QUIFA-CAJÚA\Cajua\[CAJUA_CF_SEC_New_27-Feb-2024Rev3.xlsx]D-PRBND'!</v>
      </c>
      <c r="G2715" s="32" t="s">
        <v>116</v>
      </c>
      <c r="H2715" s="33"/>
      <c r="I2715" s="33"/>
      <c r="J2715" s="37"/>
    </row>
    <row r="2716" spans="1:10" x14ac:dyDescent="0.25">
      <c r="A2716" s="32" t="s">
        <v>101</v>
      </c>
      <c r="B2716" s="32">
        <f t="shared" si="641"/>
        <v>2039</v>
      </c>
      <c r="C2716" s="33" t="s">
        <v>23</v>
      </c>
      <c r="D2716" s="34" t="s">
        <v>1999</v>
      </c>
      <c r="E2716" s="35" t="str">
        <f t="shared" si="638"/>
        <v>PRBND'!</v>
      </c>
      <c r="F2716" s="34" t="str">
        <f t="shared" si="639"/>
        <v>C:\Users\jaime.benazar\Quorum Business Solutions\Ecopetrol Prometeo - Documents\Planning Space Implementation\3. Analysis &amp; Design\Design\FC22\DRR Jaime\QUIFA-CAJÚA\Cajua\[CAJUA_CF_SEC_New_27-Feb-2024Rev3.xlsx]D-PRBND'!</v>
      </c>
      <c r="G2716" s="32" t="s">
        <v>116</v>
      </c>
      <c r="H2716" s="33"/>
      <c r="I2716" s="33"/>
      <c r="J2716" s="37"/>
    </row>
    <row r="2717" spans="1:10" x14ac:dyDescent="0.25">
      <c r="A2717" s="32" t="s">
        <v>101</v>
      </c>
      <c r="B2717" s="32">
        <f t="shared" si="641"/>
        <v>2040</v>
      </c>
      <c r="C2717" s="33" t="s">
        <v>23</v>
      </c>
      <c r="D2717" s="34" t="s">
        <v>1999</v>
      </c>
      <c r="E2717" s="35" t="str">
        <f t="shared" si="638"/>
        <v>PRBND'!</v>
      </c>
      <c r="F2717" s="34" t="str">
        <f t="shared" si="639"/>
        <v>C:\Users\jaime.benazar\Quorum Business Solutions\Ecopetrol Prometeo - Documents\Planning Space Implementation\3. Analysis &amp; Design\Design\FC22\DRR Jaime\QUIFA-CAJÚA\Cajua\[CAJUA_CF_SEC_New_27-Feb-2024Rev3.xlsx]D-PRBND'!</v>
      </c>
      <c r="G2717" s="32" t="s">
        <v>116</v>
      </c>
      <c r="H2717" s="33"/>
      <c r="I2717" s="33"/>
      <c r="J2717" s="37"/>
    </row>
    <row r="2718" spans="1:10" x14ac:dyDescent="0.25">
      <c r="A2718" s="32" t="s">
        <v>101</v>
      </c>
      <c r="B2718" s="32">
        <f>+B2717+1</f>
        <v>2041</v>
      </c>
      <c r="C2718" s="33" t="s">
        <v>23</v>
      </c>
      <c r="D2718" s="34" t="s">
        <v>1999</v>
      </c>
      <c r="E2718" s="35" t="str">
        <f t="shared" si="638"/>
        <v>PRBND'!</v>
      </c>
      <c r="F2718" s="34" t="str">
        <f t="shared" si="639"/>
        <v>C:\Users\jaime.benazar\Quorum Business Solutions\Ecopetrol Prometeo - Documents\Planning Space Implementation\3. Analysis &amp; Design\Design\FC22\DRR Jaime\QUIFA-CAJÚA\Cajua\[CAJUA_CF_SEC_New_27-Feb-2024Rev3.xlsx]D-PRBND'!</v>
      </c>
      <c r="G2718" s="32" t="s">
        <v>116</v>
      </c>
      <c r="H2718" s="33"/>
      <c r="I2718" s="33"/>
      <c r="J2718" s="37"/>
    </row>
    <row r="2719" spans="1:10" x14ac:dyDescent="0.25">
      <c r="A2719" s="32" t="s">
        <v>101</v>
      </c>
      <c r="B2719" s="32">
        <f t="shared" ref="B2719:B2720" si="642">+B2718+1</f>
        <v>2042</v>
      </c>
      <c r="C2719" s="33" t="s">
        <v>23</v>
      </c>
      <c r="D2719" s="34" t="s">
        <v>1999</v>
      </c>
      <c r="E2719" s="35" t="str">
        <f t="shared" si="638"/>
        <v>PRBND'!</v>
      </c>
      <c r="F2719" s="34" t="str">
        <f t="shared" si="639"/>
        <v>C:\Users\jaime.benazar\Quorum Business Solutions\Ecopetrol Prometeo - Documents\Planning Space Implementation\3. Analysis &amp; Design\Design\FC22\DRR Jaime\QUIFA-CAJÚA\Cajua\[CAJUA_CF_SEC_New_27-Feb-2024Rev3.xlsx]D-PRBND'!</v>
      </c>
      <c r="G2719" s="32" t="s">
        <v>116</v>
      </c>
      <c r="H2719" s="33"/>
      <c r="I2719" s="33"/>
      <c r="J2719" s="37"/>
    </row>
    <row r="2720" spans="1:10" x14ac:dyDescent="0.25">
      <c r="A2720" s="32" t="s">
        <v>101</v>
      </c>
      <c r="B2720" s="32">
        <f t="shared" si="642"/>
        <v>2043</v>
      </c>
      <c r="C2720" s="33" t="s">
        <v>23</v>
      </c>
      <c r="D2720" s="34" t="s">
        <v>1999</v>
      </c>
      <c r="E2720" s="35" t="str">
        <f t="shared" si="638"/>
        <v>PRBND'!</v>
      </c>
      <c r="F2720" s="34" t="str">
        <f t="shared" si="639"/>
        <v>C:\Users\jaime.benazar\Quorum Business Solutions\Ecopetrol Prometeo - Documents\Planning Space Implementation\3. Analysis &amp; Design\Design\FC22\DRR Jaime\QUIFA-CAJÚA\Cajua\[CAJUA_CF_SEC_New_27-Feb-2024Rev3.xlsx]D-PRBND'!</v>
      </c>
      <c r="G2720" s="32" t="s">
        <v>116</v>
      </c>
      <c r="H2720" s="33"/>
      <c r="I2720" s="33"/>
      <c r="J2720" s="37"/>
    </row>
    <row r="2721" spans="1:10" x14ac:dyDescent="0.25">
      <c r="A2721" s="32" t="s">
        <v>101</v>
      </c>
      <c r="B2721" s="32">
        <f>+B2720+1</f>
        <v>2044</v>
      </c>
      <c r="C2721" s="33" t="s">
        <v>23</v>
      </c>
      <c r="D2721" s="34" t="s">
        <v>1999</v>
      </c>
      <c r="E2721" s="35" t="str">
        <f t="shared" ref="E2721:E2736" si="643">_xlfn.CONCAT(A2721,"'!")</f>
        <v>PRBND'!</v>
      </c>
      <c r="F2721" s="34" t="str">
        <f t="shared" ref="F2721:F2736" si="644">_xlfn.CONCAT(D2721:E2721)</f>
        <v>C:\Users\jaime.benazar\Quorum Business Solutions\Ecopetrol Prometeo - Documents\Planning Space Implementation\3. Analysis &amp; Design\Design\FC22\DRR Jaime\QUIFA-CAJÚA\Cajua\[CAJUA_CF_SEC_New_27-Feb-2024Rev3.xlsx]D-PRBND'!</v>
      </c>
      <c r="G2721" s="32" t="s">
        <v>116</v>
      </c>
      <c r="H2721" s="33"/>
      <c r="I2721" s="33"/>
      <c r="J2721" s="37"/>
    </row>
    <row r="2722" spans="1:10" x14ac:dyDescent="0.25">
      <c r="A2722" s="32" t="s">
        <v>101</v>
      </c>
      <c r="B2722" s="32">
        <f t="shared" ref="B2722:B2736" si="645">+B2721+1</f>
        <v>2045</v>
      </c>
      <c r="C2722" s="33" t="s">
        <v>23</v>
      </c>
      <c r="D2722" s="34" t="s">
        <v>1999</v>
      </c>
      <c r="E2722" s="35" t="str">
        <f t="shared" si="643"/>
        <v>PRBND'!</v>
      </c>
      <c r="F2722" s="34" t="str">
        <f t="shared" si="644"/>
        <v>C:\Users\jaime.benazar\Quorum Business Solutions\Ecopetrol Prometeo - Documents\Planning Space Implementation\3. Analysis &amp; Design\Design\FC22\DRR Jaime\QUIFA-CAJÚA\Cajua\[CAJUA_CF_SEC_New_27-Feb-2024Rev3.xlsx]D-PRBND'!</v>
      </c>
      <c r="G2722" s="32" t="s">
        <v>116</v>
      </c>
      <c r="H2722" s="33"/>
      <c r="I2722" s="33"/>
      <c r="J2722" s="37"/>
    </row>
    <row r="2723" spans="1:10" x14ac:dyDescent="0.25">
      <c r="A2723" s="32" t="s">
        <v>101</v>
      </c>
      <c r="B2723" s="32">
        <f t="shared" si="645"/>
        <v>2046</v>
      </c>
      <c r="C2723" s="33" t="s">
        <v>23</v>
      </c>
      <c r="D2723" s="34" t="s">
        <v>1999</v>
      </c>
      <c r="E2723" s="35" t="str">
        <f t="shared" si="643"/>
        <v>PRBND'!</v>
      </c>
      <c r="F2723" s="34" t="str">
        <f t="shared" si="644"/>
        <v>C:\Users\jaime.benazar\Quorum Business Solutions\Ecopetrol Prometeo - Documents\Planning Space Implementation\3. Analysis &amp; Design\Design\FC22\DRR Jaime\QUIFA-CAJÚA\Cajua\[CAJUA_CF_SEC_New_27-Feb-2024Rev3.xlsx]D-PRBND'!</v>
      </c>
      <c r="G2723" s="32" t="s">
        <v>116</v>
      </c>
      <c r="H2723" s="33"/>
      <c r="I2723" s="33"/>
      <c r="J2723" s="37"/>
    </row>
    <row r="2724" spans="1:10" x14ac:dyDescent="0.25">
      <c r="A2724" s="32" t="s">
        <v>101</v>
      </c>
      <c r="B2724" s="32">
        <f t="shared" si="645"/>
        <v>2047</v>
      </c>
      <c r="C2724" s="33" t="s">
        <v>23</v>
      </c>
      <c r="D2724" s="34" t="s">
        <v>1999</v>
      </c>
      <c r="E2724" s="35" t="str">
        <f t="shared" si="643"/>
        <v>PRBND'!</v>
      </c>
      <c r="F2724" s="34" t="str">
        <f t="shared" si="644"/>
        <v>C:\Users\jaime.benazar\Quorum Business Solutions\Ecopetrol Prometeo - Documents\Planning Space Implementation\3. Analysis &amp; Design\Design\FC22\DRR Jaime\QUIFA-CAJÚA\Cajua\[CAJUA_CF_SEC_New_27-Feb-2024Rev3.xlsx]D-PRBND'!</v>
      </c>
      <c r="G2724" s="32" t="s">
        <v>116</v>
      </c>
      <c r="H2724" s="33"/>
      <c r="I2724" s="33"/>
      <c r="J2724" s="37"/>
    </row>
    <row r="2725" spans="1:10" x14ac:dyDescent="0.25">
      <c r="A2725" s="32" t="s">
        <v>101</v>
      </c>
      <c r="B2725" s="32">
        <f t="shared" si="645"/>
        <v>2048</v>
      </c>
      <c r="C2725" s="33" t="s">
        <v>23</v>
      </c>
      <c r="D2725" s="34" t="s">
        <v>1999</v>
      </c>
      <c r="E2725" s="35" t="str">
        <f t="shared" si="643"/>
        <v>PRBND'!</v>
      </c>
      <c r="F2725" s="34" t="str">
        <f t="shared" si="644"/>
        <v>C:\Users\jaime.benazar\Quorum Business Solutions\Ecopetrol Prometeo - Documents\Planning Space Implementation\3. Analysis &amp; Design\Design\FC22\DRR Jaime\QUIFA-CAJÚA\Cajua\[CAJUA_CF_SEC_New_27-Feb-2024Rev3.xlsx]D-PRBND'!</v>
      </c>
      <c r="G2725" s="32" t="s">
        <v>116</v>
      </c>
      <c r="H2725" s="33"/>
      <c r="I2725" s="33"/>
      <c r="J2725" s="37"/>
    </row>
    <row r="2726" spans="1:10" x14ac:dyDescent="0.25">
      <c r="A2726" s="32" t="s">
        <v>101</v>
      </c>
      <c r="B2726" s="32">
        <f t="shared" si="645"/>
        <v>2049</v>
      </c>
      <c r="C2726" s="33" t="s">
        <v>23</v>
      </c>
      <c r="D2726" s="34" t="s">
        <v>1999</v>
      </c>
      <c r="E2726" s="35" t="str">
        <f t="shared" si="643"/>
        <v>PRBND'!</v>
      </c>
      <c r="F2726" s="34" t="str">
        <f t="shared" si="644"/>
        <v>C:\Users\jaime.benazar\Quorum Business Solutions\Ecopetrol Prometeo - Documents\Planning Space Implementation\3. Analysis &amp; Design\Design\FC22\DRR Jaime\QUIFA-CAJÚA\Cajua\[CAJUA_CF_SEC_New_27-Feb-2024Rev3.xlsx]D-PRBND'!</v>
      </c>
      <c r="G2726" s="32" t="s">
        <v>116</v>
      </c>
      <c r="H2726" s="33"/>
      <c r="I2726" s="33"/>
      <c r="J2726" s="37"/>
    </row>
    <row r="2727" spans="1:10" x14ac:dyDescent="0.25">
      <c r="A2727" s="32" t="s">
        <v>101</v>
      </c>
      <c r="B2727" s="32">
        <f t="shared" si="645"/>
        <v>2050</v>
      </c>
      <c r="C2727" s="33" t="s">
        <v>23</v>
      </c>
      <c r="D2727" s="34" t="s">
        <v>1999</v>
      </c>
      <c r="E2727" s="35" t="str">
        <f t="shared" si="643"/>
        <v>PRBND'!</v>
      </c>
      <c r="F2727" s="34" t="str">
        <f t="shared" si="644"/>
        <v>C:\Users\jaime.benazar\Quorum Business Solutions\Ecopetrol Prometeo - Documents\Planning Space Implementation\3. Analysis &amp; Design\Design\FC22\DRR Jaime\QUIFA-CAJÚA\Cajua\[CAJUA_CF_SEC_New_27-Feb-2024Rev3.xlsx]D-PRBND'!</v>
      </c>
      <c r="G2727" s="32" t="s">
        <v>116</v>
      </c>
      <c r="H2727" s="33"/>
      <c r="I2727" s="33"/>
      <c r="J2727" s="37"/>
    </row>
    <row r="2728" spans="1:10" x14ac:dyDescent="0.25">
      <c r="A2728" s="32" t="s">
        <v>101</v>
      </c>
      <c r="B2728" s="32">
        <f t="shared" si="645"/>
        <v>2051</v>
      </c>
      <c r="C2728" s="33" t="s">
        <v>23</v>
      </c>
      <c r="D2728" s="34" t="s">
        <v>1999</v>
      </c>
      <c r="E2728" s="35" t="str">
        <f t="shared" si="643"/>
        <v>PRBND'!</v>
      </c>
      <c r="F2728" s="34" t="str">
        <f t="shared" si="644"/>
        <v>C:\Users\jaime.benazar\Quorum Business Solutions\Ecopetrol Prometeo - Documents\Planning Space Implementation\3. Analysis &amp; Design\Design\FC22\DRR Jaime\QUIFA-CAJÚA\Cajua\[CAJUA_CF_SEC_New_27-Feb-2024Rev3.xlsx]D-PRBND'!</v>
      </c>
      <c r="G2728" s="32" t="s">
        <v>116</v>
      </c>
      <c r="H2728" s="33"/>
      <c r="I2728" s="33"/>
      <c r="J2728" s="37"/>
    </row>
    <row r="2729" spans="1:10" x14ac:dyDescent="0.25">
      <c r="A2729" s="32" t="s">
        <v>101</v>
      </c>
      <c r="B2729" s="32">
        <f t="shared" si="645"/>
        <v>2052</v>
      </c>
      <c r="C2729" s="33" t="s">
        <v>23</v>
      </c>
      <c r="D2729" s="34" t="s">
        <v>1999</v>
      </c>
      <c r="E2729" s="35" t="str">
        <f t="shared" si="643"/>
        <v>PRBND'!</v>
      </c>
      <c r="F2729" s="34" t="str">
        <f t="shared" si="644"/>
        <v>C:\Users\jaime.benazar\Quorum Business Solutions\Ecopetrol Prometeo - Documents\Planning Space Implementation\3. Analysis &amp; Design\Design\FC22\DRR Jaime\QUIFA-CAJÚA\Cajua\[CAJUA_CF_SEC_New_27-Feb-2024Rev3.xlsx]D-PRBND'!</v>
      </c>
      <c r="G2729" s="32" t="s">
        <v>116</v>
      </c>
      <c r="H2729" s="33"/>
      <c r="I2729" s="33"/>
      <c r="J2729" s="37"/>
    </row>
    <row r="2730" spans="1:10" x14ac:dyDescent="0.25">
      <c r="A2730" s="32" t="s">
        <v>101</v>
      </c>
      <c r="B2730" s="32">
        <f t="shared" si="645"/>
        <v>2053</v>
      </c>
      <c r="C2730" s="33" t="s">
        <v>23</v>
      </c>
      <c r="D2730" s="34" t="s">
        <v>1999</v>
      </c>
      <c r="E2730" s="35" t="str">
        <f t="shared" si="643"/>
        <v>PRBND'!</v>
      </c>
      <c r="F2730" s="34" t="str">
        <f t="shared" si="644"/>
        <v>C:\Users\jaime.benazar\Quorum Business Solutions\Ecopetrol Prometeo - Documents\Planning Space Implementation\3. Analysis &amp; Design\Design\FC22\DRR Jaime\QUIFA-CAJÚA\Cajua\[CAJUA_CF_SEC_New_27-Feb-2024Rev3.xlsx]D-PRBND'!</v>
      </c>
      <c r="G2730" s="32" t="s">
        <v>116</v>
      </c>
      <c r="H2730" s="33"/>
      <c r="I2730" s="33"/>
      <c r="J2730" s="37"/>
    </row>
    <row r="2731" spans="1:10" x14ac:dyDescent="0.25">
      <c r="A2731" s="32" t="s">
        <v>101</v>
      </c>
      <c r="B2731" s="32">
        <f t="shared" si="645"/>
        <v>2054</v>
      </c>
      <c r="C2731" s="33" t="s">
        <v>23</v>
      </c>
      <c r="D2731" s="34" t="s">
        <v>1999</v>
      </c>
      <c r="E2731" s="35" t="str">
        <f t="shared" si="643"/>
        <v>PRBND'!</v>
      </c>
      <c r="F2731" s="34" t="str">
        <f t="shared" si="644"/>
        <v>C:\Users\jaime.benazar\Quorum Business Solutions\Ecopetrol Prometeo - Documents\Planning Space Implementation\3. Analysis &amp; Design\Design\FC22\DRR Jaime\QUIFA-CAJÚA\Cajua\[CAJUA_CF_SEC_New_27-Feb-2024Rev3.xlsx]D-PRBND'!</v>
      </c>
      <c r="G2731" s="32" t="s">
        <v>116</v>
      </c>
      <c r="H2731" s="33"/>
      <c r="I2731" s="33"/>
      <c r="J2731" s="37"/>
    </row>
    <row r="2732" spans="1:10" x14ac:dyDescent="0.25">
      <c r="A2732" s="32" t="s">
        <v>101</v>
      </c>
      <c r="B2732" s="32">
        <f t="shared" si="645"/>
        <v>2055</v>
      </c>
      <c r="C2732" s="33" t="s">
        <v>23</v>
      </c>
      <c r="D2732" s="34" t="s">
        <v>1999</v>
      </c>
      <c r="E2732" s="35" t="str">
        <f t="shared" si="643"/>
        <v>PRBND'!</v>
      </c>
      <c r="F2732" s="34" t="str">
        <f t="shared" si="644"/>
        <v>C:\Users\jaime.benazar\Quorum Business Solutions\Ecopetrol Prometeo - Documents\Planning Space Implementation\3. Analysis &amp; Design\Design\FC22\DRR Jaime\QUIFA-CAJÚA\Cajua\[CAJUA_CF_SEC_New_27-Feb-2024Rev3.xlsx]D-PRBND'!</v>
      </c>
      <c r="G2732" s="32" t="s">
        <v>116</v>
      </c>
      <c r="H2732" s="33"/>
      <c r="I2732" s="33"/>
      <c r="J2732" s="37"/>
    </row>
    <row r="2733" spans="1:10" x14ac:dyDescent="0.25">
      <c r="A2733" s="32" t="s">
        <v>101</v>
      </c>
      <c r="B2733" s="32">
        <f t="shared" si="645"/>
        <v>2056</v>
      </c>
      <c r="C2733" s="33" t="s">
        <v>23</v>
      </c>
      <c r="D2733" s="34" t="s">
        <v>1999</v>
      </c>
      <c r="E2733" s="35" t="str">
        <f t="shared" si="643"/>
        <v>PRBND'!</v>
      </c>
      <c r="F2733" s="34" t="str">
        <f t="shared" si="644"/>
        <v>C:\Users\jaime.benazar\Quorum Business Solutions\Ecopetrol Prometeo - Documents\Planning Space Implementation\3. Analysis &amp; Design\Design\FC22\DRR Jaime\QUIFA-CAJÚA\Cajua\[CAJUA_CF_SEC_New_27-Feb-2024Rev3.xlsx]D-PRBND'!</v>
      </c>
      <c r="G2733" s="32" t="s">
        <v>116</v>
      </c>
      <c r="H2733" s="33"/>
      <c r="I2733" s="33"/>
      <c r="J2733" s="37"/>
    </row>
    <row r="2734" spans="1:10" x14ac:dyDescent="0.25">
      <c r="A2734" s="32" t="s">
        <v>101</v>
      </c>
      <c r="B2734" s="32">
        <f t="shared" si="645"/>
        <v>2057</v>
      </c>
      <c r="C2734" s="33" t="s">
        <v>23</v>
      </c>
      <c r="D2734" s="34" t="s">
        <v>1999</v>
      </c>
      <c r="E2734" s="35" t="str">
        <f t="shared" si="643"/>
        <v>PRBND'!</v>
      </c>
      <c r="F2734" s="34" t="str">
        <f t="shared" si="644"/>
        <v>C:\Users\jaime.benazar\Quorum Business Solutions\Ecopetrol Prometeo - Documents\Planning Space Implementation\3. Analysis &amp; Design\Design\FC22\DRR Jaime\QUIFA-CAJÚA\Cajua\[CAJUA_CF_SEC_New_27-Feb-2024Rev3.xlsx]D-PRBND'!</v>
      </c>
      <c r="G2734" s="32" t="s">
        <v>116</v>
      </c>
      <c r="H2734" s="33"/>
      <c r="I2734" s="33"/>
      <c r="J2734" s="37"/>
    </row>
    <row r="2735" spans="1:10" x14ac:dyDescent="0.25">
      <c r="A2735" s="32" t="s">
        <v>101</v>
      </c>
      <c r="B2735" s="32">
        <f t="shared" si="645"/>
        <v>2058</v>
      </c>
      <c r="C2735" s="33" t="s">
        <v>23</v>
      </c>
      <c r="D2735" s="34" t="s">
        <v>1999</v>
      </c>
      <c r="E2735" s="35" t="str">
        <f t="shared" si="643"/>
        <v>PRBND'!</v>
      </c>
      <c r="F2735" s="34" t="str">
        <f t="shared" si="644"/>
        <v>C:\Users\jaime.benazar\Quorum Business Solutions\Ecopetrol Prometeo - Documents\Planning Space Implementation\3. Analysis &amp; Design\Design\FC22\DRR Jaime\QUIFA-CAJÚA\Cajua\[CAJUA_CF_SEC_New_27-Feb-2024Rev3.xlsx]D-PRBND'!</v>
      </c>
      <c r="G2735" s="32" t="s">
        <v>116</v>
      </c>
      <c r="H2735" s="33"/>
      <c r="I2735" s="33"/>
      <c r="J2735" s="37"/>
    </row>
    <row r="2736" spans="1:10" x14ac:dyDescent="0.25">
      <c r="A2736" s="32" t="s">
        <v>101</v>
      </c>
      <c r="B2736" s="32">
        <f t="shared" si="645"/>
        <v>2059</v>
      </c>
      <c r="C2736" s="33" t="s">
        <v>23</v>
      </c>
      <c r="D2736" s="34" t="s">
        <v>1999</v>
      </c>
      <c r="E2736" s="35" t="str">
        <f t="shared" si="643"/>
        <v>PRBND'!</v>
      </c>
      <c r="F2736" s="34" t="str">
        <f t="shared" si="644"/>
        <v>C:\Users\jaime.benazar\Quorum Business Solutions\Ecopetrol Prometeo - Documents\Planning Space Implementation\3. Analysis &amp; Design\Design\FC22\DRR Jaime\QUIFA-CAJÚA\Cajua\[CAJUA_CF_SEC_New_27-Feb-2024Rev3.xlsx]D-PRBND'!</v>
      </c>
      <c r="G2736" s="32" t="s">
        <v>116</v>
      </c>
      <c r="H2736" s="33"/>
      <c r="I2736" s="33"/>
      <c r="J2736" s="37"/>
    </row>
    <row r="2737" spans="1:10" x14ac:dyDescent="0.25">
      <c r="A2737" s="32" t="s">
        <v>28</v>
      </c>
      <c r="B2737" s="32"/>
      <c r="C2737" s="33" t="s">
        <v>23</v>
      </c>
      <c r="D2737" s="34"/>
      <c r="E2737" s="35"/>
      <c r="F2737" s="34"/>
      <c r="G2737" s="32"/>
      <c r="H2737" s="33"/>
      <c r="I2737" s="33"/>
      <c r="J2737" s="33"/>
    </row>
    <row r="2738" spans="1:10" x14ac:dyDescent="0.25">
      <c r="A2738" s="32" t="s">
        <v>4</v>
      </c>
      <c r="B2738" s="32">
        <v>2023</v>
      </c>
      <c r="C2738" s="33" t="s">
        <v>23</v>
      </c>
      <c r="D2738" s="34" t="s">
        <v>1999</v>
      </c>
      <c r="E2738" s="35" t="str">
        <f t="shared" ref="E2738:E2910" si="646">_xlfn.CONCAT(A2738,"'!")</f>
        <v>PRB'!</v>
      </c>
      <c r="F2738" s="34" t="str">
        <f t="shared" ref="F2738:F2910" si="647">_xlfn.CONCAT(D2738:E2738)</f>
        <v>C:\Users\jaime.benazar\Quorum Business Solutions\Ecopetrol Prometeo - Documents\Planning Space Implementation\3. Analysis &amp; Design\Design\FC22\DRR Jaime\QUIFA-CAJÚA\Cajua\[CAJUA_CF_SEC_New_27-Feb-2024Rev3.xlsx]D-PRB'!</v>
      </c>
      <c r="G2738" s="32" t="s">
        <v>116</v>
      </c>
      <c r="H2738" s="33">
        <v>12</v>
      </c>
      <c r="I2738" s="33" t="str">
        <f t="shared" ref="I2738:I2758" si="648">_xlfn.CONCAT("='",F2738:H2738)</f>
        <v>='C:\Users\jaime.benazar\Quorum Business Solutions\Ecopetrol Prometeo - Documents\Planning Space Implementation\3. Analysis &amp; Design\Design\FC22\DRR Jaime\QUIFA-CAJÚA\Cajua\[CAJUA_CF_SEC_New_27-Feb-2024Rev3.xlsx]D-PRB'!$EA$12</v>
      </c>
      <c r="J2738" s="37" t="s">
        <v>3221</v>
      </c>
    </row>
    <row r="2739" spans="1:10" x14ac:dyDescent="0.25">
      <c r="A2739" s="32" t="s">
        <v>4</v>
      </c>
      <c r="B2739" s="32">
        <f>+B2738+1</f>
        <v>2024</v>
      </c>
      <c r="C2739" s="33" t="s">
        <v>23</v>
      </c>
      <c r="D2739" s="34" t="s">
        <v>1999</v>
      </c>
      <c r="E2739" s="35" t="str">
        <f t="shared" si="646"/>
        <v>PRB'!</v>
      </c>
      <c r="F2739" s="34" t="str">
        <f t="shared" si="647"/>
        <v>C:\Users\jaime.benazar\Quorum Business Solutions\Ecopetrol Prometeo - Documents\Planning Space Implementation\3. Analysis &amp; Design\Design\FC22\DRR Jaime\QUIFA-CAJÚA\Cajua\[CAJUA_CF_SEC_New_27-Feb-2024Rev3.xlsx]D-PRB'!</v>
      </c>
      <c r="G2739" s="32" t="s">
        <v>116</v>
      </c>
      <c r="H2739" s="33">
        <f t="shared" ref="H2739:H2758" si="649">IF(A2739&lt;&gt;A2738,12,H2738+1)</f>
        <v>13</v>
      </c>
      <c r="I2739" s="33" t="str">
        <f t="shared" si="648"/>
        <v>='C:\Users\jaime.benazar\Quorum Business Solutions\Ecopetrol Prometeo - Documents\Planning Space Implementation\3. Analysis &amp; Design\Design\FC22\DRR Jaime\QUIFA-CAJÚA\Cajua\[CAJUA_CF_SEC_New_27-Feb-2024Rev3.xlsx]D-PRB'!$EA$13</v>
      </c>
      <c r="J2739" s="37" t="s">
        <v>3222</v>
      </c>
    </row>
    <row r="2740" spans="1:10" x14ac:dyDescent="0.25">
      <c r="A2740" s="32" t="s">
        <v>4</v>
      </c>
      <c r="B2740" s="32">
        <f t="shared" ref="B2740:B2751" si="650">+B2739+1</f>
        <v>2025</v>
      </c>
      <c r="C2740" s="33" t="s">
        <v>23</v>
      </c>
      <c r="D2740" s="34" t="s">
        <v>1999</v>
      </c>
      <c r="E2740" s="35" t="str">
        <f t="shared" si="646"/>
        <v>PRB'!</v>
      </c>
      <c r="F2740" s="34" t="str">
        <f t="shared" si="647"/>
        <v>C:\Users\jaime.benazar\Quorum Business Solutions\Ecopetrol Prometeo - Documents\Planning Space Implementation\3. Analysis &amp; Design\Design\FC22\DRR Jaime\QUIFA-CAJÚA\Cajua\[CAJUA_CF_SEC_New_27-Feb-2024Rev3.xlsx]D-PRB'!</v>
      </c>
      <c r="G2740" s="32" t="s">
        <v>116</v>
      </c>
      <c r="H2740" s="33">
        <f t="shared" si="649"/>
        <v>14</v>
      </c>
      <c r="I2740" s="33" t="str">
        <f t="shared" si="648"/>
        <v>='C:\Users\jaime.benazar\Quorum Business Solutions\Ecopetrol Prometeo - Documents\Planning Space Implementation\3. Analysis &amp; Design\Design\FC22\DRR Jaime\QUIFA-CAJÚA\Cajua\[CAJUA_CF_SEC_New_27-Feb-2024Rev3.xlsx]D-PRB'!$EA$14</v>
      </c>
      <c r="J2740" s="37" t="s">
        <v>3223</v>
      </c>
    </row>
    <row r="2741" spans="1:10" x14ac:dyDescent="0.25">
      <c r="A2741" s="32" t="s">
        <v>4</v>
      </c>
      <c r="B2741" s="32">
        <f t="shared" si="650"/>
        <v>2026</v>
      </c>
      <c r="C2741" s="33" t="s">
        <v>23</v>
      </c>
      <c r="D2741" s="34" t="s">
        <v>1999</v>
      </c>
      <c r="E2741" s="35" t="str">
        <f t="shared" si="646"/>
        <v>PRB'!</v>
      </c>
      <c r="F2741" s="34" t="str">
        <f t="shared" si="647"/>
        <v>C:\Users\jaime.benazar\Quorum Business Solutions\Ecopetrol Prometeo - Documents\Planning Space Implementation\3. Analysis &amp; Design\Design\FC22\DRR Jaime\QUIFA-CAJÚA\Cajua\[CAJUA_CF_SEC_New_27-Feb-2024Rev3.xlsx]D-PRB'!</v>
      </c>
      <c r="G2741" s="32" t="s">
        <v>116</v>
      </c>
      <c r="H2741" s="33">
        <f t="shared" si="649"/>
        <v>15</v>
      </c>
      <c r="I2741" s="33" t="str">
        <f t="shared" si="648"/>
        <v>='C:\Users\jaime.benazar\Quorum Business Solutions\Ecopetrol Prometeo - Documents\Planning Space Implementation\3. Analysis &amp; Design\Design\FC22\DRR Jaime\QUIFA-CAJÚA\Cajua\[CAJUA_CF_SEC_New_27-Feb-2024Rev3.xlsx]D-PRB'!$EA$15</v>
      </c>
      <c r="J2741" s="37" t="s">
        <v>3224</v>
      </c>
    </row>
    <row r="2742" spans="1:10" x14ac:dyDescent="0.25">
      <c r="A2742" s="32" t="s">
        <v>4</v>
      </c>
      <c r="B2742" s="32">
        <f t="shared" si="650"/>
        <v>2027</v>
      </c>
      <c r="C2742" s="33" t="s">
        <v>23</v>
      </c>
      <c r="D2742" s="34" t="s">
        <v>1999</v>
      </c>
      <c r="E2742" s="35" t="str">
        <f t="shared" si="646"/>
        <v>PRB'!</v>
      </c>
      <c r="F2742" s="34" t="str">
        <f t="shared" si="647"/>
        <v>C:\Users\jaime.benazar\Quorum Business Solutions\Ecopetrol Prometeo - Documents\Planning Space Implementation\3. Analysis &amp; Design\Design\FC22\DRR Jaime\QUIFA-CAJÚA\Cajua\[CAJUA_CF_SEC_New_27-Feb-2024Rev3.xlsx]D-PRB'!</v>
      </c>
      <c r="G2742" s="32" t="s">
        <v>116</v>
      </c>
      <c r="H2742" s="33">
        <f t="shared" si="649"/>
        <v>16</v>
      </c>
      <c r="I2742" s="33" t="str">
        <f t="shared" si="648"/>
        <v>='C:\Users\jaime.benazar\Quorum Business Solutions\Ecopetrol Prometeo - Documents\Planning Space Implementation\3. Analysis &amp; Design\Design\FC22\DRR Jaime\QUIFA-CAJÚA\Cajua\[CAJUA_CF_SEC_New_27-Feb-2024Rev3.xlsx]D-PRB'!$EA$16</v>
      </c>
      <c r="J2742" s="37" t="s">
        <v>3225</v>
      </c>
    </row>
    <row r="2743" spans="1:10" x14ac:dyDescent="0.25">
      <c r="A2743" s="32" t="s">
        <v>4</v>
      </c>
      <c r="B2743" s="32">
        <f t="shared" si="650"/>
        <v>2028</v>
      </c>
      <c r="C2743" s="33" t="s">
        <v>23</v>
      </c>
      <c r="D2743" s="34" t="s">
        <v>1999</v>
      </c>
      <c r="E2743" s="35" t="str">
        <f t="shared" si="646"/>
        <v>PRB'!</v>
      </c>
      <c r="F2743" s="34" t="str">
        <f t="shared" si="647"/>
        <v>C:\Users\jaime.benazar\Quorum Business Solutions\Ecopetrol Prometeo - Documents\Planning Space Implementation\3. Analysis &amp; Design\Design\FC22\DRR Jaime\QUIFA-CAJÚA\Cajua\[CAJUA_CF_SEC_New_27-Feb-2024Rev3.xlsx]D-PRB'!</v>
      </c>
      <c r="G2743" s="32" t="s">
        <v>116</v>
      </c>
      <c r="H2743" s="33">
        <f t="shared" si="649"/>
        <v>17</v>
      </c>
      <c r="I2743" s="33" t="str">
        <f t="shared" si="648"/>
        <v>='C:\Users\jaime.benazar\Quorum Business Solutions\Ecopetrol Prometeo - Documents\Planning Space Implementation\3. Analysis &amp; Design\Design\FC22\DRR Jaime\QUIFA-CAJÚA\Cajua\[CAJUA_CF_SEC_New_27-Feb-2024Rev3.xlsx]D-PRB'!$EA$17</v>
      </c>
      <c r="J2743" s="37" t="s">
        <v>3226</v>
      </c>
    </row>
    <row r="2744" spans="1:10" x14ac:dyDescent="0.25">
      <c r="A2744" s="32" t="s">
        <v>4</v>
      </c>
      <c r="B2744" s="32">
        <f t="shared" si="650"/>
        <v>2029</v>
      </c>
      <c r="C2744" s="33" t="s">
        <v>23</v>
      </c>
      <c r="D2744" s="34" t="s">
        <v>1999</v>
      </c>
      <c r="E2744" s="35" t="str">
        <f t="shared" si="646"/>
        <v>PRB'!</v>
      </c>
      <c r="F2744" s="34" t="str">
        <f t="shared" si="647"/>
        <v>C:\Users\jaime.benazar\Quorum Business Solutions\Ecopetrol Prometeo - Documents\Planning Space Implementation\3. Analysis &amp; Design\Design\FC22\DRR Jaime\QUIFA-CAJÚA\Cajua\[CAJUA_CF_SEC_New_27-Feb-2024Rev3.xlsx]D-PRB'!</v>
      </c>
      <c r="G2744" s="32" t="s">
        <v>116</v>
      </c>
      <c r="H2744" s="33">
        <f t="shared" si="649"/>
        <v>18</v>
      </c>
      <c r="I2744" s="33" t="str">
        <f t="shared" si="648"/>
        <v>='C:\Users\jaime.benazar\Quorum Business Solutions\Ecopetrol Prometeo - Documents\Planning Space Implementation\3. Analysis &amp; Design\Design\FC22\DRR Jaime\QUIFA-CAJÚA\Cajua\[CAJUA_CF_SEC_New_27-Feb-2024Rev3.xlsx]D-PRB'!$EA$18</v>
      </c>
      <c r="J2744" s="37" t="s">
        <v>3227</v>
      </c>
    </row>
    <row r="2745" spans="1:10" x14ac:dyDescent="0.25">
      <c r="A2745" s="32" t="s">
        <v>4</v>
      </c>
      <c r="B2745" s="32">
        <f t="shared" si="650"/>
        <v>2030</v>
      </c>
      <c r="C2745" s="33" t="s">
        <v>23</v>
      </c>
      <c r="D2745" s="34" t="s">
        <v>1999</v>
      </c>
      <c r="E2745" s="35" t="str">
        <f t="shared" si="646"/>
        <v>PRB'!</v>
      </c>
      <c r="F2745" s="34" t="str">
        <f t="shared" si="647"/>
        <v>C:\Users\jaime.benazar\Quorum Business Solutions\Ecopetrol Prometeo - Documents\Planning Space Implementation\3. Analysis &amp; Design\Design\FC22\DRR Jaime\QUIFA-CAJÚA\Cajua\[CAJUA_CF_SEC_New_27-Feb-2024Rev3.xlsx]D-PRB'!</v>
      </c>
      <c r="G2745" s="32" t="s">
        <v>116</v>
      </c>
      <c r="H2745" s="33">
        <f t="shared" si="649"/>
        <v>19</v>
      </c>
      <c r="I2745" s="33" t="str">
        <f t="shared" si="648"/>
        <v>='C:\Users\jaime.benazar\Quorum Business Solutions\Ecopetrol Prometeo - Documents\Planning Space Implementation\3. Analysis &amp; Design\Design\FC22\DRR Jaime\QUIFA-CAJÚA\Cajua\[CAJUA_CF_SEC_New_27-Feb-2024Rev3.xlsx]D-PRB'!$EA$19</v>
      </c>
      <c r="J2745" s="37" t="s">
        <v>3228</v>
      </c>
    </row>
    <row r="2746" spans="1:10" x14ac:dyDescent="0.25">
      <c r="A2746" s="32" t="s">
        <v>4</v>
      </c>
      <c r="B2746" s="32">
        <f t="shared" si="650"/>
        <v>2031</v>
      </c>
      <c r="C2746" s="33" t="s">
        <v>23</v>
      </c>
      <c r="D2746" s="34" t="s">
        <v>1999</v>
      </c>
      <c r="E2746" s="35" t="str">
        <f t="shared" si="646"/>
        <v>PRB'!</v>
      </c>
      <c r="F2746" s="34" t="str">
        <f t="shared" si="647"/>
        <v>C:\Users\jaime.benazar\Quorum Business Solutions\Ecopetrol Prometeo - Documents\Planning Space Implementation\3. Analysis &amp; Design\Design\FC22\DRR Jaime\QUIFA-CAJÚA\Cajua\[CAJUA_CF_SEC_New_27-Feb-2024Rev3.xlsx]D-PRB'!</v>
      </c>
      <c r="G2746" s="32" t="s">
        <v>116</v>
      </c>
      <c r="H2746" s="33">
        <f t="shared" si="649"/>
        <v>20</v>
      </c>
      <c r="I2746" s="33" t="str">
        <f t="shared" si="648"/>
        <v>='C:\Users\jaime.benazar\Quorum Business Solutions\Ecopetrol Prometeo - Documents\Planning Space Implementation\3. Analysis &amp; Design\Design\FC22\DRR Jaime\QUIFA-CAJÚA\Cajua\[CAJUA_CF_SEC_New_27-Feb-2024Rev3.xlsx]D-PRB'!$EA$20</v>
      </c>
      <c r="J2746" s="37" t="s">
        <v>3229</v>
      </c>
    </row>
    <row r="2747" spans="1:10" x14ac:dyDescent="0.25">
      <c r="A2747" s="32" t="s">
        <v>4</v>
      </c>
      <c r="B2747" s="32">
        <f t="shared" si="650"/>
        <v>2032</v>
      </c>
      <c r="C2747" s="33" t="s">
        <v>23</v>
      </c>
      <c r="D2747" s="34" t="s">
        <v>1999</v>
      </c>
      <c r="E2747" s="35" t="str">
        <f t="shared" si="646"/>
        <v>PRB'!</v>
      </c>
      <c r="F2747" s="34" t="str">
        <f t="shared" si="647"/>
        <v>C:\Users\jaime.benazar\Quorum Business Solutions\Ecopetrol Prometeo - Documents\Planning Space Implementation\3. Analysis &amp; Design\Design\FC22\DRR Jaime\QUIFA-CAJÚA\Cajua\[CAJUA_CF_SEC_New_27-Feb-2024Rev3.xlsx]D-PRB'!</v>
      </c>
      <c r="G2747" s="32" t="s">
        <v>116</v>
      </c>
      <c r="H2747" s="33">
        <f t="shared" si="649"/>
        <v>21</v>
      </c>
      <c r="I2747" s="33" t="str">
        <f t="shared" si="648"/>
        <v>='C:\Users\jaime.benazar\Quorum Business Solutions\Ecopetrol Prometeo - Documents\Planning Space Implementation\3. Analysis &amp; Design\Design\FC22\DRR Jaime\QUIFA-CAJÚA\Cajua\[CAJUA_CF_SEC_New_27-Feb-2024Rev3.xlsx]D-PRB'!$EA$21</v>
      </c>
      <c r="J2747" s="37" t="s">
        <v>3230</v>
      </c>
    </row>
    <row r="2748" spans="1:10" x14ac:dyDescent="0.25">
      <c r="A2748" s="32" t="s">
        <v>4</v>
      </c>
      <c r="B2748" s="32">
        <f t="shared" si="650"/>
        <v>2033</v>
      </c>
      <c r="C2748" s="33" t="s">
        <v>23</v>
      </c>
      <c r="D2748" s="34" t="s">
        <v>1999</v>
      </c>
      <c r="E2748" s="35" t="str">
        <f t="shared" si="646"/>
        <v>PRB'!</v>
      </c>
      <c r="F2748" s="34" t="str">
        <f t="shared" si="647"/>
        <v>C:\Users\jaime.benazar\Quorum Business Solutions\Ecopetrol Prometeo - Documents\Planning Space Implementation\3. Analysis &amp; Design\Design\FC22\DRR Jaime\QUIFA-CAJÚA\Cajua\[CAJUA_CF_SEC_New_27-Feb-2024Rev3.xlsx]D-PRB'!</v>
      </c>
      <c r="G2748" s="32" t="s">
        <v>116</v>
      </c>
      <c r="H2748" s="33">
        <f t="shared" si="649"/>
        <v>22</v>
      </c>
      <c r="I2748" s="33" t="str">
        <f t="shared" si="648"/>
        <v>='C:\Users\jaime.benazar\Quorum Business Solutions\Ecopetrol Prometeo - Documents\Planning Space Implementation\3. Analysis &amp; Design\Design\FC22\DRR Jaime\QUIFA-CAJÚA\Cajua\[CAJUA_CF_SEC_New_27-Feb-2024Rev3.xlsx]D-PRB'!$EA$22</v>
      </c>
      <c r="J2748" s="37" t="s">
        <v>3231</v>
      </c>
    </row>
    <row r="2749" spans="1:10" x14ac:dyDescent="0.25">
      <c r="A2749" s="32" t="s">
        <v>4</v>
      </c>
      <c r="B2749" s="32">
        <f t="shared" si="650"/>
        <v>2034</v>
      </c>
      <c r="C2749" s="33" t="s">
        <v>23</v>
      </c>
      <c r="D2749" s="34" t="s">
        <v>1999</v>
      </c>
      <c r="E2749" s="35" t="str">
        <f t="shared" si="646"/>
        <v>PRB'!</v>
      </c>
      <c r="F2749" s="34" t="str">
        <f t="shared" si="647"/>
        <v>C:\Users\jaime.benazar\Quorum Business Solutions\Ecopetrol Prometeo - Documents\Planning Space Implementation\3. Analysis &amp; Design\Design\FC22\DRR Jaime\QUIFA-CAJÚA\Cajua\[CAJUA_CF_SEC_New_27-Feb-2024Rev3.xlsx]D-PRB'!</v>
      </c>
      <c r="G2749" s="32" t="s">
        <v>116</v>
      </c>
      <c r="H2749" s="33">
        <f t="shared" si="649"/>
        <v>23</v>
      </c>
      <c r="I2749" s="33" t="str">
        <f t="shared" si="648"/>
        <v>='C:\Users\jaime.benazar\Quorum Business Solutions\Ecopetrol Prometeo - Documents\Planning Space Implementation\3. Analysis &amp; Design\Design\FC22\DRR Jaime\QUIFA-CAJÚA\Cajua\[CAJUA_CF_SEC_New_27-Feb-2024Rev3.xlsx]D-PRB'!$EA$23</v>
      </c>
      <c r="J2749" s="37" t="s">
        <v>3232</v>
      </c>
    </row>
    <row r="2750" spans="1:10" x14ac:dyDescent="0.25">
      <c r="A2750" s="32" t="s">
        <v>4</v>
      </c>
      <c r="B2750" s="32">
        <f t="shared" si="650"/>
        <v>2035</v>
      </c>
      <c r="C2750" s="33" t="s">
        <v>23</v>
      </c>
      <c r="D2750" s="34" t="s">
        <v>1999</v>
      </c>
      <c r="E2750" s="35" t="str">
        <f t="shared" si="646"/>
        <v>PRB'!</v>
      </c>
      <c r="F2750" s="34" t="str">
        <f t="shared" si="647"/>
        <v>C:\Users\jaime.benazar\Quorum Business Solutions\Ecopetrol Prometeo - Documents\Planning Space Implementation\3. Analysis &amp; Design\Design\FC22\DRR Jaime\QUIFA-CAJÚA\Cajua\[CAJUA_CF_SEC_New_27-Feb-2024Rev3.xlsx]D-PRB'!</v>
      </c>
      <c r="G2750" s="32" t="s">
        <v>116</v>
      </c>
      <c r="H2750" s="33">
        <f t="shared" si="649"/>
        <v>24</v>
      </c>
      <c r="I2750" s="33" t="str">
        <f t="shared" si="648"/>
        <v>='C:\Users\jaime.benazar\Quorum Business Solutions\Ecopetrol Prometeo - Documents\Planning Space Implementation\3. Analysis &amp; Design\Design\FC22\DRR Jaime\QUIFA-CAJÚA\Cajua\[CAJUA_CF_SEC_New_27-Feb-2024Rev3.xlsx]D-PRB'!$EA$24</v>
      </c>
      <c r="J2750" s="37" t="s">
        <v>3233</v>
      </c>
    </row>
    <row r="2751" spans="1:10" x14ac:dyDescent="0.25">
      <c r="A2751" s="32" t="s">
        <v>4</v>
      </c>
      <c r="B2751" s="32">
        <f t="shared" si="650"/>
        <v>2036</v>
      </c>
      <c r="C2751" s="33" t="s">
        <v>23</v>
      </c>
      <c r="D2751" s="34" t="s">
        <v>1999</v>
      </c>
      <c r="E2751" s="35" t="str">
        <f t="shared" si="646"/>
        <v>PRB'!</v>
      </c>
      <c r="F2751" s="34" t="str">
        <f t="shared" si="647"/>
        <v>C:\Users\jaime.benazar\Quorum Business Solutions\Ecopetrol Prometeo - Documents\Planning Space Implementation\3. Analysis &amp; Design\Design\FC22\DRR Jaime\QUIFA-CAJÚA\Cajua\[CAJUA_CF_SEC_New_27-Feb-2024Rev3.xlsx]D-PRB'!</v>
      </c>
      <c r="G2751" s="32" t="s">
        <v>116</v>
      </c>
      <c r="H2751" s="33">
        <f t="shared" si="649"/>
        <v>25</v>
      </c>
      <c r="I2751" s="33" t="str">
        <f t="shared" si="648"/>
        <v>='C:\Users\jaime.benazar\Quorum Business Solutions\Ecopetrol Prometeo - Documents\Planning Space Implementation\3. Analysis &amp; Design\Design\FC22\DRR Jaime\QUIFA-CAJÚA\Cajua\[CAJUA_CF_SEC_New_27-Feb-2024Rev3.xlsx]D-PRB'!$EA$25</v>
      </c>
      <c r="J2751" s="37" t="s">
        <v>3234</v>
      </c>
    </row>
    <row r="2752" spans="1:10" x14ac:dyDescent="0.25">
      <c r="A2752" s="32" t="s">
        <v>4</v>
      </c>
      <c r="B2752" s="32">
        <f>+B2751+1</f>
        <v>2037</v>
      </c>
      <c r="C2752" s="33" t="s">
        <v>23</v>
      </c>
      <c r="D2752" s="34" t="s">
        <v>1999</v>
      </c>
      <c r="E2752" s="35" t="str">
        <f t="shared" si="646"/>
        <v>PRB'!</v>
      </c>
      <c r="F2752" s="34" t="str">
        <f t="shared" si="647"/>
        <v>C:\Users\jaime.benazar\Quorum Business Solutions\Ecopetrol Prometeo - Documents\Planning Space Implementation\3. Analysis &amp; Design\Design\FC22\DRR Jaime\QUIFA-CAJÚA\Cajua\[CAJUA_CF_SEC_New_27-Feb-2024Rev3.xlsx]D-PRB'!</v>
      </c>
      <c r="G2752" s="32" t="s">
        <v>116</v>
      </c>
      <c r="H2752" s="33">
        <f t="shared" si="649"/>
        <v>26</v>
      </c>
      <c r="I2752" s="33" t="str">
        <f t="shared" si="648"/>
        <v>='C:\Users\jaime.benazar\Quorum Business Solutions\Ecopetrol Prometeo - Documents\Planning Space Implementation\3. Analysis &amp; Design\Design\FC22\DRR Jaime\QUIFA-CAJÚA\Cajua\[CAJUA_CF_SEC_New_27-Feb-2024Rev3.xlsx]D-PRB'!$EA$26</v>
      </c>
      <c r="J2752" s="37" t="s">
        <v>3235</v>
      </c>
    </row>
    <row r="2753" spans="1:10" x14ac:dyDescent="0.25">
      <c r="A2753" s="32" t="s">
        <v>4</v>
      </c>
      <c r="B2753" s="32">
        <f t="shared" ref="B2753:B2755" si="651">+B2752+1</f>
        <v>2038</v>
      </c>
      <c r="C2753" s="33" t="s">
        <v>23</v>
      </c>
      <c r="D2753" s="34" t="s">
        <v>1999</v>
      </c>
      <c r="E2753" s="35" t="str">
        <f t="shared" si="646"/>
        <v>PRB'!</v>
      </c>
      <c r="F2753" s="34" t="str">
        <f t="shared" si="647"/>
        <v>C:\Users\jaime.benazar\Quorum Business Solutions\Ecopetrol Prometeo - Documents\Planning Space Implementation\3. Analysis &amp; Design\Design\FC22\DRR Jaime\QUIFA-CAJÚA\Cajua\[CAJUA_CF_SEC_New_27-Feb-2024Rev3.xlsx]D-PRB'!</v>
      </c>
      <c r="G2753" s="32" t="s">
        <v>116</v>
      </c>
      <c r="H2753" s="33">
        <f t="shared" si="649"/>
        <v>27</v>
      </c>
      <c r="I2753" s="33" t="str">
        <f t="shared" si="648"/>
        <v>='C:\Users\jaime.benazar\Quorum Business Solutions\Ecopetrol Prometeo - Documents\Planning Space Implementation\3. Analysis &amp; Design\Design\FC22\DRR Jaime\QUIFA-CAJÚA\Cajua\[CAJUA_CF_SEC_New_27-Feb-2024Rev3.xlsx]D-PRB'!$EA$27</v>
      </c>
      <c r="J2753" s="37" t="s">
        <v>3236</v>
      </c>
    </row>
    <row r="2754" spans="1:10" x14ac:dyDescent="0.25">
      <c r="A2754" s="32" t="s">
        <v>4</v>
      </c>
      <c r="B2754" s="32">
        <f t="shared" si="651"/>
        <v>2039</v>
      </c>
      <c r="C2754" s="33" t="s">
        <v>23</v>
      </c>
      <c r="D2754" s="34" t="s">
        <v>1999</v>
      </c>
      <c r="E2754" s="35" t="str">
        <f t="shared" si="646"/>
        <v>PRB'!</v>
      </c>
      <c r="F2754" s="34" t="str">
        <f t="shared" si="647"/>
        <v>C:\Users\jaime.benazar\Quorum Business Solutions\Ecopetrol Prometeo - Documents\Planning Space Implementation\3. Analysis &amp; Design\Design\FC22\DRR Jaime\QUIFA-CAJÚA\Cajua\[CAJUA_CF_SEC_New_27-Feb-2024Rev3.xlsx]D-PRB'!</v>
      </c>
      <c r="G2754" s="32" t="s">
        <v>116</v>
      </c>
      <c r="H2754" s="33">
        <f t="shared" si="649"/>
        <v>28</v>
      </c>
      <c r="I2754" s="33" t="str">
        <f t="shared" si="648"/>
        <v>='C:\Users\jaime.benazar\Quorum Business Solutions\Ecopetrol Prometeo - Documents\Planning Space Implementation\3. Analysis &amp; Design\Design\FC22\DRR Jaime\QUIFA-CAJÚA\Cajua\[CAJUA_CF_SEC_New_27-Feb-2024Rev3.xlsx]D-PRB'!$EA$28</v>
      </c>
      <c r="J2754" s="37" t="s">
        <v>3237</v>
      </c>
    </row>
    <row r="2755" spans="1:10" x14ac:dyDescent="0.25">
      <c r="A2755" s="32" t="s">
        <v>4</v>
      </c>
      <c r="B2755" s="32">
        <f t="shared" si="651"/>
        <v>2040</v>
      </c>
      <c r="C2755" s="33" t="s">
        <v>23</v>
      </c>
      <c r="D2755" s="34" t="s">
        <v>1999</v>
      </c>
      <c r="E2755" s="35" t="str">
        <f t="shared" si="646"/>
        <v>PRB'!</v>
      </c>
      <c r="F2755" s="34" t="str">
        <f t="shared" si="647"/>
        <v>C:\Users\jaime.benazar\Quorum Business Solutions\Ecopetrol Prometeo - Documents\Planning Space Implementation\3. Analysis &amp; Design\Design\FC22\DRR Jaime\QUIFA-CAJÚA\Cajua\[CAJUA_CF_SEC_New_27-Feb-2024Rev3.xlsx]D-PRB'!</v>
      </c>
      <c r="G2755" s="32" t="s">
        <v>116</v>
      </c>
      <c r="H2755" s="33">
        <f t="shared" si="649"/>
        <v>29</v>
      </c>
      <c r="I2755" s="33" t="str">
        <f t="shared" si="648"/>
        <v>='C:\Users\jaime.benazar\Quorum Business Solutions\Ecopetrol Prometeo - Documents\Planning Space Implementation\3. Analysis &amp; Design\Design\FC22\DRR Jaime\QUIFA-CAJÚA\Cajua\[CAJUA_CF_SEC_New_27-Feb-2024Rev3.xlsx]D-PRB'!$EA$29</v>
      </c>
      <c r="J2755" s="37" t="s">
        <v>3238</v>
      </c>
    </row>
    <row r="2756" spans="1:10" x14ac:dyDescent="0.25">
      <c r="A2756" s="32" t="s">
        <v>4</v>
      </c>
      <c r="B2756" s="32">
        <f>+B2755+1</f>
        <v>2041</v>
      </c>
      <c r="C2756" s="33" t="s">
        <v>23</v>
      </c>
      <c r="D2756" s="34" t="s">
        <v>1999</v>
      </c>
      <c r="E2756" s="35" t="str">
        <f t="shared" si="646"/>
        <v>PRB'!</v>
      </c>
      <c r="F2756" s="34" t="str">
        <f t="shared" si="647"/>
        <v>C:\Users\jaime.benazar\Quorum Business Solutions\Ecopetrol Prometeo - Documents\Planning Space Implementation\3. Analysis &amp; Design\Design\FC22\DRR Jaime\QUIFA-CAJÚA\Cajua\[CAJUA_CF_SEC_New_27-Feb-2024Rev3.xlsx]D-PRB'!</v>
      </c>
      <c r="G2756" s="32" t="s">
        <v>116</v>
      </c>
      <c r="H2756" s="33">
        <f t="shared" si="649"/>
        <v>30</v>
      </c>
      <c r="I2756" s="33" t="str">
        <f t="shared" si="648"/>
        <v>='C:\Users\jaime.benazar\Quorum Business Solutions\Ecopetrol Prometeo - Documents\Planning Space Implementation\3. Analysis &amp; Design\Design\FC22\DRR Jaime\QUIFA-CAJÚA\Cajua\[CAJUA_CF_SEC_New_27-Feb-2024Rev3.xlsx]D-PRB'!$EA$30</v>
      </c>
      <c r="J2756" s="37" t="s">
        <v>3239</v>
      </c>
    </row>
    <row r="2757" spans="1:10" x14ac:dyDescent="0.25">
      <c r="A2757" s="32" t="s">
        <v>4</v>
      </c>
      <c r="B2757" s="32">
        <f t="shared" ref="B2757:B2758" si="652">+B2756+1</f>
        <v>2042</v>
      </c>
      <c r="C2757" s="33" t="s">
        <v>23</v>
      </c>
      <c r="D2757" s="34" t="s">
        <v>1999</v>
      </c>
      <c r="E2757" s="35" t="str">
        <f t="shared" si="646"/>
        <v>PRB'!</v>
      </c>
      <c r="F2757" s="34" t="str">
        <f t="shared" si="647"/>
        <v>C:\Users\jaime.benazar\Quorum Business Solutions\Ecopetrol Prometeo - Documents\Planning Space Implementation\3. Analysis &amp; Design\Design\FC22\DRR Jaime\QUIFA-CAJÚA\Cajua\[CAJUA_CF_SEC_New_27-Feb-2024Rev3.xlsx]D-PRB'!</v>
      </c>
      <c r="G2757" s="32" t="s">
        <v>116</v>
      </c>
      <c r="H2757" s="33">
        <f t="shared" si="649"/>
        <v>31</v>
      </c>
      <c r="I2757" s="33" t="str">
        <f t="shared" si="648"/>
        <v>='C:\Users\jaime.benazar\Quorum Business Solutions\Ecopetrol Prometeo - Documents\Planning Space Implementation\3. Analysis &amp; Design\Design\FC22\DRR Jaime\QUIFA-CAJÚA\Cajua\[CAJUA_CF_SEC_New_27-Feb-2024Rev3.xlsx]D-PRB'!$EA$31</v>
      </c>
      <c r="J2757" s="37" t="s">
        <v>3240</v>
      </c>
    </row>
    <row r="2758" spans="1:10" x14ac:dyDescent="0.25">
      <c r="A2758" s="32" t="s">
        <v>4</v>
      </c>
      <c r="B2758" s="32">
        <f t="shared" si="652"/>
        <v>2043</v>
      </c>
      <c r="C2758" s="33" t="s">
        <v>23</v>
      </c>
      <c r="D2758" s="34" t="s">
        <v>1999</v>
      </c>
      <c r="E2758" s="35" t="str">
        <f t="shared" si="646"/>
        <v>PRB'!</v>
      </c>
      <c r="F2758" s="34" t="str">
        <f t="shared" si="647"/>
        <v>C:\Users\jaime.benazar\Quorum Business Solutions\Ecopetrol Prometeo - Documents\Planning Space Implementation\3. Analysis &amp; Design\Design\FC22\DRR Jaime\QUIFA-CAJÚA\Cajua\[CAJUA_CF_SEC_New_27-Feb-2024Rev3.xlsx]D-PRB'!</v>
      </c>
      <c r="G2758" s="32" t="s">
        <v>116</v>
      </c>
      <c r="H2758" s="33">
        <f t="shared" si="649"/>
        <v>32</v>
      </c>
      <c r="I2758" s="33" t="str">
        <f t="shared" si="648"/>
        <v>='C:\Users\jaime.benazar\Quorum Business Solutions\Ecopetrol Prometeo - Documents\Planning Space Implementation\3. Analysis &amp; Design\Design\FC22\DRR Jaime\QUIFA-CAJÚA\Cajua\[CAJUA_CF_SEC_New_27-Feb-2024Rev3.xlsx]D-PRB'!$EA$32</v>
      </c>
      <c r="J2758" s="37" t="s">
        <v>3241</v>
      </c>
    </row>
    <row r="2759" spans="1:10" x14ac:dyDescent="0.25">
      <c r="A2759" s="32" t="s">
        <v>4</v>
      </c>
      <c r="B2759" s="32">
        <f>+B2758+1</f>
        <v>2044</v>
      </c>
      <c r="C2759" s="33" t="s">
        <v>23</v>
      </c>
      <c r="D2759" s="34" t="s">
        <v>1999</v>
      </c>
      <c r="E2759" s="35" t="str">
        <f t="shared" ref="E2759:E2774" si="653">_xlfn.CONCAT(A2759,"'!")</f>
        <v>PRB'!</v>
      </c>
      <c r="F2759" s="34" t="str">
        <f t="shared" ref="F2759:F2774" si="654">_xlfn.CONCAT(D2759:E2759)</f>
        <v>C:\Users\jaime.benazar\Quorum Business Solutions\Ecopetrol Prometeo - Documents\Planning Space Implementation\3. Analysis &amp; Design\Design\FC22\DRR Jaime\QUIFA-CAJÚA\Cajua\[CAJUA_CF_SEC_New_27-Feb-2024Rev3.xlsx]D-PRB'!</v>
      </c>
      <c r="G2759" s="32" t="s">
        <v>116</v>
      </c>
      <c r="H2759" s="33">
        <f t="shared" ref="H2759:H2774" si="655">IF(A2759&lt;&gt;A2758,12,H2758+1)</f>
        <v>33</v>
      </c>
      <c r="I2759" s="33" t="str">
        <f t="shared" ref="I2759:I2774" si="656">_xlfn.CONCAT("='",F2759:H2759)</f>
        <v>='C:\Users\jaime.benazar\Quorum Business Solutions\Ecopetrol Prometeo - Documents\Planning Space Implementation\3. Analysis &amp; Design\Design\FC22\DRR Jaime\QUIFA-CAJÚA\Cajua\[CAJUA_CF_SEC_New_27-Feb-2024Rev3.xlsx]D-PRB'!$EA$33</v>
      </c>
      <c r="J2759" s="37" t="s">
        <v>3242</v>
      </c>
    </row>
    <row r="2760" spans="1:10" x14ac:dyDescent="0.25">
      <c r="A2760" s="32" t="s">
        <v>4</v>
      </c>
      <c r="B2760" s="32">
        <f t="shared" ref="B2760:B2774" si="657">+B2759+1</f>
        <v>2045</v>
      </c>
      <c r="C2760" s="33" t="s">
        <v>23</v>
      </c>
      <c r="D2760" s="34" t="s">
        <v>1999</v>
      </c>
      <c r="E2760" s="35" t="str">
        <f t="shared" si="653"/>
        <v>PRB'!</v>
      </c>
      <c r="F2760" s="34" t="str">
        <f t="shared" si="654"/>
        <v>C:\Users\jaime.benazar\Quorum Business Solutions\Ecopetrol Prometeo - Documents\Planning Space Implementation\3. Analysis &amp; Design\Design\FC22\DRR Jaime\QUIFA-CAJÚA\Cajua\[CAJUA_CF_SEC_New_27-Feb-2024Rev3.xlsx]D-PRB'!</v>
      </c>
      <c r="G2760" s="32" t="s">
        <v>116</v>
      </c>
      <c r="H2760" s="33">
        <f t="shared" si="655"/>
        <v>34</v>
      </c>
      <c r="I2760" s="33" t="str">
        <f t="shared" si="656"/>
        <v>='C:\Users\jaime.benazar\Quorum Business Solutions\Ecopetrol Prometeo - Documents\Planning Space Implementation\3. Analysis &amp; Design\Design\FC22\DRR Jaime\QUIFA-CAJÚA\Cajua\[CAJUA_CF_SEC_New_27-Feb-2024Rev3.xlsx]D-PRB'!$EA$34</v>
      </c>
      <c r="J2760" s="37" t="s">
        <v>3243</v>
      </c>
    </row>
    <row r="2761" spans="1:10" x14ac:dyDescent="0.25">
      <c r="A2761" s="32" t="s">
        <v>4</v>
      </c>
      <c r="B2761" s="32">
        <f t="shared" si="657"/>
        <v>2046</v>
      </c>
      <c r="C2761" s="33" t="s">
        <v>23</v>
      </c>
      <c r="D2761" s="34" t="s">
        <v>1999</v>
      </c>
      <c r="E2761" s="35" t="str">
        <f t="shared" si="653"/>
        <v>PRB'!</v>
      </c>
      <c r="F2761" s="34" t="str">
        <f t="shared" si="654"/>
        <v>C:\Users\jaime.benazar\Quorum Business Solutions\Ecopetrol Prometeo - Documents\Planning Space Implementation\3. Analysis &amp; Design\Design\FC22\DRR Jaime\QUIFA-CAJÚA\Cajua\[CAJUA_CF_SEC_New_27-Feb-2024Rev3.xlsx]D-PRB'!</v>
      </c>
      <c r="G2761" s="32" t="s">
        <v>116</v>
      </c>
      <c r="H2761" s="33">
        <f t="shared" si="655"/>
        <v>35</v>
      </c>
      <c r="I2761" s="33" t="str">
        <f t="shared" si="656"/>
        <v>='C:\Users\jaime.benazar\Quorum Business Solutions\Ecopetrol Prometeo - Documents\Planning Space Implementation\3. Analysis &amp; Design\Design\FC22\DRR Jaime\QUIFA-CAJÚA\Cajua\[CAJUA_CF_SEC_New_27-Feb-2024Rev3.xlsx]D-PRB'!$EA$35</v>
      </c>
      <c r="J2761" s="37" t="s">
        <v>3244</v>
      </c>
    </row>
    <row r="2762" spans="1:10" x14ac:dyDescent="0.25">
      <c r="A2762" s="32" t="s">
        <v>4</v>
      </c>
      <c r="B2762" s="32">
        <f t="shared" si="657"/>
        <v>2047</v>
      </c>
      <c r="C2762" s="33" t="s">
        <v>23</v>
      </c>
      <c r="D2762" s="34" t="s">
        <v>1999</v>
      </c>
      <c r="E2762" s="35" t="str">
        <f t="shared" si="653"/>
        <v>PRB'!</v>
      </c>
      <c r="F2762" s="34" t="str">
        <f t="shared" si="654"/>
        <v>C:\Users\jaime.benazar\Quorum Business Solutions\Ecopetrol Prometeo - Documents\Planning Space Implementation\3. Analysis &amp; Design\Design\FC22\DRR Jaime\QUIFA-CAJÚA\Cajua\[CAJUA_CF_SEC_New_27-Feb-2024Rev3.xlsx]D-PRB'!</v>
      </c>
      <c r="G2762" s="32" t="s">
        <v>116</v>
      </c>
      <c r="H2762" s="33">
        <f t="shared" si="655"/>
        <v>36</v>
      </c>
      <c r="I2762" s="33" t="str">
        <f t="shared" si="656"/>
        <v>='C:\Users\jaime.benazar\Quorum Business Solutions\Ecopetrol Prometeo - Documents\Planning Space Implementation\3. Analysis &amp; Design\Design\FC22\DRR Jaime\QUIFA-CAJÚA\Cajua\[CAJUA_CF_SEC_New_27-Feb-2024Rev3.xlsx]D-PRB'!$EA$36</v>
      </c>
      <c r="J2762" s="37" t="s">
        <v>3245</v>
      </c>
    </row>
    <row r="2763" spans="1:10" x14ac:dyDescent="0.25">
      <c r="A2763" s="32" t="s">
        <v>4</v>
      </c>
      <c r="B2763" s="32">
        <f t="shared" si="657"/>
        <v>2048</v>
      </c>
      <c r="C2763" s="33" t="s">
        <v>23</v>
      </c>
      <c r="D2763" s="34" t="s">
        <v>1999</v>
      </c>
      <c r="E2763" s="35" t="str">
        <f t="shared" si="653"/>
        <v>PRB'!</v>
      </c>
      <c r="F2763" s="34" t="str">
        <f t="shared" si="654"/>
        <v>C:\Users\jaime.benazar\Quorum Business Solutions\Ecopetrol Prometeo - Documents\Planning Space Implementation\3. Analysis &amp; Design\Design\FC22\DRR Jaime\QUIFA-CAJÚA\Cajua\[CAJUA_CF_SEC_New_27-Feb-2024Rev3.xlsx]D-PRB'!</v>
      </c>
      <c r="G2763" s="32" t="s">
        <v>116</v>
      </c>
      <c r="H2763" s="33">
        <f t="shared" si="655"/>
        <v>37</v>
      </c>
      <c r="I2763" s="33" t="str">
        <f t="shared" si="656"/>
        <v>='C:\Users\jaime.benazar\Quorum Business Solutions\Ecopetrol Prometeo - Documents\Planning Space Implementation\3. Analysis &amp; Design\Design\FC22\DRR Jaime\QUIFA-CAJÚA\Cajua\[CAJUA_CF_SEC_New_27-Feb-2024Rev3.xlsx]D-PRB'!$EA$37</v>
      </c>
      <c r="J2763" s="37" t="s">
        <v>3246</v>
      </c>
    </row>
    <row r="2764" spans="1:10" x14ac:dyDescent="0.25">
      <c r="A2764" s="32" t="s">
        <v>4</v>
      </c>
      <c r="B2764" s="32">
        <f t="shared" si="657"/>
        <v>2049</v>
      </c>
      <c r="C2764" s="33" t="s">
        <v>23</v>
      </c>
      <c r="D2764" s="34" t="s">
        <v>1999</v>
      </c>
      <c r="E2764" s="35" t="str">
        <f t="shared" si="653"/>
        <v>PRB'!</v>
      </c>
      <c r="F2764" s="34" t="str">
        <f t="shared" si="654"/>
        <v>C:\Users\jaime.benazar\Quorum Business Solutions\Ecopetrol Prometeo - Documents\Planning Space Implementation\3. Analysis &amp; Design\Design\FC22\DRR Jaime\QUIFA-CAJÚA\Cajua\[CAJUA_CF_SEC_New_27-Feb-2024Rev3.xlsx]D-PRB'!</v>
      </c>
      <c r="G2764" s="32" t="s">
        <v>116</v>
      </c>
      <c r="H2764" s="33">
        <f t="shared" si="655"/>
        <v>38</v>
      </c>
      <c r="I2764" s="33" t="str">
        <f t="shared" si="656"/>
        <v>='C:\Users\jaime.benazar\Quorum Business Solutions\Ecopetrol Prometeo - Documents\Planning Space Implementation\3. Analysis &amp; Design\Design\FC22\DRR Jaime\QUIFA-CAJÚA\Cajua\[CAJUA_CF_SEC_New_27-Feb-2024Rev3.xlsx]D-PRB'!$EA$38</v>
      </c>
      <c r="J2764" s="37" t="s">
        <v>3247</v>
      </c>
    </row>
    <row r="2765" spans="1:10" x14ac:dyDescent="0.25">
      <c r="A2765" s="32" t="s">
        <v>4</v>
      </c>
      <c r="B2765" s="32">
        <f t="shared" si="657"/>
        <v>2050</v>
      </c>
      <c r="C2765" s="33" t="s">
        <v>23</v>
      </c>
      <c r="D2765" s="34" t="s">
        <v>1999</v>
      </c>
      <c r="E2765" s="35" t="str">
        <f t="shared" si="653"/>
        <v>PRB'!</v>
      </c>
      <c r="F2765" s="34" t="str">
        <f t="shared" si="654"/>
        <v>C:\Users\jaime.benazar\Quorum Business Solutions\Ecopetrol Prometeo - Documents\Planning Space Implementation\3. Analysis &amp; Design\Design\FC22\DRR Jaime\QUIFA-CAJÚA\Cajua\[CAJUA_CF_SEC_New_27-Feb-2024Rev3.xlsx]D-PRB'!</v>
      </c>
      <c r="G2765" s="32" t="s">
        <v>116</v>
      </c>
      <c r="H2765" s="33">
        <f t="shared" si="655"/>
        <v>39</v>
      </c>
      <c r="I2765" s="33" t="str">
        <f t="shared" si="656"/>
        <v>='C:\Users\jaime.benazar\Quorum Business Solutions\Ecopetrol Prometeo - Documents\Planning Space Implementation\3. Analysis &amp; Design\Design\FC22\DRR Jaime\QUIFA-CAJÚA\Cajua\[CAJUA_CF_SEC_New_27-Feb-2024Rev3.xlsx]D-PRB'!$EA$39</v>
      </c>
      <c r="J2765" s="37" t="s">
        <v>3248</v>
      </c>
    </row>
    <row r="2766" spans="1:10" x14ac:dyDescent="0.25">
      <c r="A2766" s="32" t="s">
        <v>4</v>
      </c>
      <c r="B2766" s="32">
        <f t="shared" si="657"/>
        <v>2051</v>
      </c>
      <c r="C2766" s="33" t="s">
        <v>23</v>
      </c>
      <c r="D2766" s="34" t="s">
        <v>1999</v>
      </c>
      <c r="E2766" s="35" t="str">
        <f t="shared" si="653"/>
        <v>PRB'!</v>
      </c>
      <c r="F2766" s="34" t="str">
        <f t="shared" si="654"/>
        <v>C:\Users\jaime.benazar\Quorum Business Solutions\Ecopetrol Prometeo - Documents\Planning Space Implementation\3. Analysis &amp; Design\Design\FC22\DRR Jaime\QUIFA-CAJÚA\Cajua\[CAJUA_CF_SEC_New_27-Feb-2024Rev3.xlsx]D-PRB'!</v>
      </c>
      <c r="G2766" s="32" t="s">
        <v>116</v>
      </c>
      <c r="H2766" s="33">
        <f t="shared" si="655"/>
        <v>40</v>
      </c>
      <c r="I2766" s="33" t="str">
        <f t="shared" si="656"/>
        <v>='C:\Users\jaime.benazar\Quorum Business Solutions\Ecopetrol Prometeo - Documents\Planning Space Implementation\3. Analysis &amp; Design\Design\FC22\DRR Jaime\QUIFA-CAJÚA\Cajua\[CAJUA_CF_SEC_New_27-Feb-2024Rev3.xlsx]D-PRB'!$EA$40</v>
      </c>
      <c r="J2766" s="37" t="s">
        <v>3249</v>
      </c>
    </row>
    <row r="2767" spans="1:10" x14ac:dyDescent="0.25">
      <c r="A2767" s="32" t="s">
        <v>4</v>
      </c>
      <c r="B2767" s="32">
        <f t="shared" si="657"/>
        <v>2052</v>
      </c>
      <c r="C2767" s="33" t="s">
        <v>23</v>
      </c>
      <c r="D2767" s="34" t="s">
        <v>1999</v>
      </c>
      <c r="E2767" s="35" t="str">
        <f t="shared" si="653"/>
        <v>PRB'!</v>
      </c>
      <c r="F2767" s="34" t="str">
        <f t="shared" si="654"/>
        <v>C:\Users\jaime.benazar\Quorum Business Solutions\Ecopetrol Prometeo - Documents\Planning Space Implementation\3. Analysis &amp; Design\Design\FC22\DRR Jaime\QUIFA-CAJÚA\Cajua\[CAJUA_CF_SEC_New_27-Feb-2024Rev3.xlsx]D-PRB'!</v>
      </c>
      <c r="G2767" s="32" t="s">
        <v>116</v>
      </c>
      <c r="H2767" s="33">
        <f t="shared" si="655"/>
        <v>41</v>
      </c>
      <c r="I2767" s="33" t="str">
        <f t="shared" si="656"/>
        <v>='C:\Users\jaime.benazar\Quorum Business Solutions\Ecopetrol Prometeo - Documents\Planning Space Implementation\3. Analysis &amp; Design\Design\FC22\DRR Jaime\QUIFA-CAJÚA\Cajua\[CAJUA_CF_SEC_New_27-Feb-2024Rev3.xlsx]D-PRB'!$EA$41</v>
      </c>
      <c r="J2767" s="37" t="s">
        <v>3250</v>
      </c>
    </row>
    <row r="2768" spans="1:10" x14ac:dyDescent="0.25">
      <c r="A2768" s="32" t="s">
        <v>4</v>
      </c>
      <c r="B2768" s="32">
        <f t="shared" si="657"/>
        <v>2053</v>
      </c>
      <c r="C2768" s="33" t="s">
        <v>23</v>
      </c>
      <c r="D2768" s="34" t="s">
        <v>1999</v>
      </c>
      <c r="E2768" s="35" t="str">
        <f t="shared" si="653"/>
        <v>PRB'!</v>
      </c>
      <c r="F2768" s="34" t="str">
        <f t="shared" si="654"/>
        <v>C:\Users\jaime.benazar\Quorum Business Solutions\Ecopetrol Prometeo - Documents\Planning Space Implementation\3. Analysis &amp; Design\Design\FC22\DRR Jaime\QUIFA-CAJÚA\Cajua\[CAJUA_CF_SEC_New_27-Feb-2024Rev3.xlsx]D-PRB'!</v>
      </c>
      <c r="G2768" s="32" t="s">
        <v>116</v>
      </c>
      <c r="H2768" s="33">
        <f t="shared" si="655"/>
        <v>42</v>
      </c>
      <c r="I2768" s="33" t="str">
        <f t="shared" si="656"/>
        <v>='C:\Users\jaime.benazar\Quorum Business Solutions\Ecopetrol Prometeo - Documents\Planning Space Implementation\3. Analysis &amp; Design\Design\FC22\DRR Jaime\QUIFA-CAJÚA\Cajua\[CAJUA_CF_SEC_New_27-Feb-2024Rev3.xlsx]D-PRB'!$EA$42</v>
      </c>
      <c r="J2768" s="37" t="s">
        <v>3251</v>
      </c>
    </row>
    <row r="2769" spans="1:10" x14ac:dyDescent="0.25">
      <c r="A2769" s="32" t="s">
        <v>4</v>
      </c>
      <c r="B2769" s="32">
        <f t="shared" si="657"/>
        <v>2054</v>
      </c>
      <c r="C2769" s="33" t="s">
        <v>23</v>
      </c>
      <c r="D2769" s="34" t="s">
        <v>1999</v>
      </c>
      <c r="E2769" s="35" t="str">
        <f t="shared" si="653"/>
        <v>PRB'!</v>
      </c>
      <c r="F2769" s="34" t="str">
        <f t="shared" si="654"/>
        <v>C:\Users\jaime.benazar\Quorum Business Solutions\Ecopetrol Prometeo - Documents\Planning Space Implementation\3. Analysis &amp; Design\Design\FC22\DRR Jaime\QUIFA-CAJÚA\Cajua\[CAJUA_CF_SEC_New_27-Feb-2024Rev3.xlsx]D-PRB'!</v>
      </c>
      <c r="G2769" s="32" t="s">
        <v>116</v>
      </c>
      <c r="H2769" s="33">
        <f t="shared" si="655"/>
        <v>43</v>
      </c>
      <c r="I2769" s="33" t="str">
        <f t="shared" si="656"/>
        <v>='C:\Users\jaime.benazar\Quorum Business Solutions\Ecopetrol Prometeo - Documents\Planning Space Implementation\3. Analysis &amp; Design\Design\FC22\DRR Jaime\QUIFA-CAJÚA\Cajua\[CAJUA_CF_SEC_New_27-Feb-2024Rev3.xlsx]D-PRB'!$EA$43</v>
      </c>
      <c r="J2769" s="37" t="s">
        <v>3252</v>
      </c>
    </row>
    <row r="2770" spans="1:10" x14ac:dyDescent="0.25">
      <c r="A2770" s="32" t="s">
        <v>4</v>
      </c>
      <c r="B2770" s="32">
        <f t="shared" si="657"/>
        <v>2055</v>
      </c>
      <c r="C2770" s="33" t="s">
        <v>23</v>
      </c>
      <c r="D2770" s="34" t="s">
        <v>1999</v>
      </c>
      <c r="E2770" s="35" t="str">
        <f t="shared" si="653"/>
        <v>PRB'!</v>
      </c>
      <c r="F2770" s="34" t="str">
        <f t="shared" si="654"/>
        <v>C:\Users\jaime.benazar\Quorum Business Solutions\Ecopetrol Prometeo - Documents\Planning Space Implementation\3. Analysis &amp; Design\Design\FC22\DRR Jaime\QUIFA-CAJÚA\Cajua\[CAJUA_CF_SEC_New_27-Feb-2024Rev3.xlsx]D-PRB'!</v>
      </c>
      <c r="G2770" s="32" t="s">
        <v>116</v>
      </c>
      <c r="H2770" s="33">
        <f t="shared" si="655"/>
        <v>44</v>
      </c>
      <c r="I2770" s="33" t="str">
        <f t="shared" si="656"/>
        <v>='C:\Users\jaime.benazar\Quorum Business Solutions\Ecopetrol Prometeo - Documents\Planning Space Implementation\3. Analysis &amp; Design\Design\FC22\DRR Jaime\QUIFA-CAJÚA\Cajua\[CAJUA_CF_SEC_New_27-Feb-2024Rev3.xlsx]D-PRB'!$EA$44</v>
      </c>
      <c r="J2770" s="37" t="s">
        <v>3253</v>
      </c>
    </row>
    <row r="2771" spans="1:10" x14ac:dyDescent="0.25">
      <c r="A2771" s="32" t="s">
        <v>4</v>
      </c>
      <c r="B2771" s="32">
        <f t="shared" si="657"/>
        <v>2056</v>
      </c>
      <c r="C2771" s="33" t="s">
        <v>23</v>
      </c>
      <c r="D2771" s="34" t="s">
        <v>1999</v>
      </c>
      <c r="E2771" s="35" t="str">
        <f t="shared" si="653"/>
        <v>PRB'!</v>
      </c>
      <c r="F2771" s="34" t="str">
        <f t="shared" si="654"/>
        <v>C:\Users\jaime.benazar\Quorum Business Solutions\Ecopetrol Prometeo - Documents\Planning Space Implementation\3. Analysis &amp; Design\Design\FC22\DRR Jaime\QUIFA-CAJÚA\Cajua\[CAJUA_CF_SEC_New_27-Feb-2024Rev3.xlsx]D-PRB'!</v>
      </c>
      <c r="G2771" s="32" t="s">
        <v>116</v>
      </c>
      <c r="H2771" s="33">
        <f t="shared" si="655"/>
        <v>45</v>
      </c>
      <c r="I2771" s="33" t="str">
        <f t="shared" si="656"/>
        <v>='C:\Users\jaime.benazar\Quorum Business Solutions\Ecopetrol Prometeo - Documents\Planning Space Implementation\3. Analysis &amp; Design\Design\FC22\DRR Jaime\QUIFA-CAJÚA\Cajua\[CAJUA_CF_SEC_New_27-Feb-2024Rev3.xlsx]D-PRB'!$EA$45</v>
      </c>
      <c r="J2771" s="37" t="s">
        <v>3254</v>
      </c>
    </row>
    <row r="2772" spans="1:10" x14ac:dyDescent="0.25">
      <c r="A2772" s="32" t="s">
        <v>4</v>
      </c>
      <c r="B2772" s="32">
        <f t="shared" si="657"/>
        <v>2057</v>
      </c>
      <c r="C2772" s="33" t="s">
        <v>23</v>
      </c>
      <c r="D2772" s="34" t="s">
        <v>1999</v>
      </c>
      <c r="E2772" s="35" t="str">
        <f t="shared" si="653"/>
        <v>PRB'!</v>
      </c>
      <c r="F2772" s="34" t="str">
        <f t="shared" si="654"/>
        <v>C:\Users\jaime.benazar\Quorum Business Solutions\Ecopetrol Prometeo - Documents\Planning Space Implementation\3. Analysis &amp; Design\Design\FC22\DRR Jaime\QUIFA-CAJÚA\Cajua\[CAJUA_CF_SEC_New_27-Feb-2024Rev3.xlsx]D-PRB'!</v>
      </c>
      <c r="G2772" s="32" t="s">
        <v>116</v>
      </c>
      <c r="H2772" s="33">
        <f t="shared" si="655"/>
        <v>46</v>
      </c>
      <c r="I2772" s="33" t="str">
        <f t="shared" si="656"/>
        <v>='C:\Users\jaime.benazar\Quorum Business Solutions\Ecopetrol Prometeo - Documents\Planning Space Implementation\3. Analysis &amp; Design\Design\FC22\DRR Jaime\QUIFA-CAJÚA\Cajua\[CAJUA_CF_SEC_New_27-Feb-2024Rev3.xlsx]D-PRB'!$EA$46</v>
      </c>
      <c r="J2772" s="37" t="s">
        <v>3255</v>
      </c>
    </row>
    <row r="2773" spans="1:10" x14ac:dyDescent="0.25">
      <c r="A2773" s="32" t="s">
        <v>4</v>
      </c>
      <c r="B2773" s="32">
        <f t="shared" si="657"/>
        <v>2058</v>
      </c>
      <c r="C2773" s="33" t="s">
        <v>23</v>
      </c>
      <c r="D2773" s="34" t="s">
        <v>1999</v>
      </c>
      <c r="E2773" s="35" t="str">
        <f t="shared" si="653"/>
        <v>PRB'!</v>
      </c>
      <c r="F2773" s="34" t="str">
        <f t="shared" si="654"/>
        <v>C:\Users\jaime.benazar\Quorum Business Solutions\Ecopetrol Prometeo - Documents\Planning Space Implementation\3. Analysis &amp; Design\Design\FC22\DRR Jaime\QUIFA-CAJÚA\Cajua\[CAJUA_CF_SEC_New_27-Feb-2024Rev3.xlsx]D-PRB'!</v>
      </c>
      <c r="G2773" s="32" t="s">
        <v>116</v>
      </c>
      <c r="H2773" s="33">
        <f t="shared" si="655"/>
        <v>47</v>
      </c>
      <c r="I2773" s="33" t="str">
        <f t="shared" si="656"/>
        <v>='C:\Users\jaime.benazar\Quorum Business Solutions\Ecopetrol Prometeo - Documents\Planning Space Implementation\3. Analysis &amp; Design\Design\FC22\DRR Jaime\QUIFA-CAJÚA\Cajua\[CAJUA_CF_SEC_New_27-Feb-2024Rev3.xlsx]D-PRB'!$EA$47</v>
      </c>
      <c r="J2773" s="37" t="s">
        <v>3256</v>
      </c>
    </row>
    <row r="2774" spans="1:10" x14ac:dyDescent="0.25">
      <c r="A2774" s="32" t="s">
        <v>4</v>
      </c>
      <c r="B2774" s="32">
        <f t="shared" si="657"/>
        <v>2059</v>
      </c>
      <c r="C2774" s="33" t="s">
        <v>23</v>
      </c>
      <c r="D2774" s="34" t="s">
        <v>1999</v>
      </c>
      <c r="E2774" s="35" t="str">
        <f t="shared" si="653"/>
        <v>PRB'!</v>
      </c>
      <c r="F2774" s="34" t="str">
        <f t="shared" si="654"/>
        <v>C:\Users\jaime.benazar\Quorum Business Solutions\Ecopetrol Prometeo - Documents\Planning Space Implementation\3. Analysis &amp; Design\Design\FC22\DRR Jaime\QUIFA-CAJÚA\Cajua\[CAJUA_CF_SEC_New_27-Feb-2024Rev3.xlsx]D-PRB'!</v>
      </c>
      <c r="G2774" s="32" t="s">
        <v>116</v>
      </c>
      <c r="H2774" s="33">
        <f t="shared" si="655"/>
        <v>48</v>
      </c>
      <c r="I2774" s="33" t="str">
        <f t="shared" si="656"/>
        <v>='C:\Users\jaime.benazar\Quorum Business Solutions\Ecopetrol Prometeo - Documents\Planning Space Implementation\3. Analysis &amp; Design\Design\FC22\DRR Jaime\QUIFA-CAJÚA\Cajua\[CAJUA_CF_SEC_New_27-Feb-2024Rev3.xlsx]D-PRB'!$EA$48</v>
      </c>
      <c r="J2774" s="37" t="s">
        <v>3257</v>
      </c>
    </row>
    <row r="2775" spans="1:10" x14ac:dyDescent="0.25">
      <c r="A2775" s="32" t="s">
        <v>28</v>
      </c>
      <c r="B2775" s="32"/>
      <c r="C2775" s="33" t="s">
        <v>23</v>
      </c>
      <c r="D2775" s="34"/>
      <c r="E2775" s="35"/>
      <c r="F2775" s="34"/>
      <c r="G2775" s="32"/>
      <c r="H2775" s="33"/>
      <c r="I2775" s="33"/>
      <c r="J2775" s="33"/>
    </row>
    <row r="2776" spans="1:10" x14ac:dyDescent="0.25">
      <c r="A2776" s="32" t="s">
        <v>102</v>
      </c>
      <c r="B2776" s="32">
        <v>2023</v>
      </c>
      <c r="C2776" s="33" t="s">
        <v>23</v>
      </c>
      <c r="D2776" s="34" t="s">
        <v>1999</v>
      </c>
      <c r="E2776" s="35" t="str">
        <f t="shared" ref="E2776:E2796" si="658">_xlfn.CONCAT(A2776,"'!")</f>
        <v>PSDP'!</v>
      </c>
      <c r="F2776" s="34" t="str">
        <f t="shared" ref="F2776:F2796" si="659">_xlfn.CONCAT(D2776:E2776)</f>
        <v>C:\Users\jaime.benazar\Quorum Business Solutions\Ecopetrol Prometeo - Documents\Planning Space Implementation\3. Analysis &amp; Design\Design\FC22\DRR Jaime\QUIFA-CAJÚA\Cajua\[CAJUA_CF_SEC_New_27-Feb-2024Rev3.xlsx]D-PSDP'!</v>
      </c>
      <c r="G2776" s="32" t="s">
        <v>116</v>
      </c>
      <c r="H2776" s="33"/>
      <c r="I2776" s="33"/>
      <c r="J2776" s="37"/>
    </row>
    <row r="2777" spans="1:10" x14ac:dyDescent="0.25">
      <c r="A2777" s="32" t="s">
        <v>102</v>
      </c>
      <c r="B2777" s="32">
        <f>+B2776+1</f>
        <v>2024</v>
      </c>
      <c r="C2777" s="33" t="s">
        <v>23</v>
      </c>
      <c r="D2777" s="34" t="s">
        <v>1999</v>
      </c>
      <c r="E2777" s="35" t="str">
        <f t="shared" si="658"/>
        <v>PSDP'!</v>
      </c>
      <c r="F2777" s="34" t="str">
        <f t="shared" si="659"/>
        <v>C:\Users\jaime.benazar\Quorum Business Solutions\Ecopetrol Prometeo - Documents\Planning Space Implementation\3. Analysis &amp; Design\Design\FC22\DRR Jaime\QUIFA-CAJÚA\Cajua\[CAJUA_CF_SEC_New_27-Feb-2024Rev3.xlsx]D-PSDP'!</v>
      </c>
      <c r="G2777" s="32" t="s">
        <v>116</v>
      </c>
      <c r="H2777" s="33"/>
      <c r="I2777" s="33"/>
      <c r="J2777" s="37"/>
    </row>
    <row r="2778" spans="1:10" x14ac:dyDescent="0.25">
      <c r="A2778" s="32" t="s">
        <v>102</v>
      </c>
      <c r="B2778" s="32">
        <f t="shared" ref="B2778:B2789" si="660">+B2777+1</f>
        <v>2025</v>
      </c>
      <c r="C2778" s="33" t="s">
        <v>23</v>
      </c>
      <c r="D2778" s="34" t="s">
        <v>1999</v>
      </c>
      <c r="E2778" s="35" t="str">
        <f t="shared" si="658"/>
        <v>PSDP'!</v>
      </c>
      <c r="F2778" s="34" t="str">
        <f t="shared" si="659"/>
        <v>C:\Users\jaime.benazar\Quorum Business Solutions\Ecopetrol Prometeo - Documents\Planning Space Implementation\3. Analysis &amp; Design\Design\FC22\DRR Jaime\QUIFA-CAJÚA\Cajua\[CAJUA_CF_SEC_New_27-Feb-2024Rev3.xlsx]D-PSDP'!</v>
      </c>
      <c r="G2778" s="32" t="s">
        <v>116</v>
      </c>
      <c r="H2778" s="33"/>
      <c r="I2778" s="33"/>
      <c r="J2778" s="37"/>
    </row>
    <row r="2779" spans="1:10" x14ac:dyDescent="0.25">
      <c r="A2779" s="32" t="s">
        <v>102</v>
      </c>
      <c r="B2779" s="32">
        <f t="shared" si="660"/>
        <v>2026</v>
      </c>
      <c r="C2779" s="33" t="s">
        <v>23</v>
      </c>
      <c r="D2779" s="34" t="s">
        <v>1999</v>
      </c>
      <c r="E2779" s="35" t="str">
        <f t="shared" si="658"/>
        <v>PSDP'!</v>
      </c>
      <c r="F2779" s="34" t="str">
        <f t="shared" si="659"/>
        <v>C:\Users\jaime.benazar\Quorum Business Solutions\Ecopetrol Prometeo - Documents\Planning Space Implementation\3. Analysis &amp; Design\Design\FC22\DRR Jaime\QUIFA-CAJÚA\Cajua\[CAJUA_CF_SEC_New_27-Feb-2024Rev3.xlsx]D-PSDP'!</v>
      </c>
      <c r="G2779" s="32" t="s">
        <v>116</v>
      </c>
      <c r="H2779" s="33"/>
      <c r="I2779" s="33"/>
      <c r="J2779" s="37"/>
    </row>
    <row r="2780" spans="1:10" x14ac:dyDescent="0.25">
      <c r="A2780" s="32" t="s">
        <v>102</v>
      </c>
      <c r="B2780" s="32">
        <f t="shared" si="660"/>
        <v>2027</v>
      </c>
      <c r="C2780" s="33" t="s">
        <v>23</v>
      </c>
      <c r="D2780" s="34" t="s">
        <v>1999</v>
      </c>
      <c r="E2780" s="35" t="str">
        <f t="shared" si="658"/>
        <v>PSDP'!</v>
      </c>
      <c r="F2780" s="34" t="str">
        <f t="shared" si="659"/>
        <v>C:\Users\jaime.benazar\Quorum Business Solutions\Ecopetrol Prometeo - Documents\Planning Space Implementation\3. Analysis &amp; Design\Design\FC22\DRR Jaime\QUIFA-CAJÚA\Cajua\[CAJUA_CF_SEC_New_27-Feb-2024Rev3.xlsx]D-PSDP'!</v>
      </c>
      <c r="G2780" s="32" t="s">
        <v>116</v>
      </c>
      <c r="H2780" s="33"/>
      <c r="I2780" s="33"/>
      <c r="J2780" s="37"/>
    </row>
    <row r="2781" spans="1:10" x14ac:dyDescent="0.25">
      <c r="A2781" s="32" t="s">
        <v>102</v>
      </c>
      <c r="B2781" s="32">
        <f t="shared" si="660"/>
        <v>2028</v>
      </c>
      <c r="C2781" s="33" t="s">
        <v>23</v>
      </c>
      <c r="D2781" s="34" t="s">
        <v>1999</v>
      </c>
      <c r="E2781" s="35" t="str">
        <f t="shared" si="658"/>
        <v>PSDP'!</v>
      </c>
      <c r="F2781" s="34" t="str">
        <f t="shared" si="659"/>
        <v>C:\Users\jaime.benazar\Quorum Business Solutions\Ecopetrol Prometeo - Documents\Planning Space Implementation\3. Analysis &amp; Design\Design\FC22\DRR Jaime\QUIFA-CAJÚA\Cajua\[CAJUA_CF_SEC_New_27-Feb-2024Rev3.xlsx]D-PSDP'!</v>
      </c>
      <c r="G2781" s="32" t="s">
        <v>116</v>
      </c>
      <c r="H2781" s="33"/>
      <c r="I2781" s="33"/>
      <c r="J2781" s="37"/>
    </row>
    <row r="2782" spans="1:10" x14ac:dyDescent="0.25">
      <c r="A2782" s="32" t="s">
        <v>102</v>
      </c>
      <c r="B2782" s="32">
        <f t="shared" si="660"/>
        <v>2029</v>
      </c>
      <c r="C2782" s="33" t="s">
        <v>23</v>
      </c>
      <c r="D2782" s="34" t="s">
        <v>1999</v>
      </c>
      <c r="E2782" s="35" t="str">
        <f t="shared" si="658"/>
        <v>PSDP'!</v>
      </c>
      <c r="F2782" s="34" t="str">
        <f t="shared" si="659"/>
        <v>C:\Users\jaime.benazar\Quorum Business Solutions\Ecopetrol Prometeo - Documents\Planning Space Implementation\3. Analysis &amp; Design\Design\FC22\DRR Jaime\QUIFA-CAJÚA\Cajua\[CAJUA_CF_SEC_New_27-Feb-2024Rev3.xlsx]D-PSDP'!</v>
      </c>
      <c r="G2782" s="32" t="s">
        <v>116</v>
      </c>
      <c r="H2782" s="33"/>
      <c r="I2782" s="33"/>
      <c r="J2782" s="37"/>
    </row>
    <row r="2783" spans="1:10" x14ac:dyDescent="0.25">
      <c r="A2783" s="32" t="s">
        <v>102</v>
      </c>
      <c r="B2783" s="32">
        <f t="shared" si="660"/>
        <v>2030</v>
      </c>
      <c r="C2783" s="33" t="s">
        <v>23</v>
      </c>
      <c r="D2783" s="34" t="s">
        <v>1999</v>
      </c>
      <c r="E2783" s="35" t="str">
        <f t="shared" si="658"/>
        <v>PSDP'!</v>
      </c>
      <c r="F2783" s="34" t="str">
        <f t="shared" si="659"/>
        <v>C:\Users\jaime.benazar\Quorum Business Solutions\Ecopetrol Prometeo - Documents\Planning Space Implementation\3. Analysis &amp; Design\Design\FC22\DRR Jaime\QUIFA-CAJÚA\Cajua\[CAJUA_CF_SEC_New_27-Feb-2024Rev3.xlsx]D-PSDP'!</v>
      </c>
      <c r="G2783" s="32" t="s">
        <v>116</v>
      </c>
      <c r="H2783" s="33"/>
      <c r="I2783" s="33"/>
      <c r="J2783" s="37"/>
    </row>
    <row r="2784" spans="1:10" x14ac:dyDescent="0.25">
      <c r="A2784" s="32" t="s">
        <v>102</v>
      </c>
      <c r="B2784" s="32">
        <f t="shared" si="660"/>
        <v>2031</v>
      </c>
      <c r="C2784" s="33" t="s">
        <v>23</v>
      </c>
      <c r="D2784" s="34" t="s">
        <v>1999</v>
      </c>
      <c r="E2784" s="35" t="str">
        <f t="shared" si="658"/>
        <v>PSDP'!</v>
      </c>
      <c r="F2784" s="34" t="str">
        <f t="shared" si="659"/>
        <v>C:\Users\jaime.benazar\Quorum Business Solutions\Ecopetrol Prometeo - Documents\Planning Space Implementation\3. Analysis &amp; Design\Design\FC22\DRR Jaime\QUIFA-CAJÚA\Cajua\[CAJUA_CF_SEC_New_27-Feb-2024Rev3.xlsx]D-PSDP'!</v>
      </c>
      <c r="G2784" s="32" t="s">
        <v>116</v>
      </c>
      <c r="H2784" s="33"/>
      <c r="I2784" s="33"/>
      <c r="J2784" s="37"/>
    </row>
    <row r="2785" spans="1:10" x14ac:dyDescent="0.25">
      <c r="A2785" s="32" t="s">
        <v>102</v>
      </c>
      <c r="B2785" s="32">
        <f t="shared" si="660"/>
        <v>2032</v>
      </c>
      <c r="C2785" s="33" t="s">
        <v>23</v>
      </c>
      <c r="D2785" s="34" t="s">
        <v>1999</v>
      </c>
      <c r="E2785" s="35" t="str">
        <f t="shared" si="658"/>
        <v>PSDP'!</v>
      </c>
      <c r="F2785" s="34" t="str">
        <f t="shared" si="659"/>
        <v>C:\Users\jaime.benazar\Quorum Business Solutions\Ecopetrol Prometeo - Documents\Planning Space Implementation\3. Analysis &amp; Design\Design\FC22\DRR Jaime\QUIFA-CAJÚA\Cajua\[CAJUA_CF_SEC_New_27-Feb-2024Rev3.xlsx]D-PSDP'!</v>
      </c>
      <c r="G2785" s="32" t="s">
        <v>116</v>
      </c>
      <c r="H2785" s="33"/>
      <c r="I2785" s="33"/>
      <c r="J2785" s="37"/>
    </row>
    <row r="2786" spans="1:10" x14ac:dyDescent="0.25">
      <c r="A2786" s="32" t="s">
        <v>102</v>
      </c>
      <c r="B2786" s="32">
        <f t="shared" si="660"/>
        <v>2033</v>
      </c>
      <c r="C2786" s="33" t="s">
        <v>23</v>
      </c>
      <c r="D2786" s="34" t="s">
        <v>1999</v>
      </c>
      <c r="E2786" s="35" t="str">
        <f t="shared" si="658"/>
        <v>PSDP'!</v>
      </c>
      <c r="F2786" s="34" t="str">
        <f t="shared" si="659"/>
        <v>C:\Users\jaime.benazar\Quorum Business Solutions\Ecopetrol Prometeo - Documents\Planning Space Implementation\3. Analysis &amp; Design\Design\FC22\DRR Jaime\QUIFA-CAJÚA\Cajua\[CAJUA_CF_SEC_New_27-Feb-2024Rev3.xlsx]D-PSDP'!</v>
      </c>
      <c r="G2786" s="32" t="s">
        <v>116</v>
      </c>
      <c r="H2786" s="33"/>
      <c r="I2786" s="33"/>
      <c r="J2786" s="37"/>
    </row>
    <row r="2787" spans="1:10" x14ac:dyDescent="0.25">
      <c r="A2787" s="32" t="s">
        <v>102</v>
      </c>
      <c r="B2787" s="32">
        <f t="shared" si="660"/>
        <v>2034</v>
      </c>
      <c r="C2787" s="33" t="s">
        <v>23</v>
      </c>
      <c r="D2787" s="34" t="s">
        <v>1999</v>
      </c>
      <c r="E2787" s="35" t="str">
        <f t="shared" si="658"/>
        <v>PSDP'!</v>
      </c>
      <c r="F2787" s="34" t="str">
        <f t="shared" si="659"/>
        <v>C:\Users\jaime.benazar\Quorum Business Solutions\Ecopetrol Prometeo - Documents\Planning Space Implementation\3. Analysis &amp; Design\Design\FC22\DRR Jaime\QUIFA-CAJÚA\Cajua\[CAJUA_CF_SEC_New_27-Feb-2024Rev3.xlsx]D-PSDP'!</v>
      </c>
      <c r="G2787" s="32" t="s">
        <v>116</v>
      </c>
      <c r="H2787" s="33"/>
      <c r="I2787" s="33"/>
      <c r="J2787" s="37"/>
    </row>
    <row r="2788" spans="1:10" x14ac:dyDescent="0.25">
      <c r="A2788" s="32" t="s">
        <v>102</v>
      </c>
      <c r="B2788" s="32">
        <f t="shared" si="660"/>
        <v>2035</v>
      </c>
      <c r="C2788" s="33" t="s">
        <v>23</v>
      </c>
      <c r="D2788" s="34" t="s">
        <v>1999</v>
      </c>
      <c r="E2788" s="35" t="str">
        <f t="shared" si="658"/>
        <v>PSDP'!</v>
      </c>
      <c r="F2788" s="34" t="str">
        <f t="shared" si="659"/>
        <v>C:\Users\jaime.benazar\Quorum Business Solutions\Ecopetrol Prometeo - Documents\Planning Space Implementation\3. Analysis &amp; Design\Design\FC22\DRR Jaime\QUIFA-CAJÚA\Cajua\[CAJUA_CF_SEC_New_27-Feb-2024Rev3.xlsx]D-PSDP'!</v>
      </c>
      <c r="G2788" s="32" t="s">
        <v>116</v>
      </c>
      <c r="H2788" s="33"/>
      <c r="I2788" s="33"/>
      <c r="J2788" s="37"/>
    </row>
    <row r="2789" spans="1:10" x14ac:dyDescent="0.25">
      <c r="A2789" s="32" t="s">
        <v>102</v>
      </c>
      <c r="B2789" s="32">
        <f t="shared" si="660"/>
        <v>2036</v>
      </c>
      <c r="C2789" s="33" t="s">
        <v>23</v>
      </c>
      <c r="D2789" s="34" t="s">
        <v>1999</v>
      </c>
      <c r="E2789" s="35" t="str">
        <f t="shared" si="658"/>
        <v>PSDP'!</v>
      </c>
      <c r="F2789" s="34" t="str">
        <f t="shared" si="659"/>
        <v>C:\Users\jaime.benazar\Quorum Business Solutions\Ecopetrol Prometeo - Documents\Planning Space Implementation\3. Analysis &amp; Design\Design\FC22\DRR Jaime\QUIFA-CAJÚA\Cajua\[CAJUA_CF_SEC_New_27-Feb-2024Rev3.xlsx]D-PSDP'!</v>
      </c>
      <c r="G2789" s="32" t="s">
        <v>116</v>
      </c>
      <c r="H2789" s="33"/>
      <c r="I2789" s="33"/>
      <c r="J2789" s="37"/>
    </row>
    <row r="2790" spans="1:10" x14ac:dyDescent="0.25">
      <c r="A2790" s="32" t="s">
        <v>102</v>
      </c>
      <c r="B2790" s="32">
        <f>+B2789+1</f>
        <v>2037</v>
      </c>
      <c r="C2790" s="33" t="s">
        <v>23</v>
      </c>
      <c r="D2790" s="34" t="s">
        <v>1999</v>
      </c>
      <c r="E2790" s="35" t="str">
        <f t="shared" si="658"/>
        <v>PSDP'!</v>
      </c>
      <c r="F2790" s="34" t="str">
        <f t="shared" si="659"/>
        <v>C:\Users\jaime.benazar\Quorum Business Solutions\Ecopetrol Prometeo - Documents\Planning Space Implementation\3. Analysis &amp; Design\Design\FC22\DRR Jaime\QUIFA-CAJÚA\Cajua\[CAJUA_CF_SEC_New_27-Feb-2024Rev3.xlsx]D-PSDP'!</v>
      </c>
      <c r="G2790" s="32" t="s">
        <v>116</v>
      </c>
      <c r="H2790" s="33"/>
      <c r="I2790" s="33"/>
      <c r="J2790" s="37"/>
    </row>
    <row r="2791" spans="1:10" x14ac:dyDescent="0.25">
      <c r="A2791" s="32" t="s">
        <v>102</v>
      </c>
      <c r="B2791" s="32">
        <f t="shared" ref="B2791:B2793" si="661">+B2790+1</f>
        <v>2038</v>
      </c>
      <c r="C2791" s="33" t="s">
        <v>23</v>
      </c>
      <c r="D2791" s="34" t="s">
        <v>1999</v>
      </c>
      <c r="E2791" s="35" t="str">
        <f t="shared" si="658"/>
        <v>PSDP'!</v>
      </c>
      <c r="F2791" s="34" t="str">
        <f t="shared" si="659"/>
        <v>C:\Users\jaime.benazar\Quorum Business Solutions\Ecopetrol Prometeo - Documents\Planning Space Implementation\3. Analysis &amp; Design\Design\FC22\DRR Jaime\QUIFA-CAJÚA\Cajua\[CAJUA_CF_SEC_New_27-Feb-2024Rev3.xlsx]D-PSDP'!</v>
      </c>
      <c r="G2791" s="32" t="s">
        <v>116</v>
      </c>
      <c r="H2791" s="33"/>
      <c r="I2791" s="33"/>
      <c r="J2791" s="37"/>
    </row>
    <row r="2792" spans="1:10" x14ac:dyDescent="0.25">
      <c r="A2792" s="32" t="s">
        <v>102</v>
      </c>
      <c r="B2792" s="32">
        <f t="shared" si="661"/>
        <v>2039</v>
      </c>
      <c r="C2792" s="33" t="s">
        <v>23</v>
      </c>
      <c r="D2792" s="34" t="s">
        <v>1999</v>
      </c>
      <c r="E2792" s="35" t="str">
        <f t="shared" si="658"/>
        <v>PSDP'!</v>
      </c>
      <c r="F2792" s="34" t="str">
        <f t="shared" si="659"/>
        <v>C:\Users\jaime.benazar\Quorum Business Solutions\Ecopetrol Prometeo - Documents\Planning Space Implementation\3. Analysis &amp; Design\Design\FC22\DRR Jaime\QUIFA-CAJÚA\Cajua\[CAJUA_CF_SEC_New_27-Feb-2024Rev3.xlsx]D-PSDP'!</v>
      </c>
      <c r="G2792" s="32" t="s">
        <v>116</v>
      </c>
      <c r="H2792" s="33"/>
      <c r="I2792" s="33"/>
      <c r="J2792" s="37"/>
    </row>
    <row r="2793" spans="1:10" x14ac:dyDescent="0.25">
      <c r="A2793" s="32" t="s">
        <v>102</v>
      </c>
      <c r="B2793" s="32">
        <f t="shared" si="661"/>
        <v>2040</v>
      </c>
      <c r="C2793" s="33" t="s">
        <v>23</v>
      </c>
      <c r="D2793" s="34" t="s">
        <v>1999</v>
      </c>
      <c r="E2793" s="35" t="str">
        <f t="shared" si="658"/>
        <v>PSDP'!</v>
      </c>
      <c r="F2793" s="34" t="str">
        <f t="shared" si="659"/>
        <v>C:\Users\jaime.benazar\Quorum Business Solutions\Ecopetrol Prometeo - Documents\Planning Space Implementation\3. Analysis &amp; Design\Design\FC22\DRR Jaime\QUIFA-CAJÚA\Cajua\[CAJUA_CF_SEC_New_27-Feb-2024Rev3.xlsx]D-PSDP'!</v>
      </c>
      <c r="G2793" s="32" t="s">
        <v>116</v>
      </c>
      <c r="H2793" s="33"/>
      <c r="I2793" s="33"/>
      <c r="J2793" s="37"/>
    </row>
    <row r="2794" spans="1:10" x14ac:dyDescent="0.25">
      <c r="A2794" s="32" t="s">
        <v>102</v>
      </c>
      <c r="B2794" s="32">
        <f>+B2793+1</f>
        <v>2041</v>
      </c>
      <c r="C2794" s="33" t="s">
        <v>23</v>
      </c>
      <c r="D2794" s="34" t="s">
        <v>1999</v>
      </c>
      <c r="E2794" s="35" t="str">
        <f t="shared" si="658"/>
        <v>PSDP'!</v>
      </c>
      <c r="F2794" s="34" t="str">
        <f t="shared" si="659"/>
        <v>C:\Users\jaime.benazar\Quorum Business Solutions\Ecopetrol Prometeo - Documents\Planning Space Implementation\3. Analysis &amp; Design\Design\FC22\DRR Jaime\QUIFA-CAJÚA\Cajua\[CAJUA_CF_SEC_New_27-Feb-2024Rev3.xlsx]D-PSDP'!</v>
      </c>
      <c r="G2794" s="32" t="s">
        <v>116</v>
      </c>
      <c r="H2794" s="33"/>
      <c r="I2794" s="33"/>
      <c r="J2794" s="37"/>
    </row>
    <row r="2795" spans="1:10" x14ac:dyDescent="0.25">
      <c r="A2795" s="32" t="s">
        <v>102</v>
      </c>
      <c r="B2795" s="32">
        <f t="shared" ref="B2795:B2796" si="662">+B2794+1</f>
        <v>2042</v>
      </c>
      <c r="C2795" s="33" t="s">
        <v>23</v>
      </c>
      <c r="D2795" s="34" t="s">
        <v>1999</v>
      </c>
      <c r="E2795" s="35" t="str">
        <f t="shared" si="658"/>
        <v>PSDP'!</v>
      </c>
      <c r="F2795" s="34" t="str">
        <f t="shared" si="659"/>
        <v>C:\Users\jaime.benazar\Quorum Business Solutions\Ecopetrol Prometeo - Documents\Planning Space Implementation\3. Analysis &amp; Design\Design\FC22\DRR Jaime\QUIFA-CAJÚA\Cajua\[CAJUA_CF_SEC_New_27-Feb-2024Rev3.xlsx]D-PSDP'!</v>
      </c>
      <c r="G2795" s="32" t="s">
        <v>116</v>
      </c>
      <c r="H2795" s="33"/>
      <c r="I2795" s="33"/>
      <c r="J2795" s="37"/>
    </row>
    <row r="2796" spans="1:10" x14ac:dyDescent="0.25">
      <c r="A2796" s="32" t="s">
        <v>102</v>
      </c>
      <c r="B2796" s="32">
        <f t="shared" si="662"/>
        <v>2043</v>
      </c>
      <c r="C2796" s="33" t="s">
        <v>23</v>
      </c>
      <c r="D2796" s="34" t="s">
        <v>1999</v>
      </c>
      <c r="E2796" s="35" t="str">
        <f t="shared" si="658"/>
        <v>PSDP'!</v>
      </c>
      <c r="F2796" s="34" t="str">
        <f t="shared" si="659"/>
        <v>C:\Users\jaime.benazar\Quorum Business Solutions\Ecopetrol Prometeo - Documents\Planning Space Implementation\3. Analysis &amp; Design\Design\FC22\DRR Jaime\QUIFA-CAJÚA\Cajua\[CAJUA_CF_SEC_New_27-Feb-2024Rev3.xlsx]D-PSDP'!</v>
      </c>
      <c r="G2796" s="32" t="s">
        <v>116</v>
      </c>
      <c r="H2796" s="33"/>
      <c r="I2796" s="33"/>
      <c r="J2796" s="37"/>
    </row>
    <row r="2797" spans="1:10" x14ac:dyDescent="0.25">
      <c r="A2797" s="32" t="s">
        <v>102</v>
      </c>
      <c r="B2797" s="32">
        <f>+B2796+1</f>
        <v>2044</v>
      </c>
      <c r="C2797" s="33" t="s">
        <v>23</v>
      </c>
      <c r="D2797" s="34" t="s">
        <v>1999</v>
      </c>
      <c r="E2797" s="35" t="str">
        <f t="shared" ref="E2797:E2812" si="663">_xlfn.CONCAT(A2797,"'!")</f>
        <v>PSDP'!</v>
      </c>
      <c r="F2797" s="34" t="str">
        <f t="shared" ref="F2797:F2812" si="664">_xlfn.CONCAT(D2797:E2797)</f>
        <v>C:\Users\jaime.benazar\Quorum Business Solutions\Ecopetrol Prometeo - Documents\Planning Space Implementation\3. Analysis &amp; Design\Design\FC22\DRR Jaime\QUIFA-CAJÚA\Cajua\[CAJUA_CF_SEC_New_27-Feb-2024Rev3.xlsx]D-PSDP'!</v>
      </c>
      <c r="G2797" s="32" t="s">
        <v>116</v>
      </c>
      <c r="H2797" s="33"/>
      <c r="I2797" s="33"/>
      <c r="J2797" s="37"/>
    </row>
    <row r="2798" spans="1:10" x14ac:dyDescent="0.25">
      <c r="A2798" s="32" t="s">
        <v>102</v>
      </c>
      <c r="B2798" s="32">
        <f t="shared" ref="B2798:B2812" si="665">+B2797+1</f>
        <v>2045</v>
      </c>
      <c r="C2798" s="33" t="s">
        <v>23</v>
      </c>
      <c r="D2798" s="34" t="s">
        <v>1999</v>
      </c>
      <c r="E2798" s="35" t="str">
        <f t="shared" si="663"/>
        <v>PSDP'!</v>
      </c>
      <c r="F2798" s="34" t="str">
        <f t="shared" si="664"/>
        <v>C:\Users\jaime.benazar\Quorum Business Solutions\Ecopetrol Prometeo - Documents\Planning Space Implementation\3. Analysis &amp; Design\Design\FC22\DRR Jaime\QUIFA-CAJÚA\Cajua\[CAJUA_CF_SEC_New_27-Feb-2024Rev3.xlsx]D-PSDP'!</v>
      </c>
      <c r="G2798" s="32" t="s">
        <v>116</v>
      </c>
      <c r="H2798" s="33"/>
      <c r="I2798" s="33"/>
      <c r="J2798" s="37"/>
    </row>
    <row r="2799" spans="1:10" x14ac:dyDescent="0.25">
      <c r="A2799" s="32" t="s">
        <v>102</v>
      </c>
      <c r="B2799" s="32">
        <f t="shared" si="665"/>
        <v>2046</v>
      </c>
      <c r="C2799" s="33" t="s">
        <v>23</v>
      </c>
      <c r="D2799" s="34" t="s">
        <v>1999</v>
      </c>
      <c r="E2799" s="35" t="str">
        <f t="shared" si="663"/>
        <v>PSDP'!</v>
      </c>
      <c r="F2799" s="34" t="str">
        <f t="shared" si="664"/>
        <v>C:\Users\jaime.benazar\Quorum Business Solutions\Ecopetrol Prometeo - Documents\Planning Space Implementation\3. Analysis &amp; Design\Design\FC22\DRR Jaime\QUIFA-CAJÚA\Cajua\[CAJUA_CF_SEC_New_27-Feb-2024Rev3.xlsx]D-PSDP'!</v>
      </c>
      <c r="G2799" s="32" t="s">
        <v>116</v>
      </c>
      <c r="H2799" s="33"/>
      <c r="I2799" s="33"/>
      <c r="J2799" s="37"/>
    </row>
    <row r="2800" spans="1:10" x14ac:dyDescent="0.25">
      <c r="A2800" s="32" t="s">
        <v>102</v>
      </c>
      <c r="B2800" s="32">
        <f t="shared" si="665"/>
        <v>2047</v>
      </c>
      <c r="C2800" s="33" t="s">
        <v>23</v>
      </c>
      <c r="D2800" s="34" t="s">
        <v>1999</v>
      </c>
      <c r="E2800" s="35" t="str">
        <f t="shared" si="663"/>
        <v>PSDP'!</v>
      </c>
      <c r="F2800" s="34" t="str">
        <f t="shared" si="664"/>
        <v>C:\Users\jaime.benazar\Quorum Business Solutions\Ecopetrol Prometeo - Documents\Planning Space Implementation\3. Analysis &amp; Design\Design\FC22\DRR Jaime\QUIFA-CAJÚA\Cajua\[CAJUA_CF_SEC_New_27-Feb-2024Rev3.xlsx]D-PSDP'!</v>
      </c>
      <c r="G2800" s="32" t="s">
        <v>116</v>
      </c>
      <c r="H2800" s="33"/>
      <c r="I2800" s="33"/>
      <c r="J2800" s="37"/>
    </row>
    <row r="2801" spans="1:10" x14ac:dyDescent="0.25">
      <c r="A2801" s="32" t="s">
        <v>102</v>
      </c>
      <c r="B2801" s="32">
        <f t="shared" si="665"/>
        <v>2048</v>
      </c>
      <c r="C2801" s="33" t="s">
        <v>23</v>
      </c>
      <c r="D2801" s="34" t="s">
        <v>1999</v>
      </c>
      <c r="E2801" s="35" t="str">
        <f t="shared" si="663"/>
        <v>PSDP'!</v>
      </c>
      <c r="F2801" s="34" t="str">
        <f t="shared" si="664"/>
        <v>C:\Users\jaime.benazar\Quorum Business Solutions\Ecopetrol Prometeo - Documents\Planning Space Implementation\3. Analysis &amp; Design\Design\FC22\DRR Jaime\QUIFA-CAJÚA\Cajua\[CAJUA_CF_SEC_New_27-Feb-2024Rev3.xlsx]D-PSDP'!</v>
      </c>
      <c r="G2801" s="32" t="s">
        <v>116</v>
      </c>
      <c r="H2801" s="33"/>
      <c r="I2801" s="33"/>
      <c r="J2801" s="37"/>
    </row>
    <row r="2802" spans="1:10" x14ac:dyDescent="0.25">
      <c r="A2802" s="32" t="s">
        <v>102</v>
      </c>
      <c r="B2802" s="32">
        <f t="shared" si="665"/>
        <v>2049</v>
      </c>
      <c r="C2802" s="33" t="s">
        <v>23</v>
      </c>
      <c r="D2802" s="34" t="s">
        <v>1999</v>
      </c>
      <c r="E2802" s="35" t="str">
        <f t="shared" si="663"/>
        <v>PSDP'!</v>
      </c>
      <c r="F2802" s="34" t="str">
        <f t="shared" si="664"/>
        <v>C:\Users\jaime.benazar\Quorum Business Solutions\Ecopetrol Prometeo - Documents\Planning Space Implementation\3. Analysis &amp; Design\Design\FC22\DRR Jaime\QUIFA-CAJÚA\Cajua\[CAJUA_CF_SEC_New_27-Feb-2024Rev3.xlsx]D-PSDP'!</v>
      </c>
      <c r="G2802" s="32" t="s">
        <v>116</v>
      </c>
      <c r="H2802" s="33"/>
      <c r="I2802" s="33"/>
      <c r="J2802" s="37"/>
    </row>
    <row r="2803" spans="1:10" x14ac:dyDescent="0.25">
      <c r="A2803" s="32" t="s">
        <v>102</v>
      </c>
      <c r="B2803" s="32">
        <f t="shared" si="665"/>
        <v>2050</v>
      </c>
      <c r="C2803" s="33" t="s">
        <v>23</v>
      </c>
      <c r="D2803" s="34" t="s">
        <v>1999</v>
      </c>
      <c r="E2803" s="35" t="str">
        <f t="shared" si="663"/>
        <v>PSDP'!</v>
      </c>
      <c r="F2803" s="34" t="str">
        <f t="shared" si="664"/>
        <v>C:\Users\jaime.benazar\Quorum Business Solutions\Ecopetrol Prometeo - Documents\Planning Space Implementation\3. Analysis &amp; Design\Design\FC22\DRR Jaime\QUIFA-CAJÚA\Cajua\[CAJUA_CF_SEC_New_27-Feb-2024Rev3.xlsx]D-PSDP'!</v>
      </c>
      <c r="G2803" s="32" t="s">
        <v>116</v>
      </c>
      <c r="H2803" s="33"/>
      <c r="I2803" s="33"/>
      <c r="J2803" s="37"/>
    </row>
    <row r="2804" spans="1:10" x14ac:dyDescent="0.25">
      <c r="A2804" s="32" t="s">
        <v>102</v>
      </c>
      <c r="B2804" s="32">
        <f t="shared" si="665"/>
        <v>2051</v>
      </c>
      <c r="C2804" s="33" t="s">
        <v>23</v>
      </c>
      <c r="D2804" s="34" t="s">
        <v>1999</v>
      </c>
      <c r="E2804" s="35" t="str">
        <f t="shared" si="663"/>
        <v>PSDP'!</v>
      </c>
      <c r="F2804" s="34" t="str">
        <f t="shared" si="664"/>
        <v>C:\Users\jaime.benazar\Quorum Business Solutions\Ecopetrol Prometeo - Documents\Planning Space Implementation\3. Analysis &amp; Design\Design\FC22\DRR Jaime\QUIFA-CAJÚA\Cajua\[CAJUA_CF_SEC_New_27-Feb-2024Rev3.xlsx]D-PSDP'!</v>
      </c>
      <c r="G2804" s="32" t="s">
        <v>116</v>
      </c>
      <c r="H2804" s="33"/>
      <c r="I2804" s="33"/>
      <c r="J2804" s="37"/>
    </row>
    <row r="2805" spans="1:10" x14ac:dyDescent="0.25">
      <c r="A2805" s="32" t="s">
        <v>102</v>
      </c>
      <c r="B2805" s="32">
        <f t="shared" si="665"/>
        <v>2052</v>
      </c>
      <c r="C2805" s="33" t="s">
        <v>23</v>
      </c>
      <c r="D2805" s="34" t="s">
        <v>1999</v>
      </c>
      <c r="E2805" s="35" t="str">
        <f t="shared" si="663"/>
        <v>PSDP'!</v>
      </c>
      <c r="F2805" s="34" t="str">
        <f t="shared" si="664"/>
        <v>C:\Users\jaime.benazar\Quorum Business Solutions\Ecopetrol Prometeo - Documents\Planning Space Implementation\3. Analysis &amp; Design\Design\FC22\DRR Jaime\QUIFA-CAJÚA\Cajua\[CAJUA_CF_SEC_New_27-Feb-2024Rev3.xlsx]D-PSDP'!</v>
      </c>
      <c r="G2805" s="32" t="s">
        <v>116</v>
      </c>
      <c r="H2805" s="33"/>
      <c r="I2805" s="33"/>
      <c r="J2805" s="37"/>
    </row>
    <row r="2806" spans="1:10" x14ac:dyDescent="0.25">
      <c r="A2806" s="32" t="s">
        <v>102</v>
      </c>
      <c r="B2806" s="32">
        <f t="shared" si="665"/>
        <v>2053</v>
      </c>
      <c r="C2806" s="33" t="s">
        <v>23</v>
      </c>
      <c r="D2806" s="34" t="s">
        <v>1999</v>
      </c>
      <c r="E2806" s="35" t="str">
        <f t="shared" si="663"/>
        <v>PSDP'!</v>
      </c>
      <c r="F2806" s="34" t="str">
        <f t="shared" si="664"/>
        <v>C:\Users\jaime.benazar\Quorum Business Solutions\Ecopetrol Prometeo - Documents\Planning Space Implementation\3. Analysis &amp; Design\Design\FC22\DRR Jaime\QUIFA-CAJÚA\Cajua\[CAJUA_CF_SEC_New_27-Feb-2024Rev3.xlsx]D-PSDP'!</v>
      </c>
      <c r="G2806" s="32" t="s">
        <v>116</v>
      </c>
      <c r="H2806" s="33"/>
      <c r="I2806" s="33"/>
      <c r="J2806" s="37"/>
    </row>
    <row r="2807" spans="1:10" x14ac:dyDescent="0.25">
      <c r="A2807" s="32" t="s">
        <v>102</v>
      </c>
      <c r="B2807" s="32">
        <f t="shared" si="665"/>
        <v>2054</v>
      </c>
      <c r="C2807" s="33" t="s">
        <v>23</v>
      </c>
      <c r="D2807" s="34" t="s">
        <v>1999</v>
      </c>
      <c r="E2807" s="35" t="str">
        <f t="shared" si="663"/>
        <v>PSDP'!</v>
      </c>
      <c r="F2807" s="34" t="str">
        <f t="shared" si="664"/>
        <v>C:\Users\jaime.benazar\Quorum Business Solutions\Ecopetrol Prometeo - Documents\Planning Space Implementation\3. Analysis &amp; Design\Design\FC22\DRR Jaime\QUIFA-CAJÚA\Cajua\[CAJUA_CF_SEC_New_27-Feb-2024Rev3.xlsx]D-PSDP'!</v>
      </c>
      <c r="G2807" s="32" t="s">
        <v>116</v>
      </c>
      <c r="H2807" s="33"/>
      <c r="I2807" s="33"/>
      <c r="J2807" s="37"/>
    </row>
    <row r="2808" spans="1:10" x14ac:dyDescent="0.25">
      <c r="A2808" s="32" t="s">
        <v>102</v>
      </c>
      <c r="B2808" s="32">
        <f t="shared" si="665"/>
        <v>2055</v>
      </c>
      <c r="C2808" s="33" t="s">
        <v>23</v>
      </c>
      <c r="D2808" s="34" t="s">
        <v>1999</v>
      </c>
      <c r="E2808" s="35" t="str">
        <f t="shared" si="663"/>
        <v>PSDP'!</v>
      </c>
      <c r="F2808" s="34" t="str">
        <f t="shared" si="664"/>
        <v>C:\Users\jaime.benazar\Quorum Business Solutions\Ecopetrol Prometeo - Documents\Planning Space Implementation\3. Analysis &amp; Design\Design\FC22\DRR Jaime\QUIFA-CAJÚA\Cajua\[CAJUA_CF_SEC_New_27-Feb-2024Rev3.xlsx]D-PSDP'!</v>
      </c>
      <c r="G2808" s="32" t="s">
        <v>116</v>
      </c>
      <c r="H2808" s="33"/>
      <c r="I2808" s="33"/>
      <c r="J2808" s="37"/>
    </row>
    <row r="2809" spans="1:10" x14ac:dyDescent="0.25">
      <c r="A2809" s="32" t="s">
        <v>102</v>
      </c>
      <c r="B2809" s="32">
        <f t="shared" si="665"/>
        <v>2056</v>
      </c>
      <c r="C2809" s="33" t="s">
        <v>23</v>
      </c>
      <c r="D2809" s="34" t="s">
        <v>1999</v>
      </c>
      <c r="E2809" s="35" t="str">
        <f t="shared" si="663"/>
        <v>PSDP'!</v>
      </c>
      <c r="F2809" s="34" t="str">
        <f t="shared" si="664"/>
        <v>C:\Users\jaime.benazar\Quorum Business Solutions\Ecopetrol Prometeo - Documents\Planning Space Implementation\3. Analysis &amp; Design\Design\FC22\DRR Jaime\QUIFA-CAJÚA\Cajua\[CAJUA_CF_SEC_New_27-Feb-2024Rev3.xlsx]D-PSDP'!</v>
      </c>
      <c r="G2809" s="32" t="s">
        <v>116</v>
      </c>
      <c r="H2809" s="33"/>
      <c r="I2809" s="33"/>
      <c r="J2809" s="37"/>
    </row>
    <row r="2810" spans="1:10" x14ac:dyDescent="0.25">
      <c r="A2810" s="32" t="s">
        <v>102</v>
      </c>
      <c r="B2810" s="32">
        <f t="shared" si="665"/>
        <v>2057</v>
      </c>
      <c r="C2810" s="33" t="s">
        <v>23</v>
      </c>
      <c r="D2810" s="34" t="s">
        <v>1999</v>
      </c>
      <c r="E2810" s="35" t="str">
        <f t="shared" si="663"/>
        <v>PSDP'!</v>
      </c>
      <c r="F2810" s="34" t="str">
        <f t="shared" si="664"/>
        <v>C:\Users\jaime.benazar\Quorum Business Solutions\Ecopetrol Prometeo - Documents\Planning Space Implementation\3. Analysis &amp; Design\Design\FC22\DRR Jaime\QUIFA-CAJÚA\Cajua\[CAJUA_CF_SEC_New_27-Feb-2024Rev3.xlsx]D-PSDP'!</v>
      </c>
      <c r="G2810" s="32" t="s">
        <v>116</v>
      </c>
      <c r="H2810" s="33"/>
      <c r="I2810" s="33"/>
      <c r="J2810" s="37"/>
    </row>
    <row r="2811" spans="1:10" x14ac:dyDescent="0.25">
      <c r="A2811" s="32" t="s">
        <v>102</v>
      </c>
      <c r="B2811" s="32">
        <f t="shared" si="665"/>
        <v>2058</v>
      </c>
      <c r="C2811" s="33" t="s">
        <v>23</v>
      </c>
      <c r="D2811" s="34" t="s">
        <v>1999</v>
      </c>
      <c r="E2811" s="35" t="str">
        <f t="shared" si="663"/>
        <v>PSDP'!</v>
      </c>
      <c r="F2811" s="34" t="str">
        <f t="shared" si="664"/>
        <v>C:\Users\jaime.benazar\Quorum Business Solutions\Ecopetrol Prometeo - Documents\Planning Space Implementation\3. Analysis &amp; Design\Design\FC22\DRR Jaime\QUIFA-CAJÚA\Cajua\[CAJUA_CF_SEC_New_27-Feb-2024Rev3.xlsx]D-PSDP'!</v>
      </c>
      <c r="G2811" s="32" t="s">
        <v>116</v>
      </c>
      <c r="H2811" s="33"/>
      <c r="I2811" s="33"/>
      <c r="J2811" s="37"/>
    </row>
    <row r="2812" spans="1:10" x14ac:dyDescent="0.25">
      <c r="A2812" s="32" t="s">
        <v>102</v>
      </c>
      <c r="B2812" s="32">
        <f t="shared" si="665"/>
        <v>2059</v>
      </c>
      <c r="C2812" s="33" t="s">
        <v>23</v>
      </c>
      <c r="D2812" s="34" t="s">
        <v>1999</v>
      </c>
      <c r="E2812" s="35" t="str">
        <f t="shared" si="663"/>
        <v>PSDP'!</v>
      </c>
      <c r="F2812" s="34" t="str">
        <f t="shared" si="664"/>
        <v>C:\Users\jaime.benazar\Quorum Business Solutions\Ecopetrol Prometeo - Documents\Planning Space Implementation\3. Analysis &amp; Design\Design\FC22\DRR Jaime\QUIFA-CAJÚA\Cajua\[CAJUA_CF_SEC_New_27-Feb-2024Rev3.xlsx]D-PSDP'!</v>
      </c>
      <c r="G2812" s="32" t="s">
        <v>116</v>
      </c>
      <c r="H2812" s="33"/>
      <c r="I2812" s="33"/>
      <c r="J2812" s="37"/>
    </row>
    <row r="2813" spans="1:10" x14ac:dyDescent="0.25">
      <c r="A2813" s="32" t="s">
        <v>28</v>
      </c>
      <c r="B2813" s="32"/>
      <c r="C2813" s="33" t="s">
        <v>23</v>
      </c>
      <c r="D2813" s="34"/>
      <c r="E2813" s="35"/>
      <c r="F2813" s="34"/>
      <c r="G2813" s="32"/>
      <c r="H2813" s="33"/>
      <c r="I2813" s="33"/>
      <c r="J2813" s="33"/>
    </row>
    <row r="2814" spans="1:10" x14ac:dyDescent="0.25">
      <c r="A2814" s="32" t="s">
        <v>103</v>
      </c>
      <c r="B2814" s="32">
        <v>2023</v>
      </c>
      <c r="C2814" s="33" t="s">
        <v>23</v>
      </c>
      <c r="D2814" s="34" t="s">
        <v>1999</v>
      </c>
      <c r="E2814" s="35" t="str">
        <f t="shared" ref="E2814:E2834" si="666">_xlfn.CONCAT(A2814,"'!")</f>
        <v>PSNP'!</v>
      </c>
      <c r="F2814" s="34" t="str">
        <f t="shared" ref="F2814:F2834" si="667">_xlfn.CONCAT(D2814:E2814)</f>
        <v>C:\Users\jaime.benazar\Quorum Business Solutions\Ecopetrol Prometeo - Documents\Planning Space Implementation\3. Analysis &amp; Design\Design\FC22\DRR Jaime\QUIFA-CAJÚA\Cajua\[CAJUA_CF_SEC_New_27-Feb-2024Rev3.xlsx]D-PSNP'!</v>
      </c>
      <c r="G2814" s="32" t="s">
        <v>116</v>
      </c>
      <c r="H2814" s="33"/>
      <c r="I2814" s="33"/>
      <c r="J2814" s="37"/>
    </row>
    <row r="2815" spans="1:10" x14ac:dyDescent="0.25">
      <c r="A2815" s="32" t="s">
        <v>103</v>
      </c>
      <c r="B2815" s="32">
        <f>+B2814+1</f>
        <v>2024</v>
      </c>
      <c r="C2815" s="33" t="s">
        <v>23</v>
      </c>
      <c r="D2815" s="34" t="s">
        <v>1999</v>
      </c>
      <c r="E2815" s="35" t="str">
        <f t="shared" si="666"/>
        <v>PSNP'!</v>
      </c>
      <c r="F2815" s="34" t="str">
        <f t="shared" si="667"/>
        <v>C:\Users\jaime.benazar\Quorum Business Solutions\Ecopetrol Prometeo - Documents\Planning Space Implementation\3. Analysis &amp; Design\Design\FC22\DRR Jaime\QUIFA-CAJÚA\Cajua\[CAJUA_CF_SEC_New_27-Feb-2024Rev3.xlsx]D-PSNP'!</v>
      </c>
      <c r="G2815" s="32" t="s">
        <v>116</v>
      </c>
      <c r="H2815" s="33"/>
      <c r="I2815" s="33"/>
      <c r="J2815" s="37"/>
    </row>
    <row r="2816" spans="1:10" x14ac:dyDescent="0.25">
      <c r="A2816" s="32" t="s">
        <v>103</v>
      </c>
      <c r="B2816" s="32">
        <f t="shared" ref="B2816:B2827" si="668">+B2815+1</f>
        <v>2025</v>
      </c>
      <c r="C2816" s="33" t="s">
        <v>23</v>
      </c>
      <c r="D2816" s="34" t="s">
        <v>1999</v>
      </c>
      <c r="E2816" s="35" t="str">
        <f t="shared" si="666"/>
        <v>PSNP'!</v>
      </c>
      <c r="F2816" s="34" t="str">
        <f t="shared" si="667"/>
        <v>C:\Users\jaime.benazar\Quorum Business Solutions\Ecopetrol Prometeo - Documents\Planning Space Implementation\3. Analysis &amp; Design\Design\FC22\DRR Jaime\QUIFA-CAJÚA\Cajua\[CAJUA_CF_SEC_New_27-Feb-2024Rev3.xlsx]D-PSNP'!</v>
      </c>
      <c r="G2816" s="32" t="s">
        <v>116</v>
      </c>
      <c r="H2816" s="33"/>
      <c r="I2816" s="33"/>
      <c r="J2816" s="37"/>
    </row>
    <row r="2817" spans="1:10" x14ac:dyDescent="0.25">
      <c r="A2817" s="32" t="s">
        <v>103</v>
      </c>
      <c r="B2817" s="32">
        <f t="shared" si="668"/>
        <v>2026</v>
      </c>
      <c r="C2817" s="33" t="s">
        <v>23</v>
      </c>
      <c r="D2817" s="34" t="s">
        <v>1999</v>
      </c>
      <c r="E2817" s="35" t="str">
        <f t="shared" si="666"/>
        <v>PSNP'!</v>
      </c>
      <c r="F2817" s="34" t="str">
        <f t="shared" si="667"/>
        <v>C:\Users\jaime.benazar\Quorum Business Solutions\Ecopetrol Prometeo - Documents\Planning Space Implementation\3. Analysis &amp; Design\Design\FC22\DRR Jaime\QUIFA-CAJÚA\Cajua\[CAJUA_CF_SEC_New_27-Feb-2024Rev3.xlsx]D-PSNP'!</v>
      </c>
      <c r="G2817" s="32" t="s">
        <v>116</v>
      </c>
      <c r="H2817" s="33"/>
      <c r="I2817" s="33"/>
      <c r="J2817" s="37"/>
    </row>
    <row r="2818" spans="1:10" x14ac:dyDescent="0.25">
      <c r="A2818" s="32" t="s">
        <v>103</v>
      </c>
      <c r="B2818" s="32">
        <f t="shared" si="668"/>
        <v>2027</v>
      </c>
      <c r="C2818" s="33" t="s">
        <v>23</v>
      </c>
      <c r="D2818" s="34" t="s">
        <v>1999</v>
      </c>
      <c r="E2818" s="35" t="str">
        <f t="shared" si="666"/>
        <v>PSNP'!</v>
      </c>
      <c r="F2818" s="34" t="str">
        <f t="shared" si="667"/>
        <v>C:\Users\jaime.benazar\Quorum Business Solutions\Ecopetrol Prometeo - Documents\Planning Space Implementation\3. Analysis &amp; Design\Design\FC22\DRR Jaime\QUIFA-CAJÚA\Cajua\[CAJUA_CF_SEC_New_27-Feb-2024Rev3.xlsx]D-PSNP'!</v>
      </c>
      <c r="G2818" s="32" t="s">
        <v>116</v>
      </c>
      <c r="H2818" s="33"/>
      <c r="I2818" s="33"/>
      <c r="J2818" s="37"/>
    </row>
    <row r="2819" spans="1:10" x14ac:dyDescent="0.25">
      <c r="A2819" s="32" t="s">
        <v>103</v>
      </c>
      <c r="B2819" s="32">
        <f t="shared" si="668"/>
        <v>2028</v>
      </c>
      <c r="C2819" s="33" t="s">
        <v>23</v>
      </c>
      <c r="D2819" s="34" t="s">
        <v>1999</v>
      </c>
      <c r="E2819" s="35" t="str">
        <f t="shared" si="666"/>
        <v>PSNP'!</v>
      </c>
      <c r="F2819" s="34" t="str">
        <f t="shared" si="667"/>
        <v>C:\Users\jaime.benazar\Quorum Business Solutions\Ecopetrol Prometeo - Documents\Planning Space Implementation\3. Analysis &amp; Design\Design\FC22\DRR Jaime\QUIFA-CAJÚA\Cajua\[CAJUA_CF_SEC_New_27-Feb-2024Rev3.xlsx]D-PSNP'!</v>
      </c>
      <c r="G2819" s="32" t="s">
        <v>116</v>
      </c>
      <c r="H2819" s="33"/>
      <c r="I2819" s="33"/>
      <c r="J2819" s="37"/>
    </row>
    <row r="2820" spans="1:10" x14ac:dyDescent="0.25">
      <c r="A2820" s="32" t="s">
        <v>103</v>
      </c>
      <c r="B2820" s="32">
        <f t="shared" si="668"/>
        <v>2029</v>
      </c>
      <c r="C2820" s="33" t="s">
        <v>23</v>
      </c>
      <c r="D2820" s="34" t="s">
        <v>1999</v>
      </c>
      <c r="E2820" s="35" t="str">
        <f t="shared" si="666"/>
        <v>PSNP'!</v>
      </c>
      <c r="F2820" s="34" t="str">
        <f t="shared" si="667"/>
        <v>C:\Users\jaime.benazar\Quorum Business Solutions\Ecopetrol Prometeo - Documents\Planning Space Implementation\3. Analysis &amp; Design\Design\FC22\DRR Jaime\QUIFA-CAJÚA\Cajua\[CAJUA_CF_SEC_New_27-Feb-2024Rev3.xlsx]D-PSNP'!</v>
      </c>
      <c r="G2820" s="32" t="s">
        <v>116</v>
      </c>
      <c r="H2820" s="33"/>
      <c r="I2820" s="33"/>
      <c r="J2820" s="37"/>
    </row>
    <row r="2821" spans="1:10" x14ac:dyDescent="0.25">
      <c r="A2821" s="32" t="s">
        <v>103</v>
      </c>
      <c r="B2821" s="32">
        <f t="shared" si="668"/>
        <v>2030</v>
      </c>
      <c r="C2821" s="33" t="s">
        <v>23</v>
      </c>
      <c r="D2821" s="34" t="s">
        <v>1999</v>
      </c>
      <c r="E2821" s="35" t="str">
        <f t="shared" si="666"/>
        <v>PSNP'!</v>
      </c>
      <c r="F2821" s="34" t="str">
        <f t="shared" si="667"/>
        <v>C:\Users\jaime.benazar\Quorum Business Solutions\Ecopetrol Prometeo - Documents\Planning Space Implementation\3. Analysis &amp; Design\Design\FC22\DRR Jaime\QUIFA-CAJÚA\Cajua\[CAJUA_CF_SEC_New_27-Feb-2024Rev3.xlsx]D-PSNP'!</v>
      </c>
      <c r="G2821" s="32" t="s">
        <v>116</v>
      </c>
      <c r="H2821" s="33"/>
      <c r="I2821" s="33"/>
      <c r="J2821" s="37"/>
    </row>
    <row r="2822" spans="1:10" x14ac:dyDescent="0.25">
      <c r="A2822" s="32" t="s">
        <v>103</v>
      </c>
      <c r="B2822" s="32">
        <f t="shared" si="668"/>
        <v>2031</v>
      </c>
      <c r="C2822" s="33" t="s">
        <v>23</v>
      </c>
      <c r="D2822" s="34" t="s">
        <v>1999</v>
      </c>
      <c r="E2822" s="35" t="str">
        <f t="shared" si="666"/>
        <v>PSNP'!</v>
      </c>
      <c r="F2822" s="34" t="str">
        <f t="shared" si="667"/>
        <v>C:\Users\jaime.benazar\Quorum Business Solutions\Ecopetrol Prometeo - Documents\Planning Space Implementation\3. Analysis &amp; Design\Design\FC22\DRR Jaime\QUIFA-CAJÚA\Cajua\[CAJUA_CF_SEC_New_27-Feb-2024Rev3.xlsx]D-PSNP'!</v>
      </c>
      <c r="G2822" s="32" t="s">
        <v>116</v>
      </c>
      <c r="H2822" s="33"/>
      <c r="I2822" s="33"/>
      <c r="J2822" s="37"/>
    </row>
    <row r="2823" spans="1:10" x14ac:dyDescent="0.25">
      <c r="A2823" s="32" t="s">
        <v>103</v>
      </c>
      <c r="B2823" s="32">
        <f t="shared" si="668"/>
        <v>2032</v>
      </c>
      <c r="C2823" s="33" t="s">
        <v>23</v>
      </c>
      <c r="D2823" s="34" t="s">
        <v>1999</v>
      </c>
      <c r="E2823" s="35" t="str">
        <f t="shared" si="666"/>
        <v>PSNP'!</v>
      </c>
      <c r="F2823" s="34" t="str">
        <f t="shared" si="667"/>
        <v>C:\Users\jaime.benazar\Quorum Business Solutions\Ecopetrol Prometeo - Documents\Planning Space Implementation\3. Analysis &amp; Design\Design\FC22\DRR Jaime\QUIFA-CAJÚA\Cajua\[CAJUA_CF_SEC_New_27-Feb-2024Rev3.xlsx]D-PSNP'!</v>
      </c>
      <c r="G2823" s="32" t="s">
        <v>116</v>
      </c>
      <c r="H2823" s="33"/>
      <c r="I2823" s="33"/>
      <c r="J2823" s="37"/>
    </row>
    <row r="2824" spans="1:10" x14ac:dyDescent="0.25">
      <c r="A2824" s="32" t="s">
        <v>103</v>
      </c>
      <c r="B2824" s="32">
        <f t="shared" si="668"/>
        <v>2033</v>
      </c>
      <c r="C2824" s="33" t="s">
        <v>23</v>
      </c>
      <c r="D2824" s="34" t="s">
        <v>1999</v>
      </c>
      <c r="E2824" s="35" t="str">
        <f t="shared" si="666"/>
        <v>PSNP'!</v>
      </c>
      <c r="F2824" s="34" t="str">
        <f t="shared" si="667"/>
        <v>C:\Users\jaime.benazar\Quorum Business Solutions\Ecopetrol Prometeo - Documents\Planning Space Implementation\3. Analysis &amp; Design\Design\FC22\DRR Jaime\QUIFA-CAJÚA\Cajua\[CAJUA_CF_SEC_New_27-Feb-2024Rev3.xlsx]D-PSNP'!</v>
      </c>
      <c r="G2824" s="32" t="s">
        <v>116</v>
      </c>
      <c r="H2824" s="33"/>
      <c r="I2824" s="33"/>
      <c r="J2824" s="37"/>
    </row>
    <row r="2825" spans="1:10" x14ac:dyDescent="0.25">
      <c r="A2825" s="32" t="s">
        <v>103</v>
      </c>
      <c r="B2825" s="32">
        <f t="shared" si="668"/>
        <v>2034</v>
      </c>
      <c r="C2825" s="33" t="s">
        <v>23</v>
      </c>
      <c r="D2825" s="34" t="s">
        <v>1999</v>
      </c>
      <c r="E2825" s="35" t="str">
        <f t="shared" si="666"/>
        <v>PSNP'!</v>
      </c>
      <c r="F2825" s="34" t="str">
        <f t="shared" si="667"/>
        <v>C:\Users\jaime.benazar\Quorum Business Solutions\Ecopetrol Prometeo - Documents\Planning Space Implementation\3. Analysis &amp; Design\Design\FC22\DRR Jaime\QUIFA-CAJÚA\Cajua\[CAJUA_CF_SEC_New_27-Feb-2024Rev3.xlsx]D-PSNP'!</v>
      </c>
      <c r="G2825" s="32" t="s">
        <v>116</v>
      </c>
      <c r="H2825" s="33"/>
      <c r="I2825" s="33"/>
      <c r="J2825" s="37"/>
    </row>
    <row r="2826" spans="1:10" x14ac:dyDescent="0.25">
      <c r="A2826" s="32" t="s">
        <v>103</v>
      </c>
      <c r="B2826" s="32">
        <f t="shared" si="668"/>
        <v>2035</v>
      </c>
      <c r="C2826" s="33" t="s">
        <v>23</v>
      </c>
      <c r="D2826" s="34" t="s">
        <v>1999</v>
      </c>
      <c r="E2826" s="35" t="str">
        <f t="shared" si="666"/>
        <v>PSNP'!</v>
      </c>
      <c r="F2826" s="34" t="str">
        <f t="shared" si="667"/>
        <v>C:\Users\jaime.benazar\Quorum Business Solutions\Ecopetrol Prometeo - Documents\Planning Space Implementation\3. Analysis &amp; Design\Design\FC22\DRR Jaime\QUIFA-CAJÚA\Cajua\[CAJUA_CF_SEC_New_27-Feb-2024Rev3.xlsx]D-PSNP'!</v>
      </c>
      <c r="G2826" s="32" t="s">
        <v>116</v>
      </c>
      <c r="H2826" s="33"/>
      <c r="I2826" s="33"/>
      <c r="J2826" s="37"/>
    </row>
    <row r="2827" spans="1:10" x14ac:dyDescent="0.25">
      <c r="A2827" s="32" t="s">
        <v>103</v>
      </c>
      <c r="B2827" s="32">
        <f t="shared" si="668"/>
        <v>2036</v>
      </c>
      <c r="C2827" s="33" t="s">
        <v>23</v>
      </c>
      <c r="D2827" s="34" t="s">
        <v>1999</v>
      </c>
      <c r="E2827" s="35" t="str">
        <f t="shared" si="666"/>
        <v>PSNP'!</v>
      </c>
      <c r="F2827" s="34" t="str">
        <f t="shared" si="667"/>
        <v>C:\Users\jaime.benazar\Quorum Business Solutions\Ecopetrol Prometeo - Documents\Planning Space Implementation\3. Analysis &amp; Design\Design\FC22\DRR Jaime\QUIFA-CAJÚA\Cajua\[CAJUA_CF_SEC_New_27-Feb-2024Rev3.xlsx]D-PSNP'!</v>
      </c>
      <c r="G2827" s="32" t="s">
        <v>116</v>
      </c>
      <c r="H2827" s="33"/>
      <c r="I2827" s="33"/>
      <c r="J2827" s="37"/>
    </row>
    <row r="2828" spans="1:10" x14ac:dyDescent="0.25">
      <c r="A2828" s="32" t="s">
        <v>103</v>
      </c>
      <c r="B2828" s="32">
        <f>+B2827+1</f>
        <v>2037</v>
      </c>
      <c r="C2828" s="33" t="s">
        <v>23</v>
      </c>
      <c r="D2828" s="34" t="s">
        <v>1999</v>
      </c>
      <c r="E2828" s="35" t="str">
        <f t="shared" si="666"/>
        <v>PSNP'!</v>
      </c>
      <c r="F2828" s="34" t="str">
        <f t="shared" si="667"/>
        <v>C:\Users\jaime.benazar\Quorum Business Solutions\Ecopetrol Prometeo - Documents\Planning Space Implementation\3. Analysis &amp; Design\Design\FC22\DRR Jaime\QUIFA-CAJÚA\Cajua\[CAJUA_CF_SEC_New_27-Feb-2024Rev3.xlsx]D-PSNP'!</v>
      </c>
      <c r="G2828" s="32" t="s">
        <v>116</v>
      </c>
      <c r="H2828" s="33"/>
      <c r="I2828" s="33"/>
      <c r="J2828" s="37"/>
    </row>
    <row r="2829" spans="1:10" x14ac:dyDescent="0.25">
      <c r="A2829" s="32" t="s">
        <v>103</v>
      </c>
      <c r="B2829" s="32">
        <f t="shared" ref="B2829:B2831" si="669">+B2828+1</f>
        <v>2038</v>
      </c>
      <c r="C2829" s="33" t="s">
        <v>23</v>
      </c>
      <c r="D2829" s="34" t="s">
        <v>1999</v>
      </c>
      <c r="E2829" s="35" t="str">
        <f t="shared" si="666"/>
        <v>PSNP'!</v>
      </c>
      <c r="F2829" s="34" t="str">
        <f t="shared" si="667"/>
        <v>C:\Users\jaime.benazar\Quorum Business Solutions\Ecopetrol Prometeo - Documents\Planning Space Implementation\3. Analysis &amp; Design\Design\FC22\DRR Jaime\QUIFA-CAJÚA\Cajua\[CAJUA_CF_SEC_New_27-Feb-2024Rev3.xlsx]D-PSNP'!</v>
      </c>
      <c r="G2829" s="32" t="s">
        <v>116</v>
      </c>
      <c r="H2829" s="33"/>
      <c r="I2829" s="33"/>
      <c r="J2829" s="37"/>
    </row>
    <row r="2830" spans="1:10" x14ac:dyDescent="0.25">
      <c r="A2830" s="32" t="s">
        <v>103</v>
      </c>
      <c r="B2830" s="32">
        <f t="shared" si="669"/>
        <v>2039</v>
      </c>
      <c r="C2830" s="33" t="s">
        <v>23</v>
      </c>
      <c r="D2830" s="34" t="s">
        <v>1999</v>
      </c>
      <c r="E2830" s="35" t="str">
        <f t="shared" si="666"/>
        <v>PSNP'!</v>
      </c>
      <c r="F2830" s="34" t="str">
        <f t="shared" si="667"/>
        <v>C:\Users\jaime.benazar\Quorum Business Solutions\Ecopetrol Prometeo - Documents\Planning Space Implementation\3. Analysis &amp; Design\Design\FC22\DRR Jaime\QUIFA-CAJÚA\Cajua\[CAJUA_CF_SEC_New_27-Feb-2024Rev3.xlsx]D-PSNP'!</v>
      </c>
      <c r="G2830" s="32" t="s">
        <v>116</v>
      </c>
      <c r="H2830" s="33"/>
      <c r="I2830" s="33"/>
      <c r="J2830" s="37"/>
    </row>
    <row r="2831" spans="1:10" x14ac:dyDescent="0.25">
      <c r="A2831" s="32" t="s">
        <v>103</v>
      </c>
      <c r="B2831" s="32">
        <f t="shared" si="669"/>
        <v>2040</v>
      </c>
      <c r="C2831" s="33" t="s">
        <v>23</v>
      </c>
      <c r="D2831" s="34" t="s">
        <v>1999</v>
      </c>
      <c r="E2831" s="35" t="str">
        <f t="shared" si="666"/>
        <v>PSNP'!</v>
      </c>
      <c r="F2831" s="34" t="str">
        <f t="shared" si="667"/>
        <v>C:\Users\jaime.benazar\Quorum Business Solutions\Ecopetrol Prometeo - Documents\Planning Space Implementation\3. Analysis &amp; Design\Design\FC22\DRR Jaime\QUIFA-CAJÚA\Cajua\[CAJUA_CF_SEC_New_27-Feb-2024Rev3.xlsx]D-PSNP'!</v>
      </c>
      <c r="G2831" s="32" t="s">
        <v>116</v>
      </c>
      <c r="H2831" s="33"/>
      <c r="I2831" s="33"/>
      <c r="J2831" s="37"/>
    </row>
    <row r="2832" spans="1:10" x14ac:dyDescent="0.25">
      <c r="A2832" s="32" t="s">
        <v>103</v>
      </c>
      <c r="B2832" s="32">
        <f>+B2831+1</f>
        <v>2041</v>
      </c>
      <c r="C2832" s="33" t="s">
        <v>23</v>
      </c>
      <c r="D2832" s="34" t="s">
        <v>1999</v>
      </c>
      <c r="E2832" s="35" t="str">
        <f t="shared" si="666"/>
        <v>PSNP'!</v>
      </c>
      <c r="F2832" s="34" t="str">
        <f t="shared" si="667"/>
        <v>C:\Users\jaime.benazar\Quorum Business Solutions\Ecopetrol Prometeo - Documents\Planning Space Implementation\3. Analysis &amp; Design\Design\FC22\DRR Jaime\QUIFA-CAJÚA\Cajua\[CAJUA_CF_SEC_New_27-Feb-2024Rev3.xlsx]D-PSNP'!</v>
      </c>
      <c r="G2832" s="32" t="s">
        <v>116</v>
      </c>
      <c r="H2832" s="33"/>
      <c r="I2832" s="33"/>
      <c r="J2832" s="37"/>
    </row>
    <row r="2833" spans="1:10" x14ac:dyDescent="0.25">
      <c r="A2833" s="32" t="s">
        <v>103</v>
      </c>
      <c r="B2833" s="32">
        <f t="shared" ref="B2833:B2834" si="670">+B2832+1</f>
        <v>2042</v>
      </c>
      <c r="C2833" s="33" t="s">
        <v>23</v>
      </c>
      <c r="D2833" s="34" t="s">
        <v>1999</v>
      </c>
      <c r="E2833" s="35" t="str">
        <f t="shared" si="666"/>
        <v>PSNP'!</v>
      </c>
      <c r="F2833" s="34" t="str">
        <f t="shared" si="667"/>
        <v>C:\Users\jaime.benazar\Quorum Business Solutions\Ecopetrol Prometeo - Documents\Planning Space Implementation\3. Analysis &amp; Design\Design\FC22\DRR Jaime\QUIFA-CAJÚA\Cajua\[CAJUA_CF_SEC_New_27-Feb-2024Rev3.xlsx]D-PSNP'!</v>
      </c>
      <c r="G2833" s="32" t="s">
        <v>116</v>
      </c>
      <c r="H2833" s="33"/>
      <c r="I2833" s="33"/>
      <c r="J2833" s="37"/>
    </row>
    <row r="2834" spans="1:10" x14ac:dyDescent="0.25">
      <c r="A2834" s="32" t="s">
        <v>103</v>
      </c>
      <c r="B2834" s="32">
        <f t="shared" si="670"/>
        <v>2043</v>
      </c>
      <c r="C2834" s="33" t="s">
        <v>23</v>
      </c>
      <c r="D2834" s="34" t="s">
        <v>1999</v>
      </c>
      <c r="E2834" s="35" t="str">
        <f t="shared" si="666"/>
        <v>PSNP'!</v>
      </c>
      <c r="F2834" s="34" t="str">
        <f t="shared" si="667"/>
        <v>C:\Users\jaime.benazar\Quorum Business Solutions\Ecopetrol Prometeo - Documents\Planning Space Implementation\3. Analysis &amp; Design\Design\FC22\DRR Jaime\QUIFA-CAJÚA\Cajua\[CAJUA_CF_SEC_New_27-Feb-2024Rev3.xlsx]D-PSNP'!</v>
      </c>
      <c r="G2834" s="32" t="s">
        <v>116</v>
      </c>
      <c r="H2834" s="33"/>
      <c r="I2834" s="33"/>
      <c r="J2834" s="37"/>
    </row>
    <row r="2835" spans="1:10" x14ac:dyDescent="0.25">
      <c r="A2835" s="32" t="s">
        <v>103</v>
      </c>
      <c r="B2835" s="32">
        <f>+B2834+1</f>
        <v>2044</v>
      </c>
      <c r="C2835" s="33" t="s">
        <v>23</v>
      </c>
      <c r="D2835" s="34" t="s">
        <v>1999</v>
      </c>
      <c r="E2835" s="35" t="str">
        <f t="shared" ref="E2835:E2850" si="671">_xlfn.CONCAT(A2835,"'!")</f>
        <v>PSNP'!</v>
      </c>
      <c r="F2835" s="34" t="str">
        <f t="shared" ref="F2835:F2850" si="672">_xlfn.CONCAT(D2835:E2835)</f>
        <v>C:\Users\jaime.benazar\Quorum Business Solutions\Ecopetrol Prometeo - Documents\Planning Space Implementation\3. Analysis &amp; Design\Design\FC22\DRR Jaime\QUIFA-CAJÚA\Cajua\[CAJUA_CF_SEC_New_27-Feb-2024Rev3.xlsx]D-PSNP'!</v>
      </c>
      <c r="G2835" s="32" t="s">
        <v>116</v>
      </c>
      <c r="H2835" s="33"/>
      <c r="I2835" s="33"/>
      <c r="J2835" s="37"/>
    </row>
    <row r="2836" spans="1:10" x14ac:dyDescent="0.25">
      <c r="A2836" s="32" t="s">
        <v>103</v>
      </c>
      <c r="B2836" s="32">
        <f t="shared" ref="B2836:B2850" si="673">+B2835+1</f>
        <v>2045</v>
      </c>
      <c r="C2836" s="33" t="s">
        <v>23</v>
      </c>
      <c r="D2836" s="34" t="s">
        <v>1999</v>
      </c>
      <c r="E2836" s="35" t="str">
        <f t="shared" si="671"/>
        <v>PSNP'!</v>
      </c>
      <c r="F2836" s="34" t="str">
        <f t="shared" si="672"/>
        <v>C:\Users\jaime.benazar\Quorum Business Solutions\Ecopetrol Prometeo - Documents\Planning Space Implementation\3. Analysis &amp; Design\Design\FC22\DRR Jaime\QUIFA-CAJÚA\Cajua\[CAJUA_CF_SEC_New_27-Feb-2024Rev3.xlsx]D-PSNP'!</v>
      </c>
      <c r="G2836" s="32" t="s">
        <v>116</v>
      </c>
      <c r="H2836" s="33"/>
      <c r="I2836" s="33"/>
      <c r="J2836" s="37"/>
    </row>
    <row r="2837" spans="1:10" x14ac:dyDescent="0.25">
      <c r="A2837" s="32" t="s">
        <v>103</v>
      </c>
      <c r="B2837" s="32">
        <f t="shared" si="673"/>
        <v>2046</v>
      </c>
      <c r="C2837" s="33" t="s">
        <v>23</v>
      </c>
      <c r="D2837" s="34" t="s">
        <v>1999</v>
      </c>
      <c r="E2837" s="35" t="str">
        <f t="shared" si="671"/>
        <v>PSNP'!</v>
      </c>
      <c r="F2837" s="34" t="str">
        <f t="shared" si="672"/>
        <v>C:\Users\jaime.benazar\Quorum Business Solutions\Ecopetrol Prometeo - Documents\Planning Space Implementation\3. Analysis &amp; Design\Design\FC22\DRR Jaime\QUIFA-CAJÚA\Cajua\[CAJUA_CF_SEC_New_27-Feb-2024Rev3.xlsx]D-PSNP'!</v>
      </c>
      <c r="G2837" s="32" t="s">
        <v>116</v>
      </c>
      <c r="H2837" s="33"/>
      <c r="I2837" s="33"/>
      <c r="J2837" s="37"/>
    </row>
    <row r="2838" spans="1:10" x14ac:dyDescent="0.25">
      <c r="A2838" s="32" t="s">
        <v>103</v>
      </c>
      <c r="B2838" s="32">
        <f t="shared" si="673"/>
        <v>2047</v>
      </c>
      <c r="C2838" s="33" t="s">
        <v>23</v>
      </c>
      <c r="D2838" s="34" t="s">
        <v>1999</v>
      </c>
      <c r="E2838" s="35" t="str">
        <f t="shared" si="671"/>
        <v>PSNP'!</v>
      </c>
      <c r="F2838" s="34" t="str">
        <f t="shared" si="672"/>
        <v>C:\Users\jaime.benazar\Quorum Business Solutions\Ecopetrol Prometeo - Documents\Planning Space Implementation\3. Analysis &amp; Design\Design\FC22\DRR Jaime\QUIFA-CAJÚA\Cajua\[CAJUA_CF_SEC_New_27-Feb-2024Rev3.xlsx]D-PSNP'!</v>
      </c>
      <c r="G2838" s="32" t="s">
        <v>116</v>
      </c>
      <c r="H2838" s="33"/>
      <c r="I2838" s="33"/>
      <c r="J2838" s="37"/>
    </row>
    <row r="2839" spans="1:10" x14ac:dyDescent="0.25">
      <c r="A2839" s="32" t="s">
        <v>103</v>
      </c>
      <c r="B2839" s="32">
        <f t="shared" si="673"/>
        <v>2048</v>
      </c>
      <c r="C2839" s="33" t="s">
        <v>23</v>
      </c>
      <c r="D2839" s="34" t="s">
        <v>1999</v>
      </c>
      <c r="E2839" s="35" t="str">
        <f t="shared" si="671"/>
        <v>PSNP'!</v>
      </c>
      <c r="F2839" s="34" t="str">
        <f t="shared" si="672"/>
        <v>C:\Users\jaime.benazar\Quorum Business Solutions\Ecopetrol Prometeo - Documents\Planning Space Implementation\3. Analysis &amp; Design\Design\FC22\DRR Jaime\QUIFA-CAJÚA\Cajua\[CAJUA_CF_SEC_New_27-Feb-2024Rev3.xlsx]D-PSNP'!</v>
      </c>
      <c r="G2839" s="32" t="s">
        <v>116</v>
      </c>
      <c r="H2839" s="33"/>
      <c r="I2839" s="33"/>
      <c r="J2839" s="37"/>
    </row>
    <row r="2840" spans="1:10" x14ac:dyDescent="0.25">
      <c r="A2840" s="32" t="s">
        <v>103</v>
      </c>
      <c r="B2840" s="32">
        <f t="shared" si="673"/>
        <v>2049</v>
      </c>
      <c r="C2840" s="33" t="s">
        <v>23</v>
      </c>
      <c r="D2840" s="34" t="s">
        <v>1999</v>
      </c>
      <c r="E2840" s="35" t="str">
        <f t="shared" si="671"/>
        <v>PSNP'!</v>
      </c>
      <c r="F2840" s="34" t="str">
        <f t="shared" si="672"/>
        <v>C:\Users\jaime.benazar\Quorum Business Solutions\Ecopetrol Prometeo - Documents\Planning Space Implementation\3. Analysis &amp; Design\Design\FC22\DRR Jaime\QUIFA-CAJÚA\Cajua\[CAJUA_CF_SEC_New_27-Feb-2024Rev3.xlsx]D-PSNP'!</v>
      </c>
      <c r="G2840" s="32" t="s">
        <v>116</v>
      </c>
      <c r="H2840" s="33"/>
      <c r="I2840" s="33"/>
      <c r="J2840" s="37"/>
    </row>
    <row r="2841" spans="1:10" x14ac:dyDescent="0.25">
      <c r="A2841" s="32" t="s">
        <v>103</v>
      </c>
      <c r="B2841" s="32">
        <f t="shared" si="673"/>
        <v>2050</v>
      </c>
      <c r="C2841" s="33" t="s">
        <v>23</v>
      </c>
      <c r="D2841" s="34" t="s">
        <v>1999</v>
      </c>
      <c r="E2841" s="35" t="str">
        <f t="shared" si="671"/>
        <v>PSNP'!</v>
      </c>
      <c r="F2841" s="34" t="str">
        <f t="shared" si="672"/>
        <v>C:\Users\jaime.benazar\Quorum Business Solutions\Ecopetrol Prometeo - Documents\Planning Space Implementation\3. Analysis &amp; Design\Design\FC22\DRR Jaime\QUIFA-CAJÚA\Cajua\[CAJUA_CF_SEC_New_27-Feb-2024Rev3.xlsx]D-PSNP'!</v>
      </c>
      <c r="G2841" s="32" t="s">
        <v>116</v>
      </c>
      <c r="H2841" s="33"/>
      <c r="I2841" s="33"/>
      <c r="J2841" s="37"/>
    </row>
    <row r="2842" spans="1:10" x14ac:dyDescent="0.25">
      <c r="A2842" s="32" t="s">
        <v>103</v>
      </c>
      <c r="B2842" s="32">
        <f t="shared" si="673"/>
        <v>2051</v>
      </c>
      <c r="C2842" s="33" t="s">
        <v>23</v>
      </c>
      <c r="D2842" s="34" t="s">
        <v>1999</v>
      </c>
      <c r="E2842" s="35" t="str">
        <f t="shared" si="671"/>
        <v>PSNP'!</v>
      </c>
      <c r="F2842" s="34" t="str">
        <f t="shared" si="672"/>
        <v>C:\Users\jaime.benazar\Quorum Business Solutions\Ecopetrol Prometeo - Documents\Planning Space Implementation\3. Analysis &amp; Design\Design\FC22\DRR Jaime\QUIFA-CAJÚA\Cajua\[CAJUA_CF_SEC_New_27-Feb-2024Rev3.xlsx]D-PSNP'!</v>
      </c>
      <c r="G2842" s="32" t="s">
        <v>116</v>
      </c>
      <c r="H2842" s="33"/>
      <c r="I2842" s="33"/>
      <c r="J2842" s="37"/>
    </row>
    <row r="2843" spans="1:10" x14ac:dyDescent="0.25">
      <c r="A2843" s="32" t="s">
        <v>103</v>
      </c>
      <c r="B2843" s="32">
        <f t="shared" si="673"/>
        <v>2052</v>
      </c>
      <c r="C2843" s="33" t="s">
        <v>23</v>
      </c>
      <c r="D2843" s="34" t="s">
        <v>1999</v>
      </c>
      <c r="E2843" s="35" t="str">
        <f t="shared" si="671"/>
        <v>PSNP'!</v>
      </c>
      <c r="F2843" s="34" t="str">
        <f t="shared" si="672"/>
        <v>C:\Users\jaime.benazar\Quorum Business Solutions\Ecopetrol Prometeo - Documents\Planning Space Implementation\3. Analysis &amp; Design\Design\FC22\DRR Jaime\QUIFA-CAJÚA\Cajua\[CAJUA_CF_SEC_New_27-Feb-2024Rev3.xlsx]D-PSNP'!</v>
      </c>
      <c r="G2843" s="32" t="s">
        <v>116</v>
      </c>
      <c r="H2843" s="33"/>
      <c r="I2843" s="33"/>
      <c r="J2843" s="37"/>
    </row>
    <row r="2844" spans="1:10" x14ac:dyDescent="0.25">
      <c r="A2844" s="32" t="s">
        <v>103</v>
      </c>
      <c r="B2844" s="32">
        <f t="shared" si="673"/>
        <v>2053</v>
      </c>
      <c r="C2844" s="33" t="s">
        <v>23</v>
      </c>
      <c r="D2844" s="34" t="s">
        <v>1999</v>
      </c>
      <c r="E2844" s="35" t="str">
        <f t="shared" si="671"/>
        <v>PSNP'!</v>
      </c>
      <c r="F2844" s="34" t="str">
        <f t="shared" si="672"/>
        <v>C:\Users\jaime.benazar\Quorum Business Solutions\Ecopetrol Prometeo - Documents\Planning Space Implementation\3. Analysis &amp; Design\Design\FC22\DRR Jaime\QUIFA-CAJÚA\Cajua\[CAJUA_CF_SEC_New_27-Feb-2024Rev3.xlsx]D-PSNP'!</v>
      </c>
      <c r="G2844" s="32" t="s">
        <v>116</v>
      </c>
      <c r="H2844" s="33"/>
      <c r="I2844" s="33"/>
      <c r="J2844" s="37"/>
    </row>
    <row r="2845" spans="1:10" x14ac:dyDescent="0.25">
      <c r="A2845" s="32" t="s">
        <v>103</v>
      </c>
      <c r="B2845" s="32">
        <f t="shared" si="673"/>
        <v>2054</v>
      </c>
      <c r="C2845" s="33" t="s">
        <v>23</v>
      </c>
      <c r="D2845" s="34" t="s">
        <v>1999</v>
      </c>
      <c r="E2845" s="35" t="str">
        <f t="shared" si="671"/>
        <v>PSNP'!</v>
      </c>
      <c r="F2845" s="34" t="str">
        <f t="shared" si="672"/>
        <v>C:\Users\jaime.benazar\Quorum Business Solutions\Ecopetrol Prometeo - Documents\Planning Space Implementation\3. Analysis &amp; Design\Design\FC22\DRR Jaime\QUIFA-CAJÚA\Cajua\[CAJUA_CF_SEC_New_27-Feb-2024Rev3.xlsx]D-PSNP'!</v>
      </c>
      <c r="G2845" s="32" t="s">
        <v>116</v>
      </c>
      <c r="H2845" s="33"/>
      <c r="I2845" s="33"/>
      <c r="J2845" s="37"/>
    </row>
    <row r="2846" spans="1:10" x14ac:dyDescent="0.25">
      <c r="A2846" s="32" t="s">
        <v>103</v>
      </c>
      <c r="B2846" s="32">
        <f t="shared" si="673"/>
        <v>2055</v>
      </c>
      <c r="C2846" s="33" t="s">
        <v>23</v>
      </c>
      <c r="D2846" s="34" t="s">
        <v>1999</v>
      </c>
      <c r="E2846" s="35" t="str">
        <f t="shared" si="671"/>
        <v>PSNP'!</v>
      </c>
      <c r="F2846" s="34" t="str">
        <f t="shared" si="672"/>
        <v>C:\Users\jaime.benazar\Quorum Business Solutions\Ecopetrol Prometeo - Documents\Planning Space Implementation\3. Analysis &amp; Design\Design\FC22\DRR Jaime\QUIFA-CAJÚA\Cajua\[CAJUA_CF_SEC_New_27-Feb-2024Rev3.xlsx]D-PSNP'!</v>
      </c>
      <c r="G2846" s="32" t="s">
        <v>116</v>
      </c>
      <c r="H2846" s="33"/>
      <c r="I2846" s="33"/>
      <c r="J2846" s="37"/>
    </row>
    <row r="2847" spans="1:10" x14ac:dyDescent="0.25">
      <c r="A2847" s="32" t="s">
        <v>103</v>
      </c>
      <c r="B2847" s="32">
        <f t="shared" si="673"/>
        <v>2056</v>
      </c>
      <c r="C2847" s="33" t="s">
        <v>23</v>
      </c>
      <c r="D2847" s="34" t="s">
        <v>1999</v>
      </c>
      <c r="E2847" s="35" t="str">
        <f t="shared" si="671"/>
        <v>PSNP'!</v>
      </c>
      <c r="F2847" s="34" t="str">
        <f t="shared" si="672"/>
        <v>C:\Users\jaime.benazar\Quorum Business Solutions\Ecopetrol Prometeo - Documents\Planning Space Implementation\3. Analysis &amp; Design\Design\FC22\DRR Jaime\QUIFA-CAJÚA\Cajua\[CAJUA_CF_SEC_New_27-Feb-2024Rev3.xlsx]D-PSNP'!</v>
      </c>
      <c r="G2847" s="32" t="s">
        <v>116</v>
      </c>
      <c r="H2847" s="33"/>
      <c r="I2847" s="33"/>
      <c r="J2847" s="37"/>
    </row>
    <row r="2848" spans="1:10" x14ac:dyDescent="0.25">
      <c r="A2848" s="32" t="s">
        <v>103</v>
      </c>
      <c r="B2848" s="32">
        <f t="shared" si="673"/>
        <v>2057</v>
      </c>
      <c r="C2848" s="33" t="s">
        <v>23</v>
      </c>
      <c r="D2848" s="34" t="s">
        <v>1999</v>
      </c>
      <c r="E2848" s="35" t="str">
        <f t="shared" si="671"/>
        <v>PSNP'!</v>
      </c>
      <c r="F2848" s="34" t="str">
        <f t="shared" si="672"/>
        <v>C:\Users\jaime.benazar\Quorum Business Solutions\Ecopetrol Prometeo - Documents\Planning Space Implementation\3. Analysis &amp; Design\Design\FC22\DRR Jaime\QUIFA-CAJÚA\Cajua\[CAJUA_CF_SEC_New_27-Feb-2024Rev3.xlsx]D-PSNP'!</v>
      </c>
      <c r="G2848" s="32" t="s">
        <v>116</v>
      </c>
      <c r="H2848" s="33"/>
      <c r="I2848" s="33"/>
      <c r="J2848" s="37"/>
    </row>
    <row r="2849" spans="1:10" x14ac:dyDescent="0.25">
      <c r="A2849" s="32" t="s">
        <v>103</v>
      </c>
      <c r="B2849" s="32">
        <f t="shared" si="673"/>
        <v>2058</v>
      </c>
      <c r="C2849" s="33" t="s">
        <v>23</v>
      </c>
      <c r="D2849" s="34" t="s">
        <v>1999</v>
      </c>
      <c r="E2849" s="35" t="str">
        <f t="shared" si="671"/>
        <v>PSNP'!</v>
      </c>
      <c r="F2849" s="34" t="str">
        <f t="shared" si="672"/>
        <v>C:\Users\jaime.benazar\Quorum Business Solutions\Ecopetrol Prometeo - Documents\Planning Space Implementation\3. Analysis &amp; Design\Design\FC22\DRR Jaime\QUIFA-CAJÚA\Cajua\[CAJUA_CF_SEC_New_27-Feb-2024Rev3.xlsx]D-PSNP'!</v>
      </c>
      <c r="G2849" s="32" t="s">
        <v>116</v>
      </c>
      <c r="H2849" s="33"/>
      <c r="I2849" s="33"/>
      <c r="J2849" s="37"/>
    </row>
    <row r="2850" spans="1:10" x14ac:dyDescent="0.25">
      <c r="A2850" s="32" t="s">
        <v>103</v>
      </c>
      <c r="B2850" s="32">
        <f t="shared" si="673"/>
        <v>2059</v>
      </c>
      <c r="C2850" s="33" t="s">
        <v>23</v>
      </c>
      <c r="D2850" s="34" t="s">
        <v>1999</v>
      </c>
      <c r="E2850" s="35" t="str">
        <f t="shared" si="671"/>
        <v>PSNP'!</v>
      </c>
      <c r="F2850" s="34" t="str">
        <f t="shared" si="672"/>
        <v>C:\Users\jaime.benazar\Quorum Business Solutions\Ecopetrol Prometeo - Documents\Planning Space Implementation\3. Analysis &amp; Design\Design\FC22\DRR Jaime\QUIFA-CAJÚA\Cajua\[CAJUA_CF_SEC_New_27-Feb-2024Rev3.xlsx]D-PSNP'!</v>
      </c>
      <c r="G2850" s="32" t="s">
        <v>116</v>
      </c>
      <c r="H2850" s="33"/>
      <c r="I2850" s="33"/>
      <c r="J2850" s="37"/>
    </row>
    <row r="2851" spans="1:10" x14ac:dyDescent="0.25">
      <c r="A2851" s="32" t="s">
        <v>28</v>
      </c>
      <c r="B2851" s="32"/>
      <c r="C2851" s="33" t="s">
        <v>23</v>
      </c>
      <c r="D2851" s="34"/>
      <c r="E2851" s="35"/>
      <c r="F2851" s="34"/>
      <c r="G2851" s="32"/>
      <c r="H2851" s="33"/>
      <c r="I2851" s="33"/>
      <c r="J2851" s="33"/>
    </row>
    <row r="2852" spans="1:10" x14ac:dyDescent="0.25">
      <c r="A2852" s="32" t="s">
        <v>104</v>
      </c>
      <c r="B2852" s="32">
        <v>2023</v>
      </c>
      <c r="C2852" s="33" t="s">
        <v>23</v>
      </c>
      <c r="D2852" s="34" t="s">
        <v>1999</v>
      </c>
      <c r="E2852" s="35" t="str">
        <f t="shared" ref="E2852:E2872" si="674">_xlfn.CONCAT(A2852,"'!")</f>
        <v>PSND'!</v>
      </c>
      <c r="F2852" s="34" t="str">
        <f t="shared" ref="F2852:F2872" si="675">_xlfn.CONCAT(D2852:E2852)</f>
        <v>C:\Users\jaime.benazar\Quorum Business Solutions\Ecopetrol Prometeo - Documents\Planning Space Implementation\3. Analysis &amp; Design\Design\FC22\DRR Jaime\QUIFA-CAJÚA\Cajua\[CAJUA_CF_SEC_New_27-Feb-2024Rev3.xlsx]D-PSND'!</v>
      </c>
      <c r="G2852" s="32" t="s">
        <v>116</v>
      </c>
      <c r="H2852" s="33"/>
      <c r="I2852" s="33"/>
      <c r="J2852" s="37"/>
    </row>
    <row r="2853" spans="1:10" x14ac:dyDescent="0.25">
      <c r="A2853" s="32" t="s">
        <v>104</v>
      </c>
      <c r="B2853" s="32">
        <f>+B2852+1</f>
        <v>2024</v>
      </c>
      <c r="C2853" s="33" t="s">
        <v>23</v>
      </c>
      <c r="D2853" s="34" t="s">
        <v>1999</v>
      </c>
      <c r="E2853" s="35" t="str">
        <f t="shared" si="674"/>
        <v>PSND'!</v>
      </c>
      <c r="F2853" s="34" t="str">
        <f t="shared" si="675"/>
        <v>C:\Users\jaime.benazar\Quorum Business Solutions\Ecopetrol Prometeo - Documents\Planning Space Implementation\3. Analysis &amp; Design\Design\FC22\DRR Jaime\QUIFA-CAJÚA\Cajua\[CAJUA_CF_SEC_New_27-Feb-2024Rev3.xlsx]D-PSND'!</v>
      </c>
      <c r="G2853" s="32" t="s">
        <v>116</v>
      </c>
      <c r="H2853" s="33"/>
      <c r="I2853" s="33"/>
      <c r="J2853" s="37"/>
    </row>
    <row r="2854" spans="1:10" x14ac:dyDescent="0.25">
      <c r="A2854" s="32" t="s">
        <v>104</v>
      </c>
      <c r="B2854" s="32">
        <f t="shared" ref="B2854:B2865" si="676">+B2853+1</f>
        <v>2025</v>
      </c>
      <c r="C2854" s="33" t="s">
        <v>23</v>
      </c>
      <c r="D2854" s="34" t="s">
        <v>1999</v>
      </c>
      <c r="E2854" s="35" t="str">
        <f t="shared" si="674"/>
        <v>PSND'!</v>
      </c>
      <c r="F2854" s="34" t="str">
        <f t="shared" si="675"/>
        <v>C:\Users\jaime.benazar\Quorum Business Solutions\Ecopetrol Prometeo - Documents\Planning Space Implementation\3. Analysis &amp; Design\Design\FC22\DRR Jaime\QUIFA-CAJÚA\Cajua\[CAJUA_CF_SEC_New_27-Feb-2024Rev3.xlsx]D-PSND'!</v>
      </c>
      <c r="G2854" s="32" t="s">
        <v>116</v>
      </c>
      <c r="H2854" s="33"/>
      <c r="I2854" s="33"/>
      <c r="J2854" s="37"/>
    </row>
    <row r="2855" spans="1:10" x14ac:dyDescent="0.25">
      <c r="A2855" s="32" t="s">
        <v>104</v>
      </c>
      <c r="B2855" s="32">
        <f t="shared" si="676"/>
        <v>2026</v>
      </c>
      <c r="C2855" s="33" t="s">
        <v>23</v>
      </c>
      <c r="D2855" s="34" t="s">
        <v>1999</v>
      </c>
      <c r="E2855" s="35" t="str">
        <f t="shared" si="674"/>
        <v>PSND'!</v>
      </c>
      <c r="F2855" s="34" t="str">
        <f t="shared" si="675"/>
        <v>C:\Users\jaime.benazar\Quorum Business Solutions\Ecopetrol Prometeo - Documents\Planning Space Implementation\3. Analysis &amp; Design\Design\FC22\DRR Jaime\QUIFA-CAJÚA\Cajua\[CAJUA_CF_SEC_New_27-Feb-2024Rev3.xlsx]D-PSND'!</v>
      </c>
      <c r="G2855" s="32" t="s">
        <v>116</v>
      </c>
      <c r="H2855" s="33"/>
      <c r="I2855" s="33"/>
      <c r="J2855" s="37"/>
    </row>
    <row r="2856" spans="1:10" x14ac:dyDescent="0.25">
      <c r="A2856" s="32" t="s">
        <v>104</v>
      </c>
      <c r="B2856" s="32">
        <f t="shared" si="676"/>
        <v>2027</v>
      </c>
      <c r="C2856" s="33" t="s">
        <v>23</v>
      </c>
      <c r="D2856" s="34" t="s">
        <v>1999</v>
      </c>
      <c r="E2856" s="35" t="str">
        <f t="shared" si="674"/>
        <v>PSND'!</v>
      </c>
      <c r="F2856" s="34" t="str">
        <f t="shared" si="675"/>
        <v>C:\Users\jaime.benazar\Quorum Business Solutions\Ecopetrol Prometeo - Documents\Planning Space Implementation\3. Analysis &amp; Design\Design\FC22\DRR Jaime\QUIFA-CAJÚA\Cajua\[CAJUA_CF_SEC_New_27-Feb-2024Rev3.xlsx]D-PSND'!</v>
      </c>
      <c r="G2856" s="32" t="s">
        <v>116</v>
      </c>
      <c r="H2856" s="33"/>
      <c r="I2856" s="33"/>
      <c r="J2856" s="37"/>
    </row>
    <row r="2857" spans="1:10" x14ac:dyDescent="0.25">
      <c r="A2857" s="32" t="s">
        <v>104</v>
      </c>
      <c r="B2857" s="32">
        <f t="shared" si="676"/>
        <v>2028</v>
      </c>
      <c r="C2857" s="33" t="s">
        <v>23</v>
      </c>
      <c r="D2857" s="34" t="s">
        <v>1999</v>
      </c>
      <c r="E2857" s="35" t="str">
        <f t="shared" si="674"/>
        <v>PSND'!</v>
      </c>
      <c r="F2857" s="34" t="str">
        <f t="shared" si="675"/>
        <v>C:\Users\jaime.benazar\Quorum Business Solutions\Ecopetrol Prometeo - Documents\Planning Space Implementation\3. Analysis &amp; Design\Design\FC22\DRR Jaime\QUIFA-CAJÚA\Cajua\[CAJUA_CF_SEC_New_27-Feb-2024Rev3.xlsx]D-PSND'!</v>
      </c>
      <c r="G2857" s="32" t="s">
        <v>116</v>
      </c>
      <c r="H2857" s="33"/>
      <c r="I2857" s="33"/>
      <c r="J2857" s="37"/>
    </row>
    <row r="2858" spans="1:10" x14ac:dyDescent="0.25">
      <c r="A2858" s="32" t="s">
        <v>104</v>
      </c>
      <c r="B2858" s="32">
        <f t="shared" si="676"/>
        <v>2029</v>
      </c>
      <c r="C2858" s="33" t="s">
        <v>23</v>
      </c>
      <c r="D2858" s="34" t="s">
        <v>1999</v>
      </c>
      <c r="E2858" s="35" t="str">
        <f t="shared" si="674"/>
        <v>PSND'!</v>
      </c>
      <c r="F2858" s="34" t="str">
        <f t="shared" si="675"/>
        <v>C:\Users\jaime.benazar\Quorum Business Solutions\Ecopetrol Prometeo - Documents\Planning Space Implementation\3. Analysis &amp; Design\Design\FC22\DRR Jaime\QUIFA-CAJÚA\Cajua\[CAJUA_CF_SEC_New_27-Feb-2024Rev3.xlsx]D-PSND'!</v>
      </c>
      <c r="G2858" s="32" t="s">
        <v>116</v>
      </c>
      <c r="H2858" s="33"/>
      <c r="I2858" s="33"/>
      <c r="J2858" s="37"/>
    </row>
    <row r="2859" spans="1:10" x14ac:dyDescent="0.25">
      <c r="A2859" s="32" t="s">
        <v>104</v>
      </c>
      <c r="B2859" s="32">
        <f t="shared" si="676"/>
        <v>2030</v>
      </c>
      <c r="C2859" s="33" t="s">
        <v>23</v>
      </c>
      <c r="D2859" s="34" t="s">
        <v>1999</v>
      </c>
      <c r="E2859" s="35" t="str">
        <f t="shared" si="674"/>
        <v>PSND'!</v>
      </c>
      <c r="F2859" s="34" t="str">
        <f t="shared" si="675"/>
        <v>C:\Users\jaime.benazar\Quorum Business Solutions\Ecopetrol Prometeo - Documents\Planning Space Implementation\3. Analysis &amp; Design\Design\FC22\DRR Jaime\QUIFA-CAJÚA\Cajua\[CAJUA_CF_SEC_New_27-Feb-2024Rev3.xlsx]D-PSND'!</v>
      </c>
      <c r="G2859" s="32" t="s">
        <v>116</v>
      </c>
      <c r="H2859" s="33"/>
      <c r="I2859" s="33"/>
      <c r="J2859" s="37"/>
    </row>
    <row r="2860" spans="1:10" x14ac:dyDescent="0.25">
      <c r="A2860" s="32" t="s">
        <v>104</v>
      </c>
      <c r="B2860" s="32">
        <f t="shared" si="676"/>
        <v>2031</v>
      </c>
      <c r="C2860" s="33" t="s">
        <v>23</v>
      </c>
      <c r="D2860" s="34" t="s">
        <v>1999</v>
      </c>
      <c r="E2860" s="35" t="str">
        <f t="shared" si="674"/>
        <v>PSND'!</v>
      </c>
      <c r="F2860" s="34" t="str">
        <f t="shared" si="675"/>
        <v>C:\Users\jaime.benazar\Quorum Business Solutions\Ecopetrol Prometeo - Documents\Planning Space Implementation\3. Analysis &amp; Design\Design\FC22\DRR Jaime\QUIFA-CAJÚA\Cajua\[CAJUA_CF_SEC_New_27-Feb-2024Rev3.xlsx]D-PSND'!</v>
      </c>
      <c r="G2860" s="32" t="s">
        <v>116</v>
      </c>
      <c r="H2860" s="33"/>
      <c r="I2860" s="33"/>
      <c r="J2860" s="37"/>
    </row>
    <row r="2861" spans="1:10" x14ac:dyDescent="0.25">
      <c r="A2861" s="32" t="s">
        <v>104</v>
      </c>
      <c r="B2861" s="32">
        <f t="shared" si="676"/>
        <v>2032</v>
      </c>
      <c r="C2861" s="33" t="s">
        <v>23</v>
      </c>
      <c r="D2861" s="34" t="s">
        <v>1999</v>
      </c>
      <c r="E2861" s="35" t="str">
        <f t="shared" si="674"/>
        <v>PSND'!</v>
      </c>
      <c r="F2861" s="34" t="str">
        <f t="shared" si="675"/>
        <v>C:\Users\jaime.benazar\Quorum Business Solutions\Ecopetrol Prometeo - Documents\Planning Space Implementation\3. Analysis &amp; Design\Design\FC22\DRR Jaime\QUIFA-CAJÚA\Cajua\[CAJUA_CF_SEC_New_27-Feb-2024Rev3.xlsx]D-PSND'!</v>
      </c>
      <c r="G2861" s="32" t="s">
        <v>116</v>
      </c>
      <c r="H2861" s="33"/>
      <c r="I2861" s="33"/>
      <c r="J2861" s="37"/>
    </row>
    <row r="2862" spans="1:10" x14ac:dyDescent="0.25">
      <c r="A2862" s="32" t="s">
        <v>104</v>
      </c>
      <c r="B2862" s="32">
        <f t="shared" si="676"/>
        <v>2033</v>
      </c>
      <c r="C2862" s="33" t="s">
        <v>23</v>
      </c>
      <c r="D2862" s="34" t="s">
        <v>1999</v>
      </c>
      <c r="E2862" s="35" t="str">
        <f t="shared" si="674"/>
        <v>PSND'!</v>
      </c>
      <c r="F2862" s="34" t="str">
        <f t="shared" si="675"/>
        <v>C:\Users\jaime.benazar\Quorum Business Solutions\Ecopetrol Prometeo - Documents\Planning Space Implementation\3. Analysis &amp; Design\Design\FC22\DRR Jaime\QUIFA-CAJÚA\Cajua\[CAJUA_CF_SEC_New_27-Feb-2024Rev3.xlsx]D-PSND'!</v>
      </c>
      <c r="G2862" s="32" t="s">
        <v>116</v>
      </c>
      <c r="H2862" s="33"/>
      <c r="I2862" s="33"/>
      <c r="J2862" s="37"/>
    </row>
    <row r="2863" spans="1:10" x14ac:dyDescent="0.25">
      <c r="A2863" s="32" t="s">
        <v>104</v>
      </c>
      <c r="B2863" s="32">
        <f t="shared" si="676"/>
        <v>2034</v>
      </c>
      <c r="C2863" s="33" t="s">
        <v>23</v>
      </c>
      <c r="D2863" s="34" t="s">
        <v>1999</v>
      </c>
      <c r="E2863" s="35" t="str">
        <f t="shared" si="674"/>
        <v>PSND'!</v>
      </c>
      <c r="F2863" s="34" t="str">
        <f t="shared" si="675"/>
        <v>C:\Users\jaime.benazar\Quorum Business Solutions\Ecopetrol Prometeo - Documents\Planning Space Implementation\3. Analysis &amp; Design\Design\FC22\DRR Jaime\QUIFA-CAJÚA\Cajua\[CAJUA_CF_SEC_New_27-Feb-2024Rev3.xlsx]D-PSND'!</v>
      </c>
      <c r="G2863" s="32" t="s">
        <v>116</v>
      </c>
      <c r="H2863" s="33"/>
      <c r="I2863" s="33"/>
      <c r="J2863" s="37"/>
    </row>
    <row r="2864" spans="1:10" x14ac:dyDescent="0.25">
      <c r="A2864" s="32" t="s">
        <v>104</v>
      </c>
      <c r="B2864" s="32">
        <f t="shared" si="676"/>
        <v>2035</v>
      </c>
      <c r="C2864" s="33" t="s">
        <v>23</v>
      </c>
      <c r="D2864" s="34" t="s">
        <v>1999</v>
      </c>
      <c r="E2864" s="35" t="str">
        <f t="shared" si="674"/>
        <v>PSND'!</v>
      </c>
      <c r="F2864" s="34" t="str">
        <f t="shared" si="675"/>
        <v>C:\Users\jaime.benazar\Quorum Business Solutions\Ecopetrol Prometeo - Documents\Planning Space Implementation\3. Analysis &amp; Design\Design\FC22\DRR Jaime\QUIFA-CAJÚA\Cajua\[CAJUA_CF_SEC_New_27-Feb-2024Rev3.xlsx]D-PSND'!</v>
      </c>
      <c r="G2864" s="32" t="s">
        <v>116</v>
      </c>
      <c r="H2864" s="33"/>
      <c r="I2864" s="33"/>
      <c r="J2864" s="37"/>
    </row>
    <row r="2865" spans="1:10" x14ac:dyDescent="0.25">
      <c r="A2865" s="32" t="s">
        <v>104</v>
      </c>
      <c r="B2865" s="32">
        <f t="shared" si="676"/>
        <v>2036</v>
      </c>
      <c r="C2865" s="33" t="s">
        <v>23</v>
      </c>
      <c r="D2865" s="34" t="s">
        <v>1999</v>
      </c>
      <c r="E2865" s="35" t="str">
        <f t="shared" si="674"/>
        <v>PSND'!</v>
      </c>
      <c r="F2865" s="34" t="str">
        <f t="shared" si="675"/>
        <v>C:\Users\jaime.benazar\Quorum Business Solutions\Ecopetrol Prometeo - Documents\Planning Space Implementation\3. Analysis &amp; Design\Design\FC22\DRR Jaime\QUIFA-CAJÚA\Cajua\[CAJUA_CF_SEC_New_27-Feb-2024Rev3.xlsx]D-PSND'!</v>
      </c>
      <c r="G2865" s="32" t="s">
        <v>116</v>
      </c>
      <c r="H2865" s="33"/>
      <c r="I2865" s="33"/>
      <c r="J2865" s="37"/>
    </row>
    <row r="2866" spans="1:10" x14ac:dyDescent="0.25">
      <c r="A2866" s="32" t="s">
        <v>104</v>
      </c>
      <c r="B2866" s="32">
        <f>+B2865+1</f>
        <v>2037</v>
      </c>
      <c r="C2866" s="33" t="s">
        <v>23</v>
      </c>
      <c r="D2866" s="34" t="s">
        <v>1999</v>
      </c>
      <c r="E2866" s="35" t="str">
        <f t="shared" si="674"/>
        <v>PSND'!</v>
      </c>
      <c r="F2866" s="34" t="str">
        <f t="shared" si="675"/>
        <v>C:\Users\jaime.benazar\Quorum Business Solutions\Ecopetrol Prometeo - Documents\Planning Space Implementation\3. Analysis &amp; Design\Design\FC22\DRR Jaime\QUIFA-CAJÚA\Cajua\[CAJUA_CF_SEC_New_27-Feb-2024Rev3.xlsx]D-PSND'!</v>
      </c>
      <c r="G2866" s="32" t="s">
        <v>116</v>
      </c>
      <c r="H2866" s="33"/>
      <c r="I2866" s="33"/>
      <c r="J2866" s="37"/>
    </row>
    <row r="2867" spans="1:10" x14ac:dyDescent="0.25">
      <c r="A2867" s="32" t="s">
        <v>104</v>
      </c>
      <c r="B2867" s="32">
        <f t="shared" ref="B2867:B2869" si="677">+B2866+1</f>
        <v>2038</v>
      </c>
      <c r="C2867" s="33" t="s">
        <v>23</v>
      </c>
      <c r="D2867" s="34" t="s">
        <v>1999</v>
      </c>
      <c r="E2867" s="35" t="str">
        <f t="shared" si="674"/>
        <v>PSND'!</v>
      </c>
      <c r="F2867" s="34" t="str">
        <f t="shared" si="675"/>
        <v>C:\Users\jaime.benazar\Quorum Business Solutions\Ecopetrol Prometeo - Documents\Planning Space Implementation\3. Analysis &amp; Design\Design\FC22\DRR Jaime\QUIFA-CAJÚA\Cajua\[CAJUA_CF_SEC_New_27-Feb-2024Rev3.xlsx]D-PSND'!</v>
      </c>
      <c r="G2867" s="32" t="s">
        <v>116</v>
      </c>
      <c r="H2867" s="33"/>
      <c r="I2867" s="33"/>
      <c r="J2867" s="37"/>
    </row>
    <row r="2868" spans="1:10" x14ac:dyDescent="0.25">
      <c r="A2868" s="32" t="s">
        <v>104</v>
      </c>
      <c r="B2868" s="32">
        <f t="shared" si="677"/>
        <v>2039</v>
      </c>
      <c r="C2868" s="33" t="s">
        <v>23</v>
      </c>
      <c r="D2868" s="34" t="s">
        <v>1999</v>
      </c>
      <c r="E2868" s="35" t="str">
        <f t="shared" si="674"/>
        <v>PSND'!</v>
      </c>
      <c r="F2868" s="34" t="str">
        <f t="shared" si="675"/>
        <v>C:\Users\jaime.benazar\Quorum Business Solutions\Ecopetrol Prometeo - Documents\Planning Space Implementation\3. Analysis &amp; Design\Design\FC22\DRR Jaime\QUIFA-CAJÚA\Cajua\[CAJUA_CF_SEC_New_27-Feb-2024Rev3.xlsx]D-PSND'!</v>
      </c>
      <c r="G2868" s="32" t="s">
        <v>116</v>
      </c>
      <c r="H2868" s="33"/>
      <c r="I2868" s="33"/>
      <c r="J2868" s="37"/>
    </row>
    <row r="2869" spans="1:10" x14ac:dyDescent="0.25">
      <c r="A2869" s="32" t="s">
        <v>104</v>
      </c>
      <c r="B2869" s="32">
        <f t="shared" si="677"/>
        <v>2040</v>
      </c>
      <c r="C2869" s="33" t="s">
        <v>23</v>
      </c>
      <c r="D2869" s="34" t="s">
        <v>1999</v>
      </c>
      <c r="E2869" s="35" t="str">
        <f t="shared" si="674"/>
        <v>PSND'!</v>
      </c>
      <c r="F2869" s="34" t="str">
        <f t="shared" si="675"/>
        <v>C:\Users\jaime.benazar\Quorum Business Solutions\Ecopetrol Prometeo - Documents\Planning Space Implementation\3. Analysis &amp; Design\Design\FC22\DRR Jaime\QUIFA-CAJÚA\Cajua\[CAJUA_CF_SEC_New_27-Feb-2024Rev3.xlsx]D-PSND'!</v>
      </c>
      <c r="G2869" s="32" t="s">
        <v>116</v>
      </c>
      <c r="H2869" s="33"/>
      <c r="I2869" s="33"/>
      <c r="J2869" s="37"/>
    </row>
    <row r="2870" spans="1:10" x14ac:dyDescent="0.25">
      <c r="A2870" s="32" t="s">
        <v>104</v>
      </c>
      <c r="B2870" s="32">
        <f>+B2869+1</f>
        <v>2041</v>
      </c>
      <c r="C2870" s="33" t="s">
        <v>23</v>
      </c>
      <c r="D2870" s="34" t="s">
        <v>1999</v>
      </c>
      <c r="E2870" s="35" t="str">
        <f t="shared" si="674"/>
        <v>PSND'!</v>
      </c>
      <c r="F2870" s="34" t="str">
        <f t="shared" si="675"/>
        <v>C:\Users\jaime.benazar\Quorum Business Solutions\Ecopetrol Prometeo - Documents\Planning Space Implementation\3. Analysis &amp; Design\Design\FC22\DRR Jaime\QUIFA-CAJÚA\Cajua\[CAJUA_CF_SEC_New_27-Feb-2024Rev3.xlsx]D-PSND'!</v>
      </c>
      <c r="G2870" s="32" t="s">
        <v>116</v>
      </c>
      <c r="H2870" s="33"/>
      <c r="I2870" s="33"/>
      <c r="J2870" s="37"/>
    </row>
    <row r="2871" spans="1:10" x14ac:dyDescent="0.25">
      <c r="A2871" s="32" t="s">
        <v>104</v>
      </c>
      <c r="B2871" s="32">
        <f t="shared" ref="B2871:B2872" si="678">+B2870+1</f>
        <v>2042</v>
      </c>
      <c r="C2871" s="33" t="s">
        <v>23</v>
      </c>
      <c r="D2871" s="34" t="s">
        <v>1999</v>
      </c>
      <c r="E2871" s="35" t="str">
        <f t="shared" si="674"/>
        <v>PSND'!</v>
      </c>
      <c r="F2871" s="34" t="str">
        <f t="shared" si="675"/>
        <v>C:\Users\jaime.benazar\Quorum Business Solutions\Ecopetrol Prometeo - Documents\Planning Space Implementation\3. Analysis &amp; Design\Design\FC22\DRR Jaime\QUIFA-CAJÚA\Cajua\[CAJUA_CF_SEC_New_27-Feb-2024Rev3.xlsx]D-PSND'!</v>
      </c>
      <c r="G2871" s="32" t="s">
        <v>116</v>
      </c>
      <c r="H2871" s="33"/>
      <c r="I2871" s="33"/>
      <c r="J2871" s="37"/>
    </row>
    <row r="2872" spans="1:10" x14ac:dyDescent="0.25">
      <c r="A2872" s="32" t="s">
        <v>104</v>
      </c>
      <c r="B2872" s="32">
        <f t="shared" si="678"/>
        <v>2043</v>
      </c>
      <c r="C2872" s="33" t="s">
        <v>23</v>
      </c>
      <c r="D2872" s="34" t="s">
        <v>1999</v>
      </c>
      <c r="E2872" s="35" t="str">
        <f t="shared" si="674"/>
        <v>PSND'!</v>
      </c>
      <c r="F2872" s="34" t="str">
        <f t="shared" si="675"/>
        <v>C:\Users\jaime.benazar\Quorum Business Solutions\Ecopetrol Prometeo - Documents\Planning Space Implementation\3. Analysis &amp; Design\Design\FC22\DRR Jaime\QUIFA-CAJÚA\Cajua\[CAJUA_CF_SEC_New_27-Feb-2024Rev3.xlsx]D-PSND'!</v>
      </c>
      <c r="G2872" s="32" t="s">
        <v>116</v>
      </c>
      <c r="H2872" s="33"/>
      <c r="I2872" s="33"/>
      <c r="J2872" s="37"/>
    </row>
    <row r="2873" spans="1:10" x14ac:dyDescent="0.25">
      <c r="A2873" s="32" t="s">
        <v>104</v>
      </c>
      <c r="B2873" s="32">
        <f>+B2872+1</f>
        <v>2044</v>
      </c>
      <c r="C2873" s="33" t="s">
        <v>23</v>
      </c>
      <c r="D2873" s="34" t="s">
        <v>1999</v>
      </c>
      <c r="E2873" s="35" t="str">
        <f t="shared" ref="E2873:E2888" si="679">_xlfn.CONCAT(A2873,"'!")</f>
        <v>PSND'!</v>
      </c>
      <c r="F2873" s="34" t="str">
        <f t="shared" ref="F2873:F2888" si="680">_xlfn.CONCAT(D2873:E2873)</f>
        <v>C:\Users\jaime.benazar\Quorum Business Solutions\Ecopetrol Prometeo - Documents\Planning Space Implementation\3. Analysis &amp; Design\Design\FC22\DRR Jaime\QUIFA-CAJÚA\Cajua\[CAJUA_CF_SEC_New_27-Feb-2024Rev3.xlsx]D-PSND'!</v>
      </c>
      <c r="G2873" s="32" t="s">
        <v>116</v>
      </c>
      <c r="H2873" s="33"/>
      <c r="I2873" s="33"/>
      <c r="J2873" s="37"/>
    </row>
    <row r="2874" spans="1:10" x14ac:dyDescent="0.25">
      <c r="A2874" s="32" t="s">
        <v>104</v>
      </c>
      <c r="B2874" s="32">
        <f t="shared" ref="B2874:B2888" si="681">+B2873+1</f>
        <v>2045</v>
      </c>
      <c r="C2874" s="33" t="s">
        <v>23</v>
      </c>
      <c r="D2874" s="34" t="s">
        <v>1999</v>
      </c>
      <c r="E2874" s="35" t="str">
        <f t="shared" si="679"/>
        <v>PSND'!</v>
      </c>
      <c r="F2874" s="34" t="str">
        <f t="shared" si="680"/>
        <v>C:\Users\jaime.benazar\Quorum Business Solutions\Ecopetrol Prometeo - Documents\Planning Space Implementation\3. Analysis &amp; Design\Design\FC22\DRR Jaime\QUIFA-CAJÚA\Cajua\[CAJUA_CF_SEC_New_27-Feb-2024Rev3.xlsx]D-PSND'!</v>
      </c>
      <c r="G2874" s="32" t="s">
        <v>116</v>
      </c>
      <c r="H2874" s="33"/>
      <c r="I2874" s="33"/>
      <c r="J2874" s="37"/>
    </row>
    <row r="2875" spans="1:10" x14ac:dyDescent="0.25">
      <c r="A2875" s="32" t="s">
        <v>104</v>
      </c>
      <c r="B2875" s="32">
        <f t="shared" si="681"/>
        <v>2046</v>
      </c>
      <c r="C2875" s="33" t="s">
        <v>23</v>
      </c>
      <c r="D2875" s="34" t="s">
        <v>1999</v>
      </c>
      <c r="E2875" s="35" t="str">
        <f t="shared" si="679"/>
        <v>PSND'!</v>
      </c>
      <c r="F2875" s="34" t="str">
        <f t="shared" si="680"/>
        <v>C:\Users\jaime.benazar\Quorum Business Solutions\Ecopetrol Prometeo - Documents\Planning Space Implementation\3. Analysis &amp; Design\Design\FC22\DRR Jaime\QUIFA-CAJÚA\Cajua\[CAJUA_CF_SEC_New_27-Feb-2024Rev3.xlsx]D-PSND'!</v>
      </c>
      <c r="G2875" s="32" t="s">
        <v>116</v>
      </c>
      <c r="H2875" s="33"/>
      <c r="I2875" s="33"/>
      <c r="J2875" s="37"/>
    </row>
    <row r="2876" spans="1:10" x14ac:dyDescent="0.25">
      <c r="A2876" s="32" t="s">
        <v>104</v>
      </c>
      <c r="B2876" s="32">
        <f t="shared" si="681"/>
        <v>2047</v>
      </c>
      <c r="C2876" s="33" t="s">
        <v>23</v>
      </c>
      <c r="D2876" s="34" t="s">
        <v>1999</v>
      </c>
      <c r="E2876" s="35" t="str">
        <f t="shared" si="679"/>
        <v>PSND'!</v>
      </c>
      <c r="F2876" s="34" t="str">
        <f t="shared" si="680"/>
        <v>C:\Users\jaime.benazar\Quorum Business Solutions\Ecopetrol Prometeo - Documents\Planning Space Implementation\3. Analysis &amp; Design\Design\FC22\DRR Jaime\QUIFA-CAJÚA\Cajua\[CAJUA_CF_SEC_New_27-Feb-2024Rev3.xlsx]D-PSND'!</v>
      </c>
      <c r="G2876" s="32" t="s">
        <v>116</v>
      </c>
      <c r="H2876" s="33"/>
      <c r="I2876" s="33"/>
      <c r="J2876" s="37"/>
    </row>
    <row r="2877" spans="1:10" x14ac:dyDescent="0.25">
      <c r="A2877" s="32" t="s">
        <v>104</v>
      </c>
      <c r="B2877" s="32">
        <f t="shared" si="681"/>
        <v>2048</v>
      </c>
      <c r="C2877" s="33" t="s">
        <v>23</v>
      </c>
      <c r="D2877" s="34" t="s">
        <v>1999</v>
      </c>
      <c r="E2877" s="35" t="str">
        <f t="shared" si="679"/>
        <v>PSND'!</v>
      </c>
      <c r="F2877" s="34" t="str">
        <f t="shared" si="680"/>
        <v>C:\Users\jaime.benazar\Quorum Business Solutions\Ecopetrol Prometeo - Documents\Planning Space Implementation\3. Analysis &amp; Design\Design\FC22\DRR Jaime\QUIFA-CAJÚA\Cajua\[CAJUA_CF_SEC_New_27-Feb-2024Rev3.xlsx]D-PSND'!</v>
      </c>
      <c r="G2877" s="32" t="s">
        <v>116</v>
      </c>
      <c r="H2877" s="33"/>
      <c r="I2877" s="33"/>
      <c r="J2877" s="37"/>
    </row>
    <row r="2878" spans="1:10" x14ac:dyDescent="0.25">
      <c r="A2878" s="32" t="s">
        <v>104</v>
      </c>
      <c r="B2878" s="32">
        <f t="shared" si="681"/>
        <v>2049</v>
      </c>
      <c r="C2878" s="33" t="s">
        <v>23</v>
      </c>
      <c r="D2878" s="34" t="s">
        <v>1999</v>
      </c>
      <c r="E2878" s="35" t="str">
        <f t="shared" si="679"/>
        <v>PSND'!</v>
      </c>
      <c r="F2878" s="34" t="str">
        <f t="shared" si="680"/>
        <v>C:\Users\jaime.benazar\Quorum Business Solutions\Ecopetrol Prometeo - Documents\Planning Space Implementation\3. Analysis &amp; Design\Design\FC22\DRR Jaime\QUIFA-CAJÚA\Cajua\[CAJUA_CF_SEC_New_27-Feb-2024Rev3.xlsx]D-PSND'!</v>
      </c>
      <c r="G2878" s="32" t="s">
        <v>116</v>
      </c>
      <c r="H2878" s="33"/>
      <c r="I2878" s="33"/>
      <c r="J2878" s="37"/>
    </row>
    <row r="2879" spans="1:10" x14ac:dyDescent="0.25">
      <c r="A2879" s="32" t="s">
        <v>104</v>
      </c>
      <c r="B2879" s="32">
        <f t="shared" si="681"/>
        <v>2050</v>
      </c>
      <c r="C2879" s="33" t="s">
        <v>23</v>
      </c>
      <c r="D2879" s="34" t="s">
        <v>1999</v>
      </c>
      <c r="E2879" s="35" t="str">
        <f t="shared" si="679"/>
        <v>PSND'!</v>
      </c>
      <c r="F2879" s="34" t="str">
        <f t="shared" si="680"/>
        <v>C:\Users\jaime.benazar\Quorum Business Solutions\Ecopetrol Prometeo - Documents\Planning Space Implementation\3. Analysis &amp; Design\Design\FC22\DRR Jaime\QUIFA-CAJÚA\Cajua\[CAJUA_CF_SEC_New_27-Feb-2024Rev3.xlsx]D-PSND'!</v>
      </c>
      <c r="G2879" s="32" t="s">
        <v>116</v>
      </c>
      <c r="H2879" s="33"/>
      <c r="I2879" s="33"/>
      <c r="J2879" s="37"/>
    </row>
    <row r="2880" spans="1:10" x14ac:dyDescent="0.25">
      <c r="A2880" s="32" t="s">
        <v>104</v>
      </c>
      <c r="B2880" s="32">
        <f t="shared" si="681"/>
        <v>2051</v>
      </c>
      <c r="C2880" s="33" t="s">
        <v>23</v>
      </c>
      <c r="D2880" s="34" t="s">
        <v>1999</v>
      </c>
      <c r="E2880" s="35" t="str">
        <f t="shared" si="679"/>
        <v>PSND'!</v>
      </c>
      <c r="F2880" s="34" t="str">
        <f t="shared" si="680"/>
        <v>C:\Users\jaime.benazar\Quorum Business Solutions\Ecopetrol Prometeo - Documents\Planning Space Implementation\3. Analysis &amp; Design\Design\FC22\DRR Jaime\QUIFA-CAJÚA\Cajua\[CAJUA_CF_SEC_New_27-Feb-2024Rev3.xlsx]D-PSND'!</v>
      </c>
      <c r="G2880" s="32" t="s">
        <v>116</v>
      </c>
      <c r="H2880" s="33"/>
      <c r="I2880" s="33"/>
      <c r="J2880" s="37"/>
    </row>
    <row r="2881" spans="1:10" x14ac:dyDescent="0.25">
      <c r="A2881" s="32" t="s">
        <v>104</v>
      </c>
      <c r="B2881" s="32">
        <f t="shared" si="681"/>
        <v>2052</v>
      </c>
      <c r="C2881" s="33" t="s">
        <v>23</v>
      </c>
      <c r="D2881" s="34" t="s">
        <v>1999</v>
      </c>
      <c r="E2881" s="35" t="str">
        <f t="shared" si="679"/>
        <v>PSND'!</v>
      </c>
      <c r="F2881" s="34" t="str">
        <f t="shared" si="680"/>
        <v>C:\Users\jaime.benazar\Quorum Business Solutions\Ecopetrol Prometeo - Documents\Planning Space Implementation\3. Analysis &amp; Design\Design\FC22\DRR Jaime\QUIFA-CAJÚA\Cajua\[CAJUA_CF_SEC_New_27-Feb-2024Rev3.xlsx]D-PSND'!</v>
      </c>
      <c r="G2881" s="32" t="s">
        <v>116</v>
      </c>
      <c r="H2881" s="33"/>
      <c r="I2881" s="33"/>
      <c r="J2881" s="37"/>
    </row>
    <row r="2882" spans="1:10" x14ac:dyDescent="0.25">
      <c r="A2882" s="32" t="s">
        <v>104</v>
      </c>
      <c r="B2882" s="32">
        <f t="shared" si="681"/>
        <v>2053</v>
      </c>
      <c r="C2882" s="33" t="s">
        <v>23</v>
      </c>
      <c r="D2882" s="34" t="s">
        <v>1999</v>
      </c>
      <c r="E2882" s="35" t="str">
        <f t="shared" si="679"/>
        <v>PSND'!</v>
      </c>
      <c r="F2882" s="34" t="str">
        <f t="shared" si="680"/>
        <v>C:\Users\jaime.benazar\Quorum Business Solutions\Ecopetrol Prometeo - Documents\Planning Space Implementation\3. Analysis &amp; Design\Design\FC22\DRR Jaime\QUIFA-CAJÚA\Cajua\[CAJUA_CF_SEC_New_27-Feb-2024Rev3.xlsx]D-PSND'!</v>
      </c>
      <c r="G2882" s="32" t="s">
        <v>116</v>
      </c>
      <c r="H2882" s="33"/>
      <c r="I2882" s="33"/>
      <c r="J2882" s="37"/>
    </row>
    <row r="2883" spans="1:10" x14ac:dyDescent="0.25">
      <c r="A2883" s="32" t="s">
        <v>104</v>
      </c>
      <c r="B2883" s="32">
        <f t="shared" si="681"/>
        <v>2054</v>
      </c>
      <c r="C2883" s="33" t="s">
        <v>23</v>
      </c>
      <c r="D2883" s="34" t="s">
        <v>1999</v>
      </c>
      <c r="E2883" s="35" t="str">
        <f t="shared" si="679"/>
        <v>PSND'!</v>
      </c>
      <c r="F2883" s="34" t="str">
        <f t="shared" si="680"/>
        <v>C:\Users\jaime.benazar\Quorum Business Solutions\Ecopetrol Prometeo - Documents\Planning Space Implementation\3. Analysis &amp; Design\Design\FC22\DRR Jaime\QUIFA-CAJÚA\Cajua\[CAJUA_CF_SEC_New_27-Feb-2024Rev3.xlsx]D-PSND'!</v>
      </c>
      <c r="G2883" s="32" t="s">
        <v>116</v>
      </c>
      <c r="H2883" s="33"/>
      <c r="I2883" s="33"/>
      <c r="J2883" s="37"/>
    </row>
    <row r="2884" spans="1:10" x14ac:dyDescent="0.25">
      <c r="A2884" s="32" t="s">
        <v>104</v>
      </c>
      <c r="B2884" s="32">
        <f t="shared" si="681"/>
        <v>2055</v>
      </c>
      <c r="C2884" s="33" t="s">
        <v>23</v>
      </c>
      <c r="D2884" s="34" t="s">
        <v>1999</v>
      </c>
      <c r="E2884" s="35" t="str">
        <f t="shared" si="679"/>
        <v>PSND'!</v>
      </c>
      <c r="F2884" s="34" t="str">
        <f t="shared" si="680"/>
        <v>C:\Users\jaime.benazar\Quorum Business Solutions\Ecopetrol Prometeo - Documents\Planning Space Implementation\3. Analysis &amp; Design\Design\FC22\DRR Jaime\QUIFA-CAJÚA\Cajua\[CAJUA_CF_SEC_New_27-Feb-2024Rev3.xlsx]D-PSND'!</v>
      </c>
      <c r="G2884" s="32" t="s">
        <v>116</v>
      </c>
      <c r="H2884" s="33"/>
      <c r="I2884" s="33"/>
      <c r="J2884" s="37"/>
    </row>
    <row r="2885" spans="1:10" x14ac:dyDescent="0.25">
      <c r="A2885" s="32" t="s">
        <v>104</v>
      </c>
      <c r="B2885" s="32">
        <f t="shared" si="681"/>
        <v>2056</v>
      </c>
      <c r="C2885" s="33" t="s">
        <v>23</v>
      </c>
      <c r="D2885" s="34" t="s">
        <v>1999</v>
      </c>
      <c r="E2885" s="35" t="str">
        <f t="shared" si="679"/>
        <v>PSND'!</v>
      </c>
      <c r="F2885" s="34" t="str">
        <f t="shared" si="680"/>
        <v>C:\Users\jaime.benazar\Quorum Business Solutions\Ecopetrol Prometeo - Documents\Planning Space Implementation\3. Analysis &amp; Design\Design\FC22\DRR Jaime\QUIFA-CAJÚA\Cajua\[CAJUA_CF_SEC_New_27-Feb-2024Rev3.xlsx]D-PSND'!</v>
      </c>
      <c r="G2885" s="32" t="s">
        <v>116</v>
      </c>
      <c r="H2885" s="33"/>
      <c r="I2885" s="33"/>
      <c r="J2885" s="37"/>
    </row>
    <row r="2886" spans="1:10" x14ac:dyDescent="0.25">
      <c r="A2886" s="32" t="s">
        <v>104</v>
      </c>
      <c r="B2886" s="32">
        <f t="shared" si="681"/>
        <v>2057</v>
      </c>
      <c r="C2886" s="33" t="s">
        <v>23</v>
      </c>
      <c r="D2886" s="34" t="s">
        <v>1999</v>
      </c>
      <c r="E2886" s="35" t="str">
        <f t="shared" si="679"/>
        <v>PSND'!</v>
      </c>
      <c r="F2886" s="34" t="str">
        <f t="shared" si="680"/>
        <v>C:\Users\jaime.benazar\Quorum Business Solutions\Ecopetrol Prometeo - Documents\Planning Space Implementation\3. Analysis &amp; Design\Design\FC22\DRR Jaime\QUIFA-CAJÚA\Cajua\[CAJUA_CF_SEC_New_27-Feb-2024Rev3.xlsx]D-PSND'!</v>
      </c>
      <c r="G2886" s="32" t="s">
        <v>116</v>
      </c>
      <c r="H2886" s="33"/>
      <c r="I2886" s="33"/>
      <c r="J2886" s="37"/>
    </row>
    <row r="2887" spans="1:10" x14ac:dyDescent="0.25">
      <c r="A2887" s="32" t="s">
        <v>104</v>
      </c>
      <c r="B2887" s="32">
        <f t="shared" si="681"/>
        <v>2058</v>
      </c>
      <c r="C2887" s="33" t="s">
        <v>23</v>
      </c>
      <c r="D2887" s="34" t="s">
        <v>1999</v>
      </c>
      <c r="E2887" s="35" t="str">
        <f t="shared" si="679"/>
        <v>PSND'!</v>
      </c>
      <c r="F2887" s="34" t="str">
        <f t="shared" si="680"/>
        <v>C:\Users\jaime.benazar\Quorum Business Solutions\Ecopetrol Prometeo - Documents\Planning Space Implementation\3. Analysis &amp; Design\Design\FC22\DRR Jaime\QUIFA-CAJÚA\Cajua\[CAJUA_CF_SEC_New_27-Feb-2024Rev3.xlsx]D-PSND'!</v>
      </c>
      <c r="G2887" s="32" t="s">
        <v>116</v>
      </c>
      <c r="H2887" s="33"/>
      <c r="I2887" s="33"/>
      <c r="J2887" s="37"/>
    </row>
    <row r="2888" spans="1:10" x14ac:dyDescent="0.25">
      <c r="A2888" s="32" t="s">
        <v>104</v>
      </c>
      <c r="B2888" s="32">
        <f t="shared" si="681"/>
        <v>2059</v>
      </c>
      <c r="C2888" s="33" t="s">
        <v>23</v>
      </c>
      <c r="D2888" s="34" t="s">
        <v>1999</v>
      </c>
      <c r="E2888" s="35" t="str">
        <f t="shared" si="679"/>
        <v>PSND'!</v>
      </c>
      <c r="F2888" s="34" t="str">
        <f t="shared" si="680"/>
        <v>C:\Users\jaime.benazar\Quorum Business Solutions\Ecopetrol Prometeo - Documents\Planning Space Implementation\3. Analysis &amp; Design\Design\FC22\DRR Jaime\QUIFA-CAJÚA\Cajua\[CAJUA_CF_SEC_New_27-Feb-2024Rev3.xlsx]D-PSND'!</v>
      </c>
      <c r="G2888" s="32" t="s">
        <v>116</v>
      </c>
      <c r="H2888" s="33"/>
      <c r="I2888" s="33"/>
      <c r="J2888" s="37"/>
    </row>
    <row r="2889" spans="1:10" x14ac:dyDescent="0.25">
      <c r="A2889" s="32" t="s">
        <v>28</v>
      </c>
      <c r="B2889" s="32"/>
      <c r="C2889" s="33" t="s">
        <v>23</v>
      </c>
      <c r="D2889" s="34"/>
      <c r="E2889" s="35"/>
      <c r="F2889" s="34"/>
      <c r="G2889" s="32"/>
      <c r="H2889" s="33"/>
      <c r="I2889" s="33"/>
      <c r="J2889" s="33"/>
    </row>
    <row r="2890" spans="1:10" x14ac:dyDescent="0.25">
      <c r="A2890" s="32" t="s">
        <v>34</v>
      </c>
      <c r="B2890" s="32">
        <v>2023</v>
      </c>
      <c r="C2890" s="33" t="s">
        <v>23</v>
      </c>
      <c r="D2890" s="34" t="s">
        <v>1999</v>
      </c>
      <c r="E2890" s="35" t="str">
        <f t="shared" si="646"/>
        <v>PS'!</v>
      </c>
      <c r="F2890" s="34" t="str">
        <f t="shared" si="647"/>
        <v>C:\Users\jaime.benazar\Quorum Business Solutions\Ecopetrol Prometeo - Documents\Planning Space Implementation\3. Analysis &amp; Design\Design\FC22\DRR Jaime\QUIFA-CAJÚA\Cajua\[CAJUA_CF_SEC_New_27-Feb-2024Rev3.xlsx]D-PS'!</v>
      </c>
      <c r="G2890" s="32" t="s">
        <v>116</v>
      </c>
      <c r="H2890" s="33">
        <v>12</v>
      </c>
      <c r="I2890" s="33" t="str">
        <f t="shared" ref="I2890:I2910" si="682">_xlfn.CONCAT("='",F2890:H2890)</f>
        <v>='C:\Users\jaime.benazar\Quorum Business Solutions\Ecopetrol Prometeo - Documents\Planning Space Implementation\3. Analysis &amp; Design\Design\FC22\DRR Jaime\QUIFA-CAJÚA\Cajua\[CAJUA_CF_SEC_New_27-Feb-2024Rev3.xlsx]D-PS'!$EA$12</v>
      </c>
      <c r="J2890" s="33" t="s">
        <v>3258</v>
      </c>
    </row>
    <row r="2891" spans="1:10" x14ac:dyDescent="0.25">
      <c r="A2891" s="32" t="s">
        <v>34</v>
      </c>
      <c r="B2891" s="32">
        <f>+B2890+1</f>
        <v>2024</v>
      </c>
      <c r="C2891" s="33" t="s">
        <v>23</v>
      </c>
      <c r="D2891" s="34" t="s">
        <v>1999</v>
      </c>
      <c r="E2891" s="35" t="str">
        <f t="shared" si="646"/>
        <v>PS'!</v>
      </c>
      <c r="F2891" s="34" t="str">
        <f t="shared" si="647"/>
        <v>C:\Users\jaime.benazar\Quorum Business Solutions\Ecopetrol Prometeo - Documents\Planning Space Implementation\3. Analysis &amp; Design\Design\FC22\DRR Jaime\QUIFA-CAJÚA\Cajua\[CAJUA_CF_SEC_New_27-Feb-2024Rev3.xlsx]D-PS'!</v>
      </c>
      <c r="G2891" s="32" t="s">
        <v>116</v>
      </c>
      <c r="H2891" s="33">
        <f t="shared" ref="H2891:H2910" si="683">IF(A2891&lt;&gt;A2890,12,H2890+1)</f>
        <v>13</v>
      </c>
      <c r="I2891" s="33" t="str">
        <f t="shared" si="682"/>
        <v>='C:\Users\jaime.benazar\Quorum Business Solutions\Ecopetrol Prometeo - Documents\Planning Space Implementation\3. Analysis &amp; Design\Design\FC22\DRR Jaime\QUIFA-CAJÚA\Cajua\[CAJUA_CF_SEC_New_27-Feb-2024Rev3.xlsx]D-PS'!$EA$13</v>
      </c>
      <c r="J2891" s="33" t="s">
        <v>3259</v>
      </c>
    </row>
    <row r="2892" spans="1:10" x14ac:dyDescent="0.25">
      <c r="A2892" s="32" t="s">
        <v>34</v>
      </c>
      <c r="B2892" s="32">
        <f t="shared" ref="B2892:B2903" si="684">+B2891+1</f>
        <v>2025</v>
      </c>
      <c r="C2892" s="33" t="s">
        <v>23</v>
      </c>
      <c r="D2892" s="34" t="s">
        <v>1999</v>
      </c>
      <c r="E2892" s="35" t="str">
        <f t="shared" si="646"/>
        <v>PS'!</v>
      </c>
      <c r="F2892" s="34" t="str">
        <f t="shared" si="647"/>
        <v>C:\Users\jaime.benazar\Quorum Business Solutions\Ecopetrol Prometeo - Documents\Planning Space Implementation\3. Analysis &amp; Design\Design\FC22\DRR Jaime\QUIFA-CAJÚA\Cajua\[CAJUA_CF_SEC_New_27-Feb-2024Rev3.xlsx]D-PS'!</v>
      </c>
      <c r="G2892" s="32" t="s">
        <v>116</v>
      </c>
      <c r="H2892" s="33">
        <f t="shared" si="683"/>
        <v>14</v>
      </c>
      <c r="I2892" s="33" t="str">
        <f t="shared" si="682"/>
        <v>='C:\Users\jaime.benazar\Quorum Business Solutions\Ecopetrol Prometeo - Documents\Planning Space Implementation\3. Analysis &amp; Design\Design\FC22\DRR Jaime\QUIFA-CAJÚA\Cajua\[CAJUA_CF_SEC_New_27-Feb-2024Rev3.xlsx]D-PS'!$EA$14</v>
      </c>
      <c r="J2892" s="33" t="s">
        <v>3260</v>
      </c>
    </row>
    <row r="2893" spans="1:10" x14ac:dyDescent="0.25">
      <c r="A2893" s="32" t="s">
        <v>34</v>
      </c>
      <c r="B2893" s="32">
        <f t="shared" si="684"/>
        <v>2026</v>
      </c>
      <c r="C2893" s="33" t="s">
        <v>23</v>
      </c>
      <c r="D2893" s="34" t="s">
        <v>1999</v>
      </c>
      <c r="E2893" s="35" t="str">
        <f t="shared" si="646"/>
        <v>PS'!</v>
      </c>
      <c r="F2893" s="34" t="str">
        <f t="shared" si="647"/>
        <v>C:\Users\jaime.benazar\Quorum Business Solutions\Ecopetrol Prometeo - Documents\Planning Space Implementation\3. Analysis &amp; Design\Design\FC22\DRR Jaime\QUIFA-CAJÚA\Cajua\[CAJUA_CF_SEC_New_27-Feb-2024Rev3.xlsx]D-PS'!</v>
      </c>
      <c r="G2893" s="32" t="s">
        <v>116</v>
      </c>
      <c r="H2893" s="33">
        <f t="shared" si="683"/>
        <v>15</v>
      </c>
      <c r="I2893" s="33" t="str">
        <f t="shared" si="682"/>
        <v>='C:\Users\jaime.benazar\Quorum Business Solutions\Ecopetrol Prometeo - Documents\Planning Space Implementation\3. Analysis &amp; Design\Design\FC22\DRR Jaime\QUIFA-CAJÚA\Cajua\[CAJUA_CF_SEC_New_27-Feb-2024Rev3.xlsx]D-PS'!$EA$15</v>
      </c>
      <c r="J2893" s="33" t="s">
        <v>3261</v>
      </c>
    </row>
    <row r="2894" spans="1:10" x14ac:dyDescent="0.25">
      <c r="A2894" s="32" t="s">
        <v>34</v>
      </c>
      <c r="B2894" s="32">
        <f t="shared" si="684"/>
        <v>2027</v>
      </c>
      <c r="C2894" s="33" t="s">
        <v>23</v>
      </c>
      <c r="D2894" s="34" t="s">
        <v>1999</v>
      </c>
      <c r="E2894" s="35" t="str">
        <f t="shared" si="646"/>
        <v>PS'!</v>
      </c>
      <c r="F2894" s="34" t="str">
        <f t="shared" si="647"/>
        <v>C:\Users\jaime.benazar\Quorum Business Solutions\Ecopetrol Prometeo - Documents\Planning Space Implementation\3. Analysis &amp; Design\Design\FC22\DRR Jaime\QUIFA-CAJÚA\Cajua\[CAJUA_CF_SEC_New_27-Feb-2024Rev3.xlsx]D-PS'!</v>
      </c>
      <c r="G2894" s="32" t="s">
        <v>116</v>
      </c>
      <c r="H2894" s="33">
        <f t="shared" si="683"/>
        <v>16</v>
      </c>
      <c r="I2894" s="33" t="str">
        <f t="shared" si="682"/>
        <v>='C:\Users\jaime.benazar\Quorum Business Solutions\Ecopetrol Prometeo - Documents\Planning Space Implementation\3. Analysis &amp; Design\Design\FC22\DRR Jaime\QUIFA-CAJÚA\Cajua\[CAJUA_CF_SEC_New_27-Feb-2024Rev3.xlsx]D-PS'!$EA$16</v>
      </c>
      <c r="J2894" s="33" t="s">
        <v>3262</v>
      </c>
    </row>
    <row r="2895" spans="1:10" x14ac:dyDescent="0.25">
      <c r="A2895" s="32" t="s">
        <v>34</v>
      </c>
      <c r="B2895" s="32">
        <f t="shared" si="684"/>
        <v>2028</v>
      </c>
      <c r="C2895" s="33" t="s">
        <v>23</v>
      </c>
      <c r="D2895" s="34" t="s">
        <v>1999</v>
      </c>
      <c r="E2895" s="35" t="str">
        <f t="shared" si="646"/>
        <v>PS'!</v>
      </c>
      <c r="F2895" s="34" t="str">
        <f t="shared" si="647"/>
        <v>C:\Users\jaime.benazar\Quorum Business Solutions\Ecopetrol Prometeo - Documents\Planning Space Implementation\3. Analysis &amp; Design\Design\FC22\DRR Jaime\QUIFA-CAJÚA\Cajua\[CAJUA_CF_SEC_New_27-Feb-2024Rev3.xlsx]D-PS'!</v>
      </c>
      <c r="G2895" s="32" t="s">
        <v>116</v>
      </c>
      <c r="H2895" s="33">
        <f t="shared" si="683"/>
        <v>17</v>
      </c>
      <c r="I2895" s="33" t="str">
        <f t="shared" si="682"/>
        <v>='C:\Users\jaime.benazar\Quorum Business Solutions\Ecopetrol Prometeo - Documents\Planning Space Implementation\3. Analysis &amp; Design\Design\FC22\DRR Jaime\QUIFA-CAJÚA\Cajua\[CAJUA_CF_SEC_New_27-Feb-2024Rev3.xlsx]D-PS'!$EA$17</v>
      </c>
      <c r="J2895" s="33" t="s">
        <v>3263</v>
      </c>
    </row>
    <row r="2896" spans="1:10" x14ac:dyDescent="0.25">
      <c r="A2896" s="32" t="s">
        <v>34</v>
      </c>
      <c r="B2896" s="32">
        <f t="shared" si="684"/>
        <v>2029</v>
      </c>
      <c r="C2896" s="33" t="s">
        <v>23</v>
      </c>
      <c r="D2896" s="34" t="s">
        <v>1999</v>
      </c>
      <c r="E2896" s="35" t="str">
        <f t="shared" si="646"/>
        <v>PS'!</v>
      </c>
      <c r="F2896" s="34" t="str">
        <f t="shared" si="647"/>
        <v>C:\Users\jaime.benazar\Quorum Business Solutions\Ecopetrol Prometeo - Documents\Planning Space Implementation\3. Analysis &amp; Design\Design\FC22\DRR Jaime\QUIFA-CAJÚA\Cajua\[CAJUA_CF_SEC_New_27-Feb-2024Rev3.xlsx]D-PS'!</v>
      </c>
      <c r="G2896" s="32" t="s">
        <v>116</v>
      </c>
      <c r="H2896" s="33">
        <f t="shared" si="683"/>
        <v>18</v>
      </c>
      <c r="I2896" s="33" t="str">
        <f t="shared" si="682"/>
        <v>='C:\Users\jaime.benazar\Quorum Business Solutions\Ecopetrol Prometeo - Documents\Planning Space Implementation\3. Analysis &amp; Design\Design\FC22\DRR Jaime\QUIFA-CAJÚA\Cajua\[CAJUA_CF_SEC_New_27-Feb-2024Rev3.xlsx]D-PS'!$EA$18</v>
      </c>
      <c r="J2896" s="33" t="s">
        <v>3264</v>
      </c>
    </row>
    <row r="2897" spans="1:10" x14ac:dyDescent="0.25">
      <c r="A2897" s="32" t="s">
        <v>34</v>
      </c>
      <c r="B2897" s="32">
        <f t="shared" si="684"/>
        <v>2030</v>
      </c>
      <c r="C2897" s="33" t="s">
        <v>23</v>
      </c>
      <c r="D2897" s="34" t="s">
        <v>1999</v>
      </c>
      <c r="E2897" s="35" t="str">
        <f t="shared" si="646"/>
        <v>PS'!</v>
      </c>
      <c r="F2897" s="34" t="str">
        <f t="shared" si="647"/>
        <v>C:\Users\jaime.benazar\Quorum Business Solutions\Ecopetrol Prometeo - Documents\Planning Space Implementation\3. Analysis &amp; Design\Design\FC22\DRR Jaime\QUIFA-CAJÚA\Cajua\[CAJUA_CF_SEC_New_27-Feb-2024Rev3.xlsx]D-PS'!</v>
      </c>
      <c r="G2897" s="32" t="s">
        <v>116</v>
      </c>
      <c r="H2897" s="33">
        <f t="shared" si="683"/>
        <v>19</v>
      </c>
      <c r="I2897" s="33" t="str">
        <f t="shared" si="682"/>
        <v>='C:\Users\jaime.benazar\Quorum Business Solutions\Ecopetrol Prometeo - Documents\Planning Space Implementation\3. Analysis &amp; Design\Design\FC22\DRR Jaime\QUIFA-CAJÚA\Cajua\[CAJUA_CF_SEC_New_27-Feb-2024Rev3.xlsx]D-PS'!$EA$19</v>
      </c>
      <c r="J2897" s="33" t="s">
        <v>3265</v>
      </c>
    </row>
    <row r="2898" spans="1:10" x14ac:dyDescent="0.25">
      <c r="A2898" s="32" t="s">
        <v>34</v>
      </c>
      <c r="B2898" s="32">
        <f t="shared" si="684"/>
        <v>2031</v>
      </c>
      <c r="C2898" s="33" t="s">
        <v>23</v>
      </c>
      <c r="D2898" s="34" t="s">
        <v>1999</v>
      </c>
      <c r="E2898" s="35" t="str">
        <f t="shared" si="646"/>
        <v>PS'!</v>
      </c>
      <c r="F2898" s="34" t="str">
        <f t="shared" si="647"/>
        <v>C:\Users\jaime.benazar\Quorum Business Solutions\Ecopetrol Prometeo - Documents\Planning Space Implementation\3. Analysis &amp; Design\Design\FC22\DRR Jaime\QUIFA-CAJÚA\Cajua\[CAJUA_CF_SEC_New_27-Feb-2024Rev3.xlsx]D-PS'!</v>
      </c>
      <c r="G2898" s="32" t="s">
        <v>116</v>
      </c>
      <c r="H2898" s="33">
        <f t="shared" si="683"/>
        <v>20</v>
      </c>
      <c r="I2898" s="33" t="str">
        <f t="shared" si="682"/>
        <v>='C:\Users\jaime.benazar\Quorum Business Solutions\Ecopetrol Prometeo - Documents\Planning Space Implementation\3. Analysis &amp; Design\Design\FC22\DRR Jaime\QUIFA-CAJÚA\Cajua\[CAJUA_CF_SEC_New_27-Feb-2024Rev3.xlsx]D-PS'!$EA$20</v>
      </c>
      <c r="J2898" s="33" t="s">
        <v>3266</v>
      </c>
    </row>
    <row r="2899" spans="1:10" x14ac:dyDescent="0.25">
      <c r="A2899" s="32" t="s">
        <v>34</v>
      </c>
      <c r="B2899" s="32">
        <f t="shared" si="684"/>
        <v>2032</v>
      </c>
      <c r="C2899" s="33" t="s">
        <v>23</v>
      </c>
      <c r="D2899" s="34" t="s">
        <v>1999</v>
      </c>
      <c r="E2899" s="35" t="str">
        <f t="shared" si="646"/>
        <v>PS'!</v>
      </c>
      <c r="F2899" s="34" t="str">
        <f t="shared" si="647"/>
        <v>C:\Users\jaime.benazar\Quorum Business Solutions\Ecopetrol Prometeo - Documents\Planning Space Implementation\3. Analysis &amp; Design\Design\FC22\DRR Jaime\QUIFA-CAJÚA\Cajua\[CAJUA_CF_SEC_New_27-Feb-2024Rev3.xlsx]D-PS'!</v>
      </c>
      <c r="G2899" s="32" t="s">
        <v>116</v>
      </c>
      <c r="H2899" s="33">
        <f t="shared" si="683"/>
        <v>21</v>
      </c>
      <c r="I2899" s="33" t="str">
        <f t="shared" si="682"/>
        <v>='C:\Users\jaime.benazar\Quorum Business Solutions\Ecopetrol Prometeo - Documents\Planning Space Implementation\3. Analysis &amp; Design\Design\FC22\DRR Jaime\QUIFA-CAJÚA\Cajua\[CAJUA_CF_SEC_New_27-Feb-2024Rev3.xlsx]D-PS'!$EA$21</v>
      </c>
      <c r="J2899" s="33" t="s">
        <v>3267</v>
      </c>
    </row>
    <row r="2900" spans="1:10" x14ac:dyDescent="0.25">
      <c r="A2900" s="32" t="s">
        <v>34</v>
      </c>
      <c r="B2900" s="32">
        <f t="shared" si="684"/>
        <v>2033</v>
      </c>
      <c r="C2900" s="33" t="s">
        <v>23</v>
      </c>
      <c r="D2900" s="34" t="s">
        <v>1999</v>
      </c>
      <c r="E2900" s="35" t="str">
        <f t="shared" si="646"/>
        <v>PS'!</v>
      </c>
      <c r="F2900" s="34" t="str">
        <f t="shared" si="647"/>
        <v>C:\Users\jaime.benazar\Quorum Business Solutions\Ecopetrol Prometeo - Documents\Planning Space Implementation\3. Analysis &amp; Design\Design\FC22\DRR Jaime\QUIFA-CAJÚA\Cajua\[CAJUA_CF_SEC_New_27-Feb-2024Rev3.xlsx]D-PS'!</v>
      </c>
      <c r="G2900" s="32" t="s">
        <v>116</v>
      </c>
      <c r="H2900" s="33">
        <f t="shared" si="683"/>
        <v>22</v>
      </c>
      <c r="I2900" s="33" t="str">
        <f t="shared" si="682"/>
        <v>='C:\Users\jaime.benazar\Quorum Business Solutions\Ecopetrol Prometeo - Documents\Planning Space Implementation\3. Analysis &amp; Design\Design\FC22\DRR Jaime\QUIFA-CAJÚA\Cajua\[CAJUA_CF_SEC_New_27-Feb-2024Rev3.xlsx]D-PS'!$EA$22</v>
      </c>
      <c r="J2900" s="33" t="s">
        <v>3268</v>
      </c>
    </row>
    <row r="2901" spans="1:10" x14ac:dyDescent="0.25">
      <c r="A2901" s="32" t="s">
        <v>34</v>
      </c>
      <c r="B2901" s="32">
        <f t="shared" si="684"/>
        <v>2034</v>
      </c>
      <c r="C2901" s="33" t="s">
        <v>23</v>
      </c>
      <c r="D2901" s="34" t="s">
        <v>1999</v>
      </c>
      <c r="E2901" s="35" t="str">
        <f t="shared" si="646"/>
        <v>PS'!</v>
      </c>
      <c r="F2901" s="34" t="str">
        <f t="shared" si="647"/>
        <v>C:\Users\jaime.benazar\Quorum Business Solutions\Ecopetrol Prometeo - Documents\Planning Space Implementation\3. Analysis &amp; Design\Design\FC22\DRR Jaime\QUIFA-CAJÚA\Cajua\[CAJUA_CF_SEC_New_27-Feb-2024Rev3.xlsx]D-PS'!</v>
      </c>
      <c r="G2901" s="32" t="s">
        <v>116</v>
      </c>
      <c r="H2901" s="33">
        <f t="shared" si="683"/>
        <v>23</v>
      </c>
      <c r="I2901" s="33" t="str">
        <f t="shared" si="682"/>
        <v>='C:\Users\jaime.benazar\Quorum Business Solutions\Ecopetrol Prometeo - Documents\Planning Space Implementation\3. Analysis &amp; Design\Design\FC22\DRR Jaime\QUIFA-CAJÚA\Cajua\[CAJUA_CF_SEC_New_27-Feb-2024Rev3.xlsx]D-PS'!$EA$23</v>
      </c>
      <c r="J2901" s="33" t="s">
        <v>3269</v>
      </c>
    </row>
    <row r="2902" spans="1:10" x14ac:dyDescent="0.25">
      <c r="A2902" s="32" t="s">
        <v>34</v>
      </c>
      <c r="B2902" s="32">
        <f t="shared" si="684"/>
        <v>2035</v>
      </c>
      <c r="C2902" s="33" t="s">
        <v>23</v>
      </c>
      <c r="D2902" s="34" t="s">
        <v>1999</v>
      </c>
      <c r="E2902" s="35" t="str">
        <f t="shared" si="646"/>
        <v>PS'!</v>
      </c>
      <c r="F2902" s="34" t="str">
        <f t="shared" si="647"/>
        <v>C:\Users\jaime.benazar\Quorum Business Solutions\Ecopetrol Prometeo - Documents\Planning Space Implementation\3. Analysis &amp; Design\Design\FC22\DRR Jaime\QUIFA-CAJÚA\Cajua\[CAJUA_CF_SEC_New_27-Feb-2024Rev3.xlsx]D-PS'!</v>
      </c>
      <c r="G2902" s="32" t="s">
        <v>116</v>
      </c>
      <c r="H2902" s="33">
        <f t="shared" si="683"/>
        <v>24</v>
      </c>
      <c r="I2902" s="33" t="str">
        <f t="shared" si="682"/>
        <v>='C:\Users\jaime.benazar\Quorum Business Solutions\Ecopetrol Prometeo - Documents\Planning Space Implementation\3. Analysis &amp; Design\Design\FC22\DRR Jaime\QUIFA-CAJÚA\Cajua\[CAJUA_CF_SEC_New_27-Feb-2024Rev3.xlsx]D-PS'!$EA$24</v>
      </c>
      <c r="J2902" s="33" t="s">
        <v>3270</v>
      </c>
    </row>
    <row r="2903" spans="1:10" x14ac:dyDescent="0.25">
      <c r="A2903" s="32" t="s">
        <v>34</v>
      </c>
      <c r="B2903" s="32">
        <f t="shared" si="684"/>
        <v>2036</v>
      </c>
      <c r="C2903" s="33" t="s">
        <v>23</v>
      </c>
      <c r="D2903" s="34" t="s">
        <v>1999</v>
      </c>
      <c r="E2903" s="35" t="str">
        <f t="shared" si="646"/>
        <v>PS'!</v>
      </c>
      <c r="F2903" s="34" t="str">
        <f t="shared" si="647"/>
        <v>C:\Users\jaime.benazar\Quorum Business Solutions\Ecopetrol Prometeo - Documents\Planning Space Implementation\3. Analysis &amp; Design\Design\FC22\DRR Jaime\QUIFA-CAJÚA\Cajua\[CAJUA_CF_SEC_New_27-Feb-2024Rev3.xlsx]D-PS'!</v>
      </c>
      <c r="G2903" s="32" t="s">
        <v>116</v>
      </c>
      <c r="H2903" s="33">
        <f t="shared" si="683"/>
        <v>25</v>
      </c>
      <c r="I2903" s="33" t="str">
        <f t="shared" si="682"/>
        <v>='C:\Users\jaime.benazar\Quorum Business Solutions\Ecopetrol Prometeo - Documents\Planning Space Implementation\3. Analysis &amp; Design\Design\FC22\DRR Jaime\QUIFA-CAJÚA\Cajua\[CAJUA_CF_SEC_New_27-Feb-2024Rev3.xlsx]D-PS'!$EA$25</v>
      </c>
      <c r="J2903" s="33" t="s">
        <v>3271</v>
      </c>
    </row>
    <row r="2904" spans="1:10" x14ac:dyDescent="0.25">
      <c r="A2904" s="32" t="s">
        <v>34</v>
      </c>
      <c r="B2904" s="32">
        <f>+B2903+1</f>
        <v>2037</v>
      </c>
      <c r="C2904" s="33" t="s">
        <v>23</v>
      </c>
      <c r="D2904" s="34" t="s">
        <v>1999</v>
      </c>
      <c r="E2904" s="35" t="str">
        <f t="shared" si="646"/>
        <v>PS'!</v>
      </c>
      <c r="F2904" s="34" t="str">
        <f t="shared" si="647"/>
        <v>C:\Users\jaime.benazar\Quorum Business Solutions\Ecopetrol Prometeo - Documents\Planning Space Implementation\3. Analysis &amp; Design\Design\FC22\DRR Jaime\QUIFA-CAJÚA\Cajua\[CAJUA_CF_SEC_New_27-Feb-2024Rev3.xlsx]D-PS'!</v>
      </c>
      <c r="G2904" s="32" t="s">
        <v>116</v>
      </c>
      <c r="H2904" s="33">
        <f t="shared" si="683"/>
        <v>26</v>
      </c>
      <c r="I2904" s="33" t="str">
        <f t="shared" si="682"/>
        <v>='C:\Users\jaime.benazar\Quorum Business Solutions\Ecopetrol Prometeo - Documents\Planning Space Implementation\3. Analysis &amp; Design\Design\FC22\DRR Jaime\QUIFA-CAJÚA\Cajua\[CAJUA_CF_SEC_New_27-Feb-2024Rev3.xlsx]D-PS'!$EA$26</v>
      </c>
      <c r="J2904" s="33" t="s">
        <v>3272</v>
      </c>
    </row>
    <row r="2905" spans="1:10" x14ac:dyDescent="0.25">
      <c r="A2905" s="32" t="s">
        <v>34</v>
      </c>
      <c r="B2905" s="32">
        <f t="shared" ref="B2905:B2907" si="685">+B2904+1</f>
        <v>2038</v>
      </c>
      <c r="C2905" s="33" t="s">
        <v>23</v>
      </c>
      <c r="D2905" s="34" t="s">
        <v>1999</v>
      </c>
      <c r="E2905" s="35" t="str">
        <f t="shared" si="646"/>
        <v>PS'!</v>
      </c>
      <c r="F2905" s="34" t="str">
        <f t="shared" si="647"/>
        <v>C:\Users\jaime.benazar\Quorum Business Solutions\Ecopetrol Prometeo - Documents\Planning Space Implementation\3. Analysis &amp; Design\Design\FC22\DRR Jaime\QUIFA-CAJÚA\Cajua\[CAJUA_CF_SEC_New_27-Feb-2024Rev3.xlsx]D-PS'!</v>
      </c>
      <c r="G2905" s="32" t="s">
        <v>116</v>
      </c>
      <c r="H2905" s="33">
        <f t="shared" si="683"/>
        <v>27</v>
      </c>
      <c r="I2905" s="33" t="str">
        <f t="shared" si="682"/>
        <v>='C:\Users\jaime.benazar\Quorum Business Solutions\Ecopetrol Prometeo - Documents\Planning Space Implementation\3. Analysis &amp; Design\Design\FC22\DRR Jaime\QUIFA-CAJÚA\Cajua\[CAJUA_CF_SEC_New_27-Feb-2024Rev3.xlsx]D-PS'!$EA$27</v>
      </c>
      <c r="J2905" s="33" t="s">
        <v>3273</v>
      </c>
    </row>
    <row r="2906" spans="1:10" x14ac:dyDescent="0.25">
      <c r="A2906" s="32" t="s">
        <v>34</v>
      </c>
      <c r="B2906" s="32">
        <f t="shared" si="685"/>
        <v>2039</v>
      </c>
      <c r="C2906" s="33" t="s">
        <v>23</v>
      </c>
      <c r="D2906" s="34" t="s">
        <v>1999</v>
      </c>
      <c r="E2906" s="35" t="str">
        <f t="shared" si="646"/>
        <v>PS'!</v>
      </c>
      <c r="F2906" s="34" t="str">
        <f t="shared" si="647"/>
        <v>C:\Users\jaime.benazar\Quorum Business Solutions\Ecopetrol Prometeo - Documents\Planning Space Implementation\3. Analysis &amp; Design\Design\FC22\DRR Jaime\QUIFA-CAJÚA\Cajua\[CAJUA_CF_SEC_New_27-Feb-2024Rev3.xlsx]D-PS'!</v>
      </c>
      <c r="G2906" s="32" t="s">
        <v>116</v>
      </c>
      <c r="H2906" s="33">
        <f t="shared" si="683"/>
        <v>28</v>
      </c>
      <c r="I2906" s="33" t="str">
        <f t="shared" si="682"/>
        <v>='C:\Users\jaime.benazar\Quorum Business Solutions\Ecopetrol Prometeo - Documents\Planning Space Implementation\3. Analysis &amp; Design\Design\FC22\DRR Jaime\QUIFA-CAJÚA\Cajua\[CAJUA_CF_SEC_New_27-Feb-2024Rev3.xlsx]D-PS'!$EA$28</v>
      </c>
      <c r="J2906" s="33" t="s">
        <v>3274</v>
      </c>
    </row>
    <row r="2907" spans="1:10" x14ac:dyDescent="0.25">
      <c r="A2907" s="32" t="s">
        <v>34</v>
      </c>
      <c r="B2907" s="32">
        <f t="shared" si="685"/>
        <v>2040</v>
      </c>
      <c r="C2907" s="33" t="s">
        <v>23</v>
      </c>
      <c r="D2907" s="34" t="s">
        <v>1999</v>
      </c>
      <c r="E2907" s="35" t="str">
        <f t="shared" si="646"/>
        <v>PS'!</v>
      </c>
      <c r="F2907" s="34" t="str">
        <f t="shared" si="647"/>
        <v>C:\Users\jaime.benazar\Quorum Business Solutions\Ecopetrol Prometeo - Documents\Planning Space Implementation\3. Analysis &amp; Design\Design\FC22\DRR Jaime\QUIFA-CAJÚA\Cajua\[CAJUA_CF_SEC_New_27-Feb-2024Rev3.xlsx]D-PS'!</v>
      </c>
      <c r="G2907" s="32" t="s">
        <v>116</v>
      </c>
      <c r="H2907" s="33">
        <f t="shared" si="683"/>
        <v>29</v>
      </c>
      <c r="I2907" s="33" t="str">
        <f t="shared" si="682"/>
        <v>='C:\Users\jaime.benazar\Quorum Business Solutions\Ecopetrol Prometeo - Documents\Planning Space Implementation\3. Analysis &amp; Design\Design\FC22\DRR Jaime\QUIFA-CAJÚA\Cajua\[CAJUA_CF_SEC_New_27-Feb-2024Rev3.xlsx]D-PS'!$EA$29</v>
      </c>
      <c r="J2907" s="33" t="s">
        <v>3275</v>
      </c>
    </row>
    <row r="2908" spans="1:10" x14ac:dyDescent="0.25">
      <c r="A2908" s="32" t="s">
        <v>34</v>
      </c>
      <c r="B2908" s="32">
        <f>+B2907+1</f>
        <v>2041</v>
      </c>
      <c r="C2908" s="33" t="s">
        <v>23</v>
      </c>
      <c r="D2908" s="34" t="s">
        <v>1999</v>
      </c>
      <c r="E2908" s="35" t="str">
        <f t="shared" si="646"/>
        <v>PS'!</v>
      </c>
      <c r="F2908" s="34" t="str">
        <f t="shared" si="647"/>
        <v>C:\Users\jaime.benazar\Quorum Business Solutions\Ecopetrol Prometeo - Documents\Planning Space Implementation\3. Analysis &amp; Design\Design\FC22\DRR Jaime\QUIFA-CAJÚA\Cajua\[CAJUA_CF_SEC_New_27-Feb-2024Rev3.xlsx]D-PS'!</v>
      </c>
      <c r="G2908" s="32" t="s">
        <v>116</v>
      </c>
      <c r="H2908" s="33">
        <f t="shared" si="683"/>
        <v>30</v>
      </c>
      <c r="I2908" s="33" t="str">
        <f t="shared" si="682"/>
        <v>='C:\Users\jaime.benazar\Quorum Business Solutions\Ecopetrol Prometeo - Documents\Planning Space Implementation\3. Analysis &amp; Design\Design\FC22\DRR Jaime\QUIFA-CAJÚA\Cajua\[CAJUA_CF_SEC_New_27-Feb-2024Rev3.xlsx]D-PS'!$EA$30</v>
      </c>
      <c r="J2908" s="33" t="s">
        <v>3276</v>
      </c>
    </row>
    <row r="2909" spans="1:10" x14ac:dyDescent="0.25">
      <c r="A2909" s="32" t="s">
        <v>34</v>
      </c>
      <c r="B2909" s="32">
        <f t="shared" ref="B2909:B2910" si="686">+B2908+1</f>
        <v>2042</v>
      </c>
      <c r="C2909" s="33" t="s">
        <v>23</v>
      </c>
      <c r="D2909" s="34" t="s">
        <v>1999</v>
      </c>
      <c r="E2909" s="35" t="str">
        <f t="shared" si="646"/>
        <v>PS'!</v>
      </c>
      <c r="F2909" s="34" t="str">
        <f t="shared" si="647"/>
        <v>C:\Users\jaime.benazar\Quorum Business Solutions\Ecopetrol Prometeo - Documents\Planning Space Implementation\3. Analysis &amp; Design\Design\FC22\DRR Jaime\QUIFA-CAJÚA\Cajua\[CAJUA_CF_SEC_New_27-Feb-2024Rev3.xlsx]D-PS'!</v>
      </c>
      <c r="G2909" s="32" t="s">
        <v>116</v>
      </c>
      <c r="H2909" s="33">
        <f t="shared" si="683"/>
        <v>31</v>
      </c>
      <c r="I2909" s="33" t="str">
        <f t="shared" si="682"/>
        <v>='C:\Users\jaime.benazar\Quorum Business Solutions\Ecopetrol Prometeo - Documents\Planning Space Implementation\3. Analysis &amp; Design\Design\FC22\DRR Jaime\QUIFA-CAJÚA\Cajua\[CAJUA_CF_SEC_New_27-Feb-2024Rev3.xlsx]D-PS'!$EA$31</v>
      </c>
      <c r="J2909" s="33" t="s">
        <v>3277</v>
      </c>
    </row>
    <row r="2910" spans="1:10" x14ac:dyDescent="0.25">
      <c r="A2910" s="32" t="s">
        <v>34</v>
      </c>
      <c r="B2910" s="32">
        <f t="shared" si="686"/>
        <v>2043</v>
      </c>
      <c r="C2910" s="33" t="s">
        <v>23</v>
      </c>
      <c r="D2910" s="34" t="s">
        <v>1999</v>
      </c>
      <c r="E2910" s="35" t="str">
        <f t="shared" si="646"/>
        <v>PS'!</v>
      </c>
      <c r="F2910" s="34" t="str">
        <f t="shared" si="647"/>
        <v>C:\Users\jaime.benazar\Quorum Business Solutions\Ecopetrol Prometeo - Documents\Planning Space Implementation\3. Analysis &amp; Design\Design\FC22\DRR Jaime\QUIFA-CAJÚA\Cajua\[CAJUA_CF_SEC_New_27-Feb-2024Rev3.xlsx]D-PS'!</v>
      </c>
      <c r="G2910" s="32" t="s">
        <v>116</v>
      </c>
      <c r="H2910" s="33">
        <f t="shared" si="683"/>
        <v>32</v>
      </c>
      <c r="I2910" s="33" t="str">
        <f t="shared" si="682"/>
        <v>='C:\Users\jaime.benazar\Quorum Business Solutions\Ecopetrol Prometeo - Documents\Planning Space Implementation\3. Analysis &amp; Design\Design\FC22\DRR Jaime\QUIFA-CAJÚA\Cajua\[CAJUA_CF_SEC_New_27-Feb-2024Rev3.xlsx]D-PS'!$EA$32</v>
      </c>
      <c r="J2910" s="33" t="s">
        <v>3278</v>
      </c>
    </row>
    <row r="2911" spans="1:10" x14ac:dyDescent="0.25">
      <c r="A2911" s="32" t="s">
        <v>34</v>
      </c>
      <c r="B2911" s="32">
        <f>+B2910+1</f>
        <v>2044</v>
      </c>
      <c r="C2911" s="33" t="s">
        <v>23</v>
      </c>
      <c r="D2911" s="34" t="s">
        <v>1999</v>
      </c>
      <c r="E2911" s="35" t="str">
        <f t="shared" ref="E2911:E2926" si="687">_xlfn.CONCAT(A2911,"'!")</f>
        <v>PS'!</v>
      </c>
      <c r="F2911" s="34" t="str">
        <f t="shared" ref="F2911:F2926" si="688">_xlfn.CONCAT(D2911:E2911)</f>
        <v>C:\Users\jaime.benazar\Quorum Business Solutions\Ecopetrol Prometeo - Documents\Planning Space Implementation\3. Analysis &amp; Design\Design\FC22\DRR Jaime\QUIFA-CAJÚA\Cajua\[CAJUA_CF_SEC_New_27-Feb-2024Rev3.xlsx]D-PS'!</v>
      </c>
      <c r="G2911" s="32" t="s">
        <v>116</v>
      </c>
      <c r="H2911" s="33">
        <f t="shared" ref="H2911:H2926" si="689">IF(A2911&lt;&gt;A2910,12,H2910+1)</f>
        <v>33</v>
      </c>
      <c r="I2911" s="33" t="str">
        <f t="shared" ref="I2911:I2926" si="690">_xlfn.CONCAT("='",F2911:H2911)</f>
        <v>='C:\Users\jaime.benazar\Quorum Business Solutions\Ecopetrol Prometeo - Documents\Planning Space Implementation\3. Analysis &amp; Design\Design\FC22\DRR Jaime\QUIFA-CAJÚA\Cajua\[CAJUA_CF_SEC_New_27-Feb-2024Rev3.xlsx]D-PS'!$EA$33</v>
      </c>
      <c r="J2911" s="33" t="s">
        <v>3279</v>
      </c>
    </row>
    <row r="2912" spans="1:10" x14ac:dyDescent="0.25">
      <c r="A2912" s="32" t="s">
        <v>34</v>
      </c>
      <c r="B2912" s="32">
        <f t="shared" ref="B2912:B2926" si="691">+B2911+1</f>
        <v>2045</v>
      </c>
      <c r="C2912" s="33" t="s">
        <v>23</v>
      </c>
      <c r="D2912" s="34" t="s">
        <v>1999</v>
      </c>
      <c r="E2912" s="35" t="str">
        <f t="shared" si="687"/>
        <v>PS'!</v>
      </c>
      <c r="F2912" s="34" t="str">
        <f t="shared" si="688"/>
        <v>C:\Users\jaime.benazar\Quorum Business Solutions\Ecopetrol Prometeo - Documents\Planning Space Implementation\3. Analysis &amp; Design\Design\FC22\DRR Jaime\QUIFA-CAJÚA\Cajua\[CAJUA_CF_SEC_New_27-Feb-2024Rev3.xlsx]D-PS'!</v>
      </c>
      <c r="G2912" s="32" t="s">
        <v>116</v>
      </c>
      <c r="H2912" s="33">
        <f t="shared" si="689"/>
        <v>34</v>
      </c>
      <c r="I2912" s="33" t="str">
        <f t="shared" si="690"/>
        <v>='C:\Users\jaime.benazar\Quorum Business Solutions\Ecopetrol Prometeo - Documents\Planning Space Implementation\3. Analysis &amp; Design\Design\FC22\DRR Jaime\QUIFA-CAJÚA\Cajua\[CAJUA_CF_SEC_New_27-Feb-2024Rev3.xlsx]D-PS'!$EA$34</v>
      </c>
      <c r="J2912" s="33" t="s">
        <v>3280</v>
      </c>
    </row>
    <row r="2913" spans="1:10" x14ac:dyDescent="0.25">
      <c r="A2913" s="32" t="s">
        <v>34</v>
      </c>
      <c r="B2913" s="32">
        <f t="shared" si="691"/>
        <v>2046</v>
      </c>
      <c r="C2913" s="33" t="s">
        <v>23</v>
      </c>
      <c r="D2913" s="34" t="s">
        <v>1999</v>
      </c>
      <c r="E2913" s="35" t="str">
        <f t="shared" si="687"/>
        <v>PS'!</v>
      </c>
      <c r="F2913" s="34" t="str">
        <f t="shared" si="688"/>
        <v>C:\Users\jaime.benazar\Quorum Business Solutions\Ecopetrol Prometeo - Documents\Planning Space Implementation\3. Analysis &amp; Design\Design\FC22\DRR Jaime\QUIFA-CAJÚA\Cajua\[CAJUA_CF_SEC_New_27-Feb-2024Rev3.xlsx]D-PS'!</v>
      </c>
      <c r="G2913" s="32" t="s">
        <v>116</v>
      </c>
      <c r="H2913" s="33">
        <f t="shared" si="689"/>
        <v>35</v>
      </c>
      <c r="I2913" s="33" t="str">
        <f t="shared" si="690"/>
        <v>='C:\Users\jaime.benazar\Quorum Business Solutions\Ecopetrol Prometeo - Documents\Planning Space Implementation\3. Analysis &amp; Design\Design\FC22\DRR Jaime\QUIFA-CAJÚA\Cajua\[CAJUA_CF_SEC_New_27-Feb-2024Rev3.xlsx]D-PS'!$EA$35</v>
      </c>
      <c r="J2913" s="33" t="s">
        <v>3281</v>
      </c>
    </row>
    <row r="2914" spans="1:10" x14ac:dyDescent="0.25">
      <c r="A2914" s="32" t="s">
        <v>34</v>
      </c>
      <c r="B2914" s="32">
        <f t="shared" si="691"/>
        <v>2047</v>
      </c>
      <c r="C2914" s="33" t="s">
        <v>23</v>
      </c>
      <c r="D2914" s="34" t="s">
        <v>1999</v>
      </c>
      <c r="E2914" s="35" t="str">
        <f t="shared" si="687"/>
        <v>PS'!</v>
      </c>
      <c r="F2914" s="34" t="str">
        <f t="shared" si="688"/>
        <v>C:\Users\jaime.benazar\Quorum Business Solutions\Ecopetrol Prometeo - Documents\Planning Space Implementation\3. Analysis &amp; Design\Design\FC22\DRR Jaime\QUIFA-CAJÚA\Cajua\[CAJUA_CF_SEC_New_27-Feb-2024Rev3.xlsx]D-PS'!</v>
      </c>
      <c r="G2914" s="32" t="s">
        <v>116</v>
      </c>
      <c r="H2914" s="33">
        <f t="shared" si="689"/>
        <v>36</v>
      </c>
      <c r="I2914" s="33" t="str">
        <f t="shared" si="690"/>
        <v>='C:\Users\jaime.benazar\Quorum Business Solutions\Ecopetrol Prometeo - Documents\Planning Space Implementation\3. Analysis &amp; Design\Design\FC22\DRR Jaime\QUIFA-CAJÚA\Cajua\[CAJUA_CF_SEC_New_27-Feb-2024Rev3.xlsx]D-PS'!$EA$36</v>
      </c>
      <c r="J2914" s="33" t="s">
        <v>3282</v>
      </c>
    </row>
    <row r="2915" spans="1:10" x14ac:dyDescent="0.25">
      <c r="A2915" s="32" t="s">
        <v>34</v>
      </c>
      <c r="B2915" s="32">
        <f t="shared" si="691"/>
        <v>2048</v>
      </c>
      <c r="C2915" s="33" t="s">
        <v>23</v>
      </c>
      <c r="D2915" s="34" t="s">
        <v>1999</v>
      </c>
      <c r="E2915" s="35" t="str">
        <f t="shared" si="687"/>
        <v>PS'!</v>
      </c>
      <c r="F2915" s="34" t="str">
        <f t="shared" si="688"/>
        <v>C:\Users\jaime.benazar\Quorum Business Solutions\Ecopetrol Prometeo - Documents\Planning Space Implementation\3. Analysis &amp; Design\Design\FC22\DRR Jaime\QUIFA-CAJÚA\Cajua\[CAJUA_CF_SEC_New_27-Feb-2024Rev3.xlsx]D-PS'!</v>
      </c>
      <c r="G2915" s="32" t="s">
        <v>116</v>
      </c>
      <c r="H2915" s="33">
        <f t="shared" si="689"/>
        <v>37</v>
      </c>
      <c r="I2915" s="33" t="str">
        <f t="shared" si="690"/>
        <v>='C:\Users\jaime.benazar\Quorum Business Solutions\Ecopetrol Prometeo - Documents\Planning Space Implementation\3. Analysis &amp; Design\Design\FC22\DRR Jaime\QUIFA-CAJÚA\Cajua\[CAJUA_CF_SEC_New_27-Feb-2024Rev3.xlsx]D-PS'!$EA$37</v>
      </c>
      <c r="J2915" s="33" t="s">
        <v>3283</v>
      </c>
    </row>
    <row r="2916" spans="1:10" x14ac:dyDescent="0.25">
      <c r="A2916" s="32" t="s">
        <v>34</v>
      </c>
      <c r="B2916" s="32">
        <f t="shared" si="691"/>
        <v>2049</v>
      </c>
      <c r="C2916" s="33" t="s">
        <v>23</v>
      </c>
      <c r="D2916" s="34" t="s">
        <v>1999</v>
      </c>
      <c r="E2916" s="35" t="str">
        <f t="shared" si="687"/>
        <v>PS'!</v>
      </c>
      <c r="F2916" s="34" t="str">
        <f t="shared" si="688"/>
        <v>C:\Users\jaime.benazar\Quorum Business Solutions\Ecopetrol Prometeo - Documents\Planning Space Implementation\3. Analysis &amp; Design\Design\FC22\DRR Jaime\QUIFA-CAJÚA\Cajua\[CAJUA_CF_SEC_New_27-Feb-2024Rev3.xlsx]D-PS'!</v>
      </c>
      <c r="G2916" s="32" t="s">
        <v>116</v>
      </c>
      <c r="H2916" s="33">
        <f t="shared" si="689"/>
        <v>38</v>
      </c>
      <c r="I2916" s="33" t="str">
        <f t="shared" si="690"/>
        <v>='C:\Users\jaime.benazar\Quorum Business Solutions\Ecopetrol Prometeo - Documents\Planning Space Implementation\3. Analysis &amp; Design\Design\FC22\DRR Jaime\QUIFA-CAJÚA\Cajua\[CAJUA_CF_SEC_New_27-Feb-2024Rev3.xlsx]D-PS'!$EA$38</v>
      </c>
      <c r="J2916" s="33" t="s">
        <v>3284</v>
      </c>
    </row>
    <row r="2917" spans="1:10" x14ac:dyDescent="0.25">
      <c r="A2917" s="32" t="s">
        <v>34</v>
      </c>
      <c r="B2917" s="32">
        <f t="shared" si="691"/>
        <v>2050</v>
      </c>
      <c r="C2917" s="33" t="s">
        <v>23</v>
      </c>
      <c r="D2917" s="34" t="s">
        <v>1999</v>
      </c>
      <c r="E2917" s="35" t="str">
        <f t="shared" si="687"/>
        <v>PS'!</v>
      </c>
      <c r="F2917" s="34" t="str">
        <f t="shared" si="688"/>
        <v>C:\Users\jaime.benazar\Quorum Business Solutions\Ecopetrol Prometeo - Documents\Planning Space Implementation\3. Analysis &amp; Design\Design\FC22\DRR Jaime\QUIFA-CAJÚA\Cajua\[CAJUA_CF_SEC_New_27-Feb-2024Rev3.xlsx]D-PS'!</v>
      </c>
      <c r="G2917" s="32" t="s">
        <v>116</v>
      </c>
      <c r="H2917" s="33">
        <f t="shared" si="689"/>
        <v>39</v>
      </c>
      <c r="I2917" s="33" t="str">
        <f t="shared" si="690"/>
        <v>='C:\Users\jaime.benazar\Quorum Business Solutions\Ecopetrol Prometeo - Documents\Planning Space Implementation\3. Analysis &amp; Design\Design\FC22\DRR Jaime\QUIFA-CAJÚA\Cajua\[CAJUA_CF_SEC_New_27-Feb-2024Rev3.xlsx]D-PS'!$EA$39</v>
      </c>
      <c r="J2917" s="33" t="s">
        <v>3285</v>
      </c>
    </row>
    <row r="2918" spans="1:10" x14ac:dyDescent="0.25">
      <c r="A2918" s="32" t="s">
        <v>34</v>
      </c>
      <c r="B2918" s="32">
        <f t="shared" si="691"/>
        <v>2051</v>
      </c>
      <c r="C2918" s="33" t="s">
        <v>23</v>
      </c>
      <c r="D2918" s="34" t="s">
        <v>1999</v>
      </c>
      <c r="E2918" s="35" t="str">
        <f t="shared" si="687"/>
        <v>PS'!</v>
      </c>
      <c r="F2918" s="34" t="str">
        <f t="shared" si="688"/>
        <v>C:\Users\jaime.benazar\Quorum Business Solutions\Ecopetrol Prometeo - Documents\Planning Space Implementation\3. Analysis &amp; Design\Design\FC22\DRR Jaime\QUIFA-CAJÚA\Cajua\[CAJUA_CF_SEC_New_27-Feb-2024Rev3.xlsx]D-PS'!</v>
      </c>
      <c r="G2918" s="32" t="s">
        <v>116</v>
      </c>
      <c r="H2918" s="33">
        <f t="shared" si="689"/>
        <v>40</v>
      </c>
      <c r="I2918" s="33" t="str">
        <f t="shared" si="690"/>
        <v>='C:\Users\jaime.benazar\Quorum Business Solutions\Ecopetrol Prometeo - Documents\Planning Space Implementation\3. Analysis &amp; Design\Design\FC22\DRR Jaime\QUIFA-CAJÚA\Cajua\[CAJUA_CF_SEC_New_27-Feb-2024Rev3.xlsx]D-PS'!$EA$40</v>
      </c>
      <c r="J2918" s="33" t="s">
        <v>3286</v>
      </c>
    </row>
    <row r="2919" spans="1:10" x14ac:dyDescent="0.25">
      <c r="A2919" s="32" t="s">
        <v>34</v>
      </c>
      <c r="B2919" s="32">
        <f t="shared" si="691"/>
        <v>2052</v>
      </c>
      <c r="C2919" s="33" t="s">
        <v>23</v>
      </c>
      <c r="D2919" s="34" t="s">
        <v>1999</v>
      </c>
      <c r="E2919" s="35" t="str">
        <f t="shared" si="687"/>
        <v>PS'!</v>
      </c>
      <c r="F2919" s="34" t="str">
        <f t="shared" si="688"/>
        <v>C:\Users\jaime.benazar\Quorum Business Solutions\Ecopetrol Prometeo - Documents\Planning Space Implementation\3. Analysis &amp; Design\Design\FC22\DRR Jaime\QUIFA-CAJÚA\Cajua\[CAJUA_CF_SEC_New_27-Feb-2024Rev3.xlsx]D-PS'!</v>
      </c>
      <c r="G2919" s="32" t="s">
        <v>116</v>
      </c>
      <c r="H2919" s="33">
        <f t="shared" si="689"/>
        <v>41</v>
      </c>
      <c r="I2919" s="33" t="str">
        <f t="shared" si="690"/>
        <v>='C:\Users\jaime.benazar\Quorum Business Solutions\Ecopetrol Prometeo - Documents\Planning Space Implementation\3. Analysis &amp; Design\Design\FC22\DRR Jaime\QUIFA-CAJÚA\Cajua\[CAJUA_CF_SEC_New_27-Feb-2024Rev3.xlsx]D-PS'!$EA$41</v>
      </c>
      <c r="J2919" s="33" t="s">
        <v>3287</v>
      </c>
    </row>
    <row r="2920" spans="1:10" x14ac:dyDescent="0.25">
      <c r="A2920" s="32" t="s">
        <v>34</v>
      </c>
      <c r="B2920" s="32">
        <f t="shared" si="691"/>
        <v>2053</v>
      </c>
      <c r="C2920" s="33" t="s">
        <v>23</v>
      </c>
      <c r="D2920" s="34" t="s">
        <v>1999</v>
      </c>
      <c r="E2920" s="35" t="str">
        <f t="shared" si="687"/>
        <v>PS'!</v>
      </c>
      <c r="F2920" s="34" t="str">
        <f t="shared" si="688"/>
        <v>C:\Users\jaime.benazar\Quorum Business Solutions\Ecopetrol Prometeo - Documents\Planning Space Implementation\3. Analysis &amp; Design\Design\FC22\DRR Jaime\QUIFA-CAJÚA\Cajua\[CAJUA_CF_SEC_New_27-Feb-2024Rev3.xlsx]D-PS'!</v>
      </c>
      <c r="G2920" s="32" t="s">
        <v>116</v>
      </c>
      <c r="H2920" s="33">
        <f t="shared" si="689"/>
        <v>42</v>
      </c>
      <c r="I2920" s="33" t="str">
        <f t="shared" si="690"/>
        <v>='C:\Users\jaime.benazar\Quorum Business Solutions\Ecopetrol Prometeo - Documents\Planning Space Implementation\3. Analysis &amp; Design\Design\FC22\DRR Jaime\QUIFA-CAJÚA\Cajua\[CAJUA_CF_SEC_New_27-Feb-2024Rev3.xlsx]D-PS'!$EA$42</v>
      </c>
      <c r="J2920" s="33" t="s">
        <v>3288</v>
      </c>
    </row>
    <row r="2921" spans="1:10" x14ac:dyDescent="0.25">
      <c r="A2921" s="32" t="s">
        <v>34</v>
      </c>
      <c r="B2921" s="32">
        <f t="shared" si="691"/>
        <v>2054</v>
      </c>
      <c r="C2921" s="33" t="s">
        <v>23</v>
      </c>
      <c r="D2921" s="34" t="s">
        <v>1999</v>
      </c>
      <c r="E2921" s="35" t="str">
        <f t="shared" si="687"/>
        <v>PS'!</v>
      </c>
      <c r="F2921" s="34" t="str">
        <f t="shared" si="688"/>
        <v>C:\Users\jaime.benazar\Quorum Business Solutions\Ecopetrol Prometeo - Documents\Planning Space Implementation\3. Analysis &amp; Design\Design\FC22\DRR Jaime\QUIFA-CAJÚA\Cajua\[CAJUA_CF_SEC_New_27-Feb-2024Rev3.xlsx]D-PS'!</v>
      </c>
      <c r="G2921" s="32" t="s">
        <v>116</v>
      </c>
      <c r="H2921" s="33">
        <f t="shared" si="689"/>
        <v>43</v>
      </c>
      <c r="I2921" s="33" t="str">
        <f t="shared" si="690"/>
        <v>='C:\Users\jaime.benazar\Quorum Business Solutions\Ecopetrol Prometeo - Documents\Planning Space Implementation\3. Analysis &amp; Design\Design\FC22\DRR Jaime\QUIFA-CAJÚA\Cajua\[CAJUA_CF_SEC_New_27-Feb-2024Rev3.xlsx]D-PS'!$EA$43</v>
      </c>
      <c r="J2921" s="33" t="s">
        <v>3289</v>
      </c>
    </row>
    <row r="2922" spans="1:10" x14ac:dyDescent="0.25">
      <c r="A2922" s="32" t="s">
        <v>34</v>
      </c>
      <c r="B2922" s="32">
        <f t="shared" si="691"/>
        <v>2055</v>
      </c>
      <c r="C2922" s="33" t="s">
        <v>23</v>
      </c>
      <c r="D2922" s="34" t="s">
        <v>1999</v>
      </c>
      <c r="E2922" s="35" t="str">
        <f t="shared" si="687"/>
        <v>PS'!</v>
      </c>
      <c r="F2922" s="34" t="str">
        <f t="shared" si="688"/>
        <v>C:\Users\jaime.benazar\Quorum Business Solutions\Ecopetrol Prometeo - Documents\Planning Space Implementation\3. Analysis &amp; Design\Design\FC22\DRR Jaime\QUIFA-CAJÚA\Cajua\[CAJUA_CF_SEC_New_27-Feb-2024Rev3.xlsx]D-PS'!</v>
      </c>
      <c r="G2922" s="32" t="s">
        <v>116</v>
      </c>
      <c r="H2922" s="33">
        <f t="shared" si="689"/>
        <v>44</v>
      </c>
      <c r="I2922" s="33" t="str">
        <f t="shared" si="690"/>
        <v>='C:\Users\jaime.benazar\Quorum Business Solutions\Ecopetrol Prometeo - Documents\Planning Space Implementation\3. Analysis &amp; Design\Design\FC22\DRR Jaime\QUIFA-CAJÚA\Cajua\[CAJUA_CF_SEC_New_27-Feb-2024Rev3.xlsx]D-PS'!$EA$44</v>
      </c>
      <c r="J2922" s="33" t="s">
        <v>3290</v>
      </c>
    </row>
    <row r="2923" spans="1:10" x14ac:dyDescent="0.25">
      <c r="A2923" s="32" t="s">
        <v>34</v>
      </c>
      <c r="B2923" s="32">
        <f t="shared" si="691"/>
        <v>2056</v>
      </c>
      <c r="C2923" s="33" t="s">
        <v>23</v>
      </c>
      <c r="D2923" s="34" t="s">
        <v>1999</v>
      </c>
      <c r="E2923" s="35" t="str">
        <f t="shared" si="687"/>
        <v>PS'!</v>
      </c>
      <c r="F2923" s="34" t="str">
        <f t="shared" si="688"/>
        <v>C:\Users\jaime.benazar\Quorum Business Solutions\Ecopetrol Prometeo - Documents\Planning Space Implementation\3. Analysis &amp; Design\Design\FC22\DRR Jaime\QUIFA-CAJÚA\Cajua\[CAJUA_CF_SEC_New_27-Feb-2024Rev3.xlsx]D-PS'!</v>
      </c>
      <c r="G2923" s="32" t="s">
        <v>116</v>
      </c>
      <c r="H2923" s="33">
        <f t="shared" si="689"/>
        <v>45</v>
      </c>
      <c r="I2923" s="33" t="str">
        <f t="shared" si="690"/>
        <v>='C:\Users\jaime.benazar\Quorum Business Solutions\Ecopetrol Prometeo - Documents\Planning Space Implementation\3. Analysis &amp; Design\Design\FC22\DRR Jaime\QUIFA-CAJÚA\Cajua\[CAJUA_CF_SEC_New_27-Feb-2024Rev3.xlsx]D-PS'!$EA$45</v>
      </c>
      <c r="J2923" s="33" t="s">
        <v>3291</v>
      </c>
    </row>
    <row r="2924" spans="1:10" x14ac:dyDescent="0.25">
      <c r="A2924" s="32" t="s">
        <v>34</v>
      </c>
      <c r="B2924" s="32">
        <f t="shared" si="691"/>
        <v>2057</v>
      </c>
      <c r="C2924" s="33" t="s">
        <v>23</v>
      </c>
      <c r="D2924" s="34" t="s">
        <v>1999</v>
      </c>
      <c r="E2924" s="35" t="str">
        <f t="shared" si="687"/>
        <v>PS'!</v>
      </c>
      <c r="F2924" s="34" t="str">
        <f t="shared" si="688"/>
        <v>C:\Users\jaime.benazar\Quorum Business Solutions\Ecopetrol Prometeo - Documents\Planning Space Implementation\3. Analysis &amp; Design\Design\FC22\DRR Jaime\QUIFA-CAJÚA\Cajua\[CAJUA_CF_SEC_New_27-Feb-2024Rev3.xlsx]D-PS'!</v>
      </c>
      <c r="G2924" s="32" t="s">
        <v>116</v>
      </c>
      <c r="H2924" s="33">
        <f t="shared" si="689"/>
        <v>46</v>
      </c>
      <c r="I2924" s="33" t="str">
        <f t="shared" si="690"/>
        <v>='C:\Users\jaime.benazar\Quorum Business Solutions\Ecopetrol Prometeo - Documents\Planning Space Implementation\3. Analysis &amp; Design\Design\FC22\DRR Jaime\QUIFA-CAJÚA\Cajua\[CAJUA_CF_SEC_New_27-Feb-2024Rev3.xlsx]D-PS'!$EA$46</v>
      </c>
      <c r="J2924" s="33" t="s">
        <v>3292</v>
      </c>
    </row>
    <row r="2925" spans="1:10" x14ac:dyDescent="0.25">
      <c r="A2925" s="32" t="s">
        <v>34</v>
      </c>
      <c r="B2925" s="32">
        <f t="shared" si="691"/>
        <v>2058</v>
      </c>
      <c r="C2925" s="33" t="s">
        <v>23</v>
      </c>
      <c r="D2925" s="34" t="s">
        <v>1999</v>
      </c>
      <c r="E2925" s="35" t="str">
        <f t="shared" si="687"/>
        <v>PS'!</v>
      </c>
      <c r="F2925" s="34" t="str">
        <f t="shared" si="688"/>
        <v>C:\Users\jaime.benazar\Quorum Business Solutions\Ecopetrol Prometeo - Documents\Planning Space Implementation\3. Analysis &amp; Design\Design\FC22\DRR Jaime\QUIFA-CAJÚA\Cajua\[CAJUA_CF_SEC_New_27-Feb-2024Rev3.xlsx]D-PS'!</v>
      </c>
      <c r="G2925" s="32" t="s">
        <v>116</v>
      </c>
      <c r="H2925" s="33">
        <f t="shared" si="689"/>
        <v>47</v>
      </c>
      <c r="I2925" s="33" t="str">
        <f t="shared" si="690"/>
        <v>='C:\Users\jaime.benazar\Quorum Business Solutions\Ecopetrol Prometeo - Documents\Planning Space Implementation\3. Analysis &amp; Design\Design\FC22\DRR Jaime\QUIFA-CAJÚA\Cajua\[CAJUA_CF_SEC_New_27-Feb-2024Rev3.xlsx]D-PS'!$EA$47</v>
      </c>
      <c r="J2925" s="33" t="s">
        <v>3293</v>
      </c>
    </row>
    <row r="2926" spans="1:10" x14ac:dyDescent="0.25">
      <c r="A2926" s="32" t="s">
        <v>34</v>
      </c>
      <c r="B2926" s="32">
        <f t="shared" si="691"/>
        <v>2059</v>
      </c>
      <c r="C2926" s="33" t="s">
        <v>23</v>
      </c>
      <c r="D2926" s="34" t="s">
        <v>1999</v>
      </c>
      <c r="E2926" s="35" t="str">
        <f t="shared" si="687"/>
        <v>PS'!</v>
      </c>
      <c r="F2926" s="34" t="str">
        <f t="shared" si="688"/>
        <v>C:\Users\jaime.benazar\Quorum Business Solutions\Ecopetrol Prometeo - Documents\Planning Space Implementation\3. Analysis &amp; Design\Design\FC22\DRR Jaime\QUIFA-CAJÚA\Cajua\[CAJUA_CF_SEC_New_27-Feb-2024Rev3.xlsx]D-PS'!</v>
      </c>
      <c r="G2926" s="32" t="s">
        <v>116</v>
      </c>
      <c r="H2926" s="33">
        <f t="shared" si="689"/>
        <v>48</v>
      </c>
      <c r="I2926" s="33" t="str">
        <f t="shared" si="690"/>
        <v>='C:\Users\jaime.benazar\Quorum Business Solutions\Ecopetrol Prometeo - Documents\Planning Space Implementation\3. Analysis &amp; Design\Design\FC22\DRR Jaime\QUIFA-CAJÚA\Cajua\[CAJUA_CF_SEC_New_27-Feb-2024Rev3.xlsx]D-PS'!$EA$48</v>
      </c>
      <c r="J2926" s="33" t="s">
        <v>3294</v>
      </c>
    </row>
    <row r="2927" spans="1:10" x14ac:dyDescent="0.25">
      <c r="A2927" s="32" t="s">
        <v>28</v>
      </c>
      <c r="B2927" s="32"/>
      <c r="C2927" s="33" t="s">
        <v>23</v>
      </c>
      <c r="D2927" s="34"/>
      <c r="E2927" s="35"/>
      <c r="F2927" s="34"/>
      <c r="G2927" s="32"/>
      <c r="H2927" s="33"/>
      <c r="I2927" s="33"/>
      <c r="J2927" s="33"/>
    </row>
    <row r="2928" spans="1:10" x14ac:dyDescent="0.2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Jaime\QUIFA-CAJÚA\Cajua\[CAJUA_CF_SEC_New_27-Feb-2024Rev3.xlsx]D-PDP'!</v>
      </c>
      <c r="G2928" s="32" t="s">
        <v>117</v>
      </c>
      <c r="H2928" s="33">
        <v>12</v>
      </c>
      <c r="I2928" s="33" t="str">
        <f>_xlfn.CONCAT("='",F2928:H2928)</f>
        <v>='C:\Users\jaime.benazar\Quorum Business Solutions\Ecopetrol Prometeo - Documents\Planning Space Implementation\3. Analysis &amp; Design\Design\FC22\DRR Jaime\QUIFA-CAJÚA\Cajua\[CAJUA_CF_SEC_New_27-Feb-2024Rev3.xlsx]D-PDP'!$DT$12</v>
      </c>
      <c r="J2928" s="37" t="s">
        <v>3295</v>
      </c>
    </row>
    <row r="2929" spans="1:10" x14ac:dyDescent="0.25">
      <c r="A2929" s="32" t="s">
        <v>1</v>
      </c>
      <c r="B2929" s="32">
        <f>+B2928+1</f>
        <v>2024</v>
      </c>
      <c r="C2929" s="33" t="s">
        <v>42</v>
      </c>
      <c r="D2929" s="34" t="s">
        <v>1999</v>
      </c>
      <c r="E2929" s="35" t="str">
        <f t="shared" ref="E2929:E3022" si="692">_xlfn.CONCAT(A2929,"'!")</f>
        <v>PDP'!</v>
      </c>
      <c r="F2929" s="34" t="str">
        <f t="shared" ref="F2929:F3022" si="693">_xlfn.CONCAT(D2929:E2929)</f>
        <v>C:\Users\jaime.benazar\Quorum Business Solutions\Ecopetrol Prometeo - Documents\Planning Space Implementation\3. Analysis &amp; Design\Design\FC22\DRR Jaime\QUIFA-CAJÚA\Cajua\[CAJUA_CF_SEC_New_27-Feb-2024Rev3.xlsx]D-PDP'!</v>
      </c>
      <c r="G2929" s="32" t="s">
        <v>117</v>
      </c>
      <c r="H2929" s="33">
        <f t="shared" ref="H2929:H2948" si="694">IF(A2929&lt;&gt;A2928,12,H2928+1)</f>
        <v>13</v>
      </c>
      <c r="I2929" s="33" t="str">
        <f t="shared" ref="I2929:I2948" si="695">_xlfn.CONCAT("='",F2929:H2929)</f>
        <v>='C:\Users\jaime.benazar\Quorum Business Solutions\Ecopetrol Prometeo - Documents\Planning Space Implementation\3. Analysis &amp; Design\Design\FC22\DRR Jaime\QUIFA-CAJÚA\Cajua\[CAJUA_CF_SEC_New_27-Feb-2024Rev3.xlsx]D-PDP'!$DT$13</v>
      </c>
      <c r="J2929" s="37" t="s">
        <v>3296</v>
      </c>
    </row>
    <row r="2930" spans="1:10" x14ac:dyDescent="0.25">
      <c r="A2930" s="32" t="s">
        <v>1</v>
      </c>
      <c r="B2930" s="32">
        <f t="shared" ref="B2930:B2941" si="696">+B2929+1</f>
        <v>2025</v>
      </c>
      <c r="C2930" s="33" t="s">
        <v>42</v>
      </c>
      <c r="D2930" s="34" t="s">
        <v>1999</v>
      </c>
      <c r="E2930" s="35" t="str">
        <f t="shared" si="692"/>
        <v>PDP'!</v>
      </c>
      <c r="F2930" s="34" t="str">
        <f t="shared" si="693"/>
        <v>C:\Users\jaime.benazar\Quorum Business Solutions\Ecopetrol Prometeo - Documents\Planning Space Implementation\3. Analysis &amp; Design\Design\FC22\DRR Jaime\QUIFA-CAJÚA\Cajua\[CAJUA_CF_SEC_New_27-Feb-2024Rev3.xlsx]D-PDP'!</v>
      </c>
      <c r="G2930" s="32" t="s">
        <v>117</v>
      </c>
      <c r="H2930" s="33">
        <f t="shared" si="694"/>
        <v>14</v>
      </c>
      <c r="I2930" s="33" t="str">
        <f t="shared" si="695"/>
        <v>='C:\Users\jaime.benazar\Quorum Business Solutions\Ecopetrol Prometeo - Documents\Planning Space Implementation\3. Analysis &amp; Design\Design\FC22\DRR Jaime\QUIFA-CAJÚA\Cajua\[CAJUA_CF_SEC_New_27-Feb-2024Rev3.xlsx]D-PDP'!$DT$14</v>
      </c>
      <c r="J2930" s="37" t="s">
        <v>3297</v>
      </c>
    </row>
    <row r="2931" spans="1:10" x14ac:dyDescent="0.25">
      <c r="A2931" s="32" t="s">
        <v>1</v>
      </c>
      <c r="B2931" s="32">
        <f t="shared" si="696"/>
        <v>2026</v>
      </c>
      <c r="C2931" s="33" t="s">
        <v>42</v>
      </c>
      <c r="D2931" s="34" t="s">
        <v>1999</v>
      </c>
      <c r="E2931" s="35" t="str">
        <f t="shared" si="692"/>
        <v>PDP'!</v>
      </c>
      <c r="F2931" s="34" t="str">
        <f t="shared" si="693"/>
        <v>C:\Users\jaime.benazar\Quorum Business Solutions\Ecopetrol Prometeo - Documents\Planning Space Implementation\3. Analysis &amp; Design\Design\FC22\DRR Jaime\QUIFA-CAJÚA\Cajua\[CAJUA_CF_SEC_New_27-Feb-2024Rev3.xlsx]D-PDP'!</v>
      </c>
      <c r="G2931" s="32" t="s">
        <v>117</v>
      </c>
      <c r="H2931" s="33">
        <f t="shared" si="694"/>
        <v>15</v>
      </c>
      <c r="I2931" s="33" t="str">
        <f t="shared" si="695"/>
        <v>='C:\Users\jaime.benazar\Quorum Business Solutions\Ecopetrol Prometeo - Documents\Planning Space Implementation\3. Analysis &amp; Design\Design\FC22\DRR Jaime\QUIFA-CAJÚA\Cajua\[CAJUA_CF_SEC_New_27-Feb-2024Rev3.xlsx]D-PDP'!$DT$15</v>
      </c>
      <c r="J2931" s="37" t="s">
        <v>3298</v>
      </c>
    </row>
    <row r="2932" spans="1:10" x14ac:dyDescent="0.25">
      <c r="A2932" s="32" t="s">
        <v>1</v>
      </c>
      <c r="B2932" s="32">
        <f t="shared" si="696"/>
        <v>2027</v>
      </c>
      <c r="C2932" s="33" t="s">
        <v>42</v>
      </c>
      <c r="D2932" s="34" t="s">
        <v>1999</v>
      </c>
      <c r="E2932" s="35" t="str">
        <f t="shared" si="692"/>
        <v>PDP'!</v>
      </c>
      <c r="F2932" s="34" t="str">
        <f t="shared" si="693"/>
        <v>C:\Users\jaime.benazar\Quorum Business Solutions\Ecopetrol Prometeo - Documents\Planning Space Implementation\3. Analysis &amp; Design\Design\FC22\DRR Jaime\QUIFA-CAJÚA\Cajua\[CAJUA_CF_SEC_New_27-Feb-2024Rev3.xlsx]D-PDP'!</v>
      </c>
      <c r="G2932" s="32" t="s">
        <v>117</v>
      </c>
      <c r="H2932" s="33">
        <f t="shared" si="694"/>
        <v>16</v>
      </c>
      <c r="I2932" s="33" t="str">
        <f t="shared" si="695"/>
        <v>='C:\Users\jaime.benazar\Quorum Business Solutions\Ecopetrol Prometeo - Documents\Planning Space Implementation\3. Analysis &amp; Design\Design\FC22\DRR Jaime\QUIFA-CAJÚA\Cajua\[CAJUA_CF_SEC_New_27-Feb-2024Rev3.xlsx]D-PDP'!$DT$16</v>
      </c>
      <c r="J2932" s="37" t="s">
        <v>3299</v>
      </c>
    </row>
    <row r="2933" spans="1:10" x14ac:dyDescent="0.25">
      <c r="A2933" s="32" t="s">
        <v>1</v>
      </c>
      <c r="B2933" s="32">
        <f t="shared" si="696"/>
        <v>2028</v>
      </c>
      <c r="C2933" s="33" t="s">
        <v>42</v>
      </c>
      <c r="D2933" s="34" t="s">
        <v>1999</v>
      </c>
      <c r="E2933" s="35" t="str">
        <f t="shared" si="692"/>
        <v>PDP'!</v>
      </c>
      <c r="F2933" s="34" t="str">
        <f t="shared" si="693"/>
        <v>C:\Users\jaime.benazar\Quorum Business Solutions\Ecopetrol Prometeo - Documents\Planning Space Implementation\3. Analysis &amp; Design\Design\FC22\DRR Jaime\QUIFA-CAJÚA\Cajua\[CAJUA_CF_SEC_New_27-Feb-2024Rev3.xlsx]D-PDP'!</v>
      </c>
      <c r="G2933" s="32" t="s">
        <v>117</v>
      </c>
      <c r="H2933" s="33">
        <f t="shared" si="694"/>
        <v>17</v>
      </c>
      <c r="I2933" s="33" t="str">
        <f t="shared" si="695"/>
        <v>='C:\Users\jaime.benazar\Quorum Business Solutions\Ecopetrol Prometeo - Documents\Planning Space Implementation\3. Analysis &amp; Design\Design\FC22\DRR Jaime\QUIFA-CAJÚA\Cajua\[CAJUA_CF_SEC_New_27-Feb-2024Rev3.xlsx]D-PDP'!$DT$17</v>
      </c>
      <c r="J2933" s="37" t="s">
        <v>3300</v>
      </c>
    </row>
    <row r="2934" spans="1:10" x14ac:dyDescent="0.25">
      <c r="A2934" s="32" t="s">
        <v>1</v>
      </c>
      <c r="B2934" s="32">
        <f t="shared" si="696"/>
        <v>2029</v>
      </c>
      <c r="C2934" s="33" t="s">
        <v>42</v>
      </c>
      <c r="D2934" s="34" t="s">
        <v>1999</v>
      </c>
      <c r="E2934" s="35" t="str">
        <f t="shared" si="692"/>
        <v>PDP'!</v>
      </c>
      <c r="F2934" s="34" t="str">
        <f t="shared" si="693"/>
        <v>C:\Users\jaime.benazar\Quorum Business Solutions\Ecopetrol Prometeo - Documents\Planning Space Implementation\3. Analysis &amp; Design\Design\FC22\DRR Jaime\QUIFA-CAJÚA\Cajua\[CAJUA_CF_SEC_New_27-Feb-2024Rev3.xlsx]D-PDP'!</v>
      </c>
      <c r="G2934" s="32" t="s">
        <v>117</v>
      </c>
      <c r="H2934" s="33">
        <f t="shared" si="694"/>
        <v>18</v>
      </c>
      <c r="I2934" s="33" t="str">
        <f t="shared" si="695"/>
        <v>='C:\Users\jaime.benazar\Quorum Business Solutions\Ecopetrol Prometeo - Documents\Planning Space Implementation\3. Analysis &amp; Design\Design\FC22\DRR Jaime\QUIFA-CAJÚA\Cajua\[CAJUA_CF_SEC_New_27-Feb-2024Rev3.xlsx]D-PDP'!$DT$18</v>
      </c>
      <c r="J2934" s="37" t="s">
        <v>3301</v>
      </c>
    </row>
    <row r="2935" spans="1:10" x14ac:dyDescent="0.25">
      <c r="A2935" s="32" t="s">
        <v>1</v>
      </c>
      <c r="B2935" s="32">
        <f t="shared" si="696"/>
        <v>2030</v>
      </c>
      <c r="C2935" s="33" t="s">
        <v>42</v>
      </c>
      <c r="D2935" s="34" t="s">
        <v>1999</v>
      </c>
      <c r="E2935" s="35" t="str">
        <f t="shared" si="692"/>
        <v>PDP'!</v>
      </c>
      <c r="F2935" s="34" t="str">
        <f t="shared" si="693"/>
        <v>C:\Users\jaime.benazar\Quorum Business Solutions\Ecopetrol Prometeo - Documents\Planning Space Implementation\3. Analysis &amp; Design\Design\FC22\DRR Jaime\QUIFA-CAJÚA\Cajua\[CAJUA_CF_SEC_New_27-Feb-2024Rev3.xlsx]D-PDP'!</v>
      </c>
      <c r="G2935" s="32" t="s">
        <v>117</v>
      </c>
      <c r="H2935" s="33">
        <f t="shared" si="694"/>
        <v>19</v>
      </c>
      <c r="I2935" s="33" t="str">
        <f t="shared" si="695"/>
        <v>='C:\Users\jaime.benazar\Quorum Business Solutions\Ecopetrol Prometeo - Documents\Planning Space Implementation\3. Analysis &amp; Design\Design\FC22\DRR Jaime\QUIFA-CAJÚA\Cajua\[CAJUA_CF_SEC_New_27-Feb-2024Rev3.xlsx]D-PDP'!$DT$19</v>
      </c>
      <c r="J2935" s="37" t="s">
        <v>3302</v>
      </c>
    </row>
    <row r="2936" spans="1:10" x14ac:dyDescent="0.25">
      <c r="A2936" s="32" t="s">
        <v>1</v>
      </c>
      <c r="B2936" s="32">
        <f t="shared" si="696"/>
        <v>2031</v>
      </c>
      <c r="C2936" s="33" t="s">
        <v>42</v>
      </c>
      <c r="D2936" s="34" t="s">
        <v>1999</v>
      </c>
      <c r="E2936" s="35" t="str">
        <f t="shared" si="692"/>
        <v>PDP'!</v>
      </c>
      <c r="F2936" s="34" t="str">
        <f t="shared" si="693"/>
        <v>C:\Users\jaime.benazar\Quorum Business Solutions\Ecopetrol Prometeo - Documents\Planning Space Implementation\3. Analysis &amp; Design\Design\FC22\DRR Jaime\QUIFA-CAJÚA\Cajua\[CAJUA_CF_SEC_New_27-Feb-2024Rev3.xlsx]D-PDP'!</v>
      </c>
      <c r="G2936" s="32" t="s">
        <v>117</v>
      </c>
      <c r="H2936" s="33">
        <f t="shared" si="694"/>
        <v>20</v>
      </c>
      <c r="I2936" s="33" t="str">
        <f t="shared" si="695"/>
        <v>='C:\Users\jaime.benazar\Quorum Business Solutions\Ecopetrol Prometeo - Documents\Planning Space Implementation\3. Analysis &amp; Design\Design\FC22\DRR Jaime\QUIFA-CAJÚA\Cajua\[CAJUA_CF_SEC_New_27-Feb-2024Rev3.xlsx]D-PDP'!$DT$20</v>
      </c>
      <c r="J2936" s="37" t="s">
        <v>3303</v>
      </c>
    </row>
    <row r="2937" spans="1:10" x14ac:dyDescent="0.25">
      <c r="A2937" s="32" t="s">
        <v>1</v>
      </c>
      <c r="B2937" s="32">
        <f t="shared" si="696"/>
        <v>2032</v>
      </c>
      <c r="C2937" s="33" t="s">
        <v>42</v>
      </c>
      <c r="D2937" s="34" t="s">
        <v>1999</v>
      </c>
      <c r="E2937" s="35" t="str">
        <f t="shared" si="692"/>
        <v>PDP'!</v>
      </c>
      <c r="F2937" s="34" t="str">
        <f t="shared" si="693"/>
        <v>C:\Users\jaime.benazar\Quorum Business Solutions\Ecopetrol Prometeo - Documents\Planning Space Implementation\3. Analysis &amp; Design\Design\FC22\DRR Jaime\QUIFA-CAJÚA\Cajua\[CAJUA_CF_SEC_New_27-Feb-2024Rev3.xlsx]D-PDP'!</v>
      </c>
      <c r="G2937" s="32" t="s">
        <v>117</v>
      </c>
      <c r="H2937" s="33">
        <f t="shared" si="694"/>
        <v>21</v>
      </c>
      <c r="I2937" s="33" t="str">
        <f t="shared" si="695"/>
        <v>='C:\Users\jaime.benazar\Quorum Business Solutions\Ecopetrol Prometeo - Documents\Planning Space Implementation\3. Analysis &amp; Design\Design\FC22\DRR Jaime\QUIFA-CAJÚA\Cajua\[CAJUA_CF_SEC_New_27-Feb-2024Rev3.xlsx]D-PDP'!$DT$21</v>
      </c>
      <c r="J2937" s="37" t="s">
        <v>3304</v>
      </c>
    </row>
    <row r="2938" spans="1:10" x14ac:dyDescent="0.25">
      <c r="A2938" s="32" t="s">
        <v>1</v>
      </c>
      <c r="B2938" s="32">
        <f t="shared" si="696"/>
        <v>2033</v>
      </c>
      <c r="C2938" s="33" t="s">
        <v>42</v>
      </c>
      <c r="D2938" s="34" t="s">
        <v>1999</v>
      </c>
      <c r="E2938" s="35" t="str">
        <f t="shared" si="692"/>
        <v>PDP'!</v>
      </c>
      <c r="F2938" s="34" t="str">
        <f t="shared" si="693"/>
        <v>C:\Users\jaime.benazar\Quorum Business Solutions\Ecopetrol Prometeo - Documents\Planning Space Implementation\3. Analysis &amp; Design\Design\FC22\DRR Jaime\QUIFA-CAJÚA\Cajua\[CAJUA_CF_SEC_New_27-Feb-2024Rev3.xlsx]D-PDP'!</v>
      </c>
      <c r="G2938" s="32" t="s">
        <v>117</v>
      </c>
      <c r="H2938" s="33">
        <f t="shared" si="694"/>
        <v>22</v>
      </c>
      <c r="I2938" s="33" t="str">
        <f t="shared" si="695"/>
        <v>='C:\Users\jaime.benazar\Quorum Business Solutions\Ecopetrol Prometeo - Documents\Planning Space Implementation\3. Analysis &amp; Design\Design\FC22\DRR Jaime\QUIFA-CAJÚA\Cajua\[CAJUA_CF_SEC_New_27-Feb-2024Rev3.xlsx]D-PDP'!$DT$22</v>
      </c>
      <c r="J2938" s="37" t="s">
        <v>3305</v>
      </c>
    </row>
    <row r="2939" spans="1:10" x14ac:dyDescent="0.25">
      <c r="A2939" s="32" t="s">
        <v>1</v>
      </c>
      <c r="B2939" s="32">
        <f t="shared" si="696"/>
        <v>2034</v>
      </c>
      <c r="C2939" s="33" t="s">
        <v>42</v>
      </c>
      <c r="D2939" s="34" t="s">
        <v>1999</v>
      </c>
      <c r="E2939" s="35" t="str">
        <f t="shared" si="692"/>
        <v>PDP'!</v>
      </c>
      <c r="F2939" s="34" t="str">
        <f t="shared" si="693"/>
        <v>C:\Users\jaime.benazar\Quorum Business Solutions\Ecopetrol Prometeo - Documents\Planning Space Implementation\3. Analysis &amp; Design\Design\FC22\DRR Jaime\QUIFA-CAJÚA\Cajua\[CAJUA_CF_SEC_New_27-Feb-2024Rev3.xlsx]D-PDP'!</v>
      </c>
      <c r="G2939" s="32" t="s">
        <v>117</v>
      </c>
      <c r="H2939" s="33">
        <f t="shared" si="694"/>
        <v>23</v>
      </c>
      <c r="I2939" s="33" t="str">
        <f t="shared" si="695"/>
        <v>='C:\Users\jaime.benazar\Quorum Business Solutions\Ecopetrol Prometeo - Documents\Planning Space Implementation\3. Analysis &amp; Design\Design\FC22\DRR Jaime\QUIFA-CAJÚA\Cajua\[CAJUA_CF_SEC_New_27-Feb-2024Rev3.xlsx]D-PDP'!$DT$23</v>
      </c>
      <c r="J2939" s="37" t="s">
        <v>3306</v>
      </c>
    </row>
    <row r="2940" spans="1:10" x14ac:dyDescent="0.25">
      <c r="A2940" s="32" t="s">
        <v>1</v>
      </c>
      <c r="B2940" s="32">
        <f t="shared" si="696"/>
        <v>2035</v>
      </c>
      <c r="C2940" s="33" t="s">
        <v>42</v>
      </c>
      <c r="D2940" s="34" t="s">
        <v>1999</v>
      </c>
      <c r="E2940" s="35" t="str">
        <f t="shared" si="692"/>
        <v>PDP'!</v>
      </c>
      <c r="F2940" s="34" t="str">
        <f t="shared" si="693"/>
        <v>C:\Users\jaime.benazar\Quorum Business Solutions\Ecopetrol Prometeo - Documents\Planning Space Implementation\3. Analysis &amp; Design\Design\FC22\DRR Jaime\QUIFA-CAJÚA\Cajua\[CAJUA_CF_SEC_New_27-Feb-2024Rev3.xlsx]D-PDP'!</v>
      </c>
      <c r="G2940" s="32" t="s">
        <v>117</v>
      </c>
      <c r="H2940" s="33">
        <f t="shared" si="694"/>
        <v>24</v>
      </c>
      <c r="I2940" s="33" t="str">
        <f t="shared" si="695"/>
        <v>='C:\Users\jaime.benazar\Quorum Business Solutions\Ecopetrol Prometeo - Documents\Planning Space Implementation\3. Analysis &amp; Design\Design\FC22\DRR Jaime\QUIFA-CAJÚA\Cajua\[CAJUA_CF_SEC_New_27-Feb-2024Rev3.xlsx]D-PDP'!$DT$24</v>
      </c>
      <c r="J2940" s="37" t="s">
        <v>3307</v>
      </c>
    </row>
    <row r="2941" spans="1:10" x14ac:dyDescent="0.25">
      <c r="A2941" s="32" t="s">
        <v>1</v>
      </c>
      <c r="B2941" s="32">
        <f t="shared" si="696"/>
        <v>2036</v>
      </c>
      <c r="C2941" s="33" t="s">
        <v>42</v>
      </c>
      <c r="D2941" s="34" t="s">
        <v>1999</v>
      </c>
      <c r="E2941" s="35" t="str">
        <f t="shared" si="692"/>
        <v>PDP'!</v>
      </c>
      <c r="F2941" s="34" t="str">
        <f t="shared" si="693"/>
        <v>C:\Users\jaime.benazar\Quorum Business Solutions\Ecopetrol Prometeo - Documents\Planning Space Implementation\3. Analysis &amp; Design\Design\FC22\DRR Jaime\QUIFA-CAJÚA\Cajua\[CAJUA_CF_SEC_New_27-Feb-2024Rev3.xlsx]D-PDP'!</v>
      </c>
      <c r="G2941" s="32" t="s">
        <v>117</v>
      </c>
      <c r="H2941" s="33">
        <f t="shared" si="694"/>
        <v>25</v>
      </c>
      <c r="I2941" s="33" t="str">
        <f t="shared" si="695"/>
        <v>='C:\Users\jaime.benazar\Quorum Business Solutions\Ecopetrol Prometeo - Documents\Planning Space Implementation\3. Analysis &amp; Design\Design\FC22\DRR Jaime\QUIFA-CAJÚA\Cajua\[CAJUA_CF_SEC_New_27-Feb-2024Rev3.xlsx]D-PDP'!$DT$25</v>
      </c>
      <c r="J2941" s="37" t="s">
        <v>3308</v>
      </c>
    </row>
    <row r="2942" spans="1:10" x14ac:dyDescent="0.25">
      <c r="A2942" s="32" t="s">
        <v>1</v>
      </c>
      <c r="B2942" s="32">
        <f>+B2941+1</f>
        <v>2037</v>
      </c>
      <c r="C2942" s="33" t="s">
        <v>42</v>
      </c>
      <c r="D2942" s="34" t="s">
        <v>1999</v>
      </c>
      <c r="E2942" s="35" t="str">
        <f t="shared" si="692"/>
        <v>PDP'!</v>
      </c>
      <c r="F2942" s="34" t="str">
        <f t="shared" si="693"/>
        <v>C:\Users\jaime.benazar\Quorum Business Solutions\Ecopetrol Prometeo - Documents\Planning Space Implementation\3. Analysis &amp; Design\Design\FC22\DRR Jaime\QUIFA-CAJÚA\Cajua\[CAJUA_CF_SEC_New_27-Feb-2024Rev3.xlsx]D-PDP'!</v>
      </c>
      <c r="G2942" s="32" t="s">
        <v>117</v>
      </c>
      <c r="H2942" s="33">
        <f t="shared" si="694"/>
        <v>26</v>
      </c>
      <c r="I2942" s="33" t="str">
        <f t="shared" si="695"/>
        <v>='C:\Users\jaime.benazar\Quorum Business Solutions\Ecopetrol Prometeo - Documents\Planning Space Implementation\3. Analysis &amp; Design\Design\FC22\DRR Jaime\QUIFA-CAJÚA\Cajua\[CAJUA_CF_SEC_New_27-Feb-2024Rev3.xlsx]D-PDP'!$DT$26</v>
      </c>
      <c r="J2942" s="37" t="s">
        <v>3309</v>
      </c>
    </row>
    <row r="2943" spans="1:10" x14ac:dyDescent="0.25">
      <c r="A2943" s="32" t="s">
        <v>1</v>
      </c>
      <c r="B2943" s="32">
        <f t="shared" ref="B2943:B2945" si="697">+B2942+1</f>
        <v>2038</v>
      </c>
      <c r="C2943" s="33" t="s">
        <v>42</v>
      </c>
      <c r="D2943" s="34" t="s">
        <v>1999</v>
      </c>
      <c r="E2943" s="35" t="str">
        <f t="shared" si="692"/>
        <v>PDP'!</v>
      </c>
      <c r="F2943" s="34" t="str">
        <f t="shared" si="693"/>
        <v>C:\Users\jaime.benazar\Quorum Business Solutions\Ecopetrol Prometeo - Documents\Planning Space Implementation\3. Analysis &amp; Design\Design\FC22\DRR Jaime\QUIFA-CAJÚA\Cajua\[CAJUA_CF_SEC_New_27-Feb-2024Rev3.xlsx]D-PDP'!</v>
      </c>
      <c r="G2943" s="32" t="s">
        <v>117</v>
      </c>
      <c r="H2943" s="33">
        <f t="shared" si="694"/>
        <v>27</v>
      </c>
      <c r="I2943" s="33" t="str">
        <f t="shared" si="695"/>
        <v>='C:\Users\jaime.benazar\Quorum Business Solutions\Ecopetrol Prometeo - Documents\Planning Space Implementation\3. Analysis &amp; Design\Design\FC22\DRR Jaime\QUIFA-CAJÚA\Cajua\[CAJUA_CF_SEC_New_27-Feb-2024Rev3.xlsx]D-PDP'!$DT$27</v>
      </c>
      <c r="J2943" s="37" t="s">
        <v>3310</v>
      </c>
    </row>
    <row r="2944" spans="1:10" x14ac:dyDescent="0.25">
      <c r="A2944" s="32" t="s">
        <v>1</v>
      </c>
      <c r="B2944" s="32">
        <f t="shared" si="697"/>
        <v>2039</v>
      </c>
      <c r="C2944" s="33" t="s">
        <v>42</v>
      </c>
      <c r="D2944" s="34" t="s">
        <v>1999</v>
      </c>
      <c r="E2944" s="35" t="str">
        <f t="shared" si="692"/>
        <v>PDP'!</v>
      </c>
      <c r="F2944" s="34" t="str">
        <f t="shared" si="693"/>
        <v>C:\Users\jaime.benazar\Quorum Business Solutions\Ecopetrol Prometeo - Documents\Planning Space Implementation\3. Analysis &amp; Design\Design\FC22\DRR Jaime\QUIFA-CAJÚA\Cajua\[CAJUA_CF_SEC_New_27-Feb-2024Rev3.xlsx]D-PDP'!</v>
      </c>
      <c r="G2944" s="32" t="s">
        <v>117</v>
      </c>
      <c r="H2944" s="33">
        <f t="shared" si="694"/>
        <v>28</v>
      </c>
      <c r="I2944" s="33" t="str">
        <f t="shared" si="695"/>
        <v>='C:\Users\jaime.benazar\Quorum Business Solutions\Ecopetrol Prometeo - Documents\Planning Space Implementation\3. Analysis &amp; Design\Design\FC22\DRR Jaime\QUIFA-CAJÚA\Cajua\[CAJUA_CF_SEC_New_27-Feb-2024Rev3.xlsx]D-PDP'!$DT$28</v>
      </c>
      <c r="J2944" s="37" t="s">
        <v>3311</v>
      </c>
    </row>
    <row r="2945" spans="1:10" x14ac:dyDescent="0.25">
      <c r="A2945" s="32" t="s">
        <v>1</v>
      </c>
      <c r="B2945" s="32">
        <f t="shared" si="697"/>
        <v>2040</v>
      </c>
      <c r="C2945" s="33" t="s">
        <v>42</v>
      </c>
      <c r="D2945" s="34" t="s">
        <v>1999</v>
      </c>
      <c r="E2945" s="35" t="str">
        <f t="shared" si="692"/>
        <v>PDP'!</v>
      </c>
      <c r="F2945" s="34" t="str">
        <f t="shared" si="693"/>
        <v>C:\Users\jaime.benazar\Quorum Business Solutions\Ecopetrol Prometeo - Documents\Planning Space Implementation\3. Analysis &amp; Design\Design\FC22\DRR Jaime\QUIFA-CAJÚA\Cajua\[CAJUA_CF_SEC_New_27-Feb-2024Rev3.xlsx]D-PDP'!</v>
      </c>
      <c r="G2945" s="32" t="s">
        <v>117</v>
      </c>
      <c r="H2945" s="33">
        <f t="shared" si="694"/>
        <v>29</v>
      </c>
      <c r="I2945" s="33" t="str">
        <f t="shared" si="695"/>
        <v>='C:\Users\jaime.benazar\Quorum Business Solutions\Ecopetrol Prometeo - Documents\Planning Space Implementation\3. Analysis &amp; Design\Design\FC22\DRR Jaime\QUIFA-CAJÚA\Cajua\[CAJUA_CF_SEC_New_27-Feb-2024Rev3.xlsx]D-PDP'!$DT$29</v>
      </c>
      <c r="J2945" s="37" t="s">
        <v>3312</v>
      </c>
    </row>
    <row r="2946" spans="1:10" x14ac:dyDescent="0.25">
      <c r="A2946" s="32" t="s">
        <v>1</v>
      </c>
      <c r="B2946" s="32">
        <f>+B2945+1</f>
        <v>2041</v>
      </c>
      <c r="C2946" s="33" t="s">
        <v>42</v>
      </c>
      <c r="D2946" s="34" t="s">
        <v>1999</v>
      </c>
      <c r="E2946" s="35" t="str">
        <f t="shared" si="692"/>
        <v>PDP'!</v>
      </c>
      <c r="F2946" s="34" t="str">
        <f t="shared" si="693"/>
        <v>C:\Users\jaime.benazar\Quorum Business Solutions\Ecopetrol Prometeo - Documents\Planning Space Implementation\3. Analysis &amp; Design\Design\FC22\DRR Jaime\QUIFA-CAJÚA\Cajua\[CAJUA_CF_SEC_New_27-Feb-2024Rev3.xlsx]D-PDP'!</v>
      </c>
      <c r="G2946" s="32" t="s">
        <v>117</v>
      </c>
      <c r="H2946" s="33">
        <f t="shared" si="694"/>
        <v>30</v>
      </c>
      <c r="I2946" s="33" t="str">
        <f t="shared" si="695"/>
        <v>='C:\Users\jaime.benazar\Quorum Business Solutions\Ecopetrol Prometeo - Documents\Planning Space Implementation\3. Analysis &amp; Design\Design\FC22\DRR Jaime\QUIFA-CAJÚA\Cajua\[CAJUA_CF_SEC_New_27-Feb-2024Rev3.xlsx]D-PDP'!$DT$30</v>
      </c>
      <c r="J2946" s="37" t="s">
        <v>3313</v>
      </c>
    </row>
    <row r="2947" spans="1:10" x14ac:dyDescent="0.25">
      <c r="A2947" s="32" t="s">
        <v>1</v>
      </c>
      <c r="B2947" s="32">
        <f t="shared" ref="B2947:B2948" si="698">+B2946+1</f>
        <v>2042</v>
      </c>
      <c r="C2947" s="33" t="s">
        <v>42</v>
      </c>
      <c r="D2947" s="34" t="s">
        <v>1999</v>
      </c>
      <c r="E2947" s="35" t="str">
        <f t="shared" si="692"/>
        <v>PDP'!</v>
      </c>
      <c r="F2947" s="34" t="str">
        <f t="shared" si="693"/>
        <v>C:\Users\jaime.benazar\Quorum Business Solutions\Ecopetrol Prometeo - Documents\Planning Space Implementation\3. Analysis &amp; Design\Design\FC22\DRR Jaime\QUIFA-CAJÚA\Cajua\[CAJUA_CF_SEC_New_27-Feb-2024Rev3.xlsx]D-PDP'!</v>
      </c>
      <c r="G2947" s="32" t="s">
        <v>117</v>
      </c>
      <c r="H2947" s="33">
        <f t="shared" si="694"/>
        <v>31</v>
      </c>
      <c r="I2947" s="33" t="str">
        <f t="shared" si="695"/>
        <v>='C:\Users\jaime.benazar\Quorum Business Solutions\Ecopetrol Prometeo - Documents\Planning Space Implementation\3. Analysis &amp; Design\Design\FC22\DRR Jaime\QUIFA-CAJÚA\Cajua\[CAJUA_CF_SEC_New_27-Feb-2024Rev3.xlsx]D-PDP'!$DT$31</v>
      </c>
      <c r="J2947" s="37" t="s">
        <v>3314</v>
      </c>
    </row>
    <row r="2948" spans="1:10" x14ac:dyDescent="0.25">
      <c r="A2948" s="32" t="s">
        <v>1</v>
      </c>
      <c r="B2948" s="32">
        <f t="shared" si="698"/>
        <v>2043</v>
      </c>
      <c r="C2948" s="33" t="s">
        <v>42</v>
      </c>
      <c r="D2948" s="34" t="s">
        <v>1999</v>
      </c>
      <c r="E2948" s="35" t="str">
        <f t="shared" si="692"/>
        <v>PDP'!</v>
      </c>
      <c r="F2948" s="34" t="str">
        <f t="shared" si="693"/>
        <v>C:\Users\jaime.benazar\Quorum Business Solutions\Ecopetrol Prometeo - Documents\Planning Space Implementation\3. Analysis &amp; Design\Design\FC22\DRR Jaime\QUIFA-CAJÚA\Cajua\[CAJUA_CF_SEC_New_27-Feb-2024Rev3.xlsx]D-PDP'!</v>
      </c>
      <c r="G2948" s="32" t="s">
        <v>117</v>
      </c>
      <c r="H2948" s="33">
        <f t="shared" si="694"/>
        <v>32</v>
      </c>
      <c r="I2948" s="33" t="str">
        <f t="shared" si="695"/>
        <v>='C:\Users\jaime.benazar\Quorum Business Solutions\Ecopetrol Prometeo - Documents\Planning Space Implementation\3. Analysis &amp; Design\Design\FC22\DRR Jaime\QUIFA-CAJÚA\Cajua\[CAJUA_CF_SEC_New_27-Feb-2024Rev3.xlsx]D-PDP'!$DT$32</v>
      </c>
      <c r="J2948" s="37" t="s">
        <v>3315</v>
      </c>
    </row>
    <row r="2949" spans="1:10" x14ac:dyDescent="0.25">
      <c r="A2949" s="32" t="s">
        <v>1</v>
      </c>
      <c r="B2949" s="32">
        <f>+B2948+1</f>
        <v>2044</v>
      </c>
      <c r="C2949" s="33" t="s">
        <v>42</v>
      </c>
      <c r="D2949" s="34" t="s">
        <v>1999</v>
      </c>
      <c r="E2949" s="35" t="str">
        <f t="shared" ref="E2949:E2964" si="699">_xlfn.CONCAT(A2949,"'!")</f>
        <v>PDP'!</v>
      </c>
      <c r="F2949" s="34" t="str">
        <f t="shared" ref="F2949:F2964" si="700">_xlfn.CONCAT(D2949:E2949)</f>
        <v>C:\Users\jaime.benazar\Quorum Business Solutions\Ecopetrol Prometeo - Documents\Planning Space Implementation\3. Analysis &amp; Design\Design\FC22\DRR Jaime\QUIFA-CAJÚA\Cajua\[CAJUA_CF_SEC_New_27-Feb-2024Rev3.xlsx]D-PDP'!</v>
      </c>
      <c r="G2949" s="32" t="s">
        <v>117</v>
      </c>
      <c r="H2949" s="33">
        <f t="shared" ref="H2949:H2964" si="701">IF(A2949&lt;&gt;A2948,12,H2948+1)</f>
        <v>33</v>
      </c>
      <c r="I2949" s="33" t="str">
        <f t="shared" ref="I2949:I2964" si="702">_xlfn.CONCAT("='",F2949:H2949)</f>
        <v>='C:\Users\jaime.benazar\Quorum Business Solutions\Ecopetrol Prometeo - Documents\Planning Space Implementation\3. Analysis &amp; Design\Design\FC22\DRR Jaime\QUIFA-CAJÚA\Cajua\[CAJUA_CF_SEC_New_27-Feb-2024Rev3.xlsx]D-PDP'!$DT$33</v>
      </c>
      <c r="J2949" s="37" t="s">
        <v>3316</v>
      </c>
    </row>
    <row r="2950" spans="1:10" x14ac:dyDescent="0.25">
      <c r="A2950" s="32" t="s">
        <v>1</v>
      </c>
      <c r="B2950" s="32">
        <f t="shared" ref="B2950:B2964" si="703">+B2949+1</f>
        <v>2045</v>
      </c>
      <c r="C2950" s="33" t="s">
        <v>42</v>
      </c>
      <c r="D2950" s="34" t="s">
        <v>1999</v>
      </c>
      <c r="E2950" s="35" t="str">
        <f t="shared" si="699"/>
        <v>PDP'!</v>
      </c>
      <c r="F2950" s="34" t="str">
        <f t="shared" si="700"/>
        <v>C:\Users\jaime.benazar\Quorum Business Solutions\Ecopetrol Prometeo - Documents\Planning Space Implementation\3. Analysis &amp; Design\Design\FC22\DRR Jaime\QUIFA-CAJÚA\Cajua\[CAJUA_CF_SEC_New_27-Feb-2024Rev3.xlsx]D-PDP'!</v>
      </c>
      <c r="G2950" s="32" t="s">
        <v>117</v>
      </c>
      <c r="H2950" s="33">
        <f t="shared" si="701"/>
        <v>34</v>
      </c>
      <c r="I2950" s="33" t="str">
        <f t="shared" si="702"/>
        <v>='C:\Users\jaime.benazar\Quorum Business Solutions\Ecopetrol Prometeo - Documents\Planning Space Implementation\3. Analysis &amp; Design\Design\FC22\DRR Jaime\QUIFA-CAJÚA\Cajua\[CAJUA_CF_SEC_New_27-Feb-2024Rev3.xlsx]D-PDP'!$DT$34</v>
      </c>
      <c r="J2950" s="37" t="s">
        <v>3317</v>
      </c>
    </row>
    <row r="2951" spans="1:10" x14ac:dyDescent="0.25">
      <c r="A2951" s="32" t="s">
        <v>1</v>
      </c>
      <c r="B2951" s="32">
        <f t="shared" si="703"/>
        <v>2046</v>
      </c>
      <c r="C2951" s="33" t="s">
        <v>42</v>
      </c>
      <c r="D2951" s="34" t="s">
        <v>1999</v>
      </c>
      <c r="E2951" s="35" t="str">
        <f t="shared" si="699"/>
        <v>PDP'!</v>
      </c>
      <c r="F2951" s="34" t="str">
        <f t="shared" si="700"/>
        <v>C:\Users\jaime.benazar\Quorum Business Solutions\Ecopetrol Prometeo - Documents\Planning Space Implementation\3. Analysis &amp; Design\Design\FC22\DRR Jaime\QUIFA-CAJÚA\Cajua\[CAJUA_CF_SEC_New_27-Feb-2024Rev3.xlsx]D-PDP'!</v>
      </c>
      <c r="G2951" s="32" t="s">
        <v>117</v>
      </c>
      <c r="H2951" s="33">
        <f t="shared" si="701"/>
        <v>35</v>
      </c>
      <c r="I2951" s="33" t="str">
        <f t="shared" si="702"/>
        <v>='C:\Users\jaime.benazar\Quorum Business Solutions\Ecopetrol Prometeo - Documents\Planning Space Implementation\3. Analysis &amp; Design\Design\FC22\DRR Jaime\QUIFA-CAJÚA\Cajua\[CAJUA_CF_SEC_New_27-Feb-2024Rev3.xlsx]D-PDP'!$DT$35</v>
      </c>
      <c r="J2951" s="37" t="s">
        <v>3318</v>
      </c>
    </row>
    <row r="2952" spans="1:10" x14ac:dyDescent="0.25">
      <c r="A2952" s="32" t="s">
        <v>1</v>
      </c>
      <c r="B2952" s="32">
        <f t="shared" si="703"/>
        <v>2047</v>
      </c>
      <c r="C2952" s="33" t="s">
        <v>42</v>
      </c>
      <c r="D2952" s="34" t="s">
        <v>1999</v>
      </c>
      <c r="E2952" s="35" t="str">
        <f t="shared" si="699"/>
        <v>PDP'!</v>
      </c>
      <c r="F2952" s="34" t="str">
        <f t="shared" si="700"/>
        <v>C:\Users\jaime.benazar\Quorum Business Solutions\Ecopetrol Prometeo - Documents\Planning Space Implementation\3. Analysis &amp; Design\Design\FC22\DRR Jaime\QUIFA-CAJÚA\Cajua\[CAJUA_CF_SEC_New_27-Feb-2024Rev3.xlsx]D-PDP'!</v>
      </c>
      <c r="G2952" s="32" t="s">
        <v>117</v>
      </c>
      <c r="H2952" s="33">
        <f t="shared" si="701"/>
        <v>36</v>
      </c>
      <c r="I2952" s="33" t="str">
        <f t="shared" si="702"/>
        <v>='C:\Users\jaime.benazar\Quorum Business Solutions\Ecopetrol Prometeo - Documents\Planning Space Implementation\3. Analysis &amp; Design\Design\FC22\DRR Jaime\QUIFA-CAJÚA\Cajua\[CAJUA_CF_SEC_New_27-Feb-2024Rev3.xlsx]D-PDP'!$DT$36</v>
      </c>
      <c r="J2952" s="37" t="s">
        <v>3319</v>
      </c>
    </row>
    <row r="2953" spans="1:10" x14ac:dyDescent="0.25">
      <c r="A2953" s="32" t="s">
        <v>1</v>
      </c>
      <c r="B2953" s="32">
        <f t="shared" si="703"/>
        <v>2048</v>
      </c>
      <c r="C2953" s="33" t="s">
        <v>42</v>
      </c>
      <c r="D2953" s="34" t="s">
        <v>1999</v>
      </c>
      <c r="E2953" s="35" t="str">
        <f t="shared" si="699"/>
        <v>PDP'!</v>
      </c>
      <c r="F2953" s="34" t="str">
        <f t="shared" si="700"/>
        <v>C:\Users\jaime.benazar\Quorum Business Solutions\Ecopetrol Prometeo - Documents\Planning Space Implementation\3. Analysis &amp; Design\Design\FC22\DRR Jaime\QUIFA-CAJÚA\Cajua\[CAJUA_CF_SEC_New_27-Feb-2024Rev3.xlsx]D-PDP'!</v>
      </c>
      <c r="G2953" s="32" t="s">
        <v>117</v>
      </c>
      <c r="H2953" s="33">
        <f t="shared" si="701"/>
        <v>37</v>
      </c>
      <c r="I2953" s="33" t="str">
        <f t="shared" si="702"/>
        <v>='C:\Users\jaime.benazar\Quorum Business Solutions\Ecopetrol Prometeo - Documents\Planning Space Implementation\3. Analysis &amp; Design\Design\FC22\DRR Jaime\QUIFA-CAJÚA\Cajua\[CAJUA_CF_SEC_New_27-Feb-2024Rev3.xlsx]D-PDP'!$DT$37</v>
      </c>
      <c r="J2953" s="37" t="s">
        <v>3320</v>
      </c>
    </row>
    <row r="2954" spans="1:10" x14ac:dyDescent="0.25">
      <c r="A2954" s="32" t="s">
        <v>1</v>
      </c>
      <c r="B2954" s="32">
        <f t="shared" si="703"/>
        <v>2049</v>
      </c>
      <c r="C2954" s="33" t="s">
        <v>42</v>
      </c>
      <c r="D2954" s="34" t="s">
        <v>1999</v>
      </c>
      <c r="E2954" s="35" t="str">
        <f t="shared" si="699"/>
        <v>PDP'!</v>
      </c>
      <c r="F2954" s="34" t="str">
        <f t="shared" si="700"/>
        <v>C:\Users\jaime.benazar\Quorum Business Solutions\Ecopetrol Prometeo - Documents\Planning Space Implementation\3. Analysis &amp; Design\Design\FC22\DRR Jaime\QUIFA-CAJÚA\Cajua\[CAJUA_CF_SEC_New_27-Feb-2024Rev3.xlsx]D-PDP'!</v>
      </c>
      <c r="G2954" s="32" t="s">
        <v>117</v>
      </c>
      <c r="H2954" s="33">
        <f t="shared" si="701"/>
        <v>38</v>
      </c>
      <c r="I2954" s="33" t="str">
        <f t="shared" si="702"/>
        <v>='C:\Users\jaime.benazar\Quorum Business Solutions\Ecopetrol Prometeo - Documents\Planning Space Implementation\3. Analysis &amp; Design\Design\FC22\DRR Jaime\QUIFA-CAJÚA\Cajua\[CAJUA_CF_SEC_New_27-Feb-2024Rev3.xlsx]D-PDP'!$DT$38</v>
      </c>
      <c r="J2954" s="37" t="s">
        <v>3321</v>
      </c>
    </row>
    <row r="2955" spans="1:10" x14ac:dyDescent="0.25">
      <c r="A2955" s="32" t="s">
        <v>1</v>
      </c>
      <c r="B2955" s="32">
        <f t="shared" si="703"/>
        <v>2050</v>
      </c>
      <c r="C2955" s="33" t="s">
        <v>42</v>
      </c>
      <c r="D2955" s="34" t="s">
        <v>1999</v>
      </c>
      <c r="E2955" s="35" t="str">
        <f t="shared" si="699"/>
        <v>PDP'!</v>
      </c>
      <c r="F2955" s="34" t="str">
        <f t="shared" si="700"/>
        <v>C:\Users\jaime.benazar\Quorum Business Solutions\Ecopetrol Prometeo - Documents\Planning Space Implementation\3. Analysis &amp; Design\Design\FC22\DRR Jaime\QUIFA-CAJÚA\Cajua\[CAJUA_CF_SEC_New_27-Feb-2024Rev3.xlsx]D-PDP'!</v>
      </c>
      <c r="G2955" s="32" t="s">
        <v>117</v>
      </c>
      <c r="H2955" s="33">
        <f t="shared" si="701"/>
        <v>39</v>
      </c>
      <c r="I2955" s="33" t="str">
        <f t="shared" si="702"/>
        <v>='C:\Users\jaime.benazar\Quorum Business Solutions\Ecopetrol Prometeo - Documents\Planning Space Implementation\3. Analysis &amp; Design\Design\FC22\DRR Jaime\QUIFA-CAJÚA\Cajua\[CAJUA_CF_SEC_New_27-Feb-2024Rev3.xlsx]D-PDP'!$DT$39</v>
      </c>
      <c r="J2955" s="37" t="s">
        <v>3322</v>
      </c>
    </row>
    <row r="2956" spans="1:10" x14ac:dyDescent="0.25">
      <c r="A2956" s="32" t="s">
        <v>1</v>
      </c>
      <c r="B2956" s="32">
        <f t="shared" si="703"/>
        <v>2051</v>
      </c>
      <c r="C2956" s="33" t="s">
        <v>42</v>
      </c>
      <c r="D2956" s="34" t="s">
        <v>1999</v>
      </c>
      <c r="E2956" s="35" t="str">
        <f t="shared" si="699"/>
        <v>PDP'!</v>
      </c>
      <c r="F2956" s="34" t="str">
        <f t="shared" si="700"/>
        <v>C:\Users\jaime.benazar\Quorum Business Solutions\Ecopetrol Prometeo - Documents\Planning Space Implementation\3. Analysis &amp; Design\Design\FC22\DRR Jaime\QUIFA-CAJÚA\Cajua\[CAJUA_CF_SEC_New_27-Feb-2024Rev3.xlsx]D-PDP'!</v>
      </c>
      <c r="G2956" s="32" t="s">
        <v>117</v>
      </c>
      <c r="H2956" s="33">
        <f t="shared" si="701"/>
        <v>40</v>
      </c>
      <c r="I2956" s="33" t="str">
        <f t="shared" si="702"/>
        <v>='C:\Users\jaime.benazar\Quorum Business Solutions\Ecopetrol Prometeo - Documents\Planning Space Implementation\3. Analysis &amp; Design\Design\FC22\DRR Jaime\QUIFA-CAJÚA\Cajua\[CAJUA_CF_SEC_New_27-Feb-2024Rev3.xlsx]D-PDP'!$DT$40</v>
      </c>
      <c r="J2956" s="37" t="s">
        <v>3323</v>
      </c>
    </row>
    <row r="2957" spans="1:10" x14ac:dyDescent="0.25">
      <c r="A2957" s="32" t="s">
        <v>1</v>
      </c>
      <c r="B2957" s="32">
        <f t="shared" si="703"/>
        <v>2052</v>
      </c>
      <c r="C2957" s="33" t="s">
        <v>42</v>
      </c>
      <c r="D2957" s="34" t="s">
        <v>1999</v>
      </c>
      <c r="E2957" s="35" t="str">
        <f t="shared" si="699"/>
        <v>PDP'!</v>
      </c>
      <c r="F2957" s="34" t="str">
        <f t="shared" si="700"/>
        <v>C:\Users\jaime.benazar\Quorum Business Solutions\Ecopetrol Prometeo - Documents\Planning Space Implementation\3. Analysis &amp; Design\Design\FC22\DRR Jaime\QUIFA-CAJÚA\Cajua\[CAJUA_CF_SEC_New_27-Feb-2024Rev3.xlsx]D-PDP'!</v>
      </c>
      <c r="G2957" s="32" t="s">
        <v>117</v>
      </c>
      <c r="H2957" s="33">
        <f t="shared" si="701"/>
        <v>41</v>
      </c>
      <c r="I2957" s="33" t="str">
        <f t="shared" si="702"/>
        <v>='C:\Users\jaime.benazar\Quorum Business Solutions\Ecopetrol Prometeo - Documents\Planning Space Implementation\3. Analysis &amp; Design\Design\FC22\DRR Jaime\QUIFA-CAJÚA\Cajua\[CAJUA_CF_SEC_New_27-Feb-2024Rev3.xlsx]D-PDP'!$DT$41</v>
      </c>
      <c r="J2957" s="37" t="s">
        <v>3324</v>
      </c>
    </row>
    <row r="2958" spans="1:10" x14ac:dyDescent="0.25">
      <c r="A2958" s="32" t="s">
        <v>1</v>
      </c>
      <c r="B2958" s="32">
        <f t="shared" si="703"/>
        <v>2053</v>
      </c>
      <c r="C2958" s="33" t="s">
        <v>42</v>
      </c>
      <c r="D2958" s="34" t="s">
        <v>1999</v>
      </c>
      <c r="E2958" s="35" t="str">
        <f t="shared" si="699"/>
        <v>PDP'!</v>
      </c>
      <c r="F2958" s="34" t="str">
        <f t="shared" si="700"/>
        <v>C:\Users\jaime.benazar\Quorum Business Solutions\Ecopetrol Prometeo - Documents\Planning Space Implementation\3. Analysis &amp; Design\Design\FC22\DRR Jaime\QUIFA-CAJÚA\Cajua\[CAJUA_CF_SEC_New_27-Feb-2024Rev3.xlsx]D-PDP'!</v>
      </c>
      <c r="G2958" s="32" t="s">
        <v>117</v>
      </c>
      <c r="H2958" s="33">
        <f t="shared" si="701"/>
        <v>42</v>
      </c>
      <c r="I2958" s="33" t="str">
        <f t="shared" si="702"/>
        <v>='C:\Users\jaime.benazar\Quorum Business Solutions\Ecopetrol Prometeo - Documents\Planning Space Implementation\3. Analysis &amp; Design\Design\FC22\DRR Jaime\QUIFA-CAJÚA\Cajua\[CAJUA_CF_SEC_New_27-Feb-2024Rev3.xlsx]D-PDP'!$DT$42</v>
      </c>
      <c r="J2958" s="37" t="s">
        <v>3325</v>
      </c>
    </row>
    <row r="2959" spans="1:10" x14ac:dyDescent="0.25">
      <c r="A2959" s="32" t="s">
        <v>1</v>
      </c>
      <c r="B2959" s="32">
        <f t="shared" si="703"/>
        <v>2054</v>
      </c>
      <c r="C2959" s="33" t="s">
        <v>42</v>
      </c>
      <c r="D2959" s="34" t="s">
        <v>1999</v>
      </c>
      <c r="E2959" s="35" t="str">
        <f t="shared" si="699"/>
        <v>PDP'!</v>
      </c>
      <c r="F2959" s="34" t="str">
        <f t="shared" si="700"/>
        <v>C:\Users\jaime.benazar\Quorum Business Solutions\Ecopetrol Prometeo - Documents\Planning Space Implementation\3. Analysis &amp; Design\Design\FC22\DRR Jaime\QUIFA-CAJÚA\Cajua\[CAJUA_CF_SEC_New_27-Feb-2024Rev3.xlsx]D-PDP'!</v>
      </c>
      <c r="G2959" s="32" t="s">
        <v>117</v>
      </c>
      <c r="H2959" s="33">
        <f t="shared" si="701"/>
        <v>43</v>
      </c>
      <c r="I2959" s="33" t="str">
        <f t="shared" si="702"/>
        <v>='C:\Users\jaime.benazar\Quorum Business Solutions\Ecopetrol Prometeo - Documents\Planning Space Implementation\3. Analysis &amp; Design\Design\FC22\DRR Jaime\QUIFA-CAJÚA\Cajua\[CAJUA_CF_SEC_New_27-Feb-2024Rev3.xlsx]D-PDP'!$DT$43</v>
      </c>
      <c r="J2959" s="37" t="s">
        <v>3326</v>
      </c>
    </row>
    <row r="2960" spans="1:10" x14ac:dyDescent="0.25">
      <c r="A2960" s="32" t="s">
        <v>1</v>
      </c>
      <c r="B2960" s="32">
        <f t="shared" si="703"/>
        <v>2055</v>
      </c>
      <c r="C2960" s="33" t="s">
        <v>42</v>
      </c>
      <c r="D2960" s="34" t="s">
        <v>1999</v>
      </c>
      <c r="E2960" s="35" t="str">
        <f t="shared" si="699"/>
        <v>PDP'!</v>
      </c>
      <c r="F2960" s="34" t="str">
        <f t="shared" si="700"/>
        <v>C:\Users\jaime.benazar\Quorum Business Solutions\Ecopetrol Prometeo - Documents\Planning Space Implementation\3. Analysis &amp; Design\Design\FC22\DRR Jaime\QUIFA-CAJÚA\Cajua\[CAJUA_CF_SEC_New_27-Feb-2024Rev3.xlsx]D-PDP'!</v>
      </c>
      <c r="G2960" s="32" t="s">
        <v>117</v>
      </c>
      <c r="H2960" s="33">
        <f t="shared" si="701"/>
        <v>44</v>
      </c>
      <c r="I2960" s="33" t="str">
        <f t="shared" si="702"/>
        <v>='C:\Users\jaime.benazar\Quorum Business Solutions\Ecopetrol Prometeo - Documents\Planning Space Implementation\3. Analysis &amp; Design\Design\FC22\DRR Jaime\QUIFA-CAJÚA\Cajua\[CAJUA_CF_SEC_New_27-Feb-2024Rev3.xlsx]D-PDP'!$DT$44</v>
      </c>
      <c r="J2960" s="37" t="s">
        <v>3327</v>
      </c>
    </row>
    <row r="2961" spans="1:10" x14ac:dyDescent="0.25">
      <c r="A2961" s="32" t="s">
        <v>1</v>
      </c>
      <c r="B2961" s="32">
        <f t="shared" si="703"/>
        <v>2056</v>
      </c>
      <c r="C2961" s="33" t="s">
        <v>42</v>
      </c>
      <c r="D2961" s="34" t="s">
        <v>1999</v>
      </c>
      <c r="E2961" s="35" t="str">
        <f t="shared" si="699"/>
        <v>PDP'!</v>
      </c>
      <c r="F2961" s="34" t="str">
        <f t="shared" si="700"/>
        <v>C:\Users\jaime.benazar\Quorum Business Solutions\Ecopetrol Prometeo - Documents\Planning Space Implementation\3. Analysis &amp; Design\Design\FC22\DRR Jaime\QUIFA-CAJÚA\Cajua\[CAJUA_CF_SEC_New_27-Feb-2024Rev3.xlsx]D-PDP'!</v>
      </c>
      <c r="G2961" s="32" t="s">
        <v>117</v>
      </c>
      <c r="H2961" s="33">
        <f t="shared" si="701"/>
        <v>45</v>
      </c>
      <c r="I2961" s="33" t="str">
        <f t="shared" si="702"/>
        <v>='C:\Users\jaime.benazar\Quorum Business Solutions\Ecopetrol Prometeo - Documents\Planning Space Implementation\3. Analysis &amp; Design\Design\FC22\DRR Jaime\QUIFA-CAJÚA\Cajua\[CAJUA_CF_SEC_New_27-Feb-2024Rev3.xlsx]D-PDP'!$DT$45</v>
      </c>
      <c r="J2961" s="37" t="s">
        <v>3328</v>
      </c>
    </row>
    <row r="2962" spans="1:10" x14ac:dyDescent="0.25">
      <c r="A2962" s="32" t="s">
        <v>1</v>
      </c>
      <c r="B2962" s="32">
        <f t="shared" si="703"/>
        <v>2057</v>
      </c>
      <c r="C2962" s="33" t="s">
        <v>42</v>
      </c>
      <c r="D2962" s="34" t="s">
        <v>1999</v>
      </c>
      <c r="E2962" s="35" t="str">
        <f t="shared" si="699"/>
        <v>PDP'!</v>
      </c>
      <c r="F2962" s="34" t="str">
        <f t="shared" si="700"/>
        <v>C:\Users\jaime.benazar\Quorum Business Solutions\Ecopetrol Prometeo - Documents\Planning Space Implementation\3. Analysis &amp; Design\Design\FC22\DRR Jaime\QUIFA-CAJÚA\Cajua\[CAJUA_CF_SEC_New_27-Feb-2024Rev3.xlsx]D-PDP'!</v>
      </c>
      <c r="G2962" s="32" t="s">
        <v>117</v>
      </c>
      <c r="H2962" s="33">
        <f t="shared" si="701"/>
        <v>46</v>
      </c>
      <c r="I2962" s="33" t="str">
        <f t="shared" si="702"/>
        <v>='C:\Users\jaime.benazar\Quorum Business Solutions\Ecopetrol Prometeo - Documents\Planning Space Implementation\3. Analysis &amp; Design\Design\FC22\DRR Jaime\QUIFA-CAJÚA\Cajua\[CAJUA_CF_SEC_New_27-Feb-2024Rev3.xlsx]D-PDP'!$DT$46</v>
      </c>
      <c r="J2962" s="37" t="s">
        <v>3329</v>
      </c>
    </row>
    <row r="2963" spans="1:10" x14ac:dyDescent="0.25">
      <c r="A2963" s="32" t="s">
        <v>1</v>
      </c>
      <c r="B2963" s="32">
        <f t="shared" si="703"/>
        <v>2058</v>
      </c>
      <c r="C2963" s="33" t="s">
        <v>42</v>
      </c>
      <c r="D2963" s="34" t="s">
        <v>1999</v>
      </c>
      <c r="E2963" s="35" t="str">
        <f t="shared" si="699"/>
        <v>PDP'!</v>
      </c>
      <c r="F2963" s="34" t="str">
        <f t="shared" si="700"/>
        <v>C:\Users\jaime.benazar\Quorum Business Solutions\Ecopetrol Prometeo - Documents\Planning Space Implementation\3. Analysis &amp; Design\Design\FC22\DRR Jaime\QUIFA-CAJÚA\Cajua\[CAJUA_CF_SEC_New_27-Feb-2024Rev3.xlsx]D-PDP'!</v>
      </c>
      <c r="G2963" s="32" t="s">
        <v>117</v>
      </c>
      <c r="H2963" s="33">
        <f t="shared" si="701"/>
        <v>47</v>
      </c>
      <c r="I2963" s="33" t="str">
        <f t="shared" si="702"/>
        <v>='C:\Users\jaime.benazar\Quorum Business Solutions\Ecopetrol Prometeo - Documents\Planning Space Implementation\3. Analysis &amp; Design\Design\FC22\DRR Jaime\QUIFA-CAJÚA\Cajua\[CAJUA_CF_SEC_New_27-Feb-2024Rev3.xlsx]D-PDP'!$DT$47</v>
      </c>
      <c r="J2963" s="37" t="s">
        <v>3330</v>
      </c>
    </row>
    <row r="2964" spans="1:10" x14ac:dyDescent="0.25">
      <c r="A2964" s="32" t="s">
        <v>1</v>
      </c>
      <c r="B2964" s="32">
        <f t="shared" si="703"/>
        <v>2059</v>
      </c>
      <c r="C2964" s="33" t="s">
        <v>42</v>
      </c>
      <c r="D2964" s="34" t="s">
        <v>1999</v>
      </c>
      <c r="E2964" s="35" t="str">
        <f t="shared" si="699"/>
        <v>PDP'!</v>
      </c>
      <c r="F2964" s="34" t="str">
        <f t="shared" si="700"/>
        <v>C:\Users\jaime.benazar\Quorum Business Solutions\Ecopetrol Prometeo - Documents\Planning Space Implementation\3. Analysis &amp; Design\Design\FC22\DRR Jaime\QUIFA-CAJÚA\Cajua\[CAJUA_CF_SEC_New_27-Feb-2024Rev3.xlsx]D-PDP'!</v>
      </c>
      <c r="G2964" s="32" t="s">
        <v>117</v>
      </c>
      <c r="H2964" s="33">
        <f t="shared" si="701"/>
        <v>48</v>
      </c>
      <c r="I2964" s="33" t="str">
        <f t="shared" si="702"/>
        <v>='C:\Users\jaime.benazar\Quorum Business Solutions\Ecopetrol Prometeo - Documents\Planning Space Implementation\3. Analysis &amp; Design\Design\FC22\DRR Jaime\QUIFA-CAJÚA\Cajua\[CAJUA_CF_SEC_New_27-Feb-2024Rev3.xlsx]D-PDP'!$DT$48</v>
      </c>
      <c r="J2964" s="37" t="s">
        <v>3331</v>
      </c>
    </row>
    <row r="2965" spans="1:10" x14ac:dyDescent="0.25">
      <c r="A2965" s="32" t="s">
        <v>28</v>
      </c>
      <c r="B2965" s="32"/>
      <c r="C2965" s="33" t="s">
        <v>42</v>
      </c>
      <c r="D2965" s="34"/>
      <c r="E2965" s="35"/>
      <c r="F2965" s="34"/>
      <c r="G2965" s="32"/>
      <c r="H2965" s="33"/>
      <c r="I2965" s="33"/>
      <c r="J2965" s="33"/>
    </row>
    <row r="2966" spans="1:10" x14ac:dyDescent="0.25">
      <c r="A2966" s="32" t="s">
        <v>2</v>
      </c>
      <c r="B2966" s="32">
        <v>2023</v>
      </c>
      <c r="C2966" s="33" t="s">
        <v>42</v>
      </c>
      <c r="D2966" s="34" t="s">
        <v>1999</v>
      </c>
      <c r="E2966" s="35" t="str">
        <f t="shared" si="692"/>
        <v>PNP'!</v>
      </c>
      <c r="F2966" s="34" t="str">
        <f t="shared" si="693"/>
        <v>C:\Users\jaime.benazar\Quorum Business Solutions\Ecopetrol Prometeo - Documents\Planning Space Implementation\3. Analysis &amp; Design\Design\FC22\DRR Jaime\QUIFA-CAJÚA\Cajua\[CAJUA_CF_SEC_New_27-Feb-2024Rev3.xlsx]D-PNP'!</v>
      </c>
      <c r="G2966" s="32" t="s">
        <v>117</v>
      </c>
      <c r="H2966" s="33">
        <v>12</v>
      </c>
      <c r="I2966" s="33" t="str">
        <f t="shared" ref="I2966:I2986" si="704">_xlfn.CONCAT("='",F2966:H2966)</f>
        <v>='C:\Users\jaime.benazar\Quorum Business Solutions\Ecopetrol Prometeo - Documents\Planning Space Implementation\3. Analysis &amp; Design\Design\FC22\DRR Jaime\QUIFA-CAJÚA\Cajua\[CAJUA_CF_SEC_New_27-Feb-2024Rev3.xlsx]D-PNP'!$DT$12</v>
      </c>
      <c r="J2966" s="37" t="s">
        <v>3332</v>
      </c>
    </row>
    <row r="2967" spans="1:10" x14ac:dyDescent="0.25">
      <c r="A2967" s="32" t="s">
        <v>2</v>
      </c>
      <c r="B2967" s="32">
        <f>+B2966+1</f>
        <v>2024</v>
      </c>
      <c r="C2967" s="33" t="s">
        <v>42</v>
      </c>
      <c r="D2967" s="34" t="s">
        <v>1999</v>
      </c>
      <c r="E2967" s="35" t="str">
        <f t="shared" si="692"/>
        <v>PNP'!</v>
      </c>
      <c r="F2967" s="34" t="str">
        <f t="shared" si="693"/>
        <v>C:\Users\jaime.benazar\Quorum Business Solutions\Ecopetrol Prometeo - Documents\Planning Space Implementation\3. Analysis &amp; Design\Design\FC22\DRR Jaime\QUIFA-CAJÚA\Cajua\[CAJUA_CF_SEC_New_27-Feb-2024Rev3.xlsx]D-PNP'!</v>
      </c>
      <c r="G2967" s="32" t="s">
        <v>117</v>
      </c>
      <c r="H2967" s="33">
        <f t="shared" ref="H2967:H2986" si="705">IF(A2967&lt;&gt;A2966,12,H2966+1)</f>
        <v>13</v>
      </c>
      <c r="I2967" s="33" t="str">
        <f t="shared" si="704"/>
        <v>='C:\Users\jaime.benazar\Quorum Business Solutions\Ecopetrol Prometeo - Documents\Planning Space Implementation\3. Analysis &amp; Design\Design\FC22\DRR Jaime\QUIFA-CAJÚA\Cajua\[CAJUA_CF_SEC_New_27-Feb-2024Rev3.xlsx]D-PNP'!$DT$13</v>
      </c>
      <c r="J2967" s="37" t="s">
        <v>3333</v>
      </c>
    </row>
    <row r="2968" spans="1:10" x14ac:dyDescent="0.25">
      <c r="A2968" s="32" t="s">
        <v>2</v>
      </c>
      <c r="B2968" s="32">
        <f t="shared" ref="B2968:B2979" si="706">+B2967+1</f>
        <v>2025</v>
      </c>
      <c r="C2968" s="33" t="s">
        <v>42</v>
      </c>
      <c r="D2968" s="34" t="s">
        <v>1999</v>
      </c>
      <c r="E2968" s="35" t="str">
        <f t="shared" si="692"/>
        <v>PNP'!</v>
      </c>
      <c r="F2968" s="34" t="str">
        <f t="shared" si="693"/>
        <v>C:\Users\jaime.benazar\Quorum Business Solutions\Ecopetrol Prometeo - Documents\Planning Space Implementation\3. Analysis &amp; Design\Design\FC22\DRR Jaime\QUIFA-CAJÚA\Cajua\[CAJUA_CF_SEC_New_27-Feb-2024Rev3.xlsx]D-PNP'!</v>
      </c>
      <c r="G2968" s="32" t="s">
        <v>117</v>
      </c>
      <c r="H2968" s="33">
        <f t="shared" si="705"/>
        <v>14</v>
      </c>
      <c r="I2968" s="33" t="str">
        <f t="shared" si="704"/>
        <v>='C:\Users\jaime.benazar\Quorum Business Solutions\Ecopetrol Prometeo - Documents\Planning Space Implementation\3. Analysis &amp; Design\Design\FC22\DRR Jaime\QUIFA-CAJÚA\Cajua\[CAJUA_CF_SEC_New_27-Feb-2024Rev3.xlsx]D-PNP'!$DT$14</v>
      </c>
      <c r="J2968" s="37" t="s">
        <v>3334</v>
      </c>
    </row>
    <row r="2969" spans="1:10" x14ac:dyDescent="0.25">
      <c r="A2969" s="32" t="s">
        <v>2</v>
      </c>
      <c r="B2969" s="32">
        <f t="shared" si="706"/>
        <v>2026</v>
      </c>
      <c r="C2969" s="33" t="s">
        <v>42</v>
      </c>
      <c r="D2969" s="34" t="s">
        <v>1999</v>
      </c>
      <c r="E2969" s="35" t="str">
        <f t="shared" si="692"/>
        <v>PNP'!</v>
      </c>
      <c r="F2969" s="34" t="str">
        <f t="shared" si="693"/>
        <v>C:\Users\jaime.benazar\Quorum Business Solutions\Ecopetrol Prometeo - Documents\Planning Space Implementation\3. Analysis &amp; Design\Design\FC22\DRR Jaime\QUIFA-CAJÚA\Cajua\[CAJUA_CF_SEC_New_27-Feb-2024Rev3.xlsx]D-PNP'!</v>
      </c>
      <c r="G2969" s="32" t="s">
        <v>117</v>
      </c>
      <c r="H2969" s="33">
        <f t="shared" si="705"/>
        <v>15</v>
      </c>
      <c r="I2969" s="33" t="str">
        <f t="shared" si="704"/>
        <v>='C:\Users\jaime.benazar\Quorum Business Solutions\Ecopetrol Prometeo - Documents\Planning Space Implementation\3. Analysis &amp; Design\Design\FC22\DRR Jaime\QUIFA-CAJÚA\Cajua\[CAJUA_CF_SEC_New_27-Feb-2024Rev3.xlsx]D-PNP'!$DT$15</v>
      </c>
      <c r="J2969" s="37" t="s">
        <v>3335</v>
      </c>
    </row>
    <row r="2970" spans="1:10" x14ac:dyDescent="0.25">
      <c r="A2970" s="32" t="s">
        <v>2</v>
      </c>
      <c r="B2970" s="32">
        <f t="shared" si="706"/>
        <v>2027</v>
      </c>
      <c r="C2970" s="33" t="s">
        <v>42</v>
      </c>
      <c r="D2970" s="34" t="s">
        <v>1999</v>
      </c>
      <c r="E2970" s="35" t="str">
        <f t="shared" si="692"/>
        <v>PNP'!</v>
      </c>
      <c r="F2970" s="34" t="str">
        <f t="shared" si="693"/>
        <v>C:\Users\jaime.benazar\Quorum Business Solutions\Ecopetrol Prometeo - Documents\Planning Space Implementation\3. Analysis &amp; Design\Design\FC22\DRR Jaime\QUIFA-CAJÚA\Cajua\[CAJUA_CF_SEC_New_27-Feb-2024Rev3.xlsx]D-PNP'!</v>
      </c>
      <c r="G2970" s="32" t="s">
        <v>117</v>
      </c>
      <c r="H2970" s="33">
        <f t="shared" si="705"/>
        <v>16</v>
      </c>
      <c r="I2970" s="33" t="str">
        <f t="shared" si="704"/>
        <v>='C:\Users\jaime.benazar\Quorum Business Solutions\Ecopetrol Prometeo - Documents\Planning Space Implementation\3. Analysis &amp; Design\Design\FC22\DRR Jaime\QUIFA-CAJÚA\Cajua\[CAJUA_CF_SEC_New_27-Feb-2024Rev3.xlsx]D-PNP'!$DT$16</v>
      </c>
      <c r="J2970" s="37" t="s">
        <v>3336</v>
      </c>
    </row>
    <row r="2971" spans="1:10" x14ac:dyDescent="0.25">
      <c r="A2971" s="32" t="s">
        <v>2</v>
      </c>
      <c r="B2971" s="32">
        <f t="shared" si="706"/>
        <v>2028</v>
      </c>
      <c r="C2971" s="33" t="s">
        <v>42</v>
      </c>
      <c r="D2971" s="34" t="s">
        <v>1999</v>
      </c>
      <c r="E2971" s="35" t="str">
        <f t="shared" si="692"/>
        <v>PNP'!</v>
      </c>
      <c r="F2971" s="34" t="str">
        <f t="shared" si="693"/>
        <v>C:\Users\jaime.benazar\Quorum Business Solutions\Ecopetrol Prometeo - Documents\Planning Space Implementation\3. Analysis &amp; Design\Design\FC22\DRR Jaime\QUIFA-CAJÚA\Cajua\[CAJUA_CF_SEC_New_27-Feb-2024Rev3.xlsx]D-PNP'!</v>
      </c>
      <c r="G2971" s="32" t="s">
        <v>117</v>
      </c>
      <c r="H2971" s="33">
        <f t="shared" si="705"/>
        <v>17</v>
      </c>
      <c r="I2971" s="33" t="str">
        <f t="shared" si="704"/>
        <v>='C:\Users\jaime.benazar\Quorum Business Solutions\Ecopetrol Prometeo - Documents\Planning Space Implementation\3. Analysis &amp; Design\Design\FC22\DRR Jaime\QUIFA-CAJÚA\Cajua\[CAJUA_CF_SEC_New_27-Feb-2024Rev3.xlsx]D-PNP'!$DT$17</v>
      </c>
      <c r="J2971" s="37" t="s">
        <v>3337</v>
      </c>
    </row>
    <row r="2972" spans="1:10" x14ac:dyDescent="0.25">
      <c r="A2972" s="32" t="s">
        <v>2</v>
      </c>
      <c r="B2972" s="32">
        <f t="shared" si="706"/>
        <v>2029</v>
      </c>
      <c r="C2972" s="33" t="s">
        <v>42</v>
      </c>
      <c r="D2972" s="34" t="s">
        <v>1999</v>
      </c>
      <c r="E2972" s="35" t="str">
        <f t="shared" si="692"/>
        <v>PNP'!</v>
      </c>
      <c r="F2972" s="34" t="str">
        <f t="shared" si="693"/>
        <v>C:\Users\jaime.benazar\Quorum Business Solutions\Ecopetrol Prometeo - Documents\Planning Space Implementation\3. Analysis &amp; Design\Design\FC22\DRR Jaime\QUIFA-CAJÚA\Cajua\[CAJUA_CF_SEC_New_27-Feb-2024Rev3.xlsx]D-PNP'!</v>
      </c>
      <c r="G2972" s="32" t="s">
        <v>117</v>
      </c>
      <c r="H2972" s="33">
        <f t="shared" si="705"/>
        <v>18</v>
      </c>
      <c r="I2972" s="33" t="str">
        <f t="shared" si="704"/>
        <v>='C:\Users\jaime.benazar\Quorum Business Solutions\Ecopetrol Prometeo - Documents\Planning Space Implementation\3. Analysis &amp; Design\Design\FC22\DRR Jaime\QUIFA-CAJÚA\Cajua\[CAJUA_CF_SEC_New_27-Feb-2024Rev3.xlsx]D-PNP'!$DT$18</v>
      </c>
      <c r="J2972" s="37" t="s">
        <v>3338</v>
      </c>
    </row>
    <row r="2973" spans="1:10" x14ac:dyDescent="0.25">
      <c r="A2973" s="32" t="s">
        <v>2</v>
      </c>
      <c r="B2973" s="32">
        <f t="shared" si="706"/>
        <v>2030</v>
      </c>
      <c r="C2973" s="33" t="s">
        <v>42</v>
      </c>
      <c r="D2973" s="34" t="s">
        <v>1999</v>
      </c>
      <c r="E2973" s="35" t="str">
        <f t="shared" si="692"/>
        <v>PNP'!</v>
      </c>
      <c r="F2973" s="34" t="str">
        <f t="shared" si="693"/>
        <v>C:\Users\jaime.benazar\Quorum Business Solutions\Ecopetrol Prometeo - Documents\Planning Space Implementation\3. Analysis &amp; Design\Design\FC22\DRR Jaime\QUIFA-CAJÚA\Cajua\[CAJUA_CF_SEC_New_27-Feb-2024Rev3.xlsx]D-PNP'!</v>
      </c>
      <c r="G2973" s="32" t="s">
        <v>117</v>
      </c>
      <c r="H2973" s="33">
        <f t="shared" si="705"/>
        <v>19</v>
      </c>
      <c r="I2973" s="33" t="str">
        <f t="shared" si="704"/>
        <v>='C:\Users\jaime.benazar\Quorum Business Solutions\Ecopetrol Prometeo - Documents\Planning Space Implementation\3. Analysis &amp; Design\Design\FC22\DRR Jaime\QUIFA-CAJÚA\Cajua\[CAJUA_CF_SEC_New_27-Feb-2024Rev3.xlsx]D-PNP'!$DT$19</v>
      </c>
      <c r="J2973" s="37" t="s">
        <v>3339</v>
      </c>
    </row>
    <row r="2974" spans="1:10" x14ac:dyDescent="0.25">
      <c r="A2974" s="32" t="s">
        <v>2</v>
      </c>
      <c r="B2974" s="32">
        <f t="shared" si="706"/>
        <v>2031</v>
      </c>
      <c r="C2974" s="33" t="s">
        <v>42</v>
      </c>
      <c r="D2974" s="34" t="s">
        <v>1999</v>
      </c>
      <c r="E2974" s="35" t="str">
        <f t="shared" si="692"/>
        <v>PNP'!</v>
      </c>
      <c r="F2974" s="34" t="str">
        <f t="shared" si="693"/>
        <v>C:\Users\jaime.benazar\Quorum Business Solutions\Ecopetrol Prometeo - Documents\Planning Space Implementation\3. Analysis &amp; Design\Design\FC22\DRR Jaime\QUIFA-CAJÚA\Cajua\[CAJUA_CF_SEC_New_27-Feb-2024Rev3.xlsx]D-PNP'!</v>
      </c>
      <c r="G2974" s="32" t="s">
        <v>117</v>
      </c>
      <c r="H2974" s="33">
        <f t="shared" si="705"/>
        <v>20</v>
      </c>
      <c r="I2974" s="33" t="str">
        <f t="shared" si="704"/>
        <v>='C:\Users\jaime.benazar\Quorum Business Solutions\Ecopetrol Prometeo - Documents\Planning Space Implementation\3. Analysis &amp; Design\Design\FC22\DRR Jaime\QUIFA-CAJÚA\Cajua\[CAJUA_CF_SEC_New_27-Feb-2024Rev3.xlsx]D-PNP'!$DT$20</v>
      </c>
      <c r="J2974" s="37" t="s">
        <v>3340</v>
      </c>
    </row>
    <row r="2975" spans="1:10" x14ac:dyDescent="0.25">
      <c r="A2975" s="32" t="s">
        <v>2</v>
      </c>
      <c r="B2975" s="32">
        <f t="shared" si="706"/>
        <v>2032</v>
      </c>
      <c r="C2975" s="33" t="s">
        <v>42</v>
      </c>
      <c r="D2975" s="34" t="s">
        <v>1999</v>
      </c>
      <c r="E2975" s="35" t="str">
        <f t="shared" si="692"/>
        <v>PNP'!</v>
      </c>
      <c r="F2975" s="34" t="str">
        <f t="shared" si="693"/>
        <v>C:\Users\jaime.benazar\Quorum Business Solutions\Ecopetrol Prometeo - Documents\Planning Space Implementation\3. Analysis &amp; Design\Design\FC22\DRR Jaime\QUIFA-CAJÚA\Cajua\[CAJUA_CF_SEC_New_27-Feb-2024Rev3.xlsx]D-PNP'!</v>
      </c>
      <c r="G2975" s="32" t="s">
        <v>117</v>
      </c>
      <c r="H2975" s="33">
        <f t="shared" si="705"/>
        <v>21</v>
      </c>
      <c r="I2975" s="33" t="str">
        <f t="shared" si="704"/>
        <v>='C:\Users\jaime.benazar\Quorum Business Solutions\Ecopetrol Prometeo - Documents\Planning Space Implementation\3. Analysis &amp; Design\Design\FC22\DRR Jaime\QUIFA-CAJÚA\Cajua\[CAJUA_CF_SEC_New_27-Feb-2024Rev3.xlsx]D-PNP'!$DT$21</v>
      </c>
      <c r="J2975" s="37" t="s">
        <v>3341</v>
      </c>
    </row>
    <row r="2976" spans="1:10" x14ac:dyDescent="0.25">
      <c r="A2976" s="32" t="s">
        <v>2</v>
      </c>
      <c r="B2976" s="32">
        <f t="shared" si="706"/>
        <v>2033</v>
      </c>
      <c r="C2976" s="33" t="s">
        <v>42</v>
      </c>
      <c r="D2976" s="34" t="s">
        <v>1999</v>
      </c>
      <c r="E2976" s="35" t="str">
        <f t="shared" si="692"/>
        <v>PNP'!</v>
      </c>
      <c r="F2976" s="34" t="str">
        <f t="shared" si="693"/>
        <v>C:\Users\jaime.benazar\Quorum Business Solutions\Ecopetrol Prometeo - Documents\Planning Space Implementation\3. Analysis &amp; Design\Design\FC22\DRR Jaime\QUIFA-CAJÚA\Cajua\[CAJUA_CF_SEC_New_27-Feb-2024Rev3.xlsx]D-PNP'!</v>
      </c>
      <c r="G2976" s="32" t="s">
        <v>117</v>
      </c>
      <c r="H2976" s="33">
        <f t="shared" si="705"/>
        <v>22</v>
      </c>
      <c r="I2976" s="33" t="str">
        <f t="shared" si="704"/>
        <v>='C:\Users\jaime.benazar\Quorum Business Solutions\Ecopetrol Prometeo - Documents\Planning Space Implementation\3. Analysis &amp; Design\Design\FC22\DRR Jaime\QUIFA-CAJÚA\Cajua\[CAJUA_CF_SEC_New_27-Feb-2024Rev3.xlsx]D-PNP'!$DT$22</v>
      </c>
      <c r="J2976" s="37" t="s">
        <v>3342</v>
      </c>
    </row>
    <row r="2977" spans="1:10" x14ac:dyDescent="0.25">
      <c r="A2977" s="32" t="s">
        <v>2</v>
      </c>
      <c r="B2977" s="32">
        <f t="shared" si="706"/>
        <v>2034</v>
      </c>
      <c r="C2977" s="33" t="s">
        <v>42</v>
      </c>
      <c r="D2977" s="34" t="s">
        <v>1999</v>
      </c>
      <c r="E2977" s="35" t="str">
        <f t="shared" si="692"/>
        <v>PNP'!</v>
      </c>
      <c r="F2977" s="34" t="str">
        <f t="shared" si="693"/>
        <v>C:\Users\jaime.benazar\Quorum Business Solutions\Ecopetrol Prometeo - Documents\Planning Space Implementation\3. Analysis &amp; Design\Design\FC22\DRR Jaime\QUIFA-CAJÚA\Cajua\[CAJUA_CF_SEC_New_27-Feb-2024Rev3.xlsx]D-PNP'!</v>
      </c>
      <c r="G2977" s="32" t="s">
        <v>117</v>
      </c>
      <c r="H2977" s="33">
        <f t="shared" si="705"/>
        <v>23</v>
      </c>
      <c r="I2977" s="33" t="str">
        <f t="shared" si="704"/>
        <v>='C:\Users\jaime.benazar\Quorum Business Solutions\Ecopetrol Prometeo - Documents\Planning Space Implementation\3. Analysis &amp; Design\Design\FC22\DRR Jaime\QUIFA-CAJÚA\Cajua\[CAJUA_CF_SEC_New_27-Feb-2024Rev3.xlsx]D-PNP'!$DT$23</v>
      </c>
      <c r="J2977" s="37" t="s">
        <v>3343</v>
      </c>
    </row>
    <row r="2978" spans="1:10" x14ac:dyDescent="0.25">
      <c r="A2978" s="32" t="s">
        <v>2</v>
      </c>
      <c r="B2978" s="32">
        <f t="shared" si="706"/>
        <v>2035</v>
      </c>
      <c r="C2978" s="33" t="s">
        <v>42</v>
      </c>
      <c r="D2978" s="34" t="s">
        <v>1999</v>
      </c>
      <c r="E2978" s="35" t="str">
        <f t="shared" si="692"/>
        <v>PNP'!</v>
      </c>
      <c r="F2978" s="34" t="str">
        <f t="shared" si="693"/>
        <v>C:\Users\jaime.benazar\Quorum Business Solutions\Ecopetrol Prometeo - Documents\Planning Space Implementation\3. Analysis &amp; Design\Design\FC22\DRR Jaime\QUIFA-CAJÚA\Cajua\[CAJUA_CF_SEC_New_27-Feb-2024Rev3.xlsx]D-PNP'!</v>
      </c>
      <c r="G2978" s="32" t="s">
        <v>117</v>
      </c>
      <c r="H2978" s="33">
        <f t="shared" si="705"/>
        <v>24</v>
      </c>
      <c r="I2978" s="33" t="str">
        <f t="shared" si="704"/>
        <v>='C:\Users\jaime.benazar\Quorum Business Solutions\Ecopetrol Prometeo - Documents\Planning Space Implementation\3. Analysis &amp; Design\Design\FC22\DRR Jaime\QUIFA-CAJÚA\Cajua\[CAJUA_CF_SEC_New_27-Feb-2024Rev3.xlsx]D-PNP'!$DT$24</v>
      </c>
      <c r="J2978" s="37" t="s">
        <v>3344</v>
      </c>
    </row>
    <row r="2979" spans="1:10" x14ac:dyDescent="0.25">
      <c r="A2979" s="32" t="s">
        <v>2</v>
      </c>
      <c r="B2979" s="32">
        <f t="shared" si="706"/>
        <v>2036</v>
      </c>
      <c r="C2979" s="33" t="s">
        <v>42</v>
      </c>
      <c r="D2979" s="34" t="s">
        <v>1999</v>
      </c>
      <c r="E2979" s="35" t="str">
        <f t="shared" si="692"/>
        <v>PNP'!</v>
      </c>
      <c r="F2979" s="34" t="str">
        <f t="shared" si="693"/>
        <v>C:\Users\jaime.benazar\Quorum Business Solutions\Ecopetrol Prometeo - Documents\Planning Space Implementation\3. Analysis &amp; Design\Design\FC22\DRR Jaime\QUIFA-CAJÚA\Cajua\[CAJUA_CF_SEC_New_27-Feb-2024Rev3.xlsx]D-PNP'!</v>
      </c>
      <c r="G2979" s="32" t="s">
        <v>117</v>
      </c>
      <c r="H2979" s="33">
        <f t="shared" si="705"/>
        <v>25</v>
      </c>
      <c r="I2979" s="33" t="str">
        <f t="shared" si="704"/>
        <v>='C:\Users\jaime.benazar\Quorum Business Solutions\Ecopetrol Prometeo - Documents\Planning Space Implementation\3. Analysis &amp; Design\Design\FC22\DRR Jaime\QUIFA-CAJÚA\Cajua\[CAJUA_CF_SEC_New_27-Feb-2024Rev3.xlsx]D-PNP'!$DT$25</v>
      </c>
      <c r="J2979" s="37" t="s">
        <v>3345</v>
      </c>
    </row>
    <row r="2980" spans="1:10" x14ac:dyDescent="0.25">
      <c r="A2980" s="32" t="s">
        <v>2</v>
      </c>
      <c r="B2980" s="32">
        <f>+B2979+1</f>
        <v>2037</v>
      </c>
      <c r="C2980" s="33" t="s">
        <v>42</v>
      </c>
      <c r="D2980" s="34" t="s">
        <v>1999</v>
      </c>
      <c r="E2980" s="35" t="str">
        <f t="shared" si="692"/>
        <v>PNP'!</v>
      </c>
      <c r="F2980" s="34" t="str">
        <f t="shared" si="693"/>
        <v>C:\Users\jaime.benazar\Quorum Business Solutions\Ecopetrol Prometeo - Documents\Planning Space Implementation\3. Analysis &amp; Design\Design\FC22\DRR Jaime\QUIFA-CAJÚA\Cajua\[CAJUA_CF_SEC_New_27-Feb-2024Rev3.xlsx]D-PNP'!</v>
      </c>
      <c r="G2980" s="32" t="s">
        <v>117</v>
      </c>
      <c r="H2980" s="33">
        <f t="shared" si="705"/>
        <v>26</v>
      </c>
      <c r="I2980" s="33" t="str">
        <f t="shared" si="704"/>
        <v>='C:\Users\jaime.benazar\Quorum Business Solutions\Ecopetrol Prometeo - Documents\Planning Space Implementation\3. Analysis &amp; Design\Design\FC22\DRR Jaime\QUIFA-CAJÚA\Cajua\[CAJUA_CF_SEC_New_27-Feb-2024Rev3.xlsx]D-PNP'!$DT$26</v>
      </c>
      <c r="J2980" s="37" t="s">
        <v>3346</v>
      </c>
    </row>
    <row r="2981" spans="1:10" x14ac:dyDescent="0.25">
      <c r="A2981" s="32" t="s">
        <v>2</v>
      </c>
      <c r="B2981" s="32">
        <f t="shared" ref="B2981:B2983" si="707">+B2980+1</f>
        <v>2038</v>
      </c>
      <c r="C2981" s="33" t="s">
        <v>42</v>
      </c>
      <c r="D2981" s="34" t="s">
        <v>1999</v>
      </c>
      <c r="E2981" s="35" t="str">
        <f t="shared" si="692"/>
        <v>PNP'!</v>
      </c>
      <c r="F2981" s="34" t="str">
        <f t="shared" si="693"/>
        <v>C:\Users\jaime.benazar\Quorum Business Solutions\Ecopetrol Prometeo - Documents\Planning Space Implementation\3. Analysis &amp; Design\Design\FC22\DRR Jaime\QUIFA-CAJÚA\Cajua\[CAJUA_CF_SEC_New_27-Feb-2024Rev3.xlsx]D-PNP'!</v>
      </c>
      <c r="G2981" s="32" t="s">
        <v>117</v>
      </c>
      <c r="H2981" s="33">
        <f t="shared" si="705"/>
        <v>27</v>
      </c>
      <c r="I2981" s="33" t="str">
        <f t="shared" si="704"/>
        <v>='C:\Users\jaime.benazar\Quorum Business Solutions\Ecopetrol Prometeo - Documents\Planning Space Implementation\3. Analysis &amp; Design\Design\FC22\DRR Jaime\QUIFA-CAJÚA\Cajua\[CAJUA_CF_SEC_New_27-Feb-2024Rev3.xlsx]D-PNP'!$DT$27</v>
      </c>
      <c r="J2981" s="37" t="s">
        <v>3347</v>
      </c>
    </row>
    <row r="2982" spans="1:10" x14ac:dyDescent="0.25">
      <c r="A2982" s="32" t="s">
        <v>2</v>
      </c>
      <c r="B2982" s="32">
        <f t="shared" si="707"/>
        <v>2039</v>
      </c>
      <c r="C2982" s="33" t="s">
        <v>42</v>
      </c>
      <c r="D2982" s="34" t="s">
        <v>1999</v>
      </c>
      <c r="E2982" s="35" t="str">
        <f t="shared" si="692"/>
        <v>PNP'!</v>
      </c>
      <c r="F2982" s="34" t="str">
        <f t="shared" si="693"/>
        <v>C:\Users\jaime.benazar\Quorum Business Solutions\Ecopetrol Prometeo - Documents\Planning Space Implementation\3. Analysis &amp; Design\Design\FC22\DRR Jaime\QUIFA-CAJÚA\Cajua\[CAJUA_CF_SEC_New_27-Feb-2024Rev3.xlsx]D-PNP'!</v>
      </c>
      <c r="G2982" s="32" t="s">
        <v>117</v>
      </c>
      <c r="H2982" s="33">
        <f t="shared" si="705"/>
        <v>28</v>
      </c>
      <c r="I2982" s="33" t="str">
        <f t="shared" si="704"/>
        <v>='C:\Users\jaime.benazar\Quorum Business Solutions\Ecopetrol Prometeo - Documents\Planning Space Implementation\3. Analysis &amp; Design\Design\FC22\DRR Jaime\QUIFA-CAJÚA\Cajua\[CAJUA_CF_SEC_New_27-Feb-2024Rev3.xlsx]D-PNP'!$DT$28</v>
      </c>
      <c r="J2982" s="37" t="s">
        <v>3348</v>
      </c>
    </row>
    <row r="2983" spans="1:10" x14ac:dyDescent="0.25">
      <c r="A2983" s="32" t="s">
        <v>2</v>
      </c>
      <c r="B2983" s="32">
        <f t="shared" si="707"/>
        <v>2040</v>
      </c>
      <c r="C2983" s="33" t="s">
        <v>42</v>
      </c>
      <c r="D2983" s="34" t="s">
        <v>1999</v>
      </c>
      <c r="E2983" s="35" t="str">
        <f t="shared" si="692"/>
        <v>PNP'!</v>
      </c>
      <c r="F2983" s="34" t="str">
        <f t="shared" si="693"/>
        <v>C:\Users\jaime.benazar\Quorum Business Solutions\Ecopetrol Prometeo - Documents\Planning Space Implementation\3. Analysis &amp; Design\Design\FC22\DRR Jaime\QUIFA-CAJÚA\Cajua\[CAJUA_CF_SEC_New_27-Feb-2024Rev3.xlsx]D-PNP'!</v>
      </c>
      <c r="G2983" s="32" t="s">
        <v>117</v>
      </c>
      <c r="H2983" s="33">
        <f t="shared" si="705"/>
        <v>29</v>
      </c>
      <c r="I2983" s="33" t="str">
        <f t="shared" si="704"/>
        <v>='C:\Users\jaime.benazar\Quorum Business Solutions\Ecopetrol Prometeo - Documents\Planning Space Implementation\3. Analysis &amp; Design\Design\FC22\DRR Jaime\QUIFA-CAJÚA\Cajua\[CAJUA_CF_SEC_New_27-Feb-2024Rev3.xlsx]D-PNP'!$DT$29</v>
      </c>
      <c r="J2983" s="37" t="s">
        <v>3349</v>
      </c>
    </row>
    <row r="2984" spans="1:10" x14ac:dyDescent="0.25">
      <c r="A2984" s="32" t="s">
        <v>2</v>
      </c>
      <c r="B2984" s="32">
        <f>+B2983+1</f>
        <v>2041</v>
      </c>
      <c r="C2984" s="33" t="s">
        <v>42</v>
      </c>
      <c r="D2984" s="34" t="s">
        <v>1999</v>
      </c>
      <c r="E2984" s="35" t="str">
        <f t="shared" si="692"/>
        <v>PNP'!</v>
      </c>
      <c r="F2984" s="34" t="str">
        <f t="shared" si="693"/>
        <v>C:\Users\jaime.benazar\Quorum Business Solutions\Ecopetrol Prometeo - Documents\Planning Space Implementation\3. Analysis &amp; Design\Design\FC22\DRR Jaime\QUIFA-CAJÚA\Cajua\[CAJUA_CF_SEC_New_27-Feb-2024Rev3.xlsx]D-PNP'!</v>
      </c>
      <c r="G2984" s="32" t="s">
        <v>117</v>
      </c>
      <c r="H2984" s="33">
        <f t="shared" si="705"/>
        <v>30</v>
      </c>
      <c r="I2984" s="33" t="str">
        <f t="shared" si="704"/>
        <v>='C:\Users\jaime.benazar\Quorum Business Solutions\Ecopetrol Prometeo - Documents\Planning Space Implementation\3. Analysis &amp; Design\Design\FC22\DRR Jaime\QUIFA-CAJÚA\Cajua\[CAJUA_CF_SEC_New_27-Feb-2024Rev3.xlsx]D-PNP'!$DT$30</v>
      </c>
      <c r="J2984" s="37" t="s">
        <v>3350</v>
      </c>
    </row>
    <row r="2985" spans="1:10" x14ac:dyDescent="0.25">
      <c r="A2985" s="32" t="s">
        <v>2</v>
      </c>
      <c r="B2985" s="32">
        <f t="shared" ref="B2985:B2986" si="708">+B2984+1</f>
        <v>2042</v>
      </c>
      <c r="C2985" s="33" t="s">
        <v>42</v>
      </c>
      <c r="D2985" s="34" t="s">
        <v>1999</v>
      </c>
      <c r="E2985" s="35" t="str">
        <f t="shared" si="692"/>
        <v>PNP'!</v>
      </c>
      <c r="F2985" s="34" t="str">
        <f t="shared" si="693"/>
        <v>C:\Users\jaime.benazar\Quorum Business Solutions\Ecopetrol Prometeo - Documents\Planning Space Implementation\3. Analysis &amp; Design\Design\FC22\DRR Jaime\QUIFA-CAJÚA\Cajua\[CAJUA_CF_SEC_New_27-Feb-2024Rev3.xlsx]D-PNP'!</v>
      </c>
      <c r="G2985" s="32" t="s">
        <v>117</v>
      </c>
      <c r="H2985" s="33">
        <f t="shared" si="705"/>
        <v>31</v>
      </c>
      <c r="I2985" s="33" t="str">
        <f t="shared" si="704"/>
        <v>='C:\Users\jaime.benazar\Quorum Business Solutions\Ecopetrol Prometeo - Documents\Planning Space Implementation\3. Analysis &amp; Design\Design\FC22\DRR Jaime\QUIFA-CAJÚA\Cajua\[CAJUA_CF_SEC_New_27-Feb-2024Rev3.xlsx]D-PNP'!$DT$31</v>
      </c>
      <c r="J2985" s="37" t="s">
        <v>3351</v>
      </c>
    </row>
    <row r="2986" spans="1:10" x14ac:dyDescent="0.25">
      <c r="A2986" s="32" t="s">
        <v>2</v>
      </c>
      <c r="B2986" s="32">
        <f t="shared" si="708"/>
        <v>2043</v>
      </c>
      <c r="C2986" s="33" t="s">
        <v>42</v>
      </c>
      <c r="D2986" s="34" t="s">
        <v>1999</v>
      </c>
      <c r="E2986" s="35" t="str">
        <f t="shared" si="692"/>
        <v>PNP'!</v>
      </c>
      <c r="F2986" s="34" t="str">
        <f t="shared" si="693"/>
        <v>C:\Users\jaime.benazar\Quorum Business Solutions\Ecopetrol Prometeo - Documents\Planning Space Implementation\3. Analysis &amp; Design\Design\FC22\DRR Jaime\QUIFA-CAJÚA\Cajua\[CAJUA_CF_SEC_New_27-Feb-2024Rev3.xlsx]D-PNP'!</v>
      </c>
      <c r="G2986" s="32" t="s">
        <v>117</v>
      </c>
      <c r="H2986" s="33">
        <f t="shared" si="705"/>
        <v>32</v>
      </c>
      <c r="I2986" s="33" t="str">
        <f t="shared" si="704"/>
        <v>='C:\Users\jaime.benazar\Quorum Business Solutions\Ecopetrol Prometeo - Documents\Planning Space Implementation\3. Analysis &amp; Design\Design\FC22\DRR Jaime\QUIFA-CAJÚA\Cajua\[CAJUA_CF_SEC_New_27-Feb-2024Rev3.xlsx]D-PNP'!$DT$32</v>
      </c>
      <c r="J2986" s="37" t="s">
        <v>3352</v>
      </c>
    </row>
    <row r="2987" spans="1:10" x14ac:dyDescent="0.25">
      <c r="A2987" s="32" t="s">
        <v>2</v>
      </c>
      <c r="B2987" s="32">
        <f>+B2986+1</f>
        <v>2044</v>
      </c>
      <c r="C2987" s="33" t="s">
        <v>42</v>
      </c>
      <c r="D2987" s="34" t="s">
        <v>1999</v>
      </c>
      <c r="E2987" s="35" t="str">
        <f t="shared" ref="E2987:E3002" si="709">_xlfn.CONCAT(A2987,"'!")</f>
        <v>PNP'!</v>
      </c>
      <c r="F2987" s="34" t="str">
        <f t="shared" ref="F2987:F3002" si="710">_xlfn.CONCAT(D2987:E2987)</f>
        <v>C:\Users\jaime.benazar\Quorum Business Solutions\Ecopetrol Prometeo - Documents\Planning Space Implementation\3. Analysis &amp; Design\Design\FC22\DRR Jaime\QUIFA-CAJÚA\Cajua\[CAJUA_CF_SEC_New_27-Feb-2024Rev3.xlsx]D-PNP'!</v>
      </c>
      <c r="G2987" s="32" t="s">
        <v>117</v>
      </c>
      <c r="H2987" s="33">
        <f t="shared" ref="H2987:H3002" si="711">IF(A2987&lt;&gt;A2986,12,H2986+1)</f>
        <v>33</v>
      </c>
      <c r="I2987" s="33" t="str">
        <f t="shared" ref="I2987:I3002" si="712">_xlfn.CONCAT("='",F2987:H2987)</f>
        <v>='C:\Users\jaime.benazar\Quorum Business Solutions\Ecopetrol Prometeo - Documents\Planning Space Implementation\3. Analysis &amp; Design\Design\FC22\DRR Jaime\QUIFA-CAJÚA\Cajua\[CAJUA_CF_SEC_New_27-Feb-2024Rev3.xlsx]D-PNP'!$DT$33</v>
      </c>
      <c r="J2987" s="37" t="s">
        <v>3353</v>
      </c>
    </row>
    <row r="2988" spans="1:10" x14ac:dyDescent="0.25">
      <c r="A2988" s="32" t="s">
        <v>2</v>
      </c>
      <c r="B2988" s="32">
        <f t="shared" ref="B2988:B3002" si="713">+B2987+1</f>
        <v>2045</v>
      </c>
      <c r="C2988" s="33" t="s">
        <v>42</v>
      </c>
      <c r="D2988" s="34" t="s">
        <v>1999</v>
      </c>
      <c r="E2988" s="35" t="str">
        <f t="shared" si="709"/>
        <v>PNP'!</v>
      </c>
      <c r="F2988" s="34" t="str">
        <f t="shared" si="710"/>
        <v>C:\Users\jaime.benazar\Quorum Business Solutions\Ecopetrol Prometeo - Documents\Planning Space Implementation\3. Analysis &amp; Design\Design\FC22\DRR Jaime\QUIFA-CAJÚA\Cajua\[CAJUA_CF_SEC_New_27-Feb-2024Rev3.xlsx]D-PNP'!</v>
      </c>
      <c r="G2988" s="32" t="s">
        <v>117</v>
      </c>
      <c r="H2988" s="33">
        <f t="shared" si="711"/>
        <v>34</v>
      </c>
      <c r="I2988" s="33" t="str">
        <f t="shared" si="712"/>
        <v>='C:\Users\jaime.benazar\Quorum Business Solutions\Ecopetrol Prometeo - Documents\Planning Space Implementation\3. Analysis &amp; Design\Design\FC22\DRR Jaime\QUIFA-CAJÚA\Cajua\[CAJUA_CF_SEC_New_27-Feb-2024Rev3.xlsx]D-PNP'!$DT$34</v>
      </c>
      <c r="J2988" s="37" t="s">
        <v>3354</v>
      </c>
    </row>
    <row r="2989" spans="1:10" x14ac:dyDescent="0.25">
      <c r="A2989" s="32" t="s">
        <v>2</v>
      </c>
      <c r="B2989" s="32">
        <f t="shared" si="713"/>
        <v>2046</v>
      </c>
      <c r="C2989" s="33" t="s">
        <v>42</v>
      </c>
      <c r="D2989" s="34" t="s">
        <v>1999</v>
      </c>
      <c r="E2989" s="35" t="str">
        <f t="shared" si="709"/>
        <v>PNP'!</v>
      </c>
      <c r="F2989" s="34" t="str">
        <f t="shared" si="710"/>
        <v>C:\Users\jaime.benazar\Quorum Business Solutions\Ecopetrol Prometeo - Documents\Planning Space Implementation\3. Analysis &amp; Design\Design\FC22\DRR Jaime\QUIFA-CAJÚA\Cajua\[CAJUA_CF_SEC_New_27-Feb-2024Rev3.xlsx]D-PNP'!</v>
      </c>
      <c r="G2989" s="32" t="s">
        <v>117</v>
      </c>
      <c r="H2989" s="33">
        <f t="shared" si="711"/>
        <v>35</v>
      </c>
      <c r="I2989" s="33" t="str">
        <f t="shared" si="712"/>
        <v>='C:\Users\jaime.benazar\Quorum Business Solutions\Ecopetrol Prometeo - Documents\Planning Space Implementation\3. Analysis &amp; Design\Design\FC22\DRR Jaime\QUIFA-CAJÚA\Cajua\[CAJUA_CF_SEC_New_27-Feb-2024Rev3.xlsx]D-PNP'!$DT$35</v>
      </c>
      <c r="J2989" s="37" t="s">
        <v>3355</v>
      </c>
    </row>
    <row r="2990" spans="1:10" x14ac:dyDescent="0.25">
      <c r="A2990" s="32" t="s">
        <v>2</v>
      </c>
      <c r="B2990" s="32">
        <f t="shared" si="713"/>
        <v>2047</v>
      </c>
      <c r="C2990" s="33" t="s">
        <v>42</v>
      </c>
      <c r="D2990" s="34" t="s">
        <v>1999</v>
      </c>
      <c r="E2990" s="35" t="str">
        <f t="shared" si="709"/>
        <v>PNP'!</v>
      </c>
      <c r="F2990" s="34" t="str">
        <f t="shared" si="710"/>
        <v>C:\Users\jaime.benazar\Quorum Business Solutions\Ecopetrol Prometeo - Documents\Planning Space Implementation\3. Analysis &amp; Design\Design\FC22\DRR Jaime\QUIFA-CAJÚA\Cajua\[CAJUA_CF_SEC_New_27-Feb-2024Rev3.xlsx]D-PNP'!</v>
      </c>
      <c r="G2990" s="32" t="s">
        <v>117</v>
      </c>
      <c r="H2990" s="33">
        <f t="shared" si="711"/>
        <v>36</v>
      </c>
      <c r="I2990" s="33" t="str">
        <f t="shared" si="712"/>
        <v>='C:\Users\jaime.benazar\Quorum Business Solutions\Ecopetrol Prometeo - Documents\Planning Space Implementation\3. Analysis &amp; Design\Design\FC22\DRR Jaime\QUIFA-CAJÚA\Cajua\[CAJUA_CF_SEC_New_27-Feb-2024Rev3.xlsx]D-PNP'!$DT$36</v>
      </c>
      <c r="J2990" s="37" t="s">
        <v>3356</v>
      </c>
    </row>
    <row r="2991" spans="1:10" x14ac:dyDescent="0.25">
      <c r="A2991" s="32" t="s">
        <v>2</v>
      </c>
      <c r="B2991" s="32">
        <f t="shared" si="713"/>
        <v>2048</v>
      </c>
      <c r="C2991" s="33" t="s">
        <v>42</v>
      </c>
      <c r="D2991" s="34" t="s">
        <v>1999</v>
      </c>
      <c r="E2991" s="35" t="str">
        <f t="shared" si="709"/>
        <v>PNP'!</v>
      </c>
      <c r="F2991" s="34" t="str">
        <f t="shared" si="710"/>
        <v>C:\Users\jaime.benazar\Quorum Business Solutions\Ecopetrol Prometeo - Documents\Planning Space Implementation\3. Analysis &amp; Design\Design\FC22\DRR Jaime\QUIFA-CAJÚA\Cajua\[CAJUA_CF_SEC_New_27-Feb-2024Rev3.xlsx]D-PNP'!</v>
      </c>
      <c r="G2991" s="32" t="s">
        <v>117</v>
      </c>
      <c r="H2991" s="33">
        <f t="shared" si="711"/>
        <v>37</v>
      </c>
      <c r="I2991" s="33" t="str">
        <f t="shared" si="712"/>
        <v>='C:\Users\jaime.benazar\Quorum Business Solutions\Ecopetrol Prometeo - Documents\Planning Space Implementation\3. Analysis &amp; Design\Design\FC22\DRR Jaime\QUIFA-CAJÚA\Cajua\[CAJUA_CF_SEC_New_27-Feb-2024Rev3.xlsx]D-PNP'!$DT$37</v>
      </c>
      <c r="J2991" s="37" t="s">
        <v>3357</v>
      </c>
    </row>
    <row r="2992" spans="1:10" x14ac:dyDescent="0.25">
      <c r="A2992" s="32" t="s">
        <v>2</v>
      </c>
      <c r="B2992" s="32">
        <f t="shared" si="713"/>
        <v>2049</v>
      </c>
      <c r="C2992" s="33" t="s">
        <v>42</v>
      </c>
      <c r="D2992" s="34" t="s">
        <v>1999</v>
      </c>
      <c r="E2992" s="35" t="str">
        <f t="shared" si="709"/>
        <v>PNP'!</v>
      </c>
      <c r="F2992" s="34" t="str">
        <f t="shared" si="710"/>
        <v>C:\Users\jaime.benazar\Quorum Business Solutions\Ecopetrol Prometeo - Documents\Planning Space Implementation\3. Analysis &amp; Design\Design\FC22\DRR Jaime\QUIFA-CAJÚA\Cajua\[CAJUA_CF_SEC_New_27-Feb-2024Rev3.xlsx]D-PNP'!</v>
      </c>
      <c r="G2992" s="32" t="s">
        <v>117</v>
      </c>
      <c r="H2992" s="33">
        <f t="shared" si="711"/>
        <v>38</v>
      </c>
      <c r="I2992" s="33" t="str">
        <f t="shared" si="712"/>
        <v>='C:\Users\jaime.benazar\Quorum Business Solutions\Ecopetrol Prometeo - Documents\Planning Space Implementation\3. Analysis &amp; Design\Design\FC22\DRR Jaime\QUIFA-CAJÚA\Cajua\[CAJUA_CF_SEC_New_27-Feb-2024Rev3.xlsx]D-PNP'!$DT$38</v>
      </c>
      <c r="J2992" s="37" t="s">
        <v>3358</v>
      </c>
    </row>
    <row r="2993" spans="1:10" x14ac:dyDescent="0.25">
      <c r="A2993" s="32" t="s">
        <v>2</v>
      </c>
      <c r="B2993" s="32">
        <f t="shared" si="713"/>
        <v>2050</v>
      </c>
      <c r="C2993" s="33" t="s">
        <v>42</v>
      </c>
      <c r="D2993" s="34" t="s">
        <v>1999</v>
      </c>
      <c r="E2993" s="35" t="str">
        <f t="shared" si="709"/>
        <v>PNP'!</v>
      </c>
      <c r="F2993" s="34" t="str">
        <f t="shared" si="710"/>
        <v>C:\Users\jaime.benazar\Quorum Business Solutions\Ecopetrol Prometeo - Documents\Planning Space Implementation\3. Analysis &amp; Design\Design\FC22\DRR Jaime\QUIFA-CAJÚA\Cajua\[CAJUA_CF_SEC_New_27-Feb-2024Rev3.xlsx]D-PNP'!</v>
      </c>
      <c r="G2993" s="32" t="s">
        <v>117</v>
      </c>
      <c r="H2993" s="33">
        <f t="shared" si="711"/>
        <v>39</v>
      </c>
      <c r="I2993" s="33" t="str">
        <f t="shared" si="712"/>
        <v>='C:\Users\jaime.benazar\Quorum Business Solutions\Ecopetrol Prometeo - Documents\Planning Space Implementation\3. Analysis &amp; Design\Design\FC22\DRR Jaime\QUIFA-CAJÚA\Cajua\[CAJUA_CF_SEC_New_27-Feb-2024Rev3.xlsx]D-PNP'!$DT$39</v>
      </c>
      <c r="J2993" s="37" t="s">
        <v>3359</v>
      </c>
    </row>
    <row r="2994" spans="1:10" x14ac:dyDescent="0.25">
      <c r="A2994" s="32" t="s">
        <v>2</v>
      </c>
      <c r="B2994" s="32">
        <f t="shared" si="713"/>
        <v>2051</v>
      </c>
      <c r="C2994" s="33" t="s">
        <v>42</v>
      </c>
      <c r="D2994" s="34" t="s">
        <v>1999</v>
      </c>
      <c r="E2994" s="35" t="str">
        <f t="shared" si="709"/>
        <v>PNP'!</v>
      </c>
      <c r="F2994" s="34" t="str">
        <f t="shared" si="710"/>
        <v>C:\Users\jaime.benazar\Quorum Business Solutions\Ecopetrol Prometeo - Documents\Planning Space Implementation\3. Analysis &amp; Design\Design\FC22\DRR Jaime\QUIFA-CAJÚA\Cajua\[CAJUA_CF_SEC_New_27-Feb-2024Rev3.xlsx]D-PNP'!</v>
      </c>
      <c r="G2994" s="32" t="s">
        <v>117</v>
      </c>
      <c r="H2994" s="33">
        <f t="shared" si="711"/>
        <v>40</v>
      </c>
      <c r="I2994" s="33" t="str">
        <f t="shared" si="712"/>
        <v>='C:\Users\jaime.benazar\Quorum Business Solutions\Ecopetrol Prometeo - Documents\Planning Space Implementation\3. Analysis &amp; Design\Design\FC22\DRR Jaime\QUIFA-CAJÚA\Cajua\[CAJUA_CF_SEC_New_27-Feb-2024Rev3.xlsx]D-PNP'!$DT$40</v>
      </c>
      <c r="J2994" s="37" t="s">
        <v>3360</v>
      </c>
    </row>
    <row r="2995" spans="1:10" x14ac:dyDescent="0.25">
      <c r="A2995" s="32" t="s">
        <v>2</v>
      </c>
      <c r="B2995" s="32">
        <f t="shared" si="713"/>
        <v>2052</v>
      </c>
      <c r="C2995" s="33" t="s">
        <v>42</v>
      </c>
      <c r="D2995" s="34" t="s">
        <v>1999</v>
      </c>
      <c r="E2995" s="35" t="str">
        <f t="shared" si="709"/>
        <v>PNP'!</v>
      </c>
      <c r="F2995" s="34" t="str">
        <f t="shared" si="710"/>
        <v>C:\Users\jaime.benazar\Quorum Business Solutions\Ecopetrol Prometeo - Documents\Planning Space Implementation\3. Analysis &amp; Design\Design\FC22\DRR Jaime\QUIFA-CAJÚA\Cajua\[CAJUA_CF_SEC_New_27-Feb-2024Rev3.xlsx]D-PNP'!</v>
      </c>
      <c r="G2995" s="32" t="s">
        <v>117</v>
      </c>
      <c r="H2995" s="33">
        <f t="shared" si="711"/>
        <v>41</v>
      </c>
      <c r="I2995" s="33" t="str">
        <f t="shared" si="712"/>
        <v>='C:\Users\jaime.benazar\Quorum Business Solutions\Ecopetrol Prometeo - Documents\Planning Space Implementation\3. Analysis &amp; Design\Design\FC22\DRR Jaime\QUIFA-CAJÚA\Cajua\[CAJUA_CF_SEC_New_27-Feb-2024Rev3.xlsx]D-PNP'!$DT$41</v>
      </c>
      <c r="J2995" s="37" t="s">
        <v>3361</v>
      </c>
    </row>
    <row r="2996" spans="1:10" x14ac:dyDescent="0.25">
      <c r="A2996" s="32" t="s">
        <v>2</v>
      </c>
      <c r="B2996" s="32">
        <f t="shared" si="713"/>
        <v>2053</v>
      </c>
      <c r="C2996" s="33" t="s">
        <v>42</v>
      </c>
      <c r="D2996" s="34" t="s">
        <v>1999</v>
      </c>
      <c r="E2996" s="35" t="str">
        <f t="shared" si="709"/>
        <v>PNP'!</v>
      </c>
      <c r="F2996" s="34" t="str">
        <f t="shared" si="710"/>
        <v>C:\Users\jaime.benazar\Quorum Business Solutions\Ecopetrol Prometeo - Documents\Planning Space Implementation\3. Analysis &amp; Design\Design\FC22\DRR Jaime\QUIFA-CAJÚA\Cajua\[CAJUA_CF_SEC_New_27-Feb-2024Rev3.xlsx]D-PNP'!</v>
      </c>
      <c r="G2996" s="32" t="s">
        <v>117</v>
      </c>
      <c r="H2996" s="33">
        <f t="shared" si="711"/>
        <v>42</v>
      </c>
      <c r="I2996" s="33" t="str">
        <f t="shared" si="712"/>
        <v>='C:\Users\jaime.benazar\Quorum Business Solutions\Ecopetrol Prometeo - Documents\Planning Space Implementation\3. Analysis &amp; Design\Design\FC22\DRR Jaime\QUIFA-CAJÚA\Cajua\[CAJUA_CF_SEC_New_27-Feb-2024Rev3.xlsx]D-PNP'!$DT$42</v>
      </c>
      <c r="J2996" s="37" t="s">
        <v>3362</v>
      </c>
    </row>
    <row r="2997" spans="1:10" x14ac:dyDescent="0.25">
      <c r="A2997" s="32" t="s">
        <v>2</v>
      </c>
      <c r="B2997" s="32">
        <f t="shared" si="713"/>
        <v>2054</v>
      </c>
      <c r="C2997" s="33" t="s">
        <v>42</v>
      </c>
      <c r="D2997" s="34" t="s">
        <v>1999</v>
      </c>
      <c r="E2997" s="35" t="str">
        <f t="shared" si="709"/>
        <v>PNP'!</v>
      </c>
      <c r="F2997" s="34" t="str">
        <f t="shared" si="710"/>
        <v>C:\Users\jaime.benazar\Quorum Business Solutions\Ecopetrol Prometeo - Documents\Planning Space Implementation\3. Analysis &amp; Design\Design\FC22\DRR Jaime\QUIFA-CAJÚA\Cajua\[CAJUA_CF_SEC_New_27-Feb-2024Rev3.xlsx]D-PNP'!</v>
      </c>
      <c r="G2997" s="32" t="s">
        <v>117</v>
      </c>
      <c r="H2997" s="33">
        <f t="shared" si="711"/>
        <v>43</v>
      </c>
      <c r="I2997" s="33" t="str">
        <f t="shared" si="712"/>
        <v>='C:\Users\jaime.benazar\Quorum Business Solutions\Ecopetrol Prometeo - Documents\Planning Space Implementation\3. Analysis &amp; Design\Design\FC22\DRR Jaime\QUIFA-CAJÚA\Cajua\[CAJUA_CF_SEC_New_27-Feb-2024Rev3.xlsx]D-PNP'!$DT$43</v>
      </c>
      <c r="J2997" s="37" t="s">
        <v>3363</v>
      </c>
    </row>
    <row r="2998" spans="1:10" x14ac:dyDescent="0.25">
      <c r="A2998" s="32" t="s">
        <v>2</v>
      </c>
      <c r="B2998" s="32">
        <f t="shared" si="713"/>
        <v>2055</v>
      </c>
      <c r="C2998" s="33" t="s">
        <v>42</v>
      </c>
      <c r="D2998" s="34" t="s">
        <v>1999</v>
      </c>
      <c r="E2998" s="35" t="str">
        <f t="shared" si="709"/>
        <v>PNP'!</v>
      </c>
      <c r="F2998" s="34" t="str">
        <f t="shared" si="710"/>
        <v>C:\Users\jaime.benazar\Quorum Business Solutions\Ecopetrol Prometeo - Documents\Planning Space Implementation\3. Analysis &amp; Design\Design\FC22\DRR Jaime\QUIFA-CAJÚA\Cajua\[CAJUA_CF_SEC_New_27-Feb-2024Rev3.xlsx]D-PNP'!</v>
      </c>
      <c r="G2998" s="32" t="s">
        <v>117</v>
      </c>
      <c r="H2998" s="33">
        <f t="shared" si="711"/>
        <v>44</v>
      </c>
      <c r="I2998" s="33" t="str">
        <f t="shared" si="712"/>
        <v>='C:\Users\jaime.benazar\Quorum Business Solutions\Ecopetrol Prometeo - Documents\Planning Space Implementation\3. Analysis &amp; Design\Design\FC22\DRR Jaime\QUIFA-CAJÚA\Cajua\[CAJUA_CF_SEC_New_27-Feb-2024Rev3.xlsx]D-PNP'!$DT$44</v>
      </c>
      <c r="J2998" s="37" t="s">
        <v>3364</v>
      </c>
    </row>
    <row r="2999" spans="1:10" x14ac:dyDescent="0.25">
      <c r="A2999" s="32" t="s">
        <v>2</v>
      </c>
      <c r="B2999" s="32">
        <f t="shared" si="713"/>
        <v>2056</v>
      </c>
      <c r="C2999" s="33" t="s">
        <v>42</v>
      </c>
      <c r="D2999" s="34" t="s">
        <v>1999</v>
      </c>
      <c r="E2999" s="35" t="str">
        <f t="shared" si="709"/>
        <v>PNP'!</v>
      </c>
      <c r="F2999" s="34" t="str">
        <f t="shared" si="710"/>
        <v>C:\Users\jaime.benazar\Quorum Business Solutions\Ecopetrol Prometeo - Documents\Planning Space Implementation\3. Analysis &amp; Design\Design\FC22\DRR Jaime\QUIFA-CAJÚA\Cajua\[CAJUA_CF_SEC_New_27-Feb-2024Rev3.xlsx]D-PNP'!</v>
      </c>
      <c r="G2999" s="32" t="s">
        <v>117</v>
      </c>
      <c r="H2999" s="33">
        <f t="shared" si="711"/>
        <v>45</v>
      </c>
      <c r="I2999" s="33" t="str">
        <f t="shared" si="712"/>
        <v>='C:\Users\jaime.benazar\Quorum Business Solutions\Ecopetrol Prometeo - Documents\Planning Space Implementation\3. Analysis &amp; Design\Design\FC22\DRR Jaime\QUIFA-CAJÚA\Cajua\[CAJUA_CF_SEC_New_27-Feb-2024Rev3.xlsx]D-PNP'!$DT$45</v>
      </c>
      <c r="J2999" s="37" t="s">
        <v>3365</v>
      </c>
    </row>
    <row r="3000" spans="1:10" x14ac:dyDescent="0.25">
      <c r="A3000" s="32" t="s">
        <v>2</v>
      </c>
      <c r="B3000" s="32">
        <f t="shared" si="713"/>
        <v>2057</v>
      </c>
      <c r="C3000" s="33" t="s">
        <v>42</v>
      </c>
      <c r="D3000" s="34" t="s">
        <v>1999</v>
      </c>
      <c r="E3000" s="35" t="str">
        <f t="shared" si="709"/>
        <v>PNP'!</v>
      </c>
      <c r="F3000" s="34" t="str">
        <f t="shared" si="710"/>
        <v>C:\Users\jaime.benazar\Quorum Business Solutions\Ecopetrol Prometeo - Documents\Planning Space Implementation\3. Analysis &amp; Design\Design\FC22\DRR Jaime\QUIFA-CAJÚA\Cajua\[CAJUA_CF_SEC_New_27-Feb-2024Rev3.xlsx]D-PNP'!</v>
      </c>
      <c r="G3000" s="32" t="s">
        <v>117</v>
      </c>
      <c r="H3000" s="33">
        <f t="shared" si="711"/>
        <v>46</v>
      </c>
      <c r="I3000" s="33" t="str">
        <f t="shared" si="712"/>
        <v>='C:\Users\jaime.benazar\Quorum Business Solutions\Ecopetrol Prometeo - Documents\Planning Space Implementation\3. Analysis &amp; Design\Design\FC22\DRR Jaime\QUIFA-CAJÚA\Cajua\[CAJUA_CF_SEC_New_27-Feb-2024Rev3.xlsx]D-PNP'!$DT$46</v>
      </c>
      <c r="J3000" s="37" t="s">
        <v>3366</v>
      </c>
    </row>
    <row r="3001" spans="1:10" x14ac:dyDescent="0.25">
      <c r="A3001" s="32" t="s">
        <v>2</v>
      </c>
      <c r="B3001" s="32">
        <f t="shared" si="713"/>
        <v>2058</v>
      </c>
      <c r="C3001" s="33" t="s">
        <v>42</v>
      </c>
      <c r="D3001" s="34" t="s">
        <v>1999</v>
      </c>
      <c r="E3001" s="35" t="str">
        <f t="shared" si="709"/>
        <v>PNP'!</v>
      </c>
      <c r="F3001" s="34" t="str">
        <f t="shared" si="710"/>
        <v>C:\Users\jaime.benazar\Quorum Business Solutions\Ecopetrol Prometeo - Documents\Planning Space Implementation\3. Analysis &amp; Design\Design\FC22\DRR Jaime\QUIFA-CAJÚA\Cajua\[CAJUA_CF_SEC_New_27-Feb-2024Rev3.xlsx]D-PNP'!</v>
      </c>
      <c r="G3001" s="32" t="s">
        <v>117</v>
      </c>
      <c r="H3001" s="33">
        <f t="shared" si="711"/>
        <v>47</v>
      </c>
      <c r="I3001" s="33" t="str">
        <f t="shared" si="712"/>
        <v>='C:\Users\jaime.benazar\Quorum Business Solutions\Ecopetrol Prometeo - Documents\Planning Space Implementation\3. Analysis &amp; Design\Design\FC22\DRR Jaime\QUIFA-CAJÚA\Cajua\[CAJUA_CF_SEC_New_27-Feb-2024Rev3.xlsx]D-PNP'!$DT$47</v>
      </c>
      <c r="J3001" s="37" t="s">
        <v>3367</v>
      </c>
    </row>
    <row r="3002" spans="1:10" x14ac:dyDescent="0.25">
      <c r="A3002" s="32" t="s">
        <v>2</v>
      </c>
      <c r="B3002" s="32">
        <f t="shared" si="713"/>
        <v>2059</v>
      </c>
      <c r="C3002" s="33" t="s">
        <v>42</v>
      </c>
      <c r="D3002" s="34" t="s">
        <v>1999</v>
      </c>
      <c r="E3002" s="35" t="str">
        <f t="shared" si="709"/>
        <v>PNP'!</v>
      </c>
      <c r="F3002" s="34" t="str">
        <f t="shared" si="710"/>
        <v>C:\Users\jaime.benazar\Quorum Business Solutions\Ecopetrol Prometeo - Documents\Planning Space Implementation\3. Analysis &amp; Design\Design\FC22\DRR Jaime\QUIFA-CAJÚA\Cajua\[CAJUA_CF_SEC_New_27-Feb-2024Rev3.xlsx]D-PNP'!</v>
      </c>
      <c r="G3002" s="32" t="s">
        <v>117</v>
      </c>
      <c r="H3002" s="33">
        <f t="shared" si="711"/>
        <v>48</v>
      </c>
      <c r="I3002" s="33" t="str">
        <f t="shared" si="712"/>
        <v>='C:\Users\jaime.benazar\Quorum Business Solutions\Ecopetrol Prometeo - Documents\Planning Space Implementation\3. Analysis &amp; Design\Design\FC22\DRR Jaime\QUIFA-CAJÚA\Cajua\[CAJUA_CF_SEC_New_27-Feb-2024Rev3.xlsx]D-PNP'!$DT$48</v>
      </c>
      <c r="J3002" s="37" t="s">
        <v>3368</v>
      </c>
    </row>
    <row r="3003" spans="1:10" x14ac:dyDescent="0.25">
      <c r="A3003" s="32" t="s">
        <v>28</v>
      </c>
      <c r="B3003" s="32"/>
      <c r="C3003" s="33" t="s">
        <v>42</v>
      </c>
      <c r="D3003" s="34"/>
      <c r="E3003" s="35"/>
      <c r="F3003" s="34"/>
      <c r="G3003" s="32"/>
      <c r="H3003" s="33"/>
      <c r="I3003" s="33"/>
      <c r="J3003" s="33"/>
    </row>
    <row r="3004" spans="1:10" x14ac:dyDescent="0.25">
      <c r="A3004" s="32" t="s">
        <v>3</v>
      </c>
      <c r="B3004" s="32">
        <v>2023</v>
      </c>
      <c r="C3004" s="33" t="s">
        <v>42</v>
      </c>
      <c r="D3004" s="34" t="s">
        <v>1999</v>
      </c>
      <c r="E3004" s="35" t="str">
        <f t="shared" si="692"/>
        <v>PND'!</v>
      </c>
      <c r="F3004" s="34" t="str">
        <f t="shared" si="693"/>
        <v>C:\Users\jaime.benazar\Quorum Business Solutions\Ecopetrol Prometeo - Documents\Planning Space Implementation\3. Analysis &amp; Design\Design\FC22\DRR Jaime\QUIFA-CAJÚA\Cajua\[CAJUA_CF_SEC_New_27-Feb-2024Rev3.xlsx]D-PND'!</v>
      </c>
      <c r="G3004" s="32" t="s">
        <v>117</v>
      </c>
      <c r="H3004" s="33">
        <v>12</v>
      </c>
      <c r="I3004" s="33" t="str">
        <f t="shared" ref="I3004:I3024" si="714">_xlfn.CONCAT("='",F3004:H3004)</f>
        <v>='C:\Users\jaime.benazar\Quorum Business Solutions\Ecopetrol Prometeo - Documents\Planning Space Implementation\3. Analysis &amp; Design\Design\FC22\DRR Jaime\QUIFA-CAJÚA\Cajua\[CAJUA_CF_SEC_New_27-Feb-2024Rev3.xlsx]D-PND'!$DT$12</v>
      </c>
      <c r="J3004" s="37" t="s">
        <v>3369</v>
      </c>
    </row>
    <row r="3005" spans="1:10" x14ac:dyDescent="0.25">
      <c r="A3005" s="32" t="s">
        <v>3</v>
      </c>
      <c r="B3005" s="32">
        <f>+B3004+1</f>
        <v>2024</v>
      </c>
      <c r="C3005" s="33" t="s">
        <v>42</v>
      </c>
      <c r="D3005" s="34" t="s">
        <v>1999</v>
      </c>
      <c r="E3005" s="35" t="str">
        <f t="shared" si="692"/>
        <v>PND'!</v>
      </c>
      <c r="F3005" s="34" t="str">
        <f t="shared" si="693"/>
        <v>C:\Users\jaime.benazar\Quorum Business Solutions\Ecopetrol Prometeo - Documents\Planning Space Implementation\3. Analysis &amp; Design\Design\FC22\DRR Jaime\QUIFA-CAJÚA\Cajua\[CAJUA_CF_SEC_New_27-Feb-2024Rev3.xlsx]D-PND'!</v>
      </c>
      <c r="G3005" s="32" t="s">
        <v>117</v>
      </c>
      <c r="H3005" s="33">
        <f t="shared" ref="H3005:H3024" si="715">IF(A3005&lt;&gt;A3004,12,H3004+1)</f>
        <v>13</v>
      </c>
      <c r="I3005" s="33" t="str">
        <f t="shared" si="714"/>
        <v>='C:\Users\jaime.benazar\Quorum Business Solutions\Ecopetrol Prometeo - Documents\Planning Space Implementation\3. Analysis &amp; Design\Design\FC22\DRR Jaime\QUIFA-CAJÚA\Cajua\[CAJUA_CF_SEC_New_27-Feb-2024Rev3.xlsx]D-PND'!$DT$13</v>
      </c>
      <c r="J3005" s="37" t="s">
        <v>3370</v>
      </c>
    </row>
    <row r="3006" spans="1:10" x14ac:dyDescent="0.25">
      <c r="A3006" s="32" t="s">
        <v>3</v>
      </c>
      <c r="B3006" s="32">
        <f t="shared" ref="B3006:B3017" si="716">+B3005+1</f>
        <v>2025</v>
      </c>
      <c r="C3006" s="33" t="s">
        <v>42</v>
      </c>
      <c r="D3006" s="34" t="s">
        <v>1999</v>
      </c>
      <c r="E3006" s="35" t="str">
        <f t="shared" si="692"/>
        <v>PND'!</v>
      </c>
      <c r="F3006" s="34" t="str">
        <f t="shared" si="693"/>
        <v>C:\Users\jaime.benazar\Quorum Business Solutions\Ecopetrol Prometeo - Documents\Planning Space Implementation\3. Analysis &amp; Design\Design\FC22\DRR Jaime\QUIFA-CAJÚA\Cajua\[CAJUA_CF_SEC_New_27-Feb-2024Rev3.xlsx]D-PND'!</v>
      </c>
      <c r="G3006" s="32" t="s">
        <v>117</v>
      </c>
      <c r="H3006" s="33">
        <f t="shared" si="715"/>
        <v>14</v>
      </c>
      <c r="I3006" s="33" t="str">
        <f t="shared" si="714"/>
        <v>='C:\Users\jaime.benazar\Quorum Business Solutions\Ecopetrol Prometeo - Documents\Planning Space Implementation\3. Analysis &amp; Design\Design\FC22\DRR Jaime\QUIFA-CAJÚA\Cajua\[CAJUA_CF_SEC_New_27-Feb-2024Rev3.xlsx]D-PND'!$DT$14</v>
      </c>
      <c r="J3006" s="37" t="s">
        <v>3371</v>
      </c>
    </row>
    <row r="3007" spans="1:10" x14ac:dyDescent="0.25">
      <c r="A3007" s="32" t="s">
        <v>3</v>
      </c>
      <c r="B3007" s="32">
        <f t="shared" si="716"/>
        <v>2026</v>
      </c>
      <c r="C3007" s="33" t="s">
        <v>42</v>
      </c>
      <c r="D3007" s="34" t="s">
        <v>1999</v>
      </c>
      <c r="E3007" s="35" t="str">
        <f t="shared" si="692"/>
        <v>PND'!</v>
      </c>
      <c r="F3007" s="34" t="str">
        <f t="shared" si="693"/>
        <v>C:\Users\jaime.benazar\Quorum Business Solutions\Ecopetrol Prometeo - Documents\Planning Space Implementation\3. Analysis &amp; Design\Design\FC22\DRR Jaime\QUIFA-CAJÚA\Cajua\[CAJUA_CF_SEC_New_27-Feb-2024Rev3.xlsx]D-PND'!</v>
      </c>
      <c r="G3007" s="32" t="s">
        <v>117</v>
      </c>
      <c r="H3007" s="33">
        <f t="shared" si="715"/>
        <v>15</v>
      </c>
      <c r="I3007" s="33" t="str">
        <f t="shared" si="714"/>
        <v>='C:\Users\jaime.benazar\Quorum Business Solutions\Ecopetrol Prometeo - Documents\Planning Space Implementation\3. Analysis &amp; Design\Design\FC22\DRR Jaime\QUIFA-CAJÚA\Cajua\[CAJUA_CF_SEC_New_27-Feb-2024Rev3.xlsx]D-PND'!$DT$15</v>
      </c>
      <c r="J3007" s="37" t="s">
        <v>3372</v>
      </c>
    </row>
    <row r="3008" spans="1:10" x14ac:dyDescent="0.25">
      <c r="A3008" s="32" t="s">
        <v>3</v>
      </c>
      <c r="B3008" s="32">
        <f t="shared" si="716"/>
        <v>2027</v>
      </c>
      <c r="C3008" s="33" t="s">
        <v>42</v>
      </c>
      <c r="D3008" s="34" t="s">
        <v>1999</v>
      </c>
      <c r="E3008" s="35" t="str">
        <f t="shared" si="692"/>
        <v>PND'!</v>
      </c>
      <c r="F3008" s="34" t="str">
        <f t="shared" si="693"/>
        <v>C:\Users\jaime.benazar\Quorum Business Solutions\Ecopetrol Prometeo - Documents\Planning Space Implementation\3. Analysis &amp; Design\Design\FC22\DRR Jaime\QUIFA-CAJÚA\Cajua\[CAJUA_CF_SEC_New_27-Feb-2024Rev3.xlsx]D-PND'!</v>
      </c>
      <c r="G3008" s="32" t="s">
        <v>117</v>
      </c>
      <c r="H3008" s="33">
        <f t="shared" si="715"/>
        <v>16</v>
      </c>
      <c r="I3008" s="33" t="str">
        <f t="shared" si="714"/>
        <v>='C:\Users\jaime.benazar\Quorum Business Solutions\Ecopetrol Prometeo - Documents\Planning Space Implementation\3. Analysis &amp; Design\Design\FC22\DRR Jaime\QUIFA-CAJÚA\Cajua\[CAJUA_CF_SEC_New_27-Feb-2024Rev3.xlsx]D-PND'!$DT$16</v>
      </c>
      <c r="J3008" s="37" t="s">
        <v>3373</v>
      </c>
    </row>
    <row r="3009" spans="1:10" x14ac:dyDescent="0.25">
      <c r="A3009" s="32" t="s">
        <v>3</v>
      </c>
      <c r="B3009" s="32">
        <f t="shared" si="716"/>
        <v>2028</v>
      </c>
      <c r="C3009" s="33" t="s">
        <v>42</v>
      </c>
      <c r="D3009" s="34" t="s">
        <v>1999</v>
      </c>
      <c r="E3009" s="35" t="str">
        <f t="shared" si="692"/>
        <v>PND'!</v>
      </c>
      <c r="F3009" s="34" t="str">
        <f t="shared" si="693"/>
        <v>C:\Users\jaime.benazar\Quorum Business Solutions\Ecopetrol Prometeo - Documents\Planning Space Implementation\3. Analysis &amp; Design\Design\FC22\DRR Jaime\QUIFA-CAJÚA\Cajua\[CAJUA_CF_SEC_New_27-Feb-2024Rev3.xlsx]D-PND'!</v>
      </c>
      <c r="G3009" s="32" t="s">
        <v>117</v>
      </c>
      <c r="H3009" s="33">
        <f t="shared" si="715"/>
        <v>17</v>
      </c>
      <c r="I3009" s="33" t="str">
        <f t="shared" si="714"/>
        <v>='C:\Users\jaime.benazar\Quorum Business Solutions\Ecopetrol Prometeo - Documents\Planning Space Implementation\3. Analysis &amp; Design\Design\FC22\DRR Jaime\QUIFA-CAJÚA\Cajua\[CAJUA_CF_SEC_New_27-Feb-2024Rev3.xlsx]D-PND'!$DT$17</v>
      </c>
      <c r="J3009" s="37" t="s">
        <v>3374</v>
      </c>
    </row>
    <row r="3010" spans="1:10" x14ac:dyDescent="0.25">
      <c r="A3010" s="32" t="s">
        <v>3</v>
      </c>
      <c r="B3010" s="32">
        <f t="shared" si="716"/>
        <v>2029</v>
      </c>
      <c r="C3010" s="33" t="s">
        <v>42</v>
      </c>
      <c r="D3010" s="34" t="s">
        <v>1999</v>
      </c>
      <c r="E3010" s="35" t="str">
        <f t="shared" si="692"/>
        <v>PND'!</v>
      </c>
      <c r="F3010" s="34" t="str">
        <f t="shared" si="693"/>
        <v>C:\Users\jaime.benazar\Quorum Business Solutions\Ecopetrol Prometeo - Documents\Planning Space Implementation\3. Analysis &amp; Design\Design\FC22\DRR Jaime\QUIFA-CAJÚA\Cajua\[CAJUA_CF_SEC_New_27-Feb-2024Rev3.xlsx]D-PND'!</v>
      </c>
      <c r="G3010" s="32" t="s">
        <v>117</v>
      </c>
      <c r="H3010" s="33">
        <f t="shared" si="715"/>
        <v>18</v>
      </c>
      <c r="I3010" s="33" t="str">
        <f t="shared" si="714"/>
        <v>='C:\Users\jaime.benazar\Quorum Business Solutions\Ecopetrol Prometeo - Documents\Planning Space Implementation\3. Analysis &amp; Design\Design\FC22\DRR Jaime\QUIFA-CAJÚA\Cajua\[CAJUA_CF_SEC_New_27-Feb-2024Rev3.xlsx]D-PND'!$DT$18</v>
      </c>
      <c r="J3010" s="37" t="s">
        <v>3375</v>
      </c>
    </row>
    <row r="3011" spans="1:10" x14ac:dyDescent="0.25">
      <c r="A3011" s="32" t="s">
        <v>3</v>
      </c>
      <c r="B3011" s="32">
        <f t="shared" si="716"/>
        <v>2030</v>
      </c>
      <c r="C3011" s="33" t="s">
        <v>42</v>
      </c>
      <c r="D3011" s="34" t="s">
        <v>1999</v>
      </c>
      <c r="E3011" s="35" t="str">
        <f t="shared" si="692"/>
        <v>PND'!</v>
      </c>
      <c r="F3011" s="34" t="str">
        <f t="shared" si="693"/>
        <v>C:\Users\jaime.benazar\Quorum Business Solutions\Ecopetrol Prometeo - Documents\Planning Space Implementation\3. Analysis &amp; Design\Design\FC22\DRR Jaime\QUIFA-CAJÚA\Cajua\[CAJUA_CF_SEC_New_27-Feb-2024Rev3.xlsx]D-PND'!</v>
      </c>
      <c r="G3011" s="32" t="s">
        <v>117</v>
      </c>
      <c r="H3011" s="33">
        <f t="shared" si="715"/>
        <v>19</v>
      </c>
      <c r="I3011" s="33" t="str">
        <f t="shared" si="714"/>
        <v>='C:\Users\jaime.benazar\Quorum Business Solutions\Ecopetrol Prometeo - Documents\Planning Space Implementation\3. Analysis &amp; Design\Design\FC22\DRR Jaime\QUIFA-CAJÚA\Cajua\[CAJUA_CF_SEC_New_27-Feb-2024Rev3.xlsx]D-PND'!$DT$19</v>
      </c>
      <c r="J3011" s="37" t="s">
        <v>3376</v>
      </c>
    </row>
    <row r="3012" spans="1:10" x14ac:dyDescent="0.25">
      <c r="A3012" s="32" t="s">
        <v>3</v>
      </c>
      <c r="B3012" s="32">
        <f t="shared" si="716"/>
        <v>2031</v>
      </c>
      <c r="C3012" s="33" t="s">
        <v>42</v>
      </c>
      <c r="D3012" s="34" t="s">
        <v>1999</v>
      </c>
      <c r="E3012" s="35" t="str">
        <f t="shared" si="692"/>
        <v>PND'!</v>
      </c>
      <c r="F3012" s="34" t="str">
        <f t="shared" si="693"/>
        <v>C:\Users\jaime.benazar\Quorum Business Solutions\Ecopetrol Prometeo - Documents\Planning Space Implementation\3. Analysis &amp; Design\Design\FC22\DRR Jaime\QUIFA-CAJÚA\Cajua\[CAJUA_CF_SEC_New_27-Feb-2024Rev3.xlsx]D-PND'!</v>
      </c>
      <c r="G3012" s="32" t="s">
        <v>117</v>
      </c>
      <c r="H3012" s="33">
        <f t="shared" si="715"/>
        <v>20</v>
      </c>
      <c r="I3012" s="33" t="str">
        <f t="shared" si="714"/>
        <v>='C:\Users\jaime.benazar\Quorum Business Solutions\Ecopetrol Prometeo - Documents\Planning Space Implementation\3. Analysis &amp; Design\Design\FC22\DRR Jaime\QUIFA-CAJÚA\Cajua\[CAJUA_CF_SEC_New_27-Feb-2024Rev3.xlsx]D-PND'!$DT$20</v>
      </c>
      <c r="J3012" s="37" t="s">
        <v>3377</v>
      </c>
    </row>
    <row r="3013" spans="1:10" x14ac:dyDescent="0.25">
      <c r="A3013" s="32" t="s">
        <v>3</v>
      </c>
      <c r="B3013" s="32">
        <f t="shared" si="716"/>
        <v>2032</v>
      </c>
      <c r="C3013" s="33" t="s">
        <v>42</v>
      </c>
      <c r="D3013" s="34" t="s">
        <v>1999</v>
      </c>
      <c r="E3013" s="35" t="str">
        <f t="shared" si="692"/>
        <v>PND'!</v>
      </c>
      <c r="F3013" s="34" t="str">
        <f t="shared" si="693"/>
        <v>C:\Users\jaime.benazar\Quorum Business Solutions\Ecopetrol Prometeo - Documents\Planning Space Implementation\3. Analysis &amp; Design\Design\FC22\DRR Jaime\QUIFA-CAJÚA\Cajua\[CAJUA_CF_SEC_New_27-Feb-2024Rev3.xlsx]D-PND'!</v>
      </c>
      <c r="G3013" s="32" t="s">
        <v>117</v>
      </c>
      <c r="H3013" s="33">
        <f t="shared" si="715"/>
        <v>21</v>
      </c>
      <c r="I3013" s="33" t="str">
        <f t="shared" si="714"/>
        <v>='C:\Users\jaime.benazar\Quorum Business Solutions\Ecopetrol Prometeo - Documents\Planning Space Implementation\3. Analysis &amp; Design\Design\FC22\DRR Jaime\QUIFA-CAJÚA\Cajua\[CAJUA_CF_SEC_New_27-Feb-2024Rev3.xlsx]D-PND'!$DT$21</v>
      </c>
      <c r="J3013" s="37" t="s">
        <v>3378</v>
      </c>
    </row>
    <row r="3014" spans="1:10" x14ac:dyDescent="0.25">
      <c r="A3014" s="32" t="s">
        <v>3</v>
      </c>
      <c r="B3014" s="32">
        <f t="shared" si="716"/>
        <v>2033</v>
      </c>
      <c r="C3014" s="33" t="s">
        <v>42</v>
      </c>
      <c r="D3014" s="34" t="s">
        <v>1999</v>
      </c>
      <c r="E3014" s="35" t="str">
        <f t="shared" si="692"/>
        <v>PND'!</v>
      </c>
      <c r="F3014" s="34" t="str">
        <f t="shared" si="693"/>
        <v>C:\Users\jaime.benazar\Quorum Business Solutions\Ecopetrol Prometeo - Documents\Planning Space Implementation\3. Analysis &amp; Design\Design\FC22\DRR Jaime\QUIFA-CAJÚA\Cajua\[CAJUA_CF_SEC_New_27-Feb-2024Rev3.xlsx]D-PND'!</v>
      </c>
      <c r="G3014" s="32" t="s">
        <v>117</v>
      </c>
      <c r="H3014" s="33">
        <f t="shared" si="715"/>
        <v>22</v>
      </c>
      <c r="I3014" s="33" t="str">
        <f t="shared" si="714"/>
        <v>='C:\Users\jaime.benazar\Quorum Business Solutions\Ecopetrol Prometeo - Documents\Planning Space Implementation\3. Analysis &amp; Design\Design\FC22\DRR Jaime\QUIFA-CAJÚA\Cajua\[CAJUA_CF_SEC_New_27-Feb-2024Rev3.xlsx]D-PND'!$DT$22</v>
      </c>
      <c r="J3014" s="37" t="s">
        <v>3379</v>
      </c>
    </row>
    <row r="3015" spans="1:10" x14ac:dyDescent="0.25">
      <c r="A3015" s="32" t="s">
        <v>3</v>
      </c>
      <c r="B3015" s="32">
        <f t="shared" si="716"/>
        <v>2034</v>
      </c>
      <c r="C3015" s="33" t="s">
        <v>42</v>
      </c>
      <c r="D3015" s="34" t="s">
        <v>1999</v>
      </c>
      <c r="E3015" s="35" t="str">
        <f t="shared" si="692"/>
        <v>PND'!</v>
      </c>
      <c r="F3015" s="34" t="str">
        <f t="shared" si="693"/>
        <v>C:\Users\jaime.benazar\Quorum Business Solutions\Ecopetrol Prometeo - Documents\Planning Space Implementation\3. Analysis &amp; Design\Design\FC22\DRR Jaime\QUIFA-CAJÚA\Cajua\[CAJUA_CF_SEC_New_27-Feb-2024Rev3.xlsx]D-PND'!</v>
      </c>
      <c r="G3015" s="32" t="s">
        <v>117</v>
      </c>
      <c r="H3015" s="33">
        <f t="shared" si="715"/>
        <v>23</v>
      </c>
      <c r="I3015" s="33" t="str">
        <f t="shared" si="714"/>
        <v>='C:\Users\jaime.benazar\Quorum Business Solutions\Ecopetrol Prometeo - Documents\Planning Space Implementation\3. Analysis &amp; Design\Design\FC22\DRR Jaime\QUIFA-CAJÚA\Cajua\[CAJUA_CF_SEC_New_27-Feb-2024Rev3.xlsx]D-PND'!$DT$23</v>
      </c>
      <c r="J3015" s="37" t="s">
        <v>3380</v>
      </c>
    </row>
    <row r="3016" spans="1:10" x14ac:dyDescent="0.25">
      <c r="A3016" s="32" t="s">
        <v>3</v>
      </c>
      <c r="B3016" s="32">
        <f t="shared" si="716"/>
        <v>2035</v>
      </c>
      <c r="C3016" s="33" t="s">
        <v>42</v>
      </c>
      <c r="D3016" s="34" t="s">
        <v>1999</v>
      </c>
      <c r="E3016" s="35" t="str">
        <f t="shared" si="692"/>
        <v>PND'!</v>
      </c>
      <c r="F3016" s="34" t="str">
        <f t="shared" si="693"/>
        <v>C:\Users\jaime.benazar\Quorum Business Solutions\Ecopetrol Prometeo - Documents\Planning Space Implementation\3. Analysis &amp; Design\Design\FC22\DRR Jaime\QUIFA-CAJÚA\Cajua\[CAJUA_CF_SEC_New_27-Feb-2024Rev3.xlsx]D-PND'!</v>
      </c>
      <c r="G3016" s="32" t="s">
        <v>117</v>
      </c>
      <c r="H3016" s="33">
        <f t="shared" si="715"/>
        <v>24</v>
      </c>
      <c r="I3016" s="33" t="str">
        <f t="shared" si="714"/>
        <v>='C:\Users\jaime.benazar\Quorum Business Solutions\Ecopetrol Prometeo - Documents\Planning Space Implementation\3. Analysis &amp; Design\Design\FC22\DRR Jaime\QUIFA-CAJÚA\Cajua\[CAJUA_CF_SEC_New_27-Feb-2024Rev3.xlsx]D-PND'!$DT$24</v>
      </c>
      <c r="J3016" s="37" t="s">
        <v>3381</v>
      </c>
    </row>
    <row r="3017" spans="1:10" x14ac:dyDescent="0.25">
      <c r="A3017" s="32" t="s">
        <v>3</v>
      </c>
      <c r="B3017" s="32">
        <f t="shared" si="716"/>
        <v>2036</v>
      </c>
      <c r="C3017" s="33" t="s">
        <v>42</v>
      </c>
      <c r="D3017" s="34" t="s">
        <v>1999</v>
      </c>
      <c r="E3017" s="35" t="str">
        <f t="shared" si="692"/>
        <v>PND'!</v>
      </c>
      <c r="F3017" s="34" t="str">
        <f t="shared" si="693"/>
        <v>C:\Users\jaime.benazar\Quorum Business Solutions\Ecopetrol Prometeo - Documents\Planning Space Implementation\3. Analysis &amp; Design\Design\FC22\DRR Jaime\QUIFA-CAJÚA\Cajua\[CAJUA_CF_SEC_New_27-Feb-2024Rev3.xlsx]D-PND'!</v>
      </c>
      <c r="G3017" s="32" t="s">
        <v>117</v>
      </c>
      <c r="H3017" s="33">
        <f t="shared" si="715"/>
        <v>25</v>
      </c>
      <c r="I3017" s="33" t="str">
        <f t="shared" si="714"/>
        <v>='C:\Users\jaime.benazar\Quorum Business Solutions\Ecopetrol Prometeo - Documents\Planning Space Implementation\3. Analysis &amp; Design\Design\FC22\DRR Jaime\QUIFA-CAJÚA\Cajua\[CAJUA_CF_SEC_New_27-Feb-2024Rev3.xlsx]D-PND'!$DT$25</v>
      </c>
      <c r="J3017" s="37" t="s">
        <v>3382</v>
      </c>
    </row>
    <row r="3018" spans="1:10" x14ac:dyDescent="0.25">
      <c r="A3018" s="32" t="s">
        <v>3</v>
      </c>
      <c r="B3018" s="32">
        <f>+B3017+1</f>
        <v>2037</v>
      </c>
      <c r="C3018" s="33" t="s">
        <v>42</v>
      </c>
      <c r="D3018" s="34" t="s">
        <v>1999</v>
      </c>
      <c r="E3018" s="35" t="str">
        <f t="shared" si="692"/>
        <v>PND'!</v>
      </c>
      <c r="F3018" s="34" t="str">
        <f t="shared" si="693"/>
        <v>C:\Users\jaime.benazar\Quorum Business Solutions\Ecopetrol Prometeo - Documents\Planning Space Implementation\3. Analysis &amp; Design\Design\FC22\DRR Jaime\QUIFA-CAJÚA\Cajua\[CAJUA_CF_SEC_New_27-Feb-2024Rev3.xlsx]D-PND'!</v>
      </c>
      <c r="G3018" s="32" t="s">
        <v>117</v>
      </c>
      <c r="H3018" s="33">
        <f t="shared" si="715"/>
        <v>26</v>
      </c>
      <c r="I3018" s="33" t="str">
        <f t="shared" si="714"/>
        <v>='C:\Users\jaime.benazar\Quorum Business Solutions\Ecopetrol Prometeo - Documents\Planning Space Implementation\3. Analysis &amp; Design\Design\FC22\DRR Jaime\QUIFA-CAJÚA\Cajua\[CAJUA_CF_SEC_New_27-Feb-2024Rev3.xlsx]D-PND'!$DT$26</v>
      </c>
      <c r="J3018" s="37" t="s">
        <v>3383</v>
      </c>
    </row>
    <row r="3019" spans="1:10" x14ac:dyDescent="0.25">
      <c r="A3019" s="32" t="s">
        <v>3</v>
      </c>
      <c r="B3019" s="32">
        <f t="shared" ref="B3019:B3021" si="717">+B3018+1</f>
        <v>2038</v>
      </c>
      <c r="C3019" s="33" t="s">
        <v>42</v>
      </c>
      <c r="D3019" s="34" t="s">
        <v>1999</v>
      </c>
      <c r="E3019" s="35" t="str">
        <f t="shared" si="692"/>
        <v>PND'!</v>
      </c>
      <c r="F3019" s="34" t="str">
        <f t="shared" si="693"/>
        <v>C:\Users\jaime.benazar\Quorum Business Solutions\Ecopetrol Prometeo - Documents\Planning Space Implementation\3. Analysis &amp; Design\Design\FC22\DRR Jaime\QUIFA-CAJÚA\Cajua\[CAJUA_CF_SEC_New_27-Feb-2024Rev3.xlsx]D-PND'!</v>
      </c>
      <c r="G3019" s="32" t="s">
        <v>117</v>
      </c>
      <c r="H3019" s="33">
        <f t="shared" si="715"/>
        <v>27</v>
      </c>
      <c r="I3019" s="33" t="str">
        <f t="shared" si="714"/>
        <v>='C:\Users\jaime.benazar\Quorum Business Solutions\Ecopetrol Prometeo - Documents\Planning Space Implementation\3. Analysis &amp; Design\Design\FC22\DRR Jaime\QUIFA-CAJÚA\Cajua\[CAJUA_CF_SEC_New_27-Feb-2024Rev3.xlsx]D-PND'!$DT$27</v>
      </c>
      <c r="J3019" s="37" t="s">
        <v>3384</v>
      </c>
    </row>
    <row r="3020" spans="1:10" x14ac:dyDescent="0.25">
      <c r="A3020" s="32" t="s">
        <v>3</v>
      </c>
      <c r="B3020" s="32">
        <f t="shared" si="717"/>
        <v>2039</v>
      </c>
      <c r="C3020" s="33" t="s">
        <v>42</v>
      </c>
      <c r="D3020" s="34" t="s">
        <v>1999</v>
      </c>
      <c r="E3020" s="35" t="str">
        <f t="shared" si="692"/>
        <v>PND'!</v>
      </c>
      <c r="F3020" s="34" t="str">
        <f t="shared" si="693"/>
        <v>C:\Users\jaime.benazar\Quorum Business Solutions\Ecopetrol Prometeo - Documents\Planning Space Implementation\3. Analysis &amp; Design\Design\FC22\DRR Jaime\QUIFA-CAJÚA\Cajua\[CAJUA_CF_SEC_New_27-Feb-2024Rev3.xlsx]D-PND'!</v>
      </c>
      <c r="G3020" s="32" t="s">
        <v>117</v>
      </c>
      <c r="H3020" s="33">
        <f t="shared" si="715"/>
        <v>28</v>
      </c>
      <c r="I3020" s="33" t="str">
        <f t="shared" si="714"/>
        <v>='C:\Users\jaime.benazar\Quorum Business Solutions\Ecopetrol Prometeo - Documents\Planning Space Implementation\3. Analysis &amp; Design\Design\FC22\DRR Jaime\QUIFA-CAJÚA\Cajua\[CAJUA_CF_SEC_New_27-Feb-2024Rev3.xlsx]D-PND'!$DT$28</v>
      </c>
      <c r="J3020" s="37" t="s">
        <v>3385</v>
      </c>
    </row>
    <row r="3021" spans="1:10" x14ac:dyDescent="0.25">
      <c r="A3021" s="32" t="s">
        <v>3</v>
      </c>
      <c r="B3021" s="32">
        <f t="shared" si="717"/>
        <v>2040</v>
      </c>
      <c r="C3021" s="33" t="s">
        <v>42</v>
      </c>
      <c r="D3021" s="34" t="s">
        <v>1999</v>
      </c>
      <c r="E3021" s="35" t="str">
        <f t="shared" si="692"/>
        <v>PND'!</v>
      </c>
      <c r="F3021" s="34" t="str">
        <f t="shared" si="693"/>
        <v>C:\Users\jaime.benazar\Quorum Business Solutions\Ecopetrol Prometeo - Documents\Planning Space Implementation\3. Analysis &amp; Design\Design\FC22\DRR Jaime\QUIFA-CAJÚA\Cajua\[CAJUA_CF_SEC_New_27-Feb-2024Rev3.xlsx]D-PND'!</v>
      </c>
      <c r="G3021" s="32" t="s">
        <v>117</v>
      </c>
      <c r="H3021" s="33">
        <f t="shared" si="715"/>
        <v>29</v>
      </c>
      <c r="I3021" s="33" t="str">
        <f t="shared" si="714"/>
        <v>='C:\Users\jaime.benazar\Quorum Business Solutions\Ecopetrol Prometeo - Documents\Planning Space Implementation\3. Analysis &amp; Design\Design\FC22\DRR Jaime\QUIFA-CAJÚA\Cajua\[CAJUA_CF_SEC_New_27-Feb-2024Rev3.xlsx]D-PND'!$DT$29</v>
      </c>
      <c r="J3021" s="37" t="s">
        <v>3386</v>
      </c>
    </row>
    <row r="3022" spans="1:10" x14ac:dyDescent="0.25">
      <c r="A3022" s="32" t="s">
        <v>3</v>
      </c>
      <c r="B3022" s="32">
        <f>+B3021+1</f>
        <v>2041</v>
      </c>
      <c r="C3022" s="33" t="s">
        <v>42</v>
      </c>
      <c r="D3022" s="34" t="s">
        <v>1999</v>
      </c>
      <c r="E3022" s="35" t="str">
        <f t="shared" si="692"/>
        <v>PND'!</v>
      </c>
      <c r="F3022" s="34" t="str">
        <f t="shared" si="693"/>
        <v>C:\Users\jaime.benazar\Quorum Business Solutions\Ecopetrol Prometeo - Documents\Planning Space Implementation\3. Analysis &amp; Design\Design\FC22\DRR Jaime\QUIFA-CAJÚA\Cajua\[CAJUA_CF_SEC_New_27-Feb-2024Rev3.xlsx]D-PND'!</v>
      </c>
      <c r="G3022" s="32" t="s">
        <v>117</v>
      </c>
      <c r="H3022" s="33">
        <f t="shared" si="715"/>
        <v>30</v>
      </c>
      <c r="I3022" s="33" t="str">
        <f t="shared" si="714"/>
        <v>='C:\Users\jaime.benazar\Quorum Business Solutions\Ecopetrol Prometeo - Documents\Planning Space Implementation\3. Analysis &amp; Design\Design\FC22\DRR Jaime\QUIFA-CAJÚA\Cajua\[CAJUA_CF_SEC_New_27-Feb-2024Rev3.xlsx]D-PND'!$DT$30</v>
      </c>
      <c r="J3022" s="37" t="s">
        <v>3387</v>
      </c>
    </row>
    <row r="3023" spans="1:10" x14ac:dyDescent="0.25">
      <c r="A3023" s="32" t="s">
        <v>3</v>
      </c>
      <c r="B3023" s="32">
        <f t="shared" ref="B3023:B3024" si="718">+B3022+1</f>
        <v>2042</v>
      </c>
      <c r="C3023" s="33" t="s">
        <v>42</v>
      </c>
      <c r="D3023" s="34" t="s">
        <v>1999</v>
      </c>
      <c r="E3023" s="35" t="str">
        <f t="shared" ref="E3023:E3345" si="719">_xlfn.CONCAT(A3023,"'!")</f>
        <v>PND'!</v>
      </c>
      <c r="F3023" s="34" t="str">
        <f t="shared" ref="F3023:F3328" si="720">_xlfn.CONCAT(D3023:E3023)</f>
        <v>C:\Users\jaime.benazar\Quorum Business Solutions\Ecopetrol Prometeo - Documents\Planning Space Implementation\3. Analysis &amp; Design\Design\FC22\DRR Jaime\QUIFA-CAJÚA\Cajua\[CAJUA_CF_SEC_New_27-Feb-2024Rev3.xlsx]D-PND'!</v>
      </c>
      <c r="G3023" s="32" t="s">
        <v>117</v>
      </c>
      <c r="H3023" s="33">
        <f t="shared" si="715"/>
        <v>31</v>
      </c>
      <c r="I3023" s="33" t="str">
        <f t="shared" si="714"/>
        <v>='C:\Users\jaime.benazar\Quorum Business Solutions\Ecopetrol Prometeo - Documents\Planning Space Implementation\3. Analysis &amp; Design\Design\FC22\DRR Jaime\QUIFA-CAJÚA\Cajua\[CAJUA_CF_SEC_New_27-Feb-2024Rev3.xlsx]D-PND'!$DT$31</v>
      </c>
      <c r="J3023" s="37" t="s">
        <v>3388</v>
      </c>
    </row>
    <row r="3024" spans="1:10" x14ac:dyDescent="0.25">
      <c r="A3024" s="32" t="s">
        <v>3</v>
      </c>
      <c r="B3024" s="32">
        <f t="shared" si="718"/>
        <v>2043</v>
      </c>
      <c r="C3024" s="33" t="s">
        <v>42</v>
      </c>
      <c r="D3024" s="34" t="s">
        <v>1999</v>
      </c>
      <c r="E3024" s="35" t="str">
        <f t="shared" si="719"/>
        <v>PND'!</v>
      </c>
      <c r="F3024" s="34" t="str">
        <f t="shared" si="720"/>
        <v>C:\Users\jaime.benazar\Quorum Business Solutions\Ecopetrol Prometeo - Documents\Planning Space Implementation\3. Analysis &amp; Design\Design\FC22\DRR Jaime\QUIFA-CAJÚA\Cajua\[CAJUA_CF_SEC_New_27-Feb-2024Rev3.xlsx]D-PND'!</v>
      </c>
      <c r="G3024" s="32" t="s">
        <v>117</v>
      </c>
      <c r="H3024" s="33">
        <f t="shared" si="715"/>
        <v>32</v>
      </c>
      <c r="I3024" s="33" t="str">
        <f t="shared" si="714"/>
        <v>='C:\Users\jaime.benazar\Quorum Business Solutions\Ecopetrol Prometeo - Documents\Planning Space Implementation\3. Analysis &amp; Design\Design\FC22\DRR Jaime\QUIFA-CAJÚA\Cajua\[CAJUA_CF_SEC_New_27-Feb-2024Rev3.xlsx]D-PND'!$DT$32</v>
      </c>
      <c r="J3024" s="37" t="s">
        <v>3389</v>
      </c>
    </row>
    <row r="3025" spans="1:10" x14ac:dyDescent="0.25">
      <c r="A3025" s="32" t="s">
        <v>3</v>
      </c>
      <c r="B3025" s="32">
        <f>+B3024+1</f>
        <v>2044</v>
      </c>
      <c r="C3025" s="33" t="s">
        <v>42</v>
      </c>
      <c r="D3025" s="34" t="s">
        <v>1999</v>
      </c>
      <c r="E3025" s="35" t="str">
        <f t="shared" ref="E3025:E3040" si="721">_xlfn.CONCAT(A3025,"'!")</f>
        <v>PND'!</v>
      </c>
      <c r="F3025" s="34" t="str">
        <f t="shared" ref="F3025:F3040" si="722">_xlfn.CONCAT(D3025:E3025)</f>
        <v>C:\Users\jaime.benazar\Quorum Business Solutions\Ecopetrol Prometeo - Documents\Planning Space Implementation\3. Analysis &amp; Design\Design\FC22\DRR Jaime\QUIFA-CAJÚA\Cajua\[CAJUA_CF_SEC_New_27-Feb-2024Rev3.xlsx]D-PND'!</v>
      </c>
      <c r="G3025" s="32" t="s">
        <v>117</v>
      </c>
      <c r="H3025" s="33">
        <f t="shared" ref="H3025:H3040" si="723">IF(A3025&lt;&gt;A3024,12,H3024+1)</f>
        <v>33</v>
      </c>
      <c r="I3025" s="33" t="str">
        <f t="shared" ref="I3025:I3040" si="724">_xlfn.CONCAT("='",F3025:H3025)</f>
        <v>='C:\Users\jaime.benazar\Quorum Business Solutions\Ecopetrol Prometeo - Documents\Planning Space Implementation\3. Analysis &amp; Design\Design\FC22\DRR Jaime\QUIFA-CAJÚA\Cajua\[CAJUA_CF_SEC_New_27-Feb-2024Rev3.xlsx]D-PND'!$DT$33</v>
      </c>
      <c r="J3025" s="37" t="s">
        <v>3390</v>
      </c>
    </row>
    <row r="3026" spans="1:10" x14ac:dyDescent="0.25">
      <c r="A3026" s="32" t="s">
        <v>3</v>
      </c>
      <c r="B3026" s="32">
        <f t="shared" ref="B3026:B3040" si="725">+B3025+1</f>
        <v>2045</v>
      </c>
      <c r="C3026" s="33" t="s">
        <v>42</v>
      </c>
      <c r="D3026" s="34" t="s">
        <v>1999</v>
      </c>
      <c r="E3026" s="35" t="str">
        <f t="shared" si="721"/>
        <v>PND'!</v>
      </c>
      <c r="F3026" s="34" t="str">
        <f t="shared" si="722"/>
        <v>C:\Users\jaime.benazar\Quorum Business Solutions\Ecopetrol Prometeo - Documents\Planning Space Implementation\3. Analysis &amp; Design\Design\FC22\DRR Jaime\QUIFA-CAJÚA\Cajua\[CAJUA_CF_SEC_New_27-Feb-2024Rev3.xlsx]D-PND'!</v>
      </c>
      <c r="G3026" s="32" t="s">
        <v>117</v>
      </c>
      <c r="H3026" s="33">
        <f t="shared" si="723"/>
        <v>34</v>
      </c>
      <c r="I3026" s="33" t="str">
        <f t="shared" si="724"/>
        <v>='C:\Users\jaime.benazar\Quorum Business Solutions\Ecopetrol Prometeo - Documents\Planning Space Implementation\3. Analysis &amp; Design\Design\FC22\DRR Jaime\QUIFA-CAJÚA\Cajua\[CAJUA_CF_SEC_New_27-Feb-2024Rev3.xlsx]D-PND'!$DT$34</v>
      </c>
      <c r="J3026" s="37" t="s">
        <v>3391</v>
      </c>
    </row>
    <row r="3027" spans="1:10" x14ac:dyDescent="0.25">
      <c r="A3027" s="32" t="s">
        <v>3</v>
      </c>
      <c r="B3027" s="32">
        <f t="shared" si="725"/>
        <v>2046</v>
      </c>
      <c r="C3027" s="33" t="s">
        <v>42</v>
      </c>
      <c r="D3027" s="34" t="s">
        <v>1999</v>
      </c>
      <c r="E3027" s="35" t="str">
        <f t="shared" si="721"/>
        <v>PND'!</v>
      </c>
      <c r="F3027" s="34" t="str">
        <f t="shared" si="722"/>
        <v>C:\Users\jaime.benazar\Quorum Business Solutions\Ecopetrol Prometeo - Documents\Planning Space Implementation\3. Analysis &amp; Design\Design\FC22\DRR Jaime\QUIFA-CAJÚA\Cajua\[CAJUA_CF_SEC_New_27-Feb-2024Rev3.xlsx]D-PND'!</v>
      </c>
      <c r="G3027" s="32" t="s">
        <v>117</v>
      </c>
      <c r="H3027" s="33">
        <f t="shared" si="723"/>
        <v>35</v>
      </c>
      <c r="I3027" s="33" t="str">
        <f t="shared" si="724"/>
        <v>='C:\Users\jaime.benazar\Quorum Business Solutions\Ecopetrol Prometeo - Documents\Planning Space Implementation\3. Analysis &amp; Design\Design\FC22\DRR Jaime\QUIFA-CAJÚA\Cajua\[CAJUA_CF_SEC_New_27-Feb-2024Rev3.xlsx]D-PND'!$DT$35</v>
      </c>
      <c r="J3027" s="37" t="s">
        <v>3392</v>
      </c>
    </row>
    <row r="3028" spans="1:10" x14ac:dyDescent="0.25">
      <c r="A3028" s="32" t="s">
        <v>3</v>
      </c>
      <c r="B3028" s="32">
        <f t="shared" si="725"/>
        <v>2047</v>
      </c>
      <c r="C3028" s="33" t="s">
        <v>42</v>
      </c>
      <c r="D3028" s="34" t="s">
        <v>1999</v>
      </c>
      <c r="E3028" s="35" t="str">
        <f t="shared" si="721"/>
        <v>PND'!</v>
      </c>
      <c r="F3028" s="34" t="str">
        <f t="shared" si="722"/>
        <v>C:\Users\jaime.benazar\Quorum Business Solutions\Ecopetrol Prometeo - Documents\Planning Space Implementation\3. Analysis &amp; Design\Design\FC22\DRR Jaime\QUIFA-CAJÚA\Cajua\[CAJUA_CF_SEC_New_27-Feb-2024Rev3.xlsx]D-PND'!</v>
      </c>
      <c r="G3028" s="32" t="s">
        <v>117</v>
      </c>
      <c r="H3028" s="33">
        <f t="shared" si="723"/>
        <v>36</v>
      </c>
      <c r="I3028" s="33" t="str">
        <f t="shared" si="724"/>
        <v>='C:\Users\jaime.benazar\Quorum Business Solutions\Ecopetrol Prometeo - Documents\Planning Space Implementation\3. Analysis &amp; Design\Design\FC22\DRR Jaime\QUIFA-CAJÚA\Cajua\[CAJUA_CF_SEC_New_27-Feb-2024Rev3.xlsx]D-PND'!$DT$36</v>
      </c>
      <c r="J3028" s="37" t="s">
        <v>3393</v>
      </c>
    </row>
    <row r="3029" spans="1:10" x14ac:dyDescent="0.25">
      <c r="A3029" s="32" t="s">
        <v>3</v>
      </c>
      <c r="B3029" s="32">
        <f t="shared" si="725"/>
        <v>2048</v>
      </c>
      <c r="C3029" s="33" t="s">
        <v>42</v>
      </c>
      <c r="D3029" s="34" t="s">
        <v>1999</v>
      </c>
      <c r="E3029" s="35" t="str">
        <f t="shared" si="721"/>
        <v>PND'!</v>
      </c>
      <c r="F3029" s="34" t="str">
        <f t="shared" si="722"/>
        <v>C:\Users\jaime.benazar\Quorum Business Solutions\Ecopetrol Prometeo - Documents\Planning Space Implementation\3. Analysis &amp; Design\Design\FC22\DRR Jaime\QUIFA-CAJÚA\Cajua\[CAJUA_CF_SEC_New_27-Feb-2024Rev3.xlsx]D-PND'!</v>
      </c>
      <c r="G3029" s="32" t="s">
        <v>117</v>
      </c>
      <c r="H3029" s="33">
        <f t="shared" si="723"/>
        <v>37</v>
      </c>
      <c r="I3029" s="33" t="str">
        <f t="shared" si="724"/>
        <v>='C:\Users\jaime.benazar\Quorum Business Solutions\Ecopetrol Prometeo - Documents\Planning Space Implementation\3. Analysis &amp; Design\Design\FC22\DRR Jaime\QUIFA-CAJÚA\Cajua\[CAJUA_CF_SEC_New_27-Feb-2024Rev3.xlsx]D-PND'!$DT$37</v>
      </c>
      <c r="J3029" s="37" t="s">
        <v>3394</v>
      </c>
    </row>
    <row r="3030" spans="1:10" x14ac:dyDescent="0.25">
      <c r="A3030" s="32" t="s">
        <v>3</v>
      </c>
      <c r="B3030" s="32">
        <f t="shared" si="725"/>
        <v>2049</v>
      </c>
      <c r="C3030" s="33" t="s">
        <v>42</v>
      </c>
      <c r="D3030" s="34" t="s">
        <v>1999</v>
      </c>
      <c r="E3030" s="35" t="str">
        <f t="shared" si="721"/>
        <v>PND'!</v>
      </c>
      <c r="F3030" s="34" t="str">
        <f t="shared" si="722"/>
        <v>C:\Users\jaime.benazar\Quorum Business Solutions\Ecopetrol Prometeo - Documents\Planning Space Implementation\3. Analysis &amp; Design\Design\FC22\DRR Jaime\QUIFA-CAJÚA\Cajua\[CAJUA_CF_SEC_New_27-Feb-2024Rev3.xlsx]D-PND'!</v>
      </c>
      <c r="G3030" s="32" t="s">
        <v>117</v>
      </c>
      <c r="H3030" s="33">
        <f t="shared" si="723"/>
        <v>38</v>
      </c>
      <c r="I3030" s="33" t="str">
        <f t="shared" si="724"/>
        <v>='C:\Users\jaime.benazar\Quorum Business Solutions\Ecopetrol Prometeo - Documents\Planning Space Implementation\3. Analysis &amp; Design\Design\FC22\DRR Jaime\QUIFA-CAJÚA\Cajua\[CAJUA_CF_SEC_New_27-Feb-2024Rev3.xlsx]D-PND'!$DT$38</v>
      </c>
      <c r="J3030" s="37" t="s">
        <v>3395</v>
      </c>
    </row>
    <row r="3031" spans="1:10" x14ac:dyDescent="0.25">
      <c r="A3031" s="32" t="s">
        <v>3</v>
      </c>
      <c r="B3031" s="32">
        <f t="shared" si="725"/>
        <v>2050</v>
      </c>
      <c r="C3031" s="33" t="s">
        <v>42</v>
      </c>
      <c r="D3031" s="34" t="s">
        <v>1999</v>
      </c>
      <c r="E3031" s="35" t="str">
        <f t="shared" si="721"/>
        <v>PND'!</v>
      </c>
      <c r="F3031" s="34" t="str">
        <f t="shared" si="722"/>
        <v>C:\Users\jaime.benazar\Quorum Business Solutions\Ecopetrol Prometeo - Documents\Planning Space Implementation\3. Analysis &amp; Design\Design\FC22\DRR Jaime\QUIFA-CAJÚA\Cajua\[CAJUA_CF_SEC_New_27-Feb-2024Rev3.xlsx]D-PND'!</v>
      </c>
      <c r="G3031" s="32" t="s">
        <v>117</v>
      </c>
      <c r="H3031" s="33">
        <f t="shared" si="723"/>
        <v>39</v>
      </c>
      <c r="I3031" s="33" t="str">
        <f t="shared" si="724"/>
        <v>='C:\Users\jaime.benazar\Quorum Business Solutions\Ecopetrol Prometeo - Documents\Planning Space Implementation\3. Analysis &amp; Design\Design\FC22\DRR Jaime\QUIFA-CAJÚA\Cajua\[CAJUA_CF_SEC_New_27-Feb-2024Rev3.xlsx]D-PND'!$DT$39</v>
      </c>
      <c r="J3031" s="37" t="s">
        <v>3396</v>
      </c>
    </row>
    <row r="3032" spans="1:10" x14ac:dyDescent="0.25">
      <c r="A3032" s="32" t="s">
        <v>3</v>
      </c>
      <c r="B3032" s="32">
        <f t="shared" si="725"/>
        <v>2051</v>
      </c>
      <c r="C3032" s="33" t="s">
        <v>42</v>
      </c>
      <c r="D3032" s="34" t="s">
        <v>1999</v>
      </c>
      <c r="E3032" s="35" t="str">
        <f t="shared" si="721"/>
        <v>PND'!</v>
      </c>
      <c r="F3032" s="34" t="str">
        <f t="shared" si="722"/>
        <v>C:\Users\jaime.benazar\Quorum Business Solutions\Ecopetrol Prometeo - Documents\Planning Space Implementation\3. Analysis &amp; Design\Design\FC22\DRR Jaime\QUIFA-CAJÚA\Cajua\[CAJUA_CF_SEC_New_27-Feb-2024Rev3.xlsx]D-PND'!</v>
      </c>
      <c r="G3032" s="32" t="s">
        <v>117</v>
      </c>
      <c r="H3032" s="33">
        <f t="shared" si="723"/>
        <v>40</v>
      </c>
      <c r="I3032" s="33" t="str">
        <f t="shared" si="724"/>
        <v>='C:\Users\jaime.benazar\Quorum Business Solutions\Ecopetrol Prometeo - Documents\Planning Space Implementation\3. Analysis &amp; Design\Design\FC22\DRR Jaime\QUIFA-CAJÚA\Cajua\[CAJUA_CF_SEC_New_27-Feb-2024Rev3.xlsx]D-PND'!$DT$40</v>
      </c>
      <c r="J3032" s="37" t="s">
        <v>3397</v>
      </c>
    </row>
    <row r="3033" spans="1:10" x14ac:dyDescent="0.25">
      <c r="A3033" s="32" t="s">
        <v>3</v>
      </c>
      <c r="B3033" s="32">
        <f t="shared" si="725"/>
        <v>2052</v>
      </c>
      <c r="C3033" s="33" t="s">
        <v>42</v>
      </c>
      <c r="D3033" s="34" t="s">
        <v>1999</v>
      </c>
      <c r="E3033" s="35" t="str">
        <f t="shared" si="721"/>
        <v>PND'!</v>
      </c>
      <c r="F3033" s="34" t="str">
        <f t="shared" si="722"/>
        <v>C:\Users\jaime.benazar\Quorum Business Solutions\Ecopetrol Prometeo - Documents\Planning Space Implementation\3. Analysis &amp; Design\Design\FC22\DRR Jaime\QUIFA-CAJÚA\Cajua\[CAJUA_CF_SEC_New_27-Feb-2024Rev3.xlsx]D-PND'!</v>
      </c>
      <c r="G3033" s="32" t="s">
        <v>117</v>
      </c>
      <c r="H3033" s="33">
        <f t="shared" si="723"/>
        <v>41</v>
      </c>
      <c r="I3033" s="33" t="str">
        <f t="shared" si="724"/>
        <v>='C:\Users\jaime.benazar\Quorum Business Solutions\Ecopetrol Prometeo - Documents\Planning Space Implementation\3. Analysis &amp; Design\Design\FC22\DRR Jaime\QUIFA-CAJÚA\Cajua\[CAJUA_CF_SEC_New_27-Feb-2024Rev3.xlsx]D-PND'!$DT$41</v>
      </c>
      <c r="J3033" s="37" t="s">
        <v>3398</v>
      </c>
    </row>
    <row r="3034" spans="1:10" x14ac:dyDescent="0.25">
      <c r="A3034" s="32" t="s">
        <v>3</v>
      </c>
      <c r="B3034" s="32">
        <f t="shared" si="725"/>
        <v>2053</v>
      </c>
      <c r="C3034" s="33" t="s">
        <v>42</v>
      </c>
      <c r="D3034" s="34" t="s">
        <v>1999</v>
      </c>
      <c r="E3034" s="35" t="str">
        <f t="shared" si="721"/>
        <v>PND'!</v>
      </c>
      <c r="F3034" s="34" t="str">
        <f t="shared" si="722"/>
        <v>C:\Users\jaime.benazar\Quorum Business Solutions\Ecopetrol Prometeo - Documents\Planning Space Implementation\3. Analysis &amp; Design\Design\FC22\DRR Jaime\QUIFA-CAJÚA\Cajua\[CAJUA_CF_SEC_New_27-Feb-2024Rev3.xlsx]D-PND'!</v>
      </c>
      <c r="G3034" s="32" t="s">
        <v>117</v>
      </c>
      <c r="H3034" s="33">
        <f t="shared" si="723"/>
        <v>42</v>
      </c>
      <c r="I3034" s="33" t="str">
        <f t="shared" si="724"/>
        <v>='C:\Users\jaime.benazar\Quorum Business Solutions\Ecopetrol Prometeo - Documents\Planning Space Implementation\3. Analysis &amp; Design\Design\FC22\DRR Jaime\QUIFA-CAJÚA\Cajua\[CAJUA_CF_SEC_New_27-Feb-2024Rev3.xlsx]D-PND'!$DT$42</v>
      </c>
      <c r="J3034" s="37" t="s">
        <v>3399</v>
      </c>
    </row>
    <row r="3035" spans="1:10" x14ac:dyDescent="0.25">
      <c r="A3035" s="32" t="s">
        <v>3</v>
      </c>
      <c r="B3035" s="32">
        <f t="shared" si="725"/>
        <v>2054</v>
      </c>
      <c r="C3035" s="33" t="s">
        <v>42</v>
      </c>
      <c r="D3035" s="34" t="s">
        <v>1999</v>
      </c>
      <c r="E3035" s="35" t="str">
        <f t="shared" si="721"/>
        <v>PND'!</v>
      </c>
      <c r="F3035" s="34" t="str">
        <f t="shared" si="722"/>
        <v>C:\Users\jaime.benazar\Quorum Business Solutions\Ecopetrol Prometeo - Documents\Planning Space Implementation\3. Analysis &amp; Design\Design\FC22\DRR Jaime\QUIFA-CAJÚA\Cajua\[CAJUA_CF_SEC_New_27-Feb-2024Rev3.xlsx]D-PND'!</v>
      </c>
      <c r="G3035" s="32" t="s">
        <v>117</v>
      </c>
      <c r="H3035" s="33">
        <f t="shared" si="723"/>
        <v>43</v>
      </c>
      <c r="I3035" s="33" t="str">
        <f t="shared" si="724"/>
        <v>='C:\Users\jaime.benazar\Quorum Business Solutions\Ecopetrol Prometeo - Documents\Planning Space Implementation\3. Analysis &amp; Design\Design\FC22\DRR Jaime\QUIFA-CAJÚA\Cajua\[CAJUA_CF_SEC_New_27-Feb-2024Rev3.xlsx]D-PND'!$DT$43</v>
      </c>
      <c r="J3035" s="37" t="s">
        <v>3400</v>
      </c>
    </row>
    <row r="3036" spans="1:10" x14ac:dyDescent="0.25">
      <c r="A3036" s="32" t="s">
        <v>3</v>
      </c>
      <c r="B3036" s="32">
        <f t="shared" si="725"/>
        <v>2055</v>
      </c>
      <c r="C3036" s="33" t="s">
        <v>42</v>
      </c>
      <c r="D3036" s="34" t="s">
        <v>1999</v>
      </c>
      <c r="E3036" s="35" t="str">
        <f t="shared" si="721"/>
        <v>PND'!</v>
      </c>
      <c r="F3036" s="34" t="str">
        <f t="shared" si="722"/>
        <v>C:\Users\jaime.benazar\Quorum Business Solutions\Ecopetrol Prometeo - Documents\Planning Space Implementation\3. Analysis &amp; Design\Design\FC22\DRR Jaime\QUIFA-CAJÚA\Cajua\[CAJUA_CF_SEC_New_27-Feb-2024Rev3.xlsx]D-PND'!</v>
      </c>
      <c r="G3036" s="32" t="s">
        <v>117</v>
      </c>
      <c r="H3036" s="33">
        <f t="shared" si="723"/>
        <v>44</v>
      </c>
      <c r="I3036" s="33" t="str">
        <f t="shared" si="724"/>
        <v>='C:\Users\jaime.benazar\Quorum Business Solutions\Ecopetrol Prometeo - Documents\Planning Space Implementation\3. Analysis &amp; Design\Design\FC22\DRR Jaime\QUIFA-CAJÚA\Cajua\[CAJUA_CF_SEC_New_27-Feb-2024Rev3.xlsx]D-PND'!$DT$44</v>
      </c>
      <c r="J3036" s="37" t="s">
        <v>3401</v>
      </c>
    </row>
    <row r="3037" spans="1:10" x14ac:dyDescent="0.25">
      <c r="A3037" s="32" t="s">
        <v>3</v>
      </c>
      <c r="B3037" s="32">
        <f t="shared" si="725"/>
        <v>2056</v>
      </c>
      <c r="C3037" s="33" t="s">
        <v>42</v>
      </c>
      <c r="D3037" s="34" t="s">
        <v>1999</v>
      </c>
      <c r="E3037" s="35" t="str">
        <f t="shared" si="721"/>
        <v>PND'!</v>
      </c>
      <c r="F3037" s="34" t="str">
        <f t="shared" si="722"/>
        <v>C:\Users\jaime.benazar\Quorum Business Solutions\Ecopetrol Prometeo - Documents\Planning Space Implementation\3. Analysis &amp; Design\Design\FC22\DRR Jaime\QUIFA-CAJÚA\Cajua\[CAJUA_CF_SEC_New_27-Feb-2024Rev3.xlsx]D-PND'!</v>
      </c>
      <c r="G3037" s="32" t="s">
        <v>117</v>
      </c>
      <c r="H3037" s="33">
        <f t="shared" si="723"/>
        <v>45</v>
      </c>
      <c r="I3037" s="33" t="str">
        <f t="shared" si="724"/>
        <v>='C:\Users\jaime.benazar\Quorum Business Solutions\Ecopetrol Prometeo - Documents\Planning Space Implementation\3. Analysis &amp; Design\Design\FC22\DRR Jaime\QUIFA-CAJÚA\Cajua\[CAJUA_CF_SEC_New_27-Feb-2024Rev3.xlsx]D-PND'!$DT$45</v>
      </c>
      <c r="J3037" s="37" t="s">
        <v>3402</v>
      </c>
    </row>
    <row r="3038" spans="1:10" x14ac:dyDescent="0.25">
      <c r="A3038" s="32" t="s">
        <v>3</v>
      </c>
      <c r="B3038" s="32">
        <f t="shared" si="725"/>
        <v>2057</v>
      </c>
      <c r="C3038" s="33" t="s">
        <v>42</v>
      </c>
      <c r="D3038" s="34" t="s">
        <v>1999</v>
      </c>
      <c r="E3038" s="35" t="str">
        <f t="shared" si="721"/>
        <v>PND'!</v>
      </c>
      <c r="F3038" s="34" t="str">
        <f t="shared" si="722"/>
        <v>C:\Users\jaime.benazar\Quorum Business Solutions\Ecopetrol Prometeo - Documents\Planning Space Implementation\3. Analysis &amp; Design\Design\FC22\DRR Jaime\QUIFA-CAJÚA\Cajua\[CAJUA_CF_SEC_New_27-Feb-2024Rev3.xlsx]D-PND'!</v>
      </c>
      <c r="G3038" s="32" t="s">
        <v>117</v>
      </c>
      <c r="H3038" s="33">
        <f t="shared" si="723"/>
        <v>46</v>
      </c>
      <c r="I3038" s="33" t="str">
        <f t="shared" si="724"/>
        <v>='C:\Users\jaime.benazar\Quorum Business Solutions\Ecopetrol Prometeo - Documents\Planning Space Implementation\3. Analysis &amp; Design\Design\FC22\DRR Jaime\QUIFA-CAJÚA\Cajua\[CAJUA_CF_SEC_New_27-Feb-2024Rev3.xlsx]D-PND'!$DT$46</v>
      </c>
      <c r="J3038" s="37" t="s">
        <v>3403</v>
      </c>
    </row>
    <row r="3039" spans="1:10" x14ac:dyDescent="0.25">
      <c r="A3039" s="32" t="s">
        <v>3</v>
      </c>
      <c r="B3039" s="32">
        <f t="shared" si="725"/>
        <v>2058</v>
      </c>
      <c r="C3039" s="33" t="s">
        <v>42</v>
      </c>
      <c r="D3039" s="34" t="s">
        <v>1999</v>
      </c>
      <c r="E3039" s="35" t="str">
        <f t="shared" si="721"/>
        <v>PND'!</v>
      </c>
      <c r="F3039" s="34" t="str">
        <f t="shared" si="722"/>
        <v>C:\Users\jaime.benazar\Quorum Business Solutions\Ecopetrol Prometeo - Documents\Planning Space Implementation\3. Analysis &amp; Design\Design\FC22\DRR Jaime\QUIFA-CAJÚA\Cajua\[CAJUA_CF_SEC_New_27-Feb-2024Rev3.xlsx]D-PND'!</v>
      </c>
      <c r="G3039" s="32" t="s">
        <v>117</v>
      </c>
      <c r="H3039" s="33">
        <f t="shared" si="723"/>
        <v>47</v>
      </c>
      <c r="I3039" s="33" t="str">
        <f t="shared" si="724"/>
        <v>='C:\Users\jaime.benazar\Quorum Business Solutions\Ecopetrol Prometeo - Documents\Planning Space Implementation\3. Analysis &amp; Design\Design\FC22\DRR Jaime\QUIFA-CAJÚA\Cajua\[CAJUA_CF_SEC_New_27-Feb-2024Rev3.xlsx]D-PND'!$DT$47</v>
      </c>
      <c r="J3039" s="37" t="s">
        <v>3404</v>
      </c>
    </row>
    <row r="3040" spans="1:10" x14ac:dyDescent="0.25">
      <c r="A3040" s="32" t="s">
        <v>3</v>
      </c>
      <c r="B3040" s="32">
        <f t="shared" si="725"/>
        <v>2059</v>
      </c>
      <c r="C3040" s="33" t="s">
        <v>42</v>
      </c>
      <c r="D3040" s="34" t="s">
        <v>1999</v>
      </c>
      <c r="E3040" s="35" t="str">
        <f t="shared" si="721"/>
        <v>PND'!</v>
      </c>
      <c r="F3040" s="34" t="str">
        <f t="shared" si="722"/>
        <v>C:\Users\jaime.benazar\Quorum Business Solutions\Ecopetrol Prometeo - Documents\Planning Space Implementation\3. Analysis &amp; Design\Design\FC22\DRR Jaime\QUIFA-CAJÚA\Cajua\[CAJUA_CF_SEC_New_27-Feb-2024Rev3.xlsx]D-PND'!</v>
      </c>
      <c r="G3040" s="32" t="s">
        <v>117</v>
      </c>
      <c r="H3040" s="33">
        <f t="shared" si="723"/>
        <v>48</v>
      </c>
      <c r="I3040" s="33" t="str">
        <f t="shared" si="724"/>
        <v>='C:\Users\jaime.benazar\Quorum Business Solutions\Ecopetrol Prometeo - Documents\Planning Space Implementation\3. Analysis &amp; Design\Design\FC22\DRR Jaime\QUIFA-CAJÚA\Cajua\[CAJUA_CF_SEC_New_27-Feb-2024Rev3.xlsx]D-PND'!$DT$48</v>
      </c>
      <c r="J3040" s="37" t="s">
        <v>3405</v>
      </c>
    </row>
    <row r="3041" spans="1:10" x14ac:dyDescent="0.25">
      <c r="A3041" s="32" t="s">
        <v>28</v>
      </c>
      <c r="B3041" s="32"/>
      <c r="C3041" s="33" t="s">
        <v>42</v>
      </c>
      <c r="D3041" s="34"/>
      <c r="E3041" s="35"/>
      <c r="F3041" s="34"/>
      <c r="G3041" s="32"/>
      <c r="H3041" s="33"/>
      <c r="I3041" s="33"/>
      <c r="J3041" s="33"/>
    </row>
    <row r="3042" spans="1:10" x14ac:dyDescent="0.25">
      <c r="A3042" s="32" t="s">
        <v>99</v>
      </c>
      <c r="B3042" s="32">
        <v>2023</v>
      </c>
      <c r="C3042" s="33" t="s">
        <v>42</v>
      </c>
      <c r="D3042" s="34" t="s">
        <v>1999</v>
      </c>
      <c r="E3042" s="35" t="str">
        <f t="shared" ref="E3042:E3062" si="726">_xlfn.CONCAT(A3042,"'!")</f>
        <v>PRBDP'!</v>
      </c>
      <c r="F3042" s="34" t="str">
        <f t="shared" ref="F3042:F3062" si="727">_xlfn.CONCAT(D3042:E3042)</f>
        <v>C:\Users\jaime.benazar\Quorum Business Solutions\Ecopetrol Prometeo - Documents\Planning Space Implementation\3. Analysis &amp; Design\Design\FC22\DRR Jaime\QUIFA-CAJÚA\Cajua\[CAJUA_CF_SEC_New_27-Feb-2024Rev3.xlsx]D-PRBDP'!</v>
      </c>
      <c r="G3042" s="32" t="s">
        <v>117</v>
      </c>
      <c r="H3042" s="33"/>
      <c r="I3042" s="33"/>
      <c r="J3042" s="37"/>
    </row>
    <row r="3043" spans="1:10" x14ac:dyDescent="0.25">
      <c r="A3043" s="32" t="s">
        <v>99</v>
      </c>
      <c r="B3043" s="32">
        <f>+B3042+1</f>
        <v>2024</v>
      </c>
      <c r="C3043" s="33" t="s">
        <v>42</v>
      </c>
      <c r="D3043" s="34" t="s">
        <v>1999</v>
      </c>
      <c r="E3043" s="35" t="str">
        <f t="shared" si="726"/>
        <v>PRBDP'!</v>
      </c>
      <c r="F3043" s="34" t="str">
        <f t="shared" si="727"/>
        <v>C:\Users\jaime.benazar\Quorum Business Solutions\Ecopetrol Prometeo - Documents\Planning Space Implementation\3. Analysis &amp; Design\Design\FC22\DRR Jaime\QUIFA-CAJÚA\Cajua\[CAJUA_CF_SEC_New_27-Feb-2024Rev3.xlsx]D-PRBDP'!</v>
      </c>
      <c r="G3043" s="32" t="s">
        <v>117</v>
      </c>
      <c r="H3043" s="33"/>
      <c r="I3043" s="33"/>
      <c r="J3043" s="37"/>
    </row>
    <row r="3044" spans="1:10" x14ac:dyDescent="0.25">
      <c r="A3044" s="32" t="s">
        <v>99</v>
      </c>
      <c r="B3044" s="32">
        <f t="shared" ref="B3044:B3055" si="728">+B3043+1</f>
        <v>2025</v>
      </c>
      <c r="C3044" s="33" t="s">
        <v>42</v>
      </c>
      <c r="D3044" s="34" t="s">
        <v>1999</v>
      </c>
      <c r="E3044" s="35" t="str">
        <f t="shared" si="726"/>
        <v>PRBDP'!</v>
      </c>
      <c r="F3044" s="34" t="str">
        <f t="shared" si="727"/>
        <v>C:\Users\jaime.benazar\Quorum Business Solutions\Ecopetrol Prometeo - Documents\Planning Space Implementation\3. Analysis &amp; Design\Design\FC22\DRR Jaime\QUIFA-CAJÚA\Cajua\[CAJUA_CF_SEC_New_27-Feb-2024Rev3.xlsx]D-PRBDP'!</v>
      </c>
      <c r="G3044" s="32" t="s">
        <v>117</v>
      </c>
      <c r="H3044" s="33"/>
      <c r="I3044" s="33"/>
      <c r="J3044" s="37"/>
    </row>
    <row r="3045" spans="1:10" x14ac:dyDescent="0.25">
      <c r="A3045" s="32" t="s">
        <v>99</v>
      </c>
      <c r="B3045" s="32">
        <f t="shared" si="728"/>
        <v>2026</v>
      </c>
      <c r="C3045" s="33" t="s">
        <v>42</v>
      </c>
      <c r="D3045" s="34" t="s">
        <v>1999</v>
      </c>
      <c r="E3045" s="35" t="str">
        <f t="shared" si="726"/>
        <v>PRBDP'!</v>
      </c>
      <c r="F3045" s="34" t="str">
        <f t="shared" si="727"/>
        <v>C:\Users\jaime.benazar\Quorum Business Solutions\Ecopetrol Prometeo - Documents\Planning Space Implementation\3. Analysis &amp; Design\Design\FC22\DRR Jaime\QUIFA-CAJÚA\Cajua\[CAJUA_CF_SEC_New_27-Feb-2024Rev3.xlsx]D-PRBDP'!</v>
      </c>
      <c r="G3045" s="32" t="s">
        <v>117</v>
      </c>
      <c r="H3045" s="33"/>
      <c r="I3045" s="33"/>
      <c r="J3045" s="37"/>
    </row>
    <row r="3046" spans="1:10" x14ac:dyDescent="0.25">
      <c r="A3046" s="32" t="s">
        <v>99</v>
      </c>
      <c r="B3046" s="32">
        <f t="shared" si="728"/>
        <v>2027</v>
      </c>
      <c r="C3046" s="33" t="s">
        <v>42</v>
      </c>
      <c r="D3046" s="34" t="s">
        <v>1999</v>
      </c>
      <c r="E3046" s="35" t="str">
        <f t="shared" si="726"/>
        <v>PRBDP'!</v>
      </c>
      <c r="F3046" s="34" t="str">
        <f t="shared" si="727"/>
        <v>C:\Users\jaime.benazar\Quorum Business Solutions\Ecopetrol Prometeo - Documents\Planning Space Implementation\3. Analysis &amp; Design\Design\FC22\DRR Jaime\QUIFA-CAJÚA\Cajua\[CAJUA_CF_SEC_New_27-Feb-2024Rev3.xlsx]D-PRBDP'!</v>
      </c>
      <c r="G3046" s="32" t="s">
        <v>117</v>
      </c>
      <c r="H3046" s="33"/>
      <c r="I3046" s="33"/>
      <c r="J3046" s="37"/>
    </row>
    <row r="3047" spans="1:10" x14ac:dyDescent="0.25">
      <c r="A3047" s="32" t="s">
        <v>99</v>
      </c>
      <c r="B3047" s="32">
        <f t="shared" si="728"/>
        <v>2028</v>
      </c>
      <c r="C3047" s="33" t="s">
        <v>42</v>
      </c>
      <c r="D3047" s="34" t="s">
        <v>1999</v>
      </c>
      <c r="E3047" s="35" t="str">
        <f t="shared" si="726"/>
        <v>PRBDP'!</v>
      </c>
      <c r="F3047" s="34" t="str">
        <f t="shared" si="727"/>
        <v>C:\Users\jaime.benazar\Quorum Business Solutions\Ecopetrol Prometeo - Documents\Planning Space Implementation\3. Analysis &amp; Design\Design\FC22\DRR Jaime\QUIFA-CAJÚA\Cajua\[CAJUA_CF_SEC_New_27-Feb-2024Rev3.xlsx]D-PRBDP'!</v>
      </c>
      <c r="G3047" s="32" t="s">
        <v>117</v>
      </c>
      <c r="H3047" s="33"/>
      <c r="I3047" s="33"/>
      <c r="J3047" s="37"/>
    </row>
    <row r="3048" spans="1:10" x14ac:dyDescent="0.25">
      <c r="A3048" s="32" t="s">
        <v>99</v>
      </c>
      <c r="B3048" s="32">
        <f t="shared" si="728"/>
        <v>2029</v>
      </c>
      <c r="C3048" s="33" t="s">
        <v>42</v>
      </c>
      <c r="D3048" s="34" t="s">
        <v>1999</v>
      </c>
      <c r="E3048" s="35" t="str">
        <f t="shared" si="726"/>
        <v>PRBDP'!</v>
      </c>
      <c r="F3048" s="34" t="str">
        <f t="shared" si="727"/>
        <v>C:\Users\jaime.benazar\Quorum Business Solutions\Ecopetrol Prometeo - Documents\Planning Space Implementation\3. Analysis &amp; Design\Design\FC22\DRR Jaime\QUIFA-CAJÚA\Cajua\[CAJUA_CF_SEC_New_27-Feb-2024Rev3.xlsx]D-PRBDP'!</v>
      </c>
      <c r="G3048" s="32" t="s">
        <v>117</v>
      </c>
      <c r="H3048" s="33"/>
      <c r="I3048" s="33"/>
      <c r="J3048" s="37"/>
    </row>
    <row r="3049" spans="1:10" x14ac:dyDescent="0.25">
      <c r="A3049" s="32" t="s">
        <v>99</v>
      </c>
      <c r="B3049" s="32">
        <f t="shared" si="728"/>
        <v>2030</v>
      </c>
      <c r="C3049" s="33" t="s">
        <v>42</v>
      </c>
      <c r="D3049" s="34" t="s">
        <v>1999</v>
      </c>
      <c r="E3049" s="35" t="str">
        <f t="shared" si="726"/>
        <v>PRBDP'!</v>
      </c>
      <c r="F3049" s="34" t="str">
        <f t="shared" si="727"/>
        <v>C:\Users\jaime.benazar\Quorum Business Solutions\Ecopetrol Prometeo - Documents\Planning Space Implementation\3. Analysis &amp; Design\Design\FC22\DRR Jaime\QUIFA-CAJÚA\Cajua\[CAJUA_CF_SEC_New_27-Feb-2024Rev3.xlsx]D-PRBDP'!</v>
      </c>
      <c r="G3049" s="32" t="s">
        <v>117</v>
      </c>
      <c r="H3049" s="33"/>
      <c r="I3049" s="33"/>
      <c r="J3049" s="37"/>
    </row>
    <row r="3050" spans="1:10" x14ac:dyDescent="0.25">
      <c r="A3050" s="32" t="s">
        <v>99</v>
      </c>
      <c r="B3050" s="32">
        <f t="shared" si="728"/>
        <v>2031</v>
      </c>
      <c r="C3050" s="33" t="s">
        <v>42</v>
      </c>
      <c r="D3050" s="34" t="s">
        <v>1999</v>
      </c>
      <c r="E3050" s="35" t="str">
        <f t="shared" si="726"/>
        <v>PRBDP'!</v>
      </c>
      <c r="F3050" s="34" t="str">
        <f t="shared" si="727"/>
        <v>C:\Users\jaime.benazar\Quorum Business Solutions\Ecopetrol Prometeo - Documents\Planning Space Implementation\3. Analysis &amp; Design\Design\FC22\DRR Jaime\QUIFA-CAJÚA\Cajua\[CAJUA_CF_SEC_New_27-Feb-2024Rev3.xlsx]D-PRBDP'!</v>
      </c>
      <c r="G3050" s="32" t="s">
        <v>117</v>
      </c>
      <c r="H3050" s="33"/>
      <c r="I3050" s="33"/>
      <c r="J3050" s="37"/>
    </row>
    <row r="3051" spans="1:10" x14ac:dyDescent="0.25">
      <c r="A3051" s="32" t="s">
        <v>99</v>
      </c>
      <c r="B3051" s="32">
        <f t="shared" si="728"/>
        <v>2032</v>
      </c>
      <c r="C3051" s="33" t="s">
        <v>42</v>
      </c>
      <c r="D3051" s="34" t="s">
        <v>1999</v>
      </c>
      <c r="E3051" s="35" t="str">
        <f t="shared" si="726"/>
        <v>PRBDP'!</v>
      </c>
      <c r="F3051" s="34" t="str">
        <f t="shared" si="727"/>
        <v>C:\Users\jaime.benazar\Quorum Business Solutions\Ecopetrol Prometeo - Documents\Planning Space Implementation\3. Analysis &amp; Design\Design\FC22\DRR Jaime\QUIFA-CAJÚA\Cajua\[CAJUA_CF_SEC_New_27-Feb-2024Rev3.xlsx]D-PRBDP'!</v>
      </c>
      <c r="G3051" s="32" t="s">
        <v>117</v>
      </c>
      <c r="H3051" s="33"/>
      <c r="I3051" s="33"/>
      <c r="J3051" s="37"/>
    </row>
    <row r="3052" spans="1:10" x14ac:dyDescent="0.25">
      <c r="A3052" s="32" t="s">
        <v>99</v>
      </c>
      <c r="B3052" s="32">
        <f t="shared" si="728"/>
        <v>2033</v>
      </c>
      <c r="C3052" s="33" t="s">
        <v>42</v>
      </c>
      <c r="D3052" s="34" t="s">
        <v>1999</v>
      </c>
      <c r="E3052" s="35" t="str">
        <f t="shared" si="726"/>
        <v>PRBDP'!</v>
      </c>
      <c r="F3052" s="34" t="str">
        <f t="shared" si="727"/>
        <v>C:\Users\jaime.benazar\Quorum Business Solutions\Ecopetrol Prometeo - Documents\Planning Space Implementation\3. Analysis &amp; Design\Design\FC22\DRR Jaime\QUIFA-CAJÚA\Cajua\[CAJUA_CF_SEC_New_27-Feb-2024Rev3.xlsx]D-PRBDP'!</v>
      </c>
      <c r="G3052" s="32" t="s">
        <v>117</v>
      </c>
      <c r="H3052" s="33"/>
      <c r="I3052" s="33"/>
      <c r="J3052" s="37"/>
    </row>
    <row r="3053" spans="1:10" x14ac:dyDescent="0.25">
      <c r="A3053" s="32" t="s">
        <v>99</v>
      </c>
      <c r="B3053" s="32">
        <f t="shared" si="728"/>
        <v>2034</v>
      </c>
      <c r="C3053" s="33" t="s">
        <v>42</v>
      </c>
      <c r="D3053" s="34" t="s">
        <v>1999</v>
      </c>
      <c r="E3053" s="35" t="str">
        <f t="shared" si="726"/>
        <v>PRBDP'!</v>
      </c>
      <c r="F3053" s="34" t="str">
        <f t="shared" si="727"/>
        <v>C:\Users\jaime.benazar\Quorum Business Solutions\Ecopetrol Prometeo - Documents\Planning Space Implementation\3. Analysis &amp; Design\Design\FC22\DRR Jaime\QUIFA-CAJÚA\Cajua\[CAJUA_CF_SEC_New_27-Feb-2024Rev3.xlsx]D-PRBDP'!</v>
      </c>
      <c r="G3053" s="32" t="s">
        <v>117</v>
      </c>
      <c r="H3053" s="33"/>
      <c r="I3053" s="33"/>
      <c r="J3053" s="37"/>
    </row>
    <row r="3054" spans="1:10" x14ac:dyDescent="0.25">
      <c r="A3054" s="32" t="s">
        <v>99</v>
      </c>
      <c r="B3054" s="32">
        <f t="shared" si="728"/>
        <v>2035</v>
      </c>
      <c r="C3054" s="33" t="s">
        <v>42</v>
      </c>
      <c r="D3054" s="34" t="s">
        <v>1999</v>
      </c>
      <c r="E3054" s="35" t="str">
        <f t="shared" si="726"/>
        <v>PRBDP'!</v>
      </c>
      <c r="F3054" s="34" t="str">
        <f t="shared" si="727"/>
        <v>C:\Users\jaime.benazar\Quorum Business Solutions\Ecopetrol Prometeo - Documents\Planning Space Implementation\3. Analysis &amp; Design\Design\FC22\DRR Jaime\QUIFA-CAJÚA\Cajua\[CAJUA_CF_SEC_New_27-Feb-2024Rev3.xlsx]D-PRBDP'!</v>
      </c>
      <c r="G3054" s="32" t="s">
        <v>117</v>
      </c>
      <c r="H3054" s="33"/>
      <c r="I3054" s="33"/>
      <c r="J3054" s="37"/>
    </row>
    <row r="3055" spans="1:10" x14ac:dyDescent="0.25">
      <c r="A3055" s="32" t="s">
        <v>99</v>
      </c>
      <c r="B3055" s="32">
        <f t="shared" si="728"/>
        <v>2036</v>
      </c>
      <c r="C3055" s="33" t="s">
        <v>42</v>
      </c>
      <c r="D3055" s="34" t="s">
        <v>1999</v>
      </c>
      <c r="E3055" s="35" t="str">
        <f t="shared" si="726"/>
        <v>PRBDP'!</v>
      </c>
      <c r="F3055" s="34" t="str">
        <f t="shared" si="727"/>
        <v>C:\Users\jaime.benazar\Quorum Business Solutions\Ecopetrol Prometeo - Documents\Planning Space Implementation\3. Analysis &amp; Design\Design\FC22\DRR Jaime\QUIFA-CAJÚA\Cajua\[CAJUA_CF_SEC_New_27-Feb-2024Rev3.xlsx]D-PRBDP'!</v>
      </c>
      <c r="G3055" s="32" t="s">
        <v>117</v>
      </c>
      <c r="H3055" s="33"/>
      <c r="I3055" s="33"/>
      <c r="J3055" s="37"/>
    </row>
    <row r="3056" spans="1:10" x14ac:dyDescent="0.25">
      <c r="A3056" s="32" t="s">
        <v>99</v>
      </c>
      <c r="B3056" s="32">
        <f>+B3055+1</f>
        <v>2037</v>
      </c>
      <c r="C3056" s="33" t="s">
        <v>42</v>
      </c>
      <c r="D3056" s="34" t="s">
        <v>1999</v>
      </c>
      <c r="E3056" s="35" t="str">
        <f t="shared" si="726"/>
        <v>PRBDP'!</v>
      </c>
      <c r="F3056" s="34" t="str">
        <f t="shared" si="727"/>
        <v>C:\Users\jaime.benazar\Quorum Business Solutions\Ecopetrol Prometeo - Documents\Planning Space Implementation\3. Analysis &amp; Design\Design\FC22\DRR Jaime\QUIFA-CAJÚA\Cajua\[CAJUA_CF_SEC_New_27-Feb-2024Rev3.xlsx]D-PRBDP'!</v>
      </c>
      <c r="G3056" s="32" t="s">
        <v>117</v>
      </c>
      <c r="H3056" s="33"/>
      <c r="I3056" s="33"/>
      <c r="J3056" s="37"/>
    </row>
    <row r="3057" spans="1:10" x14ac:dyDescent="0.25">
      <c r="A3057" s="32" t="s">
        <v>99</v>
      </c>
      <c r="B3057" s="32">
        <f t="shared" ref="B3057:B3059" si="729">+B3056+1</f>
        <v>2038</v>
      </c>
      <c r="C3057" s="33" t="s">
        <v>42</v>
      </c>
      <c r="D3057" s="34" t="s">
        <v>1999</v>
      </c>
      <c r="E3057" s="35" t="str">
        <f t="shared" si="726"/>
        <v>PRBDP'!</v>
      </c>
      <c r="F3057" s="34" t="str">
        <f t="shared" si="727"/>
        <v>C:\Users\jaime.benazar\Quorum Business Solutions\Ecopetrol Prometeo - Documents\Planning Space Implementation\3. Analysis &amp; Design\Design\FC22\DRR Jaime\QUIFA-CAJÚA\Cajua\[CAJUA_CF_SEC_New_27-Feb-2024Rev3.xlsx]D-PRBDP'!</v>
      </c>
      <c r="G3057" s="32" t="s">
        <v>117</v>
      </c>
      <c r="H3057" s="33"/>
      <c r="I3057" s="33"/>
      <c r="J3057" s="37"/>
    </row>
    <row r="3058" spans="1:10" x14ac:dyDescent="0.25">
      <c r="A3058" s="32" t="s">
        <v>99</v>
      </c>
      <c r="B3058" s="32">
        <f t="shared" si="729"/>
        <v>2039</v>
      </c>
      <c r="C3058" s="33" t="s">
        <v>42</v>
      </c>
      <c r="D3058" s="34" t="s">
        <v>1999</v>
      </c>
      <c r="E3058" s="35" t="str">
        <f t="shared" si="726"/>
        <v>PRBDP'!</v>
      </c>
      <c r="F3058" s="34" t="str">
        <f t="shared" si="727"/>
        <v>C:\Users\jaime.benazar\Quorum Business Solutions\Ecopetrol Prometeo - Documents\Planning Space Implementation\3. Analysis &amp; Design\Design\FC22\DRR Jaime\QUIFA-CAJÚA\Cajua\[CAJUA_CF_SEC_New_27-Feb-2024Rev3.xlsx]D-PRBDP'!</v>
      </c>
      <c r="G3058" s="32" t="s">
        <v>117</v>
      </c>
      <c r="H3058" s="33"/>
      <c r="I3058" s="33"/>
      <c r="J3058" s="37"/>
    </row>
    <row r="3059" spans="1:10" x14ac:dyDescent="0.25">
      <c r="A3059" s="32" t="s">
        <v>99</v>
      </c>
      <c r="B3059" s="32">
        <f t="shared" si="729"/>
        <v>2040</v>
      </c>
      <c r="C3059" s="33" t="s">
        <v>42</v>
      </c>
      <c r="D3059" s="34" t="s">
        <v>1999</v>
      </c>
      <c r="E3059" s="35" t="str">
        <f t="shared" si="726"/>
        <v>PRBDP'!</v>
      </c>
      <c r="F3059" s="34" t="str">
        <f t="shared" si="727"/>
        <v>C:\Users\jaime.benazar\Quorum Business Solutions\Ecopetrol Prometeo - Documents\Planning Space Implementation\3. Analysis &amp; Design\Design\FC22\DRR Jaime\QUIFA-CAJÚA\Cajua\[CAJUA_CF_SEC_New_27-Feb-2024Rev3.xlsx]D-PRBDP'!</v>
      </c>
      <c r="G3059" s="32" t="s">
        <v>117</v>
      </c>
      <c r="H3059" s="33"/>
      <c r="I3059" s="33"/>
      <c r="J3059" s="37"/>
    </row>
    <row r="3060" spans="1:10" x14ac:dyDescent="0.25">
      <c r="A3060" s="32" t="s">
        <v>99</v>
      </c>
      <c r="B3060" s="32">
        <f>+B3059+1</f>
        <v>2041</v>
      </c>
      <c r="C3060" s="33" t="s">
        <v>42</v>
      </c>
      <c r="D3060" s="34" t="s">
        <v>1999</v>
      </c>
      <c r="E3060" s="35" t="str">
        <f t="shared" si="726"/>
        <v>PRBDP'!</v>
      </c>
      <c r="F3060" s="34" t="str">
        <f t="shared" si="727"/>
        <v>C:\Users\jaime.benazar\Quorum Business Solutions\Ecopetrol Prometeo - Documents\Planning Space Implementation\3. Analysis &amp; Design\Design\FC22\DRR Jaime\QUIFA-CAJÚA\Cajua\[CAJUA_CF_SEC_New_27-Feb-2024Rev3.xlsx]D-PRBDP'!</v>
      </c>
      <c r="G3060" s="32" t="s">
        <v>117</v>
      </c>
      <c r="H3060" s="33"/>
      <c r="I3060" s="33"/>
      <c r="J3060" s="37"/>
    </row>
    <row r="3061" spans="1:10" x14ac:dyDescent="0.25">
      <c r="A3061" s="32" t="s">
        <v>99</v>
      </c>
      <c r="B3061" s="32">
        <f t="shared" ref="B3061:B3062" si="730">+B3060+1</f>
        <v>2042</v>
      </c>
      <c r="C3061" s="33" t="s">
        <v>42</v>
      </c>
      <c r="D3061" s="34" t="s">
        <v>1999</v>
      </c>
      <c r="E3061" s="35" t="str">
        <f t="shared" si="726"/>
        <v>PRBDP'!</v>
      </c>
      <c r="F3061" s="34" t="str">
        <f t="shared" si="727"/>
        <v>C:\Users\jaime.benazar\Quorum Business Solutions\Ecopetrol Prometeo - Documents\Planning Space Implementation\3. Analysis &amp; Design\Design\FC22\DRR Jaime\QUIFA-CAJÚA\Cajua\[CAJUA_CF_SEC_New_27-Feb-2024Rev3.xlsx]D-PRBDP'!</v>
      </c>
      <c r="G3061" s="32" t="s">
        <v>117</v>
      </c>
      <c r="H3061" s="33"/>
      <c r="I3061" s="33"/>
      <c r="J3061" s="37"/>
    </row>
    <row r="3062" spans="1:10" x14ac:dyDescent="0.25">
      <c r="A3062" s="32" t="s">
        <v>99</v>
      </c>
      <c r="B3062" s="32">
        <f t="shared" si="730"/>
        <v>2043</v>
      </c>
      <c r="C3062" s="33" t="s">
        <v>42</v>
      </c>
      <c r="D3062" s="34" t="s">
        <v>1999</v>
      </c>
      <c r="E3062" s="35" t="str">
        <f t="shared" si="726"/>
        <v>PRBDP'!</v>
      </c>
      <c r="F3062" s="34" t="str">
        <f t="shared" si="727"/>
        <v>C:\Users\jaime.benazar\Quorum Business Solutions\Ecopetrol Prometeo - Documents\Planning Space Implementation\3. Analysis &amp; Design\Design\FC22\DRR Jaime\QUIFA-CAJÚA\Cajua\[CAJUA_CF_SEC_New_27-Feb-2024Rev3.xlsx]D-PRBDP'!</v>
      </c>
      <c r="G3062" s="32" t="s">
        <v>117</v>
      </c>
      <c r="H3062" s="33"/>
      <c r="I3062" s="33"/>
      <c r="J3062" s="37"/>
    </row>
    <row r="3063" spans="1:10" x14ac:dyDescent="0.25">
      <c r="A3063" s="32" t="s">
        <v>99</v>
      </c>
      <c r="B3063" s="32">
        <f>+B3062+1</f>
        <v>2044</v>
      </c>
      <c r="C3063" s="33" t="s">
        <v>42</v>
      </c>
      <c r="D3063" s="34" t="s">
        <v>1999</v>
      </c>
      <c r="E3063" s="35" t="str">
        <f t="shared" ref="E3063:E3078" si="731">_xlfn.CONCAT(A3063,"'!")</f>
        <v>PRBDP'!</v>
      </c>
      <c r="F3063" s="34" t="str">
        <f t="shared" ref="F3063:F3078" si="732">_xlfn.CONCAT(D3063:E3063)</f>
        <v>C:\Users\jaime.benazar\Quorum Business Solutions\Ecopetrol Prometeo - Documents\Planning Space Implementation\3. Analysis &amp; Design\Design\FC22\DRR Jaime\QUIFA-CAJÚA\Cajua\[CAJUA_CF_SEC_New_27-Feb-2024Rev3.xlsx]D-PRBDP'!</v>
      </c>
      <c r="G3063" s="32" t="s">
        <v>117</v>
      </c>
      <c r="H3063" s="33"/>
      <c r="I3063" s="33"/>
      <c r="J3063" s="37"/>
    </row>
    <row r="3064" spans="1:10" x14ac:dyDescent="0.25">
      <c r="A3064" s="32" t="s">
        <v>99</v>
      </c>
      <c r="B3064" s="32">
        <f t="shared" ref="B3064:B3078" si="733">+B3063+1</f>
        <v>2045</v>
      </c>
      <c r="C3064" s="33" t="s">
        <v>42</v>
      </c>
      <c r="D3064" s="34" t="s">
        <v>1999</v>
      </c>
      <c r="E3064" s="35" t="str">
        <f t="shared" si="731"/>
        <v>PRBDP'!</v>
      </c>
      <c r="F3064" s="34" t="str">
        <f t="shared" si="732"/>
        <v>C:\Users\jaime.benazar\Quorum Business Solutions\Ecopetrol Prometeo - Documents\Planning Space Implementation\3. Analysis &amp; Design\Design\FC22\DRR Jaime\QUIFA-CAJÚA\Cajua\[CAJUA_CF_SEC_New_27-Feb-2024Rev3.xlsx]D-PRBDP'!</v>
      </c>
      <c r="G3064" s="32" t="s">
        <v>117</v>
      </c>
      <c r="H3064" s="33"/>
      <c r="I3064" s="33"/>
      <c r="J3064" s="37"/>
    </row>
    <row r="3065" spans="1:10" x14ac:dyDescent="0.25">
      <c r="A3065" s="32" t="s">
        <v>99</v>
      </c>
      <c r="B3065" s="32">
        <f t="shared" si="733"/>
        <v>2046</v>
      </c>
      <c r="C3065" s="33" t="s">
        <v>42</v>
      </c>
      <c r="D3065" s="34" t="s">
        <v>1999</v>
      </c>
      <c r="E3065" s="35" t="str">
        <f t="shared" si="731"/>
        <v>PRBDP'!</v>
      </c>
      <c r="F3065" s="34" t="str">
        <f t="shared" si="732"/>
        <v>C:\Users\jaime.benazar\Quorum Business Solutions\Ecopetrol Prometeo - Documents\Planning Space Implementation\3. Analysis &amp; Design\Design\FC22\DRR Jaime\QUIFA-CAJÚA\Cajua\[CAJUA_CF_SEC_New_27-Feb-2024Rev3.xlsx]D-PRBDP'!</v>
      </c>
      <c r="G3065" s="32" t="s">
        <v>117</v>
      </c>
      <c r="H3065" s="33"/>
      <c r="I3065" s="33"/>
      <c r="J3065" s="37"/>
    </row>
    <row r="3066" spans="1:10" x14ac:dyDescent="0.25">
      <c r="A3066" s="32" t="s">
        <v>99</v>
      </c>
      <c r="B3066" s="32">
        <f t="shared" si="733"/>
        <v>2047</v>
      </c>
      <c r="C3066" s="33" t="s">
        <v>42</v>
      </c>
      <c r="D3066" s="34" t="s">
        <v>1999</v>
      </c>
      <c r="E3066" s="35" t="str">
        <f t="shared" si="731"/>
        <v>PRBDP'!</v>
      </c>
      <c r="F3066" s="34" t="str">
        <f t="shared" si="732"/>
        <v>C:\Users\jaime.benazar\Quorum Business Solutions\Ecopetrol Prometeo - Documents\Planning Space Implementation\3. Analysis &amp; Design\Design\FC22\DRR Jaime\QUIFA-CAJÚA\Cajua\[CAJUA_CF_SEC_New_27-Feb-2024Rev3.xlsx]D-PRBDP'!</v>
      </c>
      <c r="G3066" s="32" t="s">
        <v>117</v>
      </c>
      <c r="H3066" s="33"/>
      <c r="I3066" s="33"/>
      <c r="J3066" s="37"/>
    </row>
    <row r="3067" spans="1:10" x14ac:dyDescent="0.25">
      <c r="A3067" s="32" t="s">
        <v>99</v>
      </c>
      <c r="B3067" s="32">
        <f t="shared" si="733"/>
        <v>2048</v>
      </c>
      <c r="C3067" s="33" t="s">
        <v>42</v>
      </c>
      <c r="D3067" s="34" t="s">
        <v>1999</v>
      </c>
      <c r="E3067" s="35" t="str">
        <f t="shared" si="731"/>
        <v>PRBDP'!</v>
      </c>
      <c r="F3067" s="34" t="str">
        <f t="shared" si="732"/>
        <v>C:\Users\jaime.benazar\Quorum Business Solutions\Ecopetrol Prometeo - Documents\Planning Space Implementation\3. Analysis &amp; Design\Design\FC22\DRR Jaime\QUIFA-CAJÚA\Cajua\[CAJUA_CF_SEC_New_27-Feb-2024Rev3.xlsx]D-PRBDP'!</v>
      </c>
      <c r="G3067" s="32" t="s">
        <v>117</v>
      </c>
      <c r="H3067" s="33"/>
      <c r="I3067" s="33"/>
      <c r="J3067" s="37"/>
    </row>
    <row r="3068" spans="1:10" x14ac:dyDescent="0.25">
      <c r="A3068" s="32" t="s">
        <v>99</v>
      </c>
      <c r="B3068" s="32">
        <f t="shared" si="733"/>
        <v>2049</v>
      </c>
      <c r="C3068" s="33" t="s">
        <v>42</v>
      </c>
      <c r="D3068" s="34" t="s">
        <v>1999</v>
      </c>
      <c r="E3068" s="35" t="str">
        <f t="shared" si="731"/>
        <v>PRBDP'!</v>
      </c>
      <c r="F3068" s="34" t="str">
        <f t="shared" si="732"/>
        <v>C:\Users\jaime.benazar\Quorum Business Solutions\Ecopetrol Prometeo - Documents\Planning Space Implementation\3. Analysis &amp; Design\Design\FC22\DRR Jaime\QUIFA-CAJÚA\Cajua\[CAJUA_CF_SEC_New_27-Feb-2024Rev3.xlsx]D-PRBDP'!</v>
      </c>
      <c r="G3068" s="32" t="s">
        <v>117</v>
      </c>
      <c r="H3068" s="33"/>
      <c r="I3068" s="33"/>
      <c r="J3068" s="37"/>
    </row>
    <row r="3069" spans="1:10" x14ac:dyDescent="0.25">
      <c r="A3069" s="32" t="s">
        <v>99</v>
      </c>
      <c r="B3069" s="32">
        <f t="shared" si="733"/>
        <v>2050</v>
      </c>
      <c r="C3069" s="33" t="s">
        <v>42</v>
      </c>
      <c r="D3069" s="34" t="s">
        <v>1999</v>
      </c>
      <c r="E3069" s="35" t="str">
        <f t="shared" si="731"/>
        <v>PRBDP'!</v>
      </c>
      <c r="F3069" s="34" t="str">
        <f t="shared" si="732"/>
        <v>C:\Users\jaime.benazar\Quorum Business Solutions\Ecopetrol Prometeo - Documents\Planning Space Implementation\3. Analysis &amp; Design\Design\FC22\DRR Jaime\QUIFA-CAJÚA\Cajua\[CAJUA_CF_SEC_New_27-Feb-2024Rev3.xlsx]D-PRBDP'!</v>
      </c>
      <c r="G3069" s="32" t="s">
        <v>117</v>
      </c>
      <c r="H3069" s="33"/>
      <c r="I3069" s="33"/>
      <c r="J3069" s="37"/>
    </row>
    <row r="3070" spans="1:10" x14ac:dyDescent="0.25">
      <c r="A3070" s="32" t="s">
        <v>99</v>
      </c>
      <c r="B3070" s="32">
        <f t="shared" si="733"/>
        <v>2051</v>
      </c>
      <c r="C3070" s="33" t="s">
        <v>42</v>
      </c>
      <c r="D3070" s="34" t="s">
        <v>1999</v>
      </c>
      <c r="E3070" s="35" t="str">
        <f t="shared" si="731"/>
        <v>PRBDP'!</v>
      </c>
      <c r="F3070" s="34" t="str">
        <f t="shared" si="732"/>
        <v>C:\Users\jaime.benazar\Quorum Business Solutions\Ecopetrol Prometeo - Documents\Planning Space Implementation\3. Analysis &amp; Design\Design\FC22\DRR Jaime\QUIFA-CAJÚA\Cajua\[CAJUA_CF_SEC_New_27-Feb-2024Rev3.xlsx]D-PRBDP'!</v>
      </c>
      <c r="G3070" s="32" t="s">
        <v>117</v>
      </c>
      <c r="H3070" s="33"/>
      <c r="I3070" s="33"/>
      <c r="J3070" s="37"/>
    </row>
    <row r="3071" spans="1:10" x14ac:dyDescent="0.25">
      <c r="A3071" s="32" t="s">
        <v>99</v>
      </c>
      <c r="B3071" s="32">
        <f t="shared" si="733"/>
        <v>2052</v>
      </c>
      <c r="C3071" s="33" t="s">
        <v>42</v>
      </c>
      <c r="D3071" s="34" t="s">
        <v>1999</v>
      </c>
      <c r="E3071" s="35" t="str">
        <f t="shared" si="731"/>
        <v>PRBDP'!</v>
      </c>
      <c r="F3071" s="34" t="str">
        <f t="shared" si="732"/>
        <v>C:\Users\jaime.benazar\Quorum Business Solutions\Ecopetrol Prometeo - Documents\Planning Space Implementation\3. Analysis &amp; Design\Design\FC22\DRR Jaime\QUIFA-CAJÚA\Cajua\[CAJUA_CF_SEC_New_27-Feb-2024Rev3.xlsx]D-PRBDP'!</v>
      </c>
      <c r="G3071" s="32" t="s">
        <v>117</v>
      </c>
      <c r="H3071" s="33"/>
      <c r="I3071" s="33"/>
      <c r="J3071" s="37"/>
    </row>
    <row r="3072" spans="1:10" x14ac:dyDescent="0.25">
      <c r="A3072" s="32" t="s">
        <v>99</v>
      </c>
      <c r="B3072" s="32">
        <f t="shared" si="733"/>
        <v>2053</v>
      </c>
      <c r="C3072" s="33" t="s">
        <v>42</v>
      </c>
      <c r="D3072" s="34" t="s">
        <v>1999</v>
      </c>
      <c r="E3072" s="35" t="str">
        <f t="shared" si="731"/>
        <v>PRBDP'!</v>
      </c>
      <c r="F3072" s="34" t="str">
        <f t="shared" si="732"/>
        <v>C:\Users\jaime.benazar\Quorum Business Solutions\Ecopetrol Prometeo - Documents\Planning Space Implementation\3. Analysis &amp; Design\Design\FC22\DRR Jaime\QUIFA-CAJÚA\Cajua\[CAJUA_CF_SEC_New_27-Feb-2024Rev3.xlsx]D-PRBDP'!</v>
      </c>
      <c r="G3072" s="32" t="s">
        <v>117</v>
      </c>
      <c r="H3072" s="33"/>
      <c r="I3072" s="33"/>
      <c r="J3072" s="37"/>
    </row>
    <row r="3073" spans="1:10" x14ac:dyDescent="0.25">
      <c r="A3073" s="32" t="s">
        <v>99</v>
      </c>
      <c r="B3073" s="32">
        <f t="shared" si="733"/>
        <v>2054</v>
      </c>
      <c r="C3073" s="33" t="s">
        <v>42</v>
      </c>
      <c r="D3073" s="34" t="s">
        <v>1999</v>
      </c>
      <c r="E3073" s="35" t="str">
        <f t="shared" si="731"/>
        <v>PRBDP'!</v>
      </c>
      <c r="F3073" s="34" t="str">
        <f t="shared" si="732"/>
        <v>C:\Users\jaime.benazar\Quorum Business Solutions\Ecopetrol Prometeo - Documents\Planning Space Implementation\3. Analysis &amp; Design\Design\FC22\DRR Jaime\QUIFA-CAJÚA\Cajua\[CAJUA_CF_SEC_New_27-Feb-2024Rev3.xlsx]D-PRBDP'!</v>
      </c>
      <c r="G3073" s="32" t="s">
        <v>117</v>
      </c>
      <c r="H3073" s="33"/>
      <c r="I3073" s="33"/>
      <c r="J3073" s="37"/>
    </row>
    <row r="3074" spans="1:10" x14ac:dyDescent="0.25">
      <c r="A3074" s="32" t="s">
        <v>99</v>
      </c>
      <c r="B3074" s="32">
        <f t="shared" si="733"/>
        <v>2055</v>
      </c>
      <c r="C3074" s="33" t="s">
        <v>42</v>
      </c>
      <c r="D3074" s="34" t="s">
        <v>1999</v>
      </c>
      <c r="E3074" s="35" t="str">
        <f t="shared" si="731"/>
        <v>PRBDP'!</v>
      </c>
      <c r="F3074" s="34" t="str">
        <f t="shared" si="732"/>
        <v>C:\Users\jaime.benazar\Quorum Business Solutions\Ecopetrol Prometeo - Documents\Planning Space Implementation\3. Analysis &amp; Design\Design\FC22\DRR Jaime\QUIFA-CAJÚA\Cajua\[CAJUA_CF_SEC_New_27-Feb-2024Rev3.xlsx]D-PRBDP'!</v>
      </c>
      <c r="G3074" s="32" t="s">
        <v>117</v>
      </c>
      <c r="H3074" s="33"/>
      <c r="I3074" s="33"/>
      <c r="J3074" s="37"/>
    </row>
    <row r="3075" spans="1:10" x14ac:dyDescent="0.25">
      <c r="A3075" s="32" t="s">
        <v>99</v>
      </c>
      <c r="B3075" s="32">
        <f t="shared" si="733"/>
        <v>2056</v>
      </c>
      <c r="C3075" s="33" t="s">
        <v>42</v>
      </c>
      <c r="D3075" s="34" t="s">
        <v>1999</v>
      </c>
      <c r="E3075" s="35" t="str">
        <f t="shared" si="731"/>
        <v>PRBDP'!</v>
      </c>
      <c r="F3075" s="34" t="str">
        <f t="shared" si="732"/>
        <v>C:\Users\jaime.benazar\Quorum Business Solutions\Ecopetrol Prometeo - Documents\Planning Space Implementation\3. Analysis &amp; Design\Design\FC22\DRR Jaime\QUIFA-CAJÚA\Cajua\[CAJUA_CF_SEC_New_27-Feb-2024Rev3.xlsx]D-PRBDP'!</v>
      </c>
      <c r="G3075" s="32" t="s">
        <v>117</v>
      </c>
      <c r="H3075" s="33"/>
      <c r="I3075" s="33"/>
      <c r="J3075" s="37"/>
    </row>
    <row r="3076" spans="1:10" x14ac:dyDescent="0.25">
      <c r="A3076" s="32" t="s">
        <v>99</v>
      </c>
      <c r="B3076" s="32">
        <f t="shared" si="733"/>
        <v>2057</v>
      </c>
      <c r="C3076" s="33" t="s">
        <v>42</v>
      </c>
      <c r="D3076" s="34" t="s">
        <v>1999</v>
      </c>
      <c r="E3076" s="35" t="str">
        <f t="shared" si="731"/>
        <v>PRBDP'!</v>
      </c>
      <c r="F3076" s="34" t="str">
        <f t="shared" si="732"/>
        <v>C:\Users\jaime.benazar\Quorum Business Solutions\Ecopetrol Prometeo - Documents\Planning Space Implementation\3. Analysis &amp; Design\Design\FC22\DRR Jaime\QUIFA-CAJÚA\Cajua\[CAJUA_CF_SEC_New_27-Feb-2024Rev3.xlsx]D-PRBDP'!</v>
      </c>
      <c r="G3076" s="32" t="s">
        <v>117</v>
      </c>
      <c r="H3076" s="33"/>
      <c r="I3076" s="33"/>
      <c r="J3076" s="37"/>
    </row>
    <row r="3077" spans="1:10" x14ac:dyDescent="0.25">
      <c r="A3077" s="32" t="s">
        <v>99</v>
      </c>
      <c r="B3077" s="32">
        <f t="shared" si="733"/>
        <v>2058</v>
      </c>
      <c r="C3077" s="33" t="s">
        <v>42</v>
      </c>
      <c r="D3077" s="34" t="s">
        <v>1999</v>
      </c>
      <c r="E3077" s="35" t="str">
        <f t="shared" si="731"/>
        <v>PRBDP'!</v>
      </c>
      <c r="F3077" s="34" t="str">
        <f t="shared" si="732"/>
        <v>C:\Users\jaime.benazar\Quorum Business Solutions\Ecopetrol Prometeo - Documents\Planning Space Implementation\3. Analysis &amp; Design\Design\FC22\DRR Jaime\QUIFA-CAJÚA\Cajua\[CAJUA_CF_SEC_New_27-Feb-2024Rev3.xlsx]D-PRBDP'!</v>
      </c>
      <c r="G3077" s="32" t="s">
        <v>117</v>
      </c>
      <c r="H3077" s="33"/>
      <c r="I3077" s="33"/>
      <c r="J3077" s="37"/>
    </row>
    <row r="3078" spans="1:10" x14ac:dyDescent="0.25">
      <c r="A3078" s="32" t="s">
        <v>99</v>
      </c>
      <c r="B3078" s="32">
        <f t="shared" si="733"/>
        <v>2059</v>
      </c>
      <c r="C3078" s="33" t="s">
        <v>42</v>
      </c>
      <c r="D3078" s="34" t="s">
        <v>1999</v>
      </c>
      <c r="E3078" s="35" t="str">
        <f t="shared" si="731"/>
        <v>PRBDP'!</v>
      </c>
      <c r="F3078" s="34" t="str">
        <f t="shared" si="732"/>
        <v>C:\Users\jaime.benazar\Quorum Business Solutions\Ecopetrol Prometeo - Documents\Planning Space Implementation\3. Analysis &amp; Design\Design\FC22\DRR Jaime\QUIFA-CAJÚA\Cajua\[CAJUA_CF_SEC_New_27-Feb-2024Rev3.xlsx]D-PRBDP'!</v>
      </c>
      <c r="G3078" s="32" t="s">
        <v>117</v>
      </c>
      <c r="H3078" s="33"/>
      <c r="I3078" s="33"/>
      <c r="J3078" s="37"/>
    </row>
    <row r="3079" spans="1:10" x14ac:dyDescent="0.25">
      <c r="A3079" s="32" t="s">
        <v>28</v>
      </c>
      <c r="B3079" s="32"/>
      <c r="C3079" s="33" t="s">
        <v>42</v>
      </c>
      <c r="D3079" s="34"/>
      <c r="E3079" s="35"/>
      <c r="F3079" s="34"/>
      <c r="G3079" s="32"/>
      <c r="H3079" s="33"/>
      <c r="I3079" s="33"/>
      <c r="J3079" s="33"/>
    </row>
    <row r="3080" spans="1:10" x14ac:dyDescent="0.25">
      <c r="A3080" s="32" t="s">
        <v>100</v>
      </c>
      <c r="B3080" s="32">
        <v>2023</v>
      </c>
      <c r="C3080" s="33" t="s">
        <v>42</v>
      </c>
      <c r="D3080" s="34" t="s">
        <v>1999</v>
      </c>
      <c r="E3080" s="35" t="str">
        <f t="shared" ref="E3080:E3100" si="734">_xlfn.CONCAT(A3080,"'!")</f>
        <v>PRBNP'!</v>
      </c>
      <c r="F3080" s="34" t="str">
        <f t="shared" ref="F3080:F3100" si="735">_xlfn.CONCAT(D3080:E3080)</f>
        <v>C:\Users\jaime.benazar\Quorum Business Solutions\Ecopetrol Prometeo - Documents\Planning Space Implementation\3. Analysis &amp; Design\Design\FC22\DRR Jaime\QUIFA-CAJÚA\Cajua\[CAJUA_CF_SEC_New_27-Feb-2024Rev3.xlsx]D-PRBNP'!</v>
      </c>
      <c r="G3080" s="32" t="s">
        <v>117</v>
      </c>
      <c r="H3080" s="33"/>
      <c r="I3080" s="33"/>
      <c r="J3080" s="37"/>
    </row>
    <row r="3081" spans="1:10" x14ac:dyDescent="0.25">
      <c r="A3081" s="32" t="s">
        <v>100</v>
      </c>
      <c r="B3081" s="32">
        <f>+B3080+1</f>
        <v>2024</v>
      </c>
      <c r="C3081" s="33" t="s">
        <v>42</v>
      </c>
      <c r="D3081" s="34" t="s">
        <v>1999</v>
      </c>
      <c r="E3081" s="35" t="str">
        <f t="shared" si="734"/>
        <v>PRBNP'!</v>
      </c>
      <c r="F3081" s="34" t="str">
        <f t="shared" si="735"/>
        <v>C:\Users\jaime.benazar\Quorum Business Solutions\Ecopetrol Prometeo - Documents\Planning Space Implementation\3. Analysis &amp; Design\Design\FC22\DRR Jaime\QUIFA-CAJÚA\Cajua\[CAJUA_CF_SEC_New_27-Feb-2024Rev3.xlsx]D-PRBNP'!</v>
      </c>
      <c r="G3081" s="32" t="s">
        <v>117</v>
      </c>
      <c r="H3081" s="33"/>
      <c r="I3081" s="33"/>
      <c r="J3081" s="37"/>
    </row>
    <row r="3082" spans="1:10" x14ac:dyDescent="0.25">
      <c r="A3082" s="32" t="s">
        <v>100</v>
      </c>
      <c r="B3082" s="32">
        <f t="shared" ref="B3082:B3093" si="736">+B3081+1</f>
        <v>2025</v>
      </c>
      <c r="C3082" s="33" t="s">
        <v>42</v>
      </c>
      <c r="D3082" s="34" t="s">
        <v>1999</v>
      </c>
      <c r="E3082" s="35" t="str">
        <f t="shared" si="734"/>
        <v>PRBNP'!</v>
      </c>
      <c r="F3082" s="34" t="str">
        <f t="shared" si="735"/>
        <v>C:\Users\jaime.benazar\Quorum Business Solutions\Ecopetrol Prometeo - Documents\Planning Space Implementation\3. Analysis &amp; Design\Design\FC22\DRR Jaime\QUIFA-CAJÚA\Cajua\[CAJUA_CF_SEC_New_27-Feb-2024Rev3.xlsx]D-PRBNP'!</v>
      </c>
      <c r="G3082" s="32" t="s">
        <v>117</v>
      </c>
      <c r="H3082" s="33"/>
      <c r="I3082" s="33"/>
      <c r="J3082" s="37"/>
    </row>
    <row r="3083" spans="1:10" x14ac:dyDescent="0.25">
      <c r="A3083" s="32" t="s">
        <v>100</v>
      </c>
      <c r="B3083" s="32">
        <f t="shared" si="736"/>
        <v>2026</v>
      </c>
      <c r="C3083" s="33" t="s">
        <v>42</v>
      </c>
      <c r="D3083" s="34" t="s">
        <v>1999</v>
      </c>
      <c r="E3083" s="35" t="str">
        <f t="shared" si="734"/>
        <v>PRBNP'!</v>
      </c>
      <c r="F3083" s="34" t="str">
        <f t="shared" si="735"/>
        <v>C:\Users\jaime.benazar\Quorum Business Solutions\Ecopetrol Prometeo - Documents\Planning Space Implementation\3. Analysis &amp; Design\Design\FC22\DRR Jaime\QUIFA-CAJÚA\Cajua\[CAJUA_CF_SEC_New_27-Feb-2024Rev3.xlsx]D-PRBNP'!</v>
      </c>
      <c r="G3083" s="32" t="s">
        <v>117</v>
      </c>
      <c r="H3083" s="33"/>
      <c r="I3083" s="33"/>
      <c r="J3083" s="37"/>
    </row>
    <row r="3084" spans="1:10" x14ac:dyDescent="0.25">
      <c r="A3084" s="32" t="s">
        <v>100</v>
      </c>
      <c r="B3084" s="32">
        <f t="shared" si="736"/>
        <v>2027</v>
      </c>
      <c r="C3084" s="33" t="s">
        <v>42</v>
      </c>
      <c r="D3084" s="34" t="s">
        <v>1999</v>
      </c>
      <c r="E3084" s="35" t="str">
        <f t="shared" si="734"/>
        <v>PRBNP'!</v>
      </c>
      <c r="F3084" s="34" t="str">
        <f t="shared" si="735"/>
        <v>C:\Users\jaime.benazar\Quorum Business Solutions\Ecopetrol Prometeo - Documents\Planning Space Implementation\3. Analysis &amp; Design\Design\FC22\DRR Jaime\QUIFA-CAJÚA\Cajua\[CAJUA_CF_SEC_New_27-Feb-2024Rev3.xlsx]D-PRBNP'!</v>
      </c>
      <c r="G3084" s="32" t="s">
        <v>117</v>
      </c>
      <c r="H3084" s="33"/>
      <c r="I3084" s="33"/>
      <c r="J3084" s="37"/>
    </row>
    <row r="3085" spans="1:10" x14ac:dyDescent="0.25">
      <c r="A3085" s="32" t="s">
        <v>100</v>
      </c>
      <c r="B3085" s="32">
        <f t="shared" si="736"/>
        <v>2028</v>
      </c>
      <c r="C3085" s="33" t="s">
        <v>42</v>
      </c>
      <c r="D3085" s="34" t="s">
        <v>1999</v>
      </c>
      <c r="E3085" s="35" t="str">
        <f t="shared" si="734"/>
        <v>PRBNP'!</v>
      </c>
      <c r="F3085" s="34" t="str">
        <f t="shared" si="735"/>
        <v>C:\Users\jaime.benazar\Quorum Business Solutions\Ecopetrol Prometeo - Documents\Planning Space Implementation\3. Analysis &amp; Design\Design\FC22\DRR Jaime\QUIFA-CAJÚA\Cajua\[CAJUA_CF_SEC_New_27-Feb-2024Rev3.xlsx]D-PRBNP'!</v>
      </c>
      <c r="G3085" s="32" t="s">
        <v>117</v>
      </c>
      <c r="H3085" s="33"/>
      <c r="I3085" s="33"/>
      <c r="J3085" s="37"/>
    </row>
    <row r="3086" spans="1:10" x14ac:dyDescent="0.25">
      <c r="A3086" s="32" t="s">
        <v>100</v>
      </c>
      <c r="B3086" s="32">
        <f t="shared" si="736"/>
        <v>2029</v>
      </c>
      <c r="C3086" s="33" t="s">
        <v>42</v>
      </c>
      <c r="D3086" s="34" t="s">
        <v>1999</v>
      </c>
      <c r="E3086" s="35" t="str">
        <f t="shared" si="734"/>
        <v>PRBNP'!</v>
      </c>
      <c r="F3086" s="34" t="str">
        <f t="shared" si="735"/>
        <v>C:\Users\jaime.benazar\Quorum Business Solutions\Ecopetrol Prometeo - Documents\Planning Space Implementation\3. Analysis &amp; Design\Design\FC22\DRR Jaime\QUIFA-CAJÚA\Cajua\[CAJUA_CF_SEC_New_27-Feb-2024Rev3.xlsx]D-PRBNP'!</v>
      </c>
      <c r="G3086" s="32" t="s">
        <v>117</v>
      </c>
      <c r="H3086" s="33"/>
      <c r="I3086" s="33"/>
      <c r="J3086" s="37"/>
    </row>
    <row r="3087" spans="1:10" x14ac:dyDescent="0.25">
      <c r="A3087" s="32" t="s">
        <v>100</v>
      </c>
      <c r="B3087" s="32">
        <f t="shared" si="736"/>
        <v>2030</v>
      </c>
      <c r="C3087" s="33" t="s">
        <v>42</v>
      </c>
      <c r="D3087" s="34" t="s">
        <v>1999</v>
      </c>
      <c r="E3087" s="35" t="str">
        <f t="shared" si="734"/>
        <v>PRBNP'!</v>
      </c>
      <c r="F3087" s="34" t="str">
        <f t="shared" si="735"/>
        <v>C:\Users\jaime.benazar\Quorum Business Solutions\Ecopetrol Prometeo - Documents\Planning Space Implementation\3. Analysis &amp; Design\Design\FC22\DRR Jaime\QUIFA-CAJÚA\Cajua\[CAJUA_CF_SEC_New_27-Feb-2024Rev3.xlsx]D-PRBNP'!</v>
      </c>
      <c r="G3087" s="32" t="s">
        <v>117</v>
      </c>
      <c r="H3087" s="33"/>
      <c r="I3087" s="33"/>
      <c r="J3087" s="37"/>
    </row>
    <row r="3088" spans="1:10" x14ac:dyDescent="0.25">
      <c r="A3088" s="32" t="s">
        <v>100</v>
      </c>
      <c r="B3088" s="32">
        <f t="shared" si="736"/>
        <v>2031</v>
      </c>
      <c r="C3088" s="33" t="s">
        <v>42</v>
      </c>
      <c r="D3088" s="34" t="s">
        <v>1999</v>
      </c>
      <c r="E3088" s="35" t="str">
        <f t="shared" si="734"/>
        <v>PRBNP'!</v>
      </c>
      <c r="F3088" s="34" t="str">
        <f t="shared" si="735"/>
        <v>C:\Users\jaime.benazar\Quorum Business Solutions\Ecopetrol Prometeo - Documents\Planning Space Implementation\3. Analysis &amp; Design\Design\FC22\DRR Jaime\QUIFA-CAJÚA\Cajua\[CAJUA_CF_SEC_New_27-Feb-2024Rev3.xlsx]D-PRBNP'!</v>
      </c>
      <c r="G3088" s="32" t="s">
        <v>117</v>
      </c>
      <c r="H3088" s="33"/>
      <c r="I3088" s="33"/>
      <c r="J3088" s="37"/>
    </row>
    <row r="3089" spans="1:10" x14ac:dyDescent="0.25">
      <c r="A3089" s="32" t="s">
        <v>100</v>
      </c>
      <c r="B3089" s="32">
        <f t="shared" si="736"/>
        <v>2032</v>
      </c>
      <c r="C3089" s="33" t="s">
        <v>42</v>
      </c>
      <c r="D3089" s="34" t="s">
        <v>1999</v>
      </c>
      <c r="E3089" s="35" t="str">
        <f t="shared" si="734"/>
        <v>PRBNP'!</v>
      </c>
      <c r="F3089" s="34" t="str">
        <f t="shared" si="735"/>
        <v>C:\Users\jaime.benazar\Quorum Business Solutions\Ecopetrol Prometeo - Documents\Planning Space Implementation\3. Analysis &amp; Design\Design\FC22\DRR Jaime\QUIFA-CAJÚA\Cajua\[CAJUA_CF_SEC_New_27-Feb-2024Rev3.xlsx]D-PRBNP'!</v>
      </c>
      <c r="G3089" s="32" t="s">
        <v>117</v>
      </c>
      <c r="H3089" s="33"/>
      <c r="I3089" s="33"/>
      <c r="J3089" s="37"/>
    </row>
    <row r="3090" spans="1:10" x14ac:dyDescent="0.25">
      <c r="A3090" s="32" t="s">
        <v>100</v>
      </c>
      <c r="B3090" s="32">
        <f t="shared" si="736"/>
        <v>2033</v>
      </c>
      <c r="C3090" s="33" t="s">
        <v>42</v>
      </c>
      <c r="D3090" s="34" t="s">
        <v>1999</v>
      </c>
      <c r="E3090" s="35" t="str">
        <f t="shared" si="734"/>
        <v>PRBNP'!</v>
      </c>
      <c r="F3090" s="34" t="str">
        <f t="shared" si="735"/>
        <v>C:\Users\jaime.benazar\Quorum Business Solutions\Ecopetrol Prometeo - Documents\Planning Space Implementation\3. Analysis &amp; Design\Design\FC22\DRR Jaime\QUIFA-CAJÚA\Cajua\[CAJUA_CF_SEC_New_27-Feb-2024Rev3.xlsx]D-PRBNP'!</v>
      </c>
      <c r="G3090" s="32" t="s">
        <v>117</v>
      </c>
      <c r="H3090" s="33"/>
      <c r="I3090" s="33"/>
      <c r="J3090" s="37"/>
    </row>
    <row r="3091" spans="1:10" x14ac:dyDescent="0.25">
      <c r="A3091" s="32" t="s">
        <v>100</v>
      </c>
      <c r="B3091" s="32">
        <f t="shared" si="736"/>
        <v>2034</v>
      </c>
      <c r="C3091" s="33" t="s">
        <v>42</v>
      </c>
      <c r="D3091" s="34" t="s">
        <v>1999</v>
      </c>
      <c r="E3091" s="35" t="str">
        <f t="shared" si="734"/>
        <v>PRBNP'!</v>
      </c>
      <c r="F3091" s="34" t="str">
        <f t="shared" si="735"/>
        <v>C:\Users\jaime.benazar\Quorum Business Solutions\Ecopetrol Prometeo - Documents\Planning Space Implementation\3. Analysis &amp; Design\Design\FC22\DRR Jaime\QUIFA-CAJÚA\Cajua\[CAJUA_CF_SEC_New_27-Feb-2024Rev3.xlsx]D-PRBNP'!</v>
      </c>
      <c r="G3091" s="32" t="s">
        <v>117</v>
      </c>
      <c r="H3091" s="33"/>
      <c r="I3091" s="33"/>
      <c r="J3091" s="37"/>
    </row>
    <row r="3092" spans="1:10" x14ac:dyDescent="0.25">
      <c r="A3092" s="32" t="s">
        <v>100</v>
      </c>
      <c r="B3092" s="32">
        <f t="shared" si="736"/>
        <v>2035</v>
      </c>
      <c r="C3092" s="33" t="s">
        <v>42</v>
      </c>
      <c r="D3092" s="34" t="s">
        <v>1999</v>
      </c>
      <c r="E3092" s="35" t="str">
        <f t="shared" si="734"/>
        <v>PRBNP'!</v>
      </c>
      <c r="F3092" s="34" t="str">
        <f t="shared" si="735"/>
        <v>C:\Users\jaime.benazar\Quorum Business Solutions\Ecopetrol Prometeo - Documents\Planning Space Implementation\3. Analysis &amp; Design\Design\FC22\DRR Jaime\QUIFA-CAJÚA\Cajua\[CAJUA_CF_SEC_New_27-Feb-2024Rev3.xlsx]D-PRBNP'!</v>
      </c>
      <c r="G3092" s="32" t="s">
        <v>117</v>
      </c>
      <c r="H3092" s="33"/>
      <c r="I3092" s="33"/>
      <c r="J3092" s="37"/>
    </row>
    <row r="3093" spans="1:10" x14ac:dyDescent="0.25">
      <c r="A3093" s="32" t="s">
        <v>100</v>
      </c>
      <c r="B3093" s="32">
        <f t="shared" si="736"/>
        <v>2036</v>
      </c>
      <c r="C3093" s="33" t="s">
        <v>42</v>
      </c>
      <c r="D3093" s="34" t="s">
        <v>1999</v>
      </c>
      <c r="E3093" s="35" t="str">
        <f t="shared" si="734"/>
        <v>PRBNP'!</v>
      </c>
      <c r="F3093" s="34" t="str">
        <f t="shared" si="735"/>
        <v>C:\Users\jaime.benazar\Quorum Business Solutions\Ecopetrol Prometeo - Documents\Planning Space Implementation\3. Analysis &amp; Design\Design\FC22\DRR Jaime\QUIFA-CAJÚA\Cajua\[CAJUA_CF_SEC_New_27-Feb-2024Rev3.xlsx]D-PRBNP'!</v>
      </c>
      <c r="G3093" s="32" t="s">
        <v>117</v>
      </c>
      <c r="H3093" s="33"/>
      <c r="I3093" s="33"/>
      <c r="J3093" s="37"/>
    </row>
    <row r="3094" spans="1:10" x14ac:dyDescent="0.25">
      <c r="A3094" s="32" t="s">
        <v>100</v>
      </c>
      <c r="B3094" s="32">
        <f>+B3093+1</f>
        <v>2037</v>
      </c>
      <c r="C3094" s="33" t="s">
        <v>42</v>
      </c>
      <c r="D3094" s="34" t="s">
        <v>1999</v>
      </c>
      <c r="E3094" s="35" t="str">
        <f t="shared" si="734"/>
        <v>PRBNP'!</v>
      </c>
      <c r="F3094" s="34" t="str">
        <f t="shared" si="735"/>
        <v>C:\Users\jaime.benazar\Quorum Business Solutions\Ecopetrol Prometeo - Documents\Planning Space Implementation\3. Analysis &amp; Design\Design\FC22\DRR Jaime\QUIFA-CAJÚA\Cajua\[CAJUA_CF_SEC_New_27-Feb-2024Rev3.xlsx]D-PRBNP'!</v>
      </c>
      <c r="G3094" s="32" t="s">
        <v>117</v>
      </c>
      <c r="H3094" s="33"/>
      <c r="I3094" s="33"/>
      <c r="J3094" s="37"/>
    </row>
    <row r="3095" spans="1:10" x14ac:dyDescent="0.25">
      <c r="A3095" s="32" t="s">
        <v>100</v>
      </c>
      <c r="B3095" s="32">
        <f t="shared" ref="B3095:B3097" si="737">+B3094+1</f>
        <v>2038</v>
      </c>
      <c r="C3095" s="33" t="s">
        <v>42</v>
      </c>
      <c r="D3095" s="34" t="s">
        <v>1999</v>
      </c>
      <c r="E3095" s="35" t="str">
        <f t="shared" si="734"/>
        <v>PRBNP'!</v>
      </c>
      <c r="F3095" s="34" t="str">
        <f t="shared" si="735"/>
        <v>C:\Users\jaime.benazar\Quorum Business Solutions\Ecopetrol Prometeo - Documents\Planning Space Implementation\3. Analysis &amp; Design\Design\FC22\DRR Jaime\QUIFA-CAJÚA\Cajua\[CAJUA_CF_SEC_New_27-Feb-2024Rev3.xlsx]D-PRBNP'!</v>
      </c>
      <c r="G3095" s="32" t="s">
        <v>117</v>
      </c>
      <c r="H3095" s="33"/>
      <c r="I3095" s="33"/>
      <c r="J3095" s="37"/>
    </row>
    <row r="3096" spans="1:10" x14ac:dyDescent="0.25">
      <c r="A3096" s="32" t="s">
        <v>100</v>
      </c>
      <c r="B3096" s="32">
        <f t="shared" si="737"/>
        <v>2039</v>
      </c>
      <c r="C3096" s="33" t="s">
        <v>42</v>
      </c>
      <c r="D3096" s="34" t="s">
        <v>1999</v>
      </c>
      <c r="E3096" s="35" t="str">
        <f t="shared" si="734"/>
        <v>PRBNP'!</v>
      </c>
      <c r="F3096" s="34" t="str">
        <f t="shared" si="735"/>
        <v>C:\Users\jaime.benazar\Quorum Business Solutions\Ecopetrol Prometeo - Documents\Planning Space Implementation\3. Analysis &amp; Design\Design\FC22\DRR Jaime\QUIFA-CAJÚA\Cajua\[CAJUA_CF_SEC_New_27-Feb-2024Rev3.xlsx]D-PRBNP'!</v>
      </c>
      <c r="G3096" s="32" t="s">
        <v>117</v>
      </c>
      <c r="H3096" s="33"/>
      <c r="I3096" s="33"/>
      <c r="J3096" s="37"/>
    </row>
    <row r="3097" spans="1:10" x14ac:dyDescent="0.25">
      <c r="A3097" s="32" t="s">
        <v>100</v>
      </c>
      <c r="B3097" s="32">
        <f t="shared" si="737"/>
        <v>2040</v>
      </c>
      <c r="C3097" s="33" t="s">
        <v>42</v>
      </c>
      <c r="D3097" s="34" t="s">
        <v>1999</v>
      </c>
      <c r="E3097" s="35" t="str">
        <f t="shared" si="734"/>
        <v>PRBNP'!</v>
      </c>
      <c r="F3097" s="34" t="str">
        <f t="shared" si="735"/>
        <v>C:\Users\jaime.benazar\Quorum Business Solutions\Ecopetrol Prometeo - Documents\Planning Space Implementation\3. Analysis &amp; Design\Design\FC22\DRR Jaime\QUIFA-CAJÚA\Cajua\[CAJUA_CF_SEC_New_27-Feb-2024Rev3.xlsx]D-PRBNP'!</v>
      </c>
      <c r="G3097" s="32" t="s">
        <v>117</v>
      </c>
      <c r="H3097" s="33"/>
      <c r="I3097" s="33"/>
      <c r="J3097" s="37"/>
    </row>
    <row r="3098" spans="1:10" x14ac:dyDescent="0.25">
      <c r="A3098" s="32" t="s">
        <v>100</v>
      </c>
      <c r="B3098" s="32">
        <f>+B3097+1</f>
        <v>2041</v>
      </c>
      <c r="C3098" s="33" t="s">
        <v>42</v>
      </c>
      <c r="D3098" s="34" t="s">
        <v>1999</v>
      </c>
      <c r="E3098" s="35" t="str">
        <f t="shared" si="734"/>
        <v>PRBNP'!</v>
      </c>
      <c r="F3098" s="34" t="str">
        <f t="shared" si="735"/>
        <v>C:\Users\jaime.benazar\Quorum Business Solutions\Ecopetrol Prometeo - Documents\Planning Space Implementation\3. Analysis &amp; Design\Design\FC22\DRR Jaime\QUIFA-CAJÚA\Cajua\[CAJUA_CF_SEC_New_27-Feb-2024Rev3.xlsx]D-PRBNP'!</v>
      </c>
      <c r="G3098" s="32" t="s">
        <v>117</v>
      </c>
      <c r="H3098" s="33"/>
      <c r="I3098" s="33"/>
      <c r="J3098" s="37"/>
    </row>
    <row r="3099" spans="1:10" x14ac:dyDescent="0.25">
      <c r="A3099" s="32" t="s">
        <v>100</v>
      </c>
      <c r="B3099" s="32">
        <f t="shared" ref="B3099:B3100" si="738">+B3098+1</f>
        <v>2042</v>
      </c>
      <c r="C3099" s="33" t="s">
        <v>42</v>
      </c>
      <c r="D3099" s="34" t="s">
        <v>1999</v>
      </c>
      <c r="E3099" s="35" t="str">
        <f t="shared" si="734"/>
        <v>PRBNP'!</v>
      </c>
      <c r="F3099" s="34" t="str">
        <f t="shared" si="735"/>
        <v>C:\Users\jaime.benazar\Quorum Business Solutions\Ecopetrol Prometeo - Documents\Planning Space Implementation\3. Analysis &amp; Design\Design\FC22\DRR Jaime\QUIFA-CAJÚA\Cajua\[CAJUA_CF_SEC_New_27-Feb-2024Rev3.xlsx]D-PRBNP'!</v>
      </c>
      <c r="G3099" s="32" t="s">
        <v>117</v>
      </c>
      <c r="H3099" s="33"/>
      <c r="I3099" s="33"/>
      <c r="J3099" s="37"/>
    </row>
    <row r="3100" spans="1:10" x14ac:dyDescent="0.25">
      <c r="A3100" s="32" t="s">
        <v>100</v>
      </c>
      <c r="B3100" s="32">
        <f t="shared" si="738"/>
        <v>2043</v>
      </c>
      <c r="C3100" s="33" t="s">
        <v>42</v>
      </c>
      <c r="D3100" s="34" t="s">
        <v>1999</v>
      </c>
      <c r="E3100" s="35" t="str">
        <f t="shared" si="734"/>
        <v>PRBNP'!</v>
      </c>
      <c r="F3100" s="34" t="str">
        <f t="shared" si="735"/>
        <v>C:\Users\jaime.benazar\Quorum Business Solutions\Ecopetrol Prometeo - Documents\Planning Space Implementation\3. Analysis &amp; Design\Design\FC22\DRR Jaime\QUIFA-CAJÚA\Cajua\[CAJUA_CF_SEC_New_27-Feb-2024Rev3.xlsx]D-PRBNP'!</v>
      </c>
      <c r="G3100" s="32" t="s">
        <v>117</v>
      </c>
      <c r="H3100" s="33"/>
      <c r="I3100" s="33"/>
      <c r="J3100" s="37"/>
    </row>
    <row r="3101" spans="1:10" x14ac:dyDescent="0.25">
      <c r="A3101" s="32" t="s">
        <v>100</v>
      </c>
      <c r="B3101" s="32">
        <f>+B3100+1</f>
        <v>2044</v>
      </c>
      <c r="C3101" s="33" t="s">
        <v>42</v>
      </c>
      <c r="D3101" s="34" t="s">
        <v>1999</v>
      </c>
      <c r="E3101" s="35" t="str">
        <f t="shared" ref="E3101:E3116" si="739">_xlfn.CONCAT(A3101,"'!")</f>
        <v>PRBNP'!</v>
      </c>
      <c r="F3101" s="34" t="str">
        <f t="shared" ref="F3101:F3116" si="740">_xlfn.CONCAT(D3101:E3101)</f>
        <v>C:\Users\jaime.benazar\Quorum Business Solutions\Ecopetrol Prometeo - Documents\Planning Space Implementation\3. Analysis &amp; Design\Design\FC22\DRR Jaime\QUIFA-CAJÚA\Cajua\[CAJUA_CF_SEC_New_27-Feb-2024Rev3.xlsx]D-PRBNP'!</v>
      </c>
      <c r="G3101" s="32" t="s">
        <v>117</v>
      </c>
      <c r="H3101" s="33"/>
      <c r="I3101" s="33"/>
      <c r="J3101" s="37"/>
    </row>
    <row r="3102" spans="1:10" x14ac:dyDescent="0.25">
      <c r="A3102" s="32" t="s">
        <v>100</v>
      </c>
      <c r="B3102" s="32">
        <f t="shared" ref="B3102:B3116" si="741">+B3101+1</f>
        <v>2045</v>
      </c>
      <c r="C3102" s="33" t="s">
        <v>42</v>
      </c>
      <c r="D3102" s="34" t="s">
        <v>1999</v>
      </c>
      <c r="E3102" s="35" t="str">
        <f t="shared" si="739"/>
        <v>PRBNP'!</v>
      </c>
      <c r="F3102" s="34" t="str">
        <f t="shared" si="740"/>
        <v>C:\Users\jaime.benazar\Quorum Business Solutions\Ecopetrol Prometeo - Documents\Planning Space Implementation\3. Analysis &amp; Design\Design\FC22\DRR Jaime\QUIFA-CAJÚA\Cajua\[CAJUA_CF_SEC_New_27-Feb-2024Rev3.xlsx]D-PRBNP'!</v>
      </c>
      <c r="G3102" s="32" t="s">
        <v>117</v>
      </c>
      <c r="H3102" s="33"/>
      <c r="I3102" s="33"/>
      <c r="J3102" s="37"/>
    </row>
    <row r="3103" spans="1:10" x14ac:dyDescent="0.25">
      <c r="A3103" s="32" t="s">
        <v>100</v>
      </c>
      <c r="B3103" s="32">
        <f t="shared" si="741"/>
        <v>2046</v>
      </c>
      <c r="C3103" s="33" t="s">
        <v>42</v>
      </c>
      <c r="D3103" s="34" t="s">
        <v>1999</v>
      </c>
      <c r="E3103" s="35" t="str">
        <f t="shared" si="739"/>
        <v>PRBNP'!</v>
      </c>
      <c r="F3103" s="34" t="str">
        <f t="shared" si="740"/>
        <v>C:\Users\jaime.benazar\Quorum Business Solutions\Ecopetrol Prometeo - Documents\Planning Space Implementation\3. Analysis &amp; Design\Design\FC22\DRR Jaime\QUIFA-CAJÚA\Cajua\[CAJUA_CF_SEC_New_27-Feb-2024Rev3.xlsx]D-PRBNP'!</v>
      </c>
      <c r="G3103" s="32" t="s">
        <v>117</v>
      </c>
      <c r="H3103" s="33"/>
      <c r="I3103" s="33"/>
      <c r="J3103" s="37"/>
    </row>
    <row r="3104" spans="1:10" x14ac:dyDescent="0.25">
      <c r="A3104" s="32" t="s">
        <v>100</v>
      </c>
      <c r="B3104" s="32">
        <f t="shared" si="741"/>
        <v>2047</v>
      </c>
      <c r="C3104" s="33" t="s">
        <v>42</v>
      </c>
      <c r="D3104" s="34" t="s">
        <v>1999</v>
      </c>
      <c r="E3104" s="35" t="str">
        <f t="shared" si="739"/>
        <v>PRBNP'!</v>
      </c>
      <c r="F3104" s="34" t="str">
        <f t="shared" si="740"/>
        <v>C:\Users\jaime.benazar\Quorum Business Solutions\Ecopetrol Prometeo - Documents\Planning Space Implementation\3. Analysis &amp; Design\Design\FC22\DRR Jaime\QUIFA-CAJÚA\Cajua\[CAJUA_CF_SEC_New_27-Feb-2024Rev3.xlsx]D-PRBNP'!</v>
      </c>
      <c r="G3104" s="32" t="s">
        <v>117</v>
      </c>
      <c r="H3104" s="33"/>
      <c r="I3104" s="33"/>
      <c r="J3104" s="37"/>
    </row>
    <row r="3105" spans="1:10" x14ac:dyDescent="0.25">
      <c r="A3105" s="32" t="s">
        <v>100</v>
      </c>
      <c r="B3105" s="32">
        <f t="shared" si="741"/>
        <v>2048</v>
      </c>
      <c r="C3105" s="33" t="s">
        <v>42</v>
      </c>
      <c r="D3105" s="34" t="s">
        <v>1999</v>
      </c>
      <c r="E3105" s="35" t="str">
        <f t="shared" si="739"/>
        <v>PRBNP'!</v>
      </c>
      <c r="F3105" s="34" t="str">
        <f t="shared" si="740"/>
        <v>C:\Users\jaime.benazar\Quorum Business Solutions\Ecopetrol Prometeo - Documents\Planning Space Implementation\3. Analysis &amp; Design\Design\FC22\DRR Jaime\QUIFA-CAJÚA\Cajua\[CAJUA_CF_SEC_New_27-Feb-2024Rev3.xlsx]D-PRBNP'!</v>
      </c>
      <c r="G3105" s="32" t="s">
        <v>117</v>
      </c>
      <c r="H3105" s="33"/>
      <c r="I3105" s="33"/>
      <c r="J3105" s="37"/>
    </row>
    <row r="3106" spans="1:10" x14ac:dyDescent="0.25">
      <c r="A3106" s="32" t="s">
        <v>100</v>
      </c>
      <c r="B3106" s="32">
        <f t="shared" si="741"/>
        <v>2049</v>
      </c>
      <c r="C3106" s="33" t="s">
        <v>42</v>
      </c>
      <c r="D3106" s="34" t="s">
        <v>1999</v>
      </c>
      <c r="E3106" s="35" t="str">
        <f t="shared" si="739"/>
        <v>PRBNP'!</v>
      </c>
      <c r="F3106" s="34" t="str">
        <f t="shared" si="740"/>
        <v>C:\Users\jaime.benazar\Quorum Business Solutions\Ecopetrol Prometeo - Documents\Planning Space Implementation\3. Analysis &amp; Design\Design\FC22\DRR Jaime\QUIFA-CAJÚA\Cajua\[CAJUA_CF_SEC_New_27-Feb-2024Rev3.xlsx]D-PRBNP'!</v>
      </c>
      <c r="G3106" s="32" t="s">
        <v>117</v>
      </c>
      <c r="H3106" s="33"/>
      <c r="I3106" s="33"/>
      <c r="J3106" s="37"/>
    </row>
    <row r="3107" spans="1:10" x14ac:dyDescent="0.25">
      <c r="A3107" s="32" t="s">
        <v>100</v>
      </c>
      <c r="B3107" s="32">
        <f t="shared" si="741"/>
        <v>2050</v>
      </c>
      <c r="C3107" s="33" t="s">
        <v>42</v>
      </c>
      <c r="D3107" s="34" t="s">
        <v>1999</v>
      </c>
      <c r="E3107" s="35" t="str">
        <f t="shared" si="739"/>
        <v>PRBNP'!</v>
      </c>
      <c r="F3107" s="34" t="str">
        <f t="shared" si="740"/>
        <v>C:\Users\jaime.benazar\Quorum Business Solutions\Ecopetrol Prometeo - Documents\Planning Space Implementation\3. Analysis &amp; Design\Design\FC22\DRR Jaime\QUIFA-CAJÚA\Cajua\[CAJUA_CF_SEC_New_27-Feb-2024Rev3.xlsx]D-PRBNP'!</v>
      </c>
      <c r="G3107" s="32" t="s">
        <v>117</v>
      </c>
      <c r="H3107" s="33"/>
      <c r="I3107" s="33"/>
      <c r="J3107" s="37"/>
    </row>
    <row r="3108" spans="1:10" x14ac:dyDescent="0.25">
      <c r="A3108" s="32" t="s">
        <v>100</v>
      </c>
      <c r="B3108" s="32">
        <f t="shared" si="741"/>
        <v>2051</v>
      </c>
      <c r="C3108" s="33" t="s">
        <v>42</v>
      </c>
      <c r="D3108" s="34" t="s">
        <v>1999</v>
      </c>
      <c r="E3108" s="35" t="str">
        <f t="shared" si="739"/>
        <v>PRBNP'!</v>
      </c>
      <c r="F3108" s="34" t="str">
        <f t="shared" si="740"/>
        <v>C:\Users\jaime.benazar\Quorum Business Solutions\Ecopetrol Prometeo - Documents\Planning Space Implementation\3. Analysis &amp; Design\Design\FC22\DRR Jaime\QUIFA-CAJÚA\Cajua\[CAJUA_CF_SEC_New_27-Feb-2024Rev3.xlsx]D-PRBNP'!</v>
      </c>
      <c r="G3108" s="32" t="s">
        <v>117</v>
      </c>
      <c r="H3108" s="33"/>
      <c r="I3108" s="33"/>
      <c r="J3108" s="37"/>
    </row>
    <row r="3109" spans="1:10" x14ac:dyDescent="0.25">
      <c r="A3109" s="32" t="s">
        <v>100</v>
      </c>
      <c r="B3109" s="32">
        <f t="shared" si="741"/>
        <v>2052</v>
      </c>
      <c r="C3109" s="33" t="s">
        <v>42</v>
      </c>
      <c r="D3109" s="34" t="s">
        <v>1999</v>
      </c>
      <c r="E3109" s="35" t="str">
        <f t="shared" si="739"/>
        <v>PRBNP'!</v>
      </c>
      <c r="F3109" s="34" t="str">
        <f t="shared" si="740"/>
        <v>C:\Users\jaime.benazar\Quorum Business Solutions\Ecopetrol Prometeo - Documents\Planning Space Implementation\3. Analysis &amp; Design\Design\FC22\DRR Jaime\QUIFA-CAJÚA\Cajua\[CAJUA_CF_SEC_New_27-Feb-2024Rev3.xlsx]D-PRBNP'!</v>
      </c>
      <c r="G3109" s="32" t="s">
        <v>117</v>
      </c>
      <c r="H3109" s="33"/>
      <c r="I3109" s="33"/>
      <c r="J3109" s="37"/>
    </row>
    <row r="3110" spans="1:10" x14ac:dyDescent="0.25">
      <c r="A3110" s="32" t="s">
        <v>100</v>
      </c>
      <c r="B3110" s="32">
        <f t="shared" si="741"/>
        <v>2053</v>
      </c>
      <c r="C3110" s="33" t="s">
        <v>42</v>
      </c>
      <c r="D3110" s="34" t="s">
        <v>1999</v>
      </c>
      <c r="E3110" s="35" t="str">
        <f t="shared" si="739"/>
        <v>PRBNP'!</v>
      </c>
      <c r="F3110" s="34" t="str">
        <f t="shared" si="740"/>
        <v>C:\Users\jaime.benazar\Quorum Business Solutions\Ecopetrol Prometeo - Documents\Planning Space Implementation\3. Analysis &amp; Design\Design\FC22\DRR Jaime\QUIFA-CAJÚA\Cajua\[CAJUA_CF_SEC_New_27-Feb-2024Rev3.xlsx]D-PRBNP'!</v>
      </c>
      <c r="G3110" s="32" t="s">
        <v>117</v>
      </c>
      <c r="H3110" s="33"/>
      <c r="I3110" s="33"/>
      <c r="J3110" s="37"/>
    </row>
    <row r="3111" spans="1:10" x14ac:dyDescent="0.25">
      <c r="A3111" s="32" t="s">
        <v>100</v>
      </c>
      <c r="B3111" s="32">
        <f t="shared" si="741"/>
        <v>2054</v>
      </c>
      <c r="C3111" s="33" t="s">
        <v>42</v>
      </c>
      <c r="D3111" s="34" t="s">
        <v>1999</v>
      </c>
      <c r="E3111" s="35" t="str">
        <f t="shared" si="739"/>
        <v>PRBNP'!</v>
      </c>
      <c r="F3111" s="34" t="str">
        <f t="shared" si="740"/>
        <v>C:\Users\jaime.benazar\Quorum Business Solutions\Ecopetrol Prometeo - Documents\Planning Space Implementation\3. Analysis &amp; Design\Design\FC22\DRR Jaime\QUIFA-CAJÚA\Cajua\[CAJUA_CF_SEC_New_27-Feb-2024Rev3.xlsx]D-PRBNP'!</v>
      </c>
      <c r="G3111" s="32" t="s">
        <v>117</v>
      </c>
      <c r="H3111" s="33"/>
      <c r="I3111" s="33"/>
      <c r="J3111" s="37"/>
    </row>
    <row r="3112" spans="1:10" x14ac:dyDescent="0.25">
      <c r="A3112" s="32" t="s">
        <v>100</v>
      </c>
      <c r="B3112" s="32">
        <f t="shared" si="741"/>
        <v>2055</v>
      </c>
      <c r="C3112" s="33" t="s">
        <v>42</v>
      </c>
      <c r="D3112" s="34" t="s">
        <v>1999</v>
      </c>
      <c r="E3112" s="35" t="str">
        <f t="shared" si="739"/>
        <v>PRBNP'!</v>
      </c>
      <c r="F3112" s="34" t="str">
        <f t="shared" si="740"/>
        <v>C:\Users\jaime.benazar\Quorum Business Solutions\Ecopetrol Prometeo - Documents\Planning Space Implementation\3. Analysis &amp; Design\Design\FC22\DRR Jaime\QUIFA-CAJÚA\Cajua\[CAJUA_CF_SEC_New_27-Feb-2024Rev3.xlsx]D-PRBNP'!</v>
      </c>
      <c r="G3112" s="32" t="s">
        <v>117</v>
      </c>
      <c r="H3112" s="33"/>
      <c r="I3112" s="33"/>
      <c r="J3112" s="37"/>
    </row>
    <row r="3113" spans="1:10" x14ac:dyDescent="0.25">
      <c r="A3113" s="32" t="s">
        <v>100</v>
      </c>
      <c r="B3113" s="32">
        <f t="shared" si="741"/>
        <v>2056</v>
      </c>
      <c r="C3113" s="33" t="s">
        <v>42</v>
      </c>
      <c r="D3113" s="34" t="s">
        <v>1999</v>
      </c>
      <c r="E3113" s="35" t="str">
        <f t="shared" si="739"/>
        <v>PRBNP'!</v>
      </c>
      <c r="F3113" s="34" t="str">
        <f t="shared" si="740"/>
        <v>C:\Users\jaime.benazar\Quorum Business Solutions\Ecopetrol Prometeo - Documents\Planning Space Implementation\3. Analysis &amp; Design\Design\FC22\DRR Jaime\QUIFA-CAJÚA\Cajua\[CAJUA_CF_SEC_New_27-Feb-2024Rev3.xlsx]D-PRBNP'!</v>
      </c>
      <c r="G3113" s="32" t="s">
        <v>117</v>
      </c>
      <c r="H3113" s="33"/>
      <c r="I3113" s="33"/>
      <c r="J3113" s="37"/>
    </row>
    <row r="3114" spans="1:10" x14ac:dyDescent="0.25">
      <c r="A3114" s="32" t="s">
        <v>100</v>
      </c>
      <c r="B3114" s="32">
        <f t="shared" si="741"/>
        <v>2057</v>
      </c>
      <c r="C3114" s="33" t="s">
        <v>42</v>
      </c>
      <c r="D3114" s="34" t="s">
        <v>1999</v>
      </c>
      <c r="E3114" s="35" t="str">
        <f t="shared" si="739"/>
        <v>PRBNP'!</v>
      </c>
      <c r="F3114" s="34" t="str">
        <f t="shared" si="740"/>
        <v>C:\Users\jaime.benazar\Quorum Business Solutions\Ecopetrol Prometeo - Documents\Planning Space Implementation\3. Analysis &amp; Design\Design\FC22\DRR Jaime\QUIFA-CAJÚA\Cajua\[CAJUA_CF_SEC_New_27-Feb-2024Rev3.xlsx]D-PRBNP'!</v>
      </c>
      <c r="G3114" s="32" t="s">
        <v>117</v>
      </c>
      <c r="H3114" s="33"/>
      <c r="I3114" s="33"/>
      <c r="J3114" s="37"/>
    </row>
    <row r="3115" spans="1:10" x14ac:dyDescent="0.25">
      <c r="A3115" s="32" t="s">
        <v>100</v>
      </c>
      <c r="B3115" s="32">
        <f t="shared" si="741"/>
        <v>2058</v>
      </c>
      <c r="C3115" s="33" t="s">
        <v>42</v>
      </c>
      <c r="D3115" s="34" t="s">
        <v>1999</v>
      </c>
      <c r="E3115" s="35" t="str">
        <f t="shared" si="739"/>
        <v>PRBNP'!</v>
      </c>
      <c r="F3115" s="34" t="str">
        <f t="shared" si="740"/>
        <v>C:\Users\jaime.benazar\Quorum Business Solutions\Ecopetrol Prometeo - Documents\Planning Space Implementation\3. Analysis &amp; Design\Design\FC22\DRR Jaime\QUIFA-CAJÚA\Cajua\[CAJUA_CF_SEC_New_27-Feb-2024Rev3.xlsx]D-PRBNP'!</v>
      </c>
      <c r="G3115" s="32" t="s">
        <v>117</v>
      </c>
      <c r="H3115" s="33"/>
      <c r="I3115" s="33"/>
      <c r="J3115" s="37"/>
    </row>
    <row r="3116" spans="1:10" x14ac:dyDescent="0.25">
      <c r="A3116" s="32" t="s">
        <v>100</v>
      </c>
      <c r="B3116" s="32">
        <f t="shared" si="741"/>
        <v>2059</v>
      </c>
      <c r="C3116" s="33" t="s">
        <v>42</v>
      </c>
      <c r="D3116" s="34" t="s">
        <v>1999</v>
      </c>
      <c r="E3116" s="35" t="str">
        <f t="shared" si="739"/>
        <v>PRBNP'!</v>
      </c>
      <c r="F3116" s="34" t="str">
        <f t="shared" si="740"/>
        <v>C:\Users\jaime.benazar\Quorum Business Solutions\Ecopetrol Prometeo - Documents\Planning Space Implementation\3. Analysis &amp; Design\Design\FC22\DRR Jaime\QUIFA-CAJÚA\Cajua\[CAJUA_CF_SEC_New_27-Feb-2024Rev3.xlsx]D-PRBNP'!</v>
      </c>
      <c r="G3116" s="32" t="s">
        <v>117</v>
      </c>
      <c r="H3116" s="33"/>
      <c r="I3116" s="33"/>
      <c r="J3116" s="37"/>
    </row>
    <row r="3117" spans="1:10" x14ac:dyDescent="0.25">
      <c r="A3117" s="32" t="s">
        <v>28</v>
      </c>
      <c r="B3117" s="32"/>
      <c r="C3117" s="33" t="s">
        <v>42</v>
      </c>
      <c r="D3117" s="34"/>
      <c r="E3117" s="35"/>
      <c r="F3117" s="34"/>
      <c r="G3117" s="32"/>
      <c r="H3117" s="33"/>
      <c r="I3117" s="33"/>
      <c r="J3117" s="33"/>
    </row>
    <row r="3118" spans="1:10" x14ac:dyDescent="0.25">
      <c r="A3118" s="32" t="s">
        <v>101</v>
      </c>
      <c r="B3118" s="32">
        <v>2023</v>
      </c>
      <c r="C3118" s="33" t="s">
        <v>42</v>
      </c>
      <c r="D3118" s="34" t="s">
        <v>1999</v>
      </c>
      <c r="E3118" s="35" t="str">
        <f t="shared" ref="E3118:E3138" si="742">_xlfn.CONCAT(A3118,"'!")</f>
        <v>PRBND'!</v>
      </c>
      <c r="F3118" s="34" t="str">
        <f t="shared" ref="F3118:F3138" si="743">_xlfn.CONCAT(D3118:E3118)</f>
        <v>C:\Users\jaime.benazar\Quorum Business Solutions\Ecopetrol Prometeo - Documents\Planning Space Implementation\3. Analysis &amp; Design\Design\FC22\DRR Jaime\QUIFA-CAJÚA\Cajua\[CAJUA_CF_SEC_New_27-Feb-2024Rev3.xlsx]D-PRBND'!</v>
      </c>
      <c r="G3118" s="32" t="s">
        <v>117</v>
      </c>
      <c r="H3118" s="33"/>
      <c r="I3118" s="33"/>
      <c r="J3118" s="37"/>
    </row>
    <row r="3119" spans="1:10" x14ac:dyDescent="0.25">
      <c r="A3119" s="32" t="s">
        <v>101</v>
      </c>
      <c r="B3119" s="32">
        <f>+B3118+1</f>
        <v>2024</v>
      </c>
      <c r="C3119" s="33" t="s">
        <v>42</v>
      </c>
      <c r="D3119" s="34" t="s">
        <v>1999</v>
      </c>
      <c r="E3119" s="35" t="str">
        <f t="shared" si="742"/>
        <v>PRBND'!</v>
      </c>
      <c r="F3119" s="34" t="str">
        <f t="shared" si="743"/>
        <v>C:\Users\jaime.benazar\Quorum Business Solutions\Ecopetrol Prometeo - Documents\Planning Space Implementation\3. Analysis &amp; Design\Design\FC22\DRR Jaime\QUIFA-CAJÚA\Cajua\[CAJUA_CF_SEC_New_27-Feb-2024Rev3.xlsx]D-PRBND'!</v>
      </c>
      <c r="G3119" s="32" t="s">
        <v>117</v>
      </c>
      <c r="H3119" s="33"/>
      <c r="I3119" s="33"/>
      <c r="J3119" s="37"/>
    </row>
    <row r="3120" spans="1:10" x14ac:dyDescent="0.25">
      <c r="A3120" s="32" t="s">
        <v>101</v>
      </c>
      <c r="B3120" s="32">
        <f t="shared" ref="B3120:B3131" si="744">+B3119+1</f>
        <v>2025</v>
      </c>
      <c r="C3120" s="33" t="s">
        <v>42</v>
      </c>
      <c r="D3120" s="34" t="s">
        <v>1999</v>
      </c>
      <c r="E3120" s="35" t="str">
        <f t="shared" si="742"/>
        <v>PRBND'!</v>
      </c>
      <c r="F3120" s="34" t="str">
        <f t="shared" si="743"/>
        <v>C:\Users\jaime.benazar\Quorum Business Solutions\Ecopetrol Prometeo - Documents\Planning Space Implementation\3. Analysis &amp; Design\Design\FC22\DRR Jaime\QUIFA-CAJÚA\Cajua\[CAJUA_CF_SEC_New_27-Feb-2024Rev3.xlsx]D-PRBND'!</v>
      </c>
      <c r="G3120" s="32" t="s">
        <v>117</v>
      </c>
      <c r="H3120" s="33"/>
      <c r="I3120" s="33"/>
      <c r="J3120" s="37"/>
    </row>
    <row r="3121" spans="1:10" x14ac:dyDescent="0.25">
      <c r="A3121" s="32" t="s">
        <v>101</v>
      </c>
      <c r="B3121" s="32">
        <f t="shared" si="744"/>
        <v>2026</v>
      </c>
      <c r="C3121" s="33" t="s">
        <v>42</v>
      </c>
      <c r="D3121" s="34" t="s">
        <v>1999</v>
      </c>
      <c r="E3121" s="35" t="str">
        <f t="shared" si="742"/>
        <v>PRBND'!</v>
      </c>
      <c r="F3121" s="34" t="str">
        <f t="shared" si="743"/>
        <v>C:\Users\jaime.benazar\Quorum Business Solutions\Ecopetrol Prometeo - Documents\Planning Space Implementation\3. Analysis &amp; Design\Design\FC22\DRR Jaime\QUIFA-CAJÚA\Cajua\[CAJUA_CF_SEC_New_27-Feb-2024Rev3.xlsx]D-PRBND'!</v>
      </c>
      <c r="G3121" s="32" t="s">
        <v>117</v>
      </c>
      <c r="H3121" s="33"/>
      <c r="I3121" s="33"/>
      <c r="J3121" s="37"/>
    </row>
    <row r="3122" spans="1:10" x14ac:dyDescent="0.25">
      <c r="A3122" s="32" t="s">
        <v>101</v>
      </c>
      <c r="B3122" s="32">
        <f t="shared" si="744"/>
        <v>2027</v>
      </c>
      <c r="C3122" s="33" t="s">
        <v>42</v>
      </c>
      <c r="D3122" s="34" t="s">
        <v>1999</v>
      </c>
      <c r="E3122" s="35" t="str">
        <f t="shared" si="742"/>
        <v>PRBND'!</v>
      </c>
      <c r="F3122" s="34" t="str">
        <f t="shared" si="743"/>
        <v>C:\Users\jaime.benazar\Quorum Business Solutions\Ecopetrol Prometeo - Documents\Planning Space Implementation\3. Analysis &amp; Design\Design\FC22\DRR Jaime\QUIFA-CAJÚA\Cajua\[CAJUA_CF_SEC_New_27-Feb-2024Rev3.xlsx]D-PRBND'!</v>
      </c>
      <c r="G3122" s="32" t="s">
        <v>117</v>
      </c>
      <c r="H3122" s="33"/>
      <c r="I3122" s="33"/>
      <c r="J3122" s="37"/>
    </row>
    <row r="3123" spans="1:10" x14ac:dyDescent="0.25">
      <c r="A3123" s="32" t="s">
        <v>101</v>
      </c>
      <c r="B3123" s="32">
        <f t="shared" si="744"/>
        <v>2028</v>
      </c>
      <c r="C3123" s="33" t="s">
        <v>42</v>
      </c>
      <c r="D3123" s="34" t="s">
        <v>1999</v>
      </c>
      <c r="E3123" s="35" t="str">
        <f t="shared" si="742"/>
        <v>PRBND'!</v>
      </c>
      <c r="F3123" s="34" t="str">
        <f t="shared" si="743"/>
        <v>C:\Users\jaime.benazar\Quorum Business Solutions\Ecopetrol Prometeo - Documents\Planning Space Implementation\3. Analysis &amp; Design\Design\FC22\DRR Jaime\QUIFA-CAJÚA\Cajua\[CAJUA_CF_SEC_New_27-Feb-2024Rev3.xlsx]D-PRBND'!</v>
      </c>
      <c r="G3123" s="32" t="s">
        <v>117</v>
      </c>
      <c r="H3123" s="33"/>
      <c r="I3123" s="33"/>
      <c r="J3123" s="37"/>
    </row>
    <row r="3124" spans="1:10" x14ac:dyDescent="0.25">
      <c r="A3124" s="32" t="s">
        <v>101</v>
      </c>
      <c r="B3124" s="32">
        <f t="shared" si="744"/>
        <v>2029</v>
      </c>
      <c r="C3124" s="33" t="s">
        <v>42</v>
      </c>
      <c r="D3124" s="34" t="s">
        <v>1999</v>
      </c>
      <c r="E3124" s="35" t="str">
        <f t="shared" si="742"/>
        <v>PRBND'!</v>
      </c>
      <c r="F3124" s="34" t="str">
        <f t="shared" si="743"/>
        <v>C:\Users\jaime.benazar\Quorum Business Solutions\Ecopetrol Prometeo - Documents\Planning Space Implementation\3. Analysis &amp; Design\Design\FC22\DRR Jaime\QUIFA-CAJÚA\Cajua\[CAJUA_CF_SEC_New_27-Feb-2024Rev3.xlsx]D-PRBND'!</v>
      </c>
      <c r="G3124" s="32" t="s">
        <v>117</v>
      </c>
      <c r="H3124" s="33"/>
      <c r="I3124" s="33"/>
      <c r="J3124" s="37"/>
    </row>
    <row r="3125" spans="1:10" x14ac:dyDescent="0.25">
      <c r="A3125" s="32" t="s">
        <v>101</v>
      </c>
      <c r="B3125" s="32">
        <f t="shared" si="744"/>
        <v>2030</v>
      </c>
      <c r="C3125" s="33" t="s">
        <v>42</v>
      </c>
      <c r="D3125" s="34" t="s">
        <v>1999</v>
      </c>
      <c r="E3125" s="35" t="str">
        <f t="shared" si="742"/>
        <v>PRBND'!</v>
      </c>
      <c r="F3125" s="34" t="str">
        <f t="shared" si="743"/>
        <v>C:\Users\jaime.benazar\Quorum Business Solutions\Ecopetrol Prometeo - Documents\Planning Space Implementation\3. Analysis &amp; Design\Design\FC22\DRR Jaime\QUIFA-CAJÚA\Cajua\[CAJUA_CF_SEC_New_27-Feb-2024Rev3.xlsx]D-PRBND'!</v>
      </c>
      <c r="G3125" s="32" t="s">
        <v>117</v>
      </c>
      <c r="H3125" s="33"/>
      <c r="I3125" s="33"/>
      <c r="J3125" s="37"/>
    </row>
    <row r="3126" spans="1:10" x14ac:dyDescent="0.25">
      <c r="A3126" s="32" t="s">
        <v>101</v>
      </c>
      <c r="B3126" s="32">
        <f t="shared" si="744"/>
        <v>2031</v>
      </c>
      <c r="C3126" s="33" t="s">
        <v>42</v>
      </c>
      <c r="D3126" s="34" t="s">
        <v>1999</v>
      </c>
      <c r="E3126" s="35" t="str">
        <f t="shared" si="742"/>
        <v>PRBND'!</v>
      </c>
      <c r="F3126" s="34" t="str">
        <f t="shared" si="743"/>
        <v>C:\Users\jaime.benazar\Quorum Business Solutions\Ecopetrol Prometeo - Documents\Planning Space Implementation\3. Analysis &amp; Design\Design\FC22\DRR Jaime\QUIFA-CAJÚA\Cajua\[CAJUA_CF_SEC_New_27-Feb-2024Rev3.xlsx]D-PRBND'!</v>
      </c>
      <c r="G3126" s="32" t="s">
        <v>117</v>
      </c>
      <c r="H3126" s="33"/>
      <c r="I3126" s="33"/>
      <c r="J3126" s="37"/>
    </row>
    <row r="3127" spans="1:10" x14ac:dyDescent="0.25">
      <c r="A3127" s="32" t="s">
        <v>101</v>
      </c>
      <c r="B3127" s="32">
        <f t="shared" si="744"/>
        <v>2032</v>
      </c>
      <c r="C3127" s="33" t="s">
        <v>42</v>
      </c>
      <c r="D3127" s="34" t="s">
        <v>1999</v>
      </c>
      <c r="E3127" s="35" t="str">
        <f t="shared" si="742"/>
        <v>PRBND'!</v>
      </c>
      <c r="F3127" s="34" t="str">
        <f t="shared" si="743"/>
        <v>C:\Users\jaime.benazar\Quorum Business Solutions\Ecopetrol Prometeo - Documents\Planning Space Implementation\3. Analysis &amp; Design\Design\FC22\DRR Jaime\QUIFA-CAJÚA\Cajua\[CAJUA_CF_SEC_New_27-Feb-2024Rev3.xlsx]D-PRBND'!</v>
      </c>
      <c r="G3127" s="32" t="s">
        <v>117</v>
      </c>
      <c r="H3127" s="33"/>
      <c r="I3127" s="33"/>
      <c r="J3127" s="37"/>
    </row>
    <row r="3128" spans="1:10" x14ac:dyDescent="0.25">
      <c r="A3128" s="32" t="s">
        <v>101</v>
      </c>
      <c r="B3128" s="32">
        <f t="shared" si="744"/>
        <v>2033</v>
      </c>
      <c r="C3128" s="33" t="s">
        <v>42</v>
      </c>
      <c r="D3128" s="34" t="s">
        <v>1999</v>
      </c>
      <c r="E3128" s="35" t="str">
        <f t="shared" si="742"/>
        <v>PRBND'!</v>
      </c>
      <c r="F3128" s="34" t="str">
        <f t="shared" si="743"/>
        <v>C:\Users\jaime.benazar\Quorum Business Solutions\Ecopetrol Prometeo - Documents\Planning Space Implementation\3. Analysis &amp; Design\Design\FC22\DRR Jaime\QUIFA-CAJÚA\Cajua\[CAJUA_CF_SEC_New_27-Feb-2024Rev3.xlsx]D-PRBND'!</v>
      </c>
      <c r="G3128" s="32" t="s">
        <v>117</v>
      </c>
      <c r="H3128" s="33"/>
      <c r="I3128" s="33"/>
      <c r="J3128" s="37"/>
    </row>
    <row r="3129" spans="1:10" x14ac:dyDescent="0.25">
      <c r="A3129" s="32" t="s">
        <v>101</v>
      </c>
      <c r="B3129" s="32">
        <f t="shared" si="744"/>
        <v>2034</v>
      </c>
      <c r="C3129" s="33" t="s">
        <v>42</v>
      </c>
      <c r="D3129" s="34" t="s">
        <v>1999</v>
      </c>
      <c r="E3129" s="35" t="str">
        <f t="shared" si="742"/>
        <v>PRBND'!</v>
      </c>
      <c r="F3129" s="34" t="str">
        <f t="shared" si="743"/>
        <v>C:\Users\jaime.benazar\Quorum Business Solutions\Ecopetrol Prometeo - Documents\Planning Space Implementation\3. Analysis &amp; Design\Design\FC22\DRR Jaime\QUIFA-CAJÚA\Cajua\[CAJUA_CF_SEC_New_27-Feb-2024Rev3.xlsx]D-PRBND'!</v>
      </c>
      <c r="G3129" s="32" t="s">
        <v>117</v>
      </c>
      <c r="H3129" s="33"/>
      <c r="I3129" s="33"/>
      <c r="J3129" s="37"/>
    </row>
    <row r="3130" spans="1:10" x14ac:dyDescent="0.25">
      <c r="A3130" s="32" t="s">
        <v>101</v>
      </c>
      <c r="B3130" s="32">
        <f t="shared" si="744"/>
        <v>2035</v>
      </c>
      <c r="C3130" s="33" t="s">
        <v>42</v>
      </c>
      <c r="D3130" s="34" t="s">
        <v>1999</v>
      </c>
      <c r="E3130" s="35" t="str">
        <f t="shared" si="742"/>
        <v>PRBND'!</v>
      </c>
      <c r="F3130" s="34" t="str">
        <f t="shared" si="743"/>
        <v>C:\Users\jaime.benazar\Quorum Business Solutions\Ecopetrol Prometeo - Documents\Planning Space Implementation\3. Analysis &amp; Design\Design\FC22\DRR Jaime\QUIFA-CAJÚA\Cajua\[CAJUA_CF_SEC_New_27-Feb-2024Rev3.xlsx]D-PRBND'!</v>
      </c>
      <c r="G3130" s="32" t="s">
        <v>117</v>
      </c>
      <c r="H3130" s="33"/>
      <c r="I3130" s="33"/>
      <c r="J3130" s="37"/>
    </row>
    <row r="3131" spans="1:10" x14ac:dyDescent="0.25">
      <c r="A3131" s="32" t="s">
        <v>101</v>
      </c>
      <c r="B3131" s="32">
        <f t="shared" si="744"/>
        <v>2036</v>
      </c>
      <c r="C3131" s="33" t="s">
        <v>42</v>
      </c>
      <c r="D3131" s="34" t="s">
        <v>1999</v>
      </c>
      <c r="E3131" s="35" t="str">
        <f t="shared" si="742"/>
        <v>PRBND'!</v>
      </c>
      <c r="F3131" s="34" t="str">
        <f t="shared" si="743"/>
        <v>C:\Users\jaime.benazar\Quorum Business Solutions\Ecopetrol Prometeo - Documents\Planning Space Implementation\3. Analysis &amp; Design\Design\FC22\DRR Jaime\QUIFA-CAJÚA\Cajua\[CAJUA_CF_SEC_New_27-Feb-2024Rev3.xlsx]D-PRBND'!</v>
      </c>
      <c r="G3131" s="32" t="s">
        <v>117</v>
      </c>
      <c r="H3131" s="33"/>
      <c r="I3131" s="33"/>
      <c r="J3131" s="37"/>
    </row>
    <row r="3132" spans="1:10" x14ac:dyDescent="0.25">
      <c r="A3132" s="32" t="s">
        <v>101</v>
      </c>
      <c r="B3132" s="32">
        <f>+B3131+1</f>
        <v>2037</v>
      </c>
      <c r="C3132" s="33" t="s">
        <v>42</v>
      </c>
      <c r="D3132" s="34" t="s">
        <v>1999</v>
      </c>
      <c r="E3132" s="35" t="str">
        <f t="shared" si="742"/>
        <v>PRBND'!</v>
      </c>
      <c r="F3132" s="34" t="str">
        <f t="shared" si="743"/>
        <v>C:\Users\jaime.benazar\Quorum Business Solutions\Ecopetrol Prometeo - Documents\Planning Space Implementation\3. Analysis &amp; Design\Design\FC22\DRR Jaime\QUIFA-CAJÚA\Cajua\[CAJUA_CF_SEC_New_27-Feb-2024Rev3.xlsx]D-PRBND'!</v>
      </c>
      <c r="G3132" s="32" t="s">
        <v>117</v>
      </c>
      <c r="H3132" s="33"/>
      <c r="I3132" s="33"/>
      <c r="J3132" s="37"/>
    </row>
    <row r="3133" spans="1:10" x14ac:dyDescent="0.25">
      <c r="A3133" s="32" t="s">
        <v>101</v>
      </c>
      <c r="B3133" s="32">
        <f t="shared" ref="B3133:B3135" si="745">+B3132+1</f>
        <v>2038</v>
      </c>
      <c r="C3133" s="33" t="s">
        <v>42</v>
      </c>
      <c r="D3133" s="34" t="s">
        <v>1999</v>
      </c>
      <c r="E3133" s="35" t="str">
        <f t="shared" si="742"/>
        <v>PRBND'!</v>
      </c>
      <c r="F3133" s="34" t="str">
        <f t="shared" si="743"/>
        <v>C:\Users\jaime.benazar\Quorum Business Solutions\Ecopetrol Prometeo - Documents\Planning Space Implementation\3. Analysis &amp; Design\Design\FC22\DRR Jaime\QUIFA-CAJÚA\Cajua\[CAJUA_CF_SEC_New_27-Feb-2024Rev3.xlsx]D-PRBND'!</v>
      </c>
      <c r="G3133" s="32" t="s">
        <v>117</v>
      </c>
      <c r="H3133" s="33"/>
      <c r="I3133" s="33"/>
      <c r="J3133" s="37"/>
    </row>
    <row r="3134" spans="1:10" x14ac:dyDescent="0.25">
      <c r="A3134" s="32" t="s">
        <v>101</v>
      </c>
      <c r="B3134" s="32">
        <f t="shared" si="745"/>
        <v>2039</v>
      </c>
      <c r="C3134" s="33" t="s">
        <v>42</v>
      </c>
      <c r="D3134" s="34" t="s">
        <v>1999</v>
      </c>
      <c r="E3134" s="35" t="str">
        <f t="shared" si="742"/>
        <v>PRBND'!</v>
      </c>
      <c r="F3134" s="34" t="str">
        <f t="shared" si="743"/>
        <v>C:\Users\jaime.benazar\Quorum Business Solutions\Ecopetrol Prometeo - Documents\Planning Space Implementation\3. Analysis &amp; Design\Design\FC22\DRR Jaime\QUIFA-CAJÚA\Cajua\[CAJUA_CF_SEC_New_27-Feb-2024Rev3.xlsx]D-PRBND'!</v>
      </c>
      <c r="G3134" s="32" t="s">
        <v>117</v>
      </c>
      <c r="H3134" s="33"/>
      <c r="I3134" s="33"/>
      <c r="J3134" s="37"/>
    </row>
    <row r="3135" spans="1:10" x14ac:dyDescent="0.25">
      <c r="A3135" s="32" t="s">
        <v>101</v>
      </c>
      <c r="B3135" s="32">
        <f t="shared" si="745"/>
        <v>2040</v>
      </c>
      <c r="C3135" s="33" t="s">
        <v>42</v>
      </c>
      <c r="D3135" s="34" t="s">
        <v>1999</v>
      </c>
      <c r="E3135" s="35" t="str">
        <f t="shared" si="742"/>
        <v>PRBND'!</v>
      </c>
      <c r="F3135" s="34" t="str">
        <f t="shared" si="743"/>
        <v>C:\Users\jaime.benazar\Quorum Business Solutions\Ecopetrol Prometeo - Documents\Planning Space Implementation\3. Analysis &amp; Design\Design\FC22\DRR Jaime\QUIFA-CAJÚA\Cajua\[CAJUA_CF_SEC_New_27-Feb-2024Rev3.xlsx]D-PRBND'!</v>
      </c>
      <c r="G3135" s="32" t="s">
        <v>117</v>
      </c>
      <c r="H3135" s="33"/>
      <c r="I3135" s="33"/>
      <c r="J3135" s="37"/>
    </row>
    <row r="3136" spans="1:10" x14ac:dyDescent="0.25">
      <c r="A3136" s="32" t="s">
        <v>101</v>
      </c>
      <c r="B3136" s="32">
        <f>+B3135+1</f>
        <v>2041</v>
      </c>
      <c r="C3136" s="33" t="s">
        <v>42</v>
      </c>
      <c r="D3136" s="34" t="s">
        <v>1999</v>
      </c>
      <c r="E3136" s="35" t="str">
        <f t="shared" si="742"/>
        <v>PRBND'!</v>
      </c>
      <c r="F3136" s="34" t="str">
        <f t="shared" si="743"/>
        <v>C:\Users\jaime.benazar\Quorum Business Solutions\Ecopetrol Prometeo - Documents\Planning Space Implementation\3. Analysis &amp; Design\Design\FC22\DRR Jaime\QUIFA-CAJÚA\Cajua\[CAJUA_CF_SEC_New_27-Feb-2024Rev3.xlsx]D-PRBND'!</v>
      </c>
      <c r="G3136" s="32" t="s">
        <v>117</v>
      </c>
      <c r="H3136" s="33"/>
      <c r="I3136" s="33"/>
      <c r="J3136" s="37"/>
    </row>
    <row r="3137" spans="1:10" x14ac:dyDescent="0.25">
      <c r="A3137" s="32" t="s">
        <v>101</v>
      </c>
      <c r="B3137" s="32">
        <f t="shared" ref="B3137:B3138" si="746">+B3136+1</f>
        <v>2042</v>
      </c>
      <c r="C3137" s="33" t="s">
        <v>42</v>
      </c>
      <c r="D3137" s="34" t="s">
        <v>1999</v>
      </c>
      <c r="E3137" s="35" t="str">
        <f t="shared" si="742"/>
        <v>PRBND'!</v>
      </c>
      <c r="F3137" s="34" t="str">
        <f t="shared" si="743"/>
        <v>C:\Users\jaime.benazar\Quorum Business Solutions\Ecopetrol Prometeo - Documents\Planning Space Implementation\3. Analysis &amp; Design\Design\FC22\DRR Jaime\QUIFA-CAJÚA\Cajua\[CAJUA_CF_SEC_New_27-Feb-2024Rev3.xlsx]D-PRBND'!</v>
      </c>
      <c r="G3137" s="32" t="s">
        <v>117</v>
      </c>
      <c r="H3137" s="33"/>
      <c r="I3137" s="33"/>
      <c r="J3137" s="37"/>
    </row>
    <row r="3138" spans="1:10" x14ac:dyDescent="0.25">
      <c r="A3138" s="32" t="s">
        <v>101</v>
      </c>
      <c r="B3138" s="32">
        <f t="shared" si="746"/>
        <v>2043</v>
      </c>
      <c r="C3138" s="33" t="s">
        <v>42</v>
      </c>
      <c r="D3138" s="34" t="s">
        <v>1999</v>
      </c>
      <c r="E3138" s="35" t="str">
        <f t="shared" si="742"/>
        <v>PRBND'!</v>
      </c>
      <c r="F3138" s="34" t="str">
        <f t="shared" si="743"/>
        <v>C:\Users\jaime.benazar\Quorum Business Solutions\Ecopetrol Prometeo - Documents\Planning Space Implementation\3. Analysis &amp; Design\Design\FC22\DRR Jaime\QUIFA-CAJÚA\Cajua\[CAJUA_CF_SEC_New_27-Feb-2024Rev3.xlsx]D-PRBND'!</v>
      </c>
      <c r="G3138" s="32" t="s">
        <v>117</v>
      </c>
      <c r="H3138" s="33"/>
      <c r="I3138" s="33"/>
      <c r="J3138" s="37"/>
    </row>
    <row r="3139" spans="1:10" x14ac:dyDescent="0.25">
      <c r="A3139" s="32" t="s">
        <v>101</v>
      </c>
      <c r="B3139" s="32">
        <f>+B3138+1</f>
        <v>2044</v>
      </c>
      <c r="C3139" s="33" t="s">
        <v>42</v>
      </c>
      <c r="D3139" s="34" t="s">
        <v>1999</v>
      </c>
      <c r="E3139" s="35" t="str">
        <f t="shared" ref="E3139:E3154" si="747">_xlfn.CONCAT(A3139,"'!")</f>
        <v>PRBND'!</v>
      </c>
      <c r="F3139" s="34" t="str">
        <f t="shared" ref="F3139:F3154" si="748">_xlfn.CONCAT(D3139:E3139)</f>
        <v>C:\Users\jaime.benazar\Quorum Business Solutions\Ecopetrol Prometeo - Documents\Planning Space Implementation\3. Analysis &amp; Design\Design\FC22\DRR Jaime\QUIFA-CAJÚA\Cajua\[CAJUA_CF_SEC_New_27-Feb-2024Rev3.xlsx]D-PRBND'!</v>
      </c>
      <c r="G3139" s="32" t="s">
        <v>117</v>
      </c>
      <c r="H3139" s="33"/>
      <c r="I3139" s="33"/>
      <c r="J3139" s="37"/>
    </row>
    <row r="3140" spans="1:10" x14ac:dyDescent="0.25">
      <c r="A3140" s="32" t="s">
        <v>101</v>
      </c>
      <c r="B3140" s="32">
        <f t="shared" ref="B3140:B3154" si="749">+B3139+1</f>
        <v>2045</v>
      </c>
      <c r="C3140" s="33" t="s">
        <v>42</v>
      </c>
      <c r="D3140" s="34" t="s">
        <v>1999</v>
      </c>
      <c r="E3140" s="35" t="str">
        <f t="shared" si="747"/>
        <v>PRBND'!</v>
      </c>
      <c r="F3140" s="34" t="str">
        <f t="shared" si="748"/>
        <v>C:\Users\jaime.benazar\Quorum Business Solutions\Ecopetrol Prometeo - Documents\Planning Space Implementation\3. Analysis &amp; Design\Design\FC22\DRR Jaime\QUIFA-CAJÚA\Cajua\[CAJUA_CF_SEC_New_27-Feb-2024Rev3.xlsx]D-PRBND'!</v>
      </c>
      <c r="G3140" s="32" t="s">
        <v>117</v>
      </c>
      <c r="H3140" s="33"/>
      <c r="I3140" s="33"/>
      <c r="J3140" s="37"/>
    </row>
    <row r="3141" spans="1:10" x14ac:dyDescent="0.25">
      <c r="A3141" s="32" t="s">
        <v>101</v>
      </c>
      <c r="B3141" s="32">
        <f t="shared" si="749"/>
        <v>2046</v>
      </c>
      <c r="C3141" s="33" t="s">
        <v>42</v>
      </c>
      <c r="D3141" s="34" t="s">
        <v>1999</v>
      </c>
      <c r="E3141" s="35" t="str">
        <f t="shared" si="747"/>
        <v>PRBND'!</v>
      </c>
      <c r="F3141" s="34" t="str">
        <f t="shared" si="748"/>
        <v>C:\Users\jaime.benazar\Quorum Business Solutions\Ecopetrol Prometeo - Documents\Planning Space Implementation\3. Analysis &amp; Design\Design\FC22\DRR Jaime\QUIFA-CAJÚA\Cajua\[CAJUA_CF_SEC_New_27-Feb-2024Rev3.xlsx]D-PRBND'!</v>
      </c>
      <c r="G3141" s="32" t="s">
        <v>117</v>
      </c>
      <c r="H3141" s="33"/>
      <c r="I3141" s="33"/>
      <c r="J3141" s="37"/>
    </row>
    <row r="3142" spans="1:10" x14ac:dyDescent="0.25">
      <c r="A3142" s="32" t="s">
        <v>101</v>
      </c>
      <c r="B3142" s="32">
        <f t="shared" si="749"/>
        <v>2047</v>
      </c>
      <c r="C3142" s="33" t="s">
        <v>42</v>
      </c>
      <c r="D3142" s="34" t="s">
        <v>1999</v>
      </c>
      <c r="E3142" s="35" t="str">
        <f t="shared" si="747"/>
        <v>PRBND'!</v>
      </c>
      <c r="F3142" s="34" t="str">
        <f t="shared" si="748"/>
        <v>C:\Users\jaime.benazar\Quorum Business Solutions\Ecopetrol Prometeo - Documents\Planning Space Implementation\3. Analysis &amp; Design\Design\FC22\DRR Jaime\QUIFA-CAJÚA\Cajua\[CAJUA_CF_SEC_New_27-Feb-2024Rev3.xlsx]D-PRBND'!</v>
      </c>
      <c r="G3142" s="32" t="s">
        <v>117</v>
      </c>
      <c r="H3142" s="33"/>
      <c r="I3142" s="33"/>
      <c r="J3142" s="37"/>
    </row>
    <row r="3143" spans="1:10" x14ac:dyDescent="0.25">
      <c r="A3143" s="32" t="s">
        <v>101</v>
      </c>
      <c r="B3143" s="32">
        <f t="shared" si="749"/>
        <v>2048</v>
      </c>
      <c r="C3143" s="33" t="s">
        <v>42</v>
      </c>
      <c r="D3143" s="34" t="s">
        <v>1999</v>
      </c>
      <c r="E3143" s="35" t="str">
        <f t="shared" si="747"/>
        <v>PRBND'!</v>
      </c>
      <c r="F3143" s="34" t="str">
        <f t="shared" si="748"/>
        <v>C:\Users\jaime.benazar\Quorum Business Solutions\Ecopetrol Prometeo - Documents\Planning Space Implementation\3. Analysis &amp; Design\Design\FC22\DRR Jaime\QUIFA-CAJÚA\Cajua\[CAJUA_CF_SEC_New_27-Feb-2024Rev3.xlsx]D-PRBND'!</v>
      </c>
      <c r="G3143" s="32" t="s">
        <v>117</v>
      </c>
      <c r="H3143" s="33"/>
      <c r="I3143" s="33"/>
      <c r="J3143" s="37"/>
    </row>
    <row r="3144" spans="1:10" x14ac:dyDescent="0.25">
      <c r="A3144" s="32" t="s">
        <v>101</v>
      </c>
      <c r="B3144" s="32">
        <f t="shared" si="749"/>
        <v>2049</v>
      </c>
      <c r="C3144" s="33" t="s">
        <v>42</v>
      </c>
      <c r="D3144" s="34" t="s">
        <v>1999</v>
      </c>
      <c r="E3144" s="35" t="str">
        <f t="shared" si="747"/>
        <v>PRBND'!</v>
      </c>
      <c r="F3144" s="34" t="str">
        <f t="shared" si="748"/>
        <v>C:\Users\jaime.benazar\Quorum Business Solutions\Ecopetrol Prometeo - Documents\Planning Space Implementation\3. Analysis &amp; Design\Design\FC22\DRR Jaime\QUIFA-CAJÚA\Cajua\[CAJUA_CF_SEC_New_27-Feb-2024Rev3.xlsx]D-PRBND'!</v>
      </c>
      <c r="G3144" s="32" t="s">
        <v>117</v>
      </c>
      <c r="H3144" s="33"/>
      <c r="I3144" s="33"/>
      <c r="J3144" s="37"/>
    </row>
    <row r="3145" spans="1:10" x14ac:dyDescent="0.25">
      <c r="A3145" s="32" t="s">
        <v>101</v>
      </c>
      <c r="B3145" s="32">
        <f t="shared" si="749"/>
        <v>2050</v>
      </c>
      <c r="C3145" s="33" t="s">
        <v>42</v>
      </c>
      <c r="D3145" s="34" t="s">
        <v>1999</v>
      </c>
      <c r="E3145" s="35" t="str">
        <f t="shared" si="747"/>
        <v>PRBND'!</v>
      </c>
      <c r="F3145" s="34" t="str">
        <f t="shared" si="748"/>
        <v>C:\Users\jaime.benazar\Quorum Business Solutions\Ecopetrol Prometeo - Documents\Planning Space Implementation\3. Analysis &amp; Design\Design\FC22\DRR Jaime\QUIFA-CAJÚA\Cajua\[CAJUA_CF_SEC_New_27-Feb-2024Rev3.xlsx]D-PRBND'!</v>
      </c>
      <c r="G3145" s="32" t="s">
        <v>117</v>
      </c>
      <c r="H3145" s="33"/>
      <c r="I3145" s="33"/>
      <c r="J3145" s="37"/>
    </row>
    <row r="3146" spans="1:10" x14ac:dyDescent="0.25">
      <c r="A3146" s="32" t="s">
        <v>101</v>
      </c>
      <c r="B3146" s="32">
        <f t="shared" si="749"/>
        <v>2051</v>
      </c>
      <c r="C3146" s="33" t="s">
        <v>42</v>
      </c>
      <c r="D3146" s="34" t="s">
        <v>1999</v>
      </c>
      <c r="E3146" s="35" t="str">
        <f t="shared" si="747"/>
        <v>PRBND'!</v>
      </c>
      <c r="F3146" s="34" t="str">
        <f t="shared" si="748"/>
        <v>C:\Users\jaime.benazar\Quorum Business Solutions\Ecopetrol Prometeo - Documents\Planning Space Implementation\3. Analysis &amp; Design\Design\FC22\DRR Jaime\QUIFA-CAJÚA\Cajua\[CAJUA_CF_SEC_New_27-Feb-2024Rev3.xlsx]D-PRBND'!</v>
      </c>
      <c r="G3146" s="32" t="s">
        <v>117</v>
      </c>
      <c r="H3146" s="33"/>
      <c r="I3146" s="33"/>
      <c r="J3146" s="37"/>
    </row>
    <row r="3147" spans="1:10" x14ac:dyDescent="0.25">
      <c r="A3147" s="32" t="s">
        <v>101</v>
      </c>
      <c r="B3147" s="32">
        <f t="shared" si="749"/>
        <v>2052</v>
      </c>
      <c r="C3147" s="33" t="s">
        <v>42</v>
      </c>
      <c r="D3147" s="34" t="s">
        <v>1999</v>
      </c>
      <c r="E3147" s="35" t="str">
        <f t="shared" si="747"/>
        <v>PRBND'!</v>
      </c>
      <c r="F3147" s="34" t="str">
        <f t="shared" si="748"/>
        <v>C:\Users\jaime.benazar\Quorum Business Solutions\Ecopetrol Prometeo - Documents\Planning Space Implementation\3. Analysis &amp; Design\Design\FC22\DRR Jaime\QUIFA-CAJÚA\Cajua\[CAJUA_CF_SEC_New_27-Feb-2024Rev3.xlsx]D-PRBND'!</v>
      </c>
      <c r="G3147" s="32" t="s">
        <v>117</v>
      </c>
      <c r="H3147" s="33"/>
      <c r="I3147" s="33"/>
      <c r="J3147" s="37"/>
    </row>
    <row r="3148" spans="1:10" x14ac:dyDescent="0.25">
      <c r="A3148" s="32" t="s">
        <v>101</v>
      </c>
      <c r="B3148" s="32">
        <f t="shared" si="749"/>
        <v>2053</v>
      </c>
      <c r="C3148" s="33" t="s">
        <v>42</v>
      </c>
      <c r="D3148" s="34" t="s">
        <v>1999</v>
      </c>
      <c r="E3148" s="35" t="str">
        <f t="shared" si="747"/>
        <v>PRBND'!</v>
      </c>
      <c r="F3148" s="34" t="str">
        <f t="shared" si="748"/>
        <v>C:\Users\jaime.benazar\Quorum Business Solutions\Ecopetrol Prometeo - Documents\Planning Space Implementation\3. Analysis &amp; Design\Design\FC22\DRR Jaime\QUIFA-CAJÚA\Cajua\[CAJUA_CF_SEC_New_27-Feb-2024Rev3.xlsx]D-PRBND'!</v>
      </c>
      <c r="G3148" s="32" t="s">
        <v>117</v>
      </c>
      <c r="H3148" s="33"/>
      <c r="I3148" s="33"/>
      <c r="J3148" s="37"/>
    </row>
    <row r="3149" spans="1:10" x14ac:dyDescent="0.25">
      <c r="A3149" s="32" t="s">
        <v>101</v>
      </c>
      <c r="B3149" s="32">
        <f t="shared" si="749"/>
        <v>2054</v>
      </c>
      <c r="C3149" s="33" t="s">
        <v>42</v>
      </c>
      <c r="D3149" s="34" t="s">
        <v>1999</v>
      </c>
      <c r="E3149" s="35" t="str">
        <f t="shared" si="747"/>
        <v>PRBND'!</v>
      </c>
      <c r="F3149" s="34" t="str">
        <f t="shared" si="748"/>
        <v>C:\Users\jaime.benazar\Quorum Business Solutions\Ecopetrol Prometeo - Documents\Planning Space Implementation\3. Analysis &amp; Design\Design\FC22\DRR Jaime\QUIFA-CAJÚA\Cajua\[CAJUA_CF_SEC_New_27-Feb-2024Rev3.xlsx]D-PRBND'!</v>
      </c>
      <c r="G3149" s="32" t="s">
        <v>117</v>
      </c>
      <c r="H3149" s="33"/>
      <c r="I3149" s="33"/>
      <c r="J3149" s="37"/>
    </row>
    <row r="3150" spans="1:10" x14ac:dyDescent="0.25">
      <c r="A3150" s="32" t="s">
        <v>101</v>
      </c>
      <c r="B3150" s="32">
        <f t="shared" si="749"/>
        <v>2055</v>
      </c>
      <c r="C3150" s="33" t="s">
        <v>42</v>
      </c>
      <c r="D3150" s="34" t="s">
        <v>1999</v>
      </c>
      <c r="E3150" s="35" t="str">
        <f t="shared" si="747"/>
        <v>PRBND'!</v>
      </c>
      <c r="F3150" s="34" t="str">
        <f t="shared" si="748"/>
        <v>C:\Users\jaime.benazar\Quorum Business Solutions\Ecopetrol Prometeo - Documents\Planning Space Implementation\3. Analysis &amp; Design\Design\FC22\DRR Jaime\QUIFA-CAJÚA\Cajua\[CAJUA_CF_SEC_New_27-Feb-2024Rev3.xlsx]D-PRBND'!</v>
      </c>
      <c r="G3150" s="32" t="s">
        <v>117</v>
      </c>
      <c r="H3150" s="33"/>
      <c r="I3150" s="33"/>
      <c r="J3150" s="37"/>
    </row>
    <row r="3151" spans="1:10" x14ac:dyDescent="0.25">
      <c r="A3151" s="32" t="s">
        <v>101</v>
      </c>
      <c r="B3151" s="32">
        <f t="shared" si="749"/>
        <v>2056</v>
      </c>
      <c r="C3151" s="33" t="s">
        <v>42</v>
      </c>
      <c r="D3151" s="34" t="s">
        <v>1999</v>
      </c>
      <c r="E3151" s="35" t="str">
        <f t="shared" si="747"/>
        <v>PRBND'!</v>
      </c>
      <c r="F3151" s="34" t="str">
        <f t="shared" si="748"/>
        <v>C:\Users\jaime.benazar\Quorum Business Solutions\Ecopetrol Prometeo - Documents\Planning Space Implementation\3. Analysis &amp; Design\Design\FC22\DRR Jaime\QUIFA-CAJÚA\Cajua\[CAJUA_CF_SEC_New_27-Feb-2024Rev3.xlsx]D-PRBND'!</v>
      </c>
      <c r="G3151" s="32" t="s">
        <v>117</v>
      </c>
      <c r="H3151" s="33"/>
      <c r="I3151" s="33"/>
      <c r="J3151" s="37"/>
    </row>
    <row r="3152" spans="1:10" x14ac:dyDescent="0.25">
      <c r="A3152" s="32" t="s">
        <v>101</v>
      </c>
      <c r="B3152" s="32">
        <f t="shared" si="749"/>
        <v>2057</v>
      </c>
      <c r="C3152" s="33" t="s">
        <v>42</v>
      </c>
      <c r="D3152" s="34" t="s">
        <v>1999</v>
      </c>
      <c r="E3152" s="35" t="str">
        <f t="shared" si="747"/>
        <v>PRBND'!</v>
      </c>
      <c r="F3152" s="34" t="str">
        <f t="shared" si="748"/>
        <v>C:\Users\jaime.benazar\Quorum Business Solutions\Ecopetrol Prometeo - Documents\Planning Space Implementation\3. Analysis &amp; Design\Design\FC22\DRR Jaime\QUIFA-CAJÚA\Cajua\[CAJUA_CF_SEC_New_27-Feb-2024Rev3.xlsx]D-PRBND'!</v>
      </c>
      <c r="G3152" s="32" t="s">
        <v>117</v>
      </c>
      <c r="H3152" s="33"/>
      <c r="I3152" s="33"/>
      <c r="J3152" s="37"/>
    </row>
    <row r="3153" spans="1:10" x14ac:dyDescent="0.25">
      <c r="A3153" s="32" t="s">
        <v>101</v>
      </c>
      <c r="B3153" s="32">
        <f t="shared" si="749"/>
        <v>2058</v>
      </c>
      <c r="C3153" s="33" t="s">
        <v>42</v>
      </c>
      <c r="D3153" s="34" t="s">
        <v>1999</v>
      </c>
      <c r="E3153" s="35" t="str">
        <f t="shared" si="747"/>
        <v>PRBND'!</v>
      </c>
      <c r="F3153" s="34" t="str">
        <f t="shared" si="748"/>
        <v>C:\Users\jaime.benazar\Quorum Business Solutions\Ecopetrol Prometeo - Documents\Planning Space Implementation\3. Analysis &amp; Design\Design\FC22\DRR Jaime\QUIFA-CAJÚA\Cajua\[CAJUA_CF_SEC_New_27-Feb-2024Rev3.xlsx]D-PRBND'!</v>
      </c>
      <c r="G3153" s="32" t="s">
        <v>117</v>
      </c>
      <c r="H3153" s="33"/>
      <c r="I3153" s="33"/>
      <c r="J3153" s="37"/>
    </row>
    <row r="3154" spans="1:10" x14ac:dyDescent="0.25">
      <c r="A3154" s="32" t="s">
        <v>101</v>
      </c>
      <c r="B3154" s="32">
        <f t="shared" si="749"/>
        <v>2059</v>
      </c>
      <c r="C3154" s="33" t="s">
        <v>42</v>
      </c>
      <c r="D3154" s="34" t="s">
        <v>1999</v>
      </c>
      <c r="E3154" s="35" t="str">
        <f t="shared" si="747"/>
        <v>PRBND'!</v>
      </c>
      <c r="F3154" s="34" t="str">
        <f t="shared" si="748"/>
        <v>C:\Users\jaime.benazar\Quorum Business Solutions\Ecopetrol Prometeo - Documents\Planning Space Implementation\3. Analysis &amp; Design\Design\FC22\DRR Jaime\QUIFA-CAJÚA\Cajua\[CAJUA_CF_SEC_New_27-Feb-2024Rev3.xlsx]D-PRBND'!</v>
      </c>
      <c r="G3154" s="32" t="s">
        <v>117</v>
      </c>
      <c r="H3154" s="33"/>
      <c r="I3154" s="33"/>
      <c r="J3154" s="37"/>
    </row>
    <row r="3155" spans="1:10" x14ac:dyDescent="0.25">
      <c r="A3155" s="32" t="s">
        <v>28</v>
      </c>
      <c r="B3155" s="32"/>
      <c r="C3155" s="33" t="s">
        <v>42</v>
      </c>
      <c r="D3155" s="34"/>
      <c r="E3155" s="35"/>
      <c r="F3155" s="34"/>
      <c r="G3155" s="32"/>
      <c r="H3155" s="33"/>
      <c r="I3155" s="33"/>
      <c r="J3155" s="33"/>
    </row>
    <row r="3156" spans="1:10" x14ac:dyDescent="0.25">
      <c r="A3156" s="32" t="s">
        <v>4</v>
      </c>
      <c r="B3156" s="32">
        <v>2023</v>
      </c>
      <c r="C3156" s="33" t="s">
        <v>42</v>
      </c>
      <c r="D3156" s="34" t="s">
        <v>1999</v>
      </c>
      <c r="E3156" s="35" t="str">
        <f t="shared" si="719"/>
        <v>PRB'!</v>
      </c>
      <c r="F3156" s="34" t="str">
        <f t="shared" si="720"/>
        <v>C:\Users\jaime.benazar\Quorum Business Solutions\Ecopetrol Prometeo - Documents\Planning Space Implementation\3. Analysis &amp; Design\Design\FC22\DRR Jaime\QUIFA-CAJÚA\Cajua\[CAJUA_CF_SEC_New_27-Feb-2024Rev3.xlsx]D-PRB'!</v>
      </c>
      <c r="G3156" s="32" t="s">
        <v>117</v>
      </c>
      <c r="H3156" s="33">
        <v>12</v>
      </c>
      <c r="I3156" s="33" t="str">
        <f t="shared" ref="I3156:I3176" si="750">_xlfn.CONCAT("='",F3156:H3156)</f>
        <v>='C:\Users\jaime.benazar\Quorum Business Solutions\Ecopetrol Prometeo - Documents\Planning Space Implementation\3. Analysis &amp; Design\Design\FC22\DRR Jaime\QUIFA-CAJÚA\Cajua\[CAJUA_CF_SEC_New_27-Feb-2024Rev3.xlsx]D-PRB'!$DT$12</v>
      </c>
      <c r="J3156" s="37" t="s">
        <v>3406</v>
      </c>
    </row>
    <row r="3157" spans="1:10" x14ac:dyDescent="0.25">
      <c r="A3157" s="32" t="s">
        <v>4</v>
      </c>
      <c r="B3157" s="32">
        <f>+B3156+1</f>
        <v>2024</v>
      </c>
      <c r="C3157" s="33" t="s">
        <v>42</v>
      </c>
      <c r="D3157" s="34" t="s">
        <v>1999</v>
      </c>
      <c r="E3157" s="35" t="str">
        <f t="shared" si="719"/>
        <v>PRB'!</v>
      </c>
      <c r="F3157" s="34" t="str">
        <f t="shared" si="720"/>
        <v>C:\Users\jaime.benazar\Quorum Business Solutions\Ecopetrol Prometeo - Documents\Planning Space Implementation\3. Analysis &amp; Design\Design\FC22\DRR Jaime\QUIFA-CAJÚA\Cajua\[CAJUA_CF_SEC_New_27-Feb-2024Rev3.xlsx]D-PRB'!</v>
      </c>
      <c r="G3157" s="32" t="s">
        <v>117</v>
      </c>
      <c r="H3157" s="33">
        <f t="shared" ref="H3157:H3176" si="751">IF(A3157&lt;&gt;A3156,12,H3156+1)</f>
        <v>13</v>
      </c>
      <c r="I3157" s="33" t="str">
        <f t="shared" si="750"/>
        <v>='C:\Users\jaime.benazar\Quorum Business Solutions\Ecopetrol Prometeo - Documents\Planning Space Implementation\3. Analysis &amp; Design\Design\FC22\DRR Jaime\QUIFA-CAJÚA\Cajua\[CAJUA_CF_SEC_New_27-Feb-2024Rev3.xlsx]D-PRB'!$DT$13</v>
      </c>
      <c r="J3157" s="37" t="s">
        <v>3407</v>
      </c>
    </row>
    <row r="3158" spans="1:10" x14ac:dyDescent="0.25">
      <c r="A3158" s="32" t="s">
        <v>4</v>
      </c>
      <c r="B3158" s="32">
        <f t="shared" ref="B3158:B3169" si="752">+B3157+1</f>
        <v>2025</v>
      </c>
      <c r="C3158" s="33" t="s">
        <v>42</v>
      </c>
      <c r="D3158" s="34" t="s">
        <v>1999</v>
      </c>
      <c r="E3158" s="35" t="str">
        <f t="shared" si="719"/>
        <v>PRB'!</v>
      </c>
      <c r="F3158" s="34" t="str">
        <f t="shared" si="720"/>
        <v>C:\Users\jaime.benazar\Quorum Business Solutions\Ecopetrol Prometeo - Documents\Planning Space Implementation\3. Analysis &amp; Design\Design\FC22\DRR Jaime\QUIFA-CAJÚA\Cajua\[CAJUA_CF_SEC_New_27-Feb-2024Rev3.xlsx]D-PRB'!</v>
      </c>
      <c r="G3158" s="32" t="s">
        <v>117</v>
      </c>
      <c r="H3158" s="33">
        <f t="shared" si="751"/>
        <v>14</v>
      </c>
      <c r="I3158" s="33" t="str">
        <f t="shared" si="750"/>
        <v>='C:\Users\jaime.benazar\Quorum Business Solutions\Ecopetrol Prometeo - Documents\Planning Space Implementation\3. Analysis &amp; Design\Design\FC22\DRR Jaime\QUIFA-CAJÚA\Cajua\[CAJUA_CF_SEC_New_27-Feb-2024Rev3.xlsx]D-PRB'!$DT$14</v>
      </c>
      <c r="J3158" s="37" t="s">
        <v>3408</v>
      </c>
    </row>
    <row r="3159" spans="1:10" x14ac:dyDescent="0.25">
      <c r="A3159" s="32" t="s">
        <v>4</v>
      </c>
      <c r="B3159" s="32">
        <f t="shared" si="752"/>
        <v>2026</v>
      </c>
      <c r="C3159" s="33" t="s">
        <v>42</v>
      </c>
      <c r="D3159" s="34" t="s">
        <v>1999</v>
      </c>
      <c r="E3159" s="35" t="str">
        <f t="shared" si="719"/>
        <v>PRB'!</v>
      </c>
      <c r="F3159" s="34" t="str">
        <f t="shared" si="720"/>
        <v>C:\Users\jaime.benazar\Quorum Business Solutions\Ecopetrol Prometeo - Documents\Planning Space Implementation\3. Analysis &amp; Design\Design\FC22\DRR Jaime\QUIFA-CAJÚA\Cajua\[CAJUA_CF_SEC_New_27-Feb-2024Rev3.xlsx]D-PRB'!</v>
      </c>
      <c r="G3159" s="32" t="s">
        <v>117</v>
      </c>
      <c r="H3159" s="33">
        <f t="shared" si="751"/>
        <v>15</v>
      </c>
      <c r="I3159" s="33" t="str">
        <f t="shared" si="750"/>
        <v>='C:\Users\jaime.benazar\Quorum Business Solutions\Ecopetrol Prometeo - Documents\Planning Space Implementation\3. Analysis &amp; Design\Design\FC22\DRR Jaime\QUIFA-CAJÚA\Cajua\[CAJUA_CF_SEC_New_27-Feb-2024Rev3.xlsx]D-PRB'!$DT$15</v>
      </c>
      <c r="J3159" s="37" t="s">
        <v>3409</v>
      </c>
    </row>
    <row r="3160" spans="1:10" x14ac:dyDescent="0.25">
      <c r="A3160" s="32" t="s">
        <v>4</v>
      </c>
      <c r="B3160" s="32">
        <f t="shared" si="752"/>
        <v>2027</v>
      </c>
      <c r="C3160" s="33" t="s">
        <v>42</v>
      </c>
      <c r="D3160" s="34" t="s">
        <v>1999</v>
      </c>
      <c r="E3160" s="35" t="str">
        <f t="shared" si="719"/>
        <v>PRB'!</v>
      </c>
      <c r="F3160" s="34" t="str">
        <f t="shared" si="720"/>
        <v>C:\Users\jaime.benazar\Quorum Business Solutions\Ecopetrol Prometeo - Documents\Planning Space Implementation\3. Analysis &amp; Design\Design\FC22\DRR Jaime\QUIFA-CAJÚA\Cajua\[CAJUA_CF_SEC_New_27-Feb-2024Rev3.xlsx]D-PRB'!</v>
      </c>
      <c r="G3160" s="32" t="s">
        <v>117</v>
      </c>
      <c r="H3160" s="33">
        <f t="shared" si="751"/>
        <v>16</v>
      </c>
      <c r="I3160" s="33" t="str">
        <f t="shared" si="750"/>
        <v>='C:\Users\jaime.benazar\Quorum Business Solutions\Ecopetrol Prometeo - Documents\Planning Space Implementation\3. Analysis &amp; Design\Design\FC22\DRR Jaime\QUIFA-CAJÚA\Cajua\[CAJUA_CF_SEC_New_27-Feb-2024Rev3.xlsx]D-PRB'!$DT$16</v>
      </c>
      <c r="J3160" s="37" t="s">
        <v>3410</v>
      </c>
    </row>
    <row r="3161" spans="1:10" x14ac:dyDescent="0.25">
      <c r="A3161" s="32" t="s">
        <v>4</v>
      </c>
      <c r="B3161" s="32">
        <f t="shared" si="752"/>
        <v>2028</v>
      </c>
      <c r="C3161" s="33" t="s">
        <v>42</v>
      </c>
      <c r="D3161" s="34" t="s">
        <v>1999</v>
      </c>
      <c r="E3161" s="35" t="str">
        <f t="shared" si="719"/>
        <v>PRB'!</v>
      </c>
      <c r="F3161" s="34" t="str">
        <f t="shared" si="720"/>
        <v>C:\Users\jaime.benazar\Quorum Business Solutions\Ecopetrol Prometeo - Documents\Planning Space Implementation\3. Analysis &amp; Design\Design\FC22\DRR Jaime\QUIFA-CAJÚA\Cajua\[CAJUA_CF_SEC_New_27-Feb-2024Rev3.xlsx]D-PRB'!</v>
      </c>
      <c r="G3161" s="32" t="s">
        <v>117</v>
      </c>
      <c r="H3161" s="33">
        <f t="shared" si="751"/>
        <v>17</v>
      </c>
      <c r="I3161" s="33" t="str">
        <f t="shared" si="750"/>
        <v>='C:\Users\jaime.benazar\Quorum Business Solutions\Ecopetrol Prometeo - Documents\Planning Space Implementation\3. Analysis &amp; Design\Design\FC22\DRR Jaime\QUIFA-CAJÚA\Cajua\[CAJUA_CF_SEC_New_27-Feb-2024Rev3.xlsx]D-PRB'!$DT$17</v>
      </c>
      <c r="J3161" s="37" t="s">
        <v>3411</v>
      </c>
    </row>
    <row r="3162" spans="1:10" x14ac:dyDescent="0.25">
      <c r="A3162" s="32" t="s">
        <v>4</v>
      </c>
      <c r="B3162" s="32">
        <f t="shared" si="752"/>
        <v>2029</v>
      </c>
      <c r="C3162" s="33" t="s">
        <v>42</v>
      </c>
      <c r="D3162" s="34" t="s">
        <v>1999</v>
      </c>
      <c r="E3162" s="35" t="str">
        <f t="shared" si="719"/>
        <v>PRB'!</v>
      </c>
      <c r="F3162" s="34" t="str">
        <f t="shared" si="720"/>
        <v>C:\Users\jaime.benazar\Quorum Business Solutions\Ecopetrol Prometeo - Documents\Planning Space Implementation\3. Analysis &amp; Design\Design\FC22\DRR Jaime\QUIFA-CAJÚA\Cajua\[CAJUA_CF_SEC_New_27-Feb-2024Rev3.xlsx]D-PRB'!</v>
      </c>
      <c r="G3162" s="32" t="s">
        <v>117</v>
      </c>
      <c r="H3162" s="33">
        <f t="shared" si="751"/>
        <v>18</v>
      </c>
      <c r="I3162" s="33" t="str">
        <f t="shared" si="750"/>
        <v>='C:\Users\jaime.benazar\Quorum Business Solutions\Ecopetrol Prometeo - Documents\Planning Space Implementation\3. Analysis &amp; Design\Design\FC22\DRR Jaime\QUIFA-CAJÚA\Cajua\[CAJUA_CF_SEC_New_27-Feb-2024Rev3.xlsx]D-PRB'!$DT$18</v>
      </c>
      <c r="J3162" s="37" t="s">
        <v>3412</v>
      </c>
    </row>
    <row r="3163" spans="1:10" x14ac:dyDescent="0.25">
      <c r="A3163" s="32" t="s">
        <v>4</v>
      </c>
      <c r="B3163" s="32">
        <f t="shared" si="752"/>
        <v>2030</v>
      </c>
      <c r="C3163" s="33" t="s">
        <v>42</v>
      </c>
      <c r="D3163" s="34" t="s">
        <v>1999</v>
      </c>
      <c r="E3163" s="35" t="str">
        <f t="shared" si="719"/>
        <v>PRB'!</v>
      </c>
      <c r="F3163" s="34" t="str">
        <f t="shared" si="720"/>
        <v>C:\Users\jaime.benazar\Quorum Business Solutions\Ecopetrol Prometeo - Documents\Planning Space Implementation\3. Analysis &amp; Design\Design\FC22\DRR Jaime\QUIFA-CAJÚA\Cajua\[CAJUA_CF_SEC_New_27-Feb-2024Rev3.xlsx]D-PRB'!</v>
      </c>
      <c r="G3163" s="32" t="s">
        <v>117</v>
      </c>
      <c r="H3163" s="33">
        <f t="shared" si="751"/>
        <v>19</v>
      </c>
      <c r="I3163" s="33" t="str">
        <f t="shared" si="750"/>
        <v>='C:\Users\jaime.benazar\Quorum Business Solutions\Ecopetrol Prometeo - Documents\Planning Space Implementation\3. Analysis &amp; Design\Design\FC22\DRR Jaime\QUIFA-CAJÚA\Cajua\[CAJUA_CF_SEC_New_27-Feb-2024Rev3.xlsx]D-PRB'!$DT$19</v>
      </c>
      <c r="J3163" s="37" t="s">
        <v>3413</v>
      </c>
    </row>
    <row r="3164" spans="1:10" x14ac:dyDescent="0.25">
      <c r="A3164" s="32" t="s">
        <v>4</v>
      </c>
      <c r="B3164" s="32">
        <f t="shared" si="752"/>
        <v>2031</v>
      </c>
      <c r="C3164" s="33" t="s">
        <v>42</v>
      </c>
      <c r="D3164" s="34" t="s">
        <v>1999</v>
      </c>
      <c r="E3164" s="35" t="str">
        <f t="shared" si="719"/>
        <v>PRB'!</v>
      </c>
      <c r="F3164" s="34" t="str">
        <f t="shared" si="720"/>
        <v>C:\Users\jaime.benazar\Quorum Business Solutions\Ecopetrol Prometeo - Documents\Planning Space Implementation\3. Analysis &amp; Design\Design\FC22\DRR Jaime\QUIFA-CAJÚA\Cajua\[CAJUA_CF_SEC_New_27-Feb-2024Rev3.xlsx]D-PRB'!</v>
      </c>
      <c r="G3164" s="32" t="s">
        <v>117</v>
      </c>
      <c r="H3164" s="33">
        <f t="shared" si="751"/>
        <v>20</v>
      </c>
      <c r="I3164" s="33" t="str">
        <f t="shared" si="750"/>
        <v>='C:\Users\jaime.benazar\Quorum Business Solutions\Ecopetrol Prometeo - Documents\Planning Space Implementation\3. Analysis &amp; Design\Design\FC22\DRR Jaime\QUIFA-CAJÚA\Cajua\[CAJUA_CF_SEC_New_27-Feb-2024Rev3.xlsx]D-PRB'!$DT$20</v>
      </c>
      <c r="J3164" s="37" t="s">
        <v>3414</v>
      </c>
    </row>
    <row r="3165" spans="1:10" x14ac:dyDescent="0.25">
      <c r="A3165" s="32" t="s">
        <v>4</v>
      </c>
      <c r="B3165" s="32">
        <f t="shared" si="752"/>
        <v>2032</v>
      </c>
      <c r="C3165" s="33" t="s">
        <v>42</v>
      </c>
      <c r="D3165" s="34" t="s">
        <v>1999</v>
      </c>
      <c r="E3165" s="35" t="str">
        <f t="shared" si="719"/>
        <v>PRB'!</v>
      </c>
      <c r="F3165" s="34" t="str">
        <f t="shared" si="720"/>
        <v>C:\Users\jaime.benazar\Quorum Business Solutions\Ecopetrol Prometeo - Documents\Planning Space Implementation\3. Analysis &amp; Design\Design\FC22\DRR Jaime\QUIFA-CAJÚA\Cajua\[CAJUA_CF_SEC_New_27-Feb-2024Rev3.xlsx]D-PRB'!</v>
      </c>
      <c r="G3165" s="32" t="s">
        <v>117</v>
      </c>
      <c r="H3165" s="33">
        <f t="shared" si="751"/>
        <v>21</v>
      </c>
      <c r="I3165" s="33" t="str">
        <f t="shared" si="750"/>
        <v>='C:\Users\jaime.benazar\Quorum Business Solutions\Ecopetrol Prometeo - Documents\Planning Space Implementation\3. Analysis &amp; Design\Design\FC22\DRR Jaime\QUIFA-CAJÚA\Cajua\[CAJUA_CF_SEC_New_27-Feb-2024Rev3.xlsx]D-PRB'!$DT$21</v>
      </c>
      <c r="J3165" s="37" t="s">
        <v>3415</v>
      </c>
    </row>
    <row r="3166" spans="1:10" x14ac:dyDescent="0.25">
      <c r="A3166" s="32" t="s">
        <v>4</v>
      </c>
      <c r="B3166" s="32">
        <f t="shared" si="752"/>
        <v>2033</v>
      </c>
      <c r="C3166" s="33" t="s">
        <v>42</v>
      </c>
      <c r="D3166" s="34" t="s">
        <v>1999</v>
      </c>
      <c r="E3166" s="35" t="str">
        <f t="shared" si="719"/>
        <v>PRB'!</v>
      </c>
      <c r="F3166" s="34" t="str">
        <f t="shared" si="720"/>
        <v>C:\Users\jaime.benazar\Quorum Business Solutions\Ecopetrol Prometeo - Documents\Planning Space Implementation\3. Analysis &amp; Design\Design\FC22\DRR Jaime\QUIFA-CAJÚA\Cajua\[CAJUA_CF_SEC_New_27-Feb-2024Rev3.xlsx]D-PRB'!</v>
      </c>
      <c r="G3166" s="32" t="s">
        <v>117</v>
      </c>
      <c r="H3166" s="33">
        <f t="shared" si="751"/>
        <v>22</v>
      </c>
      <c r="I3166" s="33" t="str">
        <f t="shared" si="750"/>
        <v>='C:\Users\jaime.benazar\Quorum Business Solutions\Ecopetrol Prometeo - Documents\Planning Space Implementation\3. Analysis &amp; Design\Design\FC22\DRR Jaime\QUIFA-CAJÚA\Cajua\[CAJUA_CF_SEC_New_27-Feb-2024Rev3.xlsx]D-PRB'!$DT$22</v>
      </c>
      <c r="J3166" s="37" t="s">
        <v>3416</v>
      </c>
    </row>
    <row r="3167" spans="1:10" x14ac:dyDescent="0.25">
      <c r="A3167" s="32" t="s">
        <v>4</v>
      </c>
      <c r="B3167" s="32">
        <f t="shared" si="752"/>
        <v>2034</v>
      </c>
      <c r="C3167" s="33" t="s">
        <v>42</v>
      </c>
      <c r="D3167" s="34" t="s">
        <v>1999</v>
      </c>
      <c r="E3167" s="35" t="str">
        <f t="shared" si="719"/>
        <v>PRB'!</v>
      </c>
      <c r="F3167" s="34" t="str">
        <f t="shared" si="720"/>
        <v>C:\Users\jaime.benazar\Quorum Business Solutions\Ecopetrol Prometeo - Documents\Planning Space Implementation\3. Analysis &amp; Design\Design\FC22\DRR Jaime\QUIFA-CAJÚA\Cajua\[CAJUA_CF_SEC_New_27-Feb-2024Rev3.xlsx]D-PRB'!</v>
      </c>
      <c r="G3167" s="32" t="s">
        <v>117</v>
      </c>
      <c r="H3167" s="33">
        <f t="shared" si="751"/>
        <v>23</v>
      </c>
      <c r="I3167" s="33" t="str">
        <f t="shared" si="750"/>
        <v>='C:\Users\jaime.benazar\Quorum Business Solutions\Ecopetrol Prometeo - Documents\Planning Space Implementation\3. Analysis &amp; Design\Design\FC22\DRR Jaime\QUIFA-CAJÚA\Cajua\[CAJUA_CF_SEC_New_27-Feb-2024Rev3.xlsx]D-PRB'!$DT$23</v>
      </c>
      <c r="J3167" s="37" t="s">
        <v>3417</v>
      </c>
    </row>
    <row r="3168" spans="1:10" x14ac:dyDescent="0.25">
      <c r="A3168" s="32" t="s">
        <v>4</v>
      </c>
      <c r="B3168" s="32">
        <f t="shared" si="752"/>
        <v>2035</v>
      </c>
      <c r="C3168" s="33" t="s">
        <v>42</v>
      </c>
      <c r="D3168" s="34" t="s">
        <v>1999</v>
      </c>
      <c r="E3168" s="35" t="str">
        <f t="shared" si="719"/>
        <v>PRB'!</v>
      </c>
      <c r="F3168" s="34" t="str">
        <f t="shared" si="720"/>
        <v>C:\Users\jaime.benazar\Quorum Business Solutions\Ecopetrol Prometeo - Documents\Planning Space Implementation\3. Analysis &amp; Design\Design\FC22\DRR Jaime\QUIFA-CAJÚA\Cajua\[CAJUA_CF_SEC_New_27-Feb-2024Rev3.xlsx]D-PRB'!</v>
      </c>
      <c r="G3168" s="32" t="s">
        <v>117</v>
      </c>
      <c r="H3168" s="33">
        <f t="shared" si="751"/>
        <v>24</v>
      </c>
      <c r="I3168" s="33" t="str">
        <f t="shared" si="750"/>
        <v>='C:\Users\jaime.benazar\Quorum Business Solutions\Ecopetrol Prometeo - Documents\Planning Space Implementation\3. Analysis &amp; Design\Design\FC22\DRR Jaime\QUIFA-CAJÚA\Cajua\[CAJUA_CF_SEC_New_27-Feb-2024Rev3.xlsx]D-PRB'!$DT$24</v>
      </c>
      <c r="J3168" s="37" t="s">
        <v>3418</v>
      </c>
    </row>
    <row r="3169" spans="1:10" x14ac:dyDescent="0.25">
      <c r="A3169" s="32" t="s">
        <v>4</v>
      </c>
      <c r="B3169" s="32">
        <f t="shared" si="752"/>
        <v>2036</v>
      </c>
      <c r="C3169" s="33" t="s">
        <v>42</v>
      </c>
      <c r="D3169" s="34" t="s">
        <v>1999</v>
      </c>
      <c r="E3169" s="35" t="str">
        <f t="shared" si="719"/>
        <v>PRB'!</v>
      </c>
      <c r="F3169" s="34" t="str">
        <f t="shared" si="720"/>
        <v>C:\Users\jaime.benazar\Quorum Business Solutions\Ecopetrol Prometeo - Documents\Planning Space Implementation\3. Analysis &amp; Design\Design\FC22\DRR Jaime\QUIFA-CAJÚA\Cajua\[CAJUA_CF_SEC_New_27-Feb-2024Rev3.xlsx]D-PRB'!</v>
      </c>
      <c r="G3169" s="32" t="s">
        <v>117</v>
      </c>
      <c r="H3169" s="33">
        <f t="shared" si="751"/>
        <v>25</v>
      </c>
      <c r="I3169" s="33" t="str">
        <f t="shared" si="750"/>
        <v>='C:\Users\jaime.benazar\Quorum Business Solutions\Ecopetrol Prometeo - Documents\Planning Space Implementation\3. Analysis &amp; Design\Design\FC22\DRR Jaime\QUIFA-CAJÚA\Cajua\[CAJUA_CF_SEC_New_27-Feb-2024Rev3.xlsx]D-PRB'!$DT$25</v>
      </c>
      <c r="J3169" s="37" t="s">
        <v>3419</v>
      </c>
    </row>
    <row r="3170" spans="1:10" x14ac:dyDescent="0.25">
      <c r="A3170" s="32" t="s">
        <v>4</v>
      </c>
      <c r="B3170" s="32">
        <f>+B3169+1</f>
        <v>2037</v>
      </c>
      <c r="C3170" s="33" t="s">
        <v>42</v>
      </c>
      <c r="D3170" s="34" t="s">
        <v>1999</v>
      </c>
      <c r="E3170" s="35" t="str">
        <f t="shared" si="719"/>
        <v>PRB'!</v>
      </c>
      <c r="F3170" s="34" t="str">
        <f t="shared" si="720"/>
        <v>C:\Users\jaime.benazar\Quorum Business Solutions\Ecopetrol Prometeo - Documents\Planning Space Implementation\3. Analysis &amp; Design\Design\FC22\DRR Jaime\QUIFA-CAJÚA\Cajua\[CAJUA_CF_SEC_New_27-Feb-2024Rev3.xlsx]D-PRB'!</v>
      </c>
      <c r="G3170" s="32" t="s">
        <v>117</v>
      </c>
      <c r="H3170" s="33">
        <f t="shared" si="751"/>
        <v>26</v>
      </c>
      <c r="I3170" s="33" t="str">
        <f t="shared" si="750"/>
        <v>='C:\Users\jaime.benazar\Quorum Business Solutions\Ecopetrol Prometeo - Documents\Planning Space Implementation\3. Analysis &amp; Design\Design\FC22\DRR Jaime\QUIFA-CAJÚA\Cajua\[CAJUA_CF_SEC_New_27-Feb-2024Rev3.xlsx]D-PRB'!$DT$26</v>
      </c>
      <c r="J3170" s="37" t="s">
        <v>3420</v>
      </c>
    </row>
    <row r="3171" spans="1:10" x14ac:dyDescent="0.25">
      <c r="A3171" s="32" t="s">
        <v>4</v>
      </c>
      <c r="B3171" s="32">
        <f t="shared" ref="B3171:B3173" si="753">+B3170+1</f>
        <v>2038</v>
      </c>
      <c r="C3171" s="33" t="s">
        <v>42</v>
      </c>
      <c r="D3171" s="34" t="s">
        <v>1999</v>
      </c>
      <c r="E3171" s="35" t="str">
        <f t="shared" si="719"/>
        <v>PRB'!</v>
      </c>
      <c r="F3171" s="34" t="str">
        <f t="shared" si="720"/>
        <v>C:\Users\jaime.benazar\Quorum Business Solutions\Ecopetrol Prometeo - Documents\Planning Space Implementation\3. Analysis &amp; Design\Design\FC22\DRR Jaime\QUIFA-CAJÚA\Cajua\[CAJUA_CF_SEC_New_27-Feb-2024Rev3.xlsx]D-PRB'!</v>
      </c>
      <c r="G3171" s="32" t="s">
        <v>117</v>
      </c>
      <c r="H3171" s="33">
        <f t="shared" si="751"/>
        <v>27</v>
      </c>
      <c r="I3171" s="33" t="str">
        <f t="shared" si="750"/>
        <v>='C:\Users\jaime.benazar\Quorum Business Solutions\Ecopetrol Prometeo - Documents\Planning Space Implementation\3. Analysis &amp; Design\Design\FC22\DRR Jaime\QUIFA-CAJÚA\Cajua\[CAJUA_CF_SEC_New_27-Feb-2024Rev3.xlsx]D-PRB'!$DT$27</v>
      </c>
      <c r="J3171" s="37" t="s">
        <v>3421</v>
      </c>
    </row>
    <row r="3172" spans="1:10" x14ac:dyDescent="0.25">
      <c r="A3172" s="32" t="s">
        <v>4</v>
      </c>
      <c r="B3172" s="32">
        <f t="shared" si="753"/>
        <v>2039</v>
      </c>
      <c r="C3172" s="33" t="s">
        <v>42</v>
      </c>
      <c r="D3172" s="34" t="s">
        <v>1999</v>
      </c>
      <c r="E3172" s="35" t="str">
        <f t="shared" si="719"/>
        <v>PRB'!</v>
      </c>
      <c r="F3172" s="34" t="str">
        <f t="shared" si="720"/>
        <v>C:\Users\jaime.benazar\Quorum Business Solutions\Ecopetrol Prometeo - Documents\Planning Space Implementation\3. Analysis &amp; Design\Design\FC22\DRR Jaime\QUIFA-CAJÚA\Cajua\[CAJUA_CF_SEC_New_27-Feb-2024Rev3.xlsx]D-PRB'!</v>
      </c>
      <c r="G3172" s="32" t="s">
        <v>117</v>
      </c>
      <c r="H3172" s="33">
        <f t="shared" si="751"/>
        <v>28</v>
      </c>
      <c r="I3172" s="33" t="str">
        <f t="shared" si="750"/>
        <v>='C:\Users\jaime.benazar\Quorum Business Solutions\Ecopetrol Prometeo - Documents\Planning Space Implementation\3. Analysis &amp; Design\Design\FC22\DRR Jaime\QUIFA-CAJÚA\Cajua\[CAJUA_CF_SEC_New_27-Feb-2024Rev3.xlsx]D-PRB'!$DT$28</v>
      </c>
      <c r="J3172" s="37" t="s">
        <v>3422</v>
      </c>
    </row>
    <row r="3173" spans="1:10" x14ac:dyDescent="0.25">
      <c r="A3173" s="32" t="s">
        <v>4</v>
      </c>
      <c r="B3173" s="32">
        <f t="shared" si="753"/>
        <v>2040</v>
      </c>
      <c r="C3173" s="33" t="s">
        <v>42</v>
      </c>
      <c r="D3173" s="34" t="s">
        <v>1999</v>
      </c>
      <c r="E3173" s="35" t="str">
        <f t="shared" si="719"/>
        <v>PRB'!</v>
      </c>
      <c r="F3173" s="34" t="str">
        <f t="shared" si="720"/>
        <v>C:\Users\jaime.benazar\Quorum Business Solutions\Ecopetrol Prometeo - Documents\Planning Space Implementation\3. Analysis &amp; Design\Design\FC22\DRR Jaime\QUIFA-CAJÚA\Cajua\[CAJUA_CF_SEC_New_27-Feb-2024Rev3.xlsx]D-PRB'!</v>
      </c>
      <c r="G3173" s="32" t="s">
        <v>117</v>
      </c>
      <c r="H3173" s="33">
        <f t="shared" si="751"/>
        <v>29</v>
      </c>
      <c r="I3173" s="33" t="str">
        <f t="shared" si="750"/>
        <v>='C:\Users\jaime.benazar\Quorum Business Solutions\Ecopetrol Prometeo - Documents\Planning Space Implementation\3. Analysis &amp; Design\Design\FC22\DRR Jaime\QUIFA-CAJÚA\Cajua\[CAJUA_CF_SEC_New_27-Feb-2024Rev3.xlsx]D-PRB'!$DT$29</v>
      </c>
      <c r="J3173" s="37" t="s">
        <v>3423</v>
      </c>
    </row>
    <row r="3174" spans="1:10" x14ac:dyDescent="0.25">
      <c r="A3174" s="32" t="s">
        <v>4</v>
      </c>
      <c r="B3174" s="32">
        <f>+B3173+1</f>
        <v>2041</v>
      </c>
      <c r="C3174" s="33" t="s">
        <v>42</v>
      </c>
      <c r="D3174" s="34" t="s">
        <v>1999</v>
      </c>
      <c r="E3174" s="35" t="str">
        <f t="shared" si="719"/>
        <v>PRB'!</v>
      </c>
      <c r="F3174" s="34" t="str">
        <f t="shared" si="720"/>
        <v>C:\Users\jaime.benazar\Quorum Business Solutions\Ecopetrol Prometeo - Documents\Planning Space Implementation\3. Analysis &amp; Design\Design\FC22\DRR Jaime\QUIFA-CAJÚA\Cajua\[CAJUA_CF_SEC_New_27-Feb-2024Rev3.xlsx]D-PRB'!</v>
      </c>
      <c r="G3174" s="32" t="s">
        <v>117</v>
      </c>
      <c r="H3174" s="33">
        <f t="shared" si="751"/>
        <v>30</v>
      </c>
      <c r="I3174" s="33" t="str">
        <f t="shared" si="750"/>
        <v>='C:\Users\jaime.benazar\Quorum Business Solutions\Ecopetrol Prometeo - Documents\Planning Space Implementation\3. Analysis &amp; Design\Design\FC22\DRR Jaime\QUIFA-CAJÚA\Cajua\[CAJUA_CF_SEC_New_27-Feb-2024Rev3.xlsx]D-PRB'!$DT$30</v>
      </c>
      <c r="J3174" s="37" t="s">
        <v>3424</v>
      </c>
    </row>
    <row r="3175" spans="1:10" x14ac:dyDescent="0.25">
      <c r="A3175" s="32" t="s">
        <v>4</v>
      </c>
      <c r="B3175" s="32">
        <f t="shared" ref="B3175:B3176" si="754">+B3174+1</f>
        <v>2042</v>
      </c>
      <c r="C3175" s="33" t="s">
        <v>42</v>
      </c>
      <c r="D3175" s="34" t="s">
        <v>1999</v>
      </c>
      <c r="E3175" s="35" t="str">
        <f t="shared" si="719"/>
        <v>PRB'!</v>
      </c>
      <c r="F3175" s="34" t="str">
        <f t="shared" si="720"/>
        <v>C:\Users\jaime.benazar\Quorum Business Solutions\Ecopetrol Prometeo - Documents\Planning Space Implementation\3. Analysis &amp; Design\Design\FC22\DRR Jaime\QUIFA-CAJÚA\Cajua\[CAJUA_CF_SEC_New_27-Feb-2024Rev3.xlsx]D-PRB'!</v>
      </c>
      <c r="G3175" s="32" t="s">
        <v>117</v>
      </c>
      <c r="H3175" s="33">
        <f t="shared" si="751"/>
        <v>31</v>
      </c>
      <c r="I3175" s="33" t="str">
        <f t="shared" si="750"/>
        <v>='C:\Users\jaime.benazar\Quorum Business Solutions\Ecopetrol Prometeo - Documents\Planning Space Implementation\3. Analysis &amp; Design\Design\FC22\DRR Jaime\QUIFA-CAJÚA\Cajua\[CAJUA_CF_SEC_New_27-Feb-2024Rev3.xlsx]D-PRB'!$DT$31</v>
      </c>
      <c r="J3175" s="37" t="s">
        <v>3425</v>
      </c>
    </row>
    <row r="3176" spans="1:10" x14ac:dyDescent="0.25">
      <c r="A3176" s="32" t="s">
        <v>4</v>
      </c>
      <c r="B3176" s="32">
        <f t="shared" si="754"/>
        <v>2043</v>
      </c>
      <c r="C3176" s="33" t="s">
        <v>42</v>
      </c>
      <c r="D3176" s="34" t="s">
        <v>1999</v>
      </c>
      <c r="E3176" s="35" t="str">
        <f t="shared" si="719"/>
        <v>PRB'!</v>
      </c>
      <c r="F3176" s="34" t="str">
        <f t="shared" si="720"/>
        <v>C:\Users\jaime.benazar\Quorum Business Solutions\Ecopetrol Prometeo - Documents\Planning Space Implementation\3. Analysis &amp; Design\Design\FC22\DRR Jaime\QUIFA-CAJÚA\Cajua\[CAJUA_CF_SEC_New_27-Feb-2024Rev3.xlsx]D-PRB'!</v>
      </c>
      <c r="G3176" s="32" t="s">
        <v>117</v>
      </c>
      <c r="H3176" s="33">
        <f t="shared" si="751"/>
        <v>32</v>
      </c>
      <c r="I3176" s="33" t="str">
        <f t="shared" si="750"/>
        <v>='C:\Users\jaime.benazar\Quorum Business Solutions\Ecopetrol Prometeo - Documents\Planning Space Implementation\3. Analysis &amp; Design\Design\FC22\DRR Jaime\QUIFA-CAJÚA\Cajua\[CAJUA_CF_SEC_New_27-Feb-2024Rev3.xlsx]D-PRB'!$DT$32</v>
      </c>
      <c r="J3176" s="37" t="s">
        <v>3426</v>
      </c>
    </row>
    <row r="3177" spans="1:10" x14ac:dyDescent="0.25">
      <c r="A3177" s="32" t="s">
        <v>4</v>
      </c>
      <c r="B3177" s="32">
        <f>+B3176+1</f>
        <v>2044</v>
      </c>
      <c r="C3177" s="33" t="s">
        <v>42</v>
      </c>
      <c r="D3177" s="34" t="s">
        <v>1999</v>
      </c>
      <c r="E3177" s="35" t="str">
        <f t="shared" ref="E3177:E3192" si="755">_xlfn.CONCAT(A3177,"'!")</f>
        <v>PRB'!</v>
      </c>
      <c r="F3177" s="34" t="str">
        <f t="shared" ref="F3177:F3192" si="756">_xlfn.CONCAT(D3177:E3177)</f>
        <v>C:\Users\jaime.benazar\Quorum Business Solutions\Ecopetrol Prometeo - Documents\Planning Space Implementation\3. Analysis &amp; Design\Design\FC22\DRR Jaime\QUIFA-CAJÚA\Cajua\[CAJUA_CF_SEC_New_27-Feb-2024Rev3.xlsx]D-PRB'!</v>
      </c>
      <c r="G3177" s="32" t="s">
        <v>117</v>
      </c>
      <c r="H3177" s="33">
        <f t="shared" ref="H3177:H3192" si="757">IF(A3177&lt;&gt;A3176,12,H3176+1)</f>
        <v>33</v>
      </c>
      <c r="I3177" s="33" t="str">
        <f t="shared" ref="I3177:I3192" si="758">_xlfn.CONCAT("='",F3177:H3177)</f>
        <v>='C:\Users\jaime.benazar\Quorum Business Solutions\Ecopetrol Prometeo - Documents\Planning Space Implementation\3. Analysis &amp; Design\Design\FC22\DRR Jaime\QUIFA-CAJÚA\Cajua\[CAJUA_CF_SEC_New_27-Feb-2024Rev3.xlsx]D-PRB'!$DT$33</v>
      </c>
      <c r="J3177" s="37" t="s">
        <v>3427</v>
      </c>
    </row>
    <row r="3178" spans="1:10" x14ac:dyDescent="0.25">
      <c r="A3178" s="32" t="s">
        <v>4</v>
      </c>
      <c r="B3178" s="32">
        <f t="shared" ref="B3178:B3192" si="759">+B3177+1</f>
        <v>2045</v>
      </c>
      <c r="C3178" s="33" t="s">
        <v>42</v>
      </c>
      <c r="D3178" s="34" t="s">
        <v>1999</v>
      </c>
      <c r="E3178" s="35" t="str">
        <f t="shared" si="755"/>
        <v>PRB'!</v>
      </c>
      <c r="F3178" s="34" t="str">
        <f t="shared" si="756"/>
        <v>C:\Users\jaime.benazar\Quorum Business Solutions\Ecopetrol Prometeo - Documents\Planning Space Implementation\3. Analysis &amp; Design\Design\FC22\DRR Jaime\QUIFA-CAJÚA\Cajua\[CAJUA_CF_SEC_New_27-Feb-2024Rev3.xlsx]D-PRB'!</v>
      </c>
      <c r="G3178" s="32" t="s">
        <v>117</v>
      </c>
      <c r="H3178" s="33">
        <f t="shared" si="757"/>
        <v>34</v>
      </c>
      <c r="I3178" s="33" t="str">
        <f t="shared" si="758"/>
        <v>='C:\Users\jaime.benazar\Quorum Business Solutions\Ecopetrol Prometeo - Documents\Planning Space Implementation\3. Analysis &amp; Design\Design\FC22\DRR Jaime\QUIFA-CAJÚA\Cajua\[CAJUA_CF_SEC_New_27-Feb-2024Rev3.xlsx]D-PRB'!$DT$34</v>
      </c>
      <c r="J3178" s="37" t="s">
        <v>3428</v>
      </c>
    </row>
    <row r="3179" spans="1:10" x14ac:dyDescent="0.25">
      <c r="A3179" s="32" t="s">
        <v>4</v>
      </c>
      <c r="B3179" s="32">
        <f t="shared" si="759"/>
        <v>2046</v>
      </c>
      <c r="C3179" s="33" t="s">
        <v>42</v>
      </c>
      <c r="D3179" s="34" t="s">
        <v>1999</v>
      </c>
      <c r="E3179" s="35" t="str">
        <f t="shared" si="755"/>
        <v>PRB'!</v>
      </c>
      <c r="F3179" s="34" t="str">
        <f t="shared" si="756"/>
        <v>C:\Users\jaime.benazar\Quorum Business Solutions\Ecopetrol Prometeo - Documents\Planning Space Implementation\3. Analysis &amp; Design\Design\FC22\DRR Jaime\QUIFA-CAJÚA\Cajua\[CAJUA_CF_SEC_New_27-Feb-2024Rev3.xlsx]D-PRB'!</v>
      </c>
      <c r="G3179" s="32" t="s">
        <v>117</v>
      </c>
      <c r="H3179" s="33">
        <f t="shared" si="757"/>
        <v>35</v>
      </c>
      <c r="I3179" s="33" t="str">
        <f t="shared" si="758"/>
        <v>='C:\Users\jaime.benazar\Quorum Business Solutions\Ecopetrol Prometeo - Documents\Planning Space Implementation\3. Analysis &amp; Design\Design\FC22\DRR Jaime\QUIFA-CAJÚA\Cajua\[CAJUA_CF_SEC_New_27-Feb-2024Rev3.xlsx]D-PRB'!$DT$35</v>
      </c>
      <c r="J3179" s="37" t="s">
        <v>3429</v>
      </c>
    </row>
    <row r="3180" spans="1:10" x14ac:dyDescent="0.25">
      <c r="A3180" s="32" t="s">
        <v>4</v>
      </c>
      <c r="B3180" s="32">
        <f t="shared" si="759"/>
        <v>2047</v>
      </c>
      <c r="C3180" s="33" t="s">
        <v>42</v>
      </c>
      <c r="D3180" s="34" t="s">
        <v>1999</v>
      </c>
      <c r="E3180" s="35" t="str">
        <f t="shared" si="755"/>
        <v>PRB'!</v>
      </c>
      <c r="F3180" s="34" t="str">
        <f t="shared" si="756"/>
        <v>C:\Users\jaime.benazar\Quorum Business Solutions\Ecopetrol Prometeo - Documents\Planning Space Implementation\3. Analysis &amp; Design\Design\FC22\DRR Jaime\QUIFA-CAJÚA\Cajua\[CAJUA_CF_SEC_New_27-Feb-2024Rev3.xlsx]D-PRB'!</v>
      </c>
      <c r="G3180" s="32" t="s">
        <v>117</v>
      </c>
      <c r="H3180" s="33">
        <f t="shared" si="757"/>
        <v>36</v>
      </c>
      <c r="I3180" s="33" t="str">
        <f t="shared" si="758"/>
        <v>='C:\Users\jaime.benazar\Quorum Business Solutions\Ecopetrol Prometeo - Documents\Planning Space Implementation\3. Analysis &amp; Design\Design\FC22\DRR Jaime\QUIFA-CAJÚA\Cajua\[CAJUA_CF_SEC_New_27-Feb-2024Rev3.xlsx]D-PRB'!$DT$36</v>
      </c>
      <c r="J3180" s="37" t="s">
        <v>3430</v>
      </c>
    </row>
    <row r="3181" spans="1:10" x14ac:dyDescent="0.25">
      <c r="A3181" s="32" t="s">
        <v>4</v>
      </c>
      <c r="B3181" s="32">
        <f t="shared" si="759"/>
        <v>2048</v>
      </c>
      <c r="C3181" s="33" t="s">
        <v>42</v>
      </c>
      <c r="D3181" s="34" t="s">
        <v>1999</v>
      </c>
      <c r="E3181" s="35" t="str">
        <f t="shared" si="755"/>
        <v>PRB'!</v>
      </c>
      <c r="F3181" s="34" t="str">
        <f t="shared" si="756"/>
        <v>C:\Users\jaime.benazar\Quorum Business Solutions\Ecopetrol Prometeo - Documents\Planning Space Implementation\3. Analysis &amp; Design\Design\FC22\DRR Jaime\QUIFA-CAJÚA\Cajua\[CAJUA_CF_SEC_New_27-Feb-2024Rev3.xlsx]D-PRB'!</v>
      </c>
      <c r="G3181" s="32" t="s">
        <v>117</v>
      </c>
      <c r="H3181" s="33">
        <f t="shared" si="757"/>
        <v>37</v>
      </c>
      <c r="I3181" s="33" t="str">
        <f t="shared" si="758"/>
        <v>='C:\Users\jaime.benazar\Quorum Business Solutions\Ecopetrol Prometeo - Documents\Planning Space Implementation\3. Analysis &amp; Design\Design\FC22\DRR Jaime\QUIFA-CAJÚA\Cajua\[CAJUA_CF_SEC_New_27-Feb-2024Rev3.xlsx]D-PRB'!$DT$37</v>
      </c>
      <c r="J3181" s="37" t="s">
        <v>3431</v>
      </c>
    </row>
    <row r="3182" spans="1:10" x14ac:dyDescent="0.25">
      <c r="A3182" s="32" t="s">
        <v>4</v>
      </c>
      <c r="B3182" s="32">
        <f t="shared" si="759"/>
        <v>2049</v>
      </c>
      <c r="C3182" s="33" t="s">
        <v>42</v>
      </c>
      <c r="D3182" s="34" t="s">
        <v>1999</v>
      </c>
      <c r="E3182" s="35" t="str">
        <f t="shared" si="755"/>
        <v>PRB'!</v>
      </c>
      <c r="F3182" s="34" t="str">
        <f t="shared" si="756"/>
        <v>C:\Users\jaime.benazar\Quorum Business Solutions\Ecopetrol Prometeo - Documents\Planning Space Implementation\3. Analysis &amp; Design\Design\FC22\DRR Jaime\QUIFA-CAJÚA\Cajua\[CAJUA_CF_SEC_New_27-Feb-2024Rev3.xlsx]D-PRB'!</v>
      </c>
      <c r="G3182" s="32" t="s">
        <v>117</v>
      </c>
      <c r="H3182" s="33">
        <f t="shared" si="757"/>
        <v>38</v>
      </c>
      <c r="I3182" s="33" t="str">
        <f t="shared" si="758"/>
        <v>='C:\Users\jaime.benazar\Quorum Business Solutions\Ecopetrol Prometeo - Documents\Planning Space Implementation\3. Analysis &amp; Design\Design\FC22\DRR Jaime\QUIFA-CAJÚA\Cajua\[CAJUA_CF_SEC_New_27-Feb-2024Rev3.xlsx]D-PRB'!$DT$38</v>
      </c>
      <c r="J3182" s="37" t="s">
        <v>3432</v>
      </c>
    </row>
    <row r="3183" spans="1:10" x14ac:dyDescent="0.25">
      <c r="A3183" s="32" t="s">
        <v>4</v>
      </c>
      <c r="B3183" s="32">
        <f t="shared" si="759"/>
        <v>2050</v>
      </c>
      <c r="C3183" s="33" t="s">
        <v>42</v>
      </c>
      <c r="D3183" s="34" t="s">
        <v>1999</v>
      </c>
      <c r="E3183" s="35" t="str">
        <f t="shared" si="755"/>
        <v>PRB'!</v>
      </c>
      <c r="F3183" s="34" t="str">
        <f t="shared" si="756"/>
        <v>C:\Users\jaime.benazar\Quorum Business Solutions\Ecopetrol Prometeo - Documents\Planning Space Implementation\3. Analysis &amp; Design\Design\FC22\DRR Jaime\QUIFA-CAJÚA\Cajua\[CAJUA_CF_SEC_New_27-Feb-2024Rev3.xlsx]D-PRB'!</v>
      </c>
      <c r="G3183" s="32" t="s">
        <v>117</v>
      </c>
      <c r="H3183" s="33">
        <f t="shared" si="757"/>
        <v>39</v>
      </c>
      <c r="I3183" s="33" t="str">
        <f t="shared" si="758"/>
        <v>='C:\Users\jaime.benazar\Quorum Business Solutions\Ecopetrol Prometeo - Documents\Planning Space Implementation\3. Analysis &amp; Design\Design\FC22\DRR Jaime\QUIFA-CAJÚA\Cajua\[CAJUA_CF_SEC_New_27-Feb-2024Rev3.xlsx]D-PRB'!$DT$39</v>
      </c>
      <c r="J3183" s="37" t="s">
        <v>3433</v>
      </c>
    </row>
    <row r="3184" spans="1:10" x14ac:dyDescent="0.25">
      <c r="A3184" s="32" t="s">
        <v>4</v>
      </c>
      <c r="B3184" s="32">
        <f t="shared" si="759"/>
        <v>2051</v>
      </c>
      <c r="C3184" s="33" t="s">
        <v>42</v>
      </c>
      <c r="D3184" s="34" t="s">
        <v>1999</v>
      </c>
      <c r="E3184" s="35" t="str">
        <f t="shared" si="755"/>
        <v>PRB'!</v>
      </c>
      <c r="F3184" s="34" t="str">
        <f t="shared" si="756"/>
        <v>C:\Users\jaime.benazar\Quorum Business Solutions\Ecopetrol Prometeo - Documents\Planning Space Implementation\3. Analysis &amp; Design\Design\FC22\DRR Jaime\QUIFA-CAJÚA\Cajua\[CAJUA_CF_SEC_New_27-Feb-2024Rev3.xlsx]D-PRB'!</v>
      </c>
      <c r="G3184" s="32" t="s">
        <v>117</v>
      </c>
      <c r="H3184" s="33">
        <f t="shared" si="757"/>
        <v>40</v>
      </c>
      <c r="I3184" s="33" t="str">
        <f t="shared" si="758"/>
        <v>='C:\Users\jaime.benazar\Quorum Business Solutions\Ecopetrol Prometeo - Documents\Planning Space Implementation\3. Analysis &amp; Design\Design\FC22\DRR Jaime\QUIFA-CAJÚA\Cajua\[CAJUA_CF_SEC_New_27-Feb-2024Rev3.xlsx]D-PRB'!$DT$40</v>
      </c>
      <c r="J3184" s="37" t="s">
        <v>3434</v>
      </c>
    </row>
    <row r="3185" spans="1:10" x14ac:dyDescent="0.25">
      <c r="A3185" s="32" t="s">
        <v>4</v>
      </c>
      <c r="B3185" s="32">
        <f t="shared" si="759"/>
        <v>2052</v>
      </c>
      <c r="C3185" s="33" t="s">
        <v>42</v>
      </c>
      <c r="D3185" s="34" t="s">
        <v>1999</v>
      </c>
      <c r="E3185" s="35" t="str">
        <f t="shared" si="755"/>
        <v>PRB'!</v>
      </c>
      <c r="F3185" s="34" t="str">
        <f t="shared" si="756"/>
        <v>C:\Users\jaime.benazar\Quorum Business Solutions\Ecopetrol Prometeo - Documents\Planning Space Implementation\3. Analysis &amp; Design\Design\FC22\DRR Jaime\QUIFA-CAJÚA\Cajua\[CAJUA_CF_SEC_New_27-Feb-2024Rev3.xlsx]D-PRB'!</v>
      </c>
      <c r="G3185" s="32" t="s">
        <v>117</v>
      </c>
      <c r="H3185" s="33">
        <f t="shared" si="757"/>
        <v>41</v>
      </c>
      <c r="I3185" s="33" t="str">
        <f t="shared" si="758"/>
        <v>='C:\Users\jaime.benazar\Quorum Business Solutions\Ecopetrol Prometeo - Documents\Planning Space Implementation\3. Analysis &amp; Design\Design\FC22\DRR Jaime\QUIFA-CAJÚA\Cajua\[CAJUA_CF_SEC_New_27-Feb-2024Rev3.xlsx]D-PRB'!$DT$41</v>
      </c>
      <c r="J3185" s="37" t="s">
        <v>3435</v>
      </c>
    </row>
    <row r="3186" spans="1:10" x14ac:dyDescent="0.25">
      <c r="A3186" s="32" t="s">
        <v>4</v>
      </c>
      <c r="B3186" s="32">
        <f t="shared" si="759"/>
        <v>2053</v>
      </c>
      <c r="C3186" s="33" t="s">
        <v>42</v>
      </c>
      <c r="D3186" s="34" t="s">
        <v>1999</v>
      </c>
      <c r="E3186" s="35" t="str">
        <f t="shared" si="755"/>
        <v>PRB'!</v>
      </c>
      <c r="F3186" s="34" t="str">
        <f t="shared" si="756"/>
        <v>C:\Users\jaime.benazar\Quorum Business Solutions\Ecopetrol Prometeo - Documents\Planning Space Implementation\3. Analysis &amp; Design\Design\FC22\DRR Jaime\QUIFA-CAJÚA\Cajua\[CAJUA_CF_SEC_New_27-Feb-2024Rev3.xlsx]D-PRB'!</v>
      </c>
      <c r="G3186" s="32" t="s">
        <v>117</v>
      </c>
      <c r="H3186" s="33">
        <f t="shared" si="757"/>
        <v>42</v>
      </c>
      <c r="I3186" s="33" t="str">
        <f t="shared" si="758"/>
        <v>='C:\Users\jaime.benazar\Quorum Business Solutions\Ecopetrol Prometeo - Documents\Planning Space Implementation\3. Analysis &amp; Design\Design\FC22\DRR Jaime\QUIFA-CAJÚA\Cajua\[CAJUA_CF_SEC_New_27-Feb-2024Rev3.xlsx]D-PRB'!$DT$42</v>
      </c>
      <c r="J3186" s="37" t="s">
        <v>3436</v>
      </c>
    </row>
    <row r="3187" spans="1:10" x14ac:dyDescent="0.25">
      <c r="A3187" s="32" t="s">
        <v>4</v>
      </c>
      <c r="B3187" s="32">
        <f t="shared" si="759"/>
        <v>2054</v>
      </c>
      <c r="C3187" s="33" t="s">
        <v>42</v>
      </c>
      <c r="D3187" s="34" t="s">
        <v>1999</v>
      </c>
      <c r="E3187" s="35" t="str">
        <f t="shared" si="755"/>
        <v>PRB'!</v>
      </c>
      <c r="F3187" s="34" t="str">
        <f t="shared" si="756"/>
        <v>C:\Users\jaime.benazar\Quorum Business Solutions\Ecopetrol Prometeo - Documents\Planning Space Implementation\3. Analysis &amp; Design\Design\FC22\DRR Jaime\QUIFA-CAJÚA\Cajua\[CAJUA_CF_SEC_New_27-Feb-2024Rev3.xlsx]D-PRB'!</v>
      </c>
      <c r="G3187" s="32" t="s">
        <v>117</v>
      </c>
      <c r="H3187" s="33">
        <f t="shared" si="757"/>
        <v>43</v>
      </c>
      <c r="I3187" s="33" t="str">
        <f t="shared" si="758"/>
        <v>='C:\Users\jaime.benazar\Quorum Business Solutions\Ecopetrol Prometeo - Documents\Planning Space Implementation\3. Analysis &amp; Design\Design\FC22\DRR Jaime\QUIFA-CAJÚA\Cajua\[CAJUA_CF_SEC_New_27-Feb-2024Rev3.xlsx]D-PRB'!$DT$43</v>
      </c>
      <c r="J3187" s="37" t="s">
        <v>3437</v>
      </c>
    </row>
    <row r="3188" spans="1:10" x14ac:dyDescent="0.25">
      <c r="A3188" s="32" t="s">
        <v>4</v>
      </c>
      <c r="B3188" s="32">
        <f t="shared" si="759"/>
        <v>2055</v>
      </c>
      <c r="C3188" s="33" t="s">
        <v>42</v>
      </c>
      <c r="D3188" s="34" t="s">
        <v>1999</v>
      </c>
      <c r="E3188" s="35" t="str">
        <f t="shared" si="755"/>
        <v>PRB'!</v>
      </c>
      <c r="F3188" s="34" t="str">
        <f t="shared" si="756"/>
        <v>C:\Users\jaime.benazar\Quorum Business Solutions\Ecopetrol Prometeo - Documents\Planning Space Implementation\3. Analysis &amp; Design\Design\FC22\DRR Jaime\QUIFA-CAJÚA\Cajua\[CAJUA_CF_SEC_New_27-Feb-2024Rev3.xlsx]D-PRB'!</v>
      </c>
      <c r="G3188" s="32" t="s">
        <v>117</v>
      </c>
      <c r="H3188" s="33">
        <f t="shared" si="757"/>
        <v>44</v>
      </c>
      <c r="I3188" s="33" t="str">
        <f t="shared" si="758"/>
        <v>='C:\Users\jaime.benazar\Quorum Business Solutions\Ecopetrol Prometeo - Documents\Planning Space Implementation\3. Analysis &amp; Design\Design\FC22\DRR Jaime\QUIFA-CAJÚA\Cajua\[CAJUA_CF_SEC_New_27-Feb-2024Rev3.xlsx]D-PRB'!$DT$44</v>
      </c>
      <c r="J3188" s="37" t="s">
        <v>3438</v>
      </c>
    </row>
    <row r="3189" spans="1:10" x14ac:dyDescent="0.25">
      <c r="A3189" s="32" t="s">
        <v>4</v>
      </c>
      <c r="B3189" s="32">
        <f t="shared" si="759"/>
        <v>2056</v>
      </c>
      <c r="C3189" s="33" t="s">
        <v>42</v>
      </c>
      <c r="D3189" s="34" t="s">
        <v>1999</v>
      </c>
      <c r="E3189" s="35" t="str">
        <f t="shared" si="755"/>
        <v>PRB'!</v>
      </c>
      <c r="F3189" s="34" t="str">
        <f t="shared" si="756"/>
        <v>C:\Users\jaime.benazar\Quorum Business Solutions\Ecopetrol Prometeo - Documents\Planning Space Implementation\3. Analysis &amp; Design\Design\FC22\DRR Jaime\QUIFA-CAJÚA\Cajua\[CAJUA_CF_SEC_New_27-Feb-2024Rev3.xlsx]D-PRB'!</v>
      </c>
      <c r="G3189" s="32" t="s">
        <v>117</v>
      </c>
      <c r="H3189" s="33">
        <f t="shared" si="757"/>
        <v>45</v>
      </c>
      <c r="I3189" s="33" t="str">
        <f t="shared" si="758"/>
        <v>='C:\Users\jaime.benazar\Quorum Business Solutions\Ecopetrol Prometeo - Documents\Planning Space Implementation\3. Analysis &amp; Design\Design\FC22\DRR Jaime\QUIFA-CAJÚA\Cajua\[CAJUA_CF_SEC_New_27-Feb-2024Rev3.xlsx]D-PRB'!$DT$45</v>
      </c>
      <c r="J3189" s="37" t="s">
        <v>3439</v>
      </c>
    </row>
    <row r="3190" spans="1:10" x14ac:dyDescent="0.25">
      <c r="A3190" s="32" t="s">
        <v>4</v>
      </c>
      <c r="B3190" s="32">
        <f t="shared" si="759"/>
        <v>2057</v>
      </c>
      <c r="C3190" s="33" t="s">
        <v>42</v>
      </c>
      <c r="D3190" s="34" t="s">
        <v>1999</v>
      </c>
      <c r="E3190" s="35" t="str">
        <f t="shared" si="755"/>
        <v>PRB'!</v>
      </c>
      <c r="F3190" s="34" t="str">
        <f t="shared" si="756"/>
        <v>C:\Users\jaime.benazar\Quorum Business Solutions\Ecopetrol Prometeo - Documents\Planning Space Implementation\3. Analysis &amp; Design\Design\FC22\DRR Jaime\QUIFA-CAJÚA\Cajua\[CAJUA_CF_SEC_New_27-Feb-2024Rev3.xlsx]D-PRB'!</v>
      </c>
      <c r="G3190" s="32" t="s">
        <v>117</v>
      </c>
      <c r="H3190" s="33">
        <f t="shared" si="757"/>
        <v>46</v>
      </c>
      <c r="I3190" s="33" t="str">
        <f t="shared" si="758"/>
        <v>='C:\Users\jaime.benazar\Quorum Business Solutions\Ecopetrol Prometeo - Documents\Planning Space Implementation\3. Analysis &amp; Design\Design\FC22\DRR Jaime\QUIFA-CAJÚA\Cajua\[CAJUA_CF_SEC_New_27-Feb-2024Rev3.xlsx]D-PRB'!$DT$46</v>
      </c>
      <c r="J3190" s="37" t="s">
        <v>3440</v>
      </c>
    </row>
    <row r="3191" spans="1:10" x14ac:dyDescent="0.25">
      <c r="A3191" s="32" t="s">
        <v>4</v>
      </c>
      <c r="B3191" s="32">
        <f t="shared" si="759"/>
        <v>2058</v>
      </c>
      <c r="C3191" s="33" t="s">
        <v>42</v>
      </c>
      <c r="D3191" s="34" t="s">
        <v>1999</v>
      </c>
      <c r="E3191" s="35" t="str">
        <f t="shared" si="755"/>
        <v>PRB'!</v>
      </c>
      <c r="F3191" s="34" t="str">
        <f t="shared" si="756"/>
        <v>C:\Users\jaime.benazar\Quorum Business Solutions\Ecopetrol Prometeo - Documents\Planning Space Implementation\3. Analysis &amp; Design\Design\FC22\DRR Jaime\QUIFA-CAJÚA\Cajua\[CAJUA_CF_SEC_New_27-Feb-2024Rev3.xlsx]D-PRB'!</v>
      </c>
      <c r="G3191" s="32" t="s">
        <v>117</v>
      </c>
      <c r="H3191" s="33">
        <f t="shared" si="757"/>
        <v>47</v>
      </c>
      <c r="I3191" s="33" t="str">
        <f t="shared" si="758"/>
        <v>='C:\Users\jaime.benazar\Quorum Business Solutions\Ecopetrol Prometeo - Documents\Planning Space Implementation\3. Analysis &amp; Design\Design\FC22\DRR Jaime\QUIFA-CAJÚA\Cajua\[CAJUA_CF_SEC_New_27-Feb-2024Rev3.xlsx]D-PRB'!$DT$47</v>
      </c>
      <c r="J3191" s="37" t="s">
        <v>3441</v>
      </c>
    </row>
    <row r="3192" spans="1:10" x14ac:dyDescent="0.25">
      <c r="A3192" s="32" t="s">
        <v>4</v>
      </c>
      <c r="B3192" s="32">
        <f t="shared" si="759"/>
        <v>2059</v>
      </c>
      <c r="C3192" s="33" t="s">
        <v>42</v>
      </c>
      <c r="D3192" s="34" t="s">
        <v>1999</v>
      </c>
      <c r="E3192" s="35" t="str">
        <f t="shared" si="755"/>
        <v>PRB'!</v>
      </c>
      <c r="F3192" s="34" t="str">
        <f t="shared" si="756"/>
        <v>C:\Users\jaime.benazar\Quorum Business Solutions\Ecopetrol Prometeo - Documents\Planning Space Implementation\3. Analysis &amp; Design\Design\FC22\DRR Jaime\QUIFA-CAJÚA\Cajua\[CAJUA_CF_SEC_New_27-Feb-2024Rev3.xlsx]D-PRB'!</v>
      </c>
      <c r="G3192" s="32" t="s">
        <v>117</v>
      </c>
      <c r="H3192" s="33">
        <f t="shared" si="757"/>
        <v>48</v>
      </c>
      <c r="I3192" s="33" t="str">
        <f t="shared" si="758"/>
        <v>='C:\Users\jaime.benazar\Quorum Business Solutions\Ecopetrol Prometeo - Documents\Planning Space Implementation\3. Analysis &amp; Design\Design\FC22\DRR Jaime\QUIFA-CAJÚA\Cajua\[CAJUA_CF_SEC_New_27-Feb-2024Rev3.xlsx]D-PRB'!$DT$48</v>
      </c>
      <c r="J3192" s="37" t="s">
        <v>3442</v>
      </c>
    </row>
    <row r="3193" spans="1:10" x14ac:dyDescent="0.25">
      <c r="A3193" s="32" t="s">
        <v>28</v>
      </c>
      <c r="B3193" s="32"/>
      <c r="C3193" s="33" t="s">
        <v>42</v>
      </c>
      <c r="D3193" s="34"/>
      <c r="E3193" s="35"/>
      <c r="F3193" s="34"/>
      <c r="G3193" s="32"/>
      <c r="H3193" s="33"/>
      <c r="I3193" s="33"/>
      <c r="J3193" s="33"/>
    </row>
    <row r="3194" spans="1:10" x14ac:dyDescent="0.25">
      <c r="A3194" s="32" t="s">
        <v>102</v>
      </c>
      <c r="B3194" s="32">
        <v>2023</v>
      </c>
      <c r="C3194" s="33" t="s">
        <v>42</v>
      </c>
      <c r="D3194" s="34" t="s">
        <v>1999</v>
      </c>
      <c r="E3194" s="35" t="str">
        <f t="shared" ref="E3194:E3285" si="760">_xlfn.CONCAT(A3194,"'!")</f>
        <v>PSDP'!</v>
      </c>
      <c r="F3194" s="34" t="str">
        <f t="shared" ref="F3194:F3214" si="761">_xlfn.CONCAT(D3194:E3194)</f>
        <v>C:\Users\jaime.benazar\Quorum Business Solutions\Ecopetrol Prometeo - Documents\Planning Space Implementation\3. Analysis &amp; Design\Design\FC22\DRR Jaime\QUIFA-CAJÚA\Cajua\[CAJUA_CF_SEC_New_27-Feb-2024Rev3.xlsx]D-PSDP'!</v>
      </c>
      <c r="G3194" s="32" t="s">
        <v>117</v>
      </c>
      <c r="H3194" s="33"/>
      <c r="I3194" s="33"/>
      <c r="J3194" s="37"/>
    </row>
    <row r="3195" spans="1:10" x14ac:dyDescent="0.25">
      <c r="A3195" s="32" t="s">
        <v>102</v>
      </c>
      <c r="B3195" s="32">
        <f>+B3194+1</f>
        <v>2024</v>
      </c>
      <c r="C3195" s="33" t="s">
        <v>42</v>
      </c>
      <c r="D3195" s="34" t="s">
        <v>1999</v>
      </c>
      <c r="E3195" s="35" t="str">
        <f t="shared" si="760"/>
        <v>PSDP'!</v>
      </c>
      <c r="F3195" s="34" t="str">
        <f t="shared" si="761"/>
        <v>C:\Users\jaime.benazar\Quorum Business Solutions\Ecopetrol Prometeo - Documents\Planning Space Implementation\3. Analysis &amp; Design\Design\FC22\DRR Jaime\QUIFA-CAJÚA\Cajua\[CAJUA_CF_SEC_New_27-Feb-2024Rev3.xlsx]D-PSDP'!</v>
      </c>
      <c r="G3195" s="32" t="s">
        <v>117</v>
      </c>
      <c r="H3195" s="33"/>
      <c r="I3195" s="33"/>
      <c r="J3195" s="37"/>
    </row>
    <row r="3196" spans="1:10" x14ac:dyDescent="0.25">
      <c r="A3196" s="32" t="s">
        <v>102</v>
      </c>
      <c r="B3196" s="32">
        <f t="shared" ref="B3196:B3207" si="762">+B3195+1</f>
        <v>2025</v>
      </c>
      <c r="C3196" s="33" t="s">
        <v>42</v>
      </c>
      <c r="D3196" s="34" t="s">
        <v>1999</v>
      </c>
      <c r="E3196" s="35" t="str">
        <f t="shared" si="760"/>
        <v>PSDP'!</v>
      </c>
      <c r="F3196" s="34" t="str">
        <f t="shared" si="761"/>
        <v>C:\Users\jaime.benazar\Quorum Business Solutions\Ecopetrol Prometeo - Documents\Planning Space Implementation\3. Analysis &amp; Design\Design\FC22\DRR Jaime\QUIFA-CAJÚA\Cajua\[CAJUA_CF_SEC_New_27-Feb-2024Rev3.xlsx]D-PSDP'!</v>
      </c>
      <c r="G3196" s="32" t="s">
        <v>117</v>
      </c>
      <c r="H3196" s="33"/>
      <c r="I3196" s="33"/>
      <c r="J3196" s="37"/>
    </row>
    <row r="3197" spans="1:10" x14ac:dyDescent="0.25">
      <c r="A3197" s="32" t="s">
        <v>102</v>
      </c>
      <c r="B3197" s="32">
        <f t="shared" si="762"/>
        <v>2026</v>
      </c>
      <c r="C3197" s="33" t="s">
        <v>42</v>
      </c>
      <c r="D3197" s="34" t="s">
        <v>1999</v>
      </c>
      <c r="E3197" s="35" t="str">
        <f t="shared" si="760"/>
        <v>PSDP'!</v>
      </c>
      <c r="F3197" s="34" t="str">
        <f t="shared" si="761"/>
        <v>C:\Users\jaime.benazar\Quorum Business Solutions\Ecopetrol Prometeo - Documents\Planning Space Implementation\3. Analysis &amp; Design\Design\FC22\DRR Jaime\QUIFA-CAJÚA\Cajua\[CAJUA_CF_SEC_New_27-Feb-2024Rev3.xlsx]D-PSDP'!</v>
      </c>
      <c r="G3197" s="32" t="s">
        <v>117</v>
      </c>
      <c r="H3197" s="33"/>
      <c r="I3197" s="33"/>
      <c r="J3197" s="37"/>
    </row>
    <row r="3198" spans="1:10" x14ac:dyDescent="0.25">
      <c r="A3198" s="32" t="s">
        <v>102</v>
      </c>
      <c r="B3198" s="32">
        <f t="shared" si="762"/>
        <v>2027</v>
      </c>
      <c r="C3198" s="33" t="s">
        <v>42</v>
      </c>
      <c r="D3198" s="34" t="s">
        <v>1999</v>
      </c>
      <c r="E3198" s="35" t="str">
        <f t="shared" si="760"/>
        <v>PSDP'!</v>
      </c>
      <c r="F3198" s="34" t="str">
        <f t="shared" si="761"/>
        <v>C:\Users\jaime.benazar\Quorum Business Solutions\Ecopetrol Prometeo - Documents\Planning Space Implementation\3. Analysis &amp; Design\Design\FC22\DRR Jaime\QUIFA-CAJÚA\Cajua\[CAJUA_CF_SEC_New_27-Feb-2024Rev3.xlsx]D-PSDP'!</v>
      </c>
      <c r="G3198" s="32" t="s">
        <v>117</v>
      </c>
      <c r="H3198" s="33"/>
      <c r="I3198" s="33"/>
      <c r="J3198" s="37"/>
    </row>
    <row r="3199" spans="1:10" x14ac:dyDescent="0.25">
      <c r="A3199" s="32" t="s">
        <v>102</v>
      </c>
      <c r="B3199" s="32">
        <f t="shared" si="762"/>
        <v>2028</v>
      </c>
      <c r="C3199" s="33" t="s">
        <v>42</v>
      </c>
      <c r="D3199" s="34" t="s">
        <v>1999</v>
      </c>
      <c r="E3199" s="35" t="str">
        <f t="shared" si="760"/>
        <v>PSDP'!</v>
      </c>
      <c r="F3199" s="34" t="str">
        <f t="shared" si="761"/>
        <v>C:\Users\jaime.benazar\Quorum Business Solutions\Ecopetrol Prometeo - Documents\Planning Space Implementation\3. Analysis &amp; Design\Design\FC22\DRR Jaime\QUIFA-CAJÚA\Cajua\[CAJUA_CF_SEC_New_27-Feb-2024Rev3.xlsx]D-PSDP'!</v>
      </c>
      <c r="G3199" s="32" t="s">
        <v>117</v>
      </c>
      <c r="H3199" s="33"/>
      <c r="I3199" s="33"/>
      <c r="J3199" s="37"/>
    </row>
    <row r="3200" spans="1:10" x14ac:dyDescent="0.25">
      <c r="A3200" s="32" t="s">
        <v>102</v>
      </c>
      <c r="B3200" s="32">
        <f t="shared" si="762"/>
        <v>2029</v>
      </c>
      <c r="C3200" s="33" t="s">
        <v>42</v>
      </c>
      <c r="D3200" s="34" t="s">
        <v>1999</v>
      </c>
      <c r="E3200" s="35" t="str">
        <f t="shared" si="760"/>
        <v>PSDP'!</v>
      </c>
      <c r="F3200" s="34" t="str">
        <f t="shared" si="761"/>
        <v>C:\Users\jaime.benazar\Quorum Business Solutions\Ecopetrol Prometeo - Documents\Planning Space Implementation\3. Analysis &amp; Design\Design\FC22\DRR Jaime\QUIFA-CAJÚA\Cajua\[CAJUA_CF_SEC_New_27-Feb-2024Rev3.xlsx]D-PSDP'!</v>
      </c>
      <c r="G3200" s="32" t="s">
        <v>117</v>
      </c>
      <c r="H3200" s="33"/>
      <c r="I3200" s="33"/>
      <c r="J3200" s="37"/>
    </row>
    <row r="3201" spans="1:10" x14ac:dyDescent="0.25">
      <c r="A3201" s="32" t="s">
        <v>102</v>
      </c>
      <c r="B3201" s="32">
        <f t="shared" si="762"/>
        <v>2030</v>
      </c>
      <c r="C3201" s="33" t="s">
        <v>42</v>
      </c>
      <c r="D3201" s="34" t="s">
        <v>1999</v>
      </c>
      <c r="E3201" s="35" t="str">
        <f t="shared" si="760"/>
        <v>PSDP'!</v>
      </c>
      <c r="F3201" s="34" t="str">
        <f t="shared" si="761"/>
        <v>C:\Users\jaime.benazar\Quorum Business Solutions\Ecopetrol Prometeo - Documents\Planning Space Implementation\3. Analysis &amp; Design\Design\FC22\DRR Jaime\QUIFA-CAJÚA\Cajua\[CAJUA_CF_SEC_New_27-Feb-2024Rev3.xlsx]D-PSDP'!</v>
      </c>
      <c r="G3201" s="32" t="s">
        <v>117</v>
      </c>
      <c r="H3201" s="33"/>
      <c r="I3201" s="33"/>
      <c r="J3201" s="37"/>
    </row>
    <row r="3202" spans="1:10" x14ac:dyDescent="0.25">
      <c r="A3202" s="32" t="s">
        <v>102</v>
      </c>
      <c r="B3202" s="32">
        <f t="shared" si="762"/>
        <v>2031</v>
      </c>
      <c r="C3202" s="33" t="s">
        <v>42</v>
      </c>
      <c r="D3202" s="34" t="s">
        <v>1999</v>
      </c>
      <c r="E3202" s="35" t="str">
        <f t="shared" si="760"/>
        <v>PSDP'!</v>
      </c>
      <c r="F3202" s="34" t="str">
        <f t="shared" si="761"/>
        <v>C:\Users\jaime.benazar\Quorum Business Solutions\Ecopetrol Prometeo - Documents\Planning Space Implementation\3. Analysis &amp; Design\Design\FC22\DRR Jaime\QUIFA-CAJÚA\Cajua\[CAJUA_CF_SEC_New_27-Feb-2024Rev3.xlsx]D-PSDP'!</v>
      </c>
      <c r="G3202" s="32" t="s">
        <v>117</v>
      </c>
      <c r="H3202" s="33"/>
      <c r="I3202" s="33"/>
      <c r="J3202" s="37"/>
    </row>
    <row r="3203" spans="1:10" x14ac:dyDescent="0.25">
      <c r="A3203" s="32" t="s">
        <v>102</v>
      </c>
      <c r="B3203" s="32">
        <f t="shared" si="762"/>
        <v>2032</v>
      </c>
      <c r="C3203" s="33" t="s">
        <v>42</v>
      </c>
      <c r="D3203" s="34" t="s">
        <v>1999</v>
      </c>
      <c r="E3203" s="35" t="str">
        <f t="shared" si="760"/>
        <v>PSDP'!</v>
      </c>
      <c r="F3203" s="34" t="str">
        <f t="shared" si="761"/>
        <v>C:\Users\jaime.benazar\Quorum Business Solutions\Ecopetrol Prometeo - Documents\Planning Space Implementation\3. Analysis &amp; Design\Design\FC22\DRR Jaime\QUIFA-CAJÚA\Cajua\[CAJUA_CF_SEC_New_27-Feb-2024Rev3.xlsx]D-PSDP'!</v>
      </c>
      <c r="G3203" s="32" t="s">
        <v>117</v>
      </c>
      <c r="H3203" s="33"/>
      <c r="I3203" s="33"/>
      <c r="J3203" s="37"/>
    </row>
    <row r="3204" spans="1:10" x14ac:dyDescent="0.25">
      <c r="A3204" s="32" t="s">
        <v>102</v>
      </c>
      <c r="B3204" s="32">
        <f t="shared" si="762"/>
        <v>2033</v>
      </c>
      <c r="C3204" s="33" t="s">
        <v>42</v>
      </c>
      <c r="D3204" s="34" t="s">
        <v>1999</v>
      </c>
      <c r="E3204" s="35" t="str">
        <f t="shared" si="760"/>
        <v>PSDP'!</v>
      </c>
      <c r="F3204" s="34" t="str">
        <f t="shared" si="761"/>
        <v>C:\Users\jaime.benazar\Quorum Business Solutions\Ecopetrol Prometeo - Documents\Planning Space Implementation\3. Analysis &amp; Design\Design\FC22\DRR Jaime\QUIFA-CAJÚA\Cajua\[CAJUA_CF_SEC_New_27-Feb-2024Rev3.xlsx]D-PSDP'!</v>
      </c>
      <c r="G3204" s="32" t="s">
        <v>117</v>
      </c>
      <c r="H3204" s="33"/>
      <c r="I3204" s="33"/>
      <c r="J3204" s="37"/>
    </row>
    <row r="3205" spans="1:10" x14ac:dyDescent="0.25">
      <c r="A3205" s="32" t="s">
        <v>102</v>
      </c>
      <c r="B3205" s="32">
        <f t="shared" si="762"/>
        <v>2034</v>
      </c>
      <c r="C3205" s="33" t="s">
        <v>42</v>
      </c>
      <c r="D3205" s="34" t="s">
        <v>1999</v>
      </c>
      <c r="E3205" s="35" t="str">
        <f t="shared" si="760"/>
        <v>PSDP'!</v>
      </c>
      <c r="F3205" s="34" t="str">
        <f t="shared" si="761"/>
        <v>C:\Users\jaime.benazar\Quorum Business Solutions\Ecopetrol Prometeo - Documents\Planning Space Implementation\3. Analysis &amp; Design\Design\FC22\DRR Jaime\QUIFA-CAJÚA\Cajua\[CAJUA_CF_SEC_New_27-Feb-2024Rev3.xlsx]D-PSDP'!</v>
      </c>
      <c r="G3205" s="32" t="s">
        <v>117</v>
      </c>
      <c r="H3205" s="33"/>
      <c r="I3205" s="33"/>
      <c r="J3205" s="37"/>
    </row>
    <row r="3206" spans="1:10" x14ac:dyDescent="0.25">
      <c r="A3206" s="32" t="s">
        <v>102</v>
      </c>
      <c r="B3206" s="32">
        <f t="shared" si="762"/>
        <v>2035</v>
      </c>
      <c r="C3206" s="33" t="s">
        <v>42</v>
      </c>
      <c r="D3206" s="34" t="s">
        <v>1999</v>
      </c>
      <c r="E3206" s="35" t="str">
        <f t="shared" si="760"/>
        <v>PSDP'!</v>
      </c>
      <c r="F3206" s="34" t="str">
        <f t="shared" si="761"/>
        <v>C:\Users\jaime.benazar\Quorum Business Solutions\Ecopetrol Prometeo - Documents\Planning Space Implementation\3. Analysis &amp; Design\Design\FC22\DRR Jaime\QUIFA-CAJÚA\Cajua\[CAJUA_CF_SEC_New_27-Feb-2024Rev3.xlsx]D-PSDP'!</v>
      </c>
      <c r="G3206" s="32" t="s">
        <v>117</v>
      </c>
      <c r="H3206" s="33"/>
      <c r="I3206" s="33"/>
      <c r="J3206" s="37"/>
    </row>
    <row r="3207" spans="1:10" x14ac:dyDescent="0.25">
      <c r="A3207" s="32" t="s">
        <v>102</v>
      </c>
      <c r="B3207" s="32">
        <f t="shared" si="762"/>
        <v>2036</v>
      </c>
      <c r="C3207" s="33" t="s">
        <v>42</v>
      </c>
      <c r="D3207" s="34" t="s">
        <v>1999</v>
      </c>
      <c r="E3207" s="35" t="str">
        <f t="shared" si="760"/>
        <v>PSDP'!</v>
      </c>
      <c r="F3207" s="34" t="str">
        <f t="shared" si="761"/>
        <v>C:\Users\jaime.benazar\Quorum Business Solutions\Ecopetrol Prometeo - Documents\Planning Space Implementation\3. Analysis &amp; Design\Design\FC22\DRR Jaime\QUIFA-CAJÚA\Cajua\[CAJUA_CF_SEC_New_27-Feb-2024Rev3.xlsx]D-PSDP'!</v>
      </c>
      <c r="G3207" s="32" t="s">
        <v>117</v>
      </c>
      <c r="H3207" s="33"/>
      <c r="I3207" s="33"/>
      <c r="J3207" s="37"/>
    </row>
    <row r="3208" spans="1:10" x14ac:dyDescent="0.25">
      <c r="A3208" s="32" t="s">
        <v>102</v>
      </c>
      <c r="B3208" s="32">
        <f>+B3207+1</f>
        <v>2037</v>
      </c>
      <c r="C3208" s="33" t="s">
        <v>42</v>
      </c>
      <c r="D3208" s="34" t="s">
        <v>1999</v>
      </c>
      <c r="E3208" s="35" t="str">
        <f t="shared" si="760"/>
        <v>PSDP'!</v>
      </c>
      <c r="F3208" s="34" t="str">
        <f t="shared" si="761"/>
        <v>C:\Users\jaime.benazar\Quorum Business Solutions\Ecopetrol Prometeo - Documents\Planning Space Implementation\3. Analysis &amp; Design\Design\FC22\DRR Jaime\QUIFA-CAJÚA\Cajua\[CAJUA_CF_SEC_New_27-Feb-2024Rev3.xlsx]D-PSDP'!</v>
      </c>
      <c r="G3208" s="32" t="s">
        <v>117</v>
      </c>
      <c r="H3208" s="33"/>
      <c r="I3208" s="33"/>
      <c r="J3208" s="37"/>
    </row>
    <row r="3209" spans="1:10" x14ac:dyDescent="0.25">
      <c r="A3209" s="32" t="s">
        <v>102</v>
      </c>
      <c r="B3209" s="32">
        <f t="shared" ref="B3209:B3211" si="763">+B3208+1</f>
        <v>2038</v>
      </c>
      <c r="C3209" s="33" t="s">
        <v>42</v>
      </c>
      <c r="D3209" s="34" t="s">
        <v>1999</v>
      </c>
      <c r="E3209" s="35" t="str">
        <f t="shared" si="760"/>
        <v>PSDP'!</v>
      </c>
      <c r="F3209" s="34" t="str">
        <f t="shared" si="761"/>
        <v>C:\Users\jaime.benazar\Quorum Business Solutions\Ecopetrol Prometeo - Documents\Planning Space Implementation\3. Analysis &amp; Design\Design\FC22\DRR Jaime\QUIFA-CAJÚA\Cajua\[CAJUA_CF_SEC_New_27-Feb-2024Rev3.xlsx]D-PSDP'!</v>
      </c>
      <c r="G3209" s="32" t="s">
        <v>117</v>
      </c>
      <c r="H3209" s="33"/>
      <c r="I3209" s="33"/>
      <c r="J3209" s="37"/>
    </row>
    <row r="3210" spans="1:10" x14ac:dyDescent="0.25">
      <c r="A3210" s="32" t="s">
        <v>102</v>
      </c>
      <c r="B3210" s="32">
        <f t="shared" si="763"/>
        <v>2039</v>
      </c>
      <c r="C3210" s="33" t="s">
        <v>42</v>
      </c>
      <c r="D3210" s="34" t="s">
        <v>1999</v>
      </c>
      <c r="E3210" s="35" t="str">
        <f t="shared" si="760"/>
        <v>PSDP'!</v>
      </c>
      <c r="F3210" s="34" t="str">
        <f t="shared" si="761"/>
        <v>C:\Users\jaime.benazar\Quorum Business Solutions\Ecopetrol Prometeo - Documents\Planning Space Implementation\3. Analysis &amp; Design\Design\FC22\DRR Jaime\QUIFA-CAJÚA\Cajua\[CAJUA_CF_SEC_New_27-Feb-2024Rev3.xlsx]D-PSDP'!</v>
      </c>
      <c r="G3210" s="32" t="s">
        <v>117</v>
      </c>
      <c r="H3210" s="33"/>
      <c r="I3210" s="33"/>
      <c r="J3210" s="37"/>
    </row>
    <row r="3211" spans="1:10" x14ac:dyDescent="0.25">
      <c r="A3211" s="32" t="s">
        <v>102</v>
      </c>
      <c r="B3211" s="32">
        <f t="shared" si="763"/>
        <v>2040</v>
      </c>
      <c r="C3211" s="33" t="s">
        <v>42</v>
      </c>
      <c r="D3211" s="34" t="s">
        <v>1999</v>
      </c>
      <c r="E3211" s="35" t="str">
        <f t="shared" si="760"/>
        <v>PSDP'!</v>
      </c>
      <c r="F3211" s="34" t="str">
        <f t="shared" si="761"/>
        <v>C:\Users\jaime.benazar\Quorum Business Solutions\Ecopetrol Prometeo - Documents\Planning Space Implementation\3. Analysis &amp; Design\Design\FC22\DRR Jaime\QUIFA-CAJÚA\Cajua\[CAJUA_CF_SEC_New_27-Feb-2024Rev3.xlsx]D-PSDP'!</v>
      </c>
      <c r="G3211" s="32" t="s">
        <v>117</v>
      </c>
      <c r="H3211" s="33"/>
      <c r="I3211" s="33"/>
      <c r="J3211" s="37"/>
    </row>
    <row r="3212" spans="1:10" x14ac:dyDescent="0.25">
      <c r="A3212" s="32" t="s">
        <v>102</v>
      </c>
      <c r="B3212" s="32">
        <f>+B3211+1</f>
        <v>2041</v>
      </c>
      <c r="C3212" s="33" t="s">
        <v>42</v>
      </c>
      <c r="D3212" s="34" t="s">
        <v>1999</v>
      </c>
      <c r="E3212" s="35" t="str">
        <f t="shared" si="760"/>
        <v>PSDP'!</v>
      </c>
      <c r="F3212" s="34" t="str">
        <f t="shared" si="761"/>
        <v>C:\Users\jaime.benazar\Quorum Business Solutions\Ecopetrol Prometeo - Documents\Planning Space Implementation\3. Analysis &amp; Design\Design\FC22\DRR Jaime\QUIFA-CAJÚA\Cajua\[CAJUA_CF_SEC_New_27-Feb-2024Rev3.xlsx]D-PSDP'!</v>
      </c>
      <c r="G3212" s="32" t="s">
        <v>117</v>
      </c>
      <c r="H3212" s="33"/>
      <c r="I3212" s="33"/>
      <c r="J3212" s="37"/>
    </row>
    <row r="3213" spans="1:10" x14ac:dyDescent="0.25">
      <c r="A3213" s="32" t="s">
        <v>102</v>
      </c>
      <c r="B3213" s="32">
        <f t="shared" ref="B3213:B3214" si="764">+B3212+1</f>
        <v>2042</v>
      </c>
      <c r="C3213" s="33" t="s">
        <v>42</v>
      </c>
      <c r="D3213" s="34" t="s">
        <v>1999</v>
      </c>
      <c r="E3213" s="35" t="str">
        <f t="shared" si="760"/>
        <v>PSDP'!</v>
      </c>
      <c r="F3213" s="34" t="str">
        <f t="shared" si="761"/>
        <v>C:\Users\jaime.benazar\Quorum Business Solutions\Ecopetrol Prometeo - Documents\Planning Space Implementation\3. Analysis &amp; Design\Design\FC22\DRR Jaime\QUIFA-CAJÚA\Cajua\[CAJUA_CF_SEC_New_27-Feb-2024Rev3.xlsx]D-PSDP'!</v>
      </c>
      <c r="G3213" s="32" t="s">
        <v>117</v>
      </c>
      <c r="H3213" s="33"/>
      <c r="I3213" s="33"/>
      <c r="J3213" s="37"/>
    </row>
    <row r="3214" spans="1:10" x14ac:dyDescent="0.25">
      <c r="A3214" s="32" t="s">
        <v>102</v>
      </c>
      <c r="B3214" s="32">
        <f t="shared" si="764"/>
        <v>2043</v>
      </c>
      <c r="C3214" s="33" t="s">
        <v>42</v>
      </c>
      <c r="D3214" s="34" t="s">
        <v>1999</v>
      </c>
      <c r="E3214" s="35" t="str">
        <f t="shared" si="760"/>
        <v>PSDP'!</v>
      </c>
      <c r="F3214" s="34" t="str">
        <f t="shared" si="761"/>
        <v>C:\Users\jaime.benazar\Quorum Business Solutions\Ecopetrol Prometeo - Documents\Planning Space Implementation\3. Analysis &amp; Design\Design\FC22\DRR Jaime\QUIFA-CAJÚA\Cajua\[CAJUA_CF_SEC_New_27-Feb-2024Rev3.xlsx]D-PSDP'!</v>
      </c>
      <c r="G3214" s="32" t="s">
        <v>117</v>
      </c>
      <c r="H3214" s="33"/>
      <c r="I3214" s="33"/>
      <c r="J3214" s="37"/>
    </row>
    <row r="3215" spans="1:10" x14ac:dyDescent="0.25">
      <c r="A3215" s="32" t="s">
        <v>102</v>
      </c>
      <c r="B3215" s="32">
        <f>+B3214+1</f>
        <v>2044</v>
      </c>
      <c r="C3215" s="33" t="s">
        <v>42</v>
      </c>
      <c r="D3215" s="34" t="s">
        <v>1999</v>
      </c>
      <c r="E3215" s="35" t="str">
        <f t="shared" ref="E3215:E3230" si="765">_xlfn.CONCAT(A3215,"'!")</f>
        <v>PSDP'!</v>
      </c>
      <c r="F3215" s="34" t="str">
        <f t="shared" ref="F3215:F3230" si="766">_xlfn.CONCAT(D3215:E3215)</f>
        <v>C:\Users\jaime.benazar\Quorum Business Solutions\Ecopetrol Prometeo - Documents\Planning Space Implementation\3. Analysis &amp; Design\Design\FC22\DRR Jaime\QUIFA-CAJÚA\Cajua\[CAJUA_CF_SEC_New_27-Feb-2024Rev3.xlsx]D-PSDP'!</v>
      </c>
      <c r="G3215" s="32" t="s">
        <v>117</v>
      </c>
      <c r="H3215" s="33"/>
      <c r="I3215" s="33"/>
      <c r="J3215" s="37"/>
    </row>
    <row r="3216" spans="1:10" x14ac:dyDescent="0.25">
      <c r="A3216" s="32" t="s">
        <v>102</v>
      </c>
      <c r="B3216" s="32">
        <f t="shared" ref="B3216:B3230" si="767">+B3215+1</f>
        <v>2045</v>
      </c>
      <c r="C3216" s="33" t="s">
        <v>42</v>
      </c>
      <c r="D3216" s="34" t="s">
        <v>1999</v>
      </c>
      <c r="E3216" s="35" t="str">
        <f t="shared" si="765"/>
        <v>PSDP'!</v>
      </c>
      <c r="F3216" s="34" t="str">
        <f t="shared" si="766"/>
        <v>C:\Users\jaime.benazar\Quorum Business Solutions\Ecopetrol Prometeo - Documents\Planning Space Implementation\3. Analysis &amp; Design\Design\FC22\DRR Jaime\QUIFA-CAJÚA\Cajua\[CAJUA_CF_SEC_New_27-Feb-2024Rev3.xlsx]D-PSDP'!</v>
      </c>
      <c r="G3216" s="32" t="s">
        <v>117</v>
      </c>
      <c r="H3216" s="33"/>
      <c r="I3216" s="33"/>
      <c r="J3216" s="37"/>
    </row>
    <row r="3217" spans="1:10" x14ac:dyDescent="0.25">
      <c r="A3217" s="32" t="s">
        <v>102</v>
      </c>
      <c r="B3217" s="32">
        <f t="shared" si="767"/>
        <v>2046</v>
      </c>
      <c r="C3217" s="33" t="s">
        <v>42</v>
      </c>
      <c r="D3217" s="34" t="s">
        <v>1999</v>
      </c>
      <c r="E3217" s="35" t="str">
        <f t="shared" si="765"/>
        <v>PSDP'!</v>
      </c>
      <c r="F3217" s="34" t="str">
        <f t="shared" si="766"/>
        <v>C:\Users\jaime.benazar\Quorum Business Solutions\Ecopetrol Prometeo - Documents\Planning Space Implementation\3. Analysis &amp; Design\Design\FC22\DRR Jaime\QUIFA-CAJÚA\Cajua\[CAJUA_CF_SEC_New_27-Feb-2024Rev3.xlsx]D-PSDP'!</v>
      </c>
      <c r="G3217" s="32" t="s">
        <v>117</v>
      </c>
      <c r="H3217" s="33"/>
      <c r="I3217" s="33"/>
      <c r="J3217" s="37"/>
    </row>
    <row r="3218" spans="1:10" x14ac:dyDescent="0.25">
      <c r="A3218" s="32" t="s">
        <v>102</v>
      </c>
      <c r="B3218" s="32">
        <f t="shared" si="767"/>
        <v>2047</v>
      </c>
      <c r="C3218" s="33" t="s">
        <v>42</v>
      </c>
      <c r="D3218" s="34" t="s">
        <v>1999</v>
      </c>
      <c r="E3218" s="35" t="str">
        <f t="shared" si="765"/>
        <v>PSDP'!</v>
      </c>
      <c r="F3218" s="34" t="str">
        <f t="shared" si="766"/>
        <v>C:\Users\jaime.benazar\Quorum Business Solutions\Ecopetrol Prometeo - Documents\Planning Space Implementation\3. Analysis &amp; Design\Design\FC22\DRR Jaime\QUIFA-CAJÚA\Cajua\[CAJUA_CF_SEC_New_27-Feb-2024Rev3.xlsx]D-PSDP'!</v>
      </c>
      <c r="G3218" s="32" t="s">
        <v>117</v>
      </c>
      <c r="H3218" s="33"/>
      <c r="I3218" s="33"/>
      <c r="J3218" s="37"/>
    </row>
    <row r="3219" spans="1:10" x14ac:dyDescent="0.25">
      <c r="A3219" s="32" t="s">
        <v>102</v>
      </c>
      <c r="B3219" s="32">
        <f t="shared" si="767"/>
        <v>2048</v>
      </c>
      <c r="C3219" s="33" t="s">
        <v>42</v>
      </c>
      <c r="D3219" s="34" t="s">
        <v>1999</v>
      </c>
      <c r="E3219" s="35" t="str">
        <f t="shared" si="765"/>
        <v>PSDP'!</v>
      </c>
      <c r="F3219" s="34" t="str">
        <f t="shared" si="766"/>
        <v>C:\Users\jaime.benazar\Quorum Business Solutions\Ecopetrol Prometeo - Documents\Planning Space Implementation\3. Analysis &amp; Design\Design\FC22\DRR Jaime\QUIFA-CAJÚA\Cajua\[CAJUA_CF_SEC_New_27-Feb-2024Rev3.xlsx]D-PSDP'!</v>
      </c>
      <c r="G3219" s="32" t="s">
        <v>117</v>
      </c>
      <c r="H3219" s="33"/>
      <c r="I3219" s="33"/>
      <c r="J3219" s="37"/>
    </row>
    <row r="3220" spans="1:10" x14ac:dyDescent="0.25">
      <c r="A3220" s="32" t="s">
        <v>102</v>
      </c>
      <c r="B3220" s="32">
        <f t="shared" si="767"/>
        <v>2049</v>
      </c>
      <c r="C3220" s="33" t="s">
        <v>42</v>
      </c>
      <c r="D3220" s="34" t="s">
        <v>1999</v>
      </c>
      <c r="E3220" s="35" t="str">
        <f t="shared" si="765"/>
        <v>PSDP'!</v>
      </c>
      <c r="F3220" s="34" t="str">
        <f t="shared" si="766"/>
        <v>C:\Users\jaime.benazar\Quorum Business Solutions\Ecopetrol Prometeo - Documents\Planning Space Implementation\3. Analysis &amp; Design\Design\FC22\DRR Jaime\QUIFA-CAJÚA\Cajua\[CAJUA_CF_SEC_New_27-Feb-2024Rev3.xlsx]D-PSDP'!</v>
      </c>
      <c r="G3220" s="32" t="s">
        <v>117</v>
      </c>
      <c r="H3220" s="33"/>
      <c r="I3220" s="33"/>
      <c r="J3220" s="37"/>
    </row>
    <row r="3221" spans="1:10" x14ac:dyDescent="0.25">
      <c r="A3221" s="32" t="s">
        <v>102</v>
      </c>
      <c r="B3221" s="32">
        <f t="shared" si="767"/>
        <v>2050</v>
      </c>
      <c r="C3221" s="33" t="s">
        <v>42</v>
      </c>
      <c r="D3221" s="34" t="s">
        <v>1999</v>
      </c>
      <c r="E3221" s="35" t="str">
        <f t="shared" si="765"/>
        <v>PSDP'!</v>
      </c>
      <c r="F3221" s="34" t="str">
        <f t="shared" si="766"/>
        <v>C:\Users\jaime.benazar\Quorum Business Solutions\Ecopetrol Prometeo - Documents\Planning Space Implementation\3. Analysis &amp; Design\Design\FC22\DRR Jaime\QUIFA-CAJÚA\Cajua\[CAJUA_CF_SEC_New_27-Feb-2024Rev3.xlsx]D-PSDP'!</v>
      </c>
      <c r="G3221" s="32" t="s">
        <v>117</v>
      </c>
      <c r="H3221" s="33"/>
      <c r="I3221" s="33"/>
      <c r="J3221" s="37"/>
    </row>
    <row r="3222" spans="1:10" x14ac:dyDescent="0.25">
      <c r="A3222" s="32" t="s">
        <v>102</v>
      </c>
      <c r="B3222" s="32">
        <f t="shared" si="767"/>
        <v>2051</v>
      </c>
      <c r="C3222" s="33" t="s">
        <v>42</v>
      </c>
      <c r="D3222" s="34" t="s">
        <v>1999</v>
      </c>
      <c r="E3222" s="35" t="str">
        <f t="shared" si="765"/>
        <v>PSDP'!</v>
      </c>
      <c r="F3222" s="34" t="str">
        <f t="shared" si="766"/>
        <v>C:\Users\jaime.benazar\Quorum Business Solutions\Ecopetrol Prometeo - Documents\Planning Space Implementation\3. Analysis &amp; Design\Design\FC22\DRR Jaime\QUIFA-CAJÚA\Cajua\[CAJUA_CF_SEC_New_27-Feb-2024Rev3.xlsx]D-PSDP'!</v>
      </c>
      <c r="G3222" s="32" t="s">
        <v>117</v>
      </c>
      <c r="H3222" s="33"/>
      <c r="I3222" s="33"/>
      <c r="J3222" s="37"/>
    </row>
    <row r="3223" spans="1:10" x14ac:dyDescent="0.25">
      <c r="A3223" s="32" t="s">
        <v>102</v>
      </c>
      <c r="B3223" s="32">
        <f t="shared" si="767"/>
        <v>2052</v>
      </c>
      <c r="C3223" s="33" t="s">
        <v>42</v>
      </c>
      <c r="D3223" s="34" t="s">
        <v>1999</v>
      </c>
      <c r="E3223" s="35" t="str">
        <f t="shared" si="765"/>
        <v>PSDP'!</v>
      </c>
      <c r="F3223" s="34" t="str">
        <f t="shared" si="766"/>
        <v>C:\Users\jaime.benazar\Quorum Business Solutions\Ecopetrol Prometeo - Documents\Planning Space Implementation\3. Analysis &amp; Design\Design\FC22\DRR Jaime\QUIFA-CAJÚA\Cajua\[CAJUA_CF_SEC_New_27-Feb-2024Rev3.xlsx]D-PSDP'!</v>
      </c>
      <c r="G3223" s="32" t="s">
        <v>117</v>
      </c>
      <c r="H3223" s="33"/>
      <c r="I3223" s="33"/>
      <c r="J3223" s="37"/>
    </row>
    <row r="3224" spans="1:10" x14ac:dyDescent="0.25">
      <c r="A3224" s="32" t="s">
        <v>102</v>
      </c>
      <c r="B3224" s="32">
        <f t="shared" si="767"/>
        <v>2053</v>
      </c>
      <c r="C3224" s="33" t="s">
        <v>42</v>
      </c>
      <c r="D3224" s="34" t="s">
        <v>1999</v>
      </c>
      <c r="E3224" s="35" t="str">
        <f t="shared" si="765"/>
        <v>PSDP'!</v>
      </c>
      <c r="F3224" s="34" t="str">
        <f t="shared" si="766"/>
        <v>C:\Users\jaime.benazar\Quorum Business Solutions\Ecopetrol Prometeo - Documents\Planning Space Implementation\3. Analysis &amp; Design\Design\FC22\DRR Jaime\QUIFA-CAJÚA\Cajua\[CAJUA_CF_SEC_New_27-Feb-2024Rev3.xlsx]D-PSDP'!</v>
      </c>
      <c r="G3224" s="32" t="s">
        <v>117</v>
      </c>
      <c r="H3224" s="33"/>
      <c r="I3224" s="33"/>
      <c r="J3224" s="37"/>
    </row>
    <row r="3225" spans="1:10" x14ac:dyDescent="0.25">
      <c r="A3225" s="32" t="s">
        <v>102</v>
      </c>
      <c r="B3225" s="32">
        <f t="shared" si="767"/>
        <v>2054</v>
      </c>
      <c r="C3225" s="33" t="s">
        <v>42</v>
      </c>
      <c r="D3225" s="34" t="s">
        <v>1999</v>
      </c>
      <c r="E3225" s="35" t="str">
        <f t="shared" si="765"/>
        <v>PSDP'!</v>
      </c>
      <c r="F3225" s="34" t="str">
        <f t="shared" si="766"/>
        <v>C:\Users\jaime.benazar\Quorum Business Solutions\Ecopetrol Prometeo - Documents\Planning Space Implementation\3. Analysis &amp; Design\Design\FC22\DRR Jaime\QUIFA-CAJÚA\Cajua\[CAJUA_CF_SEC_New_27-Feb-2024Rev3.xlsx]D-PSDP'!</v>
      </c>
      <c r="G3225" s="32" t="s">
        <v>117</v>
      </c>
      <c r="H3225" s="33"/>
      <c r="I3225" s="33"/>
      <c r="J3225" s="37"/>
    </row>
    <row r="3226" spans="1:10" x14ac:dyDescent="0.25">
      <c r="A3226" s="32" t="s">
        <v>102</v>
      </c>
      <c r="B3226" s="32">
        <f t="shared" si="767"/>
        <v>2055</v>
      </c>
      <c r="C3226" s="33" t="s">
        <v>42</v>
      </c>
      <c r="D3226" s="34" t="s">
        <v>1999</v>
      </c>
      <c r="E3226" s="35" t="str">
        <f t="shared" si="765"/>
        <v>PSDP'!</v>
      </c>
      <c r="F3226" s="34" t="str">
        <f t="shared" si="766"/>
        <v>C:\Users\jaime.benazar\Quorum Business Solutions\Ecopetrol Prometeo - Documents\Planning Space Implementation\3. Analysis &amp; Design\Design\FC22\DRR Jaime\QUIFA-CAJÚA\Cajua\[CAJUA_CF_SEC_New_27-Feb-2024Rev3.xlsx]D-PSDP'!</v>
      </c>
      <c r="G3226" s="32" t="s">
        <v>117</v>
      </c>
      <c r="H3226" s="33"/>
      <c r="I3226" s="33"/>
      <c r="J3226" s="37"/>
    </row>
    <row r="3227" spans="1:10" x14ac:dyDescent="0.25">
      <c r="A3227" s="32" t="s">
        <v>102</v>
      </c>
      <c r="B3227" s="32">
        <f t="shared" si="767"/>
        <v>2056</v>
      </c>
      <c r="C3227" s="33" t="s">
        <v>42</v>
      </c>
      <c r="D3227" s="34" t="s">
        <v>1999</v>
      </c>
      <c r="E3227" s="35" t="str">
        <f t="shared" si="765"/>
        <v>PSDP'!</v>
      </c>
      <c r="F3227" s="34" t="str">
        <f t="shared" si="766"/>
        <v>C:\Users\jaime.benazar\Quorum Business Solutions\Ecopetrol Prometeo - Documents\Planning Space Implementation\3. Analysis &amp; Design\Design\FC22\DRR Jaime\QUIFA-CAJÚA\Cajua\[CAJUA_CF_SEC_New_27-Feb-2024Rev3.xlsx]D-PSDP'!</v>
      </c>
      <c r="G3227" s="32" t="s">
        <v>117</v>
      </c>
      <c r="H3227" s="33"/>
      <c r="I3227" s="33"/>
      <c r="J3227" s="37"/>
    </row>
    <row r="3228" spans="1:10" x14ac:dyDescent="0.25">
      <c r="A3228" s="32" t="s">
        <v>102</v>
      </c>
      <c r="B3228" s="32">
        <f t="shared" si="767"/>
        <v>2057</v>
      </c>
      <c r="C3228" s="33" t="s">
        <v>42</v>
      </c>
      <c r="D3228" s="34" t="s">
        <v>1999</v>
      </c>
      <c r="E3228" s="35" t="str">
        <f t="shared" si="765"/>
        <v>PSDP'!</v>
      </c>
      <c r="F3228" s="34" t="str">
        <f t="shared" si="766"/>
        <v>C:\Users\jaime.benazar\Quorum Business Solutions\Ecopetrol Prometeo - Documents\Planning Space Implementation\3. Analysis &amp; Design\Design\FC22\DRR Jaime\QUIFA-CAJÚA\Cajua\[CAJUA_CF_SEC_New_27-Feb-2024Rev3.xlsx]D-PSDP'!</v>
      </c>
      <c r="G3228" s="32" t="s">
        <v>117</v>
      </c>
      <c r="H3228" s="33"/>
      <c r="I3228" s="33"/>
      <c r="J3228" s="37"/>
    </row>
    <row r="3229" spans="1:10" x14ac:dyDescent="0.25">
      <c r="A3229" s="32" t="s">
        <v>102</v>
      </c>
      <c r="B3229" s="32">
        <f t="shared" si="767"/>
        <v>2058</v>
      </c>
      <c r="C3229" s="33" t="s">
        <v>42</v>
      </c>
      <c r="D3229" s="34" t="s">
        <v>1999</v>
      </c>
      <c r="E3229" s="35" t="str">
        <f t="shared" si="765"/>
        <v>PSDP'!</v>
      </c>
      <c r="F3229" s="34" t="str">
        <f t="shared" si="766"/>
        <v>C:\Users\jaime.benazar\Quorum Business Solutions\Ecopetrol Prometeo - Documents\Planning Space Implementation\3. Analysis &amp; Design\Design\FC22\DRR Jaime\QUIFA-CAJÚA\Cajua\[CAJUA_CF_SEC_New_27-Feb-2024Rev3.xlsx]D-PSDP'!</v>
      </c>
      <c r="G3229" s="32" t="s">
        <v>117</v>
      </c>
      <c r="H3229" s="33"/>
      <c r="I3229" s="33"/>
      <c r="J3229" s="37"/>
    </row>
    <row r="3230" spans="1:10" x14ac:dyDescent="0.25">
      <c r="A3230" s="32" t="s">
        <v>102</v>
      </c>
      <c r="B3230" s="32">
        <f t="shared" si="767"/>
        <v>2059</v>
      </c>
      <c r="C3230" s="33" t="s">
        <v>42</v>
      </c>
      <c r="D3230" s="34" t="s">
        <v>1999</v>
      </c>
      <c r="E3230" s="35" t="str">
        <f t="shared" si="765"/>
        <v>PSDP'!</v>
      </c>
      <c r="F3230" s="34" t="str">
        <f t="shared" si="766"/>
        <v>C:\Users\jaime.benazar\Quorum Business Solutions\Ecopetrol Prometeo - Documents\Planning Space Implementation\3. Analysis &amp; Design\Design\FC22\DRR Jaime\QUIFA-CAJÚA\Cajua\[CAJUA_CF_SEC_New_27-Feb-2024Rev3.xlsx]D-PSDP'!</v>
      </c>
      <c r="G3230" s="32" t="s">
        <v>117</v>
      </c>
      <c r="H3230" s="33"/>
      <c r="I3230" s="33"/>
      <c r="J3230" s="37"/>
    </row>
    <row r="3231" spans="1:10" x14ac:dyDescent="0.25">
      <c r="A3231" s="32" t="s">
        <v>28</v>
      </c>
      <c r="B3231" s="32"/>
      <c r="C3231" s="33" t="s">
        <v>42</v>
      </c>
      <c r="D3231" s="34"/>
      <c r="E3231" s="32" t="str">
        <f t="shared" si="760"/>
        <v>Total'!</v>
      </c>
      <c r="F3231" s="33"/>
      <c r="G3231" s="32"/>
      <c r="H3231" s="33"/>
      <c r="I3231" s="33"/>
      <c r="J3231" s="33"/>
    </row>
    <row r="3232" spans="1:10" x14ac:dyDescent="0.25">
      <c r="A3232" s="32" t="s">
        <v>103</v>
      </c>
      <c r="B3232" s="32">
        <v>2023</v>
      </c>
      <c r="C3232" s="33" t="s">
        <v>42</v>
      </c>
      <c r="D3232" s="34" t="s">
        <v>1999</v>
      </c>
      <c r="E3232" s="35" t="str">
        <f t="shared" si="760"/>
        <v>PSNP'!</v>
      </c>
      <c r="F3232" s="34" t="str">
        <f t="shared" ref="F3232:F3252" si="768">_xlfn.CONCAT(D3232:E3232)</f>
        <v>C:\Users\jaime.benazar\Quorum Business Solutions\Ecopetrol Prometeo - Documents\Planning Space Implementation\3. Analysis &amp; Design\Design\FC22\DRR Jaime\QUIFA-CAJÚA\Cajua\[CAJUA_CF_SEC_New_27-Feb-2024Rev3.xlsx]D-PSNP'!</v>
      </c>
      <c r="G3232" s="32" t="s">
        <v>117</v>
      </c>
      <c r="H3232" s="33"/>
      <c r="I3232" s="33"/>
      <c r="J3232" s="37"/>
    </row>
    <row r="3233" spans="1:10" x14ac:dyDescent="0.25">
      <c r="A3233" s="32" t="s">
        <v>103</v>
      </c>
      <c r="B3233" s="32">
        <f>+B3232+1</f>
        <v>2024</v>
      </c>
      <c r="C3233" s="33" t="s">
        <v>42</v>
      </c>
      <c r="D3233" s="34" t="s">
        <v>1999</v>
      </c>
      <c r="E3233" s="35" t="str">
        <f t="shared" si="760"/>
        <v>PSNP'!</v>
      </c>
      <c r="F3233" s="34" t="str">
        <f t="shared" si="768"/>
        <v>C:\Users\jaime.benazar\Quorum Business Solutions\Ecopetrol Prometeo - Documents\Planning Space Implementation\3. Analysis &amp; Design\Design\FC22\DRR Jaime\QUIFA-CAJÚA\Cajua\[CAJUA_CF_SEC_New_27-Feb-2024Rev3.xlsx]D-PSNP'!</v>
      </c>
      <c r="G3233" s="32" t="s">
        <v>117</v>
      </c>
      <c r="H3233" s="33"/>
      <c r="I3233" s="33"/>
      <c r="J3233" s="37"/>
    </row>
    <row r="3234" spans="1:10" x14ac:dyDescent="0.25">
      <c r="A3234" s="32" t="s">
        <v>103</v>
      </c>
      <c r="B3234" s="32">
        <f t="shared" ref="B3234:B3245" si="769">+B3233+1</f>
        <v>2025</v>
      </c>
      <c r="C3234" s="33" t="s">
        <v>42</v>
      </c>
      <c r="D3234" s="34" t="s">
        <v>1999</v>
      </c>
      <c r="E3234" s="35" t="str">
        <f t="shared" si="760"/>
        <v>PSNP'!</v>
      </c>
      <c r="F3234" s="34" t="str">
        <f t="shared" si="768"/>
        <v>C:\Users\jaime.benazar\Quorum Business Solutions\Ecopetrol Prometeo - Documents\Planning Space Implementation\3. Analysis &amp; Design\Design\FC22\DRR Jaime\QUIFA-CAJÚA\Cajua\[CAJUA_CF_SEC_New_27-Feb-2024Rev3.xlsx]D-PSNP'!</v>
      </c>
      <c r="G3234" s="32" t="s">
        <v>117</v>
      </c>
      <c r="H3234" s="33"/>
      <c r="I3234" s="33"/>
      <c r="J3234" s="37"/>
    </row>
    <row r="3235" spans="1:10" x14ac:dyDescent="0.25">
      <c r="A3235" s="32" t="s">
        <v>103</v>
      </c>
      <c r="B3235" s="32">
        <f t="shared" si="769"/>
        <v>2026</v>
      </c>
      <c r="C3235" s="33" t="s">
        <v>42</v>
      </c>
      <c r="D3235" s="34" t="s">
        <v>1999</v>
      </c>
      <c r="E3235" s="35" t="str">
        <f t="shared" si="760"/>
        <v>PSNP'!</v>
      </c>
      <c r="F3235" s="34" t="str">
        <f t="shared" si="768"/>
        <v>C:\Users\jaime.benazar\Quorum Business Solutions\Ecopetrol Prometeo - Documents\Planning Space Implementation\3. Analysis &amp; Design\Design\FC22\DRR Jaime\QUIFA-CAJÚA\Cajua\[CAJUA_CF_SEC_New_27-Feb-2024Rev3.xlsx]D-PSNP'!</v>
      </c>
      <c r="G3235" s="32" t="s">
        <v>117</v>
      </c>
      <c r="H3235" s="33"/>
      <c r="I3235" s="33"/>
      <c r="J3235" s="37"/>
    </row>
    <row r="3236" spans="1:10" x14ac:dyDescent="0.25">
      <c r="A3236" s="32" t="s">
        <v>103</v>
      </c>
      <c r="B3236" s="32">
        <f t="shared" si="769"/>
        <v>2027</v>
      </c>
      <c r="C3236" s="33" t="s">
        <v>42</v>
      </c>
      <c r="D3236" s="34" t="s">
        <v>1999</v>
      </c>
      <c r="E3236" s="35" t="str">
        <f t="shared" si="760"/>
        <v>PSNP'!</v>
      </c>
      <c r="F3236" s="34" t="str">
        <f t="shared" si="768"/>
        <v>C:\Users\jaime.benazar\Quorum Business Solutions\Ecopetrol Prometeo - Documents\Planning Space Implementation\3. Analysis &amp; Design\Design\FC22\DRR Jaime\QUIFA-CAJÚA\Cajua\[CAJUA_CF_SEC_New_27-Feb-2024Rev3.xlsx]D-PSNP'!</v>
      </c>
      <c r="G3236" s="32" t="s">
        <v>117</v>
      </c>
      <c r="H3236" s="33"/>
      <c r="I3236" s="33"/>
      <c r="J3236" s="37"/>
    </row>
    <row r="3237" spans="1:10" x14ac:dyDescent="0.25">
      <c r="A3237" s="32" t="s">
        <v>103</v>
      </c>
      <c r="B3237" s="32">
        <f t="shared" si="769"/>
        <v>2028</v>
      </c>
      <c r="C3237" s="33" t="s">
        <v>42</v>
      </c>
      <c r="D3237" s="34" t="s">
        <v>1999</v>
      </c>
      <c r="E3237" s="35" t="str">
        <f t="shared" si="760"/>
        <v>PSNP'!</v>
      </c>
      <c r="F3237" s="34" t="str">
        <f t="shared" si="768"/>
        <v>C:\Users\jaime.benazar\Quorum Business Solutions\Ecopetrol Prometeo - Documents\Planning Space Implementation\3. Analysis &amp; Design\Design\FC22\DRR Jaime\QUIFA-CAJÚA\Cajua\[CAJUA_CF_SEC_New_27-Feb-2024Rev3.xlsx]D-PSNP'!</v>
      </c>
      <c r="G3237" s="32" t="s">
        <v>117</v>
      </c>
      <c r="H3237" s="33"/>
      <c r="I3237" s="33"/>
      <c r="J3237" s="37"/>
    </row>
    <row r="3238" spans="1:10" x14ac:dyDescent="0.25">
      <c r="A3238" s="32" t="s">
        <v>103</v>
      </c>
      <c r="B3238" s="32">
        <f t="shared" si="769"/>
        <v>2029</v>
      </c>
      <c r="C3238" s="33" t="s">
        <v>42</v>
      </c>
      <c r="D3238" s="34" t="s">
        <v>1999</v>
      </c>
      <c r="E3238" s="35" t="str">
        <f t="shared" si="760"/>
        <v>PSNP'!</v>
      </c>
      <c r="F3238" s="34" t="str">
        <f t="shared" si="768"/>
        <v>C:\Users\jaime.benazar\Quorum Business Solutions\Ecopetrol Prometeo - Documents\Planning Space Implementation\3. Analysis &amp; Design\Design\FC22\DRR Jaime\QUIFA-CAJÚA\Cajua\[CAJUA_CF_SEC_New_27-Feb-2024Rev3.xlsx]D-PSNP'!</v>
      </c>
      <c r="G3238" s="32" t="s">
        <v>117</v>
      </c>
      <c r="H3238" s="33"/>
      <c r="I3238" s="33"/>
      <c r="J3238" s="37"/>
    </row>
    <row r="3239" spans="1:10" x14ac:dyDescent="0.25">
      <c r="A3239" s="32" t="s">
        <v>103</v>
      </c>
      <c r="B3239" s="32">
        <f t="shared" si="769"/>
        <v>2030</v>
      </c>
      <c r="C3239" s="33" t="s">
        <v>42</v>
      </c>
      <c r="D3239" s="34" t="s">
        <v>1999</v>
      </c>
      <c r="E3239" s="35" t="str">
        <f t="shared" si="760"/>
        <v>PSNP'!</v>
      </c>
      <c r="F3239" s="34" t="str">
        <f t="shared" si="768"/>
        <v>C:\Users\jaime.benazar\Quorum Business Solutions\Ecopetrol Prometeo - Documents\Planning Space Implementation\3. Analysis &amp; Design\Design\FC22\DRR Jaime\QUIFA-CAJÚA\Cajua\[CAJUA_CF_SEC_New_27-Feb-2024Rev3.xlsx]D-PSNP'!</v>
      </c>
      <c r="G3239" s="32" t="s">
        <v>117</v>
      </c>
      <c r="H3239" s="33"/>
      <c r="I3239" s="33"/>
      <c r="J3239" s="37"/>
    </row>
    <row r="3240" spans="1:10" x14ac:dyDescent="0.25">
      <c r="A3240" s="32" t="s">
        <v>103</v>
      </c>
      <c r="B3240" s="32">
        <f t="shared" si="769"/>
        <v>2031</v>
      </c>
      <c r="C3240" s="33" t="s">
        <v>42</v>
      </c>
      <c r="D3240" s="34" t="s">
        <v>1999</v>
      </c>
      <c r="E3240" s="35" t="str">
        <f t="shared" si="760"/>
        <v>PSNP'!</v>
      </c>
      <c r="F3240" s="34" t="str">
        <f t="shared" si="768"/>
        <v>C:\Users\jaime.benazar\Quorum Business Solutions\Ecopetrol Prometeo - Documents\Planning Space Implementation\3. Analysis &amp; Design\Design\FC22\DRR Jaime\QUIFA-CAJÚA\Cajua\[CAJUA_CF_SEC_New_27-Feb-2024Rev3.xlsx]D-PSNP'!</v>
      </c>
      <c r="G3240" s="32" t="s">
        <v>117</v>
      </c>
      <c r="H3240" s="33"/>
      <c r="I3240" s="33"/>
      <c r="J3240" s="37"/>
    </row>
    <row r="3241" spans="1:10" x14ac:dyDescent="0.25">
      <c r="A3241" s="32" t="s">
        <v>103</v>
      </c>
      <c r="B3241" s="32">
        <f t="shared" si="769"/>
        <v>2032</v>
      </c>
      <c r="C3241" s="33" t="s">
        <v>42</v>
      </c>
      <c r="D3241" s="34" t="s">
        <v>1999</v>
      </c>
      <c r="E3241" s="35" t="str">
        <f t="shared" si="760"/>
        <v>PSNP'!</v>
      </c>
      <c r="F3241" s="34" t="str">
        <f t="shared" si="768"/>
        <v>C:\Users\jaime.benazar\Quorum Business Solutions\Ecopetrol Prometeo - Documents\Planning Space Implementation\3. Analysis &amp; Design\Design\FC22\DRR Jaime\QUIFA-CAJÚA\Cajua\[CAJUA_CF_SEC_New_27-Feb-2024Rev3.xlsx]D-PSNP'!</v>
      </c>
      <c r="G3241" s="32" t="s">
        <v>117</v>
      </c>
      <c r="H3241" s="33"/>
      <c r="I3241" s="33"/>
      <c r="J3241" s="37"/>
    </row>
    <row r="3242" spans="1:10" x14ac:dyDescent="0.25">
      <c r="A3242" s="32" t="s">
        <v>103</v>
      </c>
      <c r="B3242" s="32">
        <f t="shared" si="769"/>
        <v>2033</v>
      </c>
      <c r="C3242" s="33" t="s">
        <v>42</v>
      </c>
      <c r="D3242" s="34" t="s">
        <v>1999</v>
      </c>
      <c r="E3242" s="35" t="str">
        <f t="shared" si="760"/>
        <v>PSNP'!</v>
      </c>
      <c r="F3242" s="34" t="str">
        <f t="shared" si="768"/>
        <v>C:\Users\jaime.benazar\Quorum Business Solutions\Ecopetrol Prometeo - Documents\Planning Space Implementation\3. Analysis &amp; Design\Design\FC22\DRR Jaime\QUIFA-CAJÚA\Cajua\[CAJUA_CF_SEC_New_27-Feb-2024Rev3.xlsx]D-PSNP'!</v>
      </c>
      <c r="G3242" s="32" t="s">
        <v>117</v>
      </c>
      <c r="H3242" s="33"/>
      <c r="I3242" s="33"/>
      <c r="J3242" s="37"/>
    </row>
    <row r="3243" spans="1:10" x14ac:dyDescent="0.25">
      <c r="A3243" s="32" t="s">
        <v>103</v>
      </c>
      <c r="B3243" s="32">
        <f t="shared" si="769"/>
        <v>2034</v>
      </c>
      <c r="C3243" s="33" t="s">
        <v>42</v>
      </c>
      <c r="D3243" s="34" t="s">
        <v>1999</v>
      </c>
      <c r="E3243" s="35" t="str">
        <f t="shared" si="760"/>
        <v>PSNP'!</v>
      </c>
      <c r="F3243" s="34" t="str">
        <f t="shared" si="768"/>
        <v>C:\Users\jaime.benazar\Quorum Business Solutions\Ecopetrol Prometeo - Documents\Planning Space Implementation\3. Analysis &amp; Design\Design\FC22\DRR Jaime\QUIFA-CAJÚA\Cajua\[CAJUA_CF_SEC_New_27-Feb-2024Rev3.xlsx]D-PSNP'!</v>
      </c>
      <c r="G3243" s="32" t="s">
        <v>117</v>
      </c>
      <c r="H3243" s="33"/>
      <c r="I3243" s="33"/>
      <c r="J3243" s="37"/>
    </row>
    <row r="3244" spans="1:10" x14ac:dyDescent="0.25">
      <c r="A3244" s="32" t="s">
        <v>103</v>
      </c>
      <c r="B3244" s="32">
        <f t="shared" si="769"/>
        <v>2035</v>
      </c>
      <c r="C3244" s="33" t="s">
        <v>42</v>
      </c>
      <c r="D3244" s="34" t="s">
        <v>1999</v>
      </c>
      <c r="E3244" s="35" t="str">
        <f t="shared" si="760"/>
        <v>PSNP'!</v>
      </c>
      <c r="F3244" s="34" t="str">
        <f t="shared" si="768"/>
        <v>C:\Users\jaime.benazar\Quorum Business Solutions\Ecopetrol Prometeo - Documents\Planning Space Implementation\3. Analysis &amp; Design\Design\FC22\DRR Jaime\QUIFA-CAJÚA\Cajua\[CAJUA_CF_SEC_New_27-Feb-2024Rev3.xlsx]D-PSNP'!</v>
      </c>
      <c r="G3244" s="32" t="s">
        <v>117</v>
      </c>
      <c r="H3244" s="33"/>
      <c r="I3244" s="33"/>
      <c r="J3244" s="37"/>
    </row>
    <row r="3245" spans="1:10" x14ac:dyDescent="0.25">
      <c r="A3245" s="32" t="s">
        <v>103</v>
      </c>
      <c r="B3245" s="32">
        <f t="shared" si="769"/>
        <v>2036</v>
      </c>
      <c r="C3245" s="33" t="s">
        <v>42</v>
      </c>
      <c r="D3245" s="34" t="s">
        <v>1999</v>
      </c>
      <c r="E3245" s="35" t="str">
        <f t="shared" si="760"/>
        <v>PSNP'!</v>
      </c>
      <c r="F3245" s="34" t="str">
        <f t="shared" si="768"/>
        <v>C:\Users\jaime.benazar\Quorum Business Solutions\Ecopetrol Prometeo - Documents\Planning Space Implementation\3. Analysis &amp; Design\Design\FC22\DRR Jaime\QUIFA-CAJÚA\Cajua\[CAJUA_CF_SEC_New_27-Feb-2024Rev3.xlsx]D-PSNP'!</v>
      </c>
      <c r="G3245" s="32" t="s">
        <v>117</v>
      </c>
      <c r="H3245" s="33"/>
      <c r="I3245" s="33"/>
      <c r="J3245" s="37"/>
    </row>
    <row r="3246" spans="1:10" x14ac:dyDescent="0.25">
      <c r="A3246" s="32" t="s">
        <v>103</v>
      </c>
      <c r="B3246" s="32">
        <f>+B3245+1</f>
        <v>2037</v>
      </c>
      <c r="C3246" s="33" t="s">
        <v>42</v>
      </c>
      <c r="D3246" s="34" t="s">
        <v>1999</v>
      </c>
      <c r="E3246" s="35" t="str">
        <f t="shared" si="760"/>
        <v>PSNP'!</v>
      </c>
      <c r="F3246" s="34" t="str">
        <f t="shared" si="768"/>
        <v>C:\Users\jaime.benazar\Quorum Business Solutions\Ecopetrol Prometeo - Documents\Planning Space Implementation\3. Analysis &amp; Design\Design\FC22\DRR Jaime\QUIFA-CAJÚA\Cajua\[CAJUA_CF_SEC_New_27-Feb-2024Rev3.xlsx]D-PSNP'!</v>
      </c>
      <c r="G3246" s="32" t="s">
        <v>117</v>
      </c>
      <c r="H3246" s="33"/>
      <c r="I3246" s="33"/>
      <c r="J3246" s="37"/>
    </row>
    <row r="3247" spans="1:10" x14ac:dyDescent="0.25">
      <c r="A3247" s="32" t="s">
        <v>103</v>
      </c>
      <c r="B3247" s="32">
        <f t="shared" ref="B3247:B3249" si="770">+B3246+1</f>
        <v>2038</v>
      </c>
      <c r="C3247" s="33" t="s">
        <v>42</v>
      </c>
      <c r="D3247" s="34" t="s">
        <v>1999</v>
      </c>
      <c r="E3247" s="35" t="str">
        <f t="shared" si="760"/>
        <v>PSNP'!</v>
      </c>
      <c r="F3247" s="34" t="str">
        <f t="shared" si="768"/>
        <v>C:\Users\jaime.benazar\Quorum Business Solutions\Ecopetrol Prometeo - Documents\Planning Space Implementation\3. Analysis &amp; Design\Design\FC22\DRR Jaime\QUIFA-CAJÚA\Cajua\[CAJUA_CF_SEC_New_27-Feb-2024Rev3.xlsx]D-PSNP'!</v>
      </c>
      <c r="G3247" s="32" t="s">
        <v>117</v>
      </c>
      <c r="H3247" s="33"/>
      <c r="I3247" s="33"/>
      <c r="J3247" s="37"/>
    </row>
    <row r="3248" spans="1:10" x14ac:dyDescent="0.25">
      <c r="A3248" s="32" t="s">
        <v>103</v>
      </c>
      <c r="B3248" s="32">
        <f t="shared" si="770"/>
        <v>2039</v>
      </c>
      <c r="C3248" s="33" t="s">
        <v>42</v>
      </c>
      <c r="D3248" s="34" t="s">
        <v>1999</v>
      </c>
      <c r="E3248" s="35" t="str">
        <f t="shared" si="760"/>
        <v>PSNP'!</v>
      </c>
      <c r="F3248" s="34" t="str">
        <f t="shared" si="768"/>
        <v>C:\Users\jaime.benazar\Quorum Business Solutions\Ecopetrol Prometeo - Documents\Planning Space Implementation\3. Analysis &amp; Design\Design\FC22\DRR Jaime\QUIFA-CAJÚA\Cajua\[CAJUA_CF_SEC_New_27-Feb-2024Rev3.xlsx]D-PSNP'!</v>
      </c>
      <c r="G3248" s="32" t="s">
        <v>117</v>
      </c>
      <c r="H3248" s="33"/>
      <c r="I3248" s="33"/>
      <c r="J3248" s="37"/>
    </row>
    <row r="3249" spans="1:10" x14ac:dyDescent="0.25">
      <c r="A3249" s="32" t="s">
        <v>103</v>
      </c>
      <c r="B3249" s="32">
        <f t="shared" si="770"/>
        <v>2040</v>
      </c>
      <c r="C3249" s="33" t="s">
        <v>42</v>
      </c>
      <c r="D3249" s="34" t="s">
        <v>1999</v>
      </c>
      <c r="E3249" s="35" t="str">
        <f t="shared" si="760"/>
        <v>PSNP'!</v>
      </c>
      <c r="F3249" s="34" t="str">
        <f t="shared" si="768"/>
        <v>C:\Users\jaime.benazar\Quorum Business Solutions\Ecopetrol Prometeo - Documents\Planning Space Implementation\3. Analysis &amp; Design\Design\FC22\DRR Jaime\QUIFA-CAJÚA\Cajua\[CAJUA_CF_SEC_New_27-Feb-2024Rev3.xlsx]D-PSNP'!</v>
      </c>
      <c r="G3249" s="32" t="s">
        <v>117</v>
      </c>
      <c r="H3249" s="33"/>
      <c r="I3249" s="33"/>
      <c r="J3249" s="37"/>
    </row>
    <row r="3250" spans="1:10" x14ac:dyDescent="0.25">
      <c r="A3250" s="32" t="s">
        <v>103</v>
      </c>
      <c r="B3250" s="32">
        <f>+B3249+1</f>
        <v>2041</v>
      </c>
      <c r="C3250" s="33" t="s">
        <v>42</v>
      </c>
      <c r="D3250" s="34" t="s">
        <v>1999</v>
      </c>
      <c r="E3250" s="35" t="str">
        <f t="shared" si="760"/>
        <v>PSNP'!</v>
      </c>
      <c r="F3250" s="34" t="str">
        <f t="shared" si="768"/>
        <v>C:\Users\jaime.benazar\Quorum Business Solutions\Ecopetrol Prometeo - Documents\Planning Space Implementation\3. Analysis &amp; Design\Design\FC22\DRR Jaime\QUIFA-CAJÚA\Cajua\[CAJUA_CF_SEC_New_27-Feb-2024Rev3.xlsx]D-PSNP'!</v>
      </c>
      <c r="G3250" s="32" t="s">
        <v>117</v>
      </c>
      <c r="H3250" s="33"/>
      <c r="I3250" s="33"/>
      <c r="J3250" s="37"/>
    </row>
    <row r="3251" spans="1:10" x14ac:dyDescent="0.25">
      <c r="A3251" s="32" t="s">
        <v>103</v>
      </c>
      <c r="B3251" s="32">
        <f t="shared" ref="B3251:B3252" si="771">+B3250+1</f>
        <v>2042</v>
      </c>
      <c r="C3251" s="33" t="s">
        <v>42</v>
      </c>
      <c r="D3251" s="34" t="s">
        <v>1999</v>
      </c>
      <c r="E3251" s="35" t="str">
        <f t="shared" si="760"/>
        <v>PSNP'!</v>
      </c>
      <c r="F3251" s="34" t="str">
        <f t="shared" si="768"/>
        <v>C:\Users\jaime.benazar\Quorum Business Solutions\Ecopetrol Prometeo - Documents\Planning Space Implementation\3. Analysis &amp; Design\Design\FC22\DRR Jaime\QUIFA-CAJÚA\Cajua\[CAJUA_CF_SEC_New_27-Feb-2024Rev3.xlsx]D-PSNP'!</v>
      </c>
      <c r="G3251" s="32" t="s">
        <v>117</v>
      </c>
      <c r="H3251" s="33"/>
      <c r="I3251" s="33"/>
      <c r="J3251" s="37"/>
    </row>
    <row r="3252" spans="1:10" x14ac:dyDescent="0.25">
      <c r="A3252" s="32" t="s">
        <v>103</v>
      </c>
      <c r="B3252" s="32">
        <f t="shared" si="771"/>
        <v>2043</v>
      </c>
      <c r="C3252" s="33" t="s">
        <v>42</v>
      </c>
      <c r="D3252" s="34" t="s">
        <v>1999</v>
      </c>
      <c r="E3252" s="35" t="str">
        <f t="shared" si="760"/>
        <v>PSNP'!</v>
      </c>
      <c r="F3252" s="34" t="str">
        <f t="shared" si="768"/>
        <v>C:\Users\jaime.benazar\Quorum Business Solutions\Ecopetrol Prometeo - Documents\Planning Space Implementation\3. Analysis &amp; Design\Design\FC22\DRR Jaime\QUIFA-CAJÚA\Cajua\[CAJUA_CF_SEC_New_27-Feb-2024Rev3.xlsx]D-PSNP'!</v>
      </c>
      <c r="G3252" s="32" t="s">
        <v>117</v>
      </c>
      <c r="H3252" s="33"/>
      <c r="I3252" s="33"/>
      <c r="J3252" s="37"/>
    </row>
    <row r="3253" spans="1:10" x14ac:dyDescent="0.25">
      <c r="A3253" s="32" t="s">
        <v>103</v>
      </c>
      <c r="B3253" s="32">
        <f>+B3252+1</f>
        <v>2044</v>
      </c>
      <c r="C3253" s="33" t="s">
        <v>42</v>
      </c>
      <c r="D3253" s="34" t="s">
        <v>1999</v>
      </c>
      <c r="E3253" s="35" t="str">
        <f t="shared" ref="E3253:E3268" si="772">_xlfn.CONCAT(A3253,"'!")</f>
        <v>PSNP'!</v>
      </c>
      <c r="F3253" s="34" t="str">
        <f t="shared" ref="F3253:F3268" si="773">_xlfn.CONCAT(D3253:E3253)</f>
        <v>C:\Users\jaime.benazar\Quorum Business Solutions\Ecopetrol Prometeo - Documents\Planning Space Implementation\3. Analysis &amp; Design\Design\FC22\DRR Jaime\QUIFA-CAJÚA\Cajua\[CAJUA_CF_SEC_New_27-Feb-2024Rev3.xlsx]D-PSNP'!</v>
      </c>
      <c r="G3253" s="32" t="s">
        <v>117</v>
      </c>
      <c r="H3253" s="33"/>
      <c r="I3253" s="33"/>
      <c r="J3253" s="37"/>
    </row>
    <row r="3254" spans="1:10" x14ac:dyDescent="0.25">
      <c r="A3254" s="32" t="s">
        <v>103</v>
      </c>
      <c r="B3254" s="32">
        <f t="shared" ref="B3254:B3268" si="774">+B3253+1</f>
        <v>2045</v>
      </c>
      <c r="C3254" s="33" t="s">
        <v>42</v>
      </c>
      <c r="D3254" s="34" t="s">
        <v>1999</v>
      </c>
      <c r="E3254" s="35" t="str">
        <f t="shared" si="772"/>
        <v>PSNP'!</v>
      </c>
      <c r="F3254" s="34" t="str">
        <f t="shared" si="773"/>
        <v>C:\Users\jaime.benazar\Quorum Business Solutions\Ecopetrol Prometeo - Documents\Planning Space Implementation\3. Analysis &amp; Design\Design\FC22\DRR Jaime\QUIFA-CAJÚA\Cajua\[CAJUA_CF_SEC_New_27-Feb-2024Rev3.xlsx]D-PSNP'!</v>
      </c>
      <c r="G3254" s="32" t="s">
        <v>117</v>
      </c>
      <c r="H3254" s="33"/>
      <c r="I3254" s="33"/>
      <c r="J3254" s="37"/>
    </row>
    <row r="3255" spans="1:10" x14ac:dyDescent="0.25">
      <c r="A3255" s="32" t="s">
        <v>103</v>
      </c>
      <c r="B3255" s="32">
        <f t="shared" si="774"/>
        <v>2046</v>
      </c>
      <c r="C3255" s="33" t="s">
        <v>42</v>
      </c>
      <c r="D3255" s="34" t="s">
        <v>1999</v>
      </c>
      <c r="E3255" s="35" t="str">
        <f t="shared" si="772"/>
        <v>PSNP'!</v>
      </c>
      <c r="F3255" s="34" t="str">
        <f t="shared" si="773"/>
        <v>C:\Users\jaime.benazar\Quorum Business Solutions\Ecopetrol Prometeo - Documents\Planning Space Implementation\3. Analysis &amp; Design\Design\FC22\DRR Jaime\QUIFA-CAJÚA\Cajua\[CAJUA_CF_SEC_New_27-Feb-2024Rev3.xlsx]D-PSNP'!</v>
      </c>
      <c r="G3255" s="32" t="s">
        <v>117</v>
      </c>
      <c r="H3255" s="33"/>
      <c r="I3255" s="33"/>
      <c r="J3255" s="37"/>
    </row>
    <row r="3256" spans="1:10" x14ac:dyDescent="0.25">
      <c r="A3256" s="32" t="s">
        <v>103</v>
      </c>
      <c r="B3256" s="32">
        <f t="shared" si="774"/>
        <v>2047</v>
      </c>
      <c r="C3256" s="33" t="s">
        <v>42</v>
      </c>
      <c r="D3256" s="34" t="s">
        <v>1999</v>
      </c>
      <c r="E3256" s="35" t="str">
        <f t="shared" si="772"/>
        <v>PSNP'!</v>
      </c>
      <c r="F3256" s="34" t="str">
        <f t="shared" si="773"/>
        <v>C:\Users\jaime.benazar\Quorum Business Solutions\Ecopetrol Prometeo - Documents\Planning Space Implementation\3. Analysis &amp; Design\Design\FC22\DRR Jaime\QUIFA-CAJÚA\Cajua\[CAJUA_CF_SEC_New_27-Feb-2024Rev3.xlsx]D-PSNP'!</v>
      </c>
      <c r="G3256" s="32" t="s">
        <v>117</v>
      </c>
      <c r="H3256" s="33"/>
      <c r="I3256" s="33"/>
      <c r="J3256" s="37"/>
    </row>
    <row r="3257" spans="1:10" x14ac:dyDescent="0.25">
      <c r="A3257" s="32" t="s">
        <v>103</v>
      </c>
      <c r="B3257" s="32">
        <f t="shared" si="774"/>
        <v>2048</v>
      </c>
      <c r="C3257" s="33" t="s">
        <v>42</v>
      </c>
      <c r="D3257" s="34" t="s">
        <v>1999</v>
      </c>
      <c r="E3257" s="35" t="str">
        <f t="shared" si="772"/>
        <v>PSNP'!</v>
      </c>
      <c r="F3257" s="34" t="str">
        <f t="shared" si="773"/>
        <v>C:\Users\jaime.benazar\Quorum Business Solutions\Ecopetrol Prometeo - Documents\Planning Space Implementation\3. Analysis &amp; Design\Design\FC22\DRR Jaime\QUIFA-CAJÚA\Cajua\[CAJUA_CF_SEC_New_27-Feb-2024Rev3.xlsx]D-PSNP'!</v>
      </c>
      <c r="G3257" s="32" t="s">
        <v>117</v>
      </c>
      <c r="H3257" s="33"/>
      <c r="I3257" s="33"/>
      <c r="J3257" s="37"/>
    </row>
    <row r="3258" spans="1:10" x14ac:dyDescent="0.25">
      <c r="A3258" s="32" t="s">
        <v>103</v>
      </c>
      <c r="B3258" s="32">
        <f t="shared" si="774"/>
        <v>2049</v>
      </c>
      <c r="C3258" s="33" t="s">
        <v>42</v>
      </c>
      <c r="D3258" s="34" t="s">
        <v>1999</v>
      </c>
      <c r="E3258" s="35" t="str">
        <f t="shared" si="772"/>
        <v>PSNP'!</v>
      </c>
      <c r="F3258" s="34" t="str">
        <f t="shared" si="773"/>
        <v>C:\Users\jaime.benazar\Quorum Business Solutions\Ecopetrol Prometeo - Documents\Planning Space Implementation\3. Analysis &amp; Design\Design\FC22\DRR Jaime\QUIFA-CAJÚA\Cajua\[CAJUA_CF_SEC_New_27-Feb-2024Rev3.xlsx]D-PSNP'!</v>
      </c>
      <c r="G3258" s="32" t="s">
        <v>117</v>
      </c>
      <c r="H3258" s="33"/>
      <c r="I3258" s="33"/>
      <c r="J3258" s="37"/>
    </row>
    <row r="3259" spans="1:10" x14ac:dyDescent="0.25">
      <c r="A3259" s="32" t="s">
        <v>103</v>
      </c>
      <c r="B3259" s="32">
        <f t="shared" si="774"/>
        <v>2050</v>
      </c>
      <c r="C3259" s="33" t="s">
        <v>42</v>
      </c>
      <c r="D3259" s="34" t="s">
        <v>1999</v>
      </c>
      <c r="E3259" s="35" t="str">
        <f t="shared" si="772"/>
        <v>PSNP'!</v>
      </c>
      <c r="F3259" s="34" t="str">
        <f t="shared" si="773"/>
        <v>C:\Users\jaime.benazar\Quorum Business Solutions\Ecopetrol Prometeo - Documents\Planning Space Implementation\3. Analysis &amp; Design\Design\FC22\DRR Jaime\QUIFA-CAJÚA\Cajua\[CAJUA_CF_SEC_New_27-Feb-2024Rev3.xlsx]D-PSNP'!</v>
      </c>
      <c r="G3259" s="32" t="s">
        <v>117</v>
      </c>
      <c r="H3259" s="33"/>
      <c r="I3259" s="33"/>
      <c r="J3259" s="37"/>
    </row>
    <row r="3260" spans="1:10" x14ac:dyDescent="0.25">
      <c r="A3260" s="32" t="s">
        <v>103</v>
      </c>
      <c r="B3260" s="32">
        <f t="shared" si="774"/>
        <v>2051</v>
      </c>
      <c r="C3260" s="33" t="s">
        <v>42</v>
      </c>
      <c r="D3260" s="34" t="s">
        <v>1999</v>
      </c>
      <c r="E3260" s="35" t="str">
        <f t="shared" si="772"/>
        <v>PSNP'!</v>
      </c>
      <c r="F3260" s="34" t="str">
        <f t="shared" si="773"/>
        <v>C:\Users\jaime.benazar\Quorum Business Solutions\Ecopetrol Prometeo - Documents\Planning Space Implementation\3. Analysis &amp; Design\Design\FC22\DRR Jaime\QUIFA-CAJÚA\Cajua\[CAJUA_CF_SEC_New_27-Feb-2024Rev3.xlsx]D-PSNP'!</v>
      </c>
      <c r="G3260" s="32" t="s">
        <v>117</v>
      </c>
      <c r="H3260" s="33"/>
      <c r="I3260" s="33"/>
      <c r="J3260" s="37"/>
    </row>
    <row r="3261" spans="1:10" x14ac:dyDescent="0.25">
      <c r="A3261" s="32" t="s">
        <v>103</v>
      </c>
      <c r="B3261" s="32">
        <f t="shared" si="774"/>
        <v>2052</v>
      </c>
      <c r="C3261" s="33" t="s">
        <v>42</v>
      </c>
      <c r="D3261" s="34" t="s">
        <v>1999</v>
      </c>
      <c r="E3261" s="35" t="str">
        <f t="shared" si="772"/>
        <v>PSNP'!</v>
      </c>
      <c r="F3261" s="34" t="str">
        <f t="shared" si="773"/>
        <v>C:\Users\jaime.benazar\Quorum Business Solutions\Ecopetrol Prometeo - Documents\Planning Space Implementation\3. Analysis &amp; Design\Design\FC22\DRR Jaime\QUIFA-CAJÚA\Cajua\[CAJUA_CF_SEC_New_27-Feb-2024Rev3.xlsx]D-PSNP'!</v>
      </c>
      <c r="G3261" s="32" t="s">
        <v>117</v>
      </c>
      <c r="H3261" s="33"/>
      <c r="I3261" s="33"/>
      <c r="J3261" s="37"/>
    </row>
    <row r="3262" spans="1:10" x14ac:dyDescent="0.25">
      <c r="A3262" s="32" t="s">
        <v>103</v>
      </c>
      <c r="B3262" s="32">
        <f t="shared" si="774"/>
        <v>2053</v>
      </c>
      <c r="C3262" s="33" t="s">
        <v>42</v>
      </c>
      <c r="D3262" s="34" t="s">
        <v>1999</v>
      </c>
      <c r="E3262" s="35" t="str">
        <f t="shared" si="772"/>
        <v>PSNP'!</v>
      </c>
      <c r="F3262" s="34" t="str">
        <f t="shared" si="773"/>
        <v>C:\Users\jaime.benazar\Quorum Business Solutions\Ecopetrol Prometeo - Documents\Planning Space Implementation\3. Analysis &amp; Design\Design\FC22\DRR Jaime\QUIFA-CAJÚA\Cajua\[CAJUA_CF_SEC_New_27-Feb-2024Rev3.xlsx]D-PSNP'!</v>
      </c>
      <c r="G3262" s="32" t="s">
        <v>117</v>
      </c>
      <c r="H3262" s="33"/>
      <c r="I3262" s="33"/>
      <c r="J3262" s="37"/>
    </row>
    <row r="3263" spans="1:10" x14ac:dyDescent="0.25">
      <c r="A3263" s="32" t="s">
        <v>103</v>
      </c>
      <c r="B3263" s="32">
        <f t="shared" si="774"/>
        <v>2054</v>
      </c>
      <c r="C3263" s="33" t="s">
        <v>42</v>
      </c>
      <c r="D3263" s="34" t="s">
        <v>1999</v>
      </c>
      <c r="E3263" s="35" t="str">
        <f t="shared" si="772"/>
        <v>PSNP'!</v>
      </c>
      <c r="F3263" s="34" t="str">
        <f t="shared" si="773"/>
        <v>C:\Users\jaime.benazar\Quorum Business Solutions\Ecopetrol Prometeo - Documents\Planning Space Implementation\3. Analysis &amp; Design\Design\FC22\DRR Jaime\QUIFA-CAJÚA\Cajua\[CAJUA_CF_SEC_New_27-Feb-2024Rev3.xlsx]D-PSNP'!</v>
      </c>
      <c r="G3263" s="32" t="s">
        <v>117</v>
      </c>
      <c r="H3263" s="33"/>
      <c r="I3263" s="33"/>
      <c r="J3263" s="37"/>
    </row>
    <row r="3264" spans="1:10" x14ac:dyDescent="0.25">
      <c r="A3264" s="32" t="s">
        <v>103</v>
      </c>
      <c r="B3264" s="32">
        <f t="shared" si="774"/>
        <v>2055</v>
      </c>
      <c r="C3264" s="33" t="s">
        <v>42</v>
      </c>
      <c r="D3264" s="34" t="s">
        <v>1999</v>
      </c>
      <c r="E3264" s="35" t="str">
        <f t="shared" si="772"/>
        <v>PSNP'!</v>
      </c>
      <c r="F3264" s="34" t="str">
        <f t="shared" si="773"/>
        <v>C:\Users\jaime.benazar\Quorum Business Solutions\Ecopetrol Prometeo - Documents\Planning Space Implementation\3. Analysis &amp; Design\Design\FC22\DRR Jaime\QUIFA-CAJÚA\Cajua\[CAJUA_CF_SEC_New_27-Feb-2024Rev3.xlsx]D-PSNP'!</v>
      </c>
      <c r="G3264" s="32" t="s">
        <v>117</v>
      </c>
      <c r="H3264" s="33"/>
      <c r="I3264" s="33"/>
      <c r="J3264" s="37"/>
    </row>
    <row r="3265" spans="1:10" x14ac:dyDescent="0.25">
      <c r="A3265" s="32" t="s">
        <v>103</v>
      </c>
      <c r="B3265" s="32">
        <f t="shared" si="774"/>
        <v>2056</v>
      </c>
      <c r="C3265" s="33" t="s">
        <v>42</v>
      </c>
      <c r="D3265" s="34" t="s">
        <v>1999</v>
      </c>
      <c r="E3265" s="35" t="str">
        <f t="shared" si="772"/>
        <v>PSNP'!</v>
      </c>
      <c r="F3265" s="34" t="str">
        <f t="shared" si="773"/>
        <v>C:\Users\jaime.benazar\Quorum Business Solutions\Ecopetrol Prometeo - Documents\Planning Space Implementation\3. Analysis &amp; Design\Design\FC22\DRR Jaime\QUIFA-CAJÚA\Cajua\[CAJUA_CF_SEC_New_27-Feb-2024Rev3.xlsx]D-PSNP'!</v>
      </c>
      <c r="G3265" s="32" t="s">
        <v>117</v>
      </c>
      <c r="H3265" s="33"/>
      <c r="I3265" s="33"/>
      <c r="J3265" s="37"/>
    </row>
    <row r="3266" spans="1:10" x14ac:dyDescent="0.25">
      <c r="A3266" s="32" t="s">
        <v>103</v>
      </c>
      <c r="B3266" s="32">
        <f t="shared" si="774"/>
        <v>2057</v>
      </c>
      <c r="C3266" s="33" t="s">
        <v>42</v>
      </c>
      <c r="D3266" s="34" t="s">
        <v>1999</v>
      </c>
      <c r="E3266" s="35" t="str">
        <f t="shared" si="772"/>
        <v>PSNP'!</v>
      </c>
      <c r="F3266" s="34" t="str">
        <f t="shared" si="773"/>
        <v>C:\Users\jaime.benazar\Quorum Business Solutions\Ecopetrol Prometeo - Documents\Planning Space Implementation\3. Analysis &amp; Design\Design\FC22\DRR Jaime\QUIFA-CAJÚA\Cajua\[CAJUA_CF_SEC_New_27-Feb-2024Rev3.xlsx]D-PSNP'!</v>
      </c>
      <c r="G3266" s="32" t="s">
        <v>117</v>
      </c>
      <c r="H3266" s="33"/>
      <c r="I3266" s="33"/>
      <c r="J3266" s="37"/>
    </row>
    <row r="3267" spans="1:10" x14ac:dyDescent="0.25">
      <c r="A3267" s="32" t="s">
        <v>103</v>
      </c>
      <c r="B3267" s="32">
        <f t="shared" si="774"/>
        <v>2058</v>
      </c>
      <c r="C3267" s="33" t="s">
        <v>42</v>
      </c>
      <c r="D3267" s="34" t="s">
        <v>1999</v>
      </c>
      <c r="E3267" s="35" t="str">
        <f t="shared" si="772"/>
        <v>PSNP'!</v>
      </c>
      <c r="F3267" s="34" t="str">
        <f t="shared" si="773"/>
        <v>C:\Users\jaime.benazar\Quorum Business Solutions\Ecopetrol Prometeo - Documents\Planning Space Implementation\3. Analysis &amp; Design\Design\FC22\DRR Jaime\QUIFA-CAJÚA\Cajua\[CAJUA_CF_SEC_New_27-Feb-2024Rev3.xlsx]D-PSNP'!</v>
      </c>
      <c r="G3267" s="32" t="s">
        <v>117</v>
      </c>
      <c r="H3267" s="33"/>
      <c r="I3267" s="33"/>
      <c r="J3267" s="37"/>
    </row>
    <row r="3268" spans="1:10" x14ac:dyDescent="0.25">
      <c r="A3268" s="32" t="s">
        <v>103</v>
      </c>
      <c r="B3268" s="32">
        <f t="shared" si="774"/>
        <v>2059</v>
      </c>
      <c r="C3268" s="33" t="s">
        <v>42</v>
      </c>
      <c r="D3268" s="34" t="s">
        <v>1999</v>
      </c>
      <c r="E3268" s="35" t="str">
        <f t="shared" si="772"/>
        <v>PSNP'!</v>
      </c>
      <c r="F3268" s="34" t="str">
        <f t="shared" si="773"/>
        <v>C:\Users\jaime.benazar\Quorum Business Solutions\Ecopetrol Prometeo - Documents\Planning Space Implementation\3. Analysis &amp; Design\Design\FC22\DRR Jaime\QUIFA-CAJÚA\Cajua\[CAJUA_CF_SEC_New_27-Feb-2024Rev3.xlsx]D-PSNP'!</v>
      </c>
      <c r="G3268" s="32" t="s">
        <v>117</v>
      </c>
      <c r="H3268" s="33"/>
      <c r="I3268" s="33"/>
      <c r="J3268" s="37"/>
    </row>
    <row r="3269" spans="1:10" x14ac:dyDescent="0.25">
      <c r="A3269" s="32" t="s">
        <v>28</v>
      </c>
      <c r="B3269" s="32"/>
      <c r="C3269" s="33" t="s">
        <v>42</v>
      </c>
      <c r="D3269" s="34"/>
      <c r="E3269" s="32" t="str">
        <f t="shared" si="760"/>
        <v>Total'!</v>
      </c>
      <c r="F3269" s="33"/>
      <c r="G3269" s="32"/>
      <c r="H3269" s="33"/>
      <c r="I3269" s="33"/>
      <c r="J3269" s="33"/>
    </row>
    <row r="3270" spans="1:10" x14ac:dyDescent="0.25">
      <c r="A3270" s="32" t="s">
        <v>104</v>
      </c>
      <c r="B3270" s="32">
        <v>2023</v>
      </c>
      <c r="C3270" s="33" t="s">
        <v>42</v>
      </c>
      <c r="D3270" s="34" t="s">
        <v>1999</v>
      </c>
      <c r="E3270" s="35" t="str">
        <f t="shared" si="760"/>
        <v>PSND'!</v>
      </c>
      <c r="F3270" s="34" t="str">
        <f t="shared" ref="F3270:F3290" si="775">_xlfn.CONCAT(D3270:E3270)</f>
        <v>C:\Users\jaime.benazar\Quorum Business Solutions\Ecopetrol Prometeo - Documents\Planning Space Implementation\3. Analysis &amp; Design\Design\FC22\DRR Jaime\QUIFA-CAJÚA\Cajua\[CAJUA_CF_SEC_New_27-Feb-2024Rev3.xlsx]D-PSND'!</v>
      </c>
      <c r="G3270" s="32" t="s">
        <v>117</v>
      </c>
      <c r="H3270" s="33"/>
      <c r="I3270" s="33"/>
      <c r="J3270" s="37"/>
    </row>
    <row r="3271" spans="1:10" x14ac:dyDescent="0.25">
      <c r="A3271" s="32" t="s">
        <v>104</v>
      </c>
      <c r="B3271" s="32">
        <f>+B3270+1</f>
        <v>2024</v>
      </c>
      <c r="C3271" s="33" t="s">
        <v>42</v>
      </c>
      <c r="D3271" s="34" t="s">
        <v>1999</v>
      </c>
      <c r="E3271" s="35" t="str">
        <f t="shared" si="760"/>
        <v>PSND'!</v>
      </c>
      <c r="F3271" s="34" t="str">
        <f t="shared" si="775"/>
        <v>C:\Users\jaime.benazar\Quorum Business Solutions\Ecopetrol Prometeo - Documents\Planning Space Implementation\3. Analysis &amp; Design\Design\FC22\DRR Jaime\QUIFA-CAJÚA\Cajua\[CAJUA_CF_SEC_New_27-Feb-2024Rev3.xlsx]D-PSND'!</v>
      </c>
      <c r="G3271" s="32" t="s">
        <v>117</v>
      </c>
      <c r="H3271" s="33"/>
      <c r="I3271" s="33"/>
      <c r="J3271" s="37"/>
    </row>
    <row r="3272" spans="1:10" x14ac:dyDescent="0.25">
      <c r="A3272" s="32" t="s">
        <v>104</v>
      </c>
      <c r="B3272" s="32">
        <f t="shared" ref="B3272:B3283" si="776">+B3271+1</f>
        <v>2025</v>
      </c>
      <c r="C3272" s="33" t="s">
        <v>42</v>
      </c>
      <c r="D3272" s="34" t="s">
        <v>1999</v>
      </c>
      <c r="E3272" s="35" t="str">
        <f t="shared" si="760"/>
        <v>PSND'!</v>
      </c>
      <c r="F3272" s="34" t="str">
        <f t="shared" si="775"/>
        <v>C:\Users\jaime.benazar\Quorum Business Solutions\Ecopetrol Prometeo - Documents\Planning Space Implementation\3. Analysis &amp; Design\Design\FC22\DRR Jaime\QUIFA-CAJÚA\Cajua\[CAJUA_CF_SEC_New_27-Feb-2024Rev3.xlsx]D-PSND'!</v>
      </c>
      <c r="G3272" s="32" t="s">
        <v>117</v>
      </c>
      <c r="H3272" s="33"/>
      <c r="I3272" s="33"/>
      <c r="J3272" s="37"/>
    </row>
    <row r="3273" spans="1:10" x14ac:dyDescent="0.25">
      <c r="A3273" s="32" t="s">
        <v>104</v>
      </c>
      <c r="B3273" s="32">
        <f t="shared" si="776"/>
        <v>2026</v>
      </c>
      <c r="C3273" s="33" t="s">
        <v>42</v>
      </c>
      <c r="D3273" s="34" t="s">
        <v>1999</v>
      </c>
      <c r="E3273" s="35" t="str">
        <f t="shared" si="760"/>
        <v>PSND'!</v>
      </c>
      <c r="F3273" s="34" t="str">
        <f t="shared" si="775"/>
        <v>C:\Users\jaime.benazar\Quorum Business Solutions\Ecopetrol Prometeo - Documents\Planning Space Implementation\3. Analysis &amp; Design\Design\FC22\DRR Jaime\QUIFA-CAJÚA\Cajua\[CAJUA_CF_SEC_New_27-Feb-2024Rev3.xlsx]D-PSND'!</v>
      </c>
      <c r="G3273" s="32" t="s">
        <v>117</v>
      </c>
      <c r="H3273" s="33"/>
      <c r="I3273" s="33"/>
      <c r="J3273" s="37"/>
    </row>
    <row r="3274" spans="1:10" x14ac:dyDescent="0.25">
      <c r="A3274" s="32" t="s">
        <v>104</v>
      </c>
      <c r="B3274" s="32">
        <f t="shared" si="776"/>
        <v>2027</v>
      </c>
      <c r="C3274" s="33" t="s">
        <v>42</v>
      </c>
      <c r="D3274" s="34" t="s">
        <v>1999</v>
      </c>
      <c r="E3274" s="35" t="str">
        <f t="shared" si="760"/>
        <v>PSND'!</v>
      </c>
      <c r="F3274" s="34" t="str">
        <f t="shared" si="775"/>
        <v>C:\Users\jaime.benazar\Quorum Business Solutions\Ecopetrol Prometeo - Documents\Planning Space Implementation\3. Analysis &amp; Design\Design\FC22\DRR Jaime\QUIFA-CAJÚA\Cajua\[CAJUA_CF_SEC_New_27-Feb-2024Rev3.xlsx]D-PSND'!</v>
      </c>
      <c r="G3274" s="32" t="s">
        <v>117</v>
      </c>
      <c r="H3274" s="33"/>
      <c r="I3274" s="33"/>
      <c r="J3274" s="37"/>
    </row>
    <row r="3275" spans="1:10" x14ac:dyDescent="0.25">
      <c r="A3275" s="32" t="s">
        <v>104</v>
      </c>
      <c r="B3275" s="32">
        <f t="shared" si="776"/>
        <v>2028</v>
      </c>
      <c r="C3275" s="33" t="s">
        <v>42</v>
      </c>
      <c r="D3275" s="34" t="s">
        <v>1999</v>
      </c>
      <c r="E3275" s="35" t="str">
        <f t="shared" si="760"/>
        <v>PSND'!</v>
      </c>
      <c r="F3275" s="34" t="str">
        <f t="shared" si="775"/>
        <v>C:\Users\jaime.benazar\Quorum Business Solutions\Ecopetrol Prometeo - Documents\Planning Space Implementation\3. Analysis &amp; Design\Design\FC22\DRR Jaime\QUIFA-CAJÚA\Cajua\[CAJUA_CF_SEC_New_27-Feb-2024Rev3.xlsx]D-PSND'!</v>
      </c>
      <c r="G3275" s="32" t="s">
        <v>117</v>
      </c>
      <c r="H3275" s="33"/>
      <c r="I3275" s="33"/>
      <c r="J3275" s="37"/>
    </row>
    <row r="3276" spans="1:10" x14ac:dyDescent="0.25">
      <c r="A3276" s="32" t="s">
        <v>104</v>
      </c>
      <c r="B3276" s="32">
        <f t="shared" si="776"/>
        <v>2029</v>
      </c>
      <c r="C3276" s="33" t="s">
        <v>42</v>
      </c>
      <c r="D3276" s="34" t="s">
        <v>1999</v>
      </c>
      <c r="E3276" s="35" t="str">
        <f t="shared" si="760"/>
        <v>PSND'!</v>
      </c>
      <c r="F3276" s="34" t="str">
        <f t="shared" si="775"/>
        <v>C:\Users\jaime.benazar\Quorum Business Solutions\Ecopetrol Prometeo - Documents\Planning Space Implementation\3. Analysis &amp; Design\Design\FC22\DRR Jaime\QUIFA-CAJÚA\Cajua\[CAJUA_CF_SEC_New_27-Feb-2024Rev3.xlsx]D-PSND'!</v>
      </c>
      <c r="G3276" s="32" t="s">
        <v>117</v>
      </c>
      <c r="H3276" s="33"/>
      <c r="I3276" s="33"/>
      <c r="J3276" s="37"/>
    </row>
    <row r="3277" spans="1:10" x14ac:dyDescent="0.25">
      <c r="A3277" s="32" t="s">
        <v>104</v>
      </c>
      <c r="B3277" s="32">
        <f t="shared" si="776"/>
        <v>2030</v>
      </c>
      <c r="C3277" s="33" t="s">
        <v>42</v>
      </c>
      <c r="D3277" s="34" t="s">
        <v>1999</v>
      </c>
      <c r="E3277" s="35" t="str">
        <f t="shared" si="760"/>
        <v>PSND'!</v>
      </c>
      <c r="F3277" s="34" t="str">
        <f t="shared" si="775"/>
        <v>C:\Users\jaime.benazar\Quorum Business Solutions\Ecopetrol Prometeo - Documents\Planning Space Implementation\3. Analysis &amp; Design\Design\FC22\DRR Jaime\QUIFA-CAJÚA\Cajua\[CAJUA_CF_SEC_New_27-Feb-2024Rev3.xlsx]D-PSND'!</v>
      </c>
      <c r="G3277" s="32" t="s">
        <v>117</v>
      </c>
      <c r="H3277" s="33"/>
      <c r="I3277" s="33"/>
      <c r="J3277" s="37"/>
    </row>
    <row r="3278" spans="1:10" x14ac:dyDescent="0.25">
      <c r="A3278" s="32" t="s">
        <v>104</v>
      </c>
      <c r="B3278" s="32">
        <f t="shared" si="776"/>
        <v>2031</v>
      </c>
      <c r="C3278" s="33" t="s">
        <v>42</v>
      </c>
      <c r="D3278" s="34" t="s">
        <v>1999</v>
      </c>
      <c r="E3278" s="35" t="str">
        <f t="shared" si="760"/>
        <v>PSND'!</v>
      </c>
      <c r="F3278" s="34" t="str">
        <f t="shared" si="775"/>
        <v>C:\Users\jaime.benazar\Quorum Business Solutions\Ecopetrol Prometeo - Documents\Planning Space Implementation\3. Analysis &amp; Design\Design\FC22\DRR Jaime\QUIFA-CAJÚA\Cajua\[CAJUA_CF_SEC_New_27-Feb-2024Rev3.xlsx]D-PSND'!</v>
      </c>
      <c r="G3278" s="32" t="s">
        <v>117</v>
      </c>
      <c r="H3278" s="33"/>
      <c r="I3278" s="33"/>
      <c r="J3278" s="37"/>
    </row>
    <row r="3279" spans="1:10" x14ac:dyDescent="0.25">
      <c r="A3279" s="32" t="s">
        <v>104</v>
      </c>
      <c r="B3279" s="32">
        <f t="shared" si="776"/>
        <v>2032</v>
      </c>
      <c r="C3279" s="33" t="s">
        <v>42</v>
      </c>
      <c r="D3279" s="34" t="s">
        <v>1999</v>
      </c>
      <c r="E3279" s="35" t="str">
        <f t="shared" si="760"/>
        <v>PSND'!</v>
      </c>
      <c r="F3279" s="34" t="str">
        <f t="shared" si="775"/>
        <v>C:\Users\jaime.benazar\Quorum Business Solutions\Ecopetrol Prometeo - Documents\Planning Space Implementation\3. Analysis &amp; Design\Design\FC22\DRR Jaime\QUIFA-CAJÚA\Cajua\[CAJUA_CF_SEC_New_27-Feb-2024Rev3.xlsx]D-PSND'!</v>
      </c>
      <c r="G3279" s="32" t="s">
        <v>117</v>
      </c>
      <c r="H3279" s="33"/>
      <c r="I3279" s="33"/>
      <c r="J3279" s="37"/>
    </row>
    <row r="3280" spans="1:10" x14ac:dyDescent="0.25">
      <c r="A3280" s="32" t="s">
        <v>104</v>
      </c>
      <c r="B3280" s="32">
        <f t="shared" si="776"/>
        <v>2033</v>
      </c>
      <c r="C3280" s="33" t="s">
        <v>42</v>
      </c>
      <c r="D3280" s="34" t="s">
        <v>1999</v>
      </c>
      <c r="E3280" s="35" t="str">
        <f t="shared" si="760"/>
        <v>PSND'!</v>
      </c>
      <c r="F3280" s="34" t="str">
        <f t="shared" si="775"/>
        <v>C:\Users\jaime.benazar\Quorum Business Solutions\Ecopetrol Prometeo - Documents\Planning Space Implementation\3. Analysis &amp; Design\Design\FC22\DRR Jaime\QUIFA-CAJÚA\Cajua\[CAJUA_CF_SEC_New_27-Feb-2024Rev3.xlsx]D-PSND'!</v>
      </c>
      <c r="G3280" s="32" t="s">
        <v>117</v>
      </c>
      <c r="H3280" s="33"/>
      <c r="I3280" s="33"/>
      <c r="J3280" s="37"/>
    </row>
    <row r="3281" spans="1:10" x14ac:dyDescent="0.25">
      <c r="A3281" s="32" t="s">
        <v>104</v>
      </c>
      <c r="B3281" s="32">
        <f t="shared" si="776"/>
        <v>2034</v>
      </c>
      <c r="C3281" s="33" t="s">
        <v>42</v>
      </c>
      <c r="D3281" s="34" t="s">
        <v>1999</v>
      </c>
      <c r="E3281" s="35" t="str">
        <f t="shared" si="760"/>
        <v>PSND'!</v>
      </c>
      <c r="F3281" s="34" t="str">
        <f t="shared" si="775"/>
        <v>C:\Users\jaime.benazar\Quorum Business Solutions\Ecopetrol Prometeo - Documents\Planning Space Implementation\3. Analysis &amp; Design\Design\FC22\DRR Jaime\QUIFA-CAJÚA\Cajua\[CAJUA_CF_SEC_New_27-Feb-2024Rev3.xlsx]D-PSND'!</v>
      </c>
      <c r="G3281" s="32" t="s">
        <v>117</v>
      </c>
      <c r="H3281" s="33"/>
      <c r="I3281" s="33"/>
      <c r="J3281" s="37"/>
    </row>
    <row r="3282" spans="1:10" x14ac:dyDescent="0.25">
      <c r="A3282" s="32" t="s">
        <v>104</v>
      </c>
      <c r="B3282" s="32">
        <f t="shared" si="776"/>
        <v>2035</v>
      </c>
      <c r="C3282" s="33" t="s">
        <v>42</v>
      </c>
      <c r="D3282" s="34" t="s">
        <v>1999</v>
      </c>
      <c r="E3282" s="35" t="str">
        <f t="shared" si="760"/>
        <v>PSND'!</v>
      </c>
      <c r="F3282" s="34" t="str">
        <f t="shared" si="775"/>
        <v>C:\Users\jaime.benazar\Quorum Business Solutions\Ecopetrol Prometeo - Documents\Planning Space Implementation\3. Analysis &amp; Design\Design\FC22\DRR Jaime\QUIFA-CAJÚA\Cajua\[CAJUA_CF_SEC_New_27-Feb-2024Rev3.xlsx]D-PSND'!</v>
      </c>
      <c r="G3282" s="32" t="s">
        <v>117</v>
      </c>
      <c r="H3282" s="33"/>
      <c r="I3282" s="33"/>
      <c r="J3282" s="37"/>
    </row>
    <row r="3283" spans="1:10" x14ac:dyDescent="0.25">
      <c r="A3283" s="32" t="s">
        <v>104</v>
      </c>
      <c r="B3283" s="32">
        <f t="shared" si="776"/>
        <v>2036</v>
      </c>
      <c r="C3283" s="33" t="s">
        <v>42</v>
      </c>
      <c r="D3283" s="34" t="s">
        <v>1999</v>
      </c>
      <c r="E3283" s="35" t="str">
        <f t="shared" si="760"/>
        <v>PSND'!</v>
      </c>
      <c r="F3283" s="34" t="str">
        <f t="shared" si="775"/>
        <v>C:\Users\jaime.benazar\Quorum Business Solutions\Ecopetrol Prometeo - Documents\Planning Space Implementation\3. Analysis &amp; Design\Design\FC22\DRR Jaime\QUIFA-CAJÚA\Cajua\[CAJUA_CF_SEC_New_27-Feb-2024Rev3.xlsx]D-PSND'!</v>
      </c>
      <c r="G3283" s="32" t="s">
        <v>117</v>
      </c>
      <c r="H3283" s="33"/>
      <c r="I3283" s="33"/>
      <c r="J3283" s="37"/>
    </row>
    <row r="3284" spans="1:10" x14ac:dyDescent="0.25">
      <c r="A3284" s="32" t="s">
        <v>104</v>
      </c>
      <c r="B3284" s="32">
        <f>+B3283+1</f>
        <v>2037</v>
      </c>
      <c r="C3284" s="33" t="s">
        <v>42</v>
      </c>
      <c r="D3284" s="34" t="s">
        <v>1999</v>
      </c>
      <c r="E3284" s="35" t="str">
        <f t="shared" si="760"/>
        <v>PSND'!</v>
      </c>
      <c r="F3284" s="34" t="str">
        <f t="shared" si="775"/>
        <v>C:\Users\jaime.benazar\Quorum Business Solutions\Ecopetrol Prometeo - Documents\Planning Space Implementation\3. Analysis &amp; Design\Design\FC22\DRR Jaime\QUIFA-CAJÚA\Cajua\[CAJUA_CF_SEC_New_27-Feb-2024Rev3.xlsx]D-PSND'!</v>
      </c>
      <c r="G3284" s="32" t="s">
        <v>117</v>
      </c>
      <c r="H3284" s="33"/>
      <c r="I3284" s="33"/>
      <c r="J3284" s="37"/>
    </row>
    <row r="3285" spans="1:10" x14ac:dyDescent="0.25">
      <c r="A3285" s="32" t="s">
        <v>104</v>
      </c>
      <c r="B3285" s="32">
        <f t="shared" ref="B3285:B3287" si="777">+B3284+1</f>
        <v>2038</v>
      </c>
      <c r="C3285" s="33" t="s">
        <v>42</v>
      </c>
      <c r="D3285" s="34" t="s">
        <v>1999</v>
      </c>
      <c r="E3285" s="35" t="str">
        <f t="shared" si="760"/>
        <v>PSND'!</v>
      </c>
      <c r="F3285" s="34" t="str">
        <f t="shared" si="775"/>
        <v>C:\Users\jaime.benazar\Quorum Business Solutions\Ecopetrol Prometeo - Documents\Planning Space Implementation\3. Analysis &amp; Design\Design\FC22\DRR Jaime\QUIFA-CAJÚA\Cajua\[CAJUA_CF_SEC_New_27-Feb-2024Rev3.xlsx]D-PSND'!</v>
      </c>
      <c r="G3285" s="32" t="s">
        <v>117</v>
      </c>
      <c r="H3285" s="33"/>
      <c r="I3285" s="33"/>
      <c r="J3285" s="37"/>
    </row>
    <row r="3286" spans="1:10" x14ac:dyDescent="0.25">
      <c r="A3286" s="32" t="s">
        <v>104</v>
      </c>
      <c r="B3286" s="32">
        <f t="shared" si="777"/>
        <v>2039</v>
      </c>
      <c r="C3286" s="33" t="s">
        <v>42</v>
      </c>
      <c r="D3286" s="34" t="s">
        <v>1999</v>
      </c>
      <c r="E3286" s="35" t="str">
        <f t="shared" ref="E3286:E3307" si="778">_xlfn.CONCAT(A3286,"'!")</f>
        <v>PSND'!</v>
      </c>
      <c r="F3286" s="34" t="str">
        <f t="shared" si="775"/>
        <v>C:\Users\jaime.benazar\Quorum Business Solutions\Ecopetrol Prometeo - Documents\Planning Space Implementation\3. Analysis &amp; Design\Design\FC22\DRR Jaime\QUIFA-CAJÚA\Cajua\[CAJUA_CF_SEC_New_27-Feb-2024Rev3.xlsx]D-PSND'!</v>
      </c>
      <c r="G3286" s="32" t="s">
        <v>117</v>
      </c>
      <c r="H3286" s="33"/>
      <c r="I3286" s="33"/>
      <c r="J3286" s="37"/>
    </row>
    <row r="3287" spans="1:10" x14ac:dyDescent="0.25">
      <c r="A3287" s="32" t="s">
        <v>104</v>
      </c>
      <c r="B3287" s="32">
        <f t="shared" si="777"/>
        <v>2040</v>
      </c>
      <c r="C3287" s="33" t="s">
        <v>42</v>
      </c>
      <c r="D3287" s="34" t="s">
        <v>1999</v>
      </c>
      <c r="E3287" s="35" t="str">
        <f t="shared" si="778"/>
        <v>PSND'!</v>
      </c>
      <c r="F3287" s="34" t="str">
        <f t="shared" si="775"/>
        <v>C:\Users\jaime.benazar\Quorum Business Solutions\Ecopetrol Prometeo - Documents\Planning Space Implementation\3. Analysis &amp; Design\Design\FC22\DRR Jaime\QUIFA-CAJÚA\Cajua\[CAJUA_CF_SEC_New_27-Feb-2024Rev3.xlsx]D-PSND'!</v>
      </c>
      <c r="G3287" s="32" t="s">
        <v>117</v>
      </c>
      <c r="H3287" s="33"/>
      <c r="I3287" s="33"/>
      <c r="J3287" s="37"/>
    </row>
    <row r="3288" spans="1:10" x14ac:dyDescent="0.25">
      <c r="A3288" s="32" t="s">
        <v>104</v>
      </c>
      <c r="B3288" s="32">
        <f>+B3287+1</f>
        <v>2041</v>
      </c>
      <c r="C3288" s="33" t="s">
        <v>42</v>
      </c>
      <c r="D3288" s="34" t="s">
        <v>1999</v>
      </c>
      <c r="E3288" s="35" t="str">
        <f t="shared" si="778"/>
        <v>PSND'!</v>
      </c>
      <c r="F3288" s="34" t="str">
        <f t="shared" si="775"/>
        <v>C:\Users\jaime.benazar\Quorum Business Solutions\Ecopetrol Prometeo - Documents\Planning Space Implementation\3. Analysis &amp; Design\Design\FC22\DRR Jaime\QUIFA-CAJÚA\Cajua\[CAJUA_CF_SEC_New_27-Feb-2024Rev3.xlsx]D-PSND'!</v>
      </c>
      <c r="G3288" s="32" t="s">
        <v>117</v>
      </c>
      <c r="H3288" s="33"/>
      <c r="I3288" s="33"/>
      <c r="J3288" s="37"/>
    </row>
    <row r="3289" spans="1:10" x14ac:dyDescent="0.25">
      <c r="A3289" s="32" t="s">
        <v>104</v>
      </c>
      <c r="B3289" s="32">
        <f t="shared" ref="B3289:B3290" si="779">+B3288+1</f>
        <v>2042</v>
      </c>
      <c r="C3289" s="33" t="s">
        <v>42</v>
      </c>
      <c r="D3289" s="34" t="s">
        <v>1999</v>
      </c>
      <c r="E3289" s="35" t="str">
        <f t="shared" si="778"/>
        <v>PSND'!</v>
      </c>
      <c r="F3289" s="34" t="str">
        <f t="shared" si="775"/>
        <v>C:\Users\jaime.benazar\Quorum Business Solutions\Ecopetrol Prometeo - Documents\Planning Space Implementation\3. Analysis &amp; Design\Design\FC22\DRR Jaime\QUIFA-CAJÚA\Cajua\[CAJUA_CF_SEC_New_27-Feb-2024Rev3.xlsx]D-PSND'!</v>
      </c>
      <c r="G3289" s="32" t="s">
        <v>117</v>
      </c>
      <c r="H3289" s="33"/>
      <c r="I3289" s="33"/>
      <c r="J3289" s="37"/>
    </row>
    <row r="3290" spans="1:10" x14ac:dyDescent="0.25">
      <c r="A3290" s="32" t="s">
        <v>104</v>
      </c>
      <c r="B3290" s="32">
        <f t="shared" si="779"/>
        <v>2043</v>
      </c>
      <c r="C3290" s="33" t="s">
        <v>42</v>
      </c>
      <c r="D3290" s="34" t="s">
        <v>1999</v>
      </c>
      <c r="E3290" s="35" t="str">
        <f t="shared" si="778"/>
        <v>PSND'!</v>
      </c>
      <c r="F3290" s="34" t="str">
        <f t="shared" si="775"/>
        <v>C:\Users\jaime.benazar\Quorum Business Solutions\Ecopetrol Prometeo - Documents\Planning Space Implementation\3. Analysis &amp; Design\Design\FC22\DRR Jaime\QUIFA-CAJÚA\Cajua\[CAJUA_CF_SEC_New_27-Feb-2024Rev3.xlsx]D-PSND'!</v>
      </c>
      <c r="G3290" s="32" t="s">
        <v>117</v>
      </c>
      <c r="H3290" s="33"/>
      <c r="I3290" s="33"/>
      <c r="J3290" s="37"/>
    </row>
    <row r="3291" spans="1:10" x14ac:dyDescent="0.25">
      <c r="A3291" s="32" t="s">
        <v>104</v>
      </c>
      <c r="B3291" s="32">
        <f>+B3290+1</f>
        <v>2044</v>
      </c>
      <c r="C3291" s="33" t="s">
        <v>42</v>
      </c>
      <c r="D3291" s="34" t="s">
        <v>1999</v>
      </c>
      <c r="E3291" s="35" t="str">
        <f t="shared" ref="E3291:E3306" si="780">_xlfn.CONCAT(A3291,"'!")</f>
        <v>PSND'!</v>
      </c>
      <c r="F3291" s="34" t="str">
        <f t="shared" ref="F3291:F3306" si="781">_xlfn.CONCAT(D3291:E3291)</f>
        <v>C:\Users\jaime.benazar\Quorum Business Solutions\Ecopetrol Prometeo - Documents\Planning Space Implementation\3. Analysis &amp; Design\Design\FC22\DRR Jaime\QUIFA-CAJÚA\Cajua\[CAJUA_CF_SEC_New_27-Feb-2024Rev3.xlsx]D-PSND'!</v>
      </c>
      <c r="G3291" s="32" t="s">
        <v>117</v>
      </c>
      <c r="H3291" s="33"/>
      <c r="I3291" s="33"/>
      <c r="J3291" s="37"/>
    </row>
    <row r="3292" spans="1:10" x14ac:dyDescent="0.25">
      <c r="A3292" s="32" t="s">
        <v>104</v>
      </c>
      <c r="B3292" s="32">
        <f t="shared" ref="B3292:B3306" si="782">+B3291+1</f>
        <v>2045</v>
      </c>
      <c r="C3292" s="33" t="s">
        <v>42</v>
      </c>
      <c r="D3292" s="34" t="s">
        <v>1999</v>
      </c>
      <c r="E3292" s="35" t="str">
        <f t="shared" si="780"/>
        <v>PSND'!</v>
      </c>
      <c r="F3292" s="34" t="str">
        <f t="shared" si="781"/>
        <v>C:\Users\jaime.benazar\Quorum Business Solutions\Ecopetrol Prometeo - Documents\Planning Space Implementation\3. Analysis &amp; Design\Design\FC22\DRR Jaime\QUIFA-CAJÚA\Cajua\[CAJUA_CF_SEC_New_27-Feb-2024Rev3.xlsx]D-PSND'!</v>
      </c>
      <c r="G3292" s="32" t="s">
        <v>117</v>
      </c>
      <c r="H3292" s="33"/>
      <c r="I3292" s="33"/>
      <c r="J3292" s="37"/>
    </row>
    <row r="3293" spans="1:10" x14ac:dyDescent="0.25">
      <c r="A3293" s="32" t="s">
        <v>104</v>
      </c>
      <c r="B3293" s="32">
        <f t="shared" si="782"/>
        <v>2046</v>
      </c>
      <c r="C3293" s="33" t="s">
        <v>42</v>
      </c>
      <c r="D3293" s="34" t="s">
        <v>1999</v>
      </c>
      <c r="E3293" s="35" t="str">
        <f t="shared" si="780"/>
        <v>PSND'!</v>
      </c>
      <c r="F3293" s="34" t="str">
        <f t="shared" si="781"/>
        <v>C:\Users\jaime.benazar\Quorum Business Solutions\Ecopetrol Prometeo - Documents\Planning Space Implementation\3. Analysis &amp; Design\Design\FC22\DRR Jaime\QUIFA-CAJÚA\Cajua\[CAJUA_CF_SEC_New_27-Feb-2024Rev3.xlsx]D-PSND'!</v>
      </c>
      <c r="G3293" s="32" t="s">
        <v>117</v>
      </c>
      <c r="H3293" s="33"/>
      <c r="I3293" s="33"/>
      <c r="J3293" s="37"/>
    </row>
    <row r="3294" spans="1:10" x14ac:dyDescent="0.25">
      <c r="A3294" s="32" t="s">
        <v>104</v>
      </c>
      <c r="B3294" s="32">
        <f t="shared" si="782"/>
        <v>2047</v>
      </c>
      <c r="C3294" s="33" t="s">
        <v>42</v>
      </c>
      <c r="D3294" s="34" t="s">
        <v>1999</v>
      </c>
      <c r="E3294" s="35" t="str">
        <f t="shared" si="780"/>
        <v>PSND'!</v>
      </c>
      <c r="F3294" s="34" t="str">
        <f t="shared" si="781"/>
        <v>C:\Users\jaime.benazar\Quorum Business Solutions\Ecopetrol Prometeo - Documents\Planning Space Implementation\3. Analysis &amp; Design\Design\FC22\DRR Jaime\QUIFA-CAJÚA\Cajua\[CAJUA_CF_SEC_New_27-Feb-2024Rev3.xlsx]D-PSND'!</v>
      </c>
      <c r="G3294" s="32" t="s">
        <v>117</v>
      </c>
      <c r="H3294" s="33"/>
      <c r="I3294" s="33"/>
      <c r="J3294" s="37"/>
    </row>
    <row r="3295" spans="1:10" x14ac:dyDescent="0.25">
      <c r="A3295" s="32" t="s">
        <v>104</v>
      </c>
      <c r="B3295" s="32">
        <f t="shared" si="782"/>
        <v>2048</v>
      </c>
      <c r="C3295" s="33" t="s">
        <v>42</v>
      </c>
      <c r="D3295" s="34" t="s">
        <v>1999</v>
      </c>
      <c r="E3295" s="35" t="str">
        <f t="shared" si="780"/>
        <v>PSND'!</v>
      </c>
      <c r="F3295" s="34" t="str">
        <f t="shared" si="781"/>
        <v>C:\Users\jaime.benazar\Quorum Business Solutions\Ecopetrol Prometeo - Documents\Planning Space Implementation\3. Analysis &amp; Design\Design\FC22\DRR Jaime\QUIFA-CAJÚA\Cajua\[CAJUA_CF_SEC_New_27-Feb-2024Rev3.xlsx]D-PSND'!</v>
      </c>
      <c r="G3295" s="32" t="s">
        <v>117</v>
      </c>
      <c r="H3295" s="33"/>
      <c r="I3295" s="33"/>
      <c r="J3295" s="37"/>
    </row>
    <row r="3296" spans="1:10" x14ac:dyDescent="0.25">
      <c r="A3296" s="32" t="s">
        <v>104</v>
      </c>
      <c r="B3296" s="32">
        <f t="shared" si="782"/>
        <v>2049</v>
      </c>
      <c r="C3296" s="33" t="s">
        <v>42</v>
      </c>
      <c r="D3296" s="34" t="s">
        <v>1999</v>
      </c>
      <c r="E3296" s="35" t="str">
        <f t="shared" si="780"/>
        <v>PSND'!</v>
      </c>
      <c r="F3296" s="34" t="str">
        <f t="shared" si="781"/>
        <v>C:\Users\jaime.benazar\Quorum Business Solutions\Ecopetrol Prometeo - Documents\Planning Space Implementation\3. Analysis &amp; Design\Design\FC22\DRR Jaime\QUIFA-CAJÚA\Cajua\[CAJUA_CF_SEC_New_27-Feb-2024Rev3.xlsx]D-PSND'!</v>
      </c>
      <c r="G3296" s="32" t="s">
        <v>117</v>
      </c>
      <c r="H3296" s="33"/>
      <c r="I3296" s="33"/>
      <c r="J3296" s="37"/>
    </row>
    <row r="3297" spans="1:10" x14ac:dyDescent="0.25">
      <c r="A3297" s="32" t="s">
        <v>104</v>
      </c>
      <c r="B3297" s="32">
        <f t="shared" si="782"/>
        <v>2050</v>
      </c>
      <c r="C3297" s="33" t="s">
        <v>42</v>
      </c>
      <c r="D3297" s="34" t="s">
        <v>1999</v>
      </c>
      <c r="E3297" s="35" t="str">
        <f t="shared" si="780"/>
        <v>PSND'!</v>
      </c>
      <c r="F3297" s="34" t="str">
        <f t="shared" si="781"/>
        <v>C:\Users\jaime.benazar\Quorum Business Solutions\Ecopetrol Prometeo - Documents\Planning Space Implementation\3. Analysis &amp; Design\Design\FC22\DRR Jaime\QUIFA-CAJÚA\Cajua\[CAJUA_CF_SEC_New_27-Feb-2024Rev3.xlsx]D-PSND'!</v>
      </c>
      <c r="G3297" s="32" t="s">
        <v>117</v>
      </c>
      <c r="H3297" s="33"/>
      <c r="I3297" s="33"/>
      <c r="J3297" s="37"/>
    </row>
    <row r="3298" spans="1:10" x14ac:dyDescent="0.25">
      <c r="A3298" s="32" t="s">
        <v>104</v>
      </c>
      <c r="B3298" s="32">
        <f t="shared" si="782"/>
        <v>2051</v>
      </c>
      <c r="C3298" s="33" t="s">
        <v>42</v>
      </c>
      <c r="D3298" s="34" t="s">
        <v>1999</v>
      </c>
      <c r="E3298" s="35" t="str">
        <f t="shared" si="780"/>
        <v>PSND'!</v>
      </c>
      <c r="F3298" s="34" t="str">
        <f t="shared" si="781"/>
        <v>C:\Users\jaime.benazar\Quorum Business Solutions\Ecopetrol Prometeo - Documents\Planning Space Implementation\3. Analysis &amp; Design\Design\FC22\DRR Jaime\QUIFA-CAJÚA\Cajua\[CAJUA_CF_SEC_New_27-Feb-2024Rev3.xlsx]D-PSND'!</v>
      </c>
      <c r="G3298" s="32" t="s">
        <v>117</v>
      </c>
      <c r="H3298" s="33"/>
      <c r="I3298" s="33"/>
      <c r="J3298" s="37"/>
    </row>
    <row r="3299" spans="1:10" x14ac:dyDescent="0.25">
      <c r="A3299" s="32" t="s">
        <v>104</v>
      </c>
      <c r="B3299" s="32">
        <f t="shared" si="782"/>
        <v>2052</v>
      </c>
      <c r="C3299" s="33" t="s">
        <v>42</v>
      </c>
      <c r="D3299" s="34" t="s">
        <v>1999</v>
      </c>
      <c r="E3299" s="35" t="str">
        <f t="shared" si="780"/>
        <v>PSND'!</v>
      </c>
      <c r="F3299" s="34" t="str">
        <f t="shared" si="781"/>
        <v>C:\Users\jaime.benazar\Quorum Business Solutions\Ecopetrol Prometeo - Documents\Planning Space Implementation\3. Analysis &amp; Design\Design\FC22\DRR Jaime\QUIFA-CAJÚA\Cajua\[CAJUA_CF_SEC_New_27-Feb-2024Rev3.xlsx]D-PSND'!</v>
      </c>
      <c r="G3299" s="32" t="s">
        <v>117</v>
      </c>
      <c r="H3299" s="33"/>
      <c r="I3299" s="33"/>
      <c r="J3299" s="37"/>
    </row>
    <row r="3300" spans="1:10" x14ac:dyDescent="0.25">
      <c r="A3300" s="32" t="s">
        <v>104</v>
      </c>
      <c r="B3300" s="32">
        <f t="shared" si="782"/>
        <v>2053</v>
      </c>
      <c r="C3300" s="33" t="s">
        <v>42</v>
      </c>
      <c r="D3300" s="34" t="s">
        <v>1999</v>
      </c>
      <c r="E3300" s="35" t="str">
        <f t="shared" si="780"/>
        <v>PSND'!</v>
      </c>
      <c r="F3300" s="34" t="str">
        <f t="shared" si="781"/>
        <v>C:\Users\jaime.benazar\Quorum Business Solutions\Ecopetrol Prometeo - Documents\Planning Space Implementation\3. Analysis &amp; Design\Design\FC22\DRR Jaime\QUIFA-CAJÚA\Cajua\[CAJUA_CF_SEC_New_27-Feb-2024Rev3.xlsx]D-PSND'!</v>
      </c>
      <c r="G3300" s="32" t="s">
        <v>117</v>
      </c>
      <c r="H3300" s="33"/>
      <c r="I3300" s="33"/>
      <c r="J3300" s="37"/>
    </row>
    <row r="3301" spans="1:10" x14ac:dyDescent="0.25">
      <c r="A3301" s="32" t="s">
        <v>104</v>
      </c>
      <c r="B3301" s="32">
        <f t="shared" si="782"/>
        <v>2054</v>
      </c>
      <c r="C3301" s="33" t="s">
        <v>42</v>
      </c>
      <c r="D3301" s="34" t="s">
        <v>1999</v>
      </c>
      <c r="E3301" s="35" t="str">
        <f t="shared" si="780"/>
        <v>PSND'!</v>
      </c>
      <c r="F3301" s="34" t="str">
        <f t="shared" si="781"/>
        <v>C:\Users\jaime.benazar\Quorum Business Solutions\Ecopetrol Prometeo - Documents\Planning Space Implementation\3. Analysis &amp; Design\Design\FC22\DRR Jaime\QUIFA-CAJÚA\Cajua\[CAJUA_CF_SEC_New_27-Feb-2024Rev3.xlsx]D-PSND'!</v>
      </c>
      <c r="G3301" s="32" t="s">
        <v>117</v>
      </c>
      <c r="H3301" s="33"/>
      <c r="I3301" s="33"/>
      <c r="J3301" s="37"/>
    </row>
    <row r="3302" spans="1:10" x14ac:dyDescent="0.25">
      <c r="A3302" s="32" t="s">
        <v>104</v>
      </c>
      <c r="B3302" s="32">
        <f t="shared" si="782"/>
        <v>2055</v>
      </c>
      <c r="C3302" s="33" t="s">
        <v>42</v>
      </c>
      <c r="D3302" s="34" t="s">
        <v>1999</v>
      </c>
      <c r="E3302" s="35" t="str">
        <f t="shared" si="780"/>
        <v>PSND'!</v>
      </c>
      <c r="F3302" s="34" t="str">
        <f t="shared" si="781"/>
        <v>C:\Users\jaime.benazar\Quorum Business Solutions\Ecopetrol Prometeo - Documents\Planning Space Implementation\3. Analysis &amp; Design\Design\FC22\DRR Jaime\QUIFA-CAJÚA\Cajua\[CAJUA_CF_SEC_New_27-Feb-2024Rev3.xlsx]D-PSND'!</v>
      </c>
      <c r="G3302" s="32" t="s">
        <v>117</v>
      </c>
      <c r="H3302" s="33"/>
      <c r="I3302" s="33"/>
      <c r="J3302" s="37"/>
    </row>
    <row r="3303" spans="1:10" x14ac:dyDescent="0.25">
      <c r="A3303" s="32" t="s">
        <v>104</v>
      </c>
      <c r="B3303" s="32">
        <f t="shared" si="782"/>
        <v>2056</v>
      </c>
      <c r="C3303" s="33" t="s">
        <v>42</v>
      </c>
      <c r="D3303" s="34" t="s">
        <v>1999</v>
      </c>
      <c r="E3303" s="35" t="str">
        <f t="shared" si="780"/>
        <v>PSND'!</v>
      </c>
      <c r="F3303" s="34" t="str">
        <f t="shared" si="781"/>
        <v>C:\Users\jaime.benazar\Quorum Business Solutions\Ecopetrol Prometeo - Documents\Planning Space Implementation\3. Analysis &amp; Design\Design\FC22\DRR Jaime\QUIFA-CAJÚA\Cajua\[CAJUA_CF_SEC_New_27-Feb-2024Rev3.xlsx]D-PSND'!</v>
      </c>
      <c r="G3303" s="32" t="s">
        <v>117</v>
      </c>
      <c r="H3303" s="33"/>
      <c r="I3303" s="33"/>
      <c r="J3303" s="37"/>
    </row>
    <row r="3304" spans="1:10" x14ac:dyDescent="0.25">
      <c r="A3304" s="32" t="s">
        <v>104</v>
      </c>
      <c r="B3304" s="32">
        <f t="shared" si="782"/>
        <v>2057</v>
      </c>
      <c r="C3304" s="33" t="s">
        <v>42</v>
      </c>
      <c r="D3304" s="34" t="s">
        <v>1999</v>
      </c>
      <c r="E3304" s="35" t="str">
        <f t="shared" si="780"/>
        <v>PSND'!</v>
      </c>
      <c r="F3304" s="34" t="str">
        <f t="shared" si="781"/>
        <v>C:\Users\jaime.benazar\Quorum Business Solutions\Ecopetrol Prometeo - Documents\Planning Space Implementation\3. Analysis &amp; Design\Design\FC22\DRR Jaime\QUIFA-CAJÚA\Cajua\[CAJUA_CF_SEC_New_27-Feb-2024Rev3.xlsx]D-PSND'!</v>
      </c>
      <c r="G3304" s="32" t="s">
        <v>117</v>
      </c>
      <c r="H3304" s="33"/>
      <c r="I3304" s="33"/>
      <c r="J3304" s="37"/>
    </row>
    <row r="3305" spans="1:10" x14ac:dyDescent="0.25">
      <c r="A3305" s="32" t="s">
        <v>104</v>
      </c>
      <c r="B3305" s="32">
        <f t="shared" si="782"/>
        <v>2058</v>
      </c>
      <c r="C3305" s="33" t="s">
        <v>42</v>
      </c>
      <c r="D3305" s="34" t="s">
        <v>1999</v>
      </c>
      <c r="E3305" s="35" t="str">
        <f t="shared" si="780"/>
        <v>PSND'!</v>
      </c>
      <c r="F3305" s="34" t="str">
        <f t="shared" si="781"/>
        <v>C:\Users\jaime.benazar\Quorum Business Solutions\Ecopetrol Prometeo - Documents\Planning Space Implementation\3. Analysis &amp; Design\Design\FC22\DRR Jaime\QUIFA-CAJÚA\Cajua\[CAJUA_CF_SEC_New_27-Feb-2024Rev3.xlsx]D-PSND'!</v>
      </c>
      <c r="G3305" s="32" t="s">
        <v>117</v>
      </c>
      <c r="H3305" s="33"/>
      <c r="I3305" s="33"/>
      <c r="J3305" s="37"/>
    </row>
    <row r="3306" spans="1:10" x14ac:dyDescent="0.25">
      <c r="A3306" s="32" t="s">
        <v>104</v>
      </c>
      <c r="B3306" s="32">
        <f t="shared" si="782"/>
        <v>2059</v>
      </c>
      <c r="C3306" s="33" t="s">
        <v>42</v>
      </c>
      <c r="D3306" s="34" t="s">
        <v>1999</v>
      </c>
      <c r="E3306" s="35" t="str">
        <f t="shared" si="780"/>
        <v>PSND'!</v>
      </c>
      <c r="F3306" s="34" t="str">
        <f t="shared" si="781"/>
        <v>C:\Users\jaime.benazar\Quorum Business Solutions\Ecopetrol Prometeo - Documents\Planning Space Implementation\3. Analysis &amp; Design\Design\FC22\DRR Jaime\QUIFA-CAJÚA\Cajua\[CAJUA_CF_SEC_New_27-Feb-2024Rev3.xlsx]D-PSND'!</v>
      </c>
      <c r="G3306" s="32" t="s">
        <v>117</v>
      </c>
      <c r="H3306" s="33"/>
      <c r="I3306" s="33"/>
      <c r="J3306" s="37"/>
    </row>
    <row r="3307" spans="1:10" x14ac:dyDescent="0.25">
      <c r="A3307" s="32" t="s">
        <v>28</v>
      </c>
      <c r="B3307" s="32"/>
      <c r="C3307" s="33" t="s">
        <v>42</v>
      </c>
      <c r="D3307" s="34"/>
      <c r="E3307" s="32" t="str">
        <f t="shared" si="778"/>
        <v>Total'!</v>
      </c>
      <c r="F3307" s="33"/>
      <c r="G3307" s="32"/>
      <c r="H3307" s="33"/>
      <c r="I3307" s="33"/>
      <c r="J3307" s="33"/>
    </row>
    <row r="3308" spans="1:10" x14ac:dyDescent="0.25">
      <c r="A3308" s="32" t="s">
        <v>34</v>
      </c>
      <c r="B3308" s="32">
        <v>2023</v>
      </c>
      <c r="C3308" s="33" t="s">
        <v>42</v>
      </c>
      <c r="D3308" s="34" t="s">
        <v>1999</v>
      </c>
      <c r="E3308" s="35" t="str">
        <f t="shared" si="719"/>
        <v>PS'!</v>
      </c>
      <c r="F3308" s="34" t="str">
        <f t="shared" si="720"/>
        <v>C:\Users\jaime.benazar\Quorum Business Solutions\Ecopetrol Prometeo - Documents\Planning Space Implementation\3. Analysis &amp; Design\Design\FC22\DRR Jaime\QUIFA-CAJÚA\Cajua\[CAJUA_CF_SEC_New_27-Feb-2024Rev3.xlsx]D-PS'!</v>
      </c>
      <c r="G3308" s="32" t="s">
        <v>117</v>
      </c>
      <c r="H3308" s="33">
        <v>12</v>
      </c>
      <c r="I3308" s="33" t="str">
        <f t="shared" ref="I3308:I3328" si="783">_xlfn.CONCAT("='",F3308:H3308)</f>
        <v>='C:\Users\jaime.benazar\Quorum Business Solutions\Ecopetrol Prometeo - Documents\Planning Space Implementation\3. Analysis &amp; Design\Design\FC22\DRR Jaime\QUIFA-CAJÚA\Cajua\[CAJUA_CF_SEC_New_27-Feb-2024Rev3.xlsx]D-PS'!$DT$12</v>
      </c>
      <c r="J3308" s="37" t="s">
        <v>3443</v>
      </c>
    </row>
    <row r="3309" spans="1:10" x14ac:dyDescent="0.25">
      <c r="A3309" s="32" t="s">
        <v>34</v>
      </c>
      <c r="B3309" s="32">
        <f>+B3308+1</f>
        <v>2024</v>
      </c>
      <c r="C3309" s="33" t="s">
        <v>42</v>
      </c>
      <c r="D3309" s="34" t="s">
        <v>1999</v>
      </c>
      <c r="E3309" s="35" t="str">
        <f t="shared" si="719"/>
        <v>PS'!</v>
      </c>
      <c r="F3309" s="34" t="str">
        <f t="shared" si="720"/>
        <v>C:\Users\jaime.benazar\Quorum Business Solutions\Ecopetrol Prometeo - Documents\Planning Space Implementation\3. Analysis &amp; Design\Design\FC22\DRR Jaime\QUIFA-CAJÚA\Cajua\[CAJUA_CF_SEC_New_27-Feb-2024Rev3.xlsx]D-PS'!</v>
      </c>
      <c r="G3309" s="32" t="s">
        <v>117</v>
      </c>
      <c r="H3309" s="33">
        <f t="shared" ref="H3309:H3328" si="784">IF(A3309&lt;&gt;A3308,12,H3308+1)</f>
        <v>13</v>
      </c>
      <c r="I3309" s="33" t="str">
        <f t="shared" si="783"/>
        <v>='C:\Users\jaime.benazar\Quorum Business Solutions\Ecopetrol Prometeo - Documents\Planning Space Implementation\3. Analysis &amp; Design\Design\FC22\DRR Jaime\QUIFA-CAJÚA\Cajua\[CAJUA_CF_SEC_New_27-Feb-2024Rev3.xlsx]D-PS'!$DT$13</v>
      </c>
      <c r="J3309" s="37" t="s">
        <v>3444</v>
      </c>
    </row>
    <row r="3310" spans="1:10" x14ac:dyDescent="0.25">
      <c r="A3310" s="32" t="s">
        <v>34</v>
      </c>
      <c r="B3310" s="32">
        <f t="shared" ref="B3310:B3321" si="785">+B3309+1</f>
        <v>2025</v>
      </c>
      <c r="C3310" s="33" t="s">
        <v>42</v>
      </c>
      <c r="D3310" s="34" t="s">
        <v>1999</v>
      </c>
      <c r="E3310" s="35" t="str">
        <f t="shared" si="719"/>
        <v>PS'!</v>
      </c>
      <c r="F3310" s="34" t="str">
        <f t="shared" si="720"/>
        <v>C:\Users\jaime.benazar\Quorum Business Solutions\Ecopetrol Prometeo - Documents\Planning Space Implementation\3. Analysis &amp; Design\Design\FC22\DRR Jaime\QUIFA-CAJÚA\Cajua\[CAJUA_CF_SEC_New_27-Feb-2024Rev3.xlsx]D-PS'!</v>
      </c>
      <c r="G3310" s="32" t="s">
        <v>117</v>
      </c>
      <c r="H3310" s="33">
        <f t="shared" si="784"/>
        <v>14</v>
      </c>
      <c r="I3310" s="33" t="str">
        <f t="shared" si="783"/>
        <v>='C:\Users\jaime.benazar\Quorum Business Solutions\Ecopetrol Prometeo - Documents\Planning Space Implementation\3. Analysis &amp; Design\Design\FC22\DRR Jaime\QUIFA-CAJÚA\Cajua\[CAJUA_CF_SEC_New_27-Feb-2024Rev3.xlsx]D-PS'!$DT$14</v>
      </c>
      <c r="J3310" s="37" t="s">
        <v>3445</v>
      </c>
    </row>
    <row r="3311" spans="1:10" x14ac:dyDescent="0.25">
      <c r="A3311" s="32" t="s">
        <v>34</v>
      </c>
      <c r="B3311" s="32">
        <f t="shared" si="785"/>
        <v>2026</v>
      </c>
      <c r="C3311" s="33" t="s">
        <v>42</v>
      </c>
      <c r="D3311" s="34" t="s">
        <v>1999</v>
      </c>
      <c r="E3311" s="35" t="str">
        <f t="shared" si="719"/>
        <v>PS'!</v>
      </c>
      <c r="F3311" s="34" t="str">
        <f t="shared" si="720"/>
        <v>C:\Users\jaime.benazar\Quorum Business Solutions\Ecopetrol Prometeo - Documents\Planning Space Implementation\3. Analysis &amp; Design\Design\FC22\DRR Jaime\QUIFA-CAJÚA\Cajua\[CAJUA_CF_SEC_New_27-Feb-2024Rev3.xlsx]D-PS'!</v>
      </c>
      <c r="G3311" s="32" t="s">
        <v>117</v>
      </c>
      <c r="H3311" s="33">
        <f t="shared" si="784"/>
        <v>15</v>
      </c>
      <c r="I3311" s="33" t="str">
        <f t="shared" si="783"/>
        <v>='C:\Users\jaime.benazar\Quorum Business Solutions\Ecopetrol Prometeo - Documents\Planning Space Implementation\3. Analysis &amp; Design\Design\FC22\DRR Jaime\QUIFA-CAJÚA\Cajua\[CAJUA_CF_SEC_New_27-Feb-2024Rev3.xlsx]D-PS'!$DT$15</v>
      </c>
      <c r="J3311" s="37" t="s">
        <v>3446</v>
      </c>
    </row>
    <row r="3312" spans="1:10" x14ac:dyDescent="0.25">
      <c r="A3312" s="32" t="s">
        <v>34</v>
      </c>
      <c r="B3312" s="32">
        <f t="shared" si="785"/>
        <v>2027</v>
      </c>
      <c r="C3312" s="33" t="s">
        <v>42</v>
      </c>
      <c r="D3312" s="34" t="s">
        <v>1999</v>
      </c>
      <c r="E3312" s="35" t="str">
        <f t="shared" si="719"/>
        <v>PS'!</v>
      </c>
      <c r="F3312" s="34" t="str">
        <f t="shared" si="720"/>
        <v>C:\Users\jaime.benazar\Quorum Business Solutions\Ecopetrol Prometeo - Documents\Planning Space Implementation\3. Analysis &amp; Design\Design\FC22\DRR Jaime\QUIFA-CAJÚA\Cajua\[CAJUA_CF_SEC_New_27-Feb-2024Rev3.xlsx]D-PS'!</v>
      </c>
      <c r="G3312" s="32" t="s">
        <v>117</v>
      </c>
      <c r="H3312" s="33">
        <f t="shared" si="784"/>
        <v>16</v>
      </c>
      <c r="I3312" s="33" t="str">
        <f t="shared" si="783"/>
        <v>='C:\Users\jaime.benazar\Quorum Business Solutions\Ecopetrol Prometeo - Documents\Planning Space Implementation\3. Analysis &amp; Design\Design\FC22\DRR Jaime\QUIFA-CAJÚA\Cajua\[CAJUA_CF_SEC_New_27-Feb-2024Rev3.xlsx]D-PS'!$DT$16</v>
      </c>
      <c r="J3312" s="37" t="s">
        <v>3447</v>
      </c>
    </row>
    <row r="3313" spans="1:10" x14ac:dyDescent="0.25">
      <c r="A3313" s="32" t="s">
        <v>34</v>
      </c>
      <c r="B3313" s="32">
        <f t="shared" si="785"/>
        <v>2028</v>
      </c>
      <c r="C3313" s="33" t="s">
        <v>42</v>
      </c>
      <c r="D3313" s="34" t="s">
        <v>1999</v>
      </c>
      <c r="E3313" s="35" t="str">
        <f t="shared" si="719"/>
        <v>PS'!</v>
      </c>
      <c r="F3313" s="34" t="str">
        <f t="shared" si="720"/>
        <v>C:\Users\jaime.benazar\Quorum Business Solutions\Ecopetrol Prometeo - Documents\Planning Space Implementation\3. Analysis &amp; Design\Design\FC22\DRR Jaime\QUIFA-CAJÚA\Cajua\[CAJUA_CF_SEC_New_27-Feb-2024Rev3.xlsx]D-PS'!</v>
      </c>
      <c r="G3313" s="32" t="s">
        <v>117</v>
      </c>
      <c r="H3313" s="33">
        <f t="shared" si="784"/>
        <v>17</v>
      </c>
      <c r="I3313" s="33" t="str">
        <f t="shared" si="783"/>
        <v>='C:\Users\jaime.benazar\Quorum Business Solutions\Ecopetrol Prometeo - Documents\Planning Space Implementation\3. Analysis &amp; Design\Design\FC22\DRR Jaime\QUIFA-CAJÚA\Cajua\[CAJUA_CF_SEC_New_27-Feb-2024Rev3.xlsx]D-PS'!$DT$17</v>
      </c>
      <c r="J3313" s="37" t="s">
        <v>3448</v>
      </c>
    </row>
    <row r="3314" spans="1:10" x14ac:dyDescent="0.25">
      <c r="A3314" s="32" t="s">
        <v>34</v>
      </c>
      <c r="B3314" s="32">
        <f t="shared" si="785"/>
        <v>2029</v>
      </c>
      <c r="C3314" s="33" t="s">
        <v>42</v>
      </c>
      <c r="D3314" s="34" t="s">
        <v>1999</v>
      </c>
      <c r="E3314" s="35" t="str">
        <f t="shared" si="719"/>
        <v>PS'!</v>
      </c>
      <c r="F3314" s="34" t="str">
        <f t="shared" si="720"/>
        <v>C:\Users\jaime.benazar\Quorum Business Solutions\Ecopetrol Prometeo - Documents\Planning Space Implementation\3. Analysis &amp; Design\Design\FC22\DRR Jaime\QUIFA-CAJÚA\Cajua\[CAJUA_CF_SEC_New_27-Feb-2024Rev3.xlsx]D-PS'!</v>
      </c>
      <c r="G3314" s="32" t="s">
        <v>117</v>
      </c>
      <c r="H3314" s="33">
        <f t="shared" si="784"/>
        <v>18</v>
      </c>
      <c r="I3314" s="33" t="str">
        <f t="shared" si="783"/>
        <v>='C:\Users\jaime.benazar\Quorum Business Solutions\Ecopetrol Prometeo - Documents\Planning Space Implementation\3. Analysis &amp; Design\Design\FC22\DRR Jaime\QUIFA-CAJÚA\Cajua\[CAJUA_CF_SEC_New_27-Feb-2024Rev3.xlsx]D-PS'!$DT$18</v>
      </c>
      <c r="J3314" s="37" t="s">
        <v>3449</v>
      </c>
    </row>
    <row r="3315" spans="1:10" x14ac:dyDescent="0.25">
      <c r="A3315" s="32" t="s">
        <v>34</v>
      </c>
      <c r="B3315" s="32">
        <f t="shared" si="785"/>
        <v>2030</v>
      </c>
      <c r="C3315" s="33" t="s">
        <v>42</v>
      </c>
      <c r="D3315" s="34" t="s">
        <v>1999</v>
      </c>
      <c r="E3315" s="35" t="str">
        <f t="shared" si="719"/>
        <v>PS'!</v>
      </c>
      <c r="F3315" s="34" t="str">
        <f t="shared" si="720"/>
        <v>C:\Users\jaime.benazar\Quorum Business Solutions\Ecopetrol Prometeo - Documents\Planning Space Implementation\3. Analysis &amp; Design\Design\FC22\DRR Jaime\QUIFA-CAJÚA\Cajua\[CAJUA_CF_SEC_New_27-Feb-2024Rev3.xlsx]D-PS'!</v>
      </c>
      <c r="G3315" s="32" t="s">
        <v>117</v>
      </c>
      <c r="H3315" s="33">
        <f t="shared" si="784"/>
        <v>19</v>
      </c>
      <c r="I3315" s="33" t="str">
        <f t="shared" si="783"/>
        <v>='C:\Users\jaime.benazar\Quorum Business Solutions\Ecopetrol Prometeo - Documents\Planning Space Implementation\3. Analysis &amp; Design\Design\FC22\DRR Jaime\QUIFA-CAJÚA\Cajua\[CAJUA_CF_SEC_New_27-Feb-2024Rev3.xlsx]D-PS'!$DT$19</v>
      </c>
      <c r="J3315" s="37" t="s">
        <v>3450</v>
      </c>
    </row>
    <row r="3316" spans="1:10" x14ac:dyDescent="0.25">
      <c r="A3316" s="32" t="s">
        <v>34</v>
      </c>
      <c r="B3316" s="32">
        <f t="shared" si="785"/>
        <v>2031</v>
      </c>
      <c r="C3316" s="33" t="s">
        <v>42</v>
      </c>
      <c r="D3316" s="34" t="s">
        <v>1999</v>
      </c>
      <c r="E3316" s="35" t="str">
        <f t="shared" si="719"/>
        <v>PS'!</v>
      </c>
      <c r="F3316" s="34" t="str">
        <f t="shared" si="720"/>
        <v>C:\Users\jaime.benazar\Quorum Business Solutions\Ecopetrol Prometeo - Documents\Planning Space Implementation\3. Analysis &amp; Design\Design\FC22\DRR Jaime\QUIFA-CAJÚA\Cajua\[CAJUA_CF_SEC_New_27-Feb-2024Rev3.xlsx]D-PS'!</v>
      </c>
      <c r="G3316" s="32" t="s">
        <v>117</v>
      </c>
      <c r="H3316" s="33">
        <f t="shared" si="784"/>
        <v>20</v>
      </c>
      <c r="I3316" s="33" t="str">
        <f t="shared" si="783"/>
        <v>='C:\Users\jaime.benazar\Quorum Business Solutions\Ecopetrol Prometeo - Documents\Planning Space Implementation\3. Analysis &amp; Design\Design\FC22\DRR Jaime\QUIFA-CAJÚA\Cajua\[CAJUA_CF_SEC_New_27-Feb-2024Rev3.xlsx]D-PS'!$DT$20</v>
      </c>
      <c r="J3316" s="37" t="s">
        <v>3451</v>
      </c>
    </row>
    <row r="3317" spans="1:10" x14ac:dyDescent="0.25">
      <c r="A3317" s="32" t="s">
        <v>34</v>
      </c>
      <c r="B3317" s="32">
        <f t="shared" si="785"/>
        <v>2032</v>
      </c>
      <c r="C3317" s="33" t="s">
        <v>42</v>
      </c>
      <c r="D3317" s="34" t="s">
        <v>1999</v>
      </c>
      <c r="E3317" s="35" t="str">
        <f t="shared" si="719"/>
        <v>PS'!</v>
      </c>
      <c r="F3317" s="34" t="str">
        <f t="shared" si="720"/>
        <v>C:\Users\jaime.benazar\Quorum Business Solutions\Ecopetrol Prometeo - Documents\Planning Space Implementation\3. Analysis &amp; Design\Design\FC22\DRR Jaime\QUIFA-CAJÚA\Cajua\[CAJUA_CF_SEC_New_27-Feb-2024Rev3.xlsx]D-PS'!</v>
      </c>
      <c r="G3317" s="32" t="s">
        <v>117</v>
      </c>
      <c r="H3317" s="33">
        <f t="shared" si="784"/>
        <v>21</v>
      </c>
      <c r="I3317" s="33" t="str">
        <f t="shared" si="783"/>
        <v>='C:\Users\jaime.benazar\Quorum Business Solutions\Ecopetrol Prometeo - Documents\Planning Space Implementation\3. Analysis &amp; Design\Design\FC22\DRR Jaime\QUIFA-CAJÚA\Cajua\[CAJUA_CF_SEC_New_27-Feb-2024Rev3.xlsx]D-PS'!$DT$21</v>
      </c>
      <c r="J3317" s="37" t="s">
        <v>3452</v>
      </c>
    </row>
    <row r="3318" spans="1:10" x14ac:dyDescent="0.25">
      <c r="A3318" s="32" t="s">
        <v>34</v>
      </c>
      <c r="B3318" s="32">
        <f t="shared" si="785"/>
        <v>2033</v>
      </c>
      <c r="C3318" s="33" t="s">
        <v>42</v>
      </c>
      <c r="D3318" s="34" t="s">
        <v>1999</v>
      </c>
      <c r="E3318" s="35" t="str">
        <f t="shared" si="719"/>
        <v>PS'!</v>
      </c>
      <c r="F3318" s="34" t="str">
        <f t="shared" si="720"/>
        <v>C:\Users\jaime.benazar\Quorum Business Solutions\Ecopetrol Prometeo - Documents\Planning Space Implementation\3. Analysis &amp; Design\Design\FC22\DRR Jaime\QUIFA-CAJÚA\Cajua\[CAJUA_CF_SEC_New_27-Feb-2024Rev3.xlsx]D-PS'!</v>
      </c>
      <c r="G3318" s="32" t="s">
        <v>117</v>
      </c>
      <c r="H3318" s="33">
        <f t="shared" si="784"/>
        <v>22</v>
      </c>
      <c r="I3318" s="33" t="str">
        <f t="shared" si="783"/>
        <v>='C:\Users\jaime.benazar\Quorum Business Solutions\Ecopetrol Prometeo - Documents\Planning Space Implementation\3. Analysis &amp; Design\Design\FC22\DRR Jaime\QUIFA-CAJÚA\Cajua\[CAJUA_CF_SEC_New_27-Feb-2024Rev3.xlsx]D-PS'!$DT$22</v>
      </c>
      <c r="J3318" s="37" t="s">
        <v>3453</v>
      </c>
    </row>
    <row r="3319" spans="1:10" x14ac:dyDescent="0.25">
      <c r="A3319" s="32" t="s">
        <v>34</v>
      </c>
      <c r="B3319" s="32">
        <f t="shared" si="785"/>
        <v>2034</v>
      </c>
      <c r="C3319" s="33" t="s">
        <v>42</v>
      </c>
      <c r="D3319" s="34" t="s">
        <v>1999</v>
      </c>
      <c r="E3319" s="35" t="str">
        <f t="shared" si="719"/>
        <v>PS'!</v>
      </c>
      <c r="F3319" s="34" t="str">
        <f t="shared" si="720"/>
        <v>C:\Users\jaime.benazar\Quorum Business Solutions\Ecopetrol Prometeo - Documents\Planning Space Implementation\3. Analysis &amp; Design\Design\FC22\DRR Jaime\QUIFA-CAJÚA\Cajua\[CAJUA_CF_SEC_New_27-Feb-2024Rev3.xlsx]D-PS'!</v>
      </c>
      <c r="G3319" s="32" t="s">
        <v>117</v>
      </c>
      <c r="H3319" s="33">
        <f t="shared" si="784"/>
        <v>23</v>
      </c>
      <c r="I3319" s="33" t="str">
        <f t="shared" si="783"/>
        <v>='C:\Users\jaime.benazar\Quorum Business Solutions\Ecopetrol Prometeo - Documents\Planning Space Implementation\3. Analysis &amp; Design\Design\FC22\DRR Jaime\QUIFA-CAJÚA\Cajua\[CAJUA_CF_SEC_New_27-Feb-2024Rev3.xlsx]D-PS'!$DT$23</v>
      </c>
      <c r="J3319" s="37" t="s">
        <v>3454</v>
      </c>
    </row>
    <row r="3320" spans="1:10" x14ac:dyDescent="0.25">
      <c r="A3320" s="32" t="s">
        <v>34</v>
      </c>
      <c r="B3320" s="32">
        <f t="shared" si="785"/>
        <v>2035</v>
      </c>
      <c r="C3320" s="33" t="s">
        <v>42</v>
      </c>
      <c r="D3320" s="34" t="s">
        <v>1999</v>
      </c>
      <c r="E3320" s="35" t="str">
        <f t="shared" si="719"/>
        <v>PS'!</v>
      </c>
      <c r="F3320" s="34" t="str">
        <f t="shared" si="720"/>
        <v>C:\Users\jaime.benazar\Quorum Business Solutions\Ecopetrol Prometeo - Documents\Planning Space Implementation\3. Analysis &amp; Design\Design\FC22\DRR Jaime\QUIFA-CAJÚA\Cajua\[CAJUA_CF_SEC_New_27-Feb-2024Rev3.xlsx]D-PS'!</v>
      </c>
      <c r="G3320" s="32" t="s">
        <v>117</v>
      </c>
      <c r="H3320" s="33">
        <f t="shared" si="784"/>
        <v>24</v>
      </c>
      <c r="I3320" s="33" t="str">
        <f t="shared" si="783"/>
        <v>='C:\Users\jaime.benazar\Quorum Business Solutions\Ecopetrol Prometeo - Documents\Planning Space Implementation\3. Analysis &amp; Design\Design\FC22\DRR Jaime\QUIFA-CAJÚA\Cajua\[CAJUA_CF_SEC_New_27-Feb-2024Rev3.xlsx]D-PS'!$DT$24</v>
      </c>
      <c r="J3320" s="37" t="s">
        <v>3455</v>
      </c>
    </row>
    <row r="3321" spans="1:10" x14ac:dyDescent="0.25">
      <c r="A3321" s="32" t="s">
        <v>34</v>
      </c>
      <c r="B3321" s="32">
        <f t="shared" si="785"/>
        <v>2036</v>
      </c>
      <c r="C3321" s="33" t="s">
        <v>42</v>
      </c>
      <c r="D3321" s="34" t="s">
        <v>1999</v>
      </c>
      <c r="E3321" s="35" t="str">
        <f t="shared" si="719"/>
        <v>PS'!</v>
      </c>
      <c r="F3321" s="34" t="str">
        <f t="shared" si="720"/>
        <v>C:\Users\jaime.benazar\Quorum Business Solutions\Ecopetrol Prometeo - Documents\Planning Space Implementation\3. Analysis &amp; Design\Design\FC22\DRR Jaime\QUIFA-CAJÚA\Cajua\[CAJUA_CF_SEC_New_27-Feb-2024Rev3.xlsx]D-PS'!</v>
      </c>
      <c r="G3321" s="32" t="s">
        <v>117</v>
      </c>
      <c r="H3321" s="33">
        <f t="shared" si="784"/>
        <v>25</v>
      </c>
      <c r="I3321" s="33" t="str">
        <f t="shared" si="783"/>
        <v>='C:\Users\jaime.benazar\Quorum Business Solutions\Ecopetrol Prometeo - Documents\Planning Space Implementation\3. Analysis &amp; Design\Design\FC22\DRR Jaime\QUIFA-CAJÚA\Cajua\[CAJUA_CF_SEC_New_27-Feb-2024Rev3.xlsx]D-PS'!$DT$25</v>
      </c>
      <c r="J3321" s="37" t="s">
        <v>3456</v>
      </c>
    </row>
    <row r="3322" spans="1:10" x14ac:dyDescent="0.25">
      <c r="A3322" s="32" t="s">
        <v>34</v>
      </c>
      <c r="B3322" s="32">
        <f>+B3321+1</f>
        <v>2037</v>
      </c>
      <c r="C3322" s="33" t="s">
        <v>42</v>
      </c>
      <c r="D3322" s="34" t="s">
        <v>1999</v>
      </c>
      <c r="E3322" s="35" t="str">
        <f t="shared" si="719"/>
        <v>PS'!</v>
      </c>
      <c r="F3322" s="34" t="str">
        <f t="shared" si="720"/>
        <v>C:\Users\jaime.benazar\Quorum Business Solutions\Ecopetrol Prometeo - Documents\Planning Space Implementation\3. Analysis &amp; Design\Design\FC22\DRR Jaime\QUIFA-CAJÚA\Cajua\[CAJUA_CF_SEC_New_27-Feb-2024Rev3.xlsx]D-PS'!</v>
      </c>
      <c r="G3322" s="32" t="s">
        <v>117</v>
      </c>
      <c r="H3322" s="33">
        <f t="shared" si="784"/>
        <v>26</v>
      </c>
      <c r="I3322" s="33" t="str">
        <f t="shared" si="783"/>
        <v>='C:\Users\jaime.benazar\Quorum Business Solutions\Ecopetrol Prometeo - Documents\Planning Space Implementation\3. Analysis &amp; Design\Design\FC22\DRR Jaime\QUIFA-CAJÚA\Cajua\[CAJUA_CF_SEC_New_27-Feb-2024Rev3.xlsx]D-PS'!$DT$26</v>
      </c>
      <c r="J3322" s="37" t="s">
        <v>3457</v>
      </c>
    </row>
    <row r="3323" spans="1:10" x14ac:dyDescent="0.25">
      <c r="A3323" s="32" t="s">
        <v>34</v>
      </c>
      <c r="B3323" s="32">
        <f t="shared" ref="B3323:B3325" si="786">+B3322+1</f>
        <v>2038</v>
      </c>
      <c r="C3323" s="33" t="s">
        <v>42</v>
      </c>
      <c r="D3323" s="34" t="s">
        <v>1999</v>
      </c>
      <c r="E3323" s="35" t="str">
        <f t="shared" si="719"/>
        <v>PS'!</v>
      </c>
      <c r="F3323" s="34" t="str">
        <f t="shared" si="720"/>
        <v>C:\Users\jaime.benazar\Quorum Business Solutions\Ecopetrol Prometeo - Documents\Planning Space Implementation\3. Analysis &amp; Design\Design\FC22\DRR Jaime\QUIFA-CAJÚA\Cajua\[CAJUA_CF_SEC_New_27-Feb-2024Rev3.xlsx]D-PS'!</v>
      </c>
      <c r="G3323" s="32" t="s">
        <v>117</v>
      </c>
      <c r="H3323" s="33">
        <f t="shared" si="784"/>
        <v>27</v>
      </c>
      <c r="I3323" s="33" t="str">
        <f t="shared" si="783"/>
        <v>='C:\Users\jaime.benazar\Quorum Business Solutions\Ecopetrol Prometeo - Documents\Planning Space Implementation\3. Analysis &amp; Design\Design\FC22\DRR Jaime\QUIFA-CAJÚA\Cajua\[CAJUA_CF_SEC_New_27-Feb-2024Rev3.xlsx]D-PS'!$DT$27</v>
      </c>
      <c r="J3323" s="37" t="s">
        <v>3458</v>
      </c>
    </row>
    <row r="3324" spans="1:10" x14ac:dyDescent="0.25">
      <c r="A3324" s="32" t="s">
        <v>34</v>
      </c>
      <c r="B3324" s="32">
        <f t="shared" si="786"/>
        <v>2039</v>
      </c>
      <c r="C3324" s="33" t="s">
        <v>42</v>
      </c>
      <c r="D3324" s="34" t="s">
        <v>1999</v>
      </c>
      <c r="E3324" s="35" t="str">
        <f t="shared" si="719"/>
        <v>PS'!</v>
      </c>
      <c r="F3324" s="34" t="str">
        <f t="shared" si="720"/>
        <v>C:\Users\jaime.benazar\Quorum Business Solutions\Ecopetrol Prometeo - Documents\Planning Space Implementation\3. Analysis &amp; Design\Design\FC22\DRR Jaime\QUIFA-CAJÚA\Cajua\[CAJUA_CF_SEC_New_27-Feb-2024Rev3.xlsx]D-PS'!</v>
      </c>
      <c r="G3324" s="32" t="s">
        <v>117</v>
      </c>
      <c r="H3324" s="33">
        <f t="shared" si="784"/>
        <v>28</v>
      </c>
      <c r="I3324" s="33" t="str">
        <f t="shared" si="783"/>
        <v>='C:\Users\jaime.benazar\Quorum Business Solutions\Ecopetrol Prometeo - Documents\Planning Space Implementation\3. Analysis &amp; Design\Design\FC22\DRR Jaime\QUIFA-CAJÚA\Cajua\[CAJUA_CF_SEC_New_27-Feb-2024Rev3.xlsx]D-PS'!$DT$28</v>
      </c>
      <c r="J3324" s="37" t="s">
        <v>3459</v>
      </c>
    </row>
    <row r="3325" spans="1:10" x14ac:dyDescent="0.25">
      <c r="A3325" s="32" t="s">
        <v>34</v>
      </c>
      <c r="B3325" s="32">
        <f t="shared" si="786"/>
        <v>2040</v>
      </c>
      <c r="C3325" s="33" t="s">
        <v>42</v>
      </c>
      <c r="D3325" s="34" t="s">
        <v>1999</v>
      </c>
      <c r="E3325" s="35" t="str">
        <f t="shared" si="719"/>
        <v>PS'!</v>
      </c>
      <c r="F3325" s="34" t="str">
        <f t="shared" si="720"/>
        <v>C:\Users\jaime.benazar\Quorum Business Solutions\Ecopetrol Prometeo - Documents\Planning Space Implementation\3. Analysis &amp; Design\Design\FC22\DRR Jaime\QUIFA-CAJÚA\Cajua\[CAJUA_CF_SEC_New_27-Feb-2024Rev3.xlsx]D-PS'!</v>
      </c>
      <c r="G3325" s="32" t="s">
        <v>117</v>
      </c>
      <c r="H3325" s="33">
        <f t="shared" si="784"/>
        <v>29</v>
      </c>
      <c r="I3325" s="33" t="str">
        <f t="shared" si="783"/>
        <v>='C:\Users\jaime.benazar\Quorum Business Solutions\Ecopetrol Prometeo - Documents\Planning Space Implementation\3. Analysis &amp; Design\Design\FC22\DRR Jaime\QUIFA-CAJÚA\Cajua\[CAJUA_CF_SEC_New_27-Feb-2024Rev3.xlsx]D-PS'!$DT$29</v>
      </c>
      <c r="J3325" s="37" t="s">
        <v>3460</v>
      </c>
    </row>
    <row r="3326" spans="1:10" x14ac:dyDescent="0.25">
      <c r="A3326" s="32" t="s">
        <v>34</v>
      </c>
      <c r="B3326" s="32">
        <f>+B3325+1</f>
        <v>2041</v>
      </c>
      <c r="C3326" s="33" t="s">
        <v>42</v>
      </c>
      <c r="D3326" s="34" t="s">
        <v>1999</v>
      </c>
      <c r="E3326" s="35" t="str">
        <f t="shared" si="719"/>
        <v>PS'!</v>
      </c>
      <c r="F3326" s="34" t="str">
        <f t="shared" si="720"/>
        <v>C:\Users\jaime.benazar\Quorum Business Solutions\Ecopetrol Prometeo - Documents\Planning Space Implementation\3. Analysis &amp; Design\Design\FC22\DRR Jaime\QUIFA-CAJÚA\Cajua\[CAJUA_CF_SEC_New_27-Feb-2024Rev3.xlsx]D-PS'!</v>
      </c>
      <c r="G3326" s="32" t="s">
        <v>117</v>
      </c>
      <c r="H3326" s="33">
        <f t="shared" si="784"/>
        <v>30</v>
      </c>
      <c r="I3326" s="33" t="str">
        <f t="shared" si="783"/>
        <v>='C:\Users\jaime.benazar\Quorum Business Solutions\Ecopetrol Prometeo - Documents\Planning Space Implementation\3. Analysis &amp; Design\Design\FC22\DRR Jaime\QUIFA-CAJÚA\Cajua\[CAJUA_CF_SEC_New_27-Feb-2024Rev3.xlsx]D-PS'!$DT$30</v>
      </c>
      <c r="J3326" s="37" t="s">
        <v>3461</v>
      </c>
    </row>
    <row r="3327" spans="1:10" x14ac:dyDescent="0.25">
      <c r="A3327" s="32" t="s">
        <v>34</v>
      </c>
      <c r="B3327" s="32">
        <f t="shared" ref="B3327:B3328" si="787">+B3326+1</f>
        <v>2042</v>
      </c>
      <c r="C3327" s="33" t="s">
        <v>42</v>
      </c>
      <c r="D3327" s="34" t="s">
        <v>1999</v>
      </c>
      <c r="E3327" s="35" t="str">
        <f t="shared" si="719"/>
        <v>PS'!</v>
      </c>
      <c r="F3327" s="34" t="str">
        <f t="shared" si="720"/>
        <v>C:\Users\jaime.benazar\Quorum Business Solutions\Ecopetrol Prometeo - Documents\Planning Space Implementation\3. Analysis &amp; Design\Design\FC22\DRR Jaime\QUIFA-CAJÚA\Cajua\[CAJUA_CF_SEC_New_27-Feb-2024Rev3.xlsx]D-PS'!</v>
      </c>
      <c r="G3327" s="32" t="s">
        <v>117</v>
      </c>
      <c r="H3327" s="33">
        <f t="shared" si="784"/>
        <v>31</v>
      </c>
      <c r="I3327" s="33" t="str">
        <f t="shared" si="783"/>
        <v>='C:\Users\jaime.benazar\Quorum Business Solutions\Ecopetrol Prometeo - Documents\Planning Space Implementation\3. Analysis &amp; Design\Design\FC22\DRR Jaime\QUIFA-CAJÚA\Cajua\[CAJUA_CF_SEC_New_27-Feb-2024Rev3.xlsx]D-PS'!$DT$31</v>
      </c>
      <c r="J3327" s="37" t="s">
        <v>3462</v>
      </c>
    </row>
    <row r="3328" spans="1:10" x14ac:dyDescent="0.25">
      <c r="A3328" s="32" t="s">
        <v>34</v>
      </c>
      <c r="B3328" s="32">
        <f t="shared" si="787"/>
        <v>2043</v>
      </c>
      <c r="C3328" s="33" t="s">
        <v>42</v>
      </c>
      <c r="D3328" s="34" t="s">
        <v>1999</v>
      </c>
      <c r="E3328" s="35" t="str">
        <f t="shared" si="719"/>
        <v>PS'!</v>
      </c>
      <c r="F3328" s="34" t="str">
        <f t="shared" si="720"/>
        <v>C:\Users\jaime.benazar\Quorum Business Solutions\Ecopetrol Prometeo - Documents\Planning Space Implementation\3. Analysis &amp; Design\Design\FC22\DRR Jaime\QUIFA-CAJÚA\Cajua\[CAJUA_CF_SEC_New_27-Feb-2024Rev3.xlsx]D-PS'!</v>
      </c>
      <c r="G3328" s="32" t="s">
        <v>117</v>
      </c>
      <c r="H3328" s="33">
        <f t="shared" si="784"/>
        <v>32</v>
      </c>
      <c r="I3328" s="33" t="str">
        <f t="shared" si="783"/>
        <v>='C:\Users\jaime.benazar\Quorum Business Solutions\Ecopetrol Prometeo - Documents\Planning Space Implementation\3. Analysis &amp; Design\Design\FC22\DRR Jaime\QUIFA-CAJÚA\Cajua\[CAJUA_CF_SEC_New_27-Feb-2024Rev3.xlsx]D-PS'!$DT$32</v>
      </c>
      <c r="J3328" s="37" t="s">
        <v>3463</v>
      </c>
    </row>
    <row r="3329" spans="1:10" x14ac:dyDescent="0.25">
      <c r="A3329" s="32" t="s">
        <v>34</v>
      </c>
      <c r="B3329" s="32">
        <f>+B3328+1</f>
        <v>2044</v>
      </c>
      <c r="C3329" s="33" t="s">
        <v>42</v>
      </c>
      <c r="D3329" s="34" t="s">
        <v>1999</v>
      </c>
      <c r="E3329" s="35" t="str">
        <f t="shared" ref="E3329:E3344" si="788">_xlfn.CONCAT(A3329,"'!")</f>
        <v>PS'!</v>
      </c>
      <c r="F3329" s="34" t="str">
        <f t="shared" ref="F3329:F3344" si="789">_xlfn.CONCAT(D3329:E3329)</f>
        <v>C:\Users\jaime.benazar\Quorum Business Solutions\Ecopetrol Prometeo - Documents\Planning Space Implementation\3. Analysis &amp; Design\Design\FC22\DRR Jaime\QUIFA-CAJÚA\Cajua\[CAJUA_CF_SEC_New_27-Feb-2024Rev3.xlsx]D-PS'!</v>
      </c>
      <c r="G3329" s="32" t="s">
        <v>117</v>
      </c>
      <c r="H3329" s="33">
        <f t="shared" ref="H3329:H3344" si="790">IF(A3329&lt;&gt;A3328,12,H3328+1)</f>
        <v>33</v>
      </c>
      <c r="I3329" s="33" t="str">
        <f t="shared" ref="I3329:I3344" si="791">_xlfn.CONCAT("='",F3329:H3329)</f>
        <v>='C:\Users\jaime.benazar\Quorum Business Solutions\Ecopetrol Prometeo - Documents\Planning Space Implementation\3. Analysis &amp; Design\Design\FC22\DRR Jaime\QUIFA-CAJÚA\Cajua\[CAJUA_CF_SEC_New_27-Feb-2024Rev3.xlsx]D-PS'!$DT$33</v>
      </c>
      <c r="J3329" s="37" t="s">
        <v>3464</v>
      </c>
    </row>
    <row r="3330" spans="1:10" x14ac:dyDescent="0.25">
      <c r="A3330" s="32" t="s">
        <v>34</v>
      </c>
      <c r="B3330" s="32">
        <f t="shared" ref="B3330:B3344" si="792">+B3329+1</f>
        <v>2045</v>
      </c>
      <c r="C3330" s="33" t="s">
        <v>42</v>
      </c>
      <c r="D3330" s="34" t="s">
        <v>1999</v>
      </c>
      <c r="E3330" s="35" t="str">
        <f t="shared" si="788"/>
        <v>PS'!</v>
      </c>
      <c r="F3330" s="34" t="str">
        <f t="shared" si="789"/>
        <v>C:\Users\jaime.benazar\Quorum Business Solutions\Ecopetrol Prometeo - Documents\Planning Space Implementation\3. Analysis &amp; Design\Design\FC22\DRR Jaime\QUIFA-CAJÚA\Cajua\[CAJUA_CF_SEC_New_27-Feb-2024Rev3.xlsx]D-PS'!</v>
      </c>
      <c r="G3330" s="32" t="s">
        <v>117</v>
      </c>
      <c r="H3330" s="33">
        <f t="shared" si="790"/>
        <v>34</v>
      </c>
      <c r="I3330" s="33" t="str">
        <f t="shared" si="791"/>
        <v>='C:\Users\jaime.benazar\Quorum Business Solutions\Ecopetrol Prometeo - Documents\Planning Space Implementation\3. Analysis &amp; Design\Design\FC22\DRR Jaime\QUIFA-CAJÚA\Cajua\[CAJUA_CF_SEC_New_27-Feb-2024Rev3.xlsx]D-PS'!$DT$34</v>
      </c>
      <c r="J3330" s="37" t="s">
        <v>3465</v>
      </c>
    </row>
    <row r="3331" spans="1:10" x14ac:dyDescent="0.25">
      <c r="A3331" s="32" t="s">
        <v>34</v>
      </c>
      <c r="B3331" s="32">
        <f t="shared" si="792"/>
        <v>2046</v>
      </c>
      <c r="C3331" s="33" t="s">
        <v>42</v>
      </c>
      <c r="D3331" s="34" t="s">
        <v>1999</v>
      </c>
      <c r="E3331" s="35" t="str">
        <f t="shared" si="788"/>
        <v>PS'!</v>
      </c>
      <c r="F3331" s="34" t="str">
        <f t="shared" si="789"/>
        <v>C:\Users\jaime.benazar\Quorum Business Solutions\Ecopetrol Prometeo - Documents\Planning Space Implementation\3. Analysis &amp; Design\Design\FC22\DRR Jaime\QUIFA-CAJÚA\Cajua\[CAJUA_CF_SEC_New_27-Feb-2024Rev3.xlsx]D-PS'!</v>
      </c>
      <c r="G3331" s="32" t="s">
        <v>117</v>
      </c>
      <c r="H3331" s="33">
        <f t="shared" si="790"/>
        <v>35</v>
      </c>
      <c r="I3331" s="33" t="str">
        <f t="shared" si="791"/>
        <v>='C:\Users\jaime.benazar\Quorum Business Solutions\Ecopetrol Prometeo - Documents\Planning Space Implementation\3. Analysis &amp; Design\Design\FC22\DRR Jaime\QUIFA-CAJÚA\Cajua\[CAJUA_CF_SEC_New_27-Feb-2024Rev3.xlsx]D-PS'!$DT$35</v>
      </c>
      <c r="J3331" s="37" t="s">
        <v>3466</v>
      </c>
    </row>
    <row r="3332" spans="1:10" x14ac:dyDescent="0.25">
      <c r="A3332" s="32" t="s">
        <v>34</v>
      </c>
      <c r="B3332" s="32">
        <f t="shared" si="792"/>
        <v>2047</v>
      </c>
      <c r="C3332" s="33" t="s">
        <v>42</v>
      </c>
      <c r="D3332" s="34" t="s">
        <v>1999</v>
      </c>
      <c r="E3332" s="35" t="str">
        <f t="shared" si="788"/>
        <v>PS'!</v>
      </c>
      <c r="F3332" s="34" t="str">
        <f t="shared" si="789"/>
        <v>C:\Users\jaime.benazar\Quorum Business Solutions\Ecopetrol Prometeo - Documents\Planning Space Implementation\3. Analysis &amp; Design\Design\FC22\DRR Jaime\QUIFA-CAJÚA\Cajua\[CAJUA_CF_SEC_New_27-Feb-2024Rev3.xlsx]D-PS'!</v>
      </c>
      <c r="G3332" s="32" t="s">
        <v>117</v>
      </c>
      <c r="H3332" s="33">
        <f t="shared" si="790"/>
        <v>36</v>
      </c>
      <c r="I3332" s="33" t="str">
        <f t="shared" si="791"/>
        <v>='C:\Users\jaime.benazar\Quorum Business Solutions\Ecopetrol Prometeo - Documents\Planning Space Implementation\3. Analysis &amp; Design\Design\FC22\DRR Jaime\QUIFA-CAJÚA\Cajua\[CAJUA_CF_SEC_New_27-Feb-2024Rev3.xlsx]D-PS'!$DT$36</v>
      </c>
      <c r="J3332" s="37" t="s">
        <v>3467</v>
      </c>
    </row>
    <row r="3333" spans="1:10" x14ac:dyDescent="0.25">
      <c r="A3333" s="32" t="s">
        <v>34</v>
      </c>
      <c r="B3333" s="32">
        <f t="shared" si="792"/>
        <v>2048</v>
      </c>
      <c r="C3333" s="33" t="s">
        <v>42</v>
      </c>
      <c r="D3333" s="34" t="s">
        <v>1999</v>
      </c>
      <c r="E3333" s="35" t="str">
        <f t="shared" si="788"/>
        <v>PS'!</v>
      </c>
      <c r="F3333" s="34" t="str">
        <f t="shared" si="789"/>
        <v>C:\Users\jaime.benazar\Quorum Business Solutions\Ecopetrol Prometeo - Documents\Planning Space Implementation\3. Analysis &amp; Design\Design\FC22\DRR Jaime\QUIFA-CAJÚA\Cajua\[CAJUA_CF_SEC_New_27-Feb-2024Rev3.xlsx]D-PS'!</v>
      </c>
      <c r="G3333" s="32" t="s">
        <v>117</v>
      </c>
      <c r="H3333" s="33">
        <f t="shared" si="790"/>
        <v>37</v>
      </c>
      <c r="I3333" s="33" t="str">
        <f t="shared" si="791"/>
        <v>='C:\Users\jaime.benazar\Quorum Business Solutions\Ecopetrol Prometeo - Documents\Planning Space Implementation\3. Analysis &amp; Design\Design\FC22\DRR Jaime\QUIFA-CAJÚA\Cajua\[CAJUA_CF_SEC_New_27-Feb-2024Rev3.xlsx]D-PS'!$DT$37</v>
      </c>
      <c r="J3333" s="37" t="s">
        <v>3468</v>
      </c>
    </row>
    <row r="3334" spans="1:10" x14ac:dyDescent="0.25">
      <c r="A3334" s="32" t="s">
        <v>34</v>
      </c>
      <c r="B3334" s="32">
        <f t="shared" si="792"/>
        <v>2049</v>
      </c>
      <c r="C3334" s="33" t="s">
        <v>42</v>
      </c>
      <c r="D3334" s="34" t="s">
        <v>1999</v>
      </c>
      <c r="E3334" s="35" t="str">
        <f t="shared" si="788"/>
        <v>PS'!</v>
      </c>
      <c r="F3334" s="34" t="str">
        <f t="shared" si="789"/>
        <v>C:\Users\jaime.benazar\Quorum Business Solutions\Ecopetrol Prometeo - Documents\Planning Space Implementation\3. Analysis &amp; Design\Design\FC22\DRR Jaime\QUIFA-CAJÚA\Cajua\[CAJUA_CF_SEC_New_27-Feb-2024Rev3.xlsx]D-PS'!</v>
      </c>
      <c r="G3334" s="32" t="s">
        <v>117</v>
      </c>
      <c r="H3334" s="33">
        <f t="shared" si="790"/>
        <v>38</v>
      </c>
      <c r="I3334" s="33" t="str">
        <f t="shared" si="791"/>
        <v>='C:\Users\jaime.benazar\Quorum Business Solutions\Ecopetrol Prometeo - Documents\Planning Space Implementation\3. Analysis &amp; Design\Design\FC22\DRR Jaime\QUIFA-CAJÚA\Cajua\[CAJUA_CF_SEC_New_27-Feb-2024Rev3.xlsx]D-PS'!$DT$38</v>
      </c>
      <c r="J3334" s="37" t="s">
        <v>3469</v>
      </c>
    </row>
    <row r="3335" spans="1:10" x14ac:dyDescent="0.25">
      <c r="A3335" s="32" t="s">
        <v>34</v>
      </c>
      <c r="B3335" s="32">
        <f t="shared" si="792"/>
        <v>2050</v>
      </c>
      <c r="C3335" s="33" t="s">
        <v>42</v>
      </c>
      <c r="D3335" s="34" t="s">
        <v>1999</v>
      </c>
      <c r="E3335" s="35" t="str">
        <f t="shared" si="788"/>
        <v>PS'!</v>
      </c>
      <c r="F3335" s="34" t="str">
        <f t="shared" si="789"/>
        <v>C:\Users\jaime.benazar\Quorum Business Solutions\Ecopetrol Prometeo - Documents\Planning Space Implementation\3. Analysis &amp; Design\Design\FC22\DRR Jaime\QUIFA-CAJÚA\Cajua\[CAJUA_CF_SEC_New_27-Feb-2024Rev3.xlsx]D-PS'!</v>
      </c>
      <c r="G3335" s="32" t="s">
        <v>117</v>
      </c>
      <c r="H3335" s="33">
        <f t="shared" si="790"/>
        <v>39</v>
      </c>
      <c r="I3335" s="33" t="str">
        <f t="shared" si="791"/>
        <v>='C:\Users\jaime.benazar\Quorum Business Solutions\Ecopetrol Prometeo - Documents\Planning Space Implementation\3. Analysis &amp; Design\Design\FC22\DRR Jaime\QUIFA-CAJÚA\Cajua\[CAJUA_CF_SEC_New_27-Feb-2024Rev3.xlsx]D-PS'!$DT$39</v>
      </c>
      <c r="J3335" s="37" t="s">
        <v>3470</v>
      </c>
    </row>
    <row r="3336" spans="1:10" x14ac:dyDescent="0.25">
      <c r="A3336" s="32" t="s">
        <v>34</v>
      </c>
      <c r="B3336" s="32">
        <f t="shared" si="792"/>
        <v>2051</v>
      </c>
      <c r="C3336" s="33" t="s">
        <v>42</v>
      </c>
      <c r="D3336" s="34" t="s">
        <v>1999</v>
      </c>
      <c r="E3336" s="35" t="str">
        <f t="shared" si="788"/>
        <v>PS'!</v>
      </c>
      <c r="F3336" s="34" t="str">
        <f t="shared" si="789"/>
        <v>C:\Users\jaime.benazar\Quorum Business Solutions\Ecopetrol Prometeo - Documents\Planning Space Implementation\3. Analysis &amp; Design\Design\FC22\DRR Jaime\QUIFA-CAJÚA\Cajua\[CAJUA_CF_SEC_New_27-Feb-2024Rev3.xlsx]D-PS'!</v>
      </c>
      <c r="G3336" s="32" t="s">
        <v>117</v>
      </c>
      <c r="H3336" s="33">
        <f t="shared" si="790"/>
        <v>40</v>
      </c>
      <c r="I3336" s="33" t="str">
        <f t="shared" si="791"/>
        <v>='C:\Users\jaime.benazar\Quorum Business Solutions\Ecopetrol Prometeo - Documents\Planning Space Implementation\3. Analysis &amp; Design\Design\FC22\DRR Jaime\QUIFA-CAJÚA\Cajua\[CAJUA_CF_SEC_New_27-Feb-2024Rev3.xlsx]D-PS'!$DT$40</v>
      </c>
      <c r="J3336" s="37" t="s">
        <v>3471</v>
      </c>
    </row>
    <row r="3337" spans="1:10" x14ac:dyDescent="0.25">
      <c r="A3337" s="32" t="s">
        <v>34</v>
      </c>
      <c r="B3337" s="32">
        <f t="shared" si="792"/>
        <v>2052</v>
      </c>
      <c r="C3337" s="33" t="s">
        <v>42</v>
      </c>
      <c r="D3337" s="34" t="s">
        <v>1999</v>
      </c>
      <c r="E3337" s="35" t="str">
        <f t="shared" si="788"/>
        <v>PS'!</v>
      </c>
      <c r="F3337" s="34" t="str">
        <f t="shared" si="789"/>
        <v>C:\Users\jaime.benazar\Quorum Business Solutions\Ecopetrol Prometeo - Documents\Planning Space Implementation\3. Analysis &amp; Design\Design\FC22\DRR Jaime\QUIFA-CAJÚA\Cajua\[CAJUA_CF_SEC_New_27-Feb-2024Rev3.xlsx]D-PS'!</v>
      </c>
      <c r="G3337" s="32" t="s">
        <v>117</v>
      </c>
      <c r="H3337" s="33">
        <f t="shared" si="790"/>
        <v>41</v>
      </c>
      <c r="I3337" s="33" t="str">
        <f t="shared" si="791"/>
        <v>='C:\Users\jaime.benazar\Quorum Business Solutions\Ecopetrol Prometeo - Documents\Planning Space Implementation\3. Analysis &amp; Design\Design\FC22\DRR Jaime\QUIFA-CAJÚA\Cajua\[CAJUA_CF_SEC_New_27-Feb-2024Rev3.xlsx]D-PS'!$DT$41</v>
      </c>
      <c r="J3337" s="37" t="s">
        <v>3472</v>
      </c>
    </row>
    <row r="3338" spans="1:10" x14ac:dyDescent="0.25">
      <c r="A3338" s="32" t="s">
        <v>34</v>
      </c>
      <c r="B3338" s="32">
        <f t="shared" si="792"/>
        <v>2053</v>
      </c>
      <c r="C3338" s="33" t="s">
        <v>42</v>
      </c>
      <c r="D3338" s="34" t="s">
        <v>1999</v>
      </c>
      <c r="E3338" s="35" t="str">
        <f t="shared" si="788"/>
        <v>PS'!</v>
      </c>
      <c r="F3338" s="34" t="str">
        <f t="shared" si="789"/>
        <v>C:\Users\jaime.benazar\Quorum Business Solutions\Ecopetrol Prometeo - Documents\Planning Space Implementation\3. Analysis &amp; Design\Design\FC22\DRR Jaime\QUIFA-CAJÚA\Cajua\[CAJUA_CF_SEC_New_27-Feb-2024Rev3.xlsx]D-PS'!</v>
      </c>
      <c r="G3338" s="32" t="s">
        <v>117</v>
      </c>
      <c r="H3338" s="33">
        <f t="shared" si="790"/>
        <v>42</v>
      </c>
      <c r="I3338" s="33" t="str">
        <f t="shared" si="791"/>
        <v>='C:\Users\jaime.benazar\Quorum Business Solutions\Ecopetrol Prometeo - Documents\Planning Space Implementation\3. Analysis &amp; Design\Design\FC22\DRR Jaime\QUIFA-CAJÚA\Cajua\[CAJUA_CF_SEC_New_27-Feb-2024Rev3.xlsx]D-PS'!$DT$42</v>
      </c>
      <c r="J3338" s="37" t="s">
        <v>3473</v>
      </c>
    </row>
    <row r="3339" spans="1:10" x14ac:dyDescent="0.25">
      <c r="A3339" s="32" t="s">
        <v>34</v>
      </c>
      <c r="B3339" s="32">
        <f t="shared" si="792"/>
        <v>2054</v>
      </c>
      <c r="C3339" s="33" t="s">
        <v>42</v>
      </c>
      <c r="D3339" s="34" t="s">
        <v>1999</v>
      </c>
      <c r="E3339" s="35" t="str">
        <f t="shared" si="788"/>
        <v>PS'!</v>
      </c>
      <c r="F3339" s="34" t="str">
        <f t="shared" si="789"/>
        <v>C:\Users\jaime.benazar\Quorum Business Solutions\Ecopetrol Prometeo - Documents\Planning Space Implementation\3. Analysis &amp; Design\Design\FC22\DRR Jaime\QUIFA-CAJÚA\Cajua\[CAJUA_CF_SEC_New_27-Feb-2024Rev3.xlsx]D-PS'!</v>
      </c>
      <c r="G3339" s="32" t="s">
        <v>117</v>
      </c>
      <c r="H3339" s="33">
        <f t="shared" si="790"/>
        <v>43</v>
      </c>
      <c r="I3339" s="33" t="str">
        <f t="shared" si="791"/>
        <v>='C:\Users\jaime.benazar\Quorum Business Solutions\Ecopetrol Prometeo - Documents\Planning Space Implementation\3. Analysis &amp; Design\Design\FC22\DRR Jaime\QUIFA-CAJÚA\Cajua\[CAJUA_CF_SEC_New_27-Feb-2024Rev3.xlsx]D-PS'!$DT$43</v>
      </c>
      <c r="J3339" s="37" t="s">
        <v>3474</v>
      </c>
    </row>
    <row r="3340" spans="1:10" x14ac:dyDescent="0.25">
      <c r="A3340" s="32" t="s">
        <v>34</v>
      </c>
      <c r="B3340" s="32">
        <f t="shared" si="792"/>
        <v>2055</v>
      </c>
      <c r="C3340" s="33" t="s">
        <v>42</v>
      </c>
      <c r="D3340" s="34" t="s">
        <v>1999</v>
      </c>
      <c r="E3340" s="35" t="str">
        <f t="shared" si="788"/>
        <v>PS'!</v>
      </c>
      <c r="F3340" s="34" t="str">
        <f t="shared" si="789"/>
        <v>C:\Users\jaime.benazar\Quorum Business Solutions\Ecopetrol Prometeo - Documents\Planning Space Implementation\3. Analysis &amp; Design\Design\FC22\DRR Jaime\QUIFA-CAJÚA\Cajua\[CAJUA_CF_SEC_New_27-Feb-2024Rev3.xlsx]D-PS'!</v>
      </c>
      <c r="G3340" s="32" t="s">
        <v>117</v>
      </c>
      <c r="H3340" s="33">
        <f t="shared" si="790"/>
        <v>44</v>
      </c>
      <c r="I3340" s="33" t="str">
        <f t="shared" si="791"/>
        <v>='C:\Users\jaime.benazar\Quorum Business Solutions\Ecopetrol Prometeo - Documents\Planning Space Implementation\3. Analysis &amp; Design\Design\FC22\DRR Jaime\QUIFA-CAJÚA\Cajua\[CAJUA_CF_SEC_New_27-Feb-2024Rev3.xlsx]D-PS'!$DT$44</v>
      </c>
      <c r="J3340" s="37" t="s">
        <v>3475</v>
      </c>
    </row>
    <row r="3341" spans="1:10" x14ac:dyDescent="0.25">
      <c r="A3341" s="32" t="s">
        <v>34</v>
      </c>
      <c r="B3341" s="32">
        <f t="shared" si="792"/>
        <v>2056</v>
      </c>
      <c r="C3341" s="33" t="s">
        <v>42</v>
      </c>
      <c r="D3341" s="34" t="s">
        <v>1999</v>
      </c>
      <c r="E3341" s="35" t="str">
        <f t="shared" si="788"/>
        <v>PS'!</v>
      </c>
      <c r="F3341" s="34" t="str">
        <f t="shared" si="789"/>
        <v>C:\Users\jaime.benazar\Quorum Business Solutions\Ecopetrol Prometeo - Documents\Planning Space Implementation\3. Analysis &amp; Design\Design\FC22\DRR Jaime\QUIFA-CAJÚA\Cajua\[CAJUA_CF_SEC_New_27-Feb-2024Rev3.xlsx]D-PS'!</v>
      </c>
      <c r="G3341" s="32" t="s">
        <v>117</v>
      </c>
      <c r="H3341" s="33">
        <f t="shared" si="790"/>
        <v>45</v>
      </c>
      <c r="I3341" s="33" t="str">
        <f t="shared" si="791"/>
        <v>='C:\Users\jaime.benazar\Quorum Business Solutions\Ecopetrol Prometeo - Documents\Planning Space Implementation\3. Analysis &amp; Design\Design\FC22\DRR Jaime\QUIFA-CAJÚA\Cajua\[CAJUA_CF_SEC_New_27-Feb-2024Rev3.xlsx]D-PS'!$DT$45</v>
      </c>
      <c r="J3341" s="37" t="s">
        <v>3476</v>
      </c>
    </row>
    <row r="3342" spans="1:10" x14ac:dyDescent="0.25">
      <c r="A3342" s="32" t="s">
        <v>34</v>
      </c>
      <c r="B3342" s="32">
        <f t="shared" si="792"/>
        <v>2057</v>
      </c>
      <c r="C3342" s="33" t="s">
        <v>42</v>
      </c>
      <c r="D3342" s="34" t="s">
        <v>1999</v>
      </c>
      <c r="E3342" s="35" t="str">
        <f t="shared" si="788"/>
        <v>PS'!</v>
      </c>
      <c r="F3342" s="34" t="str">
        <f t="shared" si="789"/>
        <v>C:\Users\jaime.benazar\Quorum Business Solutions\Ecopetrol Prometeo - Documents\Planning Space Implementation\3. Analysis &amp; Design\Design\FC22\DRR Jaime\QUIFA-CAJÚA\Cajua\[CAJUA_CF_SEC_New_27-Feb-2024Rev3.xlsx]D-PS'!</v>
      </c>
      <c r="G3342" s="32" t="s">
        <v>117</v>
      </c>
      <c r="H3342" s="33">
        <f t="shared" si="790"/>
        <v>46</v>
      </c>
      <c r="I3342" s="33" t="str">
        <f t="shared" si="791"/>
        <v>='C:\Users\jaime.benazar\Quorum Business Solutions\Ecopetrol Prometeo - Documents\Planning Space Implementation\3. Analysis &amp; Design\Design\FC22\DRR Jaime\QUIFA-CAJÚA\Cajua\[CAJUA_CF_SEC_New_27-Feb-2024Rev3.xlsx]D-PS'!$DT$46</v>
      </c>
      <c r="J3342" s="37" t="s">
        <v>3477</v>
      </c>
    </row>
    <row r="3343" spans="1:10" x14ac:dyDescent="0.25">
      <c r="A3343" s="32" t="s">
        <v>34</v>
      </c>
      <c r="B3343" s="32">
        <f t="shared" si="792"/>
        <v>2058</v>
      </c>
      <c r="C3343" s="33" t="s">
        <v>42</v>
      </c>
      <c r="D3343" s="34" t="s">
        <v>1999</v>
      </c>
      <c r="E3343" s="35" t="str">
        <f t="shared" si="788"/>
        <v>PS'!</v>
      </c>
      <c r="F3343" s="34" t="str">
        <f t="shared" si="789"/>
        <v>C:\Users\jaime.benazar\Quorum Business Solutions\Ecopetrol Prometeo - Documents\Planning Space Implementation\3. Analysis &amp; Design\Design\FC22\DRR Jaime\QUIFA-CAJÚA\Cajua\[CAJUA_CF_SEC_New_27-Feb-2024Rev3.xlsx]D-PS'!</v>
      </c>
      <c r="G3343" s="32" t="s">
        <v>117</v>
      </c>
      <c r="H3343" s="33">
        <f t="shared" si="790"/>
        <v>47</v>
      </c>
      <c r="I3343" s="33" t="str">
        <f t="shared" si="791"/>
        <v>='C:\Users\jaime.benazar\Quorum Business Solutions\Ecopetrol Prometeo - Documents\Planning Space Implementation\3. Analysis &amp; Design\Design\FC22\DRR Jaime\QUIFA-CAJÚA\Cajua\[CAJUA_CF_SEC_New_27-Feb-2024Rev3.xlsx]D-PS'!$DT$47</v>
      </c>
      <c r="J3343" s="37" t="s">
        <v>3478</v>
      </c>
    </row>
    <row r="3344" spans="1:10" x14ac:dyDescent="0.25">
      <c r="A3344" s="32" t="s">
        <v>34</v>
      </c>
      <c r="B3344" s="32">
        <f t="shared" si="792"/>
        <v>2059</v>
      </c>
      <c r="C3344" s="33" t="s">
        <v>42</v>
      </c>
      <c r="D3344" s="34" t="s">
        <v>1999</v>
      </c>
      <c r="E3344" s="35" t="str">
        <f t="shared" si="788"/>
        <v>PS'!</v>
      </c>
      <c r="F3344" s="34" t="str">
        <f t="shared" si="789"/>
        <v>C:\Users\jaime.benazar\Quorum Business Solutions\Ecopetrol Prometeo - Documents\Planning Space Implementation\3. Analysis &amp; Design\Design\FC22\DRR Jaime\QUIFA-CAJÚA\Cajua\[CAJUA_CF_SEC_New_27-Feb-2024Rev3.xlsx]D-PS'!</v>
      </c>
      <c r="G3344" s="32" t="s">
        <v>117</v>
      </c>
      <c r="H3344" s="33">
        <f t="shared" si="790"/>
        <v>48</v>
      </c>
      <c r="I3344" s="33" t="str">
        <f t="shared" si="791"/>
        <v>='C:\Users\jaime.benazar\Quorum Business Solutions\Ecopetrol Prometeo - Documents\Planning Space Implementation\3. Analysis &amp; Design\Design\FC22\DRR Jaime\QUIFA-CAJÚA\Cajua\[CAJUA_CF_SEC_New_27-Feb-2024Rev3.xlsx]D-PS'!$DT$48</v>
      </c>
      <c r="J3344" s="37" t="s">
        <v>3479</v>
      </c>
    </row>
    <row r="3345" spans="1:10" x14ac:dyDescent="0.25">
      <c r="A3345" s="32" t="s">
        <v>28</v>
      </c>
      <c r="B3345" s="32"/>
      <c r="C3345" s="33" t="s">
        <v>42</v>
      </c>
      <c r="D3345" s="34"/>
      <c r="E3345" s="32" t="str">
        <f t="shared" si="719"/>
        <v>Total'!</v>
      </c>
      <c r="F3345" s="33"/>
      <c r="G3345" s="32"/>
      <c r="H3345" s="33"/>
      <c r="I3345" s="33"/>
      <c r="J3345" s="33"/>
    </row>
    <row r="3346" spans="1:10" x14ac:dyDescent="0.2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Jaime\QUIFA-CAJÚA\Cajua\[CAJUA_CF_SEC_New_27-Feb-2024Rev3.xlsx]D-PDP'!</v>
      </c>
      <c r="G3346" s="32" t="s">
        <v>111</v>
      </c>
      <c r="H3346" s="33">
        <f>IF(A3346&lt;&gt;A3345,12,H3345+1)</f>
        <v>12</v>
      </c>
      <c r="I3346" s="33" t="str">
        <f t="shared" ref="I3346:I3366" si="793">_xlfn.CONCAT("='",F3346:H3346)</f>
        <v>='C:\Users\jaime.benazar\Quorum Business Solutions\Ecopetrol Prometeo - Documents\Planning Space Implementation\3. Analysis &amp; Design\Design\FC22\DRR Jaime\QUIFA-CAJÚA\Cajua\[CAJUA_CF_SEC_New_27-Feb-2024Rev3.xlsx]D-PDP'!$BE$12</v>
      </c>
      <c r="J3346" s="36" t="s">
        <v>3480</v>
      </c>
    </row>
    <row r="3347" spans="1:10" x14ac:dyDescent="0.25">
      <c r="A3347" s="32" t="s">
        <v>1</v>
      </c>
      <c r="B3347" s="32">
        <f>+B3346+1</f>
        <v>2024</v>
      </c>
      <c r="C3347" s="33" t="s">
        <v>49</v>
      </c>
      <c r="D3347" s="34" t="s">
        <v>1999</v>
      </c>
      <c r="E3347" s="35" t="str">
        <f t="shared" ref="E3347:E3404" si="794">_xlfn.CONCAT(A3347,"'!")</f>
        <v>PDP'!</v>
      </c>
      <c r="F3347" s="34" t="str">
        <f t="shared" ref="F3347:F3366" si="795">_xlfn.CONCAT(D3347:E3347)</f>
        <v>C:\Users\jaime.benazar\Quorum Business Solutions\Ecopetrol Prometeo - Documents\Planning Space Implementation\3. Analysis &amp; Design\Design\FC22\DRR Jaime\QUIFA-CAJÚA\Cajua\[CAJUA_CF_SEC_New_27-Feb-2024Rev3.xlsx]D-PDP'!</v>
      </c>
      <c r="G3347" s="32" t="s">
        <v>111</v>
      </c>
      <c r="H3347" s="33">
        <f>IF(A3347&lt;&gt;A3346,36,H3346+1)</f>
        <v>13</v>
      </c>
      <c r="I3347" s="33" t="str">
        <f t="shared" si="793"/>
        <v>='C:\Users\jaime.benazar\Quorum Business Solutions\Ecopetrol Prometeo - Documents\Planning Space Implementation\3. Analysis &amp; Design\Design\FC22\DRR Jaime\QUIFA-CAJÚA\Cajua\[CAJUA_CF_SEC_New_27-Feb-2024Rev3.xlsx]D-PDP'!$BE$13</v>
      </c>
      <c r="J3347" s="37" t="s">
        <v>3481</v>
      </c>
    </row>
    <row r="3348" spans="1:10" x14ac:dyDescent="0.25">
      <c r="A3348" s="32" t="s">
        <v>1</v>
      </c>
      <c r="B3348" s="32">
        <f t="shared" ref="B3348:B3382" si="796">+B3347+1</f>
        <v>2025</v>
      </c>
      <c r="C3348" s="33" t="s">
        <v>49</v>
      </c>
      <c r="D3348" s="34" t="s">
        <v>1999</v>
      </c>
      <c r="E3348" s="35" t="str">
        <f t="shared" si="794"/>
        <v>PDP'!</v>
      </c>
      <c r="F3348" s="34" t="str">
        <f t="shared" si="795"/>
        <v>C:\Users\jaime.benazar\Quorum Business Solutions\Ecopetrol Prometeo - Documents\Planning Space Implementation\3. Analysis &amp; Design\Design\FC22\DRR Jaime\QUIFA-CAJÚA\Cajua\[CAJUA_CF_SEC_New_27-Feb-2024Rev3.xlsx]D-PDP'!</v>
      </c>
      <c r="G3348" s="32" t="s">
        <v>111</v>
      </c>
      <c r="H3348" s="33">
        <f t="shared" ref="H3348:H3366" si="797">IF(A3348&lt;&gt;A3347,36,H3347+1)</f>
        <v>14</v>
      </c>
      <c r="I3348" s="33" t="str">
        <f t="shared" si="793"/>
        <v>='C:\Users\jaime.benazar\Quorum Business Solutions\Ecopetrol Prometeo - Documents\Planning Space Implementation\3. Analysis &amp; Design\Design\FC22\DRR Jaime\QUIFA-CAJÚA\Cajua\[CAJUA_CF_SEC_New_27-Feb-2024Rev3.xlsx]D-PDP'!$BE$14</v>
      </c>
      <c r="J3348" s="37" t="s">
        <v>3482</v>
      </c>
    </row>
    <row r="3349" spans="1:10" x14ac:dyDescent="0.25">
      <c r="A3349" s="32" t="s">
        <v>1</v>
      </c>
      <c r="B3349" s="32">
        <f t="shared" si="796"/>
        <v>2026</v>
      </c>
      <c r="C3349" s="33" t="s">
        <v>49</v>
      </c>
      <c r="D3349" s="34" t="s">
        <v>1999</v>
      </c>
      <c r="E3349" s="35" t="str">
        <f t="shared" si="794"/>
        <v>PDP'!</v>
      </c>
      <c r="F3349" s="34" t="str">
        <f t="shared" si="795"/>
        <v>C:\Users\jaime.benazar\Quorum Business Solutions\Ecopetrol Prometeo - Documents\Planning Space Implementation\3. Analysis &amp; Design\Design\FC22\DRR Jaime\QUIFA-CAJÚA\Cajua\[CAJUA_CF_SEC_New_27-Feb-2024Rev3.xlsx]D-PDP'!</v>
      </c>
      <c r="G3349" s="32" t="s">
        <v>111</v>
      </c>
      <c r="H3349" s="33">
        <f t="shared" si="797"/>
        <v>15</v>
      </c>
      <c r="I3349" s="33" t="str">
        <f t="shared" si="793"/>
        <v>='C:\Users\jaime.benazar\Quorum Business Solutions\Ecopetrol Prometeo - Documents\Planning Space Implementation\3. Analysis &amp; Design\Design\FC22\DRR Jaime\QUIFA-CAJÚA\Cajua\[CAJUA_CF_SEC_New_27-Feb-2024Rev3.xlsx]D-PDP'!$BE$15</v>
      </c>
      <c r="J3349" s="37" t="s">
        <v>3483</v>
      </c>
    </row>
    <row r="3350" spans="1:10" x14ac:dyDescent="0.25">
      <c r="A3350" s="32" t="s">
        <v>1</v>
      </c>
      <c r="B3350" s="32">
        <f t="shared" si="796"/>
        <v>2027</v>
      </c>
      <c r="C3350" s="33" t="s">
        <v>49</v>
      </c>
      <c r="D3350" s="34" t="s">
        <v>1999</v>
      </c>
      <c r="E3350" s="35" t="str">
        <f t="shared" si="794"/>
        <v>PDP'!</v>
      </c>
      <c r="F3350" s="34" t="str">
        <f t="shared" si="795"/>
        <v>C:\Users\jaime.benazar\Quorum Business Solutions\Ecopetrol Prometeo - Documents\Planning Space Implementation\3. Analysis &amp; Design\Design\FC22\DRR Jaime\QUIFA-CAJÚA\Cajua\[CAJUA_CF_SEC_New_27-Feb-2024Rev3.xlsx]D-PDP'!</v>
      </c>
      <c r="G3350" s="32" t="s">
        <v>111</v>
      </c>
      <c r="H3350" s="33">
        <f t="shared" si="797"/>
        <v>16</v>
      </c>
      <c r="I3350" s="33" t="str">
        <f t="shared" si="793"/>
        <v>='C:\Users\jaime.benazar\Quorum Business Solutions\Ecopetrol Prometeo - Documents\Planning Space Implementation\3. Analysis &amp; Design\Design\FC22\DRR Jaime\QUIFA-CAJÚA\Cajua\[CAJUA_CF_SEC_New_27-Feb-2024Rev3.xlsx]D-PDP'!$BE$16</v>
      </c>
      <c r="J3350" s="37" t="s">
        <v>3484</v>
      </c>
    </row>
    <row r="3351" spans="1:10" x14ac:dyDescent="0.25">
      <c r="A3351" s="32" t="s">
        <v>1</v>
      </c>
      <c r="B3351" s="32">
        <f t="shared" si="796"/>
        <v>2028</v>
      </c>
      <c r="C3351" s="33" t="s">
        <v>49</v>
      </c>
      <c r="D3351" s="34" t="s">
        <v>1999</v>
      </c>
      <c r="E3351" s="35" t="str">
        <f t="shared" si="794"/>
        <v>PDP'!</v>
      </c>
      <c r="F3351" s="34" t="str">
        <f t="shared" si="795"/>
        <v>C:\Users\jaime.benazar\Quorum Business Solutions\Ecopetrol Prometeo - Documents\Planning Space Implementation\3. Analysis &amp; Design\Design\FC22\DRR Jaime\QUIFA-CAJÚA\Cajua\[CAJUA_CF_SEC_New_27-Feb-2024Rev3.xlsx]D-PDP'!</v>
      </c>
      <c r="G3351" s="32" t="s">
        <v>111</v>
      </c>
      <c r="H3351" s="33">
        <f t="shared" si="797"/>
        <v>17</v>
      </c>
      <c r="I3351" s="33" t="str">
        <f t="shared" si="793"/>
        <v>='C:\Users\jaime.benazar\Quorum Business Solutions\Ecopetrol Prometeo - Documents\Planning Space Implementation\3. Analysis &amp; Design\Design\FC22\DRR Jaime\QUIFA-CAJÚA\Cajua\[CAJUA_CF_SEC_New_27-Feb-2024Rev3.xlsx]D-PDP'!$BE$17</v>
      </c>
      <c r="J3351" s="37" t="s">
        <v>3485</v>
      </c>
    </row>
    <row r="3352" spans="1:10" x14ac:dyDescent="0.25">
      <c r="A3352" s="32" t="s">
        <v>1</v>
      </c>
      <c r="B3352" s="32">
        <f t="shared" si="796"/>
        <v>2029</v>
      </c>
      <c r="C3352" s="33" t="s">
        <v>49</v>
      </c>
      <c r="D3352" s="34" t="s">
        <v>1999</v>
      </c>
      <c r="E3352" s="35" t="str">
        <f t="shared" si="794"/>
        <v>PDP'!</v>
      </c>
      <c r="F3352" s="34" t="str">
        <f t="shared" si="795"/>
        <v>C:\Users\jaime.benazar\Quorum Business Solutions\Ecopetrol Prometeo - Documents\Planning Space Implementation\3. Analysis &amp; Design\Design\FC22\DRR Jaime\QUIFA-CAJÚA\Cajua\[CAJUA_CF_SEC_New_27-Feb-2024Rev3.xlsx]D-PDP'!</v>
      </c>
      <c r="G3352" s="32" t="s">
        <v>111</v>
      </c>
      <c r="H3352" s="33">
        <f t="shared" si="797"/>
        <v>18</v>
      </c>
      <c r="I3352" s="33" t="str">
        <f t="shared" si="793"/>
        <v>='C:\Users\jaime.benazar\Quorum Business Solutions\Ecopetrol Prometeo - Documents\Planning Space Implementation\3. Analysis &amp; Design\Design\FC22\DRR Jaime\QUIFA-CAJÚA\Cajua\[CAJUA_CF_SEC_New_27-Feb-2024Rev3.xlsx]D-PDP'!$BE$18</v>
      </c>
      <c r="J3352" s="37" t="s">
        <v>3486</v>
      </c>
    </row>
    <row r="3353" spans="1:10" x14ac:dyDescent="0.25">
      <c r="A3353" s="32" t="s">
        <v>1</v>
      </c>
      <c r="B3353" s="32">
        <f t="shared" si="796"/>
        <v>2030</v>
      </c>
      <c r="C3353" s="33" t="s">
        <v>49</v>
      </c>
      <c r="D3353" s="34" t="s">
        <v>1999</v>
      </c>
      <c r="E3353" s="35" t="str">
        <f t="shared" si="794"/>
        <v>PDP'!</v>
      </c>
      <c r="F3353" s="34" t="str">
        <f t="shared" si="795"/>
        <v>C:\Users\jaime.benazar\Quorum Business Solutions\Ecopetrol Prometeo - Documents\Planning Space Implementation\3. Analysis &amp; Design\Design\FC22\DRR Jaime\QUIFA-CAJÚA\Cajua\[CAJUA_CF_SEC_New_27-Feb-2024Rev3.xlsx]D-PDP'!</v>
      </c>
      <c r="G3353" s="32" t="s">
        <v>111</v>
      </c>
      <c r="H3353" s="33">
        <f t="shared" si="797"/>
        <v>19</v>
      </c>
      <c r="I3353" s="33" t="str">
        <f t="shared" si="793"/>
        <v>='C:\Users\jaime.benazar\Quorum Business Solutions\Ecopetrol Prometeo - Documents\Planning Space Implementation\3. Analysis &amp; Design\Design\FC22\DRR Jaime\QUIFA-CAJÚA\Cajua\[CAJUA_CF_SEC_New_27-Feb-2024Rev3.xlsx]D-PDP'!$BE$19</v>
      </c>
      <c r="J3353" s="37" t="s">
        <v>3487</v>
      </c>
    </row>
    <row r="3354" spans="1:10" x14ac:dyDescent="0.25">
      <c r="A3354" s="32" t="s">
        <v>1</v>
      </c>
      <c r="B3354" s="32">
        <f t="shared" si="796"/>
        <v>2031</v>
      </c>
      <c r="C3354" s="33" t="s">
        <v>49</v>
      </c>
      <c r="D3354" s="34" t="s">
        <v>1999</v>
      </c>
      <c r="E3354" s="35" t="str">
        <f t="shared" si="794"/>
        <v>PDP'!</v>
      </c>
      <c r="F3354" s="34" t="str">
        <f t="shared" si="795"/>
        <v>C:\Users\jaime.benazar\Quorum Business Solutions\Ecopetrol Prometeo - Documents\Planning Space Implementation\3. Analysis &amp; Design\Design\FC22\DRR Jaime\QUIFA-CAJÚA\Cajua\[CAJUA_CF_SEC_New_27-Feb-2024Rev3.xlsx]D-PDP'!</v>
      </c>
      <c r="G3354" s="32" t="s">
        <v>111</v>
      </c>
      <c r="H3354" s="33">
        <f t="shared" si="797"/>
        <v>20</v>
      </c>
      <c r="I3354" s="33" t="str">
        <f t="shared" si="793"/>
        <v>='C:\Users\jaime.benazar\Quorum Business Solutions\Ecopetrol Prometeo - Documents\Planning Space Implementation\3. Analysis &amp; Design\Design\FC22\DRR Jaime\QUIFA-CAJÚA\Cajua\[CAJUA_CF_SEC_New_27-Feb-2024Rev3.xlsx]D-PDP'!$BE$20</v>
      </c>
      <c r="J3354" s="37" t="s">
        <v>3488</v>
      </c>
    </row>
    <row r="3355" spans="1:10" x14ac:dyDescent="0.25">
      <c r="A3355" s="32" t="s">
        <v>1</v>
      </c>
      <c r="B3355" s="32">
        <f t="shared" si="796"/>
        <v>2032</v>
      </c>
      <c r="C3355" s="33" t="s">
        <v>49</v>
      </c>
      <c r="D3355" s="34" t="s">
        <v>1999</v>
      </c>
      <c r="E3355" s="35" t="str">
        <f t="shared" si="794"/>
        <v>PDP'!</v>
      </c>
      <c r="F3355" s="34" t="str">
        <f t="shared" si="795"/>
        <v>C:\Users\jaime.benazar\Quorum Business Solutions\Ecopetrol Prometeo - Documents\Planning Space Implementation\3. Analysis &amp; Design\Design\FC22\DRR Jaime\QUIFA-CAJÚA\Cajua\[CAJUA_CF_SEC_New_27-Feb-2024Rev3.xlsx]D-PDP'!</v>
      </c>
      <c r="G3355" s="32" t="s">
        <v>111</v>
      </c>
      <c r="H3355" s="33">
        <f t="shared" si="797"/>
        <v>21</v>
      </c>
      <c r="I3355" s="33" t="str">
        <f t="shared" si="793"/>
        <v>='C:\Users\jaime.benazar\Quorum Business Solutions\Ecopetrol Prometeo - Documents\Planning Space Implementation\3. Analysis &amp; Design\Design\FC22\DRR Jaime\QUIFA-CAJÚA\Cajua\[CAJUA_CF_SEC_New_27-Feb-2024Rev3.xlsx]D-PDP'!$BE$21</v>
      </c>
      <c r="J3355" s="37" t="s">
        <v>3489</v>
      </c>
    </row>
    <row r="3356" spans="1:10" x14ac:dyDescent="0.25">
      <c r="A3356" s="32" t="s">
        <v>1</v>
      </c>
      <c r="B3356" s="32">
        <f t="shared" si="796"/>
        <v>2033</v>
      </c>
      <c r="C3356" s="33" t="s">
        <v>49</v>
      </c>
      <c r="D3356" s="34" t="s">
        <v>1999</v>
      </c>
      <c r="E3356" s="35" t="str">
        <f t="shared" si="794"/>
        <v>PDP'!</v>
      </c>
      <c r="F3356" s="34" t="str">
        <f t="shared" si="795"/>
        <v>C:\Users\jaime.benazar\Quorum Business Solutions\Ecopetrol Prometeo - Documents\Planning Space Implementation\3. Analysis &amp; Design\Design\FC22\DRR Jaime\QUIFA-CAJÚA\Cajua\[CAJUA_CF_SEC_New_27-Feb-2024Rev3.xlsx]D-PDP'!</v>
      </c>
      <c r="G3356" s="32" t="s">
        <v>111</v>
      </c>
      <c r="H3356" s="33">
        <f t="shared" si="797"/>
        <v>22</v>
      </c>
      <c r="I3356" s="33" t="str">
        <f t="shared" si="793"/>
        <v>='C:\Users\jaime.benazar\Quorum Business Solutions\Ecopetrol Prometeo - Documents\Planning Space Implementation\3. Analysis &amp; Design\Design\FC22\DRR Jaime\QUIFA-CAJÚA\Cajua\[CAJUA_CF_SEC_New_27-Feb-2024Rev3.xlsx]D-PDP'!$BE$22</v>
      </c>
      <c r="J3356" s="37" t="s">
        <v>3490</v>
      </c>
    </row>
    <row r="3357" spans="1:10" x14ac:dyDescent="0.25">
      <c r="A3357" s="32" t="s">
        <v>1</v>
      </c>
      <c r="B3357" s="32">
        <f t="shared" si="796"/>
        <v>2034</v>
      </c>
      <c r="C3357" s="33" t="s">
        <v>49</v>
      </c>
      <c r="D3357" s="34" t="s">
        <v>1999</v>
      </c>
      <c r="E3357" s="35" t="str">
        <f t="shared" si="794"/>
        <v>PDP'!</v>
      </c>
      <c r="F3357" s="34" t="str">
        <f t="shared" si="795"/>
        <v>C:\Users\jaime.benazar\Quorum Business Solutions\Ecopetrol Prometeo - Documents\Planning Space Implementation\3. Analysis &amp; Design\Design\FC22\DRR Jaime\QUIFA-CAJÚA\Cajua\[CAJUA_CF_SEC_New_27-Feb-2024Rev3.xlsx]D-PDP'!</v>
      </c>
      <c r="G3357" s="32" t="s">
        <v>111</v>
      </c>
      <c r="H3357" s="33">
        <f t="shared" si="797"/>
        <v>23</v>
      </c>
      <c r="I3357" s="33" t="str">
        <f t="shared" si="793"/>
        <v>='C:\Users\jaime.benazar\Quorum Business Solutions\Ecopetrol Prometeo - Documents\Planning Space Implementation\3. Analysis &amp; Design\Design\FC22\DRR Jaime\QUIFA-CAJÚA\Cajua\[CAJUA_CF_SEC_New_27-Feb-2024Rev3.xlsx]D-PDP'!$BE$23</v>
      </c>
      <c r="J3357" s="37" t="s">
        <v>3491</v>
      </c>
    </row>
    <row r="3358" spans="1:10" x14ac:dyDescent="0.25">
      <c r="A3358" s="32" t="s">
        <v>1</v>
      </c>
      <c r="B3358" s="32">
        <f t="shared" si="796"/>
        <v>2035</v>
      </c>
      <c r="C3358" s="33" t="s">
        <v>49</v>
      </c>
      <c r="D3358" s="34" t="s">
        <v>1999</v>
      </c>
      <c r="E3358" s="35" t="str">
        <f t="shared" si="794"/>
        <v>PDP'!</v>
      </c>
      <c r="F3358" s="34" t="str">
        <f t="shared" si="795"/>
        <v>C:\Users\jaime.benazar\Quorum Business Solutions\Ecopetrol Prometeo - Documents\Planning Space Implementation\3. Analysis &amp; Design\Design\FC22\DRR Jaime\QUIFA-CAJÚA\Cajua\[CAJUA_CF_SEC_New_27-Feb-2024Rev3.xlsx]D-PDP'!</v>
      </c>
      <c r="G3358" s="32" t="s">
        <v>111</v>
      </c>
      <c r="H3358" s="33">
        <f t="shared" si="797"/>
        <v>24</v>
      </c>
      <c r="I3358" s="33" t="str">
        <f t="shared" si="793"/>
        <v>='C:\Users\jaime.benazar\Quorum Business Solutions\Ecopetrol Prometeo - Documents\Planning Space Implementation\3. Analysis &amp; Design\Design\FC22\DRR Jaime\QUIFA-CAJÚA\Cajua\[CAJUA_CF_SEC_New_27-Feb-2024Rev3.xlsx]D-PDP'!$BE$24</v>
      </c>
      <c r="J3358" s="37" t="s">
        <v>3492</v>
      </c>
    </row>
    <row r="3359" spans="1:10" x14ac:dyDescent="0.25">
      <c r="A3359" s="32" t="s">
        <v>1</v>
      </c>
      <c r="B3359" s="32">
        <f t="shared" si="796"/>
        <v>2036</v>
      </c>
      <c r="C3359" s="33" t="s">
        <v>49</v>
      </c>
      <c r="D3359" s="34" t="s">
        <v>1999</v>
      </c>
      <c r="E3359" s="35" t="str">
        <f t="shared" si="794"/>
        <v>PDP'!</v>
      </c>
      <c r="F3359" s="34" t="str">
        <f t="shared" si="795"/>
        <v>C:\Users\jaime.benazar\Quorum Business Solutions\Ecopetrol Prometeo - Documents\Planning Space Implementation\3. Analysis &amp; Design\Design\FC22\DRR Jaime\QUIFA-CAJÚA\Cajua\[CAJUA_CF_SEC_New_27-Feb-2024Rev3.xlsx]D-PDP'!</v>
      </c>
      <c r="G3359" s="32" t="s">
        <v>111</v>
      </c>
      <c r="H3359" s="33">
        <f t="shared" si="797"/>
        <v>25</v>
      </c>
      <c r="I3359" s="33" t="str">
        <f t="shared" si="793"/>
        <v>='C:\Users\jaime.benazar\Quorum Business Solutions\Ecopetrol Prometeo - Documents\Planning Space Implementation\3. Analysis &amp; Design\Design\FC22\DRR Jaime\QUIFA-CAJÚA\Cajua\[CAJUA_CF_SEC_New_27-Feb-2024Rev3.xlsx]D-PDP'!$BE$25</v>
      </c>
      <c r="J3359" s="37" t="s">
        <v>3493</v>
      </c>
    </row>
    <row r="3360" spans="1:10" x14ac:dyDescent="0.25">
      <c r="A3360" s="32" t="s">
        <v>1</v>
      </c>
      <c r="B3360" s="32">
        <f>+B3359+1</f>
        <v>2037</v>
      </c>
      <c r="C3360" s="33" t="s">
        <v>49</v>
      </c>
      <c r="D3360" s="34" t="s">
        <v>1999</v>
      </c>
      <c r="E3360" s="35" t="str">
        <f t="shared" si="794"/>
        <v>PDP'!</v>
      </c>
      <c r="F3360" s="34" t="str">
        <f t="shared" si="795"/>
        <v>C:\Users\jaime.benazar\Quorum Business Solutions\Ecopetrol Prometeo - Documents\Planning Space Implementation\3. Analysis &amp; Design\Design\FC22\DRR Jaime\QUIFA-CAJÚA\Cajua\[CAJUA_CF_SEC_New_27-Feb-2024Rev3.xlsx]D-PDP'!</v>
      </c>
      <c r="G3360" s="32" t="s">
        <v>111</v>
      </c>
      <c r="H3360" s="33">
        <f t="shared" si="797"/>
        <v>26</v>
      </c>
      <c r="I3360" s="33" t="str">
        <f t="shared" si="793"/>
        <v>='C:\Users\jaime.benazar\Quorum Business Solutions\Ecopetrol Prometeo - Documents\Planning Space Implementation\3. Analysis &amp; Design\Design\FC22\DRR Jaime\QUIFA-CAJÚA\Cajua\[CAJUA_CF_SEC_New_27-Feb-2024Rev3.xlsx]D-PDP'!$BE$26</v>
      </c>
      <c r="J3360" s="37" t="s">
        <v>3494</v>
      </c>
    </row>
    <row r="3361" spans="1:10" x14ac:dyDescent="0.25">
      <c r="A3361" s="32" t="s">
        <v>1</v>
      </c>
      <c r="B3361" s="32">
        <f t="shared" si="796"/>
        <v>2038</v>
      </c>
      <c r="C3361" s="33" t="s">
        <v>49</v>
      </c>
      <c r="D3361" s="34" t="s">
        <v>1999</v>
      </c>
      <c r="E3361" s="35" t="str">
        <f t="shared" si="794"/>
        <v>PDP'!</v>
      </c>
      <c r="F3361" s="34" t="str">
        <f t="shared" si="795"/>
        <v>C:\Users\jaime.benazar\Quorum Business Solutions\Ecopetrol Prometeo - Documents\Planning Space Implementation\3. Analysis &amp; Design\Design\FC22\DRR Jaime\QUIFA-CAJÚA\Cajua\[CAJUA_CF_SEC_New_27-Feb-2024Rev3.xlsx]D-PDP'!</v>
      </c>
      <c r="G3361" s="32" t="s">
        <v>111</v>
      </c>
      <c r="H3361" s="33">
        <f t="shared" si="797"/>
        <v>27</v>
      </c>
      <c r="I3361" s="33" t="str">
        <f t="shared" si="793"/>
        <v>='C:\Users\jaime.benazar\Quorum Business Solutions\Ecopetrol Prometeo - Documents\Planning Space Implementation\3. Analysis &amp; Design\Design\FC22\DRR Jaime\QUIFA-CAJÚA\Cajua\[CAJUA_CF_SEC_New_27-Feb-2024Rev3.xlsx]D-PDP'!$BE$27</v>
      </c>
      <c r="J3361" s="37" t="s">
        <v>3495</v>
      </c>
    </row>
    <row r="3362" spans="1:10" x14ac:dyDescent="0.25">
      <c r="A3362" s="32" t="s">
        <v>1</v>
      </c>
      <c r="B3362" s="32">
        <f t="shared" si="796"/>
        <v>2039</v>
      </c>
      <c r="C3362" s="33" t="s">
        <v>49</v>
      </c>
      <c r="D3362" s="34" t="s">
        <v>1999</v>
      </c>
      <c r="E3362" s="35" t="str">
        <f t="shared" si="794"/>
        <v>PDP'!</v>
      </c>
      <c r="F3362" s="34" t="str">
        <f t="shared" si="795"/>
        <v>C:\Users\jaime.benazar\Quorum Business Solutions\Ecopetrol Prometeo - Documents\Planning Space Implementation\3. Analysis &amp; Design\Design\FC22\DRR Jaime\QUIFA-CAJÚA\Cajua\[CAJUA_CF_SEC_New_27-Feb-2024Rev3.xlsx]D-PDP'!</v>
      </c>
      <c r="G3362" s="32" t="s">
        <v>111</v>
      </c>
      <c r="H3362" s="33">
        <f t="shared" si="797"/>
        <v>28</v>
      </c>
      <c r="I3362" s="33" t="str">
        <f t="shared" si="793"/>
        <v>='C:\Users\jaime.benazar\Quorum Business Solutions\Ecopetrol Prometeo - Documents\Planning Space Implementation\3. Analysis &amp; Design\Design\FC22\DRR Jaime\QUIFA-CAJÚA\Cajua\[CAJUA_CF_SEC_New_27-Feb-2024Rev3.xlsx]D-PDP'!$BE$28</v>
      </c>
      <c r="J3362" s="37" t="s">
        <v>3496</v>
      </c>
    </row>
    <row r="3363" spans="1:10" x14ac:dyDescent="0.25">
      <c r="A3363" s="32" t="s">
        <v>1</v>
      </c>
      <c r="B3363" s="32">
        <f t="shared" si="796"/>
        <v>2040</v>
      </c>
      <c r="C3363" s="33" t="s">
        <v>49</v>
      </c>
      <c r="D3363" s="34" t="s">
        <v>1999</v>
      </c>
      <c r="E3363" s="35" t="str">
        <f t="shared" si="794"/>
        <v>PDP'!</v>
      </c>
      <c r="F3363" s="34" t="str">
        <f t="shared" si="795"/>
        <v>C:\Users\jaime.benazar\Quorum Business Solutions\Ecopetrol Prometeo - Documents\Planning Space Implementation\3. Analysis &amp; Design\Design\FC22\DRR Jaime\QUIFA-CAJÚA\Cajua\[CAJUA_CF_SEC_New_27-Feb-2024Rev3.xlsx]D-PDP'!</v>
      </c>
      <c r="G3363" s="32" t="s">
        <v>111</v>
      </c>
      <c r="H3363" s="33">
        <f t="shared" si="797"/>
        <v>29</v>
      </c>
      <c r="I3363" s="33" t="str">
        <f t="shared" si="793"/>
        <v>='C:\Users\jaime.benazar\Quorum Business Solutions\Ecopetrol Prometeo - Documents\Planning Space Implementation\3. Analysis &amp; Design\Design\FC22\DRR Jaime\QUIFA-CAJÚA\Cajua\[CAJUA_CF_SEC_New_27-Feb-2024Rev3.xlsx]D-PDP'!$BE$29</v>
      </c>
      <c r="J3363" s="37" t="s">
        <v>3497</v>
      </c>
    </row>
    <row r="3364" spans="1:10" x14ac:dyDescent="0.25">
      <c r="A3364" s="32" t="s">
        <v>1</v>
      </c>
      <c r="B3364" s="32">
        <f>+B3363+1</f>
        <v>2041</v>
      </c>
      <c r="C3364" s="33" t="s">
        <v>49</v>
      </c>
      <c r="D3364" s="34" t="s">
        <v>1999</v>
      </c>
      <c r="E3364" s="35" t="str">
        <f t="shared" si="794"/>
        <v>PDP'!</v>
      </c>
      <c r="F3364" s="34" t="str">
        <f t="shared" si="795"/>
        <v>C:\Users\jaime.benazar\Quorum Business Solutions\Ecopetrol Prometeo - Documents\Planning Space Implementation\3. Analysis &amp; Design\Design\FC22\DRR Jaime\QUIFA-CAJÚA\Cajua\[CAJUA_CF_SEC_New_27-Feb-2024Rev3.xlsx]D-PDP'!</v>
      </c>
      <c r="G3364" s="32" t="s">
        <v>111</v>
      </c>
      <c r="H3364" s="33">
        <f t="shared" si="797"/>
        <v>30</v>
      </c>
      <c r="I3364" s="33" t="str">
        <f t="shared" si="793"/>
        <v>='C:\Users\jaime.benazar\Quorum Business Solutions\Ecopetrol Prometeo - Documents\Planning Space Implementation\3. Analysis &amp; Design\Design\FC22\DRR Jaime\QUIFA-CAJÚA\Cajua\[CAJUA_CF_SEC_New_27-Feb-2024Rev3.xlsx]D-PDP'!$BE$30</v>
      </c>
      <c r="J3364" s="37" t="s">
        <v>3498</v>
      </c>
    </row>
    <row r="3365" spans="1:10" x14ac:dyDescent="0.25">
      <c r="A3365" s="32" t="s">
        <v>1</v>
      </c>
      <c r="B3365" s="32">
        <f t="shared" si="796"/>
        <v>2042</v>
      </c>
      <c r="C3365" s="33" t="s">
        <v>49</v>
      </c>
      <c r="D3365" s="34" t="s">
        <v>1999</v>
      </c>
      <c r="E3365" s="35" t="str">
        <f t="shared" si="794"/>
        <v>PDP'!</v>
      </c>
      <c r="F3365" s="34" t="str">
        <f t="shared" si="795"/>
        <v>C:\Users\jaime.benazar\Quorum Business Solutions\Ecopetrol Prometeo - Documents\Planning Space Implementation\3. Analysis &amp; Design\Design\FC22\DRR Jaime\QUIFA-CAJÚA\Cajua\[CAJUA_CF_SEC_New_27-Feb-2024Rev3.xlsx]D-PDP'!</v>
      </c>
      <c r="G3365" s="32" t="s">
        <v>111</v>
      </c>
      <c r="H3365" s="33">
        <f t="shared" si="797"/>
        <v>31</v>
      </c>
      <c r="I3365" s="33" t="str">
        <f t="shared" si="793"/>
        <v>='C:\Users\jaime.benazar\Quorum Business Solutions\Ecopetrol Prometeo - Documents\Planning Space Implementation\3. Analysis &amp; Design\Design\FC22\DRR Jaime\QUIFA-CAJÚA\Cajua\[CAJUA_CF_SEC_New_27-Feb-2024Rev3.xlsx]D-PDP'!$BE$31</v>
      </c>
      <c r="J3365" s="37" t="s">
        <v>3499</v>
      </c>
    </row>
    <row r="3366" spans="1:10" x14ac:dyDescent="0.25">
      <c r="A3366" s="32" t="s">
        <v>1</v>
      </c>
      <c r="B3366" s="32">
        <f t="shared" si="796"/>
        <v>2043</v>
      </c>
      <c r="C3366" s="33" t="s">
        <v>49</v>
      </c>
      <c r="D3366" s="34" t="s">
        <v>1999</v>
      </c>
      <c r="E3366" s="35" t="str">
        <f t="shared" si="794"/>
        <v>PDP'!</v>
      </c>
      <c r="F3366" s="34" t="str">
        <f t="shared" si="795"/>
        <v>C:\Users\jaime.benazar\Quorum Business Solutions\Ecopetrol Prometeo - Documents\Planning Space Implementation\3. Analysis &amp; Design\Design\FC22\DRR Jaime\QUIFA-CAJÚA\Cajua\[CAJUA_CF_SEC_New_27-Feb-2024Rev3.xlsx]D-PDP'!</v>
      </c>
      <c r="G3366" s="32" t="s">
        <v>111</v>
      </c>
      <c r="H3366" s="33">
        <f t="shared" si="797"/>
        <v>32</v>
      </c>
      <c r="I3366" s="33" t="str">
        <f t="shared" si="793"/>
        <v>='C:\Users\jaime.benazar\Quorum Business Solutions\Ecopetrol Prometeo - Documents\Planning Space Implementation\3. Analysis &amp; Design\Design\FC22\DRR Jaime\QUIFA-CAJÚA\Cajua\[CAJUA_CF_SEC_New_27-Feb-2024Rev3.xlsx]D-PDP'!$BE$32</v>
      </c>
      <c r="J3366" s="37" t="s">
        <v>3500</v>
      </c>
    </row>
    <row r="3367" spans="1:10" x14ac:dyDescent="0.25">
      <c r="A3367" s="32" t="s">
        <v>1</v>
      </c>
      <c r="B3367" s="32">
        <f>+B3366+1</f>
        <v>2044</v>
      </c>
      <c r="C3367" s="33" t="s">
        <v>49</v>
      </c>
      <c r="D3367" s="34" t="s">
        <v>1999</v>
      </c>
      <c r="E3367" s="35" t="str">
        <f t="shared" ref="E3367:E3382" si="798">_xlfn.CONCAT(A3367,"'!")</f>
        <v>PDP'!</v>
      </c>
      <c r="F3367" s="34" t="str">
        <f t="shared" ref="F3367:F3382" si="799">_xlfn.CONCAT(D3367:E3367)</f>
        <v>C:\Users\jaime.benazar\Quorum Business Solutions\Ecopetrol Prometeo - Documents\Planning Space Implementation\3. Analysis &amp; Design\Design\FC22\DRR Jaime\QUIFA-CAJÚA\Cajua\[CAJUA_CF_SEC_New_27-Feb-2024Rev3.xlsx]D-PDP'!</v>
      </c>
      <c r="G3367" s="32" t="s">
        <v>111</v>
      </c>
      <c r="H3367" s="33">
        <f t="shared" ref="H3367:H3382" si="800">IF(A3367&lt;&gt;A3366,36,H3366+1)</f>
        <v>33</v>
      </c>
      <c r="I3367" s="33" t="str">
        <f t="shared" ref="I3367:I3382" si="801">_xlfn.CONCAT("='",F3367:H3367)</f>
        <v>='C:\Users\jaime.benazar\Quorum Business Solutions\Ecopetrol Prometeo - Documents\Planning Space Implementation\3. Analysis &amp; Design\Design\FC22\DRR Jaime\QUIFA-CAJÚA\Cajua\[CAJUA_CF_SEC_New_27-Feb-2024Rev3.xlsx]D-PDP'!$BE$33</v>
      </c>
      <c r="J3367" s="37" t="s">
        <v>3501</v>
      </c>
    </row>
    <row r="3368" spans="1:10" x14ac:dyDescent="0.25">
      <c r="A3368" s="32" t="s">
        <v>1</v>
      </c>
      <c r="B3368" s="32">
        <f t="shared" si="796"/>
        <v>2045</v>
      </c>
      <c r="C3368" s="33" t="s">
        <v>49</v>
      </c>
      <c r="D3368" s="34" t="s">
        <v>1999</v>
      </c>
      <c r="E3368" s="35" t="str">
        <f t="shared" si="798"/>
        <v>PDP'!</v>
      </c>
      <c r="F3368" s="34" t="str">
        <f t="shared" si="799"/>
        <v>C:\Users\jaime.benazar\Quorum Business Solutions\Ecopetrol Prometeo - Documents\Planning Space Implementation\3. Analysis &amp; Design\Design\FC22\DRR Jaime\QUIFA-CAJÚA\Cajua\[CAJUA_CF_SEC_New_27-Feb-2024Rev3.xlsx]D-PDP'!</v>
      </c>
      <c r="G3368" s="32" t="s">
        <v>111</v>
      </c>
      <c r="H3368" s="33">
        <f t="shared" si="800"/>
        <v>34</v>
      </c>
      <c r="I3368" s="33" t="str">
        <f t="shared" si="801"/>
        <v>='C:\Users\jaime.benazar\Quorum Business Solutions\Ecopetrol Prometeo - Documents\Planning Space Implementation\3. Analysis &amp; Design\Design\FC22\DRR Jaime\QUIFA-CAJÚA\Cajua\[CAJUA_CF_SEC_New_27-Feb-2024Rev3.xlsx]D-PDP'!$BE$34</v>
      </c>
      <c r="J3368" s="37" t="s">
        <v>3502</v>
      </c>
    </row>
    <row r="3369" spans="1:10" x14ac:dyDescent="0.25">
      <c r="A3369" s="32" t="s">
        <v>1</v>
      </c>
      <c r="B3369" s="32">
        <f t="shared" si="796"/>
        <v>2046</v>
      </c>
      <c r="C3369" s="33" t="s">
        <v>49</v>
      </c>
      <c r="D3369" s="34" t="s">
        <v>1999</v>
      </c>
      <c r="E3369" s="35" t="str">
        <f t="shared" si="798"/>
        <v>PDP'!</v>
      </c>
      <c r="F3369" s="34" t="str">
        <f t="shared" si="799"/>
        <v>C:\Users\jaime.benazar\Quorum Business Solutions\Ecopetrol Prometeo - Documents\Planning Space Implementation\3. Analysis &amp; Design\Design\FC22\DRR Jaime\QUIFA-CAJÚA\Cajua\[CAJUA_CF_SEC_New_27-Feb-2024Rev3.xlsx]D-PDP'!</v>
      </c>
      <c r="G3369" s="32" t="s">
        <v>111</v>
      </c>
      <c r="H3369" s="33">
        <f t="shared" si="800"/>
        <v>35</v>
      </c>
      <c r="I3369" s="33" t="str">
        <f t="shared" si="801"/>
        <v>='C:\Users\jaime.benazar\Quorum Business Solutions\Ecopetrol Prometeo - Documents\Planning Space Implementation\3. Analysis &amp; Design\Design\FC22\DRR Jaime\QUIFA-CAJÚA\Cajua\[CAJUA_CF_SEC_New_27-Feb-2024Rev3.xlsx]D-PDP'!$BE$35</v>
      </c>
      <c r="J3369" s="37" t="s">
        <v>3503</v>
      </c>
    </row>
    <row r="3370" spans="1:10" x14ac:dyDescent="0.25">
      <c r="A3370" s="32" t="s">
        <v>1</v>
      </c>
      <c r="B3370" s="32">
        <f t="shared" si="796"/>
        <v>2047</v>
      </c>
      <c r="C3370" s="33" t="s">
        <v>49</v>
      </c>
      <c r="D3370" s="34" t="s">
        <v>1999</v>
      </c>
      <c r="E3370" s="35" t="str">
        <f t="shared" si="798"/>
        <v>PDP'!</v>
      </c>
      <c r="F3370" s="34" t="str">
        <f t="shared" si="799"/>
        <v>C:\Users\jaime.benazar\Quorum Business Solutions\Ecopetrol Prometeo - Documents\Planning Space Implementation\3. Analysis &amp; Design\Design\FC22\DRR Jaime\QUIFA-CAJÚA\Cajua\[CAJUA_CF_SEC_New_27-Feb-2024Rev3.xlsx]D-PDP'!</v>
      </c>
      <c r="G3370" s="32" t="s">
        <v>111</v>
      </c>
      <c r="H3370" s="33">
        <f t="shared" si="800"/>
        <v>36</v>
      </c>
      <c r="I3370" s="33" t="str">
        <f t="shared" si="801"/>
        <v>='C:\Users\jaime.benazar\Quorum Business Solutions\Ecopetrol Prometeo - Documents\Planning Space Implementation\3. Analysis &amp; Design\Design\FC22\DRR Jaime\QUIFA-CAJÚA\Cajua\[CAJUA_CF_SEC_New_27-Feb-2024Rev3.xlsx]D-PDP'!$BE$36</v>
      </c>
      <c r="J3370" s="37" t="s">
        <v>3504</v>
      </c>
    </row>
    <row r="3371" spans="1:10" x14ac:dyDescent="0.25">
      <c r="A3371" s="32" t="s">
        <v>1</v>
      </c>
      <c r="B3371" s="32">
        <f t="shared" si="796"/>
        <v>2048</v>
      </c>
      <c r="C3371" s="33" t="s">
        <v>49</v>
      </c>
      <c r="D3371" s="34" t="s">
        <v>1999</v>
      </c>
      <c r="E3371" s="35" t="str">
        <f t="shared" si="798"/>
        <v>PDP'!</v>
      </c>
      <c r="F3371" s="34" t="str">
        <f t="shared" si="799"/>
        <v>C:\Users\jaime.benazar\Quorum Business Solutions\Ecopetrol Prometeo - Documents\Planning Space Implementation\3. Analysis &amp; Design\Design\FC22\DRR Jaime\QUIFA-CAJÚA\Cajua\[CAJUA_CF_SEC_New_27-Feb-2024Rev3.xlsx]D-PDP'!</v>
      </c>
      <c r="G3371" s="32" t="s">
        <v>111</v>
      </c>
      <c r="H3371" s="33">
        <f t="shared" si="800"/>
        <v>37</v>
      </c>
      <c r="I3371" s="33" t="str">
        <f t="shared" si="801"/>
        <v>='C:\Users\jaime.benazar\Quorum Business Solutions\Ecopetrol Prometeo - Documents\Planning Space Implementation\3. Analysis &amp; Design\Design\FC22\DRR Jaime\QUIFA-CAJÚA\Cajua\[CAJUA_CF_SEC_New_27-Feb-2024Rev3.xlsx]D-PDP'!$BE$37</v>
      </c>
      <c r="J3371" s="37" t="s">
        <v>3505</v>
      </c>
    </row>
    <row r="3372" spans="1:10" x14ac:dyDescent="0.25">
      <c r="A3372" s="32" t="s">
        <v>1</v>
      </c>
      <c r="B3372" s="32">
        <f t="shared" si="796"/>
        <v>2049</v>
      </c>
      <c r="C3372" s="33" t="s">
        <v>49</v>
      </c>
      <c r="D3372" s="34" t="s">
        <v>1999</v>
      </c>
      <c r="E3372" s="35" t="str">
        <f t="shared" si="798"/>
        <v>PDP'!</v>
      </c>
      <c r="F3372" s="34" t="str">
        <f t="shared" si="799"/>
        <v>C:\Users\jaime.benazar\Quorum Business Solutions\Ecopetrol Prometeo - Documents\Planning Space Implementation\3. Analysis &amp; Design\Design\FC22\DRR Jaime\QUIFA-CAJÚA\Cajua\[CAJUA_CF_SEC_New_27-Feb-2024Rev3.xlsx]D-PDP'!</v>
      </c>
      <c r="G3372" s="32" t="s">
        <v>111</v>
      </c>
      <c r="H3372" s="33">
        <f t="shared" si="800"/>
        <v>38</v>
      </c>
      <c r="I3372" s="33" t="str">
        <f t="shared" si="801"/>
        <v>='C:\Users\jaime.benazar\Quorum Business Solutions\Ecopetrol Prometeo - Documents\Planning Space Implementation\3. Analysis &amp; Design\Design\FC22\DRR Jaime\QUIFA-CAJÚA\Cajua\[CAJUA_CF_SEC_New_27-Feb-2024Rev3.xlsx]D-PDP'!$BE$38</v>
      </c>
      <c r="J3372" s="37" t="s">
        <v>3506</v>
      </c>
    </row>
    <row r="3373" spans="1:10" x14ac:dyDescent="0.25">
      <c r="A3373" s="32" t="s">
        <v>1</v>
      </c>
      <c r="B3373" s="32">
        <f t="shared" si="796"/>
        <v>2050</v>
      </c>
      <c r="C3373" s="33" t="s">
        <v>49</v>
      </c>
      <c r="D3373" s="34" t="s">
        <v>1999</v>
      </c>
      <c r="E3373" s="35" t="str">
        <f t="shared" si="798"/>
        <v>PDP'!</v>
      </c>
      <c r="F3373" s="34" t="str">
        <f t="shared" si="799"/>
        <v>C:\Users\jaime.benazar\Quorum Business Solutions\Ecopetrol Prometeo - Documents\Planning Space Implementation\3. Analysis &amp; Design\Design\FC22\DRR Jaime\QUIFA-CAJÚA\Cajua\[CAJUA_CF_SEC_New_27-Feb-2024Rev3.xlsx]D-PDP'!</v>
      </c>
      <c r="G3373" s="32" t="s">
        <v>111</v>
      </c>
      <c r="H3373" s="33">
        <f t="shared" si="800"/>
        <v>39</v>
      </c>
      <c r="I3373" s="33" t="str">
        <f t="shared" si="801"/>
        <v>='C:\Users\jaime.benazar\Quorum Business Solutions\Ecopetrol Prometeo - Documents\Planning Space Implementation\3. Analysis &amp; Design\Design\FC22\DRR Jaime\QUIFA-CAJÚA\Cajua\[CAJUA_CF_SEC_New_27-Feb-2024Rev3.xlsx]D-PDP'!$BE$39</v>
      </c>
      <c r="J3373" s="37" t="s">
        <v>3507</v>
      </c>
    </row>
    <row r="3374" spans="1:10" x14ac:dyDescent="0.25">
      <c r="A3374" s="32" t="s">
        <v>1</v>
      </c>
      <c r="B3374" s="32">
        <f t="shared" si="796"/>
        <v>2051</v>
      </c>
      <c r="C3374" s="33" t="s">
        <v>49</v>
      </c>
      <c r="D3374" s="34" t="s">
        <v>1999</v>
      </c>
      <c r="E3374" s="35" t="str">
        <f t="shared" si="798"/>
        <v>PDP'!</v>
      </c>
      <c r="F3374" s="34" t="str">
        <f t="shared" si="799"/>
        <v>C:\Users\jaime.benazar\Quorum Business Solutions\Ecopetrol Prometeo - Documents\Planning Space Implementation\3. Analysis &amp; Design\Design\FC22\DRR Jaime\QUIFA-CAJÚA\Cajua\[CAJUA_CF_SEC_New_27-Feb-2024Rev3.xlsx]D-PDP'!</v>
      </c>
      <c r="G3374" s="32" t="s">
        <v>111</v>
      </c>
      <c r="H3374" s="33">
        <f t="shared" si="800"/>
        <v>40</v>
      </c>
      <c r="I3374" s="33" t="str">
        <f t="shared" si="801"/>
        <v>='C:\Users\jaime.benazar\Quorum Business Solutions\Ecopetrol Prometeo - Documents\Planning Space Implementation\3. Analysis &amp; Design\Design\FC22\DRR Jaime\QUIFA-CAJÚA\Cajua\[CAJUA_CF_SEC_New_27-Feb-2024Rev3.xlsx]D-PDP'!$BE$40</v>
      </c>
      <c r="J3374" s="37" t="s">
        <v>3508</v>
      </c>
    </row>
    <row r="3375" spans="1:10" x14ac:dyDescent="0.25">
      <c r="A3375" s="32" t="s">
        <v>1</v>
      </c>
      <c r="B3375" s="32">
        <f t="shared" si="796"/>
        <v>2052</v>
      </c>
      <c r="C3375" s="33" t="s">
        <v>49</v>
      </c>
      <c r="D3375" s="34" t="s">
        <v>1999</v>
      </c>
      <c r="E3375" s="35" t="str">
        <f t="shared" si="798"/>
        <v>PDP'!</v>
      </c>
      <c r="F3375" s="34" t="str">
        <f t="shared" si="799"/>
        <v>C:\Users\jaime.benazar\Quorum Business Solutions\Ecopetrol Prometeo - Documents\Planning Space Implementation\3. Analysis &amp; Design\Design\FC22\DRR Jaime\QUIFA-CAJÚA\Cajua\[CAJUA_CF_SEC_New_27-Feb-2024Rev3.xlsx]D-PDP'!</v>
      </c>
      <c r="G3375" s="32" t="s">
        <v>111</v>
      </c>
      <c r="H3375" s="33">
        <f t="shared" si="800"/>
        <v>41</v>
      </c>
      <c r="I3375" s="33" t="str">
        <f t="shared" si="801"/>
        <v>='C:\Users\jaime.benazar\Quorum Business Solutions\Ecopetrol Prometeo - Documents\Planning Space Implementation\3. Analysis &amp; Design\Design\FC22\DRR Jaime\QUIFA-CAJÚA\Cajua\[CAJUA_CF_SEC_New_27-Feb-2024Rev3.xlsx]D-PDP'!$BE$41</v>
      </c>
      <c r="J3375" s="37" t="s">
        <v>3509</v>
      </c>
    </row>
    <row r="3376" spans="1:10" x14ac:dyDescent="0.25">
      <c r="A3376" s="32" t="s">
        <v>1</v>
      </c>
      <c r="B3376" s="32">
        <f t="shared" si="796"/>
        <v>2053</v>
      </c>
      <c r="C3376" s="33" t="s">
        <v>49</v>
      </c>
      <c r="D3376" s="34" t="s">
        <v>1999</v>
      </c>
      <c r="E3376" s="35" t="str">
        <f t="shared" si="798"/>
        <v>PDP'!</v>
      </c>
      <c r="F3376" s="34" t="str">
        <f t="shared" si="799"/>
        <v>C:\Users\jaime.benazar\Quorum Business Solutions\Ecopetrol Prometeo - Documents\Planning Space Implementation\3. Analysis &amp; Design\Design\FC22\DRR Jaime\QUIFA-CAJÚA\Cajua\[CAJUA_CF_SEC_New_27-Feb-2024Rev3.xlsx]D-PDP'!</v>
      </c>
      <c r="G3376" s="32" t="s">
        <v>111</v>
      </c>
      <c r="H3376" s="33">
        <f t="shared" si="800"/>
        <v>42</v>
      </c>
      <c r="I3376" s="33" t="str">
        <f t="shared" si="801"/>
        <v>='C:\Users\jaime.benazar\Quorum Business Solutions\Ecopetrol Prometeo - Documents\Planning Space Implementation\3. Analysis &amp; Design\Design\FC22\DRR Jaime\QUIFA-CAJÚA\Cajua\[CAJUA_CF_SEC_New_27-Feb-2024Rev3.xlsx]D-PDP'!$BE$42</v>
      </c>
      <c r="J3376" s="37" t="s">
        <v>3510</v>
      </c>
    </row>
    <row r="3377" spans="1:10" x14ac:dyDescent="0.25">
      <c r="A3377" s="32" t="s">
        <v>1</v>
      </c>
      <c r="B3377" s="32">
        <f t="shared" si="796"/>
        <v>2054</v>
      </c>
      <c r="C3377" s="33" t="s">
        <v>49</v>
      </c>
      <c r="D3377" s="34" t="s">
        <v>1999</v>
      </c>
      <c r="E3377" s="35" t="str">
        <f t="shared" si="798"/>
        <v>PDP'!</v>
      </c>
      <c r="F3377" s="34" t="str">
        <f t="shared" si="799"/>
        <v>C:\Users\jaime.benazar\Quorum Business Solutions\Ecopetrol Prometeo - Documents\Planning Space Implementation\3. Analysis &amp; Design\Design\FC22\DRR Jaime\QUIFA-CAJÚA\Cajua\[CAJUA_CF_SEC_New_27-Feb-2024Rev3.xlsx]D-PDP'!</v>
      </c>
      <c r="G3377" s="32" t="s">
        <v>111</v>
      </c>
      <c r="H3377" s="33">
        <f t="shared" si="800"/>
        <v>43</v>
      </c>
      <c r="I3377" s="33" t="str">
        <f t="shared" si="801"/>
        <v>='C:\Users\jaime.benazar\Quorum Business Solutions\Ecopetrol Prometeo - Documents\Planning Space Implementation\3. Analysis &amp; Design\Design\FC22\DRR Jaime\QUIFA-CAJÚA\Cajua\[CAJUA_CF_SEC_New_27-Feb-2024Rev3.xlsx]D-PDP'!$BE$43</v>
      </c>
      <c r="J3377" s="37" t="s">
        <v>3511</v>
      </c>
    </row>
    <row r="3378" spans="1:10" x14ac:dyDescent="0.25">
      <c r="A3378" s="32" t="s">
        <v>1</v>
      </c>
      <c r="B3378" s="32">
        <f t="shared" si="796"/>
        <v>2055</v>
      </c>
      <c r="C3378" s="33" t="s">
        <v>49</v>
      </c>
      <c r="D3378" s="34" t="s">
        <v>1999</v>
      </c>
      <c r="E3378" s="35" t="str">
        <f t="shared" si="798"/>
        <v>PDP'!</v>
      </c>
      <c r="F3378" s="34" t="str">
        <f t="shared" si="799"/>
        <v>C:\Users\jaime.benazar\Quorum Business Solutions\Ecopetrol Prometeo - Documents\Planning Space Implementation\3. Analysis &amp; Design\Design\FC22\DRR Jaime\QUIFA-CAJÚA\Cajua\[CAJUA_CF_SEC_New_27-Feb-2024Rev3.xlsx]D-PDP'!</v>
      </c>
      <c r="G3378" s="32" t="s">
        <v>111</v>
      </c>
      <c r="H3378" s="33">
        <f t="shared" si="800"/>
        <v>44</v>
      </c>
      <c r="I3378" s="33" t="str">
        <f t="shared" si="801"/>
        <v>='C:\Users\jaime.benazar\Quorum Business Solutions\Ecopetrol Prometeo - Documents\Planning Space Implementation\3. Analysis &amp; Design\Design\FC22\DRR Jaime\QUIFA-CAJÚA\Cajua\[CAJUA_CF_SEC_New_27-Feb-2024Rev3.xlsx]D-PDP'!$BE$44</v>
      </c>
      <c r="J3378" s="37" t="s">
        <v>3512</v>
      </c>
    </row>
    <row r="3379" spans="1:10" x14ac:dyDescent="0.25">
      <c r="A3379" s="32" t="s">
        <v>1</v>
      </c>
      <c r="B3379" s="32">
        <f t="shared" si="796"/>
        <v>2056</v>
      </c>
      <c r="C3379" s="33" t="s">
        <v>49</v>
      </c>
      <c r="D3379" s="34" t="s">
        <v>1999</v>
      </c>
      <c r="E3379" s="35" t="str">
        <f t="shared" si="798"/>
        <v>PDP'!</v>
      </c>
      <c r="F3379" s="34" t="str">
        <f t="shared" si="799"/>
        <v>C:\Users\jaime.benazar\Quorum Business Solutions\Ecopetrol Prometeo - Documents\Planning Space Implementation\3. Analysis &amp; Design\Design\FC22\DRR Jaime\QUIFA-CAJÚA\Cajua\[CAJUA_CF_SEC_New_27-Feb-2024Rev3.xlsx]D-PDP'!</v>
      </c>
      <c r="G3379" s="32" t="s">
        <v>111</v>
      </c>
      <c r="H3379" s="33">
        <f t="shared" si="800"/>
        <v>45</v>
      </c>
      <c r="I3379" s="33" t="str">
        <f t="shared" si="801"/>
        <v>='C:\Users\jaime.benazar\Quorum Business Solutions\Ecopetrol Prometeo - Documents\Planning Space Implementation\3. Analysis &amp; Design\Design\FC22\DRR Jaime\QUIFA-CAJÚA\Cajua\[CAJUA_CF_SEC_New_27-Feb-2024Rev3.xlsx]D-PDP'!$BE$45</v>
      </c>
      <c r="J3379" s="37" t="s">
        <v>3513</v>
      </c>
    </row>
    <row r="3380" spans="1:10" x14ac:dyDescent="0.25">
      <c r="A3380" s="32" t="s">
        <v>1</v>
      </c>
      <c r="B3380" s="32">
        <f t="shared" si="796"/>
        <v>2057</v>
      </c>
      <c r="C3380" s="33" t="s">
        <v>49</v>
      </c>
      <c r="D3380" s="34" t="s">
        <v>1999</v>
      </c>
      <c r="E3380" s="35" t="str">
        <f t="shared" si="798"/>
        <v>PDP'!</v>
      </c>
      <c r="F3380" s="34" t="str">
        <f t="shared" si="799"/>
        <v>C:\Users\jaime.benazar\Quorum Business Solutions\Ecopetrol Prometeo - Documents\Planning Space Implementation\3. Analysis &amp; Design\Design\FC22\DRR Jaime\QUIFA-CAJÚA\Cajua\[CAJUA_CF_SEC_New_27-Feb-2024Rev3.xlsx]D-PDP'!</v>
      </c>
      <c r="G3380" s="32" t="s">
        <v>111</v>
      </c>
      <c r="H3380" s="33">
        <f t="shared" si="800"/>
        <v>46</v>
      </c>
      <c r="I3380" s="33" t="str">
        <f t="shared" si="801"/>
        <v>='C:\Users\jaime.benazar\Quorum Business Solutions\Ecopetrol Prometeo - Documents\Planning Space Implementation\3. Analysis &amp; Design\Design\FC22\DRR Jaime\QUIFA-CAJÚA\Cajua\[CAJUA_CF_SEC_New_27-Feb-2024Rev3.xlsx]D-PDP'!$BE$46</v>
      </c>
      <c r="J3380" s="37" t="s">
        <v>3514</v>
      </c>
    </row>
    <row r="3381" spans="1:10" x14ac:dyDescent="0.25">
      <c r="A3381" s="32" t="s">
        <v>1</v>
      </c>
      <c r="B3381" s="32">
        <f t="shared" si="796"/>
        <v>2058</v>
      </c>
      <c r="C3381" s="33" t="s">
        <v>49</v>
      </c>
      <c r="D3381" s="34" t="s">
        <v>1999</v>
      </c>
      <c r="E3381" s="35" t="str">
        <f t="shared" si="798"/>
        <v>PDP'!</v>
      </c>
      <c r="F3381" s="34" t="str">
        <f t="shared" si="799"/>
        <v>C:\Users\jaime.benazar\Quorum Business Solutions\Ecopetrol Prometeo - Documents\Planning Space Implementation\3. Analysis &amp; Design\Design\FC22\DRR Jaime\QUIFA-CAJÚA\Cajua\[CAJUA_CF_SEC_New_27-Feb-2024Rev3.xlsx]D-PDP'!</v>
      </c>
      <c r="G3381" s="32" t="s">
        <v>111</v>
      </c>
      <c r="H3381" s="33">
        <f t="shared" si="800"/>
        <v>47</v>
      </c>
      <c r="I3381" s="33" t="str">
        <f t="shared" si="801"/>
        <v>='C:\Users\jaime.benazar\Quorum Business Solutions\Ecopetrol Prometeo - Documents\Planning Space Implementation\3. Analysis &amp; Design\Design\FC22\DRR Jaime\QUIFA-CAJÚA\Cajua\[CAJUA_CF_SEC_New_27-Feb-2024Rev3.xlsx]D-PDP'!$BE$47</v>
      </c>
      <c r="J3381" s="37" t="s">
        <v>3515</v>
      </c>
    </row>
    <row r="3382" spans="1:10" x14ac:dyDescent="0.25">
      <c r="A3382" s="32" t="s">
        <v>1</v>
      </c>
      <c r="B3382" s="32">
        <f t="shared" si="796"/>
        <v>2059</v>
      </c>
      <c r="C3382" s="33" t="s">
        <v>49</v>
      </c>
      <c r="D3382" s="34" t="s">
        <v>1999</v>
      </c>
      <c r="E3382" s="35" t="str">
        <f t="shared" si="798"/>
        <v>PDP'!</v>
      </c>
      <c r="F3382" s="34" t="str">
        <f t="shared" si="799"/>
        <v>C:\Users\jaime.benazar\Quorum Business Solutions\Ecopetrol Prometeo - Documents\Planning Space Implementation\3. Analysis &amp; Design\Design\FC22\DRR Jaime\QUIFA-CAJÚA\Cajua\[CAJUA_CF_SEC_New_27-Feb-2024Rev3.xlsx]D-PDP'!</v>
      </c>
      <c r="G3382" s="32" t="s">
        <v>111</v>
      </c>
      <c r="H3382" s="33">
        <f t="shared" si="800"/>
        <v>48</v>
      </c>
      <c r="I3382" s="33" t="str">
        <f t="shared" si="801"/>
        <v>='C:\Users\jaime.benazar\Quorum Business Solutions\Ecopetrol Prometeo - Documents\Planning Space Implementation\3. Analysis &amp; Design\Design\FC22\DRR Jaime\QUIFA-CAJÚA\Cajua\[CAJUA_CF_SEC_New_27-Feb-2024Rev3.xlsx]D-PDP'!$BE$48</v>
      </c>
      <c r="J3382" s="37" t="s">
        <v>3516</v>
      </c>
    </row>
    <row r="3383" spans="1:10" x14ac:dyDescent="0.25">
      <c r="A3383" s="32" t="s">
        <v>28</v>
      </c>
      <c r="B3383" s="32"/>
      <c r="C3383" s="33" t="s">
        <v>49</v>
      </c>
      <c r="D3383" s="34"/>
      <c r="E3383" s="35" t="str">
        <f t="shared" si="794"/>
        <v>Total'!</v>
      </c>
      <c r="F3383" s="34"/>
      <c r="G3383" s="32"/>
      <c r="H3383" s="33"/>
      <c r="I3383" s="33"/>
      <c r="J3383" s="33"/>
    </row>
    <row r="3384" spans="1:10" x14ac:dyDescent="0.25">
      <c r="A3384" s="32" t="s">
        <v>2</v>
      </c>
      <c r="B3384" s="32">
        <v>2023</v>
      </c>
      <c r="C3384" s="33" t="s">
        <v>49</v>
      </c>
      <c r="D3384" s="34" t="s">
        <v>1999</v>
      </c>
      <c r="E3384" s="35" t="str">
        <f t="shared" si="794"/>
        <v>PNP'!</v>
      </c>
      <c r="F3384" s="34" t="str">
        <f t="shared" ref="F3384:F3404" si="802">_xlfn.CONCAT(D3384:E3384)</f>
        <v>C:\Users\jaime.benazar\Quorum Business Solutions\Ecopetrol Prometeo - Documents\Planning Space Implementation\3. Analysis &amp; Design\Design\FC22\DRR Jaime\QUIFA-CAJÚA\Cajua\[CAJUA_CF_SEC_New_27-Feb-2024Rev3.xlsx]D-PNP'!</v>
      </c>
      <c r="G3384" s="32" t="s">
        <v>111</v>
      </c>
      <c r="H3384" s="33">
        <f>IF(A3384&lt;&gt;A3368,12,H3368+1)</f>
        <v>12</v>
      </c>
      <c r="I3384" s="33" t="str">
        <f t="shared" ref="I3384:I3404" si="803">_xlfn.CONCAT("='",F3384:H3384)</f>
        <v>='C:\Users\jaime.benazar\Quorum Business Solutions\Ecopetrol Prometeo - Documents\Planning Space Implementation\3. Analysis &amp; Design\Design\FC22\DRR Jaime\QUIFA-CAJÚA\Cajua\[CAJUA_CF_SEC_New_27-Feb-2024Rev3.xlsx]D-PNP'!$BE$12</v>
      </c>
      <c r="J3384" s="37" t="s">
        <v>3517</v>
      </c>
    </row>
    <row r="3385" spans="1:10" x14ac:dyDescent="0.25">
      <c r="A3385" s="32" t="s">
        <v>2</v>
      </c>
      <c r="B3385" s="32">
        <f>+B3384+1</f>
        <v>2024</v>
      </c>
      <c r="C3385" s="33" t="s">
        <v>49</v>
      </c>
      <c r="D3385" s="34" t="s">
        <v>1999</v>
      </c>
      <c r="E3385" s="35" t="str">
        <f t="shared" si="794"/>
        <v>PNP'!</v>
      </c>
      <c r="F3385" s="34" t="str">
        <f t="shared" si="802"/>
        <v>C:\Users\jaime.benazar\Quorum Business Solutions\Ecopetrol Prometeo - Documents\Planning Space Implementation\3. Analysis &amp; Design\Design\FC22\DRR Jaime\QUIFA-CAJÚA\Cajua\[CAJUA_CF_SEC_New_27-Feb-2024Rev3.xlsx]D-PNP'!</v>
      </c>
      <c r="G3385" s="32" t="s">
        <v>111</v>
      </c>
      <c r="H3385" s="33">
        <f t="shared" ref="H3385:H3404" si="804">IF(A3385&lt;&gt;A3384,36,H3384+1)</f>
        <v>13</v>
      </c>
      <c r="I3385" s="33" t="str">
        <f t="shared" si="803"/>
        <v>='C:\Users\jaime.benazar\Quorum Business Solutions\Ecopetrol Prometeo - Documents\Planning Space Implementation\3. Analysis &amp; Design\Design\FC22\DRR Jaime\QUIFA-CAJÚA\Cajua\[CAJUA_CF_SEC_New_27-Feb-2024Rev3.xlsx]D-PNP'!$BE$13</v>
      </c>
      <c r="J3385" s="37" t="s">
        <v>3518</v>
      </c>
    </row>
    <row r="3386" spans="1:10" x14ac:dyDescent="0.25">
      <c r="A3386" s="32" t="s">
        <v>2</v>
      </c>
      <c r="B3386" s="32">
        <f t="shared" ref="B3386:B3397" si="805">+B3385+1</f>
        <v>2025</v>
      </c>
      <c r="C3386" s="33" t="s">
        <v>49</v>
      </c>
      <c r="D3386" s="34" t="s">
        <v>1999</v>
      </c>
      <c r="E3386" s="35" t="str">
        <f t="shared" si="794"/>
        <v>PNP'!</v>
      </c>
      <c r="F3386" s="34" t="str">
        <f t="shared" si="802"/>
        <v>C:\Users\jaime.benazar\Quorum Business Solutions\Ecopetrol Prometeo - Documents\Planning Space Implementation\3. Analysis &amp; Design\Design\FC22\DRR Jaime\QUIFA-CAJÚA\Cajua\[CAJUA_CF_SEC_New_27-Feb-2024Rev3.xlsx]D-PNP'!</v>
      </c>
      <c r="G3386" s="32" t="s">
        <v>111</v>
      </c>
      <c r="H3386" s="33">
        <f t="shared" si="804"/>
        <v>14</v>
      </c>
      <c r="I3386" s="33" t="str">
        <f t="shared" si="803"/>
        <v>='C:\Users\jaime.benazar\Quorum Business Solutions\Ecopetrol Prometeo - Documents\Planning Space Implementation\3. Analysis &amp; Design\Design\FC22\DRR Jaime\QUIFA-CAJÚA\Cajua\[CAJUA_CF_SEC_New_27-Feb-2024Rev3.xlsx]D-PNP'!$BE$14</v>
      </c>
      <c r="J3386" s="37" t="s">
        <v>3519</v>
      </c>
    </row>
    <row r="3387" spans="1:10" x14ac:dyDescent="0.25">
      <c r="A3387" s="32" t="s">
        <v>2</v>
      </c>
      <c r="B3387" s="32">
        <f t="shared" si="805"/>
        <v>2026</v>
      </c>
      <c r="C3387" s="33" t="s">
        <v>49</v>
      </c>
      <c r="D3387" s="34" t="s">
        <v>1999</v>
      </c>
      <c r="E3387" s="35" t="str">
        <f t="shared" si="794"/>
        <v>PNP'!</v>
      </c>
      <c r="F3387" s="34" t="str">
        <f t="shared" si="802"/>
        <v>C:\Users\jaime.benazar\Quorum Business Solutions\Ecopetrol Prometeo - Documents\Planning Space Implementation\3. Analysis &amp; Design\Design\FC22\DRR Jaime\QUIFA-CAJÚA\Cajua\[CAJUA_CF_SEC_New_27-Feb-2024Rev3.xlsx]D-PNP'!</v>
      </c>
      <c r="G3387" s="32" t="s">
        <v>111</v>
      </c>
      <c r="H3387" s="33">
        <f t="shared" si="804"/>
        <v>15</v>
      </c>
      <c r="I3387" s="33" t="str">
        <f t="shared" si="803"/>
        <v>='C:\Users\jaime.benazar\Quorum Business Solutions\Ecopetrol Prometeo - Documents\Planning Space Implementation\3. Analysis &amp; Design\Design\FC22\DRR Jaime\QUIFA-CAJÚA\Cajua\[CAJUA_CF_SEC_New_27-Feb-2024Rev3.xlsx]D-PNP'!$BE$15</v>
      </c>
      <c r="J3387" s="37" t="s">
        <v>3520</v>
      </c>
    </row>
    <row r="3388" spans="1:10" x14ac:dyDescent="0.25">
      <c r="A3388" s="32" t="s">
        <v>2</v>
      </c>
      <c r="B3388" s="32">
        <f t="shared" si="805"/>
        <v>2027</v>
      </c>
      <c r="C3388" s="33" t="s">
        <v>49</v>
      </c>
      <c r="D3388" s="34" t="s">
        <v>1999</v>
      </c>
      <c r="E3388" s="35" t="str">
        <f t="shared" si="794"/>
        <v>PNP'!</v>
      </c>
      <c r="F3388" s="34" t="str">
        <f t="shared" si="802"/>
        <v>C:\Users\jaime.benazar\Quorum Business Solutions\Ecopetrol Prometeo - Documents\Planning Space Implementation\3. Analysis &amp; Design\Design\FC22\DRR Jaime\QUIFA-CAJÚA\Cajua\[CAJUA_CF_SEC_New_27-Feb-2024Rev3.xlsx]D-PNP'!</v>
      </c>
      <c r="G3388" s="32" t="s">
        <v>111</v>
      </c>
      <c r="H3388" s="33">
        <f t="shared" si="804"/>
        <v>16</v>
      </c>
      <c r="I3388" s="33" t="str">
        <f t="shared" si="803"/>
        <v>='C:\Users\jaime.benazar\Quorum Business Solutions\Ecopetrol Prometeo - Documents\Planning Space Implementation\3. Analysis &amp; Design\Design\FC22\DRR Jaime\QUIFA-CAJÚA\Cajua\[CAJUA_CF_SEC_New_27-Feb-2024Rev3.xlsx]D-PNP'!$BE$16</v>
      </c>
      <c r="J3388" s="37" t="s">
        <v>3521</v>
      </c>
    </row>
    <row r="3389" spans="1:10" x14ac:dyDescent="0.25">
      <c r="A3389" s="32" t="s">
        <v>2</v>
      </c>
      <c r="B3389" s="32">
        <f t="shared" si="805"/>
        <v>2028</v>
      </c>
      <c r="C3389" s="33" t="s">
        <v>49</v>
      </c>
      <c r="D3389" s="34" t="s">
        <v>1999</v>
      </c>
      <c r="E3389" s="35" t="str">
        <f t="shared" si="794"/>
        <v>PNP'!</v>
      </c>
      <c r="F3389" s="34" t="str">
        <f t="shared" si="802"/>
        <v>C:\Users\jaime.benazar\Quorum Business Solutions\Ecopetrol Prometeo - Documents\Planning Space Implementation\3. Analysis &amp; Design\Design\FC22\DRR Jaime\QUIFA-CAJÚA\Cajua\[CAJUA_CF_SEC_New_27-Feb-2024Rev3.xlsx]D-PNP'!</v>
      </c>
      <c r="G3389" s="32" t="s">
        <v>111</v>
      </c>
      <c r="H3389" s="33">
        <f t="shared" si="804"/>
        <v>17</v>
      </c>
      <c r="I3389" s="33" t="str">
        <f t="shared" si="803"/>
        <v>='C:\Users\jaime.benazar\Quorum Business Solutions\Ecopetrol Prometeo - Documents\Planning Space Implementation\3. Analysis &amp; Design\Design\FC22\DRR Jaime\QUIFA-CAJÚA\Cajua\[CAJUA_CF_SEC_New_27-Feb-2024Rev3.xlsx]D-PNP'!$BE$17</v>
      </c>
      <c r="J3389" s="37" t="s">
        <v>3522</v>
      </c>
    </row>
    <row r="3390" spans="1:10" x14ac:dyDescent="0.25">
      <c r="A3390" s="32" t="s">
        <v>2</v>
      </c>
      <c r="B3390" s="32">
        <f t="shared" si="805"/>
        <v>2029</v>
      </c>
      <c r="C3390" s="33" t="s">
        <v>49</v>
      </c>
      <c r="D3390" s="34" t="s">
        <v>1999</v>
      </c>
      <c r="E3390" s="35" t="str">
        <f t="shared" si="794"/>
        <v>PNP'!</v>
      </c>
      <c r="F3390" s="34" t="str">
        <f t="shared" si="802"/>
        <v>C:\Users\jaime.benazar\Quorum Business Solutions\Ecopetrol Prometeo - Documents\Planning Space Implementation\3. Analysis &amp; Design\Design\FC22\DRR Jaime\QUIFA-CAJÚA\Cajua\[CAJUA_CF_SEC_New_27-Feb-2024Rev3.xlsx]D-PNP'!</v>
      </c>
      <c r="G3390" s="32" t="s">
        <v>111</v>
      </c>
      <c r="H3390" s="33">
        <f t="shared" si="804"/>
        <v>18</v>
      </c>
      <c r="I3390" s="33" t="str">
        <f t="shared" si="803"/>
        <v>='C:\Users\jaime.benazar\Quorum Business Solutions\Ecopetrol Prometeo - Documents\Planning Space Implementation\3. Analysis &amp; Design\Design\FC22\DRR Jaime\QUIFA-CAJÚA\Cajua\[CAJUA_CF_SEC_New_27-Feb-2024Rev3.xlsx]D-PNP'!$BE$18</v>
      </c>
      <c r="J3390" s="37" t="s">
        <v>3523</v>
      </c>
    </row>
    <row r="3391" spans="1:10" x14ac:dyDescent="0.25">
      <c r="A3391" s="32" t="s">
        <v>2</v>
      </c>
      <c r="B3391" s="32">
        <f t="shared" si="805"/>
        <v>2030</v>
      </c>
      <c r="C3391" s="33" t="s">
        <v>49</v>
      </c>
      <c r="D3391" s="34" t="s">
        <v>1999</v>
      </c>
      <c r="E3391" s="35" t="str">
        <f t="shared" si="794"/>
        <v>PNP'!</v>
      </c>
      <c r="F3391" s="34" t="str">
        <f t="shared" si="802"/>
        <v>C:\Users\jaime.benazar\Quorum Business Solutions\Ecopetrol Prometeo - Documents\Planning Space Implementation\3. Analysis &amp; Design\Design\FC22\DRR Jaime\QUIFA-CAJÚA\Cajua\[CAJUA_CF_SEC_New_27-Feb-2024Rev3.xlsx]D-PNP'!</v>
      </c>
      <c r="G3391" s="32" t="s">
        <v>111</v>
      </c>
      <c r="H3391" s="33">
        <f t="shared" si="804"/>
        <v>19</v>
      </c>
      <c r="I3391" s="33" t="str">
        <f t="shared" si="803"/>
        <v>='C:\Users\jaime.benazar\Quorum Business Solutions\Ecopetrol Prometeo - Documents\Planning Space Implementation\3. Analysis &amp; Design\Design\FC22\DRR Jaime\QUIFA-CAJÚA\Cajua\[CAJUA_CF_SEC_New_27-Feb-2024Rev3.xlsx]D-PNP'!$BE$19</v>
      </c>
      <c r="J3391" s="37" t="s">
        <v>3524</v>
      </c>
    </row>
    <row r="3392" spans="1:10" x14ac:dyDescent="0.25">
      <c r="A3392" s="32" t="s">
        <v>2</v>
      </c>
      <c r="B3392" s="32">
        <f t="shared" si="805"/>
        <v>2031</v>
      </c>
      <c r="C3392" s="33" t="s">
        <v>49</v>
      </c>
      <c r="D3392" s="34" t="s">
        <v>1999</v>
      </c>
      <c r="E3392" s="35" t="str">
        <f t="shared" si="794"/>
        <v>PNP'!</v>
      </c>
      <c r="F3392" s="34" t="str">
        <f t="shared" si="802"/>
        <v>C:\Users\jaime.benazar\Quorum Business Solutions\Ecopetrol Prometeo - Documents\Planning Space Implementation\3. Analysis &amp; Design\Design\FC22\DRR Jaime\QUIFA-CAJÚA\Cajua\[CAJUA_CF_SEC_New_27-Feb-2024Rev3.xlsx]D-PNP'!</v>
      </c>
      <c r="G3392" s="32" t="s">
        <v>111</v>
      </c>
      <c r="H3392" s="33">
        <f t="shared" si="804"/>
        <v>20</v>
      </c>
      <c r="I3392" s="33" t="str">
        <f t="shared" si="803"/>
        <v>='C:\Users\jaime.benazar\Quorum Business Solutions\Ecopetrol Prometeo - Documents\Planning Space Implementation\3. Analysis &amp; Design\Design\FC22\DRR Jaime\QUIFA-CAJÚA\Cajua\[CAJUA_CF_SEC_New_27-Feb-2024Rev3.xlsx]D-PNP'!$BE$20</v>
      </c>
      <c r="J3392" s="37" t="s">
        <v>3525</v>
      </c>
    </row>
    <row r="3393" spans="1:10" x14ac:dyDescent="0.25">
      <c r="A3393" s="32" t="s">
        <v>2</v>
      </c>
      <c r="B3393" s="32">
        <f t="shared" si="805"/>
        <v>2032</v>
      </c>
      <c r="C3393" s="33" t="s">
        <v>49</v>
      </c>
      <c r="D3393" s="34" t="s">
        <v>1999</v>
      </c>
      <c r="E3393" s="35" t="str">
        <f t="shared" si="794"/>
        <v>PNP'!</v>
      </c>
      <c r="F3393" s="34" t="str">
        <f t="shared" si="802"/>
        <v>C:\Users\jaime.benazar\Quorum Business Solutions\Ecopetrol Prometeo - Documents\Planning Space Implementation\3. Analysis &amp; Design\Design\FC22\DRR Jaime\QUIFA-CAJÚA\Cajua\[CAJUA_CF_SEC_New_27-Feb-2024Rev3.xlsx]D-PNP'!</v>
      </c>
      <c r="G3393" s="32" t="s">
        <v>111</v>
      </c>
      <c r="H3393" s="33">
        <f t="shared" si="804"/>
        <v>21</v>
      </c>
      <c r="I3393" s="33" t="str">
        <f t="shared" si="803"/>
        <v>='C:\Users\jaime.benazar\Quorum Business Solutions\Ecopetrol Prometeo - Documents\Planning Space Implementation\3. Analysis &amp; Design\Design\FC22\DRR Jaime\QUIFA-CAJÚA\Cajua\[CAJUA_CF_SEC_New_27-Feb-2024Rev3.xlsx]D-PNP'!$BE$21</v>
      </c>
      <c r="J3393" s="37" t="s">
        <v>3526</v>
      </c>
    </row>
    <row r="3394" spans="1:10" x14ac:dyDescent="0.25">
      <c r="A3394" s="32" t="s">
        <v>2</v>
      </c>
      <c r="B3394" s="32">
        <f t="shared" si="805"/>
        <v>2033</v>
      </c>
      <c r="C3394" s="33" t="s">
        <v>49</v>
      </c>
      <c r="D3394" s="34" t="s">
        <v>1999</v>
      </c>
      <c r="E3394" s="35" t="str">
        <f t="shared" si="794"/>
        <v>PNP'!</v>
      </c>
      <c r="F3394" s="34" t="str">
        <f t="shared" si="802"/>
        <v>C:\Users\jaime.benazar\Quorum Business Solutions\Ecopetrol Prometeo - Documents\Planning Space Implementation\3. Analysis &amp; Design\Design\FC22\DRR Jaime\QUIFA-CAJÚA\Cajua\[CAJUA_CF_SEC_New_27-Feb-2024Rev3.xlsx]D-PNP'!</v>
      </c>
      <c r="G3394" s="32" t="s">
        <v>111</v>
      </c>
      <c r="H3394" s="33">
        <f t="shared" si="804"/>
        <v>22</v>
      </c>
      <c r="I3394" s="33" t="str">
        <f t="shared" si="803"/>
        <v>='C:\Users\jaime.benazar\Quorum Business Solutions\Ecopetrol Prometeo - Documents\Planning Space Implementation\3. Analysis &amp; Design\Design\FC22\DRR Jaime\QUIFA-CAJÚA\Cajua\[CAJUA_CF_SEC_New_27-Feb-2024Rev3.xlsx]D-PNP'!$BE$22</v>
      </c>
      <c r="J3394" s="37" t="s">
        <v>3527</v>
      </c>
    </row>
    <row r="3395" spans="1:10" x14ac:dyDescent="0.25">
      <c r="A3395" s="32" t="s">
        <v>2</v>
      </c>
      <c r="B3395" s="32">
        <f t="shared" si="805"/>
        <v>2034</v>
      </c>
      <c r="C3395" s="33" t="s">
        <v>49</v>
      </c>
      <c r="D3395" s="34" t="s">
        <v>1999</v>
      </c>
      <c r="E3395" s="35" t="str">
        <f t="shared" si="794"/>
        <v>PNP'!</v>
      </c>
      <c r="F3395" s="34" t="str">
        <f t="shared" si="802"/>
        <v>C:\Users\jaime.benazar\Quorum Business Solutions\Ecopetrol Prometeo - Documents\Planning Space Implementation\3. Analysis &amp; Design\Design\FC22\DRR Jaime\QUIFA-CAJÚA\Cajua\[CAJUA_CF_SEC_New_27-Feb-2024Rev3.xlsx]D-PNP'!</v>
      </c>
      <c r="G3395" s="32" t="s">
        <v>111</v>
      </c>
      <c r="H3395" s="33">
        <f t="shared" si="804"/>
        <v>23</v>
      </c>
      <c r="I3395" s="33" t="str">
        <f t="shared" si="803"/>
        <v>='C:\Users\jaime.benazar\Quorum Business Solutions\Ecopetrol Prometeo - Documents\Planning Space Implementation\3. Analysis &amp; Design\Design\FC22\DRR Jaime\QUIFA-CAJÚA\Cajua\[CAJUA_CF_SEC_New_27-Feb-2024Rev3.xlsx]D-PNP'!$BE$23</v>
      </c>
      <c r="J3395" s="37" t="s">
        <v>3528</v>
      </c>
    </row>
    <row r="3396" spans="1:10" x14ac:dyDescent="0.25">
      <c r="A3396" s="32" t="s">
        <v>2</v>
      </c>
      <c r="B3396" s="32">
        <f t="shared" si="805"/>
        <v>2035</v>
      </c>
      <c r="C3396" s="33" t="s">
        <v>49</v>
      </c>
      <c r="D3396" s="34" t="s">
        <v>1999</v>
      </c>
      <c r="E3396" s="35" t="str">
        <f t="shared" si="794"/>
        <v>PNP'!</v>
      </c>
      <c r="F3396" s="34" t="str">
        <f t="shared" si="802"/>
        <v>C:\Users\jaime.benazar\Quorum Business Solutions\Ecopetrol Prometeo - Documents\Planning Space Implementation\3. Analysis &amp; Design\Design\FC22\DRR Jaime\QUIFA-CAJÚA\Cajua\[CAJUA_CF_SEC_New_27-Feb-2024Rev3.xlsx]D-PNP'!</v>
      </c>
      <c r="G3396" s="32" t="s">
        <v>111</v>
      </c>
      <c r="H3396" s="33">
        <f t="shared" si="804"/>
        <v>24</v>
      </c>
      <c r="I3396" s="33" t="str">
        <f t="shared" si="803"/>
        <v>='C:\Users\jaime.benazar\Quorum Business Solutions\Ecopetrol Prometeo - Documents\Planning Space Implementation\3. Analysis &amp; Design\Design\FC22\DRR Jaime\QUIFA-CAJÚA\Cajua\[CAJUA_CF_SEC_New_27-Feb-2024Rev3.xlsx]D-PNP'!$BE$24</v>
      </c>
      <c r="J3396" s="37" t="s">
        <v>3529</v>
      </c>
    </row>
    <row r="3397" spans="1:10" x14ac:dyDescent="0.25">
      <c r="A3397" s="32" t="s">
        <v>2</v>
      </c>
      <c r="B3397" s="32">
        <f t="shared" si="805"/>
        <v>2036</v>
      </c>
      <c r="C3397" s="33" t="s">
        <v>49</v>
      </c>
      <c r="D3397" s="34" t="s">
        <v>1999</v>
      </c>
      <c r="E3397" s="35" t="str">
        <f t="shared" si="794"/>
        <v>PNP'!</v>
      </c>
      <c r="F3397" s="34" t="str">
        <f t="shared" si="802"/>
        <v>C:\Users\jaime.benazar\Quorum Business Solutions\Ecopetrol Prometeo - Documents\Planning Space Implementation\3. Analysis &amp; Design\Design\FC22\DRR Jaime\QUIFA-CAJÚA\Cajua\[CAJUA_CF_SEC_New_27-Feb-2024Rev3.xlsx]D-PNP'!</v>
      </c>
      <c r="G3397" s="32" t="s">
        <v>111</v>
      </c>
      <c r="H3397" s="33">
        <f t="shared" si="804"/>
        <v>25</v>
      </c>
      <c r="I3397" s="33" t="str">
        <f t="shared" si="803"/>
        <v>='C:\Users\jaime.benazar\Quorum Business Solutions\Ecopetrol Prometeo - Documents\Planning Space Implementation\3. Analysis &amp; Design\Design\FC22\DRR Jaime\QUIFA-CAJÚA\Cajua\[CAJUA_CF_SEC_New_27-Feb-2024Rev3.xlsx]D-PNP'!$BE$25</v>
      </c>
      <c r="J3397" s="37" t="s">
        <v>3530</v>
      </c>
    </row>
    <row r="3398" spans="1:10" x14ac:dyDescent="0.25">
      <c r="A3398" s="32" t="s">
        <v>2</v>
      </c>
      <c r="B3398" s="32">
        <f>+B3397+1</f>
        <v>2037</v>
      </c>
      <c r="C3398" s="33" t="s">
        <v>49</v>
      </c>
      <c r="D3398" s="34" t="s">
        <v>1999</v>
      </c>
      <c r="E3398" s="35" t="str">
        <f t="shared" si="794"/>
        <v>PNP'!</v>
      </c>
      <c r="F3398" s="34" t="str">
        <f t="shared" si="802"/>
        <v>C:\Users\jaime.benazar\Quorum Business Solutions\Ecopetrol Prometeo - Documents\Planning Space Implementation\3. Analysis &amp; Design\Design\FC22\DRR Jaime\QUIFA-CAJÚA\Cajua\[CAJUA_CF_SEC_New_27-Feb-2024Rev3.xlsx]D-PNP'!</v>
      </c>
      <c r="G3398" s="32" t="s">
        <v>111</v>
      </c>
      <c r="H3398" s="33">
        <f t="shared" si="804"/>
        <v>26</v>
      </c>
      <c r="I3398" s="33" t="str">
        <f t="shared" si="803"/>
        <v>='C:\Users\jaime.benazar\Quorum Business Solutions\Ecopetrol Prometeo - Documents\Planning Space Implementation\3. Analysis &amp; Design\Design\FC22\DRR Jaime\QUIFA-CAJÚA\Cajua\[CAJUA_CF_SEC_New_27-Feb-2024Rev3.xlsx]D-PNP'!$BE$26</v>
      </c>
      <c r="J3398" s="37" t="s">
        <v>3531</v>
      </c>
    </row>
    <row r="3399" spans="1:10" x14ac:dyDescent="0.25">
      <c r="A3399" s="32" t="s">
        <v>2</v>
      </c>
      <c r="B3399" s="32">
        <f t="shared" ref="B3399:B3401" si="806">+B3398+1</f>
        <v>2038</v>
      </c>
      <c r="C3399" s="33" t="s">
        <v>49</v>
      </c>
      <c r="D3399" s="34" t="s">
        <v>1999</v>
      </c>
      <c r="E3399" s="35" t="str">
        <f t="shared" si="794"/>
        <v>PNP'!</v>
      </c>
      <c r="F3399" s="34" t="str">
        <f t="shared" si="802"/>
        <v>C:\Users\jaime.benazar\Quorum Business Solutions\Ecopetrol Prometeo - Documents\Planning Space Implementation\3. Analysis &amp; Design\Design\FC22\DRR Jaime\QUIFA-CAJÚA\Cajua\[CAJUA_CF_SEC_New_27-Feb-2024Rev3.xlsx]D-PNP'!</v>
      </c>
      <c r="G3399" s="32" t="s">
        <v>111</v>
      </c>
      <c r="H3399" s="33">
        <f t="shared" si="804"/>
        <v>27</v>
      </c>
      <c r="I3399" s="33" t="str">
        <f t="shared" si="803"/>
        <v>='C:\Users\jaime.benazar\Quorum Business Solutions\Ecopetrol Prometeo - Documents\Planning Space Implementation\3. Analysis &amp; Design\Design\FC22\DRR Jaime\QUIFA-CAJÚA\Cajua\[CAJUA_CF_SEC_New_27-Feb-2024Rev3.xlsx]D-PNP'!$BE$27</v>
      </c>
      <c r="J3399" s="37" t="s">
        <v>3532</v>
      </c>
    </row>
    <row r="3400" spans="1:10" x14ac:dyDescent="0.25">
      <c r="A3400" s="32" t="s">
        <v>2</v>
      </c>
      <c r="B3400" s="32">
        <f t="shared" si="806"/>
        <v>2039</v>
      </c>
      <c r="C3400" s="33" t="s">
        <v>49</v>
      </c>
      <c r="D3400" s="34" t="s">
        <v>1999</v>
      </c>
      <c r="E3400" s="35" t="str">
        <f t="shared" si="794"/>
        <v>PNP'!</v>
      </c>
      <c r="F3400" s="34" t="str">
        <f t="shared" si="802"/>
        <v>C:\Users\jaime.benazar\Quorum Business Solutions\Ecopetrol Prometeo - Documents\Planning Space Implementation\3. Analysis &amp; Design\Design\FC22\DRR Jaime\QUIFA-CAJÚA\Cajua\[CAJUA_CF_SEC_New_27-Feb-2024Rev3.xlsx]D-PNP'!</v>
      </c>
      <c r="G3400" s="32" t="s">
        <v>111</v>
      </c>
      <c r="H3400" s="33">
        <f t="shared" si="804"/>
        <v>28</v>
      </c>
      <c r="I3400" s="33" t="str">
        <f t="shared" si="803"/>
        <v>='C:\Users\jaime.benazar\Quorum Business Solutions\Ecopetrol Prometeo - Documents\Planning Space Implementation\3. Analysis &amp; Design\Design\FC22\DRR Jaime\QUIFA-CAJÚA\Cajua\[CAJUA_CF_SEC_New_27-Feb-2024Rev3.xlsx]D-PNP'!$BE$28</v>
      </c>
      <c r="J3400" s="37" t="s">
        <v>3533</v>
      </c>
    </row>
    <row r="3401" spans="1:10" x14ac:dyDescent="0.25">
      <c r="A3401" s="32" t="s">
        <v>2</v>
      </c>
      <c r="B3401" s="32">
        <f t="shared" si="806"/>
        <v>2040</v>
      </c>
      <c r="C3401" s="33" t="s">
        <v>49</v>
      </c>
      <c r="D3401" s="34" t="s">
        <v>1999</v>
      </c>
      <c r="E3401" s="35" t="str">
        <f t="shared" si="794"/>
        <v>PNP'!</v>
      </c>
      <c r="F3401" s="34" t="str">
        <f t="shared" si="802"/>
        <v>C:\Users\jaime.benazar\Quorum Business Solutions\Ecopetrol Prometeo - Documents\Planning Space Implementation\3. Analysis &amp; Design\Design\FC22\DRR Jaime\QUIFA-CAJÚA\Cajua\[CAJUA_CF_SEC_New_27-Feb-2024Rev3.xlsx]D-PNP'!</v>
      </c>
      <c r="G3401" s="32" t="s">
        <v>111</v>
      </c>
      <c r="H3401" s="33">
        <f t="shared" si="804"/>
        <v>29</v>
      </c>
      <c r="I3401" s="33" t="str">
        <f t="shared" si="803"/>
        <v>='C:\Users\jaime.benazar\Quorum Business Solutions\Ecopetrol Prometeo - Documents\Planning Space Implementation\3. Analysis &amp; Design\Design\FC22\DRR Jaime\QUIFA-CAJÚA\Cajua\[CAJUA_CF_SEC_New_27-Feb-2024Rev3.xlsx]D-PNP'!$BE$29</v>
      </c>
      <c r="J3401" s="37" t="s">
        <v>3534</v>
      </c>
    </row>
    <row r="3402" spans="1:10" x14ac:dyDescent="0.25">
      <c r="A3402" s="32" t="s">
        <v>2</v>
      </c>
      <c r="B3402" s="32">
        <f>+B3401+1</f>
        <v>2041</v>
      </c>
      <c r="C3402" s="33" t="s">
        <v>49</v>
      </c>
      <c r="D3402" s="34" t="s">
        <v>1999</v>
      </c>
      <c r="E3402" s="35" t="str">
        <f t="shared" si="794"/>
        <v>PNP'!</v>
      </c>
      <c r="F3402" s="34" t="str">
        <f t="shared" si="802"/>
        <v>C:\Users\jaime.benazar\Quorum Business Solutions\Ecopetrol Prometeo - Documents\Planning Space Implementation\3. Analysis &amp; Design\Design\FC22\DRR Jaime\QUIFA-CAJÚA\Cajua\[CAJUA_CF_SEC_New_27-Feb-2024Rev3.xlsx]D-PNP'!</v>
      </c>
      <c r="G3402" s="32" t="s">
        <v>111</v>
      </c>
      <c r="H3402" s="33">
        <f t="shared" si="804"/>
        <v>30</v>
      </c>
      <c r="I3402" s="33" t="str">
        <f t="shared" si="803"/>
        <v>='C:\Users\jaime.benazar\Quorum Business Solutions\Ecopetrol Prometeo - Documents\Planning Space Implementation\3. Analysis &amp; Design\Design\FC22\DRR Jaime\QUIFA-CAJÚA\Cajua\[CAJUA_CF_SEC_New_27-Feb-2024Rev3.xlsx]D-PNP'!$BE$30</v>
      </c>
      <c r="J3402" s="37" t="s">
        <v>3535</v>
      </c>
    </row>
    <row r="3403" spans="1:10" x14ac:dyDescent="0.25">
      <c r="A3403" s="32" t="s">
        <v>2</v>
      </c>
      <c r="B3403" s="32">
        <f t="shared" ref="B3403:B3404" si="807">+B3402+1</f>
        <v>2042</v>
      </c>
      <c r="C3403" s="33" t="s">
        <v>49</v>
      </c>
      <c r="D3403" s="34" t="s">
        <v>1999</v>
      </c>
      <c r="E3403" s="35" t="str">
        <f t="shared" si="794"/>
        <v>PNP'!</v>
      </c>
      <c r="F3403" s="34" t="str">
        <f t="shared" si="802"/>
        <v>C:\Users\jaime.benazar\Quorum Business Solutions\Ecopetrol Prometeo - Documents\Planning Space Implementation\3. Analysis &amp; Design\Design\FC22\DRR Jaime\QUIFA-CAJÚA\Cajua\[CAJUA_CF_SEC_New_27-Feb-2024Rev3.xlsx]D-PNP'!</v>
      </c>
      <c r="G3403" s="32" t="s">
        <v>111</v>
      </c>
      <c r="H3403" s="33">
        <f t="shared" si="804"/>
        <v>31</v>
      </c>
      <c r="I3403" s="33" t="str">
        <f t="shared" si="803"/>
        <v>='C:\Users\jaime.benazar\Quorum Business Solutions\Ecopetrol Prometeo - Documents\Planning Space Implementation\3. Analysis &amp; Design\Design\FC22\DRR Jaime\QUIFA-CAJÚA\Cajua\[CAJUA_CF_SEC_New_27-Feb-2024Rev3.xlsx]D-PNP'!$BE$31</v>
      </c>
      <c r="J3403" s="37" t="s">
        <v>3536</v>
      </c>
    </row>
    <row r="3404" spans="1:10" x14ac:dyDescent="0.25">
      <c r="A3404" s="32" t="s">
        <v>2</v>
      </c>
      <c r="B3404" s="32">
        <f t="shared" si="807"/>
        <v>2043</v>
      </c>
      <c r="C3404" s="33" t="s">
        <v>49</v>
      </c>
      <c r="D3404" s="34" t="s">
        <v>1999</v>
      </c>
      <c r="E3404" s="35" t="str">
        <f t="shared" si="794"/>
        <v>PNP'!</v>
      </c>
      <c r="F3404" s="34" t="str">
        <f t="shared" si="802"/>
        <v>C:\Users\jaime.benazar\Quorum Business Solutions\Ecopetrol Prometeo - Documents\Planning Space Implementation\3. Analysis &amp; Design\Design\FC22\DRR Jaime\QUIFA-CAJÚA\Cajua\[CAJUA_CF_SEC_New_27-Feb-2024Rev3.xlsx]D-PNP'!</v>
      </c>
      <c r="G3404" s="32" t="s">
        <v>111</v>
      </c>
      <c r="H3404" s="33">
        <f t="shared" si="804"/>
        <v>32</v>
      </c>
      <c r="I3404" s="33" t="str">
        <f t="shared" si="803"/>
        <v>='C:\Users\jaime.benazar\Quorum Business Solutions\Ecopetrol Prometeo - Documents\Planning Space Implementation\3. Analysis &amp; Design\Design\FC22\DRR Jaime\QUIFA-CAJÚA\Cajua\[CAJUA_CF_SEC_New_27-Feb-2024Rev3.xlsx]D-PNP'!$BE$32</v>
      </c>
      <c r="J3404" s="37" t="s">
        <v>3537</v>
      </c>
    </row>
    <row r="3405" spans="1:10" x14ac:dyDescent="0.25">
      <c r="A3405" s="32" t="s">
        <v>2</v>
      </c>
      <c r="B3405" s="32">
        <f>+B3404+1</f>
        <v>2044</v>
      </c>
      <c r="C3405" s="33" t="s">
        <v>49</v>
      </c>
      <c r="D3405" s="34" t="s">
        <v>1999</v>
      </c>
      <c r="E3405" s="35" t="str">
        <f t="shared" ref="E3405:E3420" si="808">_xlfn.CONCAT(A3405,"'!")</f>
        <v>PNP'!</v>
      </c>
      <c r="F3405" s="34" t="str">
        <f t="shared" ref="F3405:F3420" si="809">_xlfn.CONCAT(D3405:E3405)</f>
        <v>C:\Users\jaime.benazar\Quorum Business Solutions\Ecopetrol Prometeo - Documents\Planning Space Implementation\3. Analysis &amp; Design\Design\FC22\DRR Jaime\QUIFA-CAJÚA\Cajua\[CAJUA_CF_SEC_New_27-Feb-2024Rev3.xlsx]D-PNP'!</v>
      </c>
      <c r="G3405" s="32" t="s">
        <v>111</v>
      </c>
      <c r="H3405" s="33">
        <f t="shared" ref="H3405:H3420" si="810">IF(A3405&lt;&gt;A3404,36,H3404+1)</f>
        <v>33</v>
      </c>
      <c r="I3405" s="33" t="str">
        <f t="shared" ref="I3405:I3420" si="811">_xlfn.CONCAT("='",F3405:H3405)</f>
        <v>='C:\Users\jaime.benazar\Quorum Business Solutions\Ecopetrol Prometeo - Documents\Planning Space Implementation\3. Analysis &amp; Design\Design\FC22\DRR Jaime\QUIFA-CAJÚA\Cajua\[CAJUA_CF_SEC_New_27-Feb-2024Rev3.xlsx]D-PNP'!$BE$33</v>
      </c>
      <c r="J3405" s="37" t="s">
        <v>3538</v>
      </c>
    </row>
    <row r="3406" spans="1:10" x14ac:dyDescent="0.25">
      <c r="A3406" s="32" t="s">
        <v>2</v>
      </c>
      <c r="B3406" s="32">
        <f t="shared" ref="B3406:B3420" si="812">+B3405+1</f>
        <v>2045</v>
      </c>
      <c r="C3406" s="33" t="s">
        <v>49</v>
      </c>
      <c r="D3406" s="34" t="s">
        <v>1999</v>
      </c>
      <c r="E3406" s="35" t="str">
        <f t="shared" si="808"/>
        <v>PNP'!</v>
      </c>
      <c r="F3406" s="34" t="str">
        <f t="shared" si="809"/>
        <v>C:\Users\jaime.benazar\Quorum Business Solutions\Ecopetrol Prometeo - Documents\Planning Space Implementation\3. Analysis &amp; Design\Design\FC22\DRR Jaime\QUIFA-CAJÚA\Cajua\[CAJUA_CF_SEC_New_27-Feb-2024Rev3.xlsx]D-PNP'!</v>
      </c>
      <c r="G3406" s="32" t="s">
        <v>111</v>
      </c>
      <c r="H3406" s="33">
        <f t="shared" si="810"/>
        <v>34</v>
      </c>
      <c r="I3406" s="33" t="str">
        <f t="shared" si="811"/>
        <v>='C:\Users\jaime.benazar\Quorum Business Solutions\Ecopetrol Prometeo - Documents\Planning Space Implementation\3. Analysis &amp; Design\Design\FC22\DRR Jaime\QUIFA-CAJÚA\Cajua\[CAJUA_CF_SEC_New_27-Feb-2024Rev3.xlsx]D-PNP'!$BE$34</v>
      </c>
      <c r="J3406" s="37" t="s">
        <v>3539</v>
      </c>
    </row>
    <row r="3407" spans="1:10" x14ac:dyDescent="0.25">
      <c r="A3407" s="32" t="s">
        <v>2</v>
      </c>
      <c r="B3407" s="32">
        <f t="shared" si="812"/>
        <v>2046</v>
      </c>
      <c r="C3407" s="33" t="s">
        <v>49</v>
      </c>
      <c r="D3407" s="34" t="s">
        <v>1999</v>
      </c>
      <c r="E3407" s="35" t="str">
        <f t="shared" si="808"/>
        <v>PNP'!</v>
      </c>
      <c r="F3407" s="34" t="str">
        <f t="shared" si="809"/>
        <v>C:\Users\jaime.benazar\Quorum Business Solutions\Ecopetrol Prometeo - Documents\Planning Space Implementation\3. Analysis &amp; Design\Design\FC22\DRR Jaime\QUIFA-CAJÚA\Cajua\[CAJUA_CF_SEC_New_27-Feb-2024Rev3.xlsx]D-PNP'!</v>
      </c>
      <c r="G3407" s="32" t="s">
        <v>111</v>
      </c>
      <c r="H3407" s="33">
        <f t="shared" si="810"/>
        <v>35</v>
      </c>
      <c r="I3407" s="33" t="str">
        <f t="shared" si="811"/>
        <v>='C:\Users\jaime.benazar\Quorum Business Solutions\Ecopetrol Prometeo - Documents\Planning Space Implementation\3. Analysis &amp; Design\Design\FC22\DRR Jaime\QUIFA-CAJÚA\Cajua\[CAJUA_CF_SEC_New_27-Feb-2024Rev3.xlsx]D-PNP'!$BE$35</v>
      </c>
      <c r="J3407" s="37" t="s">
        <v>3540</v>
      </c>
    </row>
    <row r="3408" spans="1:10" x14ac:dyDescent="0.25">
      <c r="A3408" s="32" t="s">
        <v>2</v>
      </c>
      <c r="B3408" s="32">
        <f t="shared" si="812"/>
        <v>2047</v>
      </c>
      <c r="C3408" s="33" t="s">
        <v>49</v>
      </c>
      <c r="D3408" s="34" t="s">
        <v>1999</v>
      </c>
      <c r="E3408" s="35" t="str">
        <f t="shared" si="808"/>
        <v>PNP'!</v>
      </c>
      <c r="F3408" s="34" t="str">
        <f t="shared" si="809"/>
        <v>C:\Users\jaime.benazar\Quorum Business Solutions\Ecopetrol Prometeo - Documents\Planning Space Implementation\3. Analysis &amp; Design\Design\FC22\DRR Jaime\QUIFA-CAJÚA\Cajua\[CAJUA_CF_SEC_New_27-Feb-2024Rev3.xlsx]D-PNP'!</v>
      </c>
      <c r="G3408" s="32" t="s">
        <v>111</v>
      </c>
      <c r="H3408" s="33">
        <f t="shared" si="810"/>
        <v>36</v>
      </c>
      <c r="I3408" s="33" t="str">
        <f t="shared" si="811"/>
        <v>='C:\Users\jaime.benazar\Quorum Business Solutions\Ecopetrol Prometeo - Documents\Planning Space Implementation\3. Analysis &amp; Design\Design\FC22\DRR Jaime\QUIFA-CAJÚA\Cajua\[CAJUA_CF_SEC_New_27-Feb-2024Rev3.xlsx]D-PNP'!$BE$36</v>
      </c>
      <c r="J3408" s="37" t="s">
        <v>3541</v>
      </c>
    </row>
    <row r="3409" spans="1:10" x14ac:dyDescent="0.25">
      <c r="A3409" s="32" t="s">
        <v>2</v>
      </c>
      <c r="B3409" s="32">
        <f t="shared" si="812"/>
        <v>2048</v>
      </c>
      <c r="C3409" s="33" t="s">
        <v>49</v>
      </c>
      <c r="D3409" s="34" t="s">
        <v>1999</v>
      </c>
      <c r="E3409" s="35" t="str">
        <f t="shared" si="808"/>
        <v>PNP'!</v>
      </c>
      <c r="F3409" s="34" t="str">
        <f t="shared" si="809"/>
        <v>C:\Users\jaime.benazar\Quorum Business Solutions\Ecopetrol Prometeo - Documents\Planning Space Implementation\3. Analysis &amp; Design\Design\FC22\DRR Jaime\QUIFA-CAJÚA\Cajua\[CAJUA_CF_SEC_New_27-Feb-2024Rev3.xlsx]D-PNP'!</v>
      </c>
      <c r="G3409" s="32" t="s">
        <v>111</v>
      </c>
      <c r="H3409" s="33">
        <f t="shared" si="810"/>
        <v>37</v>
      </c>
      <c r="I3409" s="33" t="str">
        <f t="shared" si="811"/>
        <v>='C:\Users\jaime.benazar\Quorum Business Solutions\Ecopetrol Prometeo - Documents\Planning Space Implementation\3. Analysis &amp; Design\Design\FC22\DRR Jaime\QUIFA-CAJÚA\Cajua\[CAJUA_CF_SEC_New_27-Feb-2024Rev3.xlsx]D-PNP'!$BE$37</v>
      </c>
      <c r="J3409" s="37" t="s">
        <v>3542</v>
      </c>
    </row>
    <row r="3410" spans="1:10" x14ac:dyDescent="0.25">
      <c r="A3410" s="32" t="s">
        <v>2</v>
      </c>
      <c r="B3410" s="32">
        <f t="shared" si="812"/>
        <v>2049</v>
      </c>
      <c r="C3410" s="33" t="s">
        <v>49</v>
      </c>
      <c r="D3410" s="34" t="s">
        <v>1999</v>
      </c>
      <c r="E3410" s="35" t="str">
        <f t="shared" si="808"/>
        <v>PNP'!</v>
      </c>
      <c r="F3410" s="34" t="str">
        <f t="shared" si="809"/>
        <v>C:\Users\jaime.benazar\Quorum Business Solutions\Ecopetrol Prometeo - Documents\Planning Space Implementation\3. Analysis &amp; Design\Design\FC22\DRR Jaime\QUIFA-CAJÚA\Cajua\[CAJUA_CF_SEC_New_27-Feb-2024Rev3.xlsx]D-PNP'!</v>
      </c>
      <c r="G3410" s="32" t="s">
        <v>111</v>
      </c>
      <c r="H3410" s="33">
        <f t="shared" si="810"/>
        <v>38</v>
      </c>
      <c r="I3410" s="33" t="str">
        <f t="shared" si="811"/>
        <v>='C:\Users\jaime.benazar\Quorum Business Solutions\Ecopetrol Prometeo - Documents\Planning Space Implementation\3. Analysis &amp; Design\Design\FC22\DRR Jaime\QUIFA-CAJÚA\Cajua\[CAJUA_CF_SEC_New_27-Feb-2024Rev3.xlsx]D-PNP'!$BE$38</v>
      </c>
      <c r="J3410" s="37" t="s">
        <v>3543</v>
      </c>
    </row>
    <row r="3411" spans="1:10" x14ac:dyDescent="0.25">
      <c r="A3411" s="32" t="s">
        <v>2</v>
      </c>
      <c r="B3411" s="32">
        <f t="shared" si="812"/>
        <v>2050</v>
      </c>
      <c r="C3411" s="33" t="s">
        <v>49</v>
      </c>
      <c r="D3411" s="34" t="s">
        <v>1999</v>
      </c>
      <c r="E3411" s="35" t="str">
        <f t="shared" si="808"/>
        <v>PNP'!</v>
      </c>
      <c r="F3411" s="34" t="str">
        <f t="shared" si="809"/>
        <v>C:\Users\jaime.benazar\Quorum Business Solutions\Ecopetrol Prometeo - Documents\Planning Space Implementation\3. Analysis &amp; Design\Design\FC22\DRR Jaime\QUIFA-CAJÚA\Cajua\[CAJUA_CF_SEC_New_27-Feb-2024Rev3.xlsx]D-PNP'!</v>
      </c>
      <c r="G3411" s="32" t="s">
        <v>111</v>
      </c>
      <c r="H3411" s="33">
        <f t="shared" si="810"/>
        <v>39</v>
      </c>
      <c r="I3411" s="33" t="str">
        <f t="shared" si="811"/>
        <v>='C:\Users\jaime.benazar\Quorum Business Solutions\Ecopetrol Prometeo - Documents\Planning Space Implementation\3. Analysis &amp; Design\Design\FC22\DRR Jaime\QUIFA-CAJÚA\Cajua\[CAJUA_CF_SEC_New_27-Feb-2024Rev3.xlsx]D-PNP'!$BE$39</v>
      </c>
      <c r="J3411" s="37" t="s">
        <v>3544</v>
      </c>
    </row>
    <row r="3412" spans="1:10" x14ac:dyDescent="0.25">
      <c r="A3412" s="32" t="s">
        <v>2</v>
      </c>
      <c r="B3412" s="32">
        <f t="shared" si="812"/>
        <v>2051</v>
      </c>
      <c r="C3412" s="33" t="s">
        <v>49</v>
      </c>
      <c r="D3412" s="34" t="s">
        <v>1999</v>
      </c>
      <c r="E3412" s="35" t="str">
        <f t="shared" si="808"/>
        <v>PNP'!</v>
      </c>
      <c r="F3412" s="34" t="str">
        <f t="shared" si="809"/>
        <v>C:\Users\jaime.benazar\Quorum Business Solutions\Ecopetrol Prometeo - Documents\Planning Space Implementation\3. Analysis &amp; Design\Design\FC22\DRR Jaime\QUIFA-CAJÚA\Cajua\[CAJUA_CF_SEC_New_27-Feb-2024Rev3.xlsx]D-PNP'!</v>
      </c>
      <c r="G3412" s="32" t="s">
        <v>111</v>
      </c>
      <c r="H3412" s="33">
        <f t="shared" si="810"/>
        <v>40</v>
      </c>
      <c r="I3412" s="33" t="str">
        <f t="shared" si="811"/>
        <v>='C:\Users\jaime.benazar\Quorum Business Solutions\Ecopetrol Prometeo - Documents\Planning Space Implementation\3. Analysis &amp; Design\Design\FC22\DRR Jaime\QUIFA-CAJÚA\Cajua\[CAJUA_CF_SEC_New_27-Feb-2024Rev3.xlsx]D-PNP'!$BE$40</v>
      </c>
      <c r="J3412" s="37" t="s">
        <v>3545</v>
      </c>
    </row>
    <row r="3413" spans="1:10" x14ac:dyDescent="0.25">
      <c r="A3413" s="32" t="s">
        <v>2</v>
      </c>
      <c r="B3413" s="32">
        <f t="shared" si="812"/>
        <v>2052</v>
      </c>
      <c r="C3413" s="33" t="s">
        <v>49</v>
      </c>
      <c r="D3413" s="34" t="s">
        <v>1999</v>
      </c>
      <c r="E3413" s="35" t="str">
        <f t="shared" si="808"/>
        <v>PNP'!</v>
      </c>
      <c r="F3413" s="34" t="str">
        <f t="shared" si="809"/>
        <v>C:\Users\jaime.benazar\Quorum Business Solutions\Ecopetrol Prometeo - Documents\Planning Space Implementation\3. Analysis &amp; Design\Design\FC22\DRR Jaime\QUIFA-CAJÚA\Cajua\[CAJUA_CF_SEC_New_27-Feb-2024Rev3.xlsx]D-PNP'!</v>
      </c>
      <c r="G3413" s="32" t="s">
        <v>111</v>
      </c>
      <c r="H3413" s="33">
        <f t="shared" si="810"/>
        <v>41</v>
      </c>
      <c r="I3413" s="33" t="str">
        <f t="shared" si="811"/>
        <v>='C:\Users\jaime.benazar\Quorum Business Solutions\Ecopetrol Prometeo - Documents\Planning Space Implementation\3. Analysis &amp; Design\Design\FC22\DRR Jaime\QUIFA-CAJÚA\Cajua\[CAJUA_CF_SEC_New_27-Feb-2024Rev3.xlsx]D-PNP'!$BE$41</v>
      </c>
      <c r="J3413" s="37" t="s">
        <v>3546</v>
      </c>
    </row>
    <row r="3414" spans="1:10" x14ac:dyDescent="0.25">
      <c r="A3414" s="32" t="s">
        <v>2</v>
      </c>
      <c r="B3414" s="32">
        <f t="shared" si="812"/>
        <v>2053</v>
      </c>
      <c r="C3414" s="33" t="s">
        <v>49</v>
      </c>
      <c r="D3414" s="34" t="s">
        <v>1999</v>
      </c>
      <c r="E3414" s="35" t="str">
        <f t="shared" si="808"/>
        <v>PNP'!</v>
      </c>
      <c r="F3414" s="34" t="str">
        <f t="shared" si="809"/>
        <v>C:\Users\jaime.benazar\Quorum Business Solutions\Ecopetrol Prometeo - Documents\Planning Space Implementation\3. Analysis &amp; Design\Design\FC22\DRR Jaime\QUIFA-CAJÚA\Cajua\[CAJUA_CF_SEC_New_27-Feb-2024Rev3.xlsx]D-PNP'!</v>
      </c>
      <c r="G3414" s="32" t="s">
        <v>111</v>
      </c>
      <c r="H3414" s="33">
        <f t="shared" si="810"/>
        <v>42</v>
      </c>
      <c r="I3414" s="33" t="str">
        <f t="shared" si="811"/>
        <v>='C:\Users\jaime.benazar\Quorum Business Solutions\Ecopetrol Prometeo - Documents\Planning Space Implementation\3. Analysis &amp; Design\Design\FC22\DRR Jaime\QUIFA-CAJÚA\Cajua\[CAJUA_CF_SEC_New_27-Feb-2024Rev3.xlsx]D-PNP'!$BE$42</v>
      </c>
      <c r="J3414" s="37" t="s">
        <v>3547</v>
      </c>
    </row>
    <row r="3415" spans="1:10" x14ac:dyDescent="0.25">
      <c r="A3415" s="32" t="s">
        <v>2</v>
      </c>
      <c r="B3415" s="32">
        <f t="shared" si="812"/>
        <v>2054</v>
      </c>
      <c r="C3415" s="33" t="s">
        <v>49</v>
      </c>
      <c r="D3415" s="34" t="s">
        <v>1999</v>
      </c>
      <c r="E3415" s="35" t="str">
        <f t="shared" si="808"/>
        <v>PNP'!</v>
      </c>
      <c r="F3415" s="34" t="str">
        <f t="shared" si="809"/>
        <v>C:\Users\jaime.benazar\Quorum Business Solutions\Ecopetrol Prometeo - Documents\Planning Space Implementation\3. Analysis &amp; Design\Design\FC22\DRR Jaime\QUIFA-CAJÚA\Cajua\[CAJUA_CF_SEC_New_27-Feb-2024Rev3.xlsx]D-PNP'!</v>
      </c>
      <c r="G3415" s="32" t="s">
        <v>111</v>
      </c>
      <c r="H3415" s="33">
        <f t="shared" si="810"/>
        <v>43</v>
      </c>
      <c r="I3415" s="33" t="str">
        <f t="shared" si="811"/>
        <v>='C:\Users\jaime.benazar\Quorum Business Solutions\Ecopetrol Prometeo - Documents\Planning Space Implementation\3. Analysis &amp; Design\Design\FC22\DRR Jaime\QUIFA-CAJÚA\Cajua\[CAJUA_CF_SEC_New_27-Feb-2024Rev3.xlsx]D-PNP'!$BE$43</v>
      </c>
      <c r="J3415" s="37" t="s">
        <v>3548</v>
      </c>
    </row>
    <row r="3416" spans="1:10" x14ac:dyDescent="0.25">
      <c r="A3416" s="32" t="s">
        <v>2</v>
      </c>
      <c r="B3416" s="32">
        <f t="shared" si="812"/>
        <v>2055</v>
      </c>
      <c r="C3416" s="33" t="s">
        <v>49</v>
      </c>
      <c r="D3416" s="34" t="s">
        <v>1999</v>
      </c>
      <c r="E3416" s="35" t="str">
        <f t="shared" si="808"/>
        <v>PNP'!</v>
      </c>
      <c r="F3416" s="34" t="str">
        <f t="shared" si="809"/>
        <v>C:\Users\jaime.benazar\Quorum Business Solutions\Ecopetrol Prometeo - Documents\Planning Space Implementation\3. Analysis &amp; Design\Design\FC22\DRR Jaime\QUIFA-CAJÚA\Cajua\[CAJUA_CF_SEC_New_27-Feb-2024Rev3.xlsx]D-PNP'!</v>
      </c>
      <c r="G3416" s="32" t="s">
        <v>111</v>
      </c>
      <c r="H3416" s="33">
        <f t="shared" si="810"/>
        <v>44</v>
      </c>
      <c r="I3416" s="33" t="str">
        <f t="shared" si="811"/>
        <v>='C:\Users\jaime.benazar\Quorum Business Solutions\Ecopetrol Prometeo - Documents\Planning Space Implementation\3. Analysis &amp; Design\Design\FC22\DRR Jaime\QUIFA-CAJÚA\Cajua\[CAJUA_CF_SEC_New_27-Feb-2024Rev3.xlsx]D-PNP'!$BE$44</v>
      </c>
      <c r="J3416" s="37" t="s">
        <v>3549</v>
      </c>
    </row>
    <row r="3417" spans="1:10" x14ac:dyDescent="0.25">
      <c r="A3417" s="32" t="s">
        <v>2</v>
      </c>
      <c r="B3417" s="32">
        <f t="shared" si="812"/>
        <v>2056</v>
      </c>
      <c r="C3417" s="33" t="s">
        <v>49</v>
      </c>
      <c r="D3417" s="34" t="s">
        <v>1999</v>
      </c>
      <c r="E3417" s="35" t="str">
        <f t="shared" si="808"/>
        <v>PNP'!</v>
      </c>
      <c r="F3417" s="34" t="str">
        <f t="shared" si="809"/>
        <v>C:\Users\jaime.benazar\Quorum Business Solutions\Ecopetrol Prometeo - Documents\Planning Space Implementation\3. Analysis &amp; Design\Design\FC22\DRR Jaime\QUIFA-CAJÚA\Cajua\[CAJUA_CF_SEC_New_27-Feb-2024Rev3.xlsx]D-PNP'!</v>
      </c>
      <c r="G3417" s="32" t="s">
        <v>111</v>
      </c>
      <c r="H3417" s="33">
        <f t="shared" si="810"/>
        <v>45</v>
      </c>
      <c r="I3417" s="33" t="str">
        <f t="shared" si="811"/>
        <v>='C:\Users\jaime.benazar\Quorum Business Solutions\Ecopetrol Prometeo - Documents\Planning Space Implementation\3. Analysis &amp; Design\Design\FC22\DRR Jaime\QUIFA-CAJÚA\Cajua\[CAJUA_CF_SEC_New_27-Feb-2024Rev3.xlsx]D-PNP'!$BE$45</v>
      </c>
      <c r="J3417" s="37" t="s">
        <v>3550</v>
      </c>
    </row>
    <row r="3418" spans="1:10" x14ac:dyDescent="0.25">
      <c r="A3418" s="32" t="s">
        <v>2</v>
      </c>
      <c r="B3418" s="32">
        <f t="shared" si="812"/>
        <v>2057</v>
      </c>
      <c r="C3418" s="33" t="s">
        <v>49</v>
      </c>
      <c r="D3418" s="34" t="s">
        <v>1999</v>
      </c>
      <c r="E3418" s="35" t="str">
        <f t="shared" si="808"/>
        <v>PNP'!</v>
      </c>
      <c r="F3418" s="34" t="str">
        <f t="shared" si="809"/>
        <v>C:\Users\jaime.benazar\Quorum Business Solutions\Ecopetrol Prometeo - Documents\Planning Space Implementation\3. Analysis &amp; Design\Design\FC22\DRR Jaime\QUIFA-CAJÚA\Cajua\[CAJUA_CF_SEC_New_27-Feb-2024Rev3.xlsx]D-PNP'!</v>
      </c>
      <c r="G3418" s="32" t="s">
        <v>111</v>
      </c>
      <c r="H3418" s="33">
        <f t="shared" si="810"/>
        <v>46</v>
      </c>
      <c r="I3418" s="33" t="str">
        <f t="shared" si="811"/>
        <v>='C:\Users\jaime.benazar\Quorum Business Solutions\Ecopetrol Prometeo - Documents\Planning Space Implementation\3. Analysis &amp; Design\Design\FC22\DRR Jaime\QUIFA-CAJÚA\Cajua\[CAJUA_CF_SEC_New_27-Feb-2024Rev3.xlsx]D-PNP'!$BE$46</v>
      </c>
      <c r="J3418" s="37" t="s">
        <v>3551</v>
      </c>
    </row>
    <row r="3419" spans="1:10" x14ac:dyDescent="0.25">
      <c r="A3419" s="32" t="s">
        <v>2</v>
      </c>
      <c r="B3419" s="32">
        <f t="shared" si="812"/>
        <v>2058</v>
      </c>
      <c r="C3419" s="33" t="s">
        <v>49</v>
      </c>
      <c r="D3419" s="34" t="s">
        <v>1999</v>
      </c>
      <c r="E3419" s="35" t="str">
        <f t="shared" si="808"/>
        <v>PNP'!</v>
      </c>
      <c r="F3419" s="34" t="str">
        <f t="shared" si="809"/>
        <v>C:\Users\jaime.benazar\Quorum Business Solutions\Ecopetrol Prometeo - Documents\Planning Space Implementation\3. Analysis &amp; Design\Design\FC22\DRR Jaime\QUIFA-CAJÚA\Cajua\[CAJUA_CF_SEC_New_27-Feb-2024Rev3.xlsx]D-PNP'!</v>
      </c>
      <c r="G3419" s="32" t="s">
        <v>111</v>
      </c>
      <c r="H3419" s="33">
        <f t="shared" si="810"/>
        <v>47</v>
      </c>
      <c r="I3419" s="33" t="str">
        <f t="shared" si="811"/>
        <v>='C:\Users\jaime.benazar\Quorum Business Solutions\Ecopetrol Prometeo - Documents\Planning Space Implementation\3. Analysis &amp; Design\Design\FC22\DRR Jaime\QUIFA-CAJÚA\Cajua\[CAJUA_CF_SEC_New_27-Feb-2024Rev3.xlsx]D-PNP'!$BE$47</v>
      </c>
      <c r="J3419" s="37" t="s">
        <v>3552</v>
      </c>
    </row>
    <row r="3420" spans="1:10" x14ac:dyDescent="0.25">
      <c r="A3420" s="32" t="s">
        <v>2</v>
      </c>
      <c r="B3420" s="32">
        <f t="shared" si="812"/>
        <v>2059</v>
      </c>
      <c r="C3420" s="33" t="s">
        <v>49</v>
      </c>
      <c r="D3420" s="34" t="s">
        <v>1999</v>
      </c>
      <c r="E3420" s="35" t="str">
        <f t="shared" si="808"/>
        <v>PNP'!</v>
      </c>
      <c r="F3420" s="34" t="str">
        <f t="shared" si="809"/>
        <v>C:\Users\jaime.benazar\Quorum Business Solutions\Ecopetrol Prometeo - Documents\Planning Space Implementation\3. Analysis &amp; Design\Design\FC22\DRR Jaime\QUIFA-CAJÚA\Cajua\[CAJUA_CF_SEC_New_27-Feb-2024Rev3.xlsx]D-PNP'!</v>
      </c>
      <c r="G3420" s="32" t="s">
        <v>111</v>
      </c>
      <c r="H3420" s="33">
        <f t="shared" si="810"/>
        <v>48</v>
      </c>
      <c r="I3420" s="33" t="str">
        <f t="shared" si="811"/>
        <v>='C:\Users\jaime.benazar\Quorum Business Solutions\Ecopetrol Prometeo - Documents\Planning Space Implementation\3. Analysis &amp; Design\Design\FC22\DRR Jaime\QUIFA-CAJÚA\Cajua\[CAJUA_CF_SEC_New_27-Feb-2024Rev3.xlsx]D-PNP'!$BE$48</v>
      </c>
      <c r="J3420" s="37" t="s">
        <v>3553</v>
      </c>
    </row>
    <row r="3421" spans="1:10" x14ac:dyDescent="0.25">
      <c r="A3421" s="32" t="s">
        <v>28</v>
      </c>
      <c r="B3421" s="32"/>
      <c r="C3421" s="33" t="s">
        <v>49</v>
      </c>
      <c r="D3421" s="34"/>
      <c r="E3421" s="35"/>
      <c r="F3421" s="34"/>
      <c r="G3421" s="32"/>
      <c r="H3421" s="33"/>
      <c r="I3421" s="33"/>
      <c r="J3421" s="33"/>
    </row>
    <row r="3422" spans="1:10" x14ac:dyDescent="0.25">
      <c r="A3422" s="32" t="s">
        <v>3</v>
      </c>
      <c r="B3422" s="32">
        <v>2023</v>
      </c>
      <c r="C3422" s="33" t="s">
        <v>49</v>
      </c>
      <c r="D3422" s="34" t="s">
        <v>1999</v>
      </c>
      <c r="E3422" s="35" t="str">
        <f t="shared" ref="E3422:E3442" si="813">_xlfn.CONCAT(A3422,"'!")</f>
        <v>PND'!</v>
      </c>
      <c r="F3422" s="34" t="str">
        <f t="shared" ref="F3422:F3442" si="814">_xlfn.CONCAT(D3422:E3422)</f>
        <v>C:\Users\jaime.benazar\Quorum Business Solutions\Ecopetrol Prometeo - Documents\Planning Space Implementation\3. Analysis &amp; Design\Design\FC22\DRR Jaime\QUIFA-CAJÚA\Cajua\[CAJUA_CF_SEC_New_27-Feb-2024Rev3.xlsx]D-PND'!</v>
      </c>
      <c r="G3422" s="32" t="s">
        <v>111</v>
      </c>
      <c r="H3422" s="33">
        <f>IF(A3422&lt;&gt;A3406,12,H3406+1)</f>
        <v>12</v>
      </c>
      <c r="I3422" s="33" t="str">
        <f t="shared" ref="I3422:I3442" si="815">_xlfn.CONCAT("='",F3422:H3422)</f>
        <v>='C:\Users\jaime.benazar\Quorum Business Solutions\Ecopetrol Prometeo - Documents\Planning Space Implementation\3. Analysis &amp; Design\Design\FC22\DRR Jaime\QUIFA-CAJÚA\Cajua\[CAJUA_CF_SEC_New_27-Feb-2024Rev3.xlsx]D-PND'!$BE$12</v>
      </c>
      <c r="J3422" s="37" t="s">
        <v>3554</v>
      </c>
    </row>
    <row r="3423" spans="1:10" x14ac:dyDescent="0.25">
      <c r="A3423" s="32" t="s">
        <v>3</v>
      </c>
      <c r="B3423" s="32">
        <f>+B3422+1</f>
        <v>2024</v>
      </c>
      <c r="C3423" s="33" t="s">
        <v>49</v>
      </c>
      <c r="D3423" s="34" t="s">
        <v>1999</v>
      </c>
      <c r="E3423" s="35" t="str">
        <f t="shared" si="813"/>
        <v>PND'!</v>
      </c>
      <c r="F3423" s="34" t="str">
        <f t="shared" si="814"/>
        <v>C:\Users\jaime.benazar\Quorum Business Solutions\Ecopetrol Prometeo - Documents\Planning Space Implementation\3. Analysis &amp; Design\Design\FC22\DRR Jaime\QUIFA-CAJÚA\Cajua\[CAJUA_CF_SEC_New_27-Feb-2024Rev3.xlsx]D-PND'!</v>
      </c>
      <c r="G3423" s="32" t="s">
        <v>111</v>
      </c>
      <c r="H3423" s="33">
        <f t="shared" ref="H3423:H3442" si="816">IF(A3423&lt;&gt;A3422,36,H3422+1)</f>
        <v>13</v>
      </c>
      <c r="I3423" s="33" t="str">
        <f t="shared" si="815"/>
        <v>='C:\Users\jaime.benazar\Quorum Business Solutions\Ecopetrol Prometeo - Documents\Planning Space Implementation\3. Analysis &amp; Design\Design\FC22\DRR Jaime\QUIFA-CAJÚA\Cajua\[CAJUA_CF_SEC_New_27-Feb-2024Rev3.xlsx]D-PND'!$BE$13</v>
      </c>
      <c r="J3423" s="37" t="s">
        <v>3555</v>
      </c>
    </row>
    <row r="3424" spans="1:10" x14ac:dyDescent="0.25">
      <c r="A3424" s="32" t="s">
        <v>3</v>
      </c>
      <c r="B3424" s="32">
        <f t="shared" ref="B3424:B3435" si="817">+B3423+1</f>
        <v>2025</v>
      </c>
      <c r="C3424" s="33" t="s">
        <v>49</v>
      </c>
      <c r="D3424" s="34" t="s">
        <v>1999</v>
      </c>
      <c r="E3424" s="35" t="str">
        <f t="shared" si="813"/>
        <v>PND'!</v>
      </c>
      <c r="F3424" s="34" t="str">
        <f t="shared" si="814"/>
        <v>C:\Users\jaime.benazar\Quorum Business Solutions\Ecopetrol Prometeo - Documents\Planning Space Implementation\3. Analysis &amp; Design\Design\FC22\DRR Jaime\QUIFA-CAJÚA\Cajua\[CAJUA_CF_SEC_New_27-Feb-2024Rev3.xlsx]D-PND'!</v>
      </c>
      <c r="G3424" s="32" t="s">
        <v>111</v>
      </c>
      <c r="H3424" s="33">
        <f t="shared" si="816"/>
        <v>14</v>
      </c>
      <c r="I3424" s="33" t="str">
        <f t="shared" si="815"/>
        <v>='C:\Users\jaime.benazar\Quorum Business Solutions\Ecopetrol Prometeo - Documents\Planning Space Implementation\3. Analysis &amp; Design\Design\FC22\DRR Jaime\QUIFA-CAJÚA\Cajua\[CAJUA_CF_SEC_New_27-Feb-2024Rev3.xlsx]D-PND'!$BE$14</v>
      </c>
      <c r="J3424" s="37" t="s">
        <v>3556</v>
      </c>
    </row>
    <row r="3425" spans="1:10" x14ac:dyDescent="0.25">
      <c r="A3425" s="32" t="s">
        <v>3</v>
      </c>
      <c r="B3425" s="32">
        <f t="shared" si="817"/>
        <v>2026</v>
      </c>
      <c r="C3425" s="33" t="s">
        <v>49</v>
      </c>
      <c r="D3425" s="34" t="s">
        <v>1999</v>
      </c>
      <c r="E3425" s="35" t="str">
        <f t="shared" si="813"/>
        <v>PND'!</v>
      </c>
      <c r="F3425" s="34" t="str">
        <f t="shared" si="814"/>
        <v>C:\Users\jaime.benazar\Quorum Business Solutions\Ecopetrol Prometeo - Documents\Planning Space Implementation\3. Analysis &amp; Design\Design\FC22\DRR Jaime\QUIFA-CAJÚA\Cajua\[CAJUA_CF_SEC_New_27-Feb-2024Rev3.xlsx]D-PND'!</v>
      </c>
      <c r="G3425" s="32" t="s">
        <v>111</v>
      </c>
      <c r="H3425" s="33">
        <f t="shared" si="816"/>
        <v>15</v>
      </c>
      <c r="I3425" s="33" t="str">
        <f t="shared" si="815"/>
        <v>='C:\Users\jaime.benazar\Quorum Business Solutions\Ecopetrol Prometeo - Documents\Planning Space Implementation\3. Analysis &amp; Design\Design\FC22\DRR Jaime\QUIFA-CAJÚA\Cajua\[CAJUA_CF_SEC_New_27-Feb-2024Rev3.xlsx]D-PND'!$BE$15</v>
      </c>
      <c r="J3425" s="37" t="s">
        <v>3557</v>
      </c>
    </row>
    <row r="3426" spans="1:10" x14ac:dyDescent="0.25">
      <c r="A3426" s="32" t="s">
        <v>3</v>
      </c>
      <c r="B3426" s="32">
        <f t="shared" si="817"/>
        <v>2027</v>
      </c>
      <c r="C3426" s="33" t="s">
        <v>49</v>
      </c>
      <c r="D3426" s="34" t="s">
        <v>1999</v>
      </c>
      <c r="E3426" s="35" t="str">
        <f t="shared" si="813"/>
        <v>PND'!</v>
      </c>
      <c r="F3426" s="34" t="str">
        <f t="shared" si="814"/>
        <v>C:\Users\jaime.benazar\Quorum Business Solutions\Ecopetrol Prometeo - Documents\Planning Space Implementation\3. Analysis &amp; Design\Design\FC22\DRR Jaime\QUIFA-CAJÚA\Cajua\[CAJUA_CF_SEC_New_27-Feb-2024Rev3.xlsx]D-PND'!</v>
      </c>
      <c r="G3426" s="32" t="s">
        <v>111</v>
      </c>
      <c r="H3426" s="33">
        <f t="shared" si="816"/>
        <v>16</v>
      </c>
      <c r="I3426" s="33" t="str">
        <f t="shared" si="815"/>
        <v>='C:\Users\jaime.benazar\Quorum Business Solutions\Ecopetrol Prometeo - Documents\Planning Space Implementation\3. Analysis &amp; Design\Design\FC22\DRR Jaime\QUIFA-CAJÚA\Cajua\[CAJUA_CF_SEC_New_27-Feb-2024Rev3.xlsx]D-PND'!$BE$16</v>
      </c>
      <c r="J3426" s="37" t="s">
        <v>3558</v>
      </c>
    </row>
    <row r="3427" spans="1:10" x14ac:dyDescent="0.25">
      <c r="A3427" s="32" t="s">
        <v>3</v>
      </c>
      <c r="B3427" s="32">
        <f t="shared" si="817"/>
        <v>2028</v>
      </c>
      <c r="C3427" s="33" t="s">
        <v>49</v>
      </c>
      <c r="D3427" s="34" t="s">
        <v>1999</v>
      </c>
      <c r="E3427" s="35" t="str">
        <f t="shared" si="813"/>
        <v>PND'!</v>
      </c>
      <c r="F3427" s="34" t="str">
        <f t="shared" si="814"/>
        <v>C:\Users\jaime.benazar\Quorum Business Solutions\Ecopetrol Prometeo - Documents\Planning Space Implementation\3. Analysis &amp; Design\Design\FC22\DRR Jaime\QUIFA-CAJÚA\Cajua\[CAJUA_CF_SEC_New_27-Feb-2024Rev3.xlsx]D-PND'!</v>
      </c>
      <c r="G3427" s="32" t="s">
        <v>111</v>
      </c>
      <c r="H3427" s="33">
        <f t="shared" si="816"/>
        <v>17</v>
      </c>
      <c r="I3427" s="33" t="str">
        <f t="shared" si="815"/>
        <v>='C:\Users\jaime.benazar\Quorum Business Solutions\Ecopetrol Prometeo - Documents\Planning Space Implementation\3. Analysis &amp; Design\Design\FC22\DRR Jaime\QUIFA-CAJÚA\Cajua\[CAJUA_CF_SEC_New_27-Feb-2024Rev3.xlsx]D-PND'!$BE$17</v>
      </c>
      <c r="J3427" s="37" t="s">
        <v>3559</v>
      </c>
    </row>
    <row r="3428" spans="1:10" x14ac:dyDescent="0.25">
      <c r="A3428" s="32" t="s">
        <v>3</v>
      </c>
      <c r="B3428" s="32">
        <f t="shared" si="817"/>
        <v>2029</v>
      </c>
      <c r="C3428" s="33" t="s">
        <v>49</v>
      </c>
      <c r="D3428" s="34" t="s">
        <v>1999</v>
      </c>
      <c r="E3428" s="35" t="str">
        <f t="shared" si="813"/>
        <v>PND'!</v>
      </c>
      <c r="F3428" s="34" t="str">
        <f t="shared" si="814"/>
        <v>C:\Users\jaime.benazar\Quorum Business Solutions\Ecopetrol Prometeo - Documents\Planning Space Implementation\3. Analysis &amp; Design\Design\FC22\DRR Jaime\QUIFA-CAJÚA\Cajua\[CAJUA_CF_SEC_New_27-Feb-2024Rev3.xlsx]D-PND'!</v>
      </c>
      <c r="G3428" s="32" t="s">
        <v>111</v>
      </c>
      <c r="H3428" s="33">
        <f t="shared" si="816"/>
        <v>18</v>
      </c>
      <c r="I3428" s="33" t="str">
        <f t="shared" si="815"/>
        <v>='C:\Users\jaime.benazar\Quorum Business Solutions\Ecopetrol Prometeo - Documents\Planning Space Implementation\3. Analysis &amp; Design\Design\FC22\DRR Jaime\QUIFA-CAJÚA\Cajua\[CAJUA_CF_SEC_New_27-Feb-2024Rev3.xlsx]D-PND'!$BE$18</v>
      </c>
      <c r="J3428" s="37" t="s">
        <v>3560</v>
      </c>
    </row>
    <row r="3429" spans="1:10" x14ac:dyDescent="0.25">
      <c r="A3429" s="32" t="s">
        <v>3</v>
      </c>
      <c r="B3429" s="32">
        <f t="shared" si="817"/>
        <v>2030</v>
      </c>
      <c r="C3429" s="33" t="s">
        <v>49</v>
      </c>
      <c r="D3429" s="34" t="s">
        <v>1999</v>
      </c>
      <c r="E3429" s="35" t="str">
        <f t="shared" si="813"/>
        <v>PND'!</v>
      </c>
      <c r="F3429" s="34" t="str">
        <f t="shared" si="814"/>
        <v>C:\Users\jaime.benazar\Quorum Business Solutions\Ecopetrol Prometeo - Documents\Planning Space Implementation\3. Analysis &amp; Design\Design\FC22\DRR Jaime\QUIFA-CAJÚA\Cajua\[CAJUA_CF_SEC_New_27-Feb-2024Rev3.xlsx]D-PND'!</v>
      </c>
      <c r="G3429" s="32" t="s">
        <v>111</v>
      </c>
      <c r="H3429" s="33">
        <f t="shared" si="816"/>
        <v>19</v>
      </c>
      <c r="I3429" s="33" t="str">
        <f t="shared" si="815"/>
        <v>='C:\Users\jaime.benazar\Quorum Business Solutions\Ecopetrol Prometeo - Documents\Planning Space Implementation\3. Analysis &amp; Design\Design\FC22\DRR Jaime\QUIFA-CAJÚA\Cajua\[CAJUA_CF_SEC_New_27-Feb-2024Rev3.xlsx]D-PND'!$BE$19</v>
      </c>
      <c r="J3429" s="37" t="s">
        <v>3561</v>
      </c>
    </row>
    <row r="3430" spans="1:10" x14ac:dyDescent="0.25">
      <c r="A3430" s="32" t="s">
        <v>3</v>
      </c>
      <c r="B3430" s="32">
        <f t="shared" si="817"/>
        <v>2031</v>
      </c>
      <c r="C3430" s="33" t="s">
        <v>49</v>
      </c>
      <c r="D3430" s="34" t="s">
        <v>1999</v>
      </c>
      <c r="E3430" s="35" t="str">
        <f t="shared" si="813"/>
        <v>PND'!</v>
      </c>
      <c r="F3430" s="34" t="str">
        <f t="shared" si="814"/>
        <v>C:\Users\jaime.benazar\Quorum Business Solutions\Ecopetrol Prometeo - Documents\Planning Space Implementation\3. Analysis &amp; Design\Design\FC22\DRR Jaime\QUIFA-CAJÚA\Cajua\[CAJUA_CF_SEC_New_27-Feb-2024Rev3.xlsx]D-PND'!</v>
      </c>
      <c r="G3430" s="32" t="s">
        <v>111</v>
      </c>
      <c r="H3430" s="33">
        <f t="shared" si="816"/>
        <v>20</v>
      </c>
      <c r="I3430" s="33" t="str">
        <f t="shared" si="815"/>
        <v>='C:\Users\jaime.benazar\Quorum Business Solutions\Ecopetrol Prometeo - Documents\Planning Space Implementation\3. Analysis &amp; Design\Design\FC22\DRR Jaime\QUIFA-CAJÚA\Cajua\[CAJUA_CF_SEC_New_27-Feb-2024Rev3.xlsx]D-PND'!$BE$20</v>
      </c>
      <c r="J3430" s="37" t="s">
        <v>3562</v>
      </c>
    </row>
    <row r="3431" spans="1:10" x14ac:dyDescent="0.25">
      <c r="A3431" s="32" t="s">
        <v>3</v>
      </c>
      <c r="B3431" s="32">
        <f t="shared" si="817"/>
        <v>2032</v>
      </c>
      <c r="C3431" s="33" t="s">
        <v>49</v>
      </c>
      <c r="D3431" s="34" t="s">
        <v>1999</v>
      </c>
      <c r="E3431" s="35" t="str">
        <f t="shared" si="813"/>
        <v>PND'!</v>
      </c>
      <c r="F3431" s="34" t="str">
        <f t="shared" si="814"/>
        <v>C:\Users\jaime.benazar\Quorum Business Solutions\Ecopetrol Prometeo - Documents\Planning Space Implementation\3. Analysis &amp; Design\Design\FC22\DRR Jaime\QUIFA-CAJÚA\Cajua\[CAJUA_CF_SEC_New_27-Feb-2024Rev3.xlsx]D-PND'!</v>
      </c>
      <c r="G3431" s="32" t="s">
        <v>111</v>
      </c>
      <c r="H3431" s="33">
        <f t="shared" si="816"/>
        <v>21</v>
      </c>
      <c r="I3431" s="33" t="str">
        <f t="shared" si="815"/>
        <v>='C:\Users\jaime.benazar\Quorum Business Solutions\Ecopetrol Prometeo - Documents\Planning Space Implementation\3. Analysis &amp; Design\Design\FC22\DRR Jaime\QUIFA-CAJÚA\Cajua\[CAJUA_CF_SEC_New_27-Feb-2024Rev3.xlsx]D-PND'!$BE$21</v>
      </c>
      <c r="J3431" s="37" t="s">
        <v>3563</v>
      </c>
    </row>
    <row r="3432" spans="1:10" x14ac:dyDescent="0.25">
      <c r="A3432" s="32" t="s">
        <v>3</v>
      </c>
      <c r="B3432" s="32">
        <f t="shared" si="817"/>
        <v>2033</v>
      </c>
      <c r="C3432" s="33" t="s">
        <v>49</v>
      </c>
      <c r="D3432" s="34" t="s">
        <v>1999</v>
      </c>
      <c r="E3432" s="35" t="str">
        <f t="shared" si="813"/>
        <v>PND'!</v>
      </c>
      <c r="F3432" s="34" t="str">
        <f t="shared" si="814"/>
        <v>C:\Users\jaime.benazar\Quorum Business Solutions\Ecopetrol Prometeo - Documents\Planning Space Implementation\3. Analysis &amp; Design\Design\FC22\DRR Jaime\QUIFA-CAJÚA\Cajua\[CAJUA_CF_SEC_New_27-Feb-2024Rev3.xlsx]D-PND'!</v>
      </c>
      <c r="G3432" s="32" t="s">
        <v>111</v>
      </c>
      <c r="H3432" s="33">
        <f t="shared" si="816"/>
        <v>22</v>
      </c>
      <c r="I3432" s="33" t="str">
        <f t="shared" si="815"/>
        <v>='C:\Users\jaime.benazar\Quorum Business Solutions\Ecopetrol Prometeo - Documents\Planning Space Implementation\3. Analysis &amp; Design\Design\FC22\DRR Jaime\QUIFA-CAJÚA\Cajua\[CAJUA_CF_SEC_New_27-Feb-2024Rev3.xlsx]D-PND'!$BE$22</v>
      </c>
      <c r="J3432" s="37" t="s">
        <v>3564</v>
      </c>
    </row>
    <row r="3433" spans="1:10" x14ac:dyDescent="0.25">
      <c r="A3433" s="32" t="s">
        <v>3</v>
      </c>
      <c r="B3433" s="32">
        <f t="shared" si="817"/>
        <v>2034</v>
      </c>
      <c r="C3433" s="33" t="s">
        <v>49</v>
      </c>
      <c r="D3433" s="34" t="s">
        <v>1999</v>
      </c>
      <c r="E3433" s="35" t="str">
        <f t="shared" si="813"/>
        <v>PND'!</v>
      </c>
      <c r="F3433" s="34" t="str">
        <f t="shared" si="814"/>
        <v>C:\Users\jaime.benazar\Quorum Business Solutions\Ecopetrol Prometeo - Documents\Planning Space Implementation\3. Analysis &amp; Design\Design\FC22\DRR Jaime\QUIFA-CAJÚA\Cajua\[CAJUA_CF_SEC_New_27-Feb-2024Rev3.xlsx]D-PND'!</v>
      </c>
      <c r="G3433" s="32" t="s">
        <v>111</v>
      </c>
      <c r="H3433" s="33">
        <f t="shared" si="816"/>
        <v>23</v>
      </c>
      <c r="I3433" s="33" t="str">
        <f t="shared" si="815"/>
        <v>='C:\Users\jaime.benazar\Quorum Business Solutions\Ecopetrol Prometeo - Documents\Planning Space Implementation\3. Analysis &amp; Design\Design\FC22\DRR Jaime\QUIFA-CAJÚA\Cajua\[CAJUA_CF_SEC_New_27-Feb-2024Rev3.xlsx]D-PND'!$BE$23</v>
      </c>
      <c r="J3433" s="37" t="s">
        <v>3565</v>
      </c>
    </row>
    <row r="3434" spans="1:10" x14ac:dyDescent="0.25">
      <c r="A3434" s="32" t="s">
        <v>3</v>
      </c>
      <c r="B3434" s="32">
        <f t="shared" si="817"/>
        <v>2035</v>
      </c>
      <c r="C3434" s="33" t="s">
        <v>49</v>
      </c>
      <c r="D3434" s="34" t="s">
        <v>1999</v>
      </c>
      <c r="E3434" s="35" t="str">
        <f t="shared" si="813"/>
        <v>PND'!</v>
      </c>
      <c r="F3434" s="34" t="str">
        <f t="shared" si="814"/>
        <v>C:\Users\jaime.benazar\Quorum Business Solutions\Ecopetrol Prometeo - Documents\Planning Space Implementation\3. Analysis &amp; Design\Design\FC22\DRR Jaime\QUIFA-CAJÚA\Cajua\[CAJUA_CF_SEC_New_27-Feb-2024Rev3.xlsx]D-PND'!</v>
      </c>
      <c r="G3434" s="32" t="s">
        <v>111</v>
      </c>
      <c r="H3434" s="33">
        <f t="shared" si="816"/>
        <v>24</v>
      </c>
      <c r="I3434" s="33" t="str">
        <f t="shared" si="815"/>
        <v>='C:\Users\jaime.benazar\Quorum Business Solutions\Ecopetrol Prometeo - Documents\Planning Space Implementation\3. Analysis &amp; Design\Design\FC22\DRR Jaime\QUIFA-CAJÚA\Cajua\[CAJUA_CF_SEC_New_27-Feb-2024Rev3.xlsx]D-PND'!$BE$24</v>
      </c>
      <c r="J3434" s="37" t="s">
        <v>3566</v>
      </c>
    </row>
    <row r="3435" spans="1:10" x14ac:dyDescent="0.25">
      <c r="A3435" s="32" t="s">
        <v>3</v>
      </c>
      <c r="B3435" s="32">
        <f t="shared" si="817"/>
        <v>2036</v>
      </c>
      <c r="C3435" s="33" t="s">
        <v>49</v>
      </c>
      <c r="D3435" s="34" t="s">
        <v>1999</v>
      </c>
      <c r="E3435" s="35" t="str">
        <f t="shared" si="813"/>
        <v>PND'!</v>
      </c>
      <c r="F3435" s="34" t="str">
        <f t="shared" si="814"/>
        <v>C:\Users\jaime.benazar\Quorum Business Solutions\Ecopetrol Prometeo - Documents\Planning Space Implementation\3. Analysis &amp; Design\Design\FC22\DRR Jaime\QUIFA-CAJÚA\Cajua\[CAJUA_CF_SEC_New_27-Feb-2024Rev3.xlsx]D-PND'!</v>
      </c>
      <c r="G3435" s="32" t="s">
        <v>111</v>
      </c>
      <c r="H3435" s="33">
        <f t="shared" si="816"/>
        <v>25</v>
      </c>
      <c r="I3435" s="33" t="str">
        <f t="shared" si="815"/>
        <v>='C:\Users\jaime.benazar\Quorum Business Solutions\Ecopetrol Prometeo - Documents\Planning Space Implementation\3. Analysis &amp; Design\Design\FC22\DRR Jaime\QUIFA-CAJÚA\Cajua\[CAJUA_CF_SEC_New_27-Feb-2024Rev3.xlsx]D-PND'!$BE$25</v>
      </c>
      <c r="J3435" s="37" t="s">
        <v>3567</v>
      </c>
    </row>
    <row r="3436" spans="1:10" x14ac:dyDescent="0.25">
      <c r="A3436" s="32" t="s">
        <v>3</v>
      </c>
      <c r="B3436" s="32">
        <f>+B3435+1</f>
        <v>2037</v>
      </c>
      <c r="C3436" s="33" t="s">
        <v>49</v>
      </c>
      <c r="D3436" s="34" t="s">
        <v>1999</v>
      </c>
      <c r="E3436" s="35" t="str">
        <f t="shared" si="813"/>
        <v>PND'!</v>
      </c>
      <c r="F3436" s="34" t="str">
        <f t="shared" si="814"/>
        <v>C:\Users\jaime.benazar\Quorum Business Solutions\Ecopetrol Prometeo - Documents\Planning Space Implementation\3. Analysis &amp; Design\Design\FC22\DRR Jaime\QUIFA-CAJÚA\Cajua\[CAJUA_CF_SEC_New_27-Feb-2024Rev3.xlsx]D-PND'!</v>
      </c>
      <c r="G3436" s="32" t="s">
        <v>111</v>
      </c>
      <c r="H3436" s="33">
        <f t="shared" si="816"/>
        <v>26</v>
      </c>
      <c r="I3436" s="33" t="str">
        <f t="shared" si="815"/>
        <v>='C:\Users\jaime.benazar\Quorum Business Solutions\Ecopetrol Prometeo - Documents\Planning Space Implementation\3. Analysis &amp; Design\Design\FC22\DRR Jaime\QUIFA-CAJÚA\Cajua\[CAJUA_CF_SEC_New_27-Feb-2024Rev3.xlsx]D-PND'!$BE$26</v>
      </c>
      <c r="J3436" s="37" t="s">
        <v>3568</v>
      </c>
    </row>
    <row r="3437" spans="1:10" x14ac:dyDescent="0.25">
      <c r="A3437" s="32" t="s">
        <v>3</v>
      </c>
      <c r="B3437" s="32">
        <f t="shared" ref="B3437:B3439" si="818">+B3436+1</f>
        <v>2038</v>
      </c>
      <c r="C3437" s="33" t="s">
        <v>49</v>
      </c>
      <c r="D3437" s="34" t="s">
        <v>1999</v>
      </c>
      <c r="E3437" s="35" t="str">
        <f t="shared" si="813"/>
        <v>PND'!</v>
      </c>
      <c r="F3437" s="34" t="str">
        <f t="shared" si="814"/>
        <v>C:\Users\jaime.benazar\Quorum Business Solutions\Ecopetrol Prometeo - Documents\Planning Space Implementation\3. Analysis &amp; Design\Design\FC22\DRR Jaime\QUIFA-CAJÚA\Cajua\[CAJUA_CF_SEC_New_27-Feb-2024Rev3.xlsx]D-PND'!</v>
      </c>
      <c r="G3437" s="32" t="s">
        <v>111</v>
      </c>
      <c r="H3437" s="33">
        <f t="shared" si="816"/>
        <v>27</v>
      </c>
      <c r="I3437" s="33" t="str">
        <f t="shared" si="815"/>
        <v>='C:\Users\jaime.benazar\Quorum Business Solutions\Ecopetrol Prometeo - Documents\Planning Space Implementation\3. Analysis &amp; Design\Design\FC22\DRR Jaime\QUIFA-CAJÚA\Cajua\[CAJUA_CF_SEC_New_27-Feb-2024Rev3.xlsx]D-PND'!$BE$27</v>
      </c>
      <c r="J3437" s="37" t="s">
        <v>3569</v>
      </c>
    </row>
    <row r="3438" spans="1:10" x14ac:dyDescent="0.25">
      <c r="A3438" s="32" t="s">
        <v>3</v>
      </c>
      <c r="B3438" s="32">
        <f t="shared" si="818"/>
        <v>2039</v>
      </c>
      <c r="C3438" s="33" t="s">
        <v>49</v>
      </c>
      <c r="D3438" s="34" t="s">
        <v>1999</v>
      </c>
      <c r="E3438" s="35" t="str">
        <f t="shared" si="813"/>
        <v>PND'!</v>
      </c>
      <c r="F3438" s="34" t="str">
        <f t="shared" si="814"/>
        <v>C:\Users\jaime.benazar\Quorum Business Solutions\Ecopetrol Prometeo - Documents\Planning Space Implementation\3. Analysis &amp; Design\Design\FC22\DRR Jaime\QUIFA-CAJÚA\Cajua\[CAJUA_CF_SEC_New_27-Feb-2024Rev3.xlsx]D-PND'!</v>
      </c>
      <c r="G3438" s="32" t="s">
        <v>111</v>
      </c>
      <c r="H3438" s="33">
        <f t="shared" si="816"/>
        <v>28</v>
      </c>
      <c r="I3438" s="33" t="str">
        <f t="shared" si="815"/>
        <v>='C:\Users\jaime.benazar\Quorum Business Solutions\Ecopetrol Prometeo - Documents\Planning Space Implementation\3. Analysis &amp; Design\Design\FC22\DRR Jaime\QUIFA-CAJÚA\Cajua\[CAJUA_CF_SEC_New_27-Feb-2024Rev3.xlsx]D-PND'!$BE$28</v>
      </c>
      <c r="J3438" s="37" t="s">
        <v>3570</v>
      </c>
    </row>
    <row r="3439" spans="1:10" x14ac:dyDescent="0.25">
      <c r="A3439" s="32" t="s">
        <v>3</v>
      </c>
      <c r="B3439" s="32">
        <f t="shared" si="818"/>
        <v>2040</v>
      </c>
      <c r="C3439" s="33" t="s">
        <v>49</v>
      </c>
      <c r="D3439" s="34" t="s">
        <v>1999</v>
      </c>
      <c r="E3439" s="35" t="str">
        <f t="shared" si="813"/>
        <v>PND'!</v>
      </c>
      <c r="F3439" s="34" t="str">
        <f t="shared" si="814"/>
        <v>C:\Users\jaime.benazar\Quorum Business Solutions\Ecopetrol Prometeo - Documents\Planning Space Implementation\3. Analysis &amp; Design\Design\FC22\DRR Jaime\QUIFA-CAJÚA\Cajua\[CAJUA_CF_SEC_New_27-Feb-2024Rev3.xlsx]D-PND'!</v>
      </c>
      <c r="G3439" s="32" t="s">
        <v>111</v>
      </c>
      <c r="H3439" s="33">
        <f t="shared" si="816"/>
        <v>29</v>
      </c>
      <c r="I3439" s="33" t="str">
        <f t="shared" si="815"/>
        <v>='C:\Users\jaime.benazar\Quorum Business Solutions\Ecopetrol Prometeo - Documents\Planning Space Implementation\3. Analysis &amp; Design\Design\FC22\DRR Jaime\QUIFA-CAJÚA\Cajua\[CAJUA_CF_SEC_New_27-Feb-2024Rev3.xlsx]D-PND'!$BE$29</v>
      </c>
      <c r="J3439" s="37" t="s">
        <v>3571</v>
      </c>
    </row>
    <row r="3440" spans="1:10" x14ac:dyDescent="0.25">
      <c r="A3440" s="32" t="s">
        <v>3</v>
      </c>
      <c r="B3440" s="32">
        <f>+B3439+1</f>
        <v>2041</v>
      </c>
      <c r="C3440" s="33" t="s">
        <v>49</v>
      </c>
      <c r="D3440" s="34" t="s">
        <v>1999</v>
      </c>
      <c r="E3440" s="35" t="str">
        <f t="shared" si="813"/>
        <v>PND'!</v>
      </c>
      <c r="F3440" s="34" t="str">
        <f t="shared" si="814"/>
        <v>C:\Users\jaime.benazar\Quorum Business Solutions\Ecopetrol Prometeo - Documents\Planning Space Implementation\3. Analysis &amp; Design\Design\FC22\DRR Jaime\QUIFA-CAJÚA\Cajua\[CAJUA_CF_SEC_New_27-Feb-2024Rev3.xlsx]D-PND'!</v>
      </c>
      <c r="G3440" s="32" t="s">
        <v>111</v>
      </c>
      <c r="H3440" s="33">
        <f t="shared" si="816"/>
        <v>30</v>
      </c>
      <c r="I3440" s="33" t="str">
        <f t="shared" si="815"/>
        <v>='C:\Users\jaime.benazar\Quorum Business Solutions\Ecopetrol Prometeo - Documents\Planning Space Implementation\3. Analysis &amp; Design\Design\FC22\DRR Jaime\QUIFA-CAJÚA\Cajua\[CAJUA_CF_SEC_New_27-Feb-2024Rev3.xlsx]D-PND'!$BE$30</v>
      </c>
      <c r="J3440" s="37" t="s">
        <v>3572</v>
      </c>
    </row>
    <row r="3441" spans="1:10" x14ac:dyDescent="0.25">
      <c r="A3441" s="32" t="s">
        <v>3</v>
      </c>
      <c r="B3441" s="32">
        <f t="shared" ref="B3441:B3442" si="819">+B3440+1</f>
        <v>2042</v>
      </c>
      <c r="C3441" s="33" t="s">
        <v>49</v>
      </c>
      <c r="D3441" s="34" t="s">
        <v>1999</v>
      </c>
      <c r="E3441" s="35" t="str">
        <f t="shared" si="813"/>
        <v>PND'!</v>
      </c>
      <c r="F3441" s="34" t="str">
        <f t="shared" si="814"/>
        <v>C:\Users\jaime.benazar\Quorum Business Solutions\Ecopetrol Prometeo - Documents\Planning Space Implementation\3. Analysis &amp; Design\Design\FC22\DRR Jaime\QUIFA-CAJÚA\Cajua\[CAJUA_CF_SEC_New_27-Feb-2024Rev3.xlsx]D-PND'!</v>
      </c>
      <c r="G3441" s="32" t="s">
        <v>111</v>
      </c>
      <c r="H3441" s="33">
        <f t="shared" si="816"/>
        <v>31</v>
      </c>
      <c r="I3441" s="33" t="str">
        <f t="shared" si="815"/>
        <v>='C:\Users\jaime.benazar\Quorum Business Solutions\Ecopetrol Prometeo - Documents\Planning Space Implementation\3. Analysis &amp; Design\Design\FC22\DRR Jaime\QUIFA-CAJÚA\Cajua\[CAJUA_CF_SEC_New_27-Feb-2024Rev3.xlsx]D-PND'!$BE$31</v>
      </c>
      <c r="J3441" s="37" t="s">
        <v>3573</v>
      </c>
    </row>
    <row r="3442" spans="1:10" x14ac:dyDescent="0.25">
      <c r="A3442" s="32" t="s">
        <v>3</v>
      </c>
      <c r="B3442" s="32">
        <f t="shared" si="819"/>
        <v>2043</v>
      </c>
      <c r="C3442" s="33" t="s">
        <v>49</v>
      </c>
      <c r="D3442" s="34" t="s">
        <v>1999</v>
      </c>
      <c r="E3442" s="35" t="str">
        <f t="shared" si="813"/>
        <v>PND'!</v>
      </c>
      <c r="F3442" s="34" t="str">
        <f t="shared" si="814"/>
        <v>C:\Users\jaime.benazar\Quorum Business Solutions\Ecopetrol Prometeo - Documents\Planning Space Implementation\3. Analysis &amp; Design\Design\FC22\DRR Jaime\QUIFA-CAJÚA\Cajua\[CAJUA_CF_SEC_New_27-Feb-2024Rev3.xlsx]D-PND'!</v>
      </c>
      <c r="G3442" s="32" t="s">
        <v>111</v>
      </c>
      <c r="H3442" s="33">
        <f t="shared" si="816"/>
        <v>32</v>
      </c>
      <c r="I3442" s="33" t="str">
        <f t="shared" si="815"/>
        <v>='C:\Users\jaime.benazar\Quorum Business Solutions\Ecopetrol Prometeo - Documents\Planning Space Implementation\3. Analysis &amp; Design\Design\FC22\DRR Jaime\QUIFA-CAJÚA\Cajua\[CAJUA_CF_SEC_New_27-Feb-2024Rev3.xlsx]D-PND'!$BE$32</v>
      </c>
      <c r="J3442" s="37" t="s">
        <v>3574</v>
      </c>
    </row>
    <row r="3443" spans="1:10" x14ac:dyDescent="0.25">
      <c r="A3443" s="32" t="s">
        <v>3</v>
      </c>
      <c r="B3443" s="32">
        <f>+B3442+1</f>
        <v>2044</v>
      </c>
      <c r="C3443" s="33" t="s">
        <v>49</v>
      </c>
      <c r="D3443" s="34" t="s">
        <v>1999</v>
      </c>
      <c r="E3443" s="35" t="str">
        <f t="shared" ref="E3443:E3458" si="820">_xlfn.CONCAT(A3443,"'!")</f>
        <v>PND'!</v>
      </c>
      <c r="F3443" s="34" t="str">
        <f t="shared" ref="F3443:F3458" si="821">_xlfn.CONCAT(D3443:E3443)</f>
        <v>C:\Users\jaime.benazar\Quorum Business Solutions\Ecopetrol Prometeo - Documents\Planning Space Implementation\3. Analysis &amp; Design\Design\FC22\DRR Jaime\QUIFA-CAJÚA\Cajua\[CAJUA_CF_SEC_New_27-Feb-2024Rev3.xlsx]D-PND'!</v>
      </c>
      <c r="G3443" s="32" t="s">
        <v>111</v>
      </c>
      <c r="H3443" s="33">
        <f t="shared" ref="H3443:H3458" si="822">IF(A3443&lt;&gt;A3442,36,H3442+1)</f>
        <v>33</v>
      </c>
      <c r="I3443" s="33" t="str">
        <f t="shared" ref="I3443:I3496" si="823">_xlfn.CONCAT("='",F3443:H3443)</f>
        <v>='C:\Users\jaime.benazar\Quorum Business Solutions\Ecopetrol Prometeo - Documents\Planning Space Implementation\3. Analysis &amp; Design\Design\FC22\DRR Jaime\QUIFA-CAJÚA\Cajua\[CAJUA_CF_SEC_New_27-Feb-2024Rev3.xlsx]D-PND'!$BE$33</v>
      </c>
      <c r="J3443" s="37" t="s">
        <v>3575</v>
      </c>
    </row>
    <row r="3444" spans="1:10" x14ac:dyDescent="0.25">
      <c r="A3444" s="32" t="s">
        <v>3</v>
      </c>
      <c r="B3444" s="32">
        <f t="shared" ref="B3444:B3458" si="824">+B3443+1</f>
        <v>2045</v>
      </c>
      <c r="C3444" s="33" t="s">
        <v>49</v>
      </c>
      <c r="D3444" s="34" t="s">
        <v>1999</v>
      </c>
      <c r="E3444" s="35" t="str">
        <f t="shared" si="820"/>
        <v>PND'!</v>
      </c>
      <c r="F3444" s="34" t="str">
        <f t="shared" si="821"/>
        <v>C:\Users\jaime.benazar\Quorum Business Solutions\Ecopetrol Prometeo - Documents\Planning Space Implementation\3. Analysis &amp; Design\Design\FC22\DRR Jaime\QUIFA-CAJÚA\Cajua\[CAJUA_CF_SEC_New_27-Feb-2024Rev3.xlsx]D-PND'!</v>
      </c>
      <c r="G3444" s="32" t="s">
        <v>111</v>
      </c>
      <c r="H3444" s="33">
        <f t="shared" si="822"/>
        <v>34</v>
      </c>
      <c r="I3444" s="33" t="str">
        <f t="shared" si="823"/>
        <v>='C:\Users\jaime.benazar\Quorum Business Solutions\Ecopetrol Prometeo - Documents\Planning Space Implementation\3. Analysis &amp; Design\Design\FC22\DRR Jaime\QUIFA-CAJÚA\Cajua\[CAJUA_CF_SEC_New_27-Feb-2024Rev3.xlsx]D-PND'!$BE$34</v>
      </c>
      <c r="J3444" s="37" t="s">
        <v>3576</v>
      </c>
    </row>
    <row r="3445" spans="1:10" x14ac:dyDescent="0.25">
      <c r="A3445" s="32" t="s">
        <v>3</v>
      </c>
      <c r="B3445" s="32">
        <f t="shared" si="824"/>
        <v>2046</v>
      </c>
      <c r="C3445" s="33" t="s">
        <v>49</v>
      </c>
      <c r="D3445" s="34" t="s">
        <v>1999</v>
      </c>
      <c r="E3445" s="35" t="str">
        <f t="shared" si="820"/>
        <v>PND'!</v>
      </c>
      <c r="F3445" s="34" t="str">
        <f t="shared" si="821"/>
        <v>C:\Users\jaime.benazar\Quorum Business Solutions\Ecopetrol Prometeo - Documents\Planning Space Implementation\3. Analysis &amp; Design\Design\FC22\DRR Jaime\QUIFA-CAJÚA\Cajua\[CAJUA_CF_SEC_New_27-Feb-2024Rev3.xlsx]D-PND'!</v>
      </c>
      <c r="G3445" s="32" t="s">
        <v>111</v>
      </c>
      <c r="H3445" s="33">
        <f t="shared" si="822"/>
        <v>35</v>
      </c>
      <c r="I3445" s="33" t="str">
        <f t="shared" si="823"/>
        <v>='C:\Users\jaime.benazar\Quorum Business Solutions\Ecopetrol Prometeo - Documents\Planning Space Implementation\3. Analysis &amp; Design\Design\FC22\DRR Jaime\QUIFA-CAJÚA\Cajua\[CAJUA_CF_SEC_New_27-Feb-2024Rev3.xlsx]D-PND'!$BE$35</v>
      </c>
      <c r="J3445" s="37" t="s">
        <v>3577</v>
      </c>
    </row>
    <row r="3446" spans="1:10" x14ac:dyDescent="0.25">
      <c r="A3446" s="32" t="s">
        <v>3</v>
      </c>
      <c r="B3446" s="32">
        <f t="shared" si="824"/>
        <v>2047</v>
      </c>
      <c r="C3446" s="33" t="s">
        <v>49</v>
      </c>
      <c r="D3446" s="34" t="s">
        <v>1999</v>
      </c>
      <c r="E3446" s="35" t="str">
        <f t="shared" si="820"/>
        <v>PND'!</v>
      </c>
      <c r="F3446" s="34" t="str">
        <f t="shared" si="821"/>
        <v>C:\Users\jaime.benazar\Quorum Business Solutions\Ecopetrol Prometeo - Documents\Planning Space Implementation\3. Analysis &amp; Design\Design\FC22\DRR Jaime\QUIFA-CAJÚA\Cajua\[CAJUA_CF_SEC_New_27-Feb-2024Rev3.xlsx]D-PND'!</v>
      </c>
      <c r="G3446" s="32" t="s">
        <v>111</v>
      </c>
      <c r="H3446" s="33">
        <f t="shared" si="822"/>
        <v>36</v>
      </c>
      <c r="I3446" s="33" t="str">
        <f t="shared" si="823"/>
        <v>='C:\Users\jaime.benazar\Quorum Business Solutions\Ecopetrol Prometeo - Documents\Planning Space Implementation\3. Analysis &amp; Design\Design\FC22\DRR Jaime\QUIFA-CAJÚA\Cajua\[CAJUA_CF_SEC_New_27-Feb-2024Rev3.xlsx]D-PND'!$BE$36</v>
      </c>
      <c r="J3446" s="37" t="s">
        <v>3578</v>
      </c>
    </row>
    <row r="3447" spans="1:10" x14ac:dyDescent="0.25">
      <c r="A3447" s="32" t="s">
        <v>3</v>
      </c>
      <c r="B3447" s="32">
        <f t="shared" si="824"/>
        <v>2048</v>
      </c>
      <c r="C3447" s="33" t="s">
        <v>49</v>
      </c>
      <c r="D3447" s="34" t="s">
        <v>1999</v>
      </c>
      <c r="E3447" s="35" t="str">
        <f t="shared" si="820"/>
        <v>PND'!</v>
      </c>
      <c r="F3447" s="34" t="str">
        <f t="shared" si="821"/>
        <v>C:\Users\jaime.benazar\Quorum Business Solutions\Ecopetrol Prometeo - Documents\Planning Space Implementation\3. Analysis &amp; Design\Design\FC22\DRR Jaime\QUIFA-CAJÚA\Cajua\[CAJUA_CF_SEC_New_27-Feb-2024Rev3.xlsx]D-PND'!</v>
      </c>
      <c r="G3447" s="32" t="s">
        <v>111</v>
      </c>
      <c r="H3447" s="33">
        <f t="shared" si="822"/>
        <v>37</v>
      </c>
      <c r="I3447" s="33" t="str">
        <f t="shared" si="823"/>
        <v>='C:\Users\jaime.benazar\Quorum Business Solutions\Ecopetrol Prometeo - Documents\Planning Space Implementation\3. Analysis &amp; Design\Design\FC22\DRR Jaime\QUIFA-CAJÚA\Cajua\[CAJUA_CF_SEC_New_27-Feb-2024Rev3.xlsx]D-PND'!$BE$37</v>
      </c>
      <c r="J3447" s="37" t="s">
        <v>3579</v>
      </c>
    </row>
    <row r="3448" spans="1:10" x14ac:dyDescent="0.25">
      <c r="A3448" s="32" t="s">
        <v>3</v>
      </c>
      <c r="B3448" s="32">
        <f t="shared" si="824"/>
        <v>2049</v>
      </c>
      <c r="C3448" s="33" t="s">
        <v>49</v>
      </c>
      <c r="D3448" s="34" t="s">
        <v>1999</v>
      </c>
      <c r="E3448" s="35" t="str">
        <f t="shared" si="820"/>
        <v>PND'!</v>
      </c>
      <c r="F3448" s="34" t="str">
        <f t="shared" si="821"/>
        <v>C:\Users\jaime.benazar\Quorum Business Solutions\Ecopetrol Prometeo - Documents\Planning Space Implementation\3. Analysis &amp; Design\Design\FC22\DRR Jaime\QUIFA-CAJÚA\Cajua\[CAJUA_CF_SEC_New_27-Feb-2024Rev3.xlsx]D-PND'!</v>
      </c>
      <c r="G3448" s="32" t="s">
        <v>111</v>
      </c>
      <c r="H3448" s="33">
        <f t="shared" si="822"/>
        <v>38</v>
      </c>
      <c r="I3448" s="33" t="str">
        <f t="shared" si="823"/>
        <v>='C:\Users\jaime.benazar\Quorum Business Solutions\Ecopetrol Prometeo - Documents\Planning Space Implementation\3. Analysis &amp; Design\Design\FC22\DRR Jaime\QUIFA-CAJÚA\Cajua\[CAJUA_CF_SEC_New_27-Feb-2024Rev3.xlsx]D-PND'!$BE$38</v>
      </c>
      <c r="J3448" s="37" t="s">
        <v>3580</v>
      </c>
    </row>
    <row r="3449" spans="1:10" x14ac:dyDescent="0.25">
      <c r="A3449" s="32" t="s">
        <v>3</v>
      </c>
      <c r="B3449" s="32">
        <f t="shared" si="824"/>
        <v>2050</v>
      </c>
      <c r="C3449" s="33" t="s">
        <v>49</v>
      </c>
      <c r="D3449" s="34" t="s">
        <v>1999</v>
      </c>
      <c r="E3449" s="35" t="str">
        <f t="shared" si="820"/>
        <v>PND'!</v>
      </c>
      <c r="F3449" s="34" t="str">
        <f t="shared" si="821"/>
        <v>C:\Users\jaime.benazar\Quorum Business Solutions\Ecopetrol Prometeo - Documents\Planning Space Implementation\3. Analysis &amp; Design\Design\FC22\DRR Jaime\QUIFA-CAJÚA\Cajua\[CAJUA_CF_SEC_New_27-Feb-2024Rev3.xlsx]D-PND'!</v>
      </c>
      <c r="G3449" s="32" t="s">
        <v>111</v>
      </c>
      <c r="H3449" s="33">
        <f t="shared" si="822"/>
        <v>39</v>
      </c>
      <c r="I3449" s="33" t="str">
        <f t="shared" si="823"/>
        <v>='C:\Users\jaime.benazar\Quorum Business Solutions\Ecopetrol Prometeo - Documents\Planning Space Implementation\3. Analysis &amp; Design\Design\FC22\DRR Jaime\QUIFA-CAJÚA\Cajua\[CAJUA_CF_SEC_New_27-Feb-2024Rev3.xlsx]D-PND'!$BE$39</v>
      </c>
      <c r="J3449" s="37" t="s">
        <v>3581</v>
      </c>
    </row>
    <row r="3450" spans="1:10" x14ac:dyDescent="0.25">
      <c r="A3450" s="32" t="s">
        <v>3</v>
      </c>
      <c r="B3450" s="32">
        <f t="shared" si="824"/>
        <v>2051</v>
      </c>
      <c r="C3450" s="33" t="s">
        <v>49</v>
      </c>
      <c r="D3450" s="34" t="s">
        <v>1999</v>
      </c>
      <c r="E3450" s="35" t="str">
        <f t="shared" si="820"/>
        <v>PND'!</v>
      </c>
      <c r="F3450" s="34" t="str">
        <f t="shared" si="821"/>
        <v>C:\Users\jaime.benazar\Quorum Business Solutions\Ecopetrol Prometeo - Documents\Planning Space Implementation\3. Analysis &amp; Design\Design\FC22\DRR Jaime\QUIFA-CAJÚA\Cajua\[CAJUA_CF_SEC_New_27-Feb-2024Rev3.xlsx]D-PND'!</v>
      </c>
      <c r="G3450" s="32" t="s">
        <v>111</v>
      </c>
      <c r="H3450" s="33">
        <f t="shared" si="822"/>
        <v>40</v>
      </c>
      <c r="I3450" s="33" t="str">
        <f t="shared" si="823"/>
        <v>='C:\Users\jaime.benazar\Quorum Business Solutions\Ecopetrol Prometeo - Documents\Planning Space Implementation\3. Analysis &amp; Design\Design\FC22\DRR Jaime\QUIFA-CAJÚA\Cajua\[CAJUA_CF_SEC_New_27-Feb-2024Rev3.xlsx]D-PND'!$BE$40</v>
      </c>
      <c r="J3450" s="37" t="s">
        <v>3582</v>
      </c>
    </row>
    <row r="3451" spans="1:10" x14ac:dyDescent="0.25">
      <c r="A3451" s="32" t="s">
        <v>3</v>
      </c>
      <c r="B3451" s="32">
        <f t="shared" si="824"/>
        <v>2052</v>
      </c>
      <c r="C3451" s="33" t="s">
        <v>49</v>
      </c>
      <c r="D3451" s="34" t="s">
        <v>1999</v>
      </c>
      <c r="E3451" s="35" t="str">
        <f t="shared" si="820"/>
        <v>PND'!</v>
      </c>
      <c r="F3451" s="34" t="str">
        <f t="shared" si="821"/>
        <v>C:\Users\jaime.benazar\Quorum Business Solutions\Ecopetrol Prometeo - Documents\Planning Space Implementation\3. Analysis &amp; Design\Design\FC22\DRR Jaime\QUIFA-CAJÚA\Cajua\[CAJUA_CF_SEC_New_27-Feb-2024Rev3.xlsx]D-PND'!</v>
      </c>
      <c r="G3451" s="32" t="s">
        <v>111</v>
      </c>
      <c r="H3451" s="33">
        <f t="shared" si="822"/>
        <v>41</v>
      </c>
      <c r="I3451" s="33" t="str">
        <f t="shared" si="823"/>
        <v>='C:\Users\jaime.benazar\Quorum Business Solutions\Ecopetrol Prometeo - Documents\Planning Space Implementation\3. Analysis &amp; Design\Design\FC22\DRR Jaime\QUIFA-CAJÚA\Cajua\[CAJUA_CF_SEC_New_27-Feb-2024Rev3.xlsx]D-PND'!$BE$41</v>
      </c>
      <c r="J3451" s="37" t="s">
        <v>3583</v>
      </c>
    </row>
    <row r="3452" spans="1:10" x14ac:dyDescent="0.25">
      <c r="A3452" s="32" t="s">
        <v>3</v>
      </c>
      <c r="B3452" s="32">
        <f t="shared" si="824"/>
        <v>2053</v>
      </c>
      <c r="C3452" s="33" t="s">
        <v>49</v>
      </c>
      <c r="D3452" s="34" t="s">
        <v>1999</v>
      </c>
      <c r="E3452" s="35" t="str">
        <f t="shared" si="820"/>
        <v>PND'!</v>
      </c>
      <c r="F3452" s="34" t="str">
        <f t="shared" si="821"/>
        <v>C:\Users\jaime.benazar\Quorum Business Solutions\Ecopetrol Prometeo - Documents\Planning Space Implementation\3. Analysis &amp; Design\Design\FC22\DRR Jaime\QUIFA-CAJÚA\Cajua\[CAJUA_CF_SEC_New_27-Feb-2024Rev3.xlsx]D-PND'!</v>
      </c>
      <c r="G3452" s="32" t="s">
        <v>111</v>
      </c>
      <c r="H3452" s="33">
        <f t="shared" si="822"/>
        <v>42</v>
      </c>
      <c r="I3452" s="33" t="str">
        <f t="shared" si="823"/>
        <v>='C:\Users\jaime.benazar\Quorum Business Solutions\Ecopetrol Prometeo - Documents\Planning Space Implementation\3. Analysis &amp; Design\Design\FC22\DRR Jaime\QUIFA-CAJÚA\Cajua\[CAJUA_CF_SEC_New_27-Feb-2024Rev3.xlsx]D-PND'!$BE$42</v>
      </c>
      <c r="J3452" s="37" t="s">
        <v>3584</v>
      </c>
    </row>
    <row r="3453" spans="1:10" x14ac:dyDescent="0.25">
      <c r="A3453" s="32" t="s">
        <v>3</v>
      </c>
      <c r="B3453" s="32">
        <f t="shared" si="824"/>
        <v>2054</v>
      </c>
      <c r="C3453" s="33" t="s">
        <v>49</v>
      </c>
      <c r="D3453" s="34" t="s">
        <v>1999</v>
      </c>
      <c r="E3453" s="35" t="str">
        <f t="shared" si="820"/>
        <v>PND'!</v>
      </c>
      <c r="F3453" s="34" t="str">
        <f t="shared" si="821"/>
        <v>C:\Users\jaime.benazar\Quorum Business Solutions\Ecopetrol Prometeo - Documents\Planning Space Implementation\3. Analysis &amp; Design\Design\FC22\DRR Jaime\QUIFA-CAJÚA\Cajua\[CAJUA_CF_SEC_New_27-Feb-2024Rev3.xlsx]D-PND'!</v>
      </c>
      <c r="G3453" s="32" t="s">
        <v>111</v>
      </c>
      <c r="H3453" s="33">
        <f t="shared" si="822"/>
        <v>43</v>
      </c>
      <c r="I3453" s="33" t="str">
        <f t="shared" si="823"/>
        <v>='C:\Users\jaime.benazar\Quorum Business Solutions\Ecopetrol Prometeo - Documents\Planning Space Implementation\3. Analysis &amp; Design\Design\FC22\DRR Jaime\QUIFA-CAJÚA\Cajua\[CAJUA_CF_SEC_New_27-Feb-2024Rev3.xlsx]D-PND'!$BE$43</v>
      </c>
      <c r="J3453" s="37" t="s">
        <v>3585</v>
      </c>
    </row>
    <row r="3454" spans="1:10" x14ac:dyDescent="0.25">
      <c r="A3454" s="32" t="s">
        <v>3</v>
      </c>
      <c r="B3454" s="32">
        <f t="shared" si="824"/>
        <v>2055</v>
      </c>
      <c r="C3454" s="33" t="s">
        <v>49</v>
      </c>
      <c r="D3454" s="34" t="s">
        <v>1999</v>
      </c>
      <c r="E3454" s="35" t="str">
        <f t="shared" si="820"/>
        <v>PND'!</v>
      </c>
      <c r="F3454" s="34" t="str">
        <f t="shared" si="821"/>
        <v>C:\Users\jaime.benazar\Quorum Business Solutions\Ecopetrol Prometeo - Documents\Planning Space Implementation\3. Analysis &amp; Design\Design\FC22\DRR Jaime\QUIFA-CAJÚA\Cajua\[CAJUA_CF_SEC_New_27-Feb-2024Rev3.xlsx]D-PND'!</v>
      </c>
      <c r="G3454" s="32" t="s">
        <v>111</v>
      </c>
      <c r="H3454" s="33">
        <f t="shared" si="822"/>
        <v>44</v>
      </c>
      <c r="I3454" s="33" t="str">
        <f t="shared" si="823"/>
        <v>='C:\Users\jaime.benazar\Quorum Business Solutions\Ecopetrol Prometeo - Documents\Planning Space Implementation\3. Analysis &amp; Design\Design\FC22\DRR Jaime\QUIFA-CAJÚA\Cajua\[CAJUA_CF_SEC_New_27-Feb-2024Rev3.xlsx]D-PND'!$BE$44</v>
      </c>
      <c r="J3454" s="37" t="s">
        <v>3586</v>
      </c>
    </row>
    <row r="3455" spans="1:10" x14ac:dyDescent="0.25">
      <c r="A3455" s="32" t="s">
        <v>3</v>
      </c>
      <c r="B3455" s="32">
        <f t="shared" si="824"/>
        <v>2056</v>
      </c>
      <c r="C3455" s="33" t="s">
        <v>49</v>
      </c>
      <c r="D3455" s="34" t="s">
        <v>1999</v>
      </c>
      <c r="E3455" s="35" t="str">
        <f t="shared" si="820"/>
        <v>PND'!</v>
      </c>
      <c r="F3455" s="34" t="str">
        <f t="shared" si="821"/>
        <v>C:\Users\jaime.benazar\Quorum Business Solutions\Ecopetrol Prometeo - Documents\Planning Space Implementation\3. Analysis &amp; Design\Design\FC22\DRR Jaime\QUIFA-CAJÚA\Cajua\[CAJUA_CF_SEC_New_27-Feb-2024Rev3.xlsx]D-PND'!</v>
      </c>
      <c r="G3455" s="32" t="s">
        <v>111</v>
      </c>
      <c r="H3455" s="33">
        <f t="shared" si="822"/>
        <v>45</v>
      </c>
      <c r="I3455" s="33" t="str">
        <f t="shared" si="823"/>
        <v>='C:\Users\jaime.benazar\Quorum Business Solutions\Ecopetrol Prometeo - Documents\Planning Space Implementation\3. Analysis &amp; Design\Design\FC22\DRR Jaime\QUIFA-CAJÚA\Cajua\[CAJUA_CF_SEC_New_27-Feb-2024Rev3.xlsx]D-PND'!$BE$45</v>
      </c>
      <c r="J3455" s="37" t="s">
        <v>3587</v>
      </c>
    </row>
    <row r="3456" spans="1:10" x14ac:dyDescent="0.25">
      <c r="A3456" s="32" t="s">
        <v>3</v>
      </c>
      <c r="B3456" s="32">
        <f t="shared" si="824"/>
        <v>2057</v>
      </c>
      <c r="C3456" s="33" t="s">
        <v>49</v>
      </c>
      <c r="D3456" s="34" t="s">
        <v>1999</v>
      </c>
      <c r="E3456" s="35" t="str">
        <f t="shared" si="820"/>
        <v>PND'!</v>
      </c>
      <c r="F3456" s="34" t="str">
        <f t="shared" si="821"/>
        <v>C:\Users\jaime.benazar\Quorum Business Solutions\Ecopetrol Prometeo - Documents\Planning Space Implementation\3. Analysis &amp; Design\Design\FC22\DRR Jaime\QUIFA-CAJÚA\Cajua\[CAJUA_CF_SEC_New_27-Feb-2024Rev3.xlsx]D-PND'!</v>
      </c>
      <c r="G3456" s="32" t="s">
        <v>111</v>
      </c>
      <c r="H3456" s="33">
        <f t="shared" si="822"/>
        <v>46</v>
      </c>
      <c r="I3456" s="33" t="str">
        <f t="shared" si="823"/>
        <v>='C:\Users\jaime.benazar\Quorum Business Solutions\Ecopetrol Prometeo - Documents\Planning Space Implementation\3. Analysis &amp; Design\Design\FC22\DRR Jaime\QUIFA-CAJÚA\Cajua\[CAJUA_CF_SEC_New_27-Feb-2024Rev3.xlsx]D-PND'!$BE$46</v>
      </c>
      <c r="J3456" s="37" t="s">
        <v>3588</v>
      </c>
    </row>
    <row r="3457" spans="1:10" x14ac:dyDescent="0.25">
      <c r="A3457" s="32" t="s">
        <v>3</v>
      </c>
      <c r="B3457" s="32">
        <f t="shared" si="824"/>
        <v>2058</v>
      </c>
      <c r="C3457" s="33" t="s">
        <v>49</v>
      </c>
      <c r="D3457" s="34" t="s">
        <v>1999</v>
      </c>
      <c r="E3457" s="35" t="str">
        <f t="shared" si="820"/>
        <v>PND'!</v>
      </c>
      <c r="F3457" s="34" t="str">
        <f t="shared" si="821"/>
        <v>C:\Users\jaime.benazar\Quorum Business Solutions\Ecopetrol Prometeo - Documents\Planning Space Implementation\3. Analysis &amp; Design\Design\FC22\DRR Jaime\QUIFA-CAJÚA\Cajua\[CAJUA_CF_SEC_New_27-Feb-2024Rev3.xlsx]D-PND'!</v>
      </c>
      <c r="G3457" s="32" t="s">
        <v>111</v>
      </c>
      <c r="H3457" s="33">
        <f t="shared" si="822"/>
        <v>47</v>
      </c>
      <c r="I3457" s="33" t="str">
        <f t="shared" si="823"/>
        <v>='C:\Users\jaime.benazar\Quorum Business Solutions\Ecopetrol Prometeo - Documents\Planning Space Implementation\3. Analysis &amp; Design\Design\FC22\DRR Jaime\QUIFA-CAJÚA\Cajua\[CAJUA_CF_SEC_New_27-Feb-2024Rev3.xlsx]D-PND'!$BE$47</v>
      </c>
      <c r="J3457" s="37" t="s">
        <v>3589</v>
      </c>
    </row>
    <row r="3458" spans="1:10" x14ac:dyDescent="0.25">
      <c r="A3458" s="32" t="s">
        <v>3</v>
      </c>
      <c r="B3458" s="32">
        <f t="shared" si="824"/>
        <v>2059</v>
      </c>
      <c r="C3458" s="33" t="s">
        <v>49</v>
      </c>
      <c r="D3458" s="34" t="s">
        <v>1999</v>
      </c>
      <c r="E3458" s="35" t="str">
        <f t="shared" si="820"/>
        <v>PND'!</v>
      </c>
      <c r="F3458" s="34" t="str">
        <f t="shared" si="821"/>
        <v>C:\Users\jaime.benazar\Quorum Business Solutions\Ecopetrol Prometeo - Documents\Planning Space Implementation\3. Analysis &amp; Design\Design\FC22\DRR Jaime\QUIFA-CAJÚA\Cajua\[CAJUA_CF_SEC_New_27-Feb-2024Rev3.xlsx]D-PND'!</v>
      </c>
      <c r="G3458" s="32" t="s">
        <v>111</v>
      </c>
      <c r="H3458" s="33">
        <f t="shared" si="822"/>
        <v>48</v>
      </c>
      <c r="I3458" s="33" t="str">
        <f t="shared" si="823"/>
        <v>='C:\Users\jaime.benazar\Quorum Business Solutions\Ecopetrol Prometeo - Documents\Planning Space Implementation\3. Analysis &amp; Design\Design\FC22\DRR Jaime\QUIFA-CAJÚA\Cajua\[CAJUA_CF_SEC_New_27-Feb-2024Rev3.xlsx]D-PND'!$BE$48</v>
      </c>
      <c r="J3458" s="37" t="s">
        <v>3590</v>
      </c>
    </row>
    <row r="3459" spans="1:10" x14ac:dyDescent="0.25">
      <c r="A3459" s="32" t="s">
        <v>28</v>
      </c>
      <c r="B3459" s="32"/>
      <c r="C3459" s="33" t="s">
        <v>49</v>
      </c>
      <c r="D3459" s="34"/>
      <c r="E3459" s="35"/>
      <c r="F3459" s="34"/>
      <c r="G3459" s="32"/>
      <c r="H3459" s="33"/>
      <c r="I3459" s="33"/>
      <c r="J3459" s="33"/>
    </row>
    <row r="3460" spans="1:10" x14ac:dyDescent="0.25">
      <c r="A3460" s="32" t="s">
        <v>99</v>
      </c>
      <c r="B3460" s="32">
        <v>2023</v>
      </c>
      <c r="C3460" s="33" t="s">
        <v>49</v>
      </c>
      <c r="D3460" s="34" t="s">
        <v>1999</v>
      </c>
      <c r="E3460" s="35" t="str">
        <f t="shared" ref="E3460:E3480" si="825">_xlfn.CONCAT(A3460,"'!")</f>
        <v>PRBDP'!</v>
      </c>
      <c r="F3460" s="34" t="str">
        <f t="shared" ref="F3460:F3480" si="826">_xlfn.CONCAT(D3460:E3460)</f>
        <v>C:\Users\jaime.benazar\Quorum Business Solutions\Ecopetrol Prometeo - Documents\Planning Space Implementation\3. Analysis &amp; Design\Design\FC22\DRR Jaime\QUIFA-CAJÚA\Cajua\[CAJUA_CF_SEC_New_27-Feb-2024Rev3.xlsx]D-PRBDP'!</v>
      </c>
      <c r="G3460" s="32" t="s">
        <v>111</v>
      </c>
      <c r="H3460" s="33">
        <f>IF(A3460&lt;&gt;A3444,12,H3444+1)</f>
        <v>12</v>
      </c>
      <c r="I3460" s="33" t="str">
        <f t="shared" si="823"/>
        <v>='C:\Users\jaime.benazar\Quorum Business Solutions\Ecopetrol Prometeo - Documents\Planning Space Implementation\3. Analysis &amp; Design\Design\FC22\DRR Jaime\QUIFA-CAJÚA\Cajua\[CAJUA_CF_SEC_New_27-Feb-2024Rev3.xlsx]D-PRBDP'!$BE$12</v>
      </c>
      <c r="J3460" s="37" t="s">
        <v>3591</v>
      </c>
    </row>
    <row r="3461" spans="1:10" x14ac:dyDescent="0.25">
      <c r="A3461" s="32" t="s">
        <v>99</v>
      </c>
      <c r="B3461" s="32">
        <f>+B3460+1</f>
        <v>2024</v>
      </c>
      <c r="C3461" s="33" t="s">
        <v>49</v>
      </c>
      <c r="D3461" s="34" t="s">
        <v>1999</v>
      </c>
      <c r="E3461" s="35" t="str">
        <f t="shared" si="825"/>
        <v>PRBDP'!</v>
      </c>
      <c r="F3461" s="34" t="str">
        <f t="shared" si="826"/>
        <v>C:\Users\jaime.benazar\Quorum Business Solutions\Ecopetrol Prometeo - Documents\Planning Space Implementation\3. Analysis &amp; Design\Design\FC22\DRR Jaime\QUIFA-CAJÚA\Cajua\[CAJUA_CF_SEC_New_27-Feb-2024Rev3.xlsx]D-PRBDP'!</v>
      </c>
      <c r="G3461" s="32" t="s">
        <v>111</v>
      </c>
      <c r="H3461" s="33">
        <f t="shared" ref="H3461:H3496" si="827">IF(A3461&lt;&gt;A3460,36,H3460+1)</f>
        <v>13</v>
      </c>
      <c r="I3461" s="33" t="str">
        <f t="shared" si="823"/>
        <v>='C:\Users\jaime.benazar\Quorum Business Solutions\Ecopetrol Prometeo - Documents\Planning Space Implementation\3. Analysis &amp; Design\Design\FC22\DRR Jaime\QUIFA-CAJÚA\Cajua\[CAJUA_CF_SEC_New_27-Feb-2024Rev3.xlsx]D-PRBDP'!$BE$13</v>
      </c>
      <c r="J3461" s="37" t="s">
        <v>3592</v>
      </c>
    </row>
    <row r="3462" spans="1:10" x14ac:dyDescent="0.25">
      <c r="A3462" s="32" t="s">
        <v>99</v>
      </c>
      <c r="B3462" s="32">
        <f t="shared" ref="B3462:B3473" si="828">+B3461+1</f>
        <v>2025</v>
      </c>
      <c r="C3462" s="33" t="s">
        <v>49</v>
      </c>
      <c r="D3462" s="34" t="s">
        <v>1999</v>
      </c>
      <c r="E3462" s="35" t="str">
        <f t="shared" si="825"/>
        <v>PRBDP'!</v>
      </c>
      <c r="F3462" s="34" t="str">
        <f t="shared" si="826"/>
        <v>C:\Users\jaime.benazar\Quorum Business Solutions\Ecopetrol Prometeo - Documents\Planning Space Implementation\3. Analysis &amp; Design\Design\FC22\DRR Jaime\QUIFA-CAJÚA\Cajua\[CAJUA_CF_SEC_New_27-Feb-2024Rev3.xlsx]D-PRBDP'!</v>
      </c>
      <c r="G3462" s="32" t="s">
        <v>111</v>
      </c>
      <c r="H3462" s="33">
        <f t="shared" si="827"/>
        <v>14</v>
      </c>
      <c r="I3462" s="33" t="str">
        <f t="shared" si="823"/>
        <v>='C:\Users\jaime.benazar\Quorum Business Solutions\Ecopetrol Prometeo - Documents\Planning Space Implementation\3. Analysis &amp; Design\Design\FC22\DRR Jaime\QUIFA-CAJÚA\Cajua\[CAJUA_CF_SEC_New_27-Feb-2024Rev3.xlsx]D-PRBDP'!$BE$14</v>
      </c>
      <c r="J3462" s="37" t="s">
        <v>3593</v>
      </c>
    </row>
    <row r="3463" spans="1:10" x14ac:dyDescent="0.25">
      <c r="A3463" s="32" t="s">
        <v>99</v>
      </c>
      <c r="B3463" s="32">
        <f t="shared" si="828"/>
        <v>2026</v>
      </c>
      <c r="C3463" s="33" t="s">
        <v>49</v>
      </c>
      <c r="D3463" s="34" t="s">
        <v>1999</v>
      </c>
      <c r="E3463" s="35" t="str">
        <f t="shared" si="825"/>
        <v>PRBDP'!</v>
      </c>
      <c r="F3463" s="34" t="str">
        <f t="shared" si="826"/>
        <v>C:\Users\jaime.benazar\Quorum Business Solutions\Ecopetrol Prometeo - Documents\Planning Space Implementation\3. Analysis &amp; Design\Design\FC22\DRR Jaime\QUIFA-CAJÚA\Cajua\[CAJUA_CF_SEC_New_27-Feb-2024Rev3.xlsx]D-PRBDP'!</v>
      </c>
      <c r="G3463" s="32" t="s">
        <v>111</v>
      </c>
      <c r="H3463" s="33">
        <f t="shared" si="827"/>
        <v>15</v>
      </c>
      <c r="I3463" s="33" t="str">
        <f t="shared" si="823"/>
        <v>='C:\Users\jaime.benazar\Quorum Business Solutions\Ecopetrol Prometeo - Documents\Planning Space Implementation\3. Analysis &amp; Design\Design\FC22\DRR Jaime\QUIFA-CAJÚA\Cajua\[CAJUA_CF_SEC_New_27-Feb-2024Rev3.xlsx]D-PRBDP'!$BE$15</v>
      </c>
      <c r="J3463" s="37" t="s">
        <v>3594</v>
      </c>
    </row>
    <row r="3464" spans="1:10" x14ac:dyDescent="0.25">
      <c r="A3464" s="32" t="s">
        <v>99</v>
      </c>
      <c r="B3464" s="32">
        <f t="shared" si="828"/>
        <v>2027</v>
      </c>
      <c r="C3464" s="33" t="s">
        <v>49</v>
      </c>
      <c r="D3464" s="34" t="s">
        <v>1999</v>
      </c>
      <c r="E3464" s="35" t="str">
        <f t="shared" si="825"/>
        <v>PRBDP'!</v>
      </c>
      <c r="F3464" s="34" t="str">
        <f t="shared" si="826"/>
        <v>C:\Users\jaime.benazar\Quorum Business Solutions\Ecopetrol Prometeo - Documents\Planning Space Implementation\3. Analysis &amp; Design\Design\FC22\DRR Jaime\QUIFA-CAJÚA\Cajua\[CAJUA_CF_SEC_New_27-Feb-2024Rev3.xlsx]D-PRBDP'!</v>
      </c>
      <c r="G3464" s="32" t="s">
        <v>111</v>
      </c>
      <c r="H3464" s="33">
        <f t="shared" si="827"/>
        <v>16</v>
      </c>
      <c r="I3464" s="33" t="str">
        <f t="shared" si="823"/>
        <v>='C:\Users\jaime.benazar\Quorum Business Solutions\Ecopetrol Prometeo - Documents\Planning Space Implementation\3. Analysis &amp; Design\Design\FC22\DRR Jaime\QUIFA-CAJÚA\Cajua\[CAJUA_CF_SEC_New_27-Feb-2024Rev3.xlsx]D-PRBDP'!$BE$16</v>
      </c>
      <c r="J3464" s="37" t="s">
        <v>3595</v>
      </c>
    </row>
    <row r="3465" spans="1:10" x14ac:dyDescent="0.25">
      <c r="A3465" s="32" t="s">
        <v>99</v>
      </c>
      <c r="B3465" s="32">
        <f t="shared" si="828"/>
        <v>2028</v>
      </c>
      <c r="C3465" s="33" t="s">
        <v>49</v>
      </c>
      <c r="D3465" s="34" t="s">
        <v>1999</v>
      </c>
      <c r="E3465" s="35" t="str">
        <f t="shared" si="825"/>
        <v>PRBDP'!</v>
      </c>
      <c r="F3465" s="34" t="str">
        <f t="shared" si="826"/>
        <v>C:\Users\jaime.benazar\Quorum Business Solutions\Ecopetrol Prometeo - Documents\Planning Space Implementation\3. Analysis &amp; Design\Design\FC22\DRR Jaime\QUIFA-CAJÚA\Cajua\[CAJUA_CF_SEC_New_27-Feb-2024Rev3.xlsx]D-PRBDP'!</v>
      </c>
      <c r="G3465" s="32" t="s">
        <v>111</v>
      </c>
      <c r="H3465" s="33">
        <f t="shared" si="827"/>
        <v>17</v>
      </c>
      <c r="I3465" s="33" t="str">
        <f t="shared" si="823"/>
        <v>='C:\Users\jaime.benazar\Quorum Business Solutions\Ecopetrol Prometeo - Documents\Planning Space Implementation\3. Analysis &amp; Design\Design\FC22\DRR Jaime\QUIFA-CAJÚA\Cajua\[CAJUA_CF_SEC_New_27-Feb-2024Rev3.xlsx]D-PRBDP'!$BE$17</v>
      </c>
      <c r="J3465" s="37" t="s">
        <v>3596</v>
      </c>
    </row>
    <row r="3466" spans="1:10" x14ac:dyDescent="0.25">
      <c r="A3466" s="32" t="s">
        <v>99</v>
      </c>
      <c r="B3466" s="32">
        <f t="shared" si="828"/>
        <v>2029</v>
      </c>
      <c r="C3466" s="33" t="s">
        <v>49</v>
      </c>
      <c r="D3466" s="34" t="s">
        <v>1999</v>
      </c>
      <c r="E3466" s="35" t="str">
        <f t="shared" si="825"/>
        <v>PRBDP'!</v>
      </c>
      <c r="F3466" s="34" t="str">
        <f t="shared" si="826"/>
        <v>C:\Users\jaime.benazar\Quorum Business Solutions\Ecopetrol Prometeo - Documents\Planning Space Implementation\3. Analysis &amp; Design\Design\FC22\DRR Jaime\QUIFA-CAJÚA\Cajua\[CAJUA_CF_SEC_New_27-Feb-2024Rev3.xlsx]D-PRBDP'!</v>
      </c>
      <c r="G3466" s="32" t="s">
        <v>111</v>
      </c>
      <c r="H3466" s="33">
        <f t="shared" si="827"/>
        <v>18</v>
      </c>
      <c r="I3466" s="33" t="str">
        <f t="shared" si="823"/>
        <v>='C:\Users\jaime.benazar\Quorum Business Solutions\Ecopetrol Prometeo - Documents\Planning Space Implementation\3. Analysis &amp; Design\Design\FC22\DRR Jaime\QUIFA-CAJÚA\Cajua\[CAJUA_CF_SEC_New_27-Feb-2024Rev3.xlsx]D-PRBDP'!$BE$18</v>
      </c>
      <c r="J3466" s="37" t="s">
        <v>3597</v>
      </c>
    </row>
    <row r="3467" spans="1:10" x14ac:dyDescent="0.25">
      <c r="A3467" s="32" t="s">
        <v>99</v>
      </c>
      <c r="B3467" s="32">
        <f t="shared" si="828"/>
        <v>2030</v>
      </c>
      <c r="C3467" s="33" t="s">
        <v>49</v>
      </c>
      <c r="D3467" s="34" t="s">
        <v>1999</v>
      </c>
      <c r="E3467" s="35" t="str">
        <f t="shared" si="825"/>
        <v>PRBDP'!</v>
      </c>
      <c r="F3467" s="34" t="str">
        <f t="shared" si="826"/>
        <v>C:\Users\jaime.benazar\Quorum Business Solutions\Ecopetrol Prometeo - Documents\Planning Space Implementation\3. Analysis &amp; Design\Design\FC22\DRR Jaime\QUIFA-CAJÚA\Cajua\[CAJUA_CF_SEC_New_27-Feb-2024Rev3.xlsx]D-PRBDP'!</v>
      </c>
      <c r="G3467" s="32" t="s">
        <v>111</v>
      </c>
      <c r="H3467" s="33">
        <f t="shared" si="827"/>
        <v>19</v>
      </c>
      <c r="I3467" s="33" t="str">
        <f t="shared" si="823"/>
        <v>='C:\Users\jaime.benazar\Quorum Business Solutions\Ecopetrol Prometeo - Documents\Planning Space Implementation\3. Analysis &amp; Design\Design\FC22\DRR Jaime\QUIFA-CAJÚA\Cajua\[CAJUA_CF_SEC_New_27-Feb-2024Rev3.xlsx]D-PRBDP'!$BE$19</v>
      </c>
      <c r="J3467" s="37" t="s">
        <v>3598</v>
      </c>
    </row>
    <row r="3468" spans="1:10" x14ac:dyDescent="0.25">
      <c r="A3468" s="32" t="s">
        <v>99</v>
      </c>
      <c r="B3468" s="32">
        <f t="shared" si="828"/>
        <v>2031</v>
      </c>
      <c r="C3468" s="33" t="s">
        <v>49</v>
      </c>
      <c r="D3468" s="34" t="s">
        <v>1999</v>
      </c>
      <c r="E3468" s="35" t="str">
        <f t="shared" si="825"/>
        <v>PRBDP'!</v>
      </c>
      <c r="F3468" s="34" t="str">
        <f t="shared" si="826"/>
        <v>C:\Users\jaime.benazar\Quorum Business Solutions\Ecopetrol Prometeo - Documents\Planning Space Implementation\3. Analysis &amp; Design\Design\FC22\DRR Jaime\QUIFA-CAJÚA\Cajua\[CAJUA_CF_SEC_New_27-Feb-2024Rev3.xlsx]D-PRBDP'!</v>
      </c>
      <c r="G3468" s="32" t="s">
        <v>111</v>
      </c>
      <c r="H3468" s="33">
        <f t="shared" si="827"/>
        <v>20</v>
      </c>
      <c r="I3468" s="33" t="str">
        <f t="shared" si="823"/>
        <v>='C:\Users\jaime.benazar\Quorum Business Solutions\Ecopetrol Prometeo - Documents\Planning Space Implementation\3. Analysis &amp; Design\Design\FC22\DRR Jaime\QUIFA-CAJÚA\Cajua\[CAJUA_CF_SEC_New_27-Feb-2024Rev3.xlsx]D-PRBDP'!$BE$20</v>
      </c>
      <c r="J3468" s="37" t="s">
        <v>3599</v>
      </c>
    </row>
    <row r="3469" spans="1:10" x14ac:dyDescent="0.25">
      <c r="A3469" s="32" t="s">
        <v>99</v>
      </c>
      <c r="B3469" s="32">
        <f t="shared" si="828"/>
        <v>2032</v>
      </c>
      <c r="C3469" s="33" t="s">
        <v>49</v>
      </c>
      <c r="D3469" s="34" t="s">
        <v>1999</v>
      </c>
      <c r="E3469" s="35" t="str">
        <f t="shared" si="825"/>
        <v>PRBDP'!</v>
      </c>
      <c r="F3469" s="34" t="str">
        <f t="shared" si="826"/>
        <v>C:\Users\jaime.benazar\Quorum Business Solutions\Ecopetrol Prometeo - Documents\Planning Space Implementation\3. Analysis &amp; Design\Design\FC22\DRR Jaime\QUIFA-CAJÚA\Cajua\[CAJUA_CF_SEC_New_27-Feb-2024Rev3.xlsx]D-PRBDP'!</v>
      </c>
      <c r="G3469" s="32" t="s">
        <v>111</v>
      </c>
      <c r="H3469" s="33">
        <f t="shared" si="827"/>
        <v>21</v>
      </c>
      <c r="I3469" s="33" t="str">
        <f t="shared" si="823"/>
        <v>='C:\Users\jaime.benazar\Quorum Business Solutions\Ecopetrol Prometeo - Documents\Planning Space Implementation\3. Analysis &amp; Design\Design\FC22\DRR Jaime\QUIFA-CAJÚA\Cajua\[CAJUA_CF_SEC_New_27-Feb-2024Rev3.xlsx]D-PRBDP'!$BE$21</v>
      </c>
      <c r="J3469" s="37" t="s">
        <v>3600</v>
      </c>
    </row>
    <row r="3470" spans="1:10" x14ac:dyDescent="0.25">
      <c r="A3470" s="32" t="s">
        <v>99</v>
      </c>
      <c r="B3470" s="32">
        <f t="shared" si="828"/>
        <v>2033</v>
      </c>
      <c r="C3470" s="33" t="s">
        <v>49</v>
      </c>
      <c r="D3470" s="34" t="s">
        <v>1999</v>
      </c>
      <c r="E3470" s="35" t="str">
        <f t="shared" si="825"/>
        <v>PRBDP'!</v>
      </c>
      <c r="F3470" s="34" t="str">
        <f t="shared" si="826"/>
        <v>C:\Users\jaime.benazar\Quorum Business Solutions\Ecopetrol Prometeo - Documents\Planning Space Implementation\3. Analysis &amp; Design\Design\FC22\DRR Jaime\QUIFA-CAJÚA\Cajua\[CAJUA_CF_SEC_New_27-Feb-2024Rev3.xlsx]D-PRBDP'!</v>
      </c>
      <c r="G3470" s="32" t="s">
        <v>111</v>
      </c>
      <c r="H3470" s="33">
        <f t="shared" si="827"/>
        <v>22</v>
      </c>
      <c r="I3470" s="33" t="str">
        <f t="shared" si="823"/>
        <v>='C:\Users\jaime.benazar\Quorum Business Solutions\Ecopetrol Prometeo - Documents\Planning Space Implementation\3. Analysis &amp; Design\Design\FC22\DRR Jaime\QUIFA-CAJÚA\Cajua\[CAJUA_CF_SEC_New_27-Feb-2024Rev3.xlsx]D-PRBDP'!$BE$22</v>
      </c>
      <c r="J3470" s="37" t="s">
        <v>3601</v>
      </c>
    </row>
    <row r="3471" spans="1:10" x14ac:dyDescent="0.25">
      <c r="A3471" s="32" t="s">
        <v>99</v>
      </c>
      <c r="B3471" s="32">
        <f t="shared" si="828"/>
        <v>2034</v>
      </c>
      <c r="C3471" s="33" t="s">
        <v>49</v>
      </c>
      <c r="D3471" s="34" t="s">
        <v>1999</v>
      </c>
      <c r="E3471" s="35" t="str">
        <f t="shared" si="825"/>
        <v>PRBDP'!</v>
      </c>
      <c r="F3471" s="34" t="str">
        <f t="shared" si="826"/>
        <v>C:\Users\jaime.benazar\Quorum Business Solutions\Ecopetrol Prometeo - Documents\Planning Space Implementation\3. Analysis &amp; Design\Design\FC22\DRR Jaime\QUIFA-CAJÚA\Cajua\[CAJUA_CF_SEC_New_27-Feb-2024Rev3.xlsx]D-PRBDP'!</v>
      </c>
      <c r="G3471" s="32" t="s">
        <v>111</v>
      </c>
      <c r="H3471" s="33">
        <f t="shared" si="827"/>
        <v>23</v>
      </c>
      <c r="I3471" s="33" t="str">
        <f t="shared" si="823"/>
        <v>='C:\Users\jaime.benazar\Quorum Business Solutions\Ecopetrol Prometeo - Documents\Planning Space Implementation\3. Analysis &amp; Design\Design\FC22\DRR Jaime\QUIFA-CAJÚA\Cajua\[CAJUA_CF_SEC_New_27-Feb-2024Rev3.xlsx]D-PRBDP'!$BE$23</v>
      </c>
      <c r="J3471" s="37" t="s">
        <v>3602</v>
      </c>
    </row>
    <row r="3472" spans="1:10" x14ac:dyDescent="0.25">
      <c r="A3472" s="32" t="s">
        <v>99</v>
      </c>
      <c r="B3472" s="32">
        <f t="shared" si="828"/>
        <v>2035</v>
      </c>
      <c r="C3472" s="33" t="s">
        <v>49</v>
      </c>
      <c r="D3472" s="34" t="s">
        <v>1999</v>
      </c>
      <c r="E3472" s="35" t="str">
        <f t="shared" si="825"/>
        <v>PRBDP'!</v>
      </c>
      <c r="F3472" s="34" t="str">
        <f t="shared" si="826"/>
        <v>C:\Users\jaime.benazar\Quorum Business Solutions\Ecopetrol Prometeo - Documents\Planning Space Implementation\3. Analysis &amp; Design\Design\FC22\DRR Jaime\QUIFA-CAJÚA\Cajua\[CAJUA_CF_SEC_New_27-Feb-2024Rev3.xlsx]D-PRBDP'!</v>
      </c>
      <c r="G3472" s="32" t="s">
        <v>111</v>
      </c>
      <c r="H3472" s="33">
        <f t="shared" si="827"/>
        <v>24</v>
      </c>
      <c r="I3472" s="33" t="str">
        <f t="shared" si="823"/>
        <v>='C:\Users\jaime.benazar\Quorum Business Solutions\Ecopetrol Prometeo - Documents\Planning Space Implementation\3. Analysis &amp; Design\Design\FC22\DRR Jaime\QUIFA-CAJÚA\Cajua\[CAJUA_CF_SEC_New_27-Feb-2024Rev3.xlsx]D-PRBDP'!$BE$24</v>
      </c>
      <c r="J3472" s="37" t="s">
        <v>3603</v>
      </c>
    </row>
    <row r="3473" spans="1:10" x14ac:dyDescent="0.25">
      <c r="A3473" s="32" t="s">
        <v>99</v>
      </c>
      <c r="B3473" s="32">
        <f t="shared" si="828"/>
        <v>2036</v>
      </c>
      <c r="C3473" s="33" t="s">
        <v>49</v>
      </c>
      <c r="D3473" s="34" t="s">
        <v>1999</v>
      </c>
      <c r="E3473" s="35" t="str">
        <f t="shared" si="825"/>
        <v>PRBDP'!</v>
      </c>
      <c r="F3473" s="34" t="str">
        <f t="shared" si="826"/>
        <v>C:\Users\jaime.benazar\Quorum Business Solutions\Ecopetrol Prometeo - Documents\Planning Space Implementation\3. Analysis &amp; Design\Design\FC22\DRR Jaime\QUIFA-CAJÚA\Cajua\[CAJUA_CF_SEC_New_27-Feb-2024Rev3.xlsx]D-PRBDP'!</v>
      </c>
      <c r="G3473" s="32" t="s">
        <v>111</v>
      </c>
      <c r="H3473" s="33">
        <f t="shared" si="827"/>
        <v>25</v>
      </c>
      <c r="I3473" s="33" t="str">
        <f t="shared" si="823"/>
        <v>='C:\Users\jaime.benazar\Quorum Business Solutions\Ecopetrol Prometeo - Documents\Planning Space Implementation\3. Analysis &amp; Design\Design\FC22\DRR Jaime\QUIFA-CAJÚA\Cajua\[CAJUA_CF_SEC_New_27-Feb-2024Rev3.xlsx]D-PRBDP'!$BE$25</v>
      </c>
      <c r="J3473" s="37" t="s">
        <v>3604</v>
      </c>
    </row>
    <row r="3474" spans="1:10" x14ac:dyDescent="0.25">
      <c r="A3474" s="32" t="s">
        <v>99</v>
      </c>
      <c r="B3474" s="32">
        <f>+B3473+1</f>
        <v>2037</v>
      </c>
      <c r="C3474" s="33" t="s">
        <v>49</v>
      </c>
      <c r="D3474" s="34" t="s">
        <v>1999</v>
      </c>
      <c r="E3474" s="35" t="str">
        <f t="shared" si="825"/>
        <v>PRBDP'!</v>
      </c>
      <c r="F3474" s="34" t="str">
        <f t="shared" si="826"/>
        <v>C:\Users\jaime.benazar\Quorum Business Solutions\Ecopetrol Prometeo - Documents\Planning Space Implementation\3. Analysis &amp; Design\Design\FC22\DRR Jaime\QUIFA-CAJÚA\Cajua\[CAJUA_CF_SEC_New_27-Feb-2024Rev3.xlsx]D-PRBDP'!</v>
      </c>
      <c r="G3474" s="32" t="s">
        <v>111</v>
      </c>
      <c r="H3474" s="33">
        <f t="shared" si="827"/>
        <v>26</v>
      </c>
      <c r="I3474" s="33" t="str">
        <f t="shared" si="823"/>
        <v>='C:\Users\jaime.benazar\Quorum Business Solutions\Ecopetrol Prometeo - Documents\Planning Space Implementation\3. Analysis &amp; Design\Design\FC22\DRR Jaime\QUIFA-CAJÚA\Cajua\[CAJUA_CF_SEC_New_27-Feb-2024Rev3.xlsx]D-PRBDP'!$BE$26</v>
      </c>
      <c r="J3474" s="37" t="s">
        <v>3605</v>
      </c>
    </row>
    <row r="3475" spans="1:10" x14ac:dyDescent="0.25">
      <c r="A3475" s="32" t="s">
        <v>99</v>
      </c>
      <c r="B3475" s="32">
        <f t="shared" ref="B3475:B3477" si="829">+B3474+1</f>
        <v>2038</v>
      </c>
      <c r="C3475" s="33" t="s">
        <v>49</v>
      </c>
      <c r="D3475" s="34" t="s">
        <v>1999</v>
      </c>
      <c r="E3475" s="35" t="str">
        <f t="shared" si="825"/>
        <v>PRBDP'!</v>
      </c>
      <c r="F3475" s="34" t="str">
        <f t="shared" si="826"/>
        <v>C:\Users\jaime.benazar\Quorum Business Solutions\Ecopetrol Prometeo - Documents\Planning Space Implementation\3. Analysis &amp; Design\Design\FC22\DRR Jaime\QUIFA-CAJÚA\Cajua\[CAJUA_CF_SEC_New_27-Feb-2024Rev3.xlsx]D-PRBDP'!</v>
      </c>
      <c r="G3475" s="32" t="s">
        <v>111</v>
      </c>
      <c r="H3475" s="33">
        <f t="shared" si="827"/>
        <v>27</v>
      </c>
      <c r="I3475" s="33" t="str">
        <f t="shared" si="823"/>
        <v>='C:\Users\jaime.benazar\Quorum Business Solutions\Ecopetrol Prometeo - Documents\Planning Space Implementation\3. Analysis &amp; Design\Design\FC22\DRR Jaime\QUIFA-CAJÚA\Cajua\[CAJUA_CF_SEC_New_27-Feb-2024Rev3.xlsx]D-PRBDP'!$BE$27</v>
      </c>
      <c r="J3475" s="37" t="s">
        <v>3606</v>
      </c>
    </row>
    <row r="3476" spans="1:10" x14ac:dyDescent="0.25">
      <c r="A3476" s="32" t="s">
        <v>99</v>
      </c>
      <c r="B3476" s="32">
        <f t="shared" si="829"/>
        <v>2039</v>
      </c>
      <c r="C3476" s="33" t="s">
        <v>49</v>
      </c>
      <c r="D3476" s="34" t="s">
        <v>1999</v>
      </c>
      <c r="E3476" s="35" t="str">
        <f t="shared" si="825"/>
        <v>PRBDP'!</v>
      </c>
      <c r="F3476" s="34" t="str">
        <f t="shared" si="826"/>
        <v>C:\Users\jaime.benazar\Quorum Business Solutions\Ecopetrol Prometeo - Documents\Planning Space Implementation\3. Analysis &amp; Design\Design\FC22\DRR Jaime\QUIFA-CAJÚA\Cajua\[CAJUA_CF_SEC_New_27-Feb-2024Rev3.xlsx]D-PRBDP'!</v>
      </c>
      <c r="G3476" s="32" t="s">
        <v>111</v>
      </c>
      <c r="H3476" s="33">
        <f t="shared" si="827"/>
        <v>28</v>
      </c>
      <c r="I3476" s="33" t="str">
        <f t="shared" si="823"/>
        <v>='C:\Users\jaime.benazar\Quorum Business Solutions\Ecopetrol Prometeo - Documents\Planning Space Implementation\3. Analysis &amp; Design\Design\FC22\DRR Jaime\QUIFA-CAJÚA\Cajua\[CAJUA_CF_SEC_New_27-Feb-2024Rev3.xlsx]D-PRBDP'!$BE$28</v>
      </c>
      <c r="J3476" s="37" t="s">
        <v>3607</v>
      </c>
    </row>
    <row r="3477" spans="1:10" x14ac:dyDescent="0.25">
      <c r="A3477" s="32" t="s">
        <v>99</v>
      </c>
      <c r="B3477" s="32">
        <f t="shared" si="829"/>
        <v>2040</v>
      </c>
      <c r="C3477" s="33" t="s">
        <v>49</v>
      </c>
      <c r="D3477" s="34" t="s">
        <v>1999</v>
      </c>
      <c r="E3477" s="35" t="str">
        <f t="shared" si="825"/>
        <v>PRBDP'!</v>
      </c>
      <c r="F3477" s="34" t="str">
        <f t="shared" si="826"/>
        <v>C:\Users\jaime.benazar\Quorum Business Solutions\Ecopetrol Prometeo - Documents\Planning Space Implementation\3. Analysis &amp; Design\Design\FC22\DRR Jaime\QUIFA-CAJÚA\Cajua\[CAJUA_CF_SEC_New_27-Feb-2024Rev3.xlsx]D-PRBDP'!</v>
      </c>
      <c r="G3477" s="32" t="s">
        <v>111</v>
      </c>
      <c r="H3477" s="33">
        <f t="shared" si="827"/>
        <v>29</v>
      </c>
      <c r="I3477" s="33" t="str">
        <f t="shared" si="823"/>
        <v>='C:\Users\jaime.benazar\Quorum Business Solutions\Ecopetrol Prometeo - Documents\Planning Space Implementation\3. Analysis &amp; Design\Design\FC22\DRR Jaime\QUIFA-CAJÚA\Cajua\[CAJUA_CF_SEC_New_27-Feb-2024Rev3.xlsx]D-PRBDP'!$BE$29</v>
      </c>
      <c r="J3477" s="37" t="s">
        <v>3608</v>
      </c>
    </row>
    <row r="3478" spans="1:10" x14ac:dyDescent="0.25">
      <c r="A3478" s="32" t="s">
        <v>99</v>
      </c>
      <c r="B3478" s="32">
        <f>+B3477+1</f>
        <v>2041</v>
      </c>
      <c r="C3478" s="33" t="s">
        <v>49</v>
      </c>
      <c r="D3478" s="34" t="s">
        <v>1999</v>
      </c>
      <c r="E3478" s="35" t="str">
        <f t="shared" si="825"/>
        <v>PRBDP'!</v>
      </c>
      <c r="F3478" s="34" t="str">
        <f t="shared" si="826"/>
        <v>C:\Users\jaime.benazar\Quorum Business Solutions\Ecopetrol Prometeo - Documents\Planning Space Implementation\3. Analysis &amp; Design\Design\FC22\DRR Jaime\QUIFA-CAJÚA\Cajua\[CAJUA_CF_SEC_New_27-Feb-2024Rev3.xlsx]D-PRBDP'!</v>
      </c>
      <c r="G3478" s="32" t="s">
        <v>111</v>
      </c>
      <c r="H3478" s="33">
        <f t="shared" si="827"/>
        <v>30</v>
      </c>
      <c r="I3478" s="33" t="str">
        <f t="shared" si="823"/>
        <v>='C:\Users\jaime.benazar\Quorum Business Solutions\Ecopetrol Prometeo - Documents\Planning Space Implementation\3. Analysis &amp; Design\Design\FC22\DRR Jaime\QUIFA-CAJÚA\Cajua\[CAJUA_CF_SEC_New_27-Feb-2024Rev3.xlsx]D-PRBDP'!$BE$30</v>
      </c>
      <c r="J3478" s="37" t="s">
        <v>3609</v>
      </c>
    </row>
    <row r="3479" spans="1:10" x14ac:dyDescent="0.25">
      <c r="A3479" s="32" t="s">
        <v>99</v>
      </c>
      <c r="B3479" s="32">
        <f t="shared" ref="B3479:B3480" si="830">+B3478+1</f>
        <v>2042</v>
      </c>
      <c r="C3479" s="33" t="s">
        <v>49</v>
      </c>
      <c r="D3479" s="34" t="s">
        <v>1999</v>
      </c>
      <c r="E3479" s="35" t="str">
        <f t="shared" si="825"/>
        <v>PRBDP'!</v>
      </c>
      <c r="F3479" s="34" t="str">
        <f t="shared" si="826"/>
        <v>C:\Users\jaime.benazar\Quorum Business Solutions\Ecopetrol Prometeo - Documents\Planning Space Implementation\3. Analysis &amp; Design\Design\FC22\DRR Jaime\QUIFA-CAJÚA\Cajua\[CAJUA_CF_SEC_New_27-Feb-2024Rev3.xlsx]D-PRBDP'!</v>
      </c>
      <c r="G3479" s="32" t="s">
        <v>111</v>
      </c>
      <c r="H3479" s="33">
        <f t="shared" si="827"/>
        <v>31</v>
      </c>
      <c r="I3479" s="33" t="str">
        <f t="shared" si="823"/>
        <v>='C:\Users\jaime.benazar\Quorum Business Solutions\Ecopetrol Prometeo - Documents\Planning Space Implementation\3. Analysis &amp; Design\Design\FC22\DRR Jaime\QUIFA-CAJÚA\Cajua\[CAJUA_CF_SEC_New_27-Feb-2024Rev3.xlsx]D-PRBDP'!$BE$31</v>
      </c>
      <c r="J3479" s="37" t="s">
        <v>3610</v>
      </c>
    </row>
    <row r="3480" spans="1:10" x14ac:dyDescent="0.25">
      <c r="A3480" s="32" t="s">
        <v>99</v>
      </c>
      <c r="B3480" s="32">
        <f t="shared" si="830"/>
        <v>2043</v>
      </c>
      <c r="C3480" s="33" t="s">
        <v>49</v>
      </c>
      <c r="D3480" s="34" t="s">
        <v>1999</v>
      </c>
      <c r="E3480" s="35" t="str">
        <f t="shared" si="825"/>
        <v>PRBDP'!</v>
      </c>
      <c r="F3480" s="34" t="str">
        <f t="shared" si="826"/>
        <v>C:\Users\jaime.benazar\Quorum Business Solutions\Ecopetrol Prometeo - Documents\Planning Space Implementation\3. Analysis &amp; Design\Design\FC22\DRR Jaime\QUIFA-CAJÚA\Cajua\[CAJUA_CF_SEC_New_27-Feb-2024Rev3.xlsx]D-PRBDP'!</v>
      </c>
      <c r="G3480" s="32" t="s">
        <v>111</v>
      </c>
      <c r="H3480" s="33">
        <f t="shared" si="827"/>
        <v>32</v>
      </c>
      <c r="I3480" s="33" t="str">
        <f t="shared" si="823"/>
        <v>='C:\Users\jaime.benazar\Quorum Business Solutions\Ecopetrol Prometeo - Documents\Planning Space Implementation\3. Analysis &amp; Design\Design\FC22\DRR Jaime\QUIFA-CAJÚA\Cajua\[CAJUA_CF_SEC_New_27-Feb-2024Rev3.xlsx]D-PRBDP'!$BE$32</v>
      </c>
      <c r="J3480" s="37" t="s">
        <v>3611</v>
      </c>
    </row>
    <row r="3481" spans="1:10" x14ac:dyDescent="0.25">
      <c r="A3481" s="32" t="s">
        <v>99</v>
      </c>
      <c r="B3481" s="32">
        <f>+B3480+1</f>
        <v>2044</v>
      </c>
      <c r="C3481" s="33" t="s">
        <v>49</v>
      </c>
      <c r="D3481" s="34" t="s">
        <v>1999</v>
      </c>
      <c r="E3481" s="35" t="str">
        <f t="shared" ref="E3481:E3496" si="831">_xlfn.CONCAT(A3481,"'!")</f>
        <v>PRBDP'!</v>
      </c>
      <c r="F3481" s="34" t="str">
        <f t="shared" ref="F3481:F3496" si="832">_xlfn.CONCAT(D3481:E3481)</f>
        <v>C:\Users\jaime.benazar\Quorum Business Solutions\Ecopetrol Prometeo - Documents\Planning Space Implementation\3. Analysis &amp; Design\Design\FC22\DRR Jaime\QUIFA-CAJÚA\Cajua\[CAJUA_CF_SEC_New_27-Feb-2024Rev3.xlsx]D-PRBDP'!</v>
      </c>
      <c r="G3481" s="32" t="s">
        <v>111</v>
      </c>
      <c r="H3481" s="33">
        <f t="shared" si="827"/>
        <v>33</v>
      </c>
      <c r="I3481" s="33" t="str">
        <f t="shared" si="823"/>
        <v>='C:\Users\jaime.benazar\Quorum Business Solutions\Ecopetrol Prometeo - Documents\Planning Space Implementation\3. Analysis &amp; Design\Design\FC22\DRR Jaime\QUIFA-CAJÚA\Cajua\[CAJUA_CF_SEC_New_27-Feb-2024Rev3.xlsx]D-PRBDP'!$BE$33</v>
      </c>
      <c r="J3481" s="37" t="s">
        <v>3612</v>
      </c>
    </row>
    <row r="3482" spans="1:10" x14ac:dyDescent="0.25">
      <c r="A3482" s="32" t="s">
        <v>99</v>
      </c>
      <c r="B3482" s="32">
        <f t="shared" ref="B3482:B3496" si="833">+B3481+1</f>
        <v>2045</v>
      </c>
      <c r="C3482" s="33" t="s">
        <v>49</v>
      </c>
      <c r="D3482" s="34" t="s">
        <v>1999</v>
      </c>
      <c r="E3482" s="35" t="str">
        <f t="shared" si="831"/>
        <v>PRBDP'!</v>
      </c>
      <c r="F3482" s="34" t="str">
        <f t="shared" si="832"/>
        <v>C:\Users\jaime.benazar\Quorum Business Solutions\Ecopetrol Prometeo - Documents\Planning Space Implementation\3. Analysis &amp; Design\Design\FC22\DRR Jaime\QUIFA-CAJÚA\Cajua\[CAJUA_CF_SEC_New_27-Feb-2024Rev3.xlsx]D-PRBDP'!</v>
      </c>
      <c r="G3482" s="32" t="s">
        <v>111</v>
      </c>
      <c r="H3482" s="33">
        <f t="shared" si="827"/>
        <v>34</v>
      </c>
      <c r="I3482" s="33" t="str">
        <f t="shared" si="823"/>
        <v>='C:\Users\jaime.benazar\Quorum Business Solutions\Ecopetrol Prometeo - Documents\Planning Space Implementation\3. Analysis &amp; Design\Design\FC22\DRR Jaime\QUIFA-CAJÚA\Cajua\[CAJUA_CF_SEC_New_27-Feb-2024Rev3.xlsx]D-PRBDP'!$BE$34</v>
      </c>
      <c r="J3482" s="37" t="s">
        <v>3613</v>
      </c>
    </row>
    <row r="3483" spans="1:10" x14ac:dyDescent="0.25">
      <c r="A3483" s="32" t="s">
        <v>99</v>
      </c>
      <c r="B3483" s="32">
        <f t="shared" si="833"/>
        <v>2046</v>
      </c>
      <c r="C3483" s="33" t="s">
        <v>49</v>
      </c>
      <c r="D3483" s="34" t="s">
        <v>1999</v>
      </c>
      <c r="E3483" s="35" t="str">
        <f t="shared" si="831"/>
        <v>PRBDP'!</v>
      </c>
      <c r="F3483" s="34" t="str">
        <f t="shared" si="832"/>
        <v>C:\Users\jaime.benazar\Quorum Business Solutions\Ecopetrol Prometeo - Documents\Planning Space Implementation\3. Analysis &amp; Design\Design\FC22\DRR Jaime\QUIFA-CAJÚA\Cajua\[CAJUA_CF_SEC_New_27-Feb-2024Rev3.xlsx]D-PRBDP'!</v>
      </c>
      <c r="G3483" s="32" t="s">
        <v>111</v>
      </c>
      <c r="H3483" s="33">
        <f t="shared" si="827"/>
        <v>35</v>
      </c>
      <c r="I3483" s="33" t="str">
        <f t="shared" si="823"/>
        <v>='C:\Users\jaime.benazar\Quorum Business Solutions\Ecopetrol Prometeo - Documents\Planning Space Implementation\3. Analysis &amp; Design\Design\FC22\DRR Jaime\QUIFA-CAJÚA\Cajua\[CAJUA_CF_SEC_New_27-Feb-2024Rev3.xlsx]D-PRBDP'!$BE$35</v>
      </c>
      <c r="J3483" s="37" t="s">
        <v>3614</v>
      </c>
    </row>
    <row r="3484" spans="1:10" x14ac:dyDescent="0.25">
      <c r="A3484" s="32" t="s">
        <v>99</v>
      </c>
      <c r="B3484" s="32">
        <f t="shared" si="833"/>
        <v>2047</v>
      </c>
      <c r="C3484" s="33" t="s">
        <v>49</v>
      </c>
      <c r="D3484" s="34" t="s">
        <v>1999</v>
      </c>
      <c r="E3484" s="35" t="str">
        <f t="shared" si="831"/>
        <v>PRBDP'!</v>
      </c>
      <c r="F3484" s="34" t="str">
        <f t="shared" si="832"/>
        <v>C:\Users\jaime.benazar\Quorum Business Solutions\Ecopetrol Prometeo - Documents\Planning Space Implementation\3. Analysis &amp; Design\Design\FC22\DRR Jaime\QUIFA-CAJÚA\Cajua\[CAJUA_CF_SEC_New_27-Feb-2024Rev3.xlsx]D-PRBDP'!</v>
      </c>
      <c r="G3484" s="32" t="s">
        <v>111</v>
      </c>
      <c r="H3484" s="33">
        <f t="shared" si="827"/>
        <v>36</v>
      </c>
      <c r="I3484" s="33" t="str">
        <f t="shared" si="823"/>
        <v>='C:\Users\jaime.benazar\Quorum Business Solutions\Ecopetrol Prometeo - Documents\Planning Space Implementation\3. Analysis &amp; Design\Design\FC22\DRR Jaime\QUIFA-CAJÚA\Cajua\[CAJUA_CF_SEC_New_27-Feb-2024Rev3.xlsx]D-PRBDP'!$BE$36</v>
      </c>
      <c r="J3484" s="37" t="s">
        <v>3615</v>
      </c>
    </row>
    <row r="3485" spans="1:10" x14ac:dyDescent="0.25">
      <c r="A3485" s="32" t="s">
        <v>99</v>
      </c>
      <c r="B3485" s="32">
        <f t="shared" si="833"/>
        <v>2048</v>
      </c>
      <c r="C3485" s="33" t="s">
        <v>49</v>
      </c>
      <c r="D3485" s="34" t="s">
        <v>1999</v>
      </c>
      <c r="E3485" s="35" t="str">
        <f t="shared" si="831"/>
        <v>PRBDP'!</v>
      </c>
      <c r="F3485" s="34" t="str">
        <f t="shared" si="832"/>
        <v>C:\Users\jaime.benazar\Quorum Business Solutions\Ecopetrol Prometeo - Documents\Planning Space Implementation\3. Analysis &amp; Design\Design\FC22\DRR Jaime\QUIFA-CAJÚA\Cajua\[CAJUA_CF_SEC_New_27-Feb-2024Rev3.xlsx]D-PRBDP'!</v>
      </c>
      <c r="G3485" s="32" t="s">
        <v>111</v>
      </c>
      <c r="H3485" s="33">
        <f t="shared" si="827"/>
        <v>37</v>
      </c>
      <c r="I3485" s="33" t="str">
        <f t="shared" si="823"/>
        <v>='C:\Users\jaime.benazar\Quorum Business Solutions\Ecopetrol Prometeo - Documents\Planning Space Implementation\3. Analysis &amp; Design\Design\FC22\DRR Jaime\QUIFA-CAJÚA\Cajua\[CAJUA_CF_SEC_New_27-Feb-2024Rev3.xlsx]D-PRBDP'!$BE$37</v>
      </c>
      <c r="J3485" s="37" t="s">
        <v>3616</v>
      </c>
    </row>
    <row r="3486" spans="1:10" x14ac:dyDescent="0.25">
      <c r="A3486" s="32" t="s">
        <v>99</v>
      </c>
      <c r="B3486" s="32">
        <f t="shared" si="833"/>
        <v>2049</v>
      </c>
      <c r="C3486" s="33" t="s">
        <v>49</v>
      </c>
      <c r="D3486" s="34" t="s">
        <v>1999</v>
      </c>
      <c r="E3486" s="35" t="str">
        <f t="shared" si="831"/>
        <v>PRBDP'!</v>
      </c>
      <c r="F3486" s="34" t="str">
        <f t="shared" si="832"/>
        <v>C:\Users\jaime.benazar\Quorum Business Solutions\Ecopetrol Prometeo - Documents\Planning Space Implementation\3. Analysis &amp; Design\Design\FC22\DRR Jaime\QUIFA-CAJÚA\Cajua\[CAJUA_CF_SEC_New_27-Feb-2024Rev3.xlsx]D-PRBDP'!</v>
      </c>
      <c r="G3486" s="32" t="s">
        <v>111</v>
      </c>
      <c r="H3486" s="33">
        <f t="shared" si="827"/>
        <v>38</v>
      </c>
      <c r="I3486" s="33" t="str">
        <f t="shared" si="823"/>
        <v>='C:\Users\jaime.benazar\Quorum Business Solutions\Ecopetrol Prometeo - Documents\Planning Space Implementation\3. Analysis &amp; Design\Design\FC22\DRR Jaime\QUIFA-CAJÚA\Cajua\[CAJUA_CF_SEC_New_27-Feb-2024Rev3.xlsx]D-PRBDP'!$BE$38</v>
      </c>
      <c r="J3486" s="37" t="s">
        <v>3617</v>
      </c>
    </row>
    <row r="3487" spans="1:10" x14ac:dyDescent="0.25">
      <c r="A3487" s="32" t="s">
        <v>99</v>
      </c>
      <c r="B3487" s="32">
        <f t="shared" si="833"/>
        <v>2050</v>
      </c>
      <c r="C3487" s="33" t="s">
        <v>49</v>
      </c>
      <c r="D3487" s="34" t="s">
        <v>1999</v>
      </c>
      <c r="E3487" s="35" t="str">
        <f t="shared" si="831"/>
        <v>PRBDP'!</v>
      </c>
      <c r="F3487" s="34" t="str">
        <f t="shared" si="832"/>
        <v>C:\Users\jaime.benazar\Quorum Business Solutions\Ecopetrol Prometeo - Documents\Planning Space Implementation\3. Analysis &amp; Design\Design\FC22\DRR Jaime\QUIFA-CAJÚA\Cajua\[CAJUA_CF_SEC_New_27-Feb-2024Rev3.xlsx]D-PRBDP'!</v>
      </c>
      <c r="G3487" s="32" t="s">
        <v>111</v>
      </c>
      <c r="H3487" s="33">
        <f t="shared" si="827"/>
        <v>39</v>
      </c>
      <c r="I3487" s="33" t="str">
        <f t="shared" si="823"/>
        <v>='C:\Users\jaime.benazar\Quorum Business Solutions\Ecopetrol Prometeo - Documents\Planning Space Implementation\3. Analysis &amp; Design\Design\FC22\DRR Jaime\QUIFA-CAJÚA\Cajua\[CAJUA_CF_SEC_New_27-Feb-2024Rev3.xlsx]D-PRBDP'!$BE$39</v>
      </c>
      <c r="J3487" s="37" t="s">
        <v>3618</v>
      </c>
    </row>
    <row r="3488" spans="1:10" x14ac:dyDescent="0.25">
      <c r="A3488" s="32" t="s">
        <v>99</v>
      </c>
      <c r="B3488" s="32">
        <f t="shared" si="833"/>
        <v>2051</v>
      </c>
      <c r="C3488" s="33" t="s">
        <v>49</v>
      </c>
      <c r="D3488" s="34" t="s">
        <v>1999</v>
      </c>
      <c r="E3488" s="35" t="str">
        <f t="shared" si="831"/>
        <v>PRBDP'!</v>
      </c>
      <c r="F3488" s="34" t="str">
        <f t="shared" si="832"/>
        <v>C:\Users\jaime.benazar\Quorum Business Solutions\Ecopetrol Prometeo - Documents\Planning Space Implementation\3. Analysis &amp; Design\Design\FC22\DRR Jaime\QUIFA-CAJÚA\Cajua\[CAJUA_CF_SEC_New_27-Feb-2024Rev3.xlsx]D-PRBDP'!</v>
      </c>
      <c r="G3488" s="32" t="s">
        <v>111</v>
      </c>
      <c r="H3488" s="33">
        <f t="shared" si="827"/>
        <v>40</v>
      </c>
      <c r="I3488" s="33" t="str">
        <f t="shared" si="823"/>
        <v>='C:\Users\jaime.benazar\Quorum Business Solutions\Ecopetrol Prometeo - Documents\Planning Space Implementation\3. Analysis &amp; Design\Design\FC22\DRR Jaime\QUIFA-CAJÚA\Cajua\[CAJUA_CF_SEC_New_27-Feb-2024Rev3.xlsx]D-PRBDP'!$BE$40</v>
      </c>
      <c r="J3488" s="37" t="s">
        <v>3619</v>
      </c>
    </row>
    <row r="3489" spans="1:10" x14ac:dyDescent="0.25">
      <c r="A3489" s="32" t="s">
        <v>99</v>
      </c>
      <c r="B3489" s="32">
        <f t="shared" si="833"/>
        <v>2052</v>
      </c>
      <c r="C3489" s="33" t="s">
        <v>49</v>
      </c>
      <c r="D3489" s="34" t="s">
        <v>1999</v>
      </c>
      <c r="E3489" s="35" t="str">
        <f t="shared" si="831"/>
        <v>PRBDP'!</v>
      </c>
      <c r="F3489" s="34" t="str">
        <f t="shared" si="832"/>
        <v>C:\Users\jaime.benazar\Quorum Business Solutions\Ecopetrol Prometeo - Documents\Planning Space Implementation\3. Analysis &amp; Design\Design\FC22\DRR Jaime\QUIFA-CAJÚA\Cajua\[CAJUA_CF_SEC_New_27-Feb-2024Rev3.xlsx]D-PRBDP'!</v>
      </c>
      <c r="G3489" s="32" t="s">
        <v>111</v>
      </c>
      <c r="H3489" s="33">
        <f t="shared" si="827"/>
        <v>41</v>
      </c>
      <c r="I3489" s="33" t="str">
        <f t="shared" si="823"/>
        <v>='C:\Users\jaime.benazar\Quorum Business Solutions\Ecopetrol Prometeo - Documents\Planning Space Implementation\3. Analysis &amp; Design\Design\FC22\DRR Jaime\QUIFA-CAJÚA\Cajua\[CAJUA_CF_SEC_New_27-Feb-2024Rev3.xlsx]D-PRBDP'!$BE$41</v>
      </c>
      <c r="J3489" s="37" t="s">
        <v>3620</v>
      </c>
    </row>
    <row r="3490" spans="1:10" x14ac:dyDescent="0.25">
      <c r="A3490" s="32" t="s">
        <v>99</v>
      </c>
      <c r="B3490" s="32">
        <f t="shared" si="833"/>
        <v>2053</v>
      </c>
      <c r="C3490" s="33" t="s">
        <v>49</v>
      </c>
      <c r="D3490" s="34" t="s">
        <v>1999</v>
      </c>
      <c r="E3490" s="35" t="str">
        <f t="shared" si="831"/>
        <v>PRBDP'!</v>
      </c>
      <c r="F3490" s="34" t="str">
        <f t="shared" si="832"/>
        <v>C:\Users\jaime.benazar\Quorum Business Solutions\Ecopetrol Prometeo - Documents\Planning Space Implementation\3. Analysis &amp; Design\Design\FC22\DRR Jaime\QUIFA-CAJÚA\Cajua\[CAJUA_CF_SEC_New_27-Feb-2024Rev3.xlsx]D-PRBDP'!</v>
      </c>
      <c r="G3490" s="32" t="s">
        <v>111</v>
      </c>
      <c r="H3490" s="33">
        <f t="shared" si="827"/>
        <v>42</v>
      </c>
      <c r="I3490" s="33" t="str">
        <f t="shared" si="823"/>
        <v>='C:\Users\jaime.benazar\Quorum Business Solutions\Ecopetrol Prometeo - Documents\Planning Space Implementation\3. Analysis &amp; Design\Design\FC22\DRR Jaime\QUIFA-CAJÚA\Cajua\[CAJUA_CF_SEC_New_27-Feb-2024Rev3.xlsx]D-PRBDP'!$BE$42</v>
      </c>
      <c r="J3490" s="37" t="s">
        <v>3621</v>
      </c>
    </row>
    <row r="3491" spans="1:10" x14ac:dyDescent="0.25">
      <c r="A3491" s="32" t="s">
        <v>99</v>
      </c>
      <c r="B3491" s="32">
        <f t="shared" si="833"/>
        <v>2054</v>
      </c>
      <c r="C3491" s="33" t="s">
        <v>49</v>
      </c>
      <c r="D3491" s="34" t="s">
        <v>1999</v>
      </c>
      <c r="E3491" s="35" t="str">
        <f t="shared" si="831"/>
        <v>PRBDP'!</v>
      </c>
      <c r="F3491" s="34" t="str">
        <f t="shared" si="832"/>
        <v>C:\Users\jaime.benazar\Quorum Business Solutions\Ecopetrol Prometeo - Documents\Planning Space Implementation\3. Analysis &amp; Design\Design\FC22\DRR Jaime\QUIFA-CAJÚA\Cajua\[CAJUA_CF_SEC_New_27-Feb-2024Rev3.xlsx]D-PRBDP'!</v>
      </c>
      <c r="G3491" s="32" t="s">
        <v>111</v>
      </c>
      <c r="H3491" s="33">
        <f t="shared" si="827"/>
        <v>43</v>
      </c>
      <c r="I3491" s="33" t="str">
        <f t="shared" si="823"/>
        <v>='C:\Users\jaime.benazar\Quorum Business Solutions\Ecopetrol Prometeo - Documents\Planning Space Implementation\3. Analysis &amp; Design\Design\FC22\DRR Jaime\QUIFA-CAJÚA\Cajua\[CAJUA_CF_SEC_New_27-Feb-2024Rev3.xlsx]D-PRBDP'!$BE$43</v>
      </c>
      <c r="J3491" s="37" t="s">
        <v>3622</v>
      </c>
    </row>
    <row r="3492" spans="1:10" x14ac:dyDescent="0.25">
      <c r="A3492" s="32" t="s">
        <v>99</v>
      </c>
      <c r="B3492" s="32">
        <f t="shared" si="833"/>
        <v>2055</v>
      </c>
      <c r="C3492" s="33" t="s">
        <v>49</v>
      </c>
      <c r="D3492" s="34" t="s">
        <v>1999</v>
      </c>
      <c r="E3492" s="35" t="str">
        <f t="shared" si="831"/>
        <v>PRBDP'!</v>
      </c>
      <c r="F3492" s="34" t="str">
        <f t="shared" si="832"/>
        <v>C:\Users\jaime.benazar\Quorum Business Solutions\Ecopetrol Prometeo - Documents\Planning Space Implementation\3. Analysis &amp; Design\Design\FC22\DRR Jaime\QUIFA-CAJÚA\Cajua\[CAJUA_CF_SEC_New_27-Feb-2024Rev3.xlsx]D-PRBDP'!</v>
      </c>
      <c r="G3492" s="32" t="s">
        <v>111</v>
      </c>
      <c r="H3492" s="33">
        <f t="shared" si="827"/>
        <v>44</v>
      </c>
      <c r="I3492" s="33" t="str">
        <f t="shared" si="823"/>
        <v>='C:\Users\jaime.benazar\Quorum Business Solutions\Ecopetrol Prometeo - Documents\Planning Space Implementation\3. Analysis &amp; Design\Design\FC22\DRR Jaime\QUIFA-CAJÚA\Cajua\[CAJUA_CF_SEC_New_27-Feb-2024Rev3.xlsx]D-PRBDP'!$BE$44</v>
      </c>
      <c r="J3492" s="37" t="s">
        <v>3623</v>
      </c>
    </row>
    <row r="3493" spans="1:10" x14ac:dyDescent="0.25">
      <c r="A3493" s="32" t="s">
        <v>99</v>
      </c>
      <c r="B3493" s="32">
        <f t="shared" si="833"/>
        <v>2056</v>
      </c>
      <c r="C3493" s="33" t="s">
        <v>49</v>
      </c>
      <c r="D3493" s="34" t="s">
        <v>1999</v>
      </c>
      <c r="E3493" s="35" t="str">
        <f t="shared" si="831"/>
        <v>PRBDP'!</v>
      </c>
      <c r="F3493" s="34" t="str">
        <f t="shared" si="832"/>
        <v>C:\Users\jaime.benazar\Quorum Business Solutions\Ecopetrol Prometeo - Documents\Planning Space Implementation\3. Analysis &amp; Design\Design\FC22\DRR Jaime\QUIFA-CAJÚA\Cajua\[CAJUA_CF_SEC_New_27-Feb-2024Rev3.xlsx]D-PRBDP'!</v>
      </c>
      <c r="G3493" s="32" t="s">
        <v>111</v>
      </c>
      <c r="H3493" s="33">
        <f t="shared" si="827"/>
        <v>45</v>
      </c>
      <c r="I3493" s="33" t="str">
        <f t="shared" si="823"/>
        <v>='C:\Users\jaime.benazar\Quorum Business Solutions\Ecopetrol Prometeo - Documents\Planning Space Implementation\3. Analysis &amp; Design\Design\FC22\DRR Jaime\QUIFA-CAJÚA\Cajua\[CAJUA_CF_SEC_New_27-Feb-2024Rev3.xlsx]D-PRBDP'!$BE$45</v>
      </c>
      <c r="J3493" s="37" t="s">
        <v>3624</v>
      </c>
    </row>
    <row r="3494" spans="1:10" x14ac:dyDescent="0.25">
      <c r="A3494" s="32" t="s">
        <v>99</v>
      </c>
      <c r="B3494" s="32">
        <f t="shared" si="833"/>
        <v>2057</v>
      </c>
      <c r="C3494" s="33" t="s">
        <v>49</v>
      </c>
      <c r="D3494" s="34" t="s">
        <v>1999</v>
      </c>
      <c r="E3494" s="35" t="str">
        <f t="shared" si="831"/>
        <v>PRBDP'!</v>
      </c>
      <c r="F3494" s="34" t="str">
        <f t="shared" si="832"/>
        <v>C:\Users\jaime.benazar\Quorum Business Solutions\Ecopetrol Prometeo - Documents\Planning Space Implementation\3. Analysis &amp; Design\Design\FC22\DRR Jaime\QUIFA-CAJÚA\Cajua\[CAJUA_CF_SEC_New_27-Feb-2024Rev3.xlsx]D-PRBDP'!</v>
      </c>
      <c r="G3494" s="32" t="s">
        <v>111</v>
      </c>
      <c r="H3494" s="33">
        <f t="shared" si="827"/>
        <v>46</v>
      </c>
      <c r="I3494" s="33" t="str">
        <f t="shared" si="823"/>
        <v>='C:\Users\jaime.benazar\Quorum Business Solutions\Ecopetrol Prometeo - Documents\Planning Space Implementation\3. Analysis &amp; Design\Design\FC22\DRR Jaime\QUIFA-CAJÚA\Cajua\[CAJUA_CF_SEC_New_27-Feb-2024Rev3.xlsx]D-PRBDP'!$BE$46</v>
      </c>
      <c r="J3494" s="37" t="s">
        <v>3625</v>
      </c>
    </row>
    <row r="3495" spans="1:10" x14ac:dyDescent="0.25">
      <c r="A3495" s="32" t="s">
        <v>99</v>
      </c>
      <c r="B3495" s="32">
        <f t="shared" si="833"/>
        <v>2058</v>
      </c>
      <c r="C3495" s="33" t="s">
        <v>49</v>
      </c>
      <c r="D3495" s="34" t="s">
        <v>1999</v>
      </c>
      <c r="E3495" s="35" t="str">
        <f t="shared" si="831"/>
        <v>PRBDP'!</v>
      </c>
      <c r="F3495" s="34" t="str">
        <f t="shared" si="832"/>
        <v>C:\Users\jaime.benazar\Quorum Business Solutions\Ecopetrol Prometeo - Documents\Planning Space Implementation\3. Analysis &amp; Design\Design\FC22\DRR Jaime\QUIFA-CAJÚA\Cajua\[CAJUA_CF_SEC_New_27-Feb-2024Rev3.xlsx]D-PRBDP'!</v>
      </c>
      <c r="G3495" s="32" t="s">
        <v>111</v>
      </c>
      <c r="H3495" s="33">
        <f t="shared" si="827"/>
        <v>47</v>
      </c>
      <c r="I3495" s="33" t="str">
        <f t="shared" si="823"/>
        <v>='C:\Users\jaime.benazar\Quorum Business Solutions\Ecopetrol Prometeo - Documents\Planning Space Implementation\3. Analysis &amp; Design\Design\FC22\DRR Jaime\QUIFA-CAJÚA\Cajua\[CAJUA_CF_SEC_New_27-Feb-2024Rev3.xlsx]D-PRBDP'!$BE$47</v>
      </c>
      <c r="J3495" s="37" t="s">
        <v>3626</v>
      </c>
    </row>
    <row r="3496" spans="1:10" x14ac:dyDescent="0.25">
      <c r="A3496" s="32" t="s">
        <v>99</v>
      </c>
      <c r="B3496" s="32">
        <f t="shared" si="833"/>
        <v>2059</v>
      </c>
      <c r="C3496" s="33" t="s">
        <v>49</v>
      </c>
      <c r="D3496" s="34" t="s">
        <v>1999</v>
      </c>
      <c r="E3496" s="35" t="str">
        <f t="shared" si="831"/>
        <v>PRBDP'!</v>
      </c>
      <c r="F3496" s="34" t="str">
        <f t="shared" si="832"/>
        <v>C:\Users\jaime.benazar\Quorum Business Solutions\Ecopetrol Prometeo - Documents\Planning Space Implementation\3. Analysis &amp; Design\Design\FC22\DRR Jaime\QUIFA-CAJÚA\Cajua\[CAJUA_CF_SEC_New_27-Feb-2024Rev3.xlsx]D-PRBDP'!</v>
      </c>
      <c r="G3496" s="32" t="s">
        <v>111</v>
      </c>
      <c r="H3496" s="33">
        <f t="shared" si="827"/>
        <v>48</v>
      </c>
      <c r="I3496" s="33" t="str">
        <f t="shared" si="823"/>
        <v>='C:\Users\jaime.benazar\Quorum Business Solutions\Ecopetrol Prometeo - Documents\Planning Space Implementation\3. Analysis &amp; Design\Design\FC22\DRR Jaime\QUIFA-CAJÚA\Cajua\[CAJUA_CF_SEC_New_27-Feb-2024Rev3.xlsx]D-PRBDP'!$BE$48</v>
      </c>
      <c r="J3496" s="37" t="s">
        <v>3627</v>
      </c>
    </row>
    <row r="3497" spans="1:10" x14ac:dyDescent="0.25">
      <c r="A3497" s="32" t="s">
        <v>28</v>
      </c>
      <c r="B3497" s="32"/>
      <c r="C3497" s="33" t="s">
        <v>49</v>
      </c>
      <c r="D3497" s="34"/>
      <c r="E3497" s="35"/>
      <c r="F3497" s="34"/>
      <c r="G3497" s="32"/>
      <c r="H3497" s="33"/>
      <c r="I3497" s="33"/>
      <c r="J3497" s="36"/>
    </row>
    <row r="3498" spans="1:10" x14ac:dyDescent="0.25">
      <c r="A3498" s="32" t="s">
        <v>100</v>
      </c>
      <c r="B3498" s="32">
        <v>2023</v>
      </c>
      <c r="C3498" s="33" t="s">
        <v>49</v>
      </c>
      <c r="D3498" s="34" t="s">
        <v>1999</v>
      </c>
      <c r="E3498" s="35" t="str">
        <f t="shared" ref="E3498:E3518" si="834">_xlfn.CONCAT(A3498,"'!")</f>
        <v>PRBNP'!</v>
      </c>
      <c r="F3498" s="34" t="str">
        <f t="shared" ref="F3498:F3518" si="835">_xlfn.CONCAT(D3498:E3498)</f>
        <v>C:\Users\jaime.benazar\Quorum Business Solutions\Ecopetrol Prometeo - Documents\Planning Space Implementation\3. Analysis &amp; Design\Design\FC22\DRR Jaime\QUIFA-CAJÚA\Cajua\[CAJUA_CF_SEC_New_27-Feb-2024Rev3.xlsx]D-PRBNP'!</v>
      </c>
      <c r="G3498" s="32" t="s">
        <v>111</v>
      </c>
      <c r="H3498" s="33">
        <f>IF(A3498&lt;&gt;A3482,12,H3482+1)</f>
        <v>12</v>
      </c>
      <c r="I3498" s="33" t="str">
        <f t="shared" ref="I3498:I3534" si="836">_xlfn.CONCAT("='",F3498:H3498)</f>
        <v>='C:\Users\jaime.benazar\Quorum Business Solutions\Ecopetrol Prometeo - Documents\Planning Space Implementation\3. Analysis &amp; Design\Design\FC22\DRR Jaime\QUIFA-CAJÚA\Cajua\[CAJUA_CF_SEC_New_27-Feb-2024Rev3.xlsx]D-PRBNP'!$BE$12</v>
      </c>
      <c r="J3498" s="37" t="s">
        <v>3628</v>
      </c>
    </row>
    <row r="3499" spans="1:10" x14ac:dyDescent="0.25">
      <c r="A3499" s="32" t="s">
        <v>100</v>
      </c>
      <c r="B3499" s="32">
        <f>+B3498+1</f>
        <v>2024</v>
      </c>
      <c r="C3499" s="33" t="s">
        <v>49</v>
      </c>
      <c r="D3499" s="34" t="s">
        <v>1999</v>
      </c>
      <c r="E3499" s="35" t="str">
        <f t="shared" si="834"/>
        <v>PRBNP'!</v>
      </c>
      <c r="F3499" s="34" t="str">
        <f t="shared" si="835"/>
        <v>C:\Users\jaime.benazar\Quorum Business Solutions\Ecopetrol Prometeo - Documents\Planning Space Implementation\3. Analysis &amp; Design\Design\FC22\DRR Jaime\QUIFA-CAJÚA\Cajua\[CAJUA_CF_SEC_New_27-Feb-2024Rev3.xlsx]D-PRBNP'!</v>
      </c>
      <c r="G3499" s="32" t="s">
        <v>111</v>
      </c>
      <c r="H3499" s="33">
        <f t="shared" ref="H3499:H3534" si="837">IF(A3499&lt;&gt;A3498,36,H3498+1)</f>
        <v>13</v>
      </c>
      <c r="I3499" s="33" t="str">
        <f t="shared" si="836"/>
        <v>='C:\Users\jaime.benazar\Quorum Business Solutions\Ecopetrol Prometeo - Documents\Planning Space Implementation\3. Analysis &amp; Design\Design\FC22\DRR Jaime\QUIFA-CAJÚA\Cajua\[CAJUA_CF_SEC_New_27-Feb-2024Rev3.xlsx]D-PRBNP'!$BE$13</v>
      </c>
      <c r="J3499" s="37" t="s">
        <v>3629</v>
      </c>
    </row>
    <row r="3500" spans="1:10" x14ac:dyDescent="0.25">
      <c r="A3500" s="32" t="s">
        <v>100</v>
      </c>
      <c r="B3500" s="32">
        <f t="shared" ref="B3500:B3511" si="838">+B3499+1</f>
        <v>2025</v>
      </c>
      <c r="C3500" s="33" t="s">
        <v>49</v>
      </c>
      <c r="D3500" s="34" t="s">
        <v>1999</v>
      </c>
      <c r="E3500" s="35" t="str">
        <f t="shared" si="834"/>
        <v>PRBNP'!</v>
      </c>
      <c r="F3500" s="34" t="str">
        <f t="shared" si="835"/>
        <v>C:\Users\jaime.benazar\Quorum Business Solutions\Ecopetrol Prometeo - Documents\Planning Space Implementation\3. Analysis &amp; Design\Design\FC22\DRR Jaime\QUIFA-CAJÚA\Cajua\[CAJUA_CF_SEC_New_27-Feb-2024Rev3.xlsx]D-PRBNP'!</v>
      </c>
      <c r="G3500" s="32" t="s">
        <v>111</v>
      </c>
      <c r="H3500" s="33">
        <f t="shared" si="837"/>
        <v>14</v>
      </c>
      <c r="I3500" s="33" t="str">
        <f t="shared" si="836"/>
        <v>='C:\Users\jaime.benazar\Quorum Business Solutions\Ecopetrol Prometeo - Documents\Planning Space Implementation\3. Analysis &amp; Design\Design\FC22\DRR Jaime\QUIFA-CAJÚA\Cajua\[CAJUA_CF_SEC_New_27-Feb-2024Rev3.xlsx]D-PRBNP'!$BE$14</v>
      </c>
      <c r="J3500" s="37" t="s">
        <v>3630</v>
      </c>
    </row>
    <row r="3501" spans="1:10" x14ac:dyDescent="0.25">
      <c r="A3501" s="32" t="s">
        <v>100</v>
      </c>
      <c r="B3501" s="32">
        <f t="shared" si="838"/>
        <v>2026</v>
      </c>
      <c r="C3501" s="33" t="s">
        <v>49</v>
      </c>
      <c r="D3501" s="34" t="s">
        <v>1999</v>
      </c>
      <c r="E3501" s="35" t="str">
        <f t="shared" si="834"/>
        <v>PRBNP'!</v>
      </c>
      <c r="F3501" s="34" t="str">
        <f t="shared" si="835"/>
        <v>C:\Users\jaime.benazar\Quorum Business Solutions\Ecopetrol Prometeo - Documents\Planning Space Implementation\3. Analysis &amp; Design\Design\FC22\DRR Jaime\QUIFA-CAJÚA\Cajua\[CAJUA_CF_SEC_New_27-Feb-2024Rev3.xlsx]D-PRBNP'!</v>
      </c>
      <c r="G3501" s="32" t="s">
        <v>111</v>
      </c>
      <c r="H3501" s="33">
        <f t="shared" si="837"/>
        <v>15</v>
      </c>
      <c r="I3501" s="33" t="str">
        <f t="shared" si="836"/>
        <v>='C:\Users\jaime.benazar\Quorum Business Solutions\Ecopetrol Prometeo - Documents\Planning Space Implementation\3. Analysis &amp; Design\Design\FC22\DRR Jaime\QUIFA-CAJÚA\Cajua\[CAJUA_CF_SEC_New_27-Feb-2024Rev3.xlsx]D-PRBNP'!$BE$15</v>
      </c>
      <c r="J3501" s="37" t="s">
        <v>3631</v>
      </c>
    </row>
    <row r="3502" spans="1:10" x14ac:dyDescent="0.25">
      <c r="A3502" s="32" t="s">
        <v>100</v>
      </c>
      <c r="B3502" s="32">
        <f t="shared" si="838"/>
        <v>2027</v>
      </c>
      <c r="C3502" s="33" t="s">
        <v>49</v>
      </c>
      <c r="D3502" s="34" t="s">
        <v>1999</v>
      </c>
      <c r="E3502" s="35" t="str">
        <f t="shared" si="834"/>
        <v>PRBNP'!</v>
      </c>
      <c r="F3502" s="34" t="str">
        <f t="shared" si="835"/>
        <v>C:\Users\jaime.benazar\Quorum Business Solutions\Ecopetrol Prometeo - Documents\Planning Space Implementation\3. Analysis &amp; Design\Design\FC22\DRR Jaime\QUIFA-CAJÚA\Cajua\[CAJUA_CF_SEC_New_27-Feb-2024Rev3.xlsx]D-PRBNP'!</v>
      </c>
      <c r="G3502" s="32" t="s">
        <v>111</v>
      </c>
      <c r="H3502" s="33">
        <f t="shared" si="837"/>
        <v>16</v>
      </c>
      <c r="I3502" s="33" t="str">
        <f t="shared" si="836"/>
        <v>='C:\Users\jaime.benazar\Quorum Business Solutions\Ecopetrol Prometeo - Documents\Planning Space Implementation\3. Analysis &amp; Design\Design\FC22\DRR Jaime\QUIFA-CAJÚA\Cajua\[CAJUA_CF_SEC_New_27-Feb-2024Rev3.xlsx]D-PRBNP'!$BE$16</v>
      </c>
      <c r="J3502" s="37" t="s">
        <v>3632</v>
      </c>
    </row>
    <row r="3503" spans="1:10" x14ac:dyDescent="0.25">
      <c r="A3503" s="32" t="s">
        <v>100</v>
      </c>
      <c r="B3503" s="32">
        <f t="shared" si="838"/>
        <v>2028</v>
      </c>
      <c r="C3503" s="33" t="s">
        <v>49</v>
      </c>
      <c r="D3503" s="34" t="s">
        <v>1999</v>
      </c>
      <c r="E3503" s="35" t="str">
        <f t="shared" si="834"/>
        <v>PRBNP'!</v>
      </c>
      <c r="F3503" s="34" t="str">
        <f t="shared" si="835"/>
        <v>C:\Users\jaime.benazar\Quorum Business Solutions\Ecopetrol Prometeo - Documents\Planning Space Implementation\3. Analysis &amp; Design\Design\FC22\DRR Jaime\QUIFA-CAJÚA\Cajua\[CAJUA_CF_SEC_New_27-Feb-2024Rev3.xlsx]D-PRBNP'!</v>
      </c>
      <c r="G3503" s="32" t="s">
        <v>111</v>
      </c>
      <c r="H3503" s="33">
        <f t="shared" si="837"/>
        <v>17</v>
      </c>
      <c r="I3503" s="33" t="str">
        <f t="shared" si="836"/>
        <v>='C:\Users\jaime.benazar\Quorum Business Solutions\Ecopetrol Prometeo - Documents\Planning Space Implementation\3. Analysis &amp; Design\Design\FC22\DRR Jaime\QUIFA-CAJÚA\Cajua\[CAJUA_CF_SEC_New_27-Feb-2024Rev3.xlsx]D-PRBNP'!$BE$17</v>
      </c>
      <c r="J3503" s="37" t="s">
        <v>3633</v>
      </c>
    </row>
    <row r="3504" spans="1:10" x14ac:dyDescent="0.25">
      <c r="A3504" s="32" t="s">
        <v>100</v>
      </c>
      <c r="B3504" s="32">
        <f t="shared" si="838"/>
        <v>2029</v>
      </c>
      <c r="C3504" s="33" t="s">
        <v>49</v>
      </c>
      <c r="D3504" s="34" t="s">
        <v>1999</v>
      </c>
      <c r="E3504" s="35" t="str">
        <f t="shared" si="834"/>
        <v>PRBNP'!</v>
      </c>
      <c r="F3504" s="34" t="str">
        <f t="shared" si="835"/>
        <v>C:\Users\jaime.benazar\Quorum Business Solutions\Ecopetrol Prometeo - Documents\Planning Space Implementation\3. Analysis &amp; Design\Design\FC22\DRR Jaime\QUIFA-CAJÚA\Cajua\[CAJUA_CF_SEC_New_27-Feb-2024Rev3.xlsx]D-PRBNP'!</v>
      </c>
      <c r="G3504" s="32" t="s">
        <v>111</v>
      </c>
      <c r="H3504" s="33">
        <f t="shared" si="837"/>
        <v>18</v>
      </c>
      <c r="I3504" s="33" t="str">
        <f t="shared" si="836"/>
        <v>='C:\Users\jaime.benazar\Quorum Business Solutions\Ecopetrol Prometeo - Documents\Planning Space Implementation\3. Analysis &amp; Design\Design\FC22\DRR Jaime\QUIFA-CAJÚA\Cajua\[CAJUA_CF_SEC_New_27-Feb-2024Rev3.xlsx]D-PRBNP'!$BE$18</v>
      </c>
      <c r="J3504" s="37" t="s">
        <v>3634</v>
      </c>
    </row>
    <row r="3505" spans="1:10" x14ac:dyDescent="0.25">
      <c r="A3505" s="32" t="s">
        <v>100</v>
      </c>
      <c r="B3505" s="32">
        <f t="shared" si="838"/>
        <v>2030</v>
      </c>
      <c r="C3505" s="33" t="s">
        <v>49</v>
      </c>
      <c r="D3505" s="34" t="s">
        <v>1999</v>
      </c>
      <c r="E3505" s="35" t="str">
        <f t="shared" si="834"/>
        <v>PRBNP'!</v>
      </c>
      <c r="F3505" s="34" t="str">
        <f t="shared" si="835"/>
        <v>C:\Users\jaime.benazar\Quorum Business Solutions\Ecopetrol Prometeo - Documents\Planning Space Implementation\3. Analysis &amp; Design\Design\FC22\DRR Jaime\QUIFA-CAJÚA\Cajua\[CAJUA_CF_SEC_New_27-Feb-2024Rev3.xlsx]D-PRBNP'!</v>
      </c>
      <c r="G3505" s="32" t="s">
        <v>111</v>
      </c>
      <c r="H3505" s="33">
        <f t="shared" si="837"/>
        <v>19</v>
      </c>
      <c r="I3505" s="33" t="str">
        <f t="shared" si="836"/>
        <v>='C:\Users\jaime.benazar\Quorum Business Solutions\Ecopetrol Prometeo - Documents\Planning Space Implementation\3. Analysis &amp; Design\Design\FC22\DRR Jaime\QUIFA-CAJÚA\Cajua\[CAJUA_CF_SEC_New_27-Feb-2024Rev3.xlsx]D-PRBNP'!$BE$19</v>
      </c>
      <c r="J3505" s="37" t="s">
        <v>3635</v>
      </c>
    </row>
    <row r="3506" spans="1:10" x14ac:dyDescent="0.25">
      <c r="A3506" s="32" t="s">
        <v>100</v>
      </c>
      <c r="B3506" s="32">
        <f t="shared" si="838"/>
        <v>2031</v>
      </c>
      <c r="C3506" s="33" t="s">
        <v>49</v>
      </c>
      <c r="D3506" s="34" t="s">
        <v>1999</v>
      </c>
      <c r="E3506" s="35" t="str">
        <f t="shared" si="834"/>
        <v>PRBNP'!</v>
      </c>
      <c r="F3506" s="34" t="str">
        <f t="shared" si="835"/>
        <v>C:\Users\jaime.benazar\Quorum Business Solutions\Ecopetrol Prometeo - Documents\Planning Space Implementation\3. Analysis &amp; Design\Design\FC22\DRR Jaime\QUIFA-CAJÚA\Cajua\[CAJUA_CF_SEC_New_27-Feb-2024Rev3.xlsx]D-PRBNP'!</v>
      </c>
      <c r="G3506" s="32" t="s">
        <v>111</v>
      </c>
      <c r="H3506" s="33">
        <f t="shared" si="837"/>
        <v>20</v>
      </c>
      <c r="I3506" s="33" t="str">
        <f t="shared" si="836"/>
        <v>='C:\Users\jaime.benazar\Quorum Business Solutions\Ecopetrol Prometeo - Documents\Planning Space Implementation\3. Analysis &amp; Design\Design\FC22\DRR Jaime\QUIFA-CAJÚA\Cajua\[CAJUA_CF_SEC_New_27-Feb-2024Rev3.xlsx]D-PRBNP'!$BE$20</v>
      </c>
      <c r="J3506" s="37" t="s">
        <v>3636</v>
      </c>
    </row>
    <row r="3507" spans="1:10" x14ac:dyDescent="0.25">
      <c r="A3507" s="32" t="s">
        <v>100</v>
      </c>
      <c r="B3507" s="32">
        <f t="shared" si="838"/>
        <v>2032</v>
      </c>
      <c r="C3507" s="33" t="s">
        <v>49</v>
      </c>
      <c r="D3507" s="34" t="s">
        <v>1999</v>
      </c>
      <c r="E3507" s="35" t="str">
        <f t="shared" si="834"/>
        <v>PRBNP'!</v>
      </c>
      <c r="F3507" s="34" t="str">
        <f t="shared" si="835"/>
        <v>C:\Users\jaime.benazar\Quorum Business Solutions\Ecopetrol Prometeo - Documents\Planning Space Implementation\3. Analysis &amp; Design\Design\FC22\DRR Jaime\QUIFA-CAJÚA\Cajua\[CAJUA_CF_SEC_New_27-Feb-2024Rev3.xlsx]D-PRBNP'!</v>
      </c>
      <c r="G3507" s="32" t="s">
        <v>111</v>
      </c>
      <c r="H3507" s="33">
        <f t="shared" si="837"/>
        <v>21</v>
      </c>
      <c r="I3507" s="33" t="str">
        <f t="shared" si="836"/>
        <v>='C:\Users\jaime.benazar\Quorum Business Solutions\Ecopetrol Prometeo - Documents\Planning Space Implementation\3. Analysis &amp; Design\Design\FC22\DRR Jaime\QUIFA-CAJÚA\Cajua\[CAJUA_CF_SEC_New_27-Feb-2024Rev3.xlsx]D-PRBNP'!$BE$21</v>
      </c>
      <c r="J3507" s="37" t="s">
        <v>3637</v>
      </c>
    </row>
    <row r="3508" spans="1:10" x14ac:dyDescent="0.25">
      <c r="A3508" s="32" t="s">
        <v>100</v>
      </c>
      <c r="B3508" s="32">
        <f t="shared" si="838"/>
        <v>2033</v>
      </c>
      <c r="C3508" s="33" t="s">
        <v>49</v>
      </c>
      <c r="D3508" s="34" t="s">
        <v>1999</v>
      </c>
      <c r="E3508" s="35" t="str">
        <f t="shared" si="834"/>
        <v>PRBNP'!</v>
      </c>
      <c r="F3508" s="34" t="str">
        <f t="shared" si="835"/>
        <v>C:\Users\jaime.benazar\Quorum Business Solutions\Ecopetrol Prometeo - Documents\Planning Space Implementation\3. Analysis &amp; Design\Design\FC22\DRR Jaime\QUIFA-CAJÚA\Cajua\[CAJUA_CF_SEC_New_27-Feb-2024Rev3.xlsx]D-PRBNP'!</v>
      </c>
      <c r="G3508" s="32" t="s">
        <v>111</v>
      </c>
      <c r="H3508" s="33">
        <f t="shared" si="837"/>
        <v>22</v>
      </c>
      <c r="I3508" s="33" t="str">
        <f t="shared" si="836"/>
        <v>='C:\Users\jaime.benazar\Quorum Business Solutions\Ecopetrol Prometeo - Documents\Planning Space Implementation\3. Analysis &amp; Design\Design\FC22\DRR Jaime\QUIFA-CAJÚA\Cajua\[CAJUA_CF_SEC_New_27-Feb-2024Rev3.xlsx]D-PRBNP'!$BE$22</v>
      </c>
      <c r="J3508" s="37" t="s">
        <v>3638</v>
      </c>
    </row>
    <row r="3509" spans="1:10" x14ac:dyDescent="0.25">
      <c r="A3509" s="32" t="s">
        <v>100</v>
      </c>
      <c r="B3509" s="32">
        <f t="shared" si="838"/>
        <v>2034</v>
      </c>
      <c r="C3509" s="33" t="s">
        <v>49</v>
      </c>
      <c r="D3509" s="34" t="s">
        <v>1999</v>
      </c>
      <c r="E3509" s="35" t="str">
        <f t="shared" si="834"/>
        <v>PRBNP'!</v>
      </c>
      <c r="F3509" s="34" t="str">
        <f t="shared" si="835"/>
        <v>C:\Users\jaime.benazar\Quorum Business Solutions\Ecopetrol Prometeo - Documents\Planning Space Implementation\3. Analysis &amp; Design\Design\FC22\DRR Jaime\QUIFA-CAJÚA\Cajua\[CAJUA_CF_SEC_New_27-Feb-2024Rev3.xlsx]D-PRBNP'!</v>
      </c>
      <c r="G3509" s="32" t="s">
        <v>111</v>
      </c>
      <c r="H3509" s="33">
        <f t="shared" si="837"/>
        <v>23</v>
      </c>
      <c r="I3509" s="33" t="str">
        <f t="shared" si="836"/>
        <v>='C:\Users\jaime.benazar\Quorum Business Solutions\Ecopetrol Prometeo - Documents\Planning Space Implementation\3. Analysis &amp; Design\Design\FC22\DRR Jaime\QUIFA-CAJÚA\Cajua\[CAJUA_CF_SEC_New_27-Feb-2024Rev3.xlsx]D-PRBNP'!$BE$23</v>
      </c>
      <c r="J3509" s="37" t="s">
        <v>3639</v>
      </c>
    </row>
    <row r="3510" spans="1:10" x14ac:dyDescent="0.25">
      <c r="A3510" s="32" t="s">
        <v>100</v>
      </c>
      <c r="B3510" s="32">
        <f t="shared" si="838"/>
        <v>2035</v>
      </c>
      <c r="C3510" s="33" t="s">
        <v>49</v>
      </c>
      <c r="D3510" s="34" t="s">
        <v>1999</v>
      </c>
      <c r="E3510" s="35" t="str">
        <f t="shared" si="834"/>
        <v>PRBNP'!</v>
      </c>
      <c r="F3510" s="34" t="str">
        <f t="shared" si="835"/>
        <v>C:\Users\jaime.benazar\Quorum Business Solutions\Ecopetrol Prometeo - Documents\Planning Space Implementation\3. Analysis &amp; Design\Design\FC22\DRR Jaime\QUIFA-CAJÚA\Cajua\[CAJUA_CF_SEC_New_27-Feb-2024Rev3.xlsx]D-PRBNP'!</v>
      </c>
      <c r="G3510" s="32" t="s">
        <v>111</v>
      </c>
      <c r="H3510" s="33">
        <f t="shared" si="837"/>
        <v>24</v>
      </c>
      <c r="I3510" s="33" t="str">
        <f t="shared" si="836"/>
        <v>='C:\Users\jaime.benazar\Quorum Business Solutions\Ecopetrol Prometeo - Documents\Planning Space Implementation\3. Analysis &amp; Design\Design\FC22\DRR Jaime\QUIFA-CAJÚA\Cajua\[CAJUA_CF_SEC_New_27-Feb-2024Rev3.xlsx]D-PRBNP'!$BE$24</v>
      </c>
      <c r="J3510" s="37" t="s">
        <v>3640</v>
      </c>
    </row>
    <row r="3511" spans="1:10" x14ac:dyDescent="0.25">
      <c r="A3511" s="32" t="s">
        <v>100</v>
      </c>
      <c r="B3511" s="32">
        <f t="shared" si="838"/>
        <v>2036</v>
      </c>
      <c r="C3511" s="33" t="s">
        <v>49</v>
      </c>
      <c r="D3511" s="34" t="s">
        <v>1999</v>
      </c>
      <c r="E3511" s="35" t="str">
        <f t="shared" si="834"/>
        <v>PRBNP'!</v>
      </c>
      <c r="F3511" s="34" t="str">
        <f t="shared" si="835"/>
        <v>C:\Users\jaime.benazar\Quorum Business Solutions\Ecopetrol Prometeo - Documents\Planning Space Implementation\3. Analysis &amp; Design\Design\FC22\DRR Jaime\QUIFA-CAJÚA\Cajua\[CAJUA_CF_SEC_New_27-Feb-2024Rev3.xlsx]D-PRBNP'!</v>
      </c>
      <c r="G3511" s="32" t="s">
        <v>111</v>
      </c>
      <c r="H3511" s="33">
        <f t="shared" si="837"/>
        <v>25</v>
      </c>
      <c r="I3511" s="33" t="str">
        <f t="shared" si="836"/>
        <v>='C:\Users\jaime.benazar\Quorum Business Solutions\Ecopetrol Prometeo - Documents\Planning Space Implementation\3. Analysis &amp; Design\Design\FC22\DRR Jaime\QUIFA-CAJÚA\Cajua\[CAJUA_CF_SEC_New_27-Feb-2024Rev3.xlsx]D-PRBNP'!$BE$25</v>
      </c>
      <c r="J3511" s="37" t="s">
        <v>3641</v>
      </c>
    </row>
    <row r="3512" spans="1:10" x14ac:dyDescent="0.25">
      <c r="A3512" s="32" t="s">
        <v>100</v>
      </c>
      <c r="B3512" s="32">
        <f>+B3511+1</f>
        <v>2037</v>
      </c>
      <c r="C3512" s="33" t="s">
        <v>49</v>
      </c>
      <c r="D3512" s="34" t="s">
        <v>1999</v>
      </c>
      <c r="E3512" s="35" t="str">
        <f t="shared" si="834"/>
        <v>PRBNP'!</v>
      </c>
      <c r="F3512" s="34" t="str">
        <f t="shared" si="835"/>
        <v>C:\Users\jaime.benazar\Quorum Business Solutions\Ecopetrol Prometeo - Documents\Planning Space Implementation\3. Analysis &amp; Design\Design\FC22\DRR Jaime\QUIFA-CAJÚA\Cajua\[CAJUA_CF_SEC_New_27-Feb-2024Rev3.xlsx]D-PRBNP'!</v>
      </c>
      <c r="G3512" s="32" t="s">
        <v>111</v>
      </c>
      <c r="H3512" s="33">
        <f t="shared" si="837"/>
        <v>26</v>
      </c>
      <c r="I3512" s="33" t="str">
        <f t="shared" si="836"/>
        <v>='C:\Users\jaime.benazar\Quorum Business Solutions\Ecopetrol Prometeo - Documents\Planning Space Implementation\3. Analysis &amp; Design\Design\FC22\DRR Jaime\QUIFA-CAJÚA\Cajua\[CAJUA_CF_SEC_New_27-Feb-2024Rev3.xlsx]D-PRBNP'!$BE$26</v>
      </c>
      <c r="J3512" s="37" t="s">
        <v>3642</v>
      </c>
    </row>
    <row r="3513" spans="1:10" x14ac:dyDescent="0.25">
      <c r="A3513" s="32" t="s">
        <v>100</v>
      </c>
      <c r="B3513" s="32">
        <f t="shared" ref="B3513:B3515" si="839">+B3512+1</f>
        <v>2038</v>
      </c>
      <c r="C3513" s="33" t="s">
        <v>49</v>
      </c>
      <c r="D3513" s="34" t="s">
        <v>1999</v>
      </c>
      <c r="E3513" s="35" t="str">
        <f t="shared" si="834"/>
        <v>PRBNP'!</v>
      </c>
      <c r="F3513" s="34" t="str">
        <f t="shared" si="835"/>
        <v>C:\Users\jaime.benazar\Quorum Business Solutions\Ecopetrol Prometeo - Documents\Planning Space Implementation\3. Analysis &amp; Design\Design\FC22\DRR Jaime\QUIFA-CAJÚA\Cajua\[CAJUA_CF_SEC_New_27-Feb-2024Rev3.xlsx]D-PRBNP'!</v>
      </c>
      <c r="G3513" s="32" t="s">
        <v>111</v>
      </c>
      <c r="H3513" s="33">
        <f t="shared" si="837"/>
        <v>27</v>
      </c>
      <c r="I3513" s="33" t="str">
        <f t="shared" si="836"/>
        <v>='C:\Users\jaime.benazar\Quorum Business Solutions\Ecopetrol Prometeo - Documents\Planning Space Implementation\3. Analysis &amp; Design\Design\FC22\DRR Jaime\QUIFA-CAJÚA\Cajua\[CAJUA_CF_SEC_New_27-Feb-2024Rev3.xlsx]D-PRBNP'!$BE$27</v>
      </c>
      <c r="J3513" s="37" t="s">
        <v>3643</v>
      </c>
    </row>
    <row r="3514" spans="1:10" x14ac:dyDescent="0.25">
      <c r="A3514" s="32" t="s">
        <v>100</v>
      </c>
      <c r="B3514" s="32">
        <f t="shared" si="839"/>
        <v>2039</v>
      </c>
      <c r="C3514" s="33" t="s">
        <v>49</v>
      </c>
      <c r="D3514" s="34" t="s">
        <v>1999</v>
      </c>
      <c r="E3514" s="35" t="str">
        <f t="shared" si="834"/>
        <v>PRBNP'!</v>
      </c>
      <c r="F3514" s="34" t="str">
        <f t="shared" si="835"/>
        <v>C:\Users\jaime.benazar\Quorum Business Solutions\Ecopetrol Prometeo - Documents\Planning Space Implementation\3. Analysis &amp; Design\Design\FC22\DRR Jaime\QUIFA-CAJÚA\Cajua\[CAJUA_CF_SEC_New_27-Feb-2024Rev3.xlsx]D-PRBNP'!</v>
      </c>
      <c r="G3514" s="32" t="s">
        <v>111</v>
      </c>
      <c r="H3514" s="33">
        <f t="shared" si="837"/>
        <v>28</v>
      </c>
      <c r="I3514" s="33" t="str">
        <f t="shared" si="836"/>
        <v>='C:\Users\jaime.benazar\Quorum Business Solutions\Ecopetrol Prometeo - Documents\Planning Space Implementation\3. Analysis &amp; Design\Design\FC22\DRR Jaime\QUIFA-CAJÚA\Cajua\[CAJUA_CF_SEC_New_27-Feb-2024Rev3.xlsx]D-PRBNP'!$BE$28</v>
      </c>
      <c r="J3514" s="37" t="s">
        <v>3644</v>
      </c>
    </row>
    <row r="3515" spans="1:10" x14ac:dyDescent="0.25">
      <c r="A3515" s="32" t="s">
        <v>100</v>
      </c>
      <c r="B3515" s="32">
        <f t="shared" si="839"/>
        <v>2040</v>
      </c>
      <c r="C3515" s="33" t="s">
        <v>49</v>
      </c>
      <c r="D3515" s="34" t="s">
        <v>1999</v>
      </c>
      <c r="E3515" s="35" t="str">
        <f t="shared" si="834"/>
        <v>PRBNP'!</v>
      </c>
      <c r="F3515" s="34" t="str">
        <f t="shared" si="835"/>
        <v>C:\Users\jaime.benazar\Quorum Business Solutions\Ecopetrol Prometeo - Documents\Planning Space Implementation\3. Analysis &amp; Design\Design\FC22\DRR Jaime\QUIFA-CAJÚA\Cajua\[CAJUA_CF_SEC_New_27-Feb-2024Rev3.xlsx]D-PRBNP'!</v>
      </c>
      <c r="G3515" s="32" t="s">
        <v>111</v>
      </c>
      <c r="H3515" s="33">
        <f t="shared" si="837"/>
        <v>29</v>
      </c>
      <c r="I3515" s="33" t="str">
        <f t="shared" si="836"/>
        <v>='C:\Users\jaime.benazar\Quorum Business Solutions\Ecopetrol Prometeo - Documents\Planning Space Implementation\3. Analysis &amp; Design\Design\FC22\DRR Jaime\QUIFA-CAJÚA\Cajua\[CAJUA_CF_SEC_New_27-Feb-2024Rev3.xlsx]D-PRBNP'!$BE$29</v>
      </c>
      <c r="J3515" s="37" t="s">
        <v>3645</v>
      </c>
    </row>
    <row r="3516" spans="1:10" x14ac:dyDescent="0.25">
      <c r="A3516" s="32" t="s">
        <v>100</v>
      </c>
      <c r="B3516" s="32">
        <f>+B3515+1</f>
        <v>2041</v>
      </c>
      <c r="C3516" s="33" t="s">
        <v>49</v>
      </c>
      <c r="D3516" s="34" t="s">
        <v>1999</v>
      </c>
      <c r="E3516" s="35" t="str">
        <f t="shared" si="834"/>
        <v>PRBNP'!</v>
      </c>
      <c r="F3516" s="34" t="str">
        <f t="shared" si="835"/>
        <v>C:\Users\jaime.benazar\Quorum Business Solutions\Ecopetrol Prometeo - Documents\Planning Space Implementation\3. Analysis &amp; Design\Design\FC22\DRR Jaime\QUIFA-CAJÚA\Cajua\[CAJUA_CF_SEC_New_27-Feb-2024Rev3.xlsx]D-PRBNP'!</v>
      </c>
      <c r="G3516" s="32" t="s">
        <v>111</v>
      </c>
      <c r="H3516" s="33">
        <f t="shared" si="837"/>
        <v>30</v>
      </c>
      <c r="I3516" s="33" t="str">
        <f t="shared" si="836"/>
        <v>='C:\Users\jaime.benazar\Quorum Business Solutions\Ecopetrol Prometeo - Documents\Planning Space Implementation\3. Analysis &amp; Design\Design\FC22\DRR Jaime\QUIFA-CAJÚA\Cajua\[CAJUA_CF_SEC_New_27-Feb-2024Rev3.xlsx]D-PRBNP'!$BE$30</v>
      </c>
      <c r="J3516" s="37" t="s">
        <v>3646</v>
      </c>
    </row>
    <row r="3517" spans="1:10" x14ac:dyDescent="0.25">
      <c r="A3517" s="32" t="s">
        <v>100</v>
      </c>
      <c r="B3517" s="32">
        <f t="shared" ref="B3517:B3518" si="840">+B3516+1</f>
        <v>2042</v>
      </c>
      <c r="C3517" s="33" t="s">
        <v>49</v>
      </c>
      <c r="D3517" s="34" t="s">
        <v>1999</v>
      </c>
      <c r="E3517" s="35" t="str">
        <f t="shared" si="834"/>
        <v>PRBNP'!</v>
      </c>
      <c r="F3517" s="34" t="str">
        <f t="shared" si="835"/>
        <v>C:\Users\jaime.benazar\Quorum Business Solutions\Ecopetrol Prometeo - Documents\Planning Space Implementation\3. Analysis &amp; Design\Design\FC22\DRR Jaime\QUIFA-CAJÚA\Cajua\[CAJUA_CF_SEC_New_27-Feb-2024Rev3.xlsx]D-PRBNP'!</v>
      </c>
      <c r="G3517" s="32" t="s">
        <v>111</v>
      </c>
      <c r="H3517" s="33">
        <f t="shared" si="837"/>
        <v>31</v>
      </c>
      <c r="I3517" s="33" t="str">
        <f t="shared" si="836"/>
        <v>='C:\Users\jaime.benazar\Quorum Business Solutions\Ecopetrol Prometeo - Documents\Planning Space Implementation\3. Analysis &amp; Design\Design\FC22\DRR Jaime\QUIFA-CAJÚA\Cajua\[CAJUA_CF_SEC_New_27-Feb-2024Rev3.xlsx]D-PRBNP'!$BE$31</v>
      </c>
      <c r="J3517" s="37" t="s">
        <v>3647</v>
      </c>
    </row>
    <row r="3518" spans="1:10" x14ac:dyDescent="0.25">
      <c r="A3518" s="32" t="s">
        <v>100</v>
      </c>
      <c r="B3518" s="32">
        <f t="shared" si="840"/>
        <v>2043</v>
      </c>
      <c r="C3518" s="33" t="s">
        <v>49</v>
      </c>
      <c r="D3518" s="34" t="s">
        <v>1999</v>
      </c>
      <c r="E3518" s="35" t="str">
        <f t="shared" si="834"/>
        <v>PRBNP'!</v>
      </c>
      <c r="F3518" s="34" t="str">
        <f t="shared" si="835"/>
        <v>C:\Users\jaime.benazar\Quorum Business Solutions\Ecopetrol Prometeo - Documents\Planning Space Implementation\3. Analysis &amp; Design\Design\FC22\DRR Jaime\QUIFA-CAJÚA\Cajua\[CAJUA_CF_SEC_New_27-Feb-2024Rev3.xlsx]D-PRBNP'!</v>
      </c>
      <c r="G3518" s="32" t="s">
        <v>111</v>
      </c>
      <c r="H3518" s="33">
        <f t="shared" si="837"/>
        <v>32</v>
      </c>
      <c r="I3518" s="33" t="str">
        <f t="shared" si="836"/>
        <v>='C:\Users\jaime.benazar\Quorum Business Solutions\Ecopetrol Prometeo - Documents\Planning Space Implementation\3. Analysis &amp; Design\Design\FC22\DRR Jaime\QUIFA-CAJÚA\Cajua\[CAJUA_CF_SEC_New_27-Feb-2024Rev3.xlsx]D-PRBNP'!$BE$32</v>
      </c>
      <c r="J3518" s="37" t="s">
        <v>3648</v>
      </c>
    </row>
    <row r="3519" spans="1:10" x14ac:dyDescent="0.25">
      <c r="A3519" s="32" t="s">
        <v>100</v>
      </c>
      <c r="B3519" s="32">
        <f>+B3518+1</f>
        <v>2044</v>
      </c>
      <c r="C3519" s="33" t="s">
        <v>49</v>
      </c>
      <c r="D3519" s="34" t="s">
        <v>1999</v>
      </c>
      <c r="E3519" s="35" t="str">
        <f t="shared" ref="E3519:E3534" si="841">_xlfn.CONCAT(A3519,"'!")</f>
        <v>PRBNP'!</v>
      </c>
      <c r="F3519" s="34" t="str">
        <f t="shared" ref="F3519:F3534" si="842">_xlfn.CONCAT(D3519:E3519)</f>
        <v>C:\Users\jaime.benazar\Quorum Business Solutions\Ecopetrol Prometeo - Documents\Planning Space Implementation\3. Analysis &amp; Design\Design\FC22\DRR Jaime\QUIFA-CAJÚA\Cajua\[CAJUA_CF_SEC_New_27-Feb-2024Rev3.xlsx]D-PRBNP'!</v>
      </c>
      <c r="G3519" s="32" t="s">
        <v>111</v>
      </c>
      <c r="H3519" s="33">
        <f t="shared" si="837"/>
        <v>33</v>
      </c>
      <c r="I3519" s="33" t="str">
        <f t="shared" si="836"/>
        <v>='C:\Users\jaime.benazar\Quorum Business Solutions\Ecopetrol Prometeo - Documents\Planning Space Implementation\3. Analysis &amp; Design\Design\FC22\DRR Jaime\QUIFA-CAJÚA\Cajua\[CAJUA_CF_SEC_New_27-Feb-2024Rev3.xlsx]D-PRBNP'!$BE$33</v>
      </c>
      <c r="J3519" s="37" t="s">
        <v>3649</v>
      </c>
    </row>
    <row r="3520" spans="1:10" x14ac:dyDescent="0.25">
      <c r="A3520" s="32" t="s">
        <v>100</v>
      </c>
      <c r="B3520" s="32">
        <f t="shared" ref="B3520:B3534" si="843">+B3519+1</f>
        <v>2045</v>
      </c>
      <c r="C3520" s="33" t="s">
        <v>49</v>
      </c>
      <c r="D3520" s="34" t="s">
        <v>1999</v>
      </c>
      <c r="E3520" s="35" t="str">
        <f t="shared" si="841"/>
        <v>PRBNP'!</v>
      </c>
      <c r="F3520" s="34" t="str">
        <f t="shared" si="842"/>
        <v>C:\Users\jaime.benazar\Quorum Business Solutions\Ecopetrol Prometeo - Documents\Planning Space Implementation\3. Analysis &amp; Design\Design\FC22\DRR Jaime\QUIFA-CAJÚA\Cajua\[CAJUA_CF_SEC_New_27-Feb-2024Rev3.xlsx]D-PRBNP'!</v>
      </c>
      <c r="G3520" s="32" t="s">
        <v>111</v>
      </c>
      <c r="H3520" s="33">
        <f t="shared" si="837"/>
        <v>34</v>
      </c>
      <c r="I3520" s="33" t="str">
        <f t="shared" si="836"/>
        <v>='C:\Users\jaime.benazar\Quorum Business Solutions\Ecopetrol Prometeo - Documents\Planning Space Implementation\3. Analysis &amp; Design\Design\FC22\DRR Jaime\QUIFA-CAJÚA\Cajua\[CAJUA_CF_SEC_New_27-Feb-2024Rev3.xlsx]D-PRBNP'!$BE$34</v>
      </c>
      <c r="J3520" s="37" t="s">
        <v>3650</v>
      </c>
    </row>
    <row r="3521" spans="1:10" x14ac:dyDescent="0.25">
      <c r="A3521" s="32" t="s">
        <v>100</v>
      </c>
      <c r="B3521" s="32">
        <f t="shared" si="843"/>
        <v>2046</v>
      </c>
      <c r="C3521" s="33" t="s">
        <v>49</v>
      </c>
      <c r="D3521" s="34" t="s">
        <v>1999</v>
      </c>
      <c r="E3521" s="35" t="str">
        <f t="shared" si="841"/>
        <v>PRBNP'!</v>
      </c>
      <c r="F3521" s="34" t="str">
        <f t="shared" si="842"/>
        <v>C:\Users\jaime.benazar\Quorum Business Solutions\Ecopetrol Prometeo - Documents\Planning Space Implementation\3. Analysis &amp; Design\Design\FC22\DRR Jaime\QUIFA-CAJÚA\Cajua\[CAJUA_CF_SEC_New_27-Feb-2024Rev3.xlsx]D-PRBNP'!</v>
      </c>
      <c r="G3521" s="32" t="s">
        <v>111</v>
      </c>
      <c r="H3521" s="33">
        <f t="shared" si="837"/>
        <v>35</v>
      </c>
      <c r="I3521" s="33" t="str">
        <f t="shared" si="836"/>
        <v>='C:\Users\jaime.benazar\Quorum Business Solutions\Ecopetrol Prometeo - Documents\Planning Space Implementation\3. Analysis &amp; Design\Design\FC22\DRR Jaime\QUIFA-CAJÚA\Cajua\[CAJUA_CF_SEC_New_27-Feb-2024Rev3.xlsx]D-PRBNP'!$BE$35</v>
      </c>
      <c r="J3521" s="37" t="s">
        <v>3651</v>
      </c>
    </row>
    <row r="3522" spans="1:10" x14ac:dyDescent="0.25">
      <c r="A3522" s="32" t="s">
        <v>100</v>
      </c>
      <c r="B3522" s="32">
        <f t="shared" si="843"/>
        <v>2047</v>
      </c>
      <c r="C3522" s="33" t="s">
        <v>49</v>
      </c>
      <c r="D3522" s="34" t="s">
        <v>1999</v>
      </c>
      <c r="E3522" s="35" t="str">
        <f t="shared" si="841"/>
        <v>PRBNP'!</v>
      </c>
      <c r="F3522" s="34" t="str">
        <f t="shared" si="842"/>
        <v>C:\Users\jaime.benazar\Quorum Business Solutions\Ecopetrol Prometeo - Documents\Planning Space Implementation\3. Analysis &amp; Design\Design\FC22\DRR Jaime\QUIFA-CAJÚA\Cajua\[CAJUA_CF_SEC_New_27-Feb-2024Rev3.xlsx]D-PRBNP'!</v>
      </c>
      <c r="G3522" s="32" t="s">
        <v>111</v>
      </c>
      <c r="H3522" s="33">
        <f t="shared" si="837"/>
        <v>36</v>
      </c>
      <c r="I3522" s="33" t="str">
        <f t="shared" si="836"/>
        <v>='C:\Users\jaime.benazar\Quorum Business Solutions\Ecopetrol Prometeo - Documents\Planning Space Implementation\3. Analysis &amp; Design\Design\FC22\DRR Jaime\QUIFA-CAJÚA\Cajua\[CAJUA_CF_SEC_New_27-Feb-2024Rev3.xlsx]D-PRBNP'!$BE$36</v>
      </c>
      <c r="J3522" s="37" t="s">
        <v>3652</v>
      </c>
    </row>
    <row r="3523" spans="1:10" x14ac:dyDescent="0.25">
      <c r="A3523" s="32" t="s">
        <v>100</v>
      </c>
      <c r="B3523" s="32">
        <f t="shared" si="843"/>
        <v>2048</v>
      </c>
      <c r="C3523" s="33" t="s">
        <v>49</v>
      </c>
      <c r="D3523" s="34" t="s">
        <v>1999</v>
      </c>
      <c r="E3523" s="35" t="str">
        <f t="shared" si="841"/>
        <v>PRBNP'!</v>
      </c>
      <c r="F3523" s="34" t="str">
        <f t="shared" si="842"/>
        <v>C:\Users\jaime.benazar\Quorum Business Solutions\Ecopetrol Prometeo - Documents\Planning Space Implementation\3. Analysis &amp; Design\Design\FC22\DRR Jaime\QUIFA-CAJÚA\Cajua\[CAJUA_CF_SEC_New_27-Feb-2024Rev3.xlsx]D-PRBNP'!</v>
      </c>
      <c r="G3523" s="32" t="s">
        <v>111</v>
      </c>
      <c r="H3523" s="33">
        <f t="shared" si="837"/>
        <v>37</v>
      </c>
      <c r="I3523" s="33" t="str">
        <f t="shared" si="836"/>
        <v>='C:\Users\jaime.benazar\Quorum Business Solutions\Ecopetrol Prometeo - Documents\Planning Space Implementation\3. Analysis &amp; Design\Design\FC22\DRR Jaime\QUIFA-CAJÚA\Cajua\[CAJUA_CF_SEC_New_27-Feb-2024Rev3.xlsx]D-PRBNP'!$BE$37</v>
      </c>
      <c r="J3523" s="37" t="s">
        <v>3653</v>
      </c>
    </row>
    <row r="3524" spans="1:10" x14ac:dyDescent="0.25">
      <c r="A3524" s="32" t="s">
        <v>100</v>
      </c>
      <c r="B3524" s="32">
        <f t="shared" si="843"/>
        <v>2049</v>
      </c>
      <c r="C3524" s="33" t="s">
        <v>49</v>
      </c>
      <c r="D3524" s="34" t="s">
        <v>1999</v>
      </c>
      <c r="E3524" s="35" t="str">
        <f t="shared" si="841"/>
        <v>PRBNP'!</v>
      </c>
      <c r="F3524" s="34" t="str">
        <f t="shared" si="842"/>
        <v>C:\Users\jaime.benazar\Quorum Business Solutions\Ecopetrol Prometeo - Documents\Planning Space Implementation\3. Analysis &amp; Design\Design\FC22\DRR Jaime\QUIFA-CAJÚA\Cajua\[CAJUA_CF_SEC_New_27-Feb-2024Rev3.xlsx]D-PRBNP'!</v>
      </c>
      <c r="G3524" s="32" t="s">
        <v>111</v>
      </c>
      <c r="H3524" s="33">
        <f t="shared" si="837"/>
        <v>38</v>
      </c>
      <c r="I3524" s="33" t="str">
        <f t="shared" si="836"/>
        <v>='C:\Users\jaime.benazar\Quorum Business Solutions\Ecopetrol Prometeo - Documents\Planning Space Implementation\3. Analysis &amp; Design\Design\FC22\DRR Jaime\QUIFA-CAJÚA\Cajua\[CAJUA_CF_SEC_New_27-Feb-2024Rev3.xlsx]D-PRBNP'!$BE$38</v>
      </c>
      <c r="J3524" s="37" t="s">
        <v>3654</v>
      </c>
    </row>
    <row r="3525" spans="1:10" x14ac:dyDescent="0.25">
      <c r="A3525" s="32" t="s">
        <v>100</v>
      </c>
      <c r="B3525" s="32">
        <f t="shared" si="843"/>
        <v>2050</v>
      </c>
      <c r="C3525" s="33" t="s">
        <v>49</v>
      </c>
      <c r="D3525" s="34" t="s">
        <v>1999</v>
      </c>
      <c r="E3525" s="35" t="str">
        <f t="shared" si="841"/>
        <v>PRBNP'!</v>
      </c>
      <c r="F3525" s="34" t="str">
        <f t="shared" si="842"/>
        <v>C:\Users\jaime.benazar\Quorum Business Solutions\Ecopetrol Prometeo - Documents\Planning Space Implementation\3. Analysis &amp; Design\Design\FC22\DRR Jaime\QUIFA-CAJÚA\Cajua\[CAJUA_CF_SEC_New_27-Feb-2024Rev3.xlsx]D-PRBNP'!</v>
      </c>
      <c r="G3525" s="32" t="s">
        <v>111</v>
      </c>
      <c r="H3525" s="33">
        <f t="shared" si="837"/>
        <v>39</v>
      </c>
      <c r="I3525" s="33" t="str">
        <f t="shared" si="836"/>
        <v>='C:\Users\jaime.benazar\Quorum Business Solutions\Ecopetrol Prometeo - Documents\Planning Space Implementation\3. Analysis &amp; Design\Design\FC22\DRR Jaime\QUIFA-CAJÚA\Cajua\[CAJUA_CF_SEC_New_27-Feb-2024Rev3.xlsx]D-PRBNP'!$BE$39</v>
      </c>
      <c r="J3525" s="37" t="s">
        <v>3655</v>
      </c>
    </row>
    <row r="3526" spans="1:10" x14ac:dyDescent="0.25">
      <c r="A3526" s="32" t="s">
        <v>100</v>
      </c>
      <c r="B3526" s="32">
        <f t="shared" si="843"/>
        <v>2051</v>
      </c>
      <c r="C3526" s="33" t="s">
        <v>49</v>
      </c>
      <c r="D3526" s="34" t="s">
        <v>1999</v>
      </c>
      <c r="E3526" s="35" t="str">
        <f t="shared" si="841"/>
        <v>PRBNP'!</v>
      </c>
      <c r="F3526" s="34" t="str">
        <f t="shared" si="842"/>
        <v>C:\Users\jaime.benazar\Quorum Business Solutions\Ecopetrol Prometeo - Documents\Planning Space Implementation\3. Analysis &amp; Design\Design\FC22\DRR Jaime\QUIFA-CAJÚA\Cajua\[CAJUA_CF_SEC_New_27-Feb-2024Rev3.xlsx]D-PRBNP'!</v>
      </c>
      <c r="G3526" s="32" t="s">
        <v>111</v>
      </c>
      <c r="H3526" s="33">
        <f t="shared" si="837"/>
        <v>40</v>
      </c>
      <c r="I3526" s="33" t="str">
        <f t="shared" si="836"/>
        <v>='C:\Users\jaime.benazar\Quorum Business Solutions\Ecopetrol Prometeo - Documents\Planning Space Implementation\3. Analysis &amp; Design\Design\FC22\DRR Jaime\QUIFA-CAJÚA\Cajua\[CAJUA_CF_SEC_New_27-Feb-2024Rev3.xlsx]D-PRBNP'!$BE$40</v>
      </c>
      <c r="J3526" s="37" t="s">
        <v>3656</v>
      </c>
    </row>
    <row r="3527" spans="1:10" x14ac:dyDescent="0.25">
      <c r="A3527" s="32" t="s">
        <v>100</v>
      </c>
      <c r="B3527" s="32">
        <f t="shared" si="843"/>
        <v>2052</v>
      </c>
      <c r="C3527" s="33" t="s">
        <v>49</v>
      </c>
      <c r="D3527" s="34" t="s">
        <v>1999</v>
      </c>
      <c r="E3527" s="35" t="str">
        <f t="shared" si="841"/>
        <v>PRBNP'!</v>
      </c>
      <c r="F3527" s="34" t="str">
        <f t="shared" si="842"/>
        <v>C:\Users\jaime.benazar\Quorum Business Solutions\Ecopetrol Prometeo - Documents\Planning Space Implementation\3. Analysis &amp; Design\Design\FC22\DRR Jaime\QUIFA-CAJÚA\Cajua\[CAJUA_CF_SEC_New_27-Feb-2024Rev3.xlsx]D-PRBNP'!</v>
      </c>
      <c r="G3527" s="32" t="s">
        <v>111</v>
      </c>
      <c r="H3527" s="33">
        <f t="shared" si="837"/>
        <v>41</v>
      </c>
      <c r="I3527" s="33" t="str">
        <f t="shared" si="836"/>
        <v>='C:\Users\jaime.benazar\Quorum Business Solutions\Ecopetrol Prometeo - Documents\Planning Space Implementation\3. Analysis &amp; Design\Design\FC22\DRR Jaime\QUIFA-CAJÚA\Cajua\[CAJUA_CF_SEC_New_27-Feb-2024Rev3.xlsx]D-PRBNP'!$BE$41</v>
      </c>
      <c r="J3527" s="37" t="s">
        <v>3657</v>
      </c>
    </row>
    <row r="3528" spans="1:10" x14ac:dyDescent="0.25">
      <c r="A3528" s="32" t="s">
        <v>100</v>
      </c>
      <c r="B3528" s="32">
        <f t="shared" si="843"/>
        <v>2053</v>
      </c>
      <c r="C3528" s="33" t="s">
        <v>49</v>
      </c>
      <c r="D3528" s="34" t="s">
        <v>1999</v>
      </c>
      <c r="E3528" s="35" t="str">
        <f t="shared" si="841"/>
        <v>PRBNP'!</v>
      </c>
      <c r="F3528" s="34" t="str">
        <f t="shared" si="842"/>
        <v>C:\Users\jaime.benazar\Quorum Business Solutions\Ecopetrol Prometeo - Documents\Planning Space Implementation\3. Analysis &amp; Design\Design\FC22\DRR Jaime\QUIFA-CAJÚA\Cajua\[CAJUA_CF_SEC_New_27-Feb-2024Rev3.xlsx]D-PRBNP'!</v>
      </c>
      <c r="G3528" s="32" t="s">
        <v>111</v>
      </c>
      <c r="H3528" s="33">
        <f t="shared" si="837"/>
        <v>42</v>
      </c>
      <c r="I3528" s="33" t="str">
        <f t="shared" si="836"/>
        <v>='C:\Users\jaime.benazar\Quorum Business Solutions\Ecopetrol Prometeo - Documents\Planning Space Implementation\3. Analysis &amp; Design\Design\FC22\DRR Jaime\QUIFA-CAJÚA\Cajua\[CAJUA_CF_SEC_New_27-Feb-2024Rev3.xlsx]D-PRBNP'!$BE$42</v>
      </c>
      <c r="J3528" s="37" t="s">
        <v>3658</v>
      </c>
    </row>
    <row r="3529" spans="1:10" x14ac:dyDescent="0.25">
      <c r="A3529" s="32" t="s">
        <v>100</v>
      </c>
      <c r="B3529" s="32">
        <f t="shared" si="843"/>
        <v>2054</v>
      </c>
      <c r="C3529" s="33" t="s">
        <v>49</v>
      </c>
      <c r="D3529" s="34" t="s">
        <v>1999</v>
      </c>
      <c r="E3529" s="35" t="str">
        <f t="shared" si="841"/>
        <v>PRBNP'!</v>
      </c>
      <c r="F3529" s="34" t="str">
        <f t="shared" si="842"/>
        <v>C:\Users\jaime.benazar\Quorum Business Solutions\Ecopetrol Prometeo - Documents\Planning Space Implementation\3. Analysis &amp; Design\Design\FC22\DRR Jaime\QUIFA-CAJÚA\Cajua\[CAJUA_CF_SEC_New_27-Feb-2024Rev3.xlsx]D-PRBNP'!</v>
      </c>
      <c r="G3529" s="32" t="s">
        <v>111</v>
      </c>
      <c r="H3529" s="33">
        <f t="shared" si="837"/>
        <v>43</v>
      </c>
      <c r="I3529" s="33" t="str">
        <f t="shared" si="836"/>
        <v>='C:\Users\jaime.benazar\Quorum Business Solutions\Ecopetrol Prometeo - Documents\Planning Space Implementation\3. Analysis &amp; Design\Design\FC22\DRR Jaime\QUIFA-CAJÚA\Cajua\[CAJUA_CF_SEC_New_27-Feb-2024Rev3.xlsx]D-PRBNP'!$BE$43</v>
      </c>
      <c r="J3529" s="37" t="s">
        <v>3659</v>
      </c>
    </row>
    <row r="3530" spans="1:10" x14ac:dyDescent="0.25">
      <c r="A3530" s="32" t="s">
        <v>100</v>
      </c>
      <c r="B3530" s="32">
        <f t="shared" si="843"/>
        <v>2055</v>
      </c>
      <c r="C3530" s="33" t="s">
        <v>49</v>
      </c>
      <c r="D3530" s="34" t="s">
        <v>1999</v>
      </c>
      <c r="E3530" s="35" t="str">
        <f t="shared" si="841"/>
        <v>PRBNP'!</v>
      </c>
      <c r="F3530" s="34" t="str">
        <f t="shared" si="842"/>
        <v>C:\Users\jaime.benazar\Quorum Business Solutions\Ecopetrol Prometeo - Documents\Planning Space Implementation\3. Analysis &amp; Design\Design\FC22\DRR Jaime\QUIFA-CAJÚA\Cajua\[CAJUA_CF_SEC_New_27-Feb-2024Rev3.xlsx]D-PRBNP'!</v>
      </c>
      <c r="G3530" s="32" t="s">
        <v>111</v>
      </c>
      <c r="H3530" s="33">
        <f t="shared" si="837"/>
        <v>44</v>
      </c>
      <c r="I3530" s="33" t="str">
        <f t="shared" si="836"/>
        <v>='C:\Users\jaime.benazar\Quorum Business Solutions\Ecopetrol Prometeo - Documents\Planning Space Implementation\3. Analysis &amp; Design\Design\FC22\DRR Jaime\QUIFA-CAJÚA\Cajua\[CAJUA_CF_SEC_New_27-Feb-2024Rev3.xlsx]D-PRBNP'!$BE$44</v>
      </c>
      <c r="J3530" s="37" t="s">
        <v>3660</v>
      </c>
    </row>
    <row r="3531" spans="1:10" x14ac:dyDescent="0.25">
      <c r="A3531" s="32" t="s">
        <v>100</v>
      </c>
      <c r="B3531" s="32">
        <f t="shared" si="843"/>
        <v>2056</v>
      </c>
      <c r="C3531" s="33" t="s">
        <v>49</v>
      </c>
      <c r="D3531" s="34" t="s">
        <v>1999</v>
      </c>
      <c r="E3531" s="35" t="str">
        <f t="shared" si="841"/>
        <v>PRBNP'!</v>
      </c>
      <c r="F3531" s="34" t="str">
        <f t="shared" si="842"/>
        <v>C:\Users\jaime.benazar\Quorum Business Solutions\Ecopetrol Prometeo - Documents\Planning Space Implementation\3. Analysis &amp; Design\Design\FC22\DRR Jaime\QUIFA-CAJÚA\Cajua\[CAJUA_CF_SEC_New_27-Feb-2024Rev3.xlsx]D-PRBNP'!</v>
      </c>
      <c r="G3531" s="32" t="s">
        <v>111</v>
      </c>
      <c r="H3531" s="33">
        <f t="shared" si="837"/>
        <v>45</v>
      </c>
      <c r="I3531" s="33" t="str">
        <f t="shared" si="836"/>
        <v>='C:\Users\jaime.benazar\Quorum Business Solutions\Ecopetrol Prometeo - Documents\Planning Space Implementation\3. Analysis &amp; Design\Design\FC22\DRR Jaime\QUIFA-CAJÚA\Cajua\[CAJUA_CF_SEC_New_27-Feb-2024Rev3.xlsx]D-PRBNP'!$BE$45</v>
      </c>
      <c r="J3531" s="37" t="s">
        <v>3661</v>
      </c>
    </row>
    <row r="3532" spans="1:10" x14ac:dyDescent="0.25">
      <c r="A3532" s="32" t="s">
        <v>100</v>
      </c>
      <c r="B3532" s="32">
        <f t="shared" si="843"/>
        <v>2057</v>
      </c>
      <c r="C3532" s="33" t="s">
        <v>49</v>
      </c>
      <c r="D3532" s="34" t="s">
        <v>1999</v>
      </c>
      <c r="E3532" s="35" t="str">
        <f t="shared" si="841"/>
        <v>PRBNP'!</v>
      </c>
      <c r="F3532" s="34" t="str">
        <f t="shared" si="842"/>
        <v>C:\Users\jaime.benazar\Quorum Business Solutions\Ecopetrol Prometeo - Documents\Planning Space Implementation\3. Analysis &amp; Design\Design\FC22\DRR Jaime\QUIFA-CAJÚA\Cajua\[CAJUA_CF_SEC_New_27-Feb-2024Rev3.xlsx]D-PRBNP'!</v>
      </c>
      <c r="G3532" s="32" t="s">
        <v>111</v>
      </c>
      <c r="H3532" s="33">
        <f t="shared" si="837"/>
        <v>46</v>
      </c>
      <c r="I3532" s="33" t="str">
        <f t="shared" si="836"/>
        <v>='C:\Users\jaime.benazar\Quorum Business Solutions\Ecopetrol Prometeo - Documents\Planning Space Implementation\3. Analysis &amp; Design\Design\FC22\DRR Jaime\QUIFA-CAJÚA\Cajua\[CAJUA_CF_SEC_New_27-Feb-2024Rev3.xlsx]D-PRBNP'!$BE$46</v>
      </c>
      <c r="J3532" s="37" t="s">
        <v>3662</v>
      </c>
    </row>
    <row r="3533" spans="1:10" x14ac:dyDescent="0.25">
      <c r="A3533" s="32" t="s">
        <v>100</v>
      </c>
      <c r="B3533" s="32">
        <f t="shared" si="843"/>
        <v>2058</v>
      </c>
      <c r="C3533" s="33" t="s">
        <v>49</v>
      </c>
      <c r="D3533" s="34" t="s">
        <v>1999</v>
      </c>
      <c r="E3533" s="35" t="str">
        <f t="shared" si="841"/>
        <v>PRBNP'!</v>
      </c>
      <c r="F3533" s="34" t="str">
        <f t="shared" si="842"/>
        <v>C:\Users\jaime.benazar\Quorum Business Solutions\Ecopetrol Prometeo - Documents\Planning Space Implementation\3. Analysis &amp; Design\Design\FC22\DRR Jaime\QUIFA-CAJÚA\Cajua\[CAJUA_CF_SEC_New_27-Feb-2024Rev3.xlsx]D-PRBNP'!</v>
      </c>
      <c r="G3533" s="32" t="s">
        <v>111</v>
      </c>
      <c r="H3533" s="33">
        <f t="shared" si="837"/>
        <v>47</v>
      </c>
      <c r="I3533" s="33" t="str">
        <f t="shared" si="836"/>
        <v>='C:\Users\jaime.benazar\Quorum Business Solutions\Ecopetrol Prometeo - Documents\Planning Space Implementation\3. Analysis &amp; Design\Design\FC22\DRR Jaime\QUIFA-CAJÚA\Cajua\[CAJUA_CF_SEC_New_27-Feb-2024Rev3.xlsx]D-PRBNP'!$BE$47</v>
      </c>
      <c r="J3533" s="37" t="s">
        <v>3663</v>
      </c>
    </row>
    <row r="3534" spans="1:10" x14ac:dyDescent="0.25">
      <c r="A3534" s="32" t="s">
        <v>100</v>
      </c>
      <c r="B3534" s="32">
        <f t="shared" si="843"/>
        <v>2059</v>
      </c>
      <c r="C3534" s="33" t="s">
        <v>49</v>
      </c>
      <c r="D3534" s="34" t="s">
        <v>1999</v>
      </c>
      <c r="E3534" s="35" t="str">
        <f t="shared" si="841"/>
        <v>PRBNP'!</v>
      </c>
      <c r="F3534" s="34" t="str">
        <f t="shared" si="842"/>
        <v>C:\Users\jaime.benazar\Quorum Business Solutions\Ecopetrol Prometeo - Documents\Planning Space Implementation\3. Analysis &amp; Design\Design\FC22\DRR Jaime\QUIFA-CAJÚA\Cajua\[CAJUA_CF_SEC_New_27-Feb-2024Rev3.xlsx]D-PRBNP'!</v>
      </c>
      <c r="G3534" s="32" t="s">
        <v>111</v>
      </c>
      <c r="H3534" s="33">
        <f t="shared" si="837"/>
        <v>48</v>
      </c>
      <c r="I3534" s="33" t="str">
        <f t="shared" si="836"/>
        <v>='C:\Users\jaime.benazar\Quorum Business Solutions\Ecopetrol Prometeo - Documents\Planning Space Implementation\3. Analysis &amp; Design\Design\FC22\DRR Jaime\QUIFA-CAJÚA\Cajua\[CAJUA_CF_SEC_New_27-Feb-2024Rev3.xlsx]D-PRBNP'!$BE$48</v>
      </c>
      <c r="J3534" s="37" t="s">
        <v>3664</v>
      </c>
    </row>
    <row r="3535" spans="1:10" x14ac:dyDescent="0.25">
      <c r="A3535" s="32" t="s">
        <v>28</v>
      </c>
      <c r="B3535" s="32"/>
      <c r="C3535" s="33" t="s">
        <v>49</v>
      </c>
      <c r="D3535" s="34"/>
      <c r="E3535" s="35"/>
      <c r="F3535" s="34"/>
      <c r="G3535" s="32"/>
      <c r="H3535" s="33"/>
      <c r="I3535" s="33"/>
      <c r="J3535" s="36"/>
    </row>
    <row r="3536" spans="1:10" x14ac:dyDescent="0.25">
      <c r="A3536" s="32" t="s">
        <v>101</v>
      </c>
      <c r="B3536" s="32">
        <v>2023</v>
      </c>
      <c r="C3536" s="33" t="s">
        <v>49</v>
      </c>
      <c r="D3536" s="34" t="s">
        <v>1999</v>
      </c>
      <c r="E3536" s="35" t="str">
        <f t="shared" ref="E3536:E3556" si="844">_xlfn.CONCAT(A3536,"'!")</f>
        <v>PRBND'!</v>
      </c>
      <c r="F3536" s="34" t="str">
        <f t="shared" ref="F3536:F3556" si="845">_xlfn.CONCAT(D3536:E3536)</f>
        <v>C:\Users\jaime.benazar\Quorum Business Solutions\Ecopetrol Prometeo - Documents\Planning Space Implementation\3. Analysis &amp; Design\Design\FC22\DRR Jaime\QUIFA-CAJÚA\Cajua\[CAJUA_CF_SEC_New_27-Feb-2024Rev3.xlsx]D-PRBND'!</v>
      </c>
      <c r="G3536" s="32" t="s">
        <v>111</v>
      </c>
      <c r="H3536" s="33">
        <f>IF(A3536&lt;&gt;A3520,12,H3520+1)</f>
        <v>12</v>
      </c>
      <c r="I3536" s="33" t="str">
        <f t="shared" ref="I3536:I3572" si="846">_xlfn.CONCAT("='",F3536:H3536)</f>
        <v>='C:\Users\jaime.benazar\Quorum Business Solutions\Ecopetrol Prometeo - Documents\Planning Space Implementation\3. Analysis &amp; Design\Design\FC22\DRR Jaime\QUIFA-CAJÚA\Cajua\[CAJUA_CF_SEC_New_27-Feb-2024Rev3.xlsx]D-PRBND'!$BE$12</v>
      </c>
      <c r="J3536" s="37" t="s">
        <v>3665</v>
      </c>
    </row>
    <row r="3537" spans="1:10" x14ac:dyDescent="0.25">
      <c r="A3537" s="32" t="s">
        <v>101</v>
      </c>
      <c r="B3537" s="32">
        <f>+B3536+1</f>
        <v>2024</v>
      </c>
      <c r="C3537" s="33" t="s">
        <v>49</v>
      </c>
      <c r="D3537" s="34" t="s">
        <v>1999</v>
      </c>
      <c r="E3537" s="35" t="str">
        <f t="shared" si="844"/>
        <v>PRBND'!</v>
      </c>
      <c r="F3537" s="34" t="str">
        <f t="shared" si="845"/>
        <v>C:\Users\jaime.benazar\Quorum Business Solutions\Ecopetrol Prometeo - Documents\Planning Space Implementation\3. Analysis &amp; Design\Design\FC22\DRR Jaime\QUIFA-CAJÚA\Cajua\[CAJUA_CF_SEC_New_27-Feb-2024Rev3.xlsx]D-PRBND'!</v>
      </c>
      <c r="G3537" s="32" t="s">
        <v>111</v>
      </c>
      <c r="H3537" s="33">
        <f t="shared" ref="H3537:H3572" si="847">IF(A3537&lt;&gt;A3536,36,H3536+1)</f>
        <v>13</v>
      </c>
      <c r="I3537" s="33" t="str">
        <f t="shared" si="846"/>
        <v>='C:\Users\jaime.benazar\Quorum Business Solutions\Ecopetrol Prometeo - Documents\Planning Space Implementation\3. Analysis &amp; Design\Design\FC22\DRR Jaime\QUIFA-CAJÚA\Cajua\[CAJUA_CF_SEC_New_27-Feb-2024Rev3.xlsx]D-PRBND'!$BE$13</v>
      </c>
      <c r="J3537" s="37" t="s">
        <v>3666</v>
      </c>
    </row>
    <row r="3538" spans="1:10" x14ac:dyDescent="0.25">
      <c r="A3538" s="32" t="s">
        <v>101</v>
      </c>
      <c r="B3538" s="32">
        <f t="shared" ref="B3538:B3549" si="848">+B3537+1</f>
        <v>2025</v>
      </c>
      <c r="C3538" s="33" t="s">
        <v>49</v>
      </c>
      <c r="D3538" s="34" t="s">
        <v>1999</v>
      </c>
      <c r="E3538" s="35" t="str">
        <f t="shared" si="844"/>
        <v>PRBND'!</v>
      </c>
      <c r="F3538" s="34" t="str">
        <f t="shared" si="845"/>
        <v>C:\Users\jaime.benazar\Quorum Business Solutions\Ecopetrol Prometeo - Documents\Planning Space Implementation\3. Analysis &amp; Design\Design\FC22\DRR Jaime\QUIFA-CAJÚA\Cajua\[CAJUA_CF_SEC_New_27-Feb-2024Rev3.xlsx]D-PRBND'!</v>
      </c>
      <c r="G3538" s="32" t="s">
        <v>111</v>
      </c>
      <c r="H3538" s="33">
        <f t="shared" si="847"/>
        <v>14</v>
      </c>
      <c r="I3538" s="33" t="str">
        <f t="shared" si="846"/>
        <v>='C:\Users\jaime.benazar\Quorum Business Solutions\Ecopetrol Prometeo - Documents\Planning Space Implementation\3. Analysis &amp; Design\Design\FC22\DRR Jaime\QUIFA-CAJÚA\Cajua\[CAJUA_CF_SEC_New_27-Feb-2024Rev3.xlsx]D-PRBND'!$BE$14</v>
      </c>
      <c r="J3538" s="37" t="s">
        <v>3667</v>
      </c>
    </row>
    <row r="3539" spans="1:10" x14ac:dyDescent="0.25">
      <c r="A3539" s="32" t="s">
        <v>101</v>
      </c>
      <c r="B3539" s="32">
        <f t="shared" si="848"/>
        <v>2026</v>
      </c>
      <c r="C3539" s="33" t="s">
        <v>49</v>
      </c>
      <c r="D3539" s="34" t="s">
        <v>1999</v>
      </c>
      <c r="E3539" s="35" t="str">
        <f t="shared" si="844"/>
        <v>PRBND'!</v>
      </c>
      <c r="F3539" s="34" t="str">
        <f t="shared" si="845"/>
        <v>C:\Users\jaime.benazar\Quorum Business Solutions\Ecopetrol Prometeo - Documents\Planning Space Implementation\3. Analysis &amp; Design\Design\FC22\DRR Jaime\QUIFA-CAJÚA\Cajua\[CAJUA_CF_SEC_New_27-Feb-2024Rev3.xlsx]D-PRBND'!</v>
      </c>
      <c r="G3539" s="32" t="s">
        <v>111</v>
      </c>
      <c r="H3539" s="33">
        <f t="shared" si="847"/>
        <v>15</v>
      </c>
      <c r="I3539" s="33" t="str">
        <f t="shared" si="846"/>
        <v>='C:\Users\jaime.benazar\Quorum Business Solutions\Ecopetrol Prometeo - Documents\Planning Space Implementation\3. Analysis &amp; Design\Design\FC22\DRR Jaime\QUIFA-CAJÚA\Cajua\[CAJUA_CF_SEC_New_27-Feb-2024Rev3.xlsx]D-PRBND'!$BE$15</v>
      </c>
      <c r="J3539" s="37" t="s">
        <v>3668</v>
      </c>
    </row>
    <row r="3540" spans="1:10" x14ac:dyDescent="0.25">
      <c r="A3540" s="32" t="s">
        <v>101</v>
      </c>
      <c r="B3540" s="32">
        <f t="shared" si="848"/>
        <v>2027</v>
      </c>
      <c r="C3540" s="33" t="s">
        <v>49</v>
      </c>
      <c r="D3540" s="34" t="s">
        <v>1999</v>
      </c>
      <c r="E3540" s="35" t="str">
        <f t="shared" si="844"/>
        <v>PRBND'!</v>
      </c>
      <c r="F3540" s="34" t="str">
        <f t="shared" si="845"/>
        <v>C:\Users\jaime.benazar\Quorum Business Solutions\Ecopetrol Prometeo - Documents\Planning Space Implementation\3. Analysis &amp; Design\Design\FC22\DRR Jaime\QUIFA-CAJÚA\Cajua\[CAJUA_CF_SEC_New_27-Feb-2024Rev3.xlsx]D-PRBND'!</v>
      </c>
      <c r="G3540" s="32" t="s">
        <v>111</v>
      </c>
      <c r="H3540" s="33">
        <f t="shared" si="847"/>
        <v>16</v>
      </c>
      <c r="I3540" s="33" t="str">
        <f t="shared" si="846"/>
        <v>='C:\Users\jaime.benazar\Quorum Business Solutions\Ecopetrol Prometeo - Documents\Planning Space Implementation\3. Analysis &amp; Design\Design\FC22\DRR Jaime\QUIFA-CAJÚA\Cajua\[CAJUA_CF_SEC_New_27-Feb-2024Rev3.xlsx]D-PRBND'!$BE$16</v>
      </c>
      <c r="J3540" s="37" t="s">
        <v>3669</v>
      </c>
    </row>
    <row r="3541" spans="1:10" x14ac:dyDescent="0.25">
      <c r="A3541" s="32" t="s">
        <v>101</v>
      </c>
      <c r="B3541" s="32">
        <f t="shared" si="848"/>
        <v>2028</v>
      </c>
      <c r="C3541" s="33" t="s">
        <v>49</v>
      </c>
      <c r="D3541" s="34" t="s">
        <v>1999</v>
      </c>
      <c r="E3541" s="35" t="str">
        <f t="shared" si="844"/>
        <v>PRBND'!</v>
      </c>
      <c r="F3541" s="34" t="str">
        <f t="shared" si="845"/>
        <v>C:\Users\jaime.benazar\Quorum Business Solutions\Ecopetrol Prometeo - Documents\Planning Space Implementation\3. Analysis &amp; Design\Design\FC22\DRR Jaime\QUIFA-CAJÚA\Cajua\[CAJUA_CF_SEC_New_27-Feb-2024Rev3.xlsx]D-PRBND'!</v>
      </c>
      <c r="G3541" s="32" t="s">
        <v>111</v>
      </c>
      <c r="H3541" s="33">
        <f t="shared" si="847"/>
        <v>17</v>
      </c>
      <c r="I3541" s="33" t="str">
        <f t="shared" si="846"/>
        <v>='C:\Users\jaime.benazar\Quorum Business Solutions\Ecopetrol Prometeo - Documents\Planning Space Implementation\3. Analysis &amp; Design\Design\FC22\DRR Jaime\QUIFA-CAJÚA\Cajua\[CAJUA_CF_SEC_New_27-Feb-2024Rev3.xlsx]D-PRBND'!$BE$17</v>
      </c>
      <c r="J3541" s="37" t="s">
        <v>3670</v>
      </c>
    </row>
    <row r="3542" spans="1:10" x14ac:dyDescent="0.25">
      <c r="A3542" s="32" t="s">
        <v>101</v>
      </c>
      <c r="B3542" s="32">
        <f t="shared" si="848"/>
        <v>2029</v>
      </c>
      <c r="C3542" s="33" t="s">
        <v>49</v>
      </c>
      <c r="D3542" s="34" t="s">
        <v>1999</v>
      </c>
      <c r="E3542" s="35" t="str">
        <f t="shared" si="844"/>
        <v>PRBND'!</v>
      </c>
      <c r="F3542" s="34" t="str">
        <f t="shared" si="845"/>
        <v>C:\Users\jaime.benazar\Quorum Business Solutions\Ecopetrol Prometeo - Documents\Planning Space Implementation\3. Analysis &amp; Design\Design\FC22\DRR Jaime\QUIFA-CAJÚA\Cajua\[CAJUA_CF_SEC_New_27-Feb-2024Rev3.xlsx]D-PRBND'!</v>
      </c>
      <c r="G3542" s="32" t="s">
        <v>111</v>
      </c>
      <c r="H3542" s="33">
        <f t="shared" si="847"/>
        <v>18</v>
      </c>
      <c r="I3542" s="33" t="str">
        <f t="shared" si="846"/>
        <v>='C:\Users\jaime.benazar\Quorum Business Solutions\Ecopetrol Prometeo - Documents\Planning Space Implementation\3. Analysis &amp; Design\Design\FC22\DRR Jaime\QUIFA-CAJÚA\Cajua\[CAJUA_CF_SEC_New_27-Feb-2024Rev3.xlsx]D-PRBND'!$BE$18</v>
      </c>
      <c r="J3542" s="37" t="s">
        <v>3671</v>
      </c>
    </row>
    <row r="3543" spans="1:10" x14ac:dyDescent="0.25">
      <c r="A3543" s="32" t="s">
        <v>101</v>
      </c>
      <c r="B3543" s="32">
        <f t="shared" si="848"/>
        <v>2030</v>
      </c>
      <c r="C3543" s="33" t="s">
        <v>49</v>
      </c>
      <c r="D3543" s="34" t="s">
        <v>1999</v>
      </c>
      <c r="E3543" s="35" t="str">
        <f t="shared" si="844"/>
        <v>PRBND'!</v>
      </c>
      <c r="F3543" s="34" t="str">
        <f t="shared" si="845"/>
        <v>C:\Users\jaime.benazar\Quorum Business Solutions\Ecopetrol Prometeo - Documents\Planning Space Implementation\3. Analysis &amp; Design\Design\FC22\DRR Jaime\QUIFA-CAJÚA\Cajua\[CAJUA_CF_SEC_New_27-Feb-2024Rev3.xlsx]D-PRBND'!</v>
      </c>
      <c r="G3543" s="32" t="s">
        <v>111</v>
      </c>
      <c r="H3543" s="33">
        <f t="shared" si="847"/>
        <v>19</v>
      </c>
      <c r="I3543" s="33" t="str">
        <f t="shared" si="846"/>
        <v>='C:\Users\jaime.benazar\Quorum Business Solutions\Ecopetrol Prometeo - Documents\Planning Space Implementation\3. Analysis &amp; Design\Design\FC22\DRR Jaime\QUIFA-CAJÚA\Cajua\[CAJUA_CF_SEC_New_27-Feb-2024Rev3.xlsx]D-PRBND'!$BE$19</v>
      </c>
      <c r="J3543" s="37" t="s">
        <v>3672</v>
      </c>
    </row>
    <row r="3544" spans="1:10" x14ac:dyDescent="0.25">
      <c r="A3544" s="32" t="s">
        <v>101</v>
      </c>
      <c r="B3544" s="32">
        <f t="shared" si="848"/>
        <v>2031</v>
      </c>
      <c r="C3544" s="33" t="s">
        <v>49</v>
      </c>
      <c r="D3544" s="34" t="s">
        <v>1999</v>
      </c>
      <c r="E3544" s="35" t="str">
        <f t="shared" si="844"/>
        <v>PRBND'!</v>
      </c>
      <c r="F3544" s="34" t="str">
        <f t="shared" si="845"/>
        <v>C:\Users\jaime.benazar\Quorum Business Solutions\Ecopetrol Prometeo - Documents\Planning Space Implementation\3. Analysis &amp; Design\Design\FC22\DRR Jaime\QUIFA-CAJÚA\Cajua\[CAJUA_CF_SEC_New_27-Feb-2024Rev3.xlsx]D-PRBND'!</v>
      </c>
      <c r="G3544" s="32" t="s">
        <v>111</v>
      </c>
      <c r="H3544" s="33">
        <f t="shared" si="847"/>
        <v>20</v>
      </c>
      <c r="I3544" s="33" t="str">
        <f t="shared" si="846"/>
        <v>='C:\Users\jaime.benazar\Quorum Business Solutions\Ecopetrol Prometeo - Documents\Planning Space Implementation\3. Analysis &amp; Design\Design\FC22\DRR Jaime\QUIFA-CAJÚA\Cajua\[CAJUA_CF_SEC_New_27-Feb-2024Rev3.xlsx]D-PRBND'!$BE$20</v>
      </c>
      <c r="J3544" s="37" t="s">
        <v>3673</v>
      </c>
    </row>
    <row r="3545" spans="1:10" x14ac:dyDescent="0.25">
      <c r="A3545" s="32" t="s">
        <v>101</v>
      </c>
      <c r="B3545" s="32">
        <f t="shared" si="848"/>
        <v>2032</v>
      </c>
      <c r="C3545" s="33" t="s">
        <v>49</v>
      </c>
      <c r="D3545" s="34" t="s">
        <v>1999</v>
      </c>
      <c r="E3545" s="35" t="str">
        <f t="shared" si="844"/>
        <v>PRBND'!</v>
      </c>
      <c r="F3545" s="34" t="str">
        <f t="shared" si="845"/>
        <v>C:\Users\jaime.benazar\Quorum Business Solutions\Ecopetrol Prometeo - Documents\Planning Space Implementation\3. Analysis &amp; Design\Design\FC22\DRR Jaime\QUIFA-CAJÚA\Cajua\[CAJUA_CF_SEC_New_27-Feb-2024Rev3.xlsx]D-PRBND'!</v>
      </c>
      <c r="G3545" s="32" t="s">
        <v>111</v>
      </c>
      <c r="H3545" s="33">
        <f t="shared" si="847"/>
        <v>21</v>
      </c>
      <c r="I3545" s="33" t="str">
        <f t="shared" si="846"/>
        <v>='C:\Users\jaime.benazar\Quorum Business Solutions\Ecopetrol Prometeo - Documents\Planning Space Implementation\3. Analysis &amp; Design\Design\FC22\DRR Jaime\QUIFA-CAJÚA\Cajua\[CAJUA_CF_SEC_New_27-Feb-2024Rev3.xlsx]D-PRBND'!$BE$21</v>
      </c>
      <c r="J3545" s="37" t="s">
        <v>3674</v>
      </c>
    </row>
    <row r="3546" spans="1:10" x14ac:dyDescent="0.25">
      <c r="A3546" s="32" t="s">
        <v>101</v>
      </c>
      <c r="B3546" s="32">
        <f t="shared" si="848"/>
        <v>2033</v>
      </c>
      <c r="C3546" s="33" t="s">
        <v>49</v>
      </c>
      <c r="D3546" s="34" t="s">
        <v>1999</v>
      </c>
      <c r="E3546" s="35" t="str">
        <f t="shared" si="844"/>
        <v>PRBND'!</v>
      </c>
      <c r="F3546" s="34" t="str">
        <f t="shared" si="845"/>
        <v>C:\Users\jaime.benazar\Quorum Business Solutions\Ecopetrol Prometeo - Documents\Planning Space Implementation\3. Analysis &amp; Design\Design\FC22\DRR Jaime\QUIFA-CAJÚA\Cajua\[CAJUA_CF_SEC_New_27-Feb-2024Rev3.xlsx]D-PRBND'!</v>
      </c>
      <c r="G3546" s="32" t="s">
        <v>111</v>
      </c>
      <c r="H3546" s="33">
        <f t="shared" si="847"/>
        <v>22</v>
      </c>
      <c r="I3546" s="33" t="str">
        <f t="shared" si="846"/>
        <v>='C:\Users\jaime.benazar\Quorum Business Solutions\Ecopetrol Prometeo - Documents\Planning Space Implementation\3. Analysis &amp; Design\Design\FC22\DRR Jaime\QUIFA-CAJÚA\Cajua\[CAJUA_CF_SEC_New_27-Feb-2024Rev3.xlsx]D-PRBND'!$BE$22</v>
      </c>
      <c r="J3546" s="37" t="s">
        <v>3675</v>
      </c>
    </row>
    <row r="3547" spans="1:10" x14ac:dyDescent="0.25">
      <c r="A3547" s="32" t="s">
        <v>101</v>
      </c>
      <c r="B3547" s="32">
        <f t="shared" si="848"/>
        <v>2034</v>
      </c>
      <c r="C3547" s="33" t="s">
        <v>49</v>
      </c>
      <c r="D3547" s="34" t="s">
        <v>1999</v>
      </c>
      <c r="E3547" s="35" t="str">
        <f t="shared" si="844"/>
        <v>PRBND'!</v>
      </c>
      <c r="F3547" s="34" t="str">
        <f t="shared" si="845"/>
        <v>C:\Users\jaime.benazar\Quorum Business Solutions\Ecopetrol Prometeo - Documents\Planning Space Implementation\3. Analysis &amp; Design\Design\FC22\DRR Jaime\QUIFA-CAJÚA\Cajua\[CAJUA_CF_SEC_New_27-Feb-2024Rev3.xlsx]D-PRBND'!</v>
      </c>
      <c r="G3547" s="32" t="s">
        <v>111</v>
      </c>
      <c r="H3547" s="33">
        <f t="shared" si="847"/>
        <v>23</v>
      </c>
      <c r="I3547" s="33" t="str">
        <f t="shared" si="846"/>
        <v>='C:\Users\jaime.benazar\Quorum Business Solutions\Ecopetrol Prometeo - Documents\Planning Space Implementation\3. Analysis &amp; Design\Design\FC22\DRR Jaime\QUIFA-CAJÚA\Cajua\[CAJUA_CF_SEC_New_27-Feb-2024Rev3.xlsx]D-PRBND'!$BE$23</v>
      </c>
      <c r="J3547" s="37" t="s">
        <v>3676</v>
      </c>
    </row>
    <row r="3548" spans="1:10" x14ac:dyDescent="0.25">
      <c r="A3548" s="32" t="s">
        <v>101</v>
      </c>
      <c r="B3548" s="32">
        <f t="shared" si="848"/>
        <v>2035</v>
      </c>
      <c r="C3548" s="33" t="s">
        <v>49</v>
      </c>
      <c r="D3548" s="34" t="s">
        <v>1999</v>
      </c>
      <c r="E3548" s="35" t="str">
        <f t="shared" si="844"/>
        <v>PRBND'!</v>
      </c>
      <c r="F3548" s="34" t="str">
        <f t="shared" si="845"/>
        <v>C:\Users\jaime.benazar\Quorum Business Solutions\Ecopetrol Prometeo - Documents\Planning Space Implementation\3. Analysis &amp; Design\Design\FC22\DRR Jaime\QUIFA-CAJÚA\Cajua\[CAJUA_CF_SEC_New_27-Feb-2024Rev3.xlsx]D-PRBND'!</v>
      </c>
      <c r="G3548" s="32" t="s">
        <v>111</v>
      </c>
      <c r="H3548" s="33">
        <f t="shared" si="847"/>
        <v>24</v>
      </c>
      <c r="I3548" s="33" t="str">
        <f t="shared" si="846"/>
        <v>='C:\Users\jaime.benazar\Quorum Business Solutions\Ecopetrol Prometeo - Documents\Planning Space Implementation\3. Analysis &amp; Design\Design\FC22\DRR Jaime\QUIFA-CAJÚA\Cajua\[CAJUA_CF_SEC_New_27-Feb-2024Rev3.xlsx]D-PRBND'!$BE$24</v>
      </c>
      <c r="J3548" s="37" t="s">
        <v>3677</v>
      </c>
    </row>
    <row r="3549" spans="1:10" x14ac:dyDescent="0.25">
      <c r="A3549" s="32" t="s">
        <v>101</v>
      </c>
      <c r="B3549" s="32">
        <f t="shared" si="848"/>
        <v>2036</v>
      </c>
      <c r="C3549" s="33" t="s">
        <v>49</v>
      </c>
      <c r="D3549" s="34" t="s">
        <v>1999</v>
      </c>
      <c r="E3549" s="35" t="str">
        <f t="shared" si="844"/>
        <v>PRBND'!</v>
      </c>
      <c r="F3549" s="34" t="str">
        <f t="shared" si="845"/>
        <v>C:\Users\jaime.benazar\Quorum Business Solutions\Ecopetrol Prometeo - Documents\Planning Space Implementation\3. Analysis &amp; Design\Design\FC22\DRR Jaime\QUIFA-CAJÚA\Cajua\[CAJUA_CF_SEC_New_27-Feb-2024Rev3.xlsx]D-PRBND'!</v>
      </c>
      <c r="G3549" s="32" t="s">
        <v>111</v>
      </c>
      <c r="H3549" s="33">
        <f t="shared" si="847"/>
        <v>25</v>
      </c>
      <c r="I3549" s="33" t="str">
        <f t="shared" si="846"/>
        <v>='C:\Users\jaime.benazar\Quorum Business Solutions\Ecopetrol Prometeo - Documents\Planning Space Implementation\3. Analysis &amp; Design\Design\FC22\DRR Jaime\QUIFA-CAJÚA\Cajua\[CAJUA_CF_SEC_New_27-Feb-2024Rev3.xlsx]D-PRBND'!$BE$25</v>
      </c>
      <c r="J3549" s="37" t="s">
        <v>3678</v>
      </c>
    </row>
    <row r="3550" spans="1:10" x14ac:dyDescent="0.25">
      <c r="A3550" s="32" t="s">
        <v>101</v>
      </c>
      <c r="B3550" s="32">
        <f>+B3549+1</f>
        <v>2037</v>
      </c>
      <c r="C3550" s="33" t="s">
        <v>49</v>
      </c>
      <c r="D3550" s="34" t="s">
        <v>1999</v>
      </c>
      <c r="E3550" s="35" t="str">
        <f t="shared" si="844"/>
        <v>PRBND'!</v>
      </c>
      <c r="F3550" s="34" t="str">
        <f t="shared" si="845"/>
        <v>C:\Users\jaime.benazar\Quorum Business Solutions\Ecopetrol Prometeo - Documents\Planning Space Implementation\3. Analysis &amp; Design\Design\FC22\DRR Jaime\QUIFA-CAJÚA\Cajua\[CAJUA_CF_SEC_New_27-Feb-2024Rev3.xlsx]D-PRBND'!</v>
      </c>
      <c r="G3550" s="32" t="s">
        <v>111</v>
      </c>
      <c r="H3550" s="33">
        <f t="shared" si="847"/>
        <v>26</v>
      </c>
      <c r="I3550" s="33" t="str">
        <f t="shared" si="846"/>
        <v>='C:\Users\jaime.benazar\Quorum Business Solutions\Ecopetrol Prometeo - Documents\Planning Space Implementation\3. Analysis &amp; Design\Design\FC22\DRR Jaime\QUIFA-CAJÚA\Cajua\[CAJUA_CF_SEC_New_27-Feb-2024Rev3.xlsx]D-PRBND'!$BE$26</v>
      </c>
      <c r="J3550" s="37" t="s">
        <v>3679</v>
      </c>
    </row>
    <row r="3551" spans="1:10" x14ac:dyDescent="0.25">
      <c r="A3551" s="32" t="s">
        <v>101</v>
      </c>
      <c r="B3551" s="32">
        <f t="shared" ref="B3551:B3553" si="849">+B3550+1</f>
        <v>2038</v>
      </c>
      <c r="C3551" s="33" t="s">
        <v>49</v>
      </c>
      <c r="D3551" s="34" t="s">
        <v>1999</v>
      </c>
      <c r="E3551" s="35" t="str">
        <f t="shared" si="844"/>
        <v>PRBND'!</v>
      </c>
      <c r="F3551" s="34" t="str">
        <f t="shared" si="845"/>
        <v>C:\Users\jaime.benazar\Quorum Business Solutions\Ecopetrol Prometeo - Documents\Planning Space Implementation\3. Analysis &amp; Design\Design\FC22\DRR Jaime\QUIFA-CAJÚA\Cajua\[CAJUA_CF_SEC_New_27-Feb-2024Rev3.xlsx]D-PRBND'!</v>
      </c>
      <c r="G3551" s="32" t="s">
        <v>111</v>
      </c>
      <c r="H3551" s="33">
        <f t="shared" si="847"/>
        <v>27</v>
      </c>
      <c r="I3551" s="33" t="str">
        <f t="shared" si="846"/>
        <v>='C:\Users\jaime.benazar\Quorum Business Solutions\Ecopetrol Prometeo - Documents\Planning Space Implementation\3. Analysis &amp; Design\Design\FC22\DRR Jaime\QUIFA-CAJÚA\Cajua\[CAJUA_CF_SEC_New_27-Feb-2024Rev3.xlsx]D-PRBND'!$BE$27</v>
      </c>
      <c r="J3551" s="37" t="s">
        <v>3680</v>
      </c>
    </row>
    <row r="3552" spans="1:10" x14ac:dyDescent="0.25">
      <c r="A3552" s="32" t="s">
        <v>101</v>
      </c>
      <c r="B3552" s="32">
        <f t="shared" si="849"/>
        <v>2039</v>
      </c>
      <c r="C3552" s="33" t="s">
        <v>49</v>
      </c>
      <c r="D3552" s="34" t="s">
        <v>1999</v>
      </c>
      <c r="E3552" s="35" t="str">
        <f t="shared" si="844"/>
        <v>PRBND'!</v>
      </c>
      <c r="F3552" s="34" t="str">
        <f t="shared" si="845"/>
        <v>C:\Users\jaime.benazar\Quorum Business Solutions\Ecopetrol Prometeo - Documents\Planning Space Implementation\3. Analysis &amp; Design\Design\FC22\DRR Jaime\QUIFA-CAJÚA\Cajua\[CAJUA_CF_SEC_New_27-Feb-2024Rev3.xlsx]D-PRBND'!</v>
      </c>
      <c r="G3552" s="32" t="s">
        <v>111</v>
      </c>
      <c r="H3552" s="33">
        <f t="shared" si="847"/>
        <v>28</v>
      </c>
      <c r="I3552" s="33" t="str">
        <f t="shared" si="846"/>
        <v>='C:\Users\jaime.benazar\Quorum Business Solutions\Ecopetrol Prometeo - Documents\Planning Space Implementation\3. Analysis &amp; Design\Design\FC22\DRR Jaime\QUIFA-CAJÚA\Cajua\[CAJUA_CF_SEC_New_27-Feb-2024Rev3.xlsx]D-PRBND'!$BE$28</v>
      </c>
      <c r="J3552" s="37" t="s">
        <v>3681</v>
      </c>
    </row>
    <row r="3553" spans="1:10" x14ac:dyDescent="0.25">
      <c r="A3553" s="32" t="s">
        <v>101</v>
      </c>
      <c r="B3553" s="32">
        <f t="shared" si="849"/>
        <v>2040</v>
      </c>
      <c r="C3553" s="33" t="s">
        <v>49</v>
      </c>
      <c r="D3553" s="34" t="s">
        <v>1999</v>
      </c>
      <c r="E3553" s="35" t="str">
        <f t="shared" si="844"/>
        <v>PRBND'!</v>
      </c>
      <c r="F3553" s="34" t="str">
        <f t="shared" si="845"/>
        <v>C:\Users\jaime.benazar\Quorum Business Solutions\Ecopetrol Prometeo - Documents\Planning Space Implementation\3. Analysis &amp; Design\Design\FC22\DRR Jaime\QUIFA-CAJÚA\Cajua\[CAJUA_CF_SEC_New_27-Feb-2024Rev3.xlsx]D-PRBND'!</v>
      </c>
      <c r="G3553" s="32" t="s">
        <v>111</v>
      </c>
      <c r="H3553" s="33">
        <f t="shared" si="847"/>
        <v>29</v>
      </c>
      <c r="I3553" s="33" t="str">
        <f t="shared" si="846"/>
        <v>='C:\Users\jaime.benazar\Quorum Business Solutions\Ecopetrol Prometeo - Documents\Planning Space Implementation\3. Analysis &amp; Design\Design\FC22\DRR Jaime\QUIFA-CAJÚA\Cajua\[CAJUA_CF_SEC_New_27-Feb-2024Rev3.xlsx]D-PRBND'!$BE$29</v>
      </c>
      <c r="J3553" s="37" t="s">
        <v>3682</v>
      </c>
    </row>
    <row r="3554" spans="1:10" x14ac:dyDescent="0.25">
      <c r="A3554" s="32" t="s">
        <v>101</v>
      </c>
      <c r="B3554" s="32">
        <f>+B3553+1</f>
        <v>2041</v>
      </c>
      <c r="C3554" s="33" t="s">
        <v>49</v>
      </c>
      <c r="D3554" s="34" t="s">
        <v>1999</v>
      </c>
      <c r="E3554" s="35" t="str">
        <f t="shared" si="844"/>
        <v>PRBND'!</v>
      </c>
      <c r="F3554" s="34" t="str">
        <f t="shared" si="845"/>
        <v>C:\Users\jaime.benazar\Quorum Business Solutions\Ecopetrol Prometeo - Documents\Planning Space Implementation\3. Analysis &amp; Design\Design\FC22\DRR Jaime\QUIFA-CAJÚA\Cajua\[CAJUA_CF_SEC_New_27-Feb-2024Rev3.xlsx]D-PRBND'!</v>
      </c>
      <c r="G3554" s="32" t="s">
        <v>111</v>
      </c>
      <c r="H3554" s="33">
        <f t="shared" si="847"/>
        <v>30</v>
      </c>
      <c r="I3554" s="33" t="str">
        <f t="shared" si="846"/>
        <v>='C:\Users\jaime.benazar\Quorum Business Solutions\Ecopetrol Prometeo - Documents\Planning Space Implementation\3. Analysis &amp; Design\Design\FC22\DRR Jaime\QUIFA-CAJÚA\Cajua\[CAJUA_CF_SEC_New_27-Feb-2024Rev3.xlsx]D-PRBND'!$BE$30</v>
      </c>
      <c r="J3554" s="37" t="s">
        <v>3683</v>
      </c>
    </row>
    <row r="3555" spans="1:10" x14ac:dyDescent="0.25">
      <c r="A3555" s="32" t="s">
        <v>101</v>
      </c>
      <c r="B3555" s="32">
        <f t="shared" ref="B3555:B3556" si="850">+B3554+1</f>
        <v>2042</v>
      </c>
      <c r="C3555" s="33" t="s">
        <v>49</v>
      </c>
      <c r="D3555" s="34" t="s">
        <v>1999</v>
      </c>
      <c r="E3555" s="35" t="str">
        <f t="shared" si="844"/>
        <v>PRBND'!</v>
      </c>
      <c r="F3555" s="34" t="str">
        <f t="shared" si="845"/>
        <v>C:\Users\jaime.benazar\Quorum Business Solutions\Ecopetrol Prometeo - Documents\Planning Space Implementation\3. Analysis &amp; Design\Design\FC22\DRR Jaime\QUIFA-CAJÚA\Cajua\[CAJUA_CF_SEC_New_27-Feb-2024Rev3.xlsx]D-PRBND'!</v>
      </c>
      <c r="G3555" s="32" t="s">
        <v>111</v>
      </c>
      <c r="H3555" s="33">
        <f t="shared" si="847"/>
        <v>31</v>
      </c>
      <c r="I3555" s="33" t="str">
        <f t="shared" si="846"/>
        <v>='C:\Users\jaime.benazar\Quorum Business Solutions\Ecopetrol Prometeo - Documents\Planning Space Implementation\3. Analysis &amp; Design\Design\FC22\DRR Jaime\QUIFA-CAJÚA\Cajua\[CAJUA_CF_SEC_New_27-Feb-2024Rev3.xlsx]D-PRBND'!$BE$31</v>
      </c>
      <c r="J3555" s="37" t="s">
        <v>3684</v>
      </c>
    </row>
    <row r="3556" spans="1:10" x14ac:dyDescent="0.25">
      <c r="A3556" s="32" t="s">
        <v>101</v>
      </c>
      <c r="B3556" s="32">
        <f t="shared" si="850"/>
        <v>2043</v>
      </c>
      <c r="C3556" s="33" t="s">
        <v>49</v>
      </c>
      <c r="D3556" s="34" t="s">
        <v>1999</v>
      </c>
      <c r="E3556" s="35" t="str">
        <f t="shared" si="844"/>
        <v>PRBND'!</v>
      </c>
      <c r="F3556" s="34" t="str">
        <f t="shared" si="845"/>
        <v>C:\Users\jaime.benazar\Quorum Business Solutions\Ecopetrol Prometeo - Documents\Planning Space Implementation\3. Analysis &amp; Design\Design\FC22\DRR Jaime\QUIFA-CAJÚA\Cajua\[CAJUA_CF_SEC_New_27-Feb-2024Rev3.xlsx]D-PRBND'!</v>
      </c>
      <c r="G3556" s="32" t="s">
        <v>111</v>
      </c>
      <c r="H3556" s="33">
        <f t="shared" si="847"/>
        <v>32</v>
      </c>
      <c r="I3556" s="33" t="str">
        <f t="shared" si="846"/>
        <v>='C:\Users\jaime.benazar\Quorum Business Solutions\Ecopetrol Prometeo - Documents\Planning Space Implementation\3. Analysis &amp; Design\Design\FC22\DRR Jaime\QUIFA-CAJÚA\Cajua\[CAJUA_CF_SEC_New_27-Feb-2024Rev3.xlsx]D-PRBND'!$BE$32</v>
      </c>
      <c r="J3556" s="37" t="s">
        <v>3685</v>
      </c>
    </row>
    <row r="3557" spans="1:10" x14ac:dyDescent="0.25">
      <c r="A3557" s="32" t="s">
        <v>101</v>
      </c>
      <c r="B3557" s="32">
        <f>+B3556+1</f>
        <v>2044</v>
      </c>
      <c r="C3557" s="33" t="s">
        <v>49</v>
      </c>
      <c r="D3557" s="34" t="s">
        <v>1999</v>
      </c>
      <c r="E3557" s="35" t="str">
        <f t="shared" ref="E3557:E3572" si="851">_xlfn.CONCAT(A3557,"'!")</f>
        <v>PRBND'!</v>
      </c>
      <c r="F3557" s="34" t="str">
        <f t="shared" ref="F3557:F3572" si="852">_xlfn.CONCAT(D3557:E3557)</f>
        <v>C:\Users\jaime.benazar\Quorum Business Solutions\Ecopetrol Prometeo - Documents\Planning Space Implementation\3. Analysis &amp; Design\Design\FC22\DRR Jaime\QUIFA-CAJÚA\Cajua\[CAJUA_CF_SEC_New_27-Feb-2024Rev3.xlsx]D-PRBND'!</v>
      </c>
      <c r="G3557" s="32" t="s">
        <v>111</v>
      </c>
      <c r="H3557" s="33">
        <f t="shared" si="847"/>
        <v>33</v>
      </c>
      <c r="I3557" s="33" t="str">
        <f t="shared" si="846"/>
        <v>='C:\Users\jaime.benazar\Quorum Business Solutions\Ecopetrol Prometeo - Documents\Planning Space Implementation\3. Analysis &amp; Design\Design\FC22\DRR Jaime\QUIFA-CAJÚA\Cajua\[CAJUA_CF_SEC_New_27-Feb-2024Rev3.xlsx]D-PRBND'!$BE$33</v>
      </c>
      <c r="J3557" s="37" t="s">
        <v>3686</v>
      </c>
    </row>
    <row r="3558" spans="1:10" x14ac:dyDescent="0.25">
      <c r="A3558" s="32" t="s">
        <v>101</v>
      </c>
      <c r="B3558" s="32">
        <f t="shared" ref="B3558:B3572" si="853">+B3557+1</f>
        <v>2045</v>
      </c>
      <c r="C3558" s="33" t="s">
        <v>49</v>
      </c>
      <c r="D3558" s="34" t="s">
        <v>1999</v>
      </c>
      <c r="E3558" s="35" t="str">
        <f t="shared" si="851"/>
        <v>PRBND'!</v>
      </c>
      <c r="F3558" s="34" t="str">
        <f t="shared" si="852"/>
        <v>C:\Users\jaime.benazar\Quorum Business Solutions\Ecopetrol Prometeo - Documents\Planning Space Implementation\3. Analysis &amp; Design\Design\FC22\DRR Jaime\QUIFA-CAJÚA\Cajua\[CAJUA_CF_SEC_New_27-Feb-2024Rev3.xlsx]D-PRBND'!</v>
      </c>
      <c r="G3558" s="32" t="s">
        <v>111</v>
      </c>
      <c r="H3558" s="33">
        <f t="shared" si="847"/>
        <v>34</v>
      </c>
      <c r="I3558" s="33" t="str">
        <f t="shared" si="846"/>
        <v>='C:\Users\jaime.benazar\Quorum Business Solutions\Ecopetrol Prometeo - Documents\Planning Space Implementation\3. Analysis &amp; Design\Design\FC22\DRR Jaime\QUIFA-CAJÚA\Cajua\[CAJUA_CF_SEC_New_27-Feb-2024Rev3.xlsx]D-PRBND'!$BE$34</v>
      </c>
      <c r="J3558" s="37" t="s">
        <v>3687</v>
      </c>
    </row>
    <row r="3559" spans="1:10" x14ac:dyDescent="0.25">
      <c r="A3559" s="32" t="s">
        <v>101</v>
      </c>
      <c r="B3559" s="32">
        <f t="shared" si="853"/>
        <v>2046</v>
      </c>
      <c r="C3559" s="33" t="s">
        <v>49</v>
      </c>
      <c r="D3559" s="34" t="s">
        <v>1999</v>
      </c>
      <c r="E3559" s="35" t="str">
        <f t="shared" si="851"/>
        <v>PRBND'!</v>
      </c>
      <c r="F3559" s="34" t="str">
        <f t="shared" si="852"/>
        <v>C:\Users\jaime.benazar\Quorum Business Solutions\Ecopetrol Prometeo - Documents\Planning Space Implementation\3. Analysis &amp; Design\Design\FC22\DRR Jaime\QUIFA-CAJÚA\Cajua\[CAJUA_CF_SEC_New_27-Feb-2024Rev3.xlsx]D-PRBND'!</v>
      </c>
      <c r="G3559" s="32" t="s">
        <v>111</v>
      </c>
      <c r="H3559" s="33">
        <f t="shared" si="847"/>
        <v>35</v>
      </c>
      <c r="I3559" s="33" t="str">
        <f t="shared" si="846"/>
        <v>='C:\Users\jaime.benazar\Quorum Business Solutions\Ecopetrol Prometeo - Documents\Planning Space Implementation\3. Analysis &amp; Design\Design\FC22\DRR Jaime\QUIFA-CAJÚA\Cajua\[CAJUA_CF_SEC_New_27-Feb-2024Rev3.xlsx]D-PRBND'!$BE$35</v>
      </c>
      <c r="J3559" s="37" t="s">
        <v>3688</v>
      </c>
    </row>
    <row r="3560" spans="1:10" x14ac:dyDescent="0.25">
      <c r="A3560" s="32" t="s">
        <v>101</v>
      </c>
      <c r="B3560" s="32">
        <f t="shared" si="853"/>
        <v>2047</v>
      </c>
      <c r="C3560" s="33" t="s">
        <v>49</v>
      </c>
      <c r="D3560" s="34" t="s">
        <v>1999</v>
      </c>
      <c r="E3560" s="35" t="str">
        <f t="shared" si="851"/>
        <v>PRBND'!</v>
      </c>
      <c r="F3560" s="34" t="str">
        <f t="shared" si="852"/>
        <v>C:\Users\jaime.benazar\Quorum Business Solutions\Ecopetrol Prometeo - Documents\Planning Space Implementation\3. Analysis &amp; Design\Design\FC22\DRR Jaime\QUIFA-CAJÚA\Cajua\[CAJUA_CF_SEC_New_27-Feb-2024Rev3.xlsx]D-PRBND'!</v>
      </c>
      <c r="G3560" s="32" t="s">
        <v>111</v>
      </c>
      <c r="H3560" s="33">
        <f t="shared" si="847"/>
        <v>36</v>
      </c>
      <c r="I3560" s="33" t="str">
        <f t="shared" si="846"/>
        <v>='C:\Users\jaime.benazar\Quorum Business Solutions\Ecopetrol Prometeo - Documents\Planning Space Implementation\3. Analysis &amp; Design\Design\FC22\DRR Jaime\QUIFA-CAJÚA\Cajua\[CAJUA_CF_SEC_New_27-Feb-2024Rev3.xlsx]D-PRBND'!$BE$36</v>
      </c>
      <c r="J3560" s="37" t="s">
        <v>3689</v>
      </c>
    </row>
    <row r="3561" spans="1:10" x14ac:dyDescent="0.25">
      <c r="A3561" s="32" t="s">
        <v>101</v>
      </c>
      <c r="B3561" s="32">
        <f t="shared" si="853"/>
        <v>2048</v>
      </c>
      <c r="C3561" s="33" t="s">
        <v>49</v>
      </c>
      <c r="D3561" s="34" t="s">
        <v>1999</v>
      </c>
      <c r="E3561" s="35" t="str">
        <f t="shared" si="851"/>
        <v>PRBND'!</v>
      </c>
      <c r="F3561" s="34" t="str">
        <f t="shared" si="852"/>
        <v>C:\Users\jaime.benazar\Quorum Business Solutions\Ecopetrol Prometeo - Documents\Planning Space Implementation\3. Analysis &amp; Design\Design\FC22\DRR Jaime\QUIFA-CAJÚA\Cajua\[CAJUA_CF_SEC_New_27-Feb-2024Rev3.xlsx]D-PRBND'!</v>
      </c>
      <c r="G3561" s="32" t="s">
        <v>111</v>
      </c>
      <c r="H3561" s="33">
        <f t="shared" si="847"/>
        <v>37</v>
      </c>
      <c r="I3561" s="33" t="str">
        <f t="shared" si="846"/>
        <v>='C:\Users\jaime.benazar\Quorum Business Solutions\Ecopetrol Prometeo - Documents\Planning Space Implementation\3. Analysis &amp; Design\Design\FC22\DRR Jaime\QUIFA-CAJÚA\Cajua\[CAJUA_CF_SEC_New_27-Feb-2024Rev3.xlsx]D-PRBND'!$BE$37</v>
      </c>
      <c r="J3561" s="37" t="s">
        <v>3690</v>
      </c>
    </row>
    <row r="3562" spans="1:10" x14ac:dyDescent="0.25">
      <c r="A3562" s="32" t="s">
        <v>101</v>
      </c>
      <c r="B3562" s="32">
        <f t="shared" si="853"/>
        <v>2049</v>
      </c>
      <c r="C3562" s="33" t="s">
        <v>49</v>
      </c>
      <c r="D3562" s="34" t="s">
        <v>1999</v>
      </c>
      <c r="E3562" s="35" t="str">
        <f t="shared" si="851"/>
        <v>PRBND'!</v>
      </c>
      <c r="F3562" s="34" t="str">
        <f t="shared" si="852"/>
        <v>C:\Users\jaime.benazar\Quorum Business Solutions\Ecopetrol Prometeo - Documents\Planning Space Implementation\3. Analysis &amp; Design\Design\FC22\DRR Jaime\QUIFA-CAJÚA\Cajua\[CAJUA_CF_SEC_New_27-Feb-2024Rev3.xlsx]D-PRBND'!</v>
      </c>
      <c r="G3562" s="32" t="s">
        <v>111</v>
      </c>
      <c r="H3562" s="33">
        <f t="shared" si="847"/>
        <v>38</v>
      </c>
      <c r="I3562" s="33" t="str">
        <f t="shared" si="846"/>
        <v>='C:\Users\jaime.benazar\Quorum Business Solutions\Ecopetrol Prometeo - Documents\Planning Space Implementation\3. Analysis &amp; Design\Design\FC22\DRR Jaime\QUIFA-CAJÚA\Cajua\[CAJUA_CF_SEC_New_27-Feb-2024Rev3.xlsx]D-PRBND'!$BE$38</v>
      </c>
      <c r="J3562" s="37" t="s">
        <v>3691</v>
      </c>
    </row>
    <row r="3563" spans="1:10" x14ac:dyDescent="0.25">
      <c r="A3563" s="32" t="s">
        <v>101</v>
      </c>
      <c r="B3563" s="32">
        <f t="shared" si="853"/>
        <v>2050</v>
      </c>
      <c r="C3563" s="33" t="s">
        <v>49</v>
      </c>
      <c r="D3563" s="34" t="s">
        <v>1999</v>
      </c>
      <c r="E3563" s="35" t="str">
        <f t="shared" si="851"/>
        <v>PRBND'!</v>
      </c>
      <c r="F3563" s="34" t="str">
        <f t="shared" si="852"/>
        <v>C:\Users\jaime.benazar\Quorum Business Solutions\Ecopetrol Prometeo - Documents\Planning Space Implementation\3. Analysis &amp; Design\Design\FC22\DRR Jaime\QUIFA-CAJÚA\Cajua\[CAJUA_CF_SEC_New_27-Feb-2024Rev3.xlsx]D-PRBND'!</v>
      </c>
      <c r="G3563" s="32" t="s">
        <v>111</v>
      </c>
      <c r="H3563" s="33">
        <f t="shared" si="847"/>
        <v>39</v>
      </c>
      <c r="I3563" s="33" t="str">
        <f t="shared" si="846"/>
        <v>='C:\Users\jaime.benazar\Quorum Business Solutions\Ecopetrol Prometeo - Documents\Planning Space Implementation\3. Analysis &amp; Design\Design\FC22\DRR Jaime\QUIFA-CAJÚA\Cajua\[CAJUA_CF_SEC_New_27-Feb-2024Rev3.xlsx]D-PRBND'!$BE$39</v>
      </c>
      <c r="J3563" s="37" t="s">
        <v>3692</v>
      </c>
    </row>
    <row r="3564" spans="1:10" x14ac:dyDescent="0.25">
      <c r="A3564" s="32" t="s">
        <v>101</v>
      </c>
      <c r="B3564" s="32">
        <f t="shared" si="853"/>
        <v>2051</v>
      </c>
      <c r="C3564" s="33" t="s">
        <v>49</v>
      </c>
      <c r="D3564" s="34" t="s">
        <v>1999</v>
      </c>
      <c r="E3564" s="35" t="str">
        <f t="shared" si="851"/>
        <v>PRBND'!</v>
      </c>
      <c r="F3564" s="34" t="str">
        <f t="shared" si="852"/>
        <v>C:\Users\jaime.benazar\Quorum Business Solutions\Ecopetrol Prometeo - Documents\Planning Space Implementation\3. Analysis &amp; Design\Design\FC22\DRR Jaime\QUIFA-CAJÚA\Cajua\[CAJUA_CF_SEC_New_27-Feb-2024Rev3.xlsx]D-PRBND'!</v>
      </c>
      <c r="G3564" s="32" t="s">
        <v>111</v>
      </c>
      <c r="H3564" s="33">
        <f t="shared" si="847"/>
        <v>40</v>
      </c>
      <c r="I3564" s="33" t="str">
        <f t="shared" si="846"/>
        <v>='C:\Users\jaime.benazar\Quorum Business Solutions\Ecopetrol Prometeo - Documents\Planning Space Implementation\3. Analysis &amp; Design\Design\FC22\DRR Jaime\QUIFA-CAJÚA\Cajua\[CAJUA_CF_SEC_New_27-Feb-2024Rev3.xlsx]D-PRBND'!$BE$40</v>
      </c>
      <c r="J3564" s="37" t="s">
        <v>3693</v>
      </c>
    </row>
    <row r="3565" spans="1:10" x14ac:dyDescent="0.25">
      <c r="A3565" s="32" t="s">
        <v>101</v>
      </c>
      <c r="B3565" s="32">
        <f t="shared" si="853"/>
        <v>2052</v>
      </c>
      <c r="C3565" s="33" t="s">
        <v>49</v>
      </c>
      <c r="D3565" s="34" t="s">
        <v>1999</v>
      </c>
      <c r="E3565" s="35" t="str">
        <f t="shared" si="851"/>
        <v>PRBND'!</v>
      </c>
      <c r="F3565" s="34" t="str">
        <f t="shared" si="852"/>
        <v>C:\Users\jaime.benazar\Quorum Business Solutions\Ecopetrol Prometeo - Documents\Planning Space Implementation\3. Analysis &amp; Design\Design\FC22\DRR Jaime\QUIFA-CAJÚA\Cajua\[CAJUA_CF_SEC_New_27-Feb-2024Rev3.xlsx]D-PRBND'!</v>
      </c>
      <c r="G3565" s="32" t="s">
        <v>111</v>
      </c>
      <c r="H3565" s="33">
        <f t="shared" si="847"/>
        <v>41</v>
      </c>
      <c r="I3565" s="33" t="str">
        <f t="shared" si="846"/>
        <v>='C:\Users\jaime.benazar\Quorum Business Solutions\Ecopetrol Prometeo - Documents\Planning Space Implementation\3. Analysis &amp; Design\Design\FC22\DRR Jaime\QUIFA-CAJÚA\Cajua\[CAJUA_CF_SEC_New_27-Feb-2024Rev3.xlsx]D-PRBND'!$BE$41</v>
      </c>
      <c r="J3565" s="37" t="s">
        <v>3694</v>
      </c>
    </row>
    <row r="3566" spans="1:10" x14ac:dyDescent="0.25">
      <c r="A3566" s="32" t="s">
        <v>101</v>
      </c>
      <c r="B3566" s="32">
        <f t="shared" si="853"/>
        <v>2053</v>
      </c>
      <c r="C3566" s="33" t="s">
        <v>49</v>
      </c>
      <c r="D3566" s="34" t="s">
        <v>1999</v>
      </c>
      <c r="E3566" s="35" t="str">
        <f t="shared" si="851"/>
        <v>PRBND'!</v>
      </c>
      <c r="F3566" s="34" t="str">
        <f t="shared" si="852"/>
        <v>C:\Users\jaime.benazar\Quorum Business Solutions\Ecopetrol Prometeo - Documents\Planning Space Implementation\3. Analysis &amp; Design\Design\FC22\DRR Jaime\QUIFA-CAJÚA\Cajua\[CAJUA_CF_SEC_New_27-Feb-2024Rev3.xlsx]D-PRBND'!</v>
      </c>
      <c r="G3566" s="32" t="s">
        <v>111</v>
      </c>
      <c r="H3566" s="33">
        <f t="shared" si="847"/>
        <v>42</v>
      </c>
      <c r="I3566" s="33" t="str">
        <f t="shared" si="846"/>
        <v>='C:\Users\jaime.benazar\Quorum Business Solutions\Ecopetrol Prometeo - Documents\Planning Space Implementation\3. Analysis &amp; Design\Design\FC22\DRR Jaime\QUIFA-CAJÚA\Cajua\[CAJUA_CF_SEC_New_27-Feb-2024Rev3.xlsx]D-PRBND'!$BE$42</v>
      </c>
      <c r="J3566" s="37" t="s">
        <v>3695</v>
      </c>
    </row>
    <row r="3567" spans="1:10" x14ac:dyDescent="0.25">
      <c r="A3567" s="32" t="s">
        <v>101</v>
      </c>
      <c r="B3567" s="32">
        <f t="shared" si="853"/>
        <v>2054</v>
      </c>
      <c r="C3567" s="33" t="s">
        <v>49</v>
      </c>
      <c r="D3567" s="34" t="s">
        <v>1999</v>
      </c>
      <c r="E3567" s="35" t="str">
        <f t="shared" si="851"/>
        <v>PRBND'!</v>
      </c>
      <c r="F3567" s="34" t="str">
        <f t="shared" si="852"/>
        <v>C:\Users\jaime.benazar\Quorum Business Solutions\Ecopetrol Prometeo - Documents\Planning Space Implementation\3. Analysis &amp; Design\Design\FC22\DRR Jaime\QUIFA-CAJÚA\Cajua\[CAJUA_CF_SEC_New_27-Feb-2024Rev3.xlsx]D-PRBND'!</v>
      </c>
      <c r="G3567" s="32" t="s">
        <v>111</v>
      </c>
      <c r="H3567" s="33">
        <f t="shared" si="847"/>
        <v>43</v>
      </c>
      <c r="I3567" s="33" t="str">
        <f t="shared" si="846"/>
        <v>='C:\Users\jaime.benazar\Quorum Business Solutions\Ecopetrol Prometeo - Documents\Planning Space Implementation\3. Analysis &amp; Design\Design\FC22\DRR Jaime\QUIFA-CAJÚA\Cajua\[CAJUA_CF_SEC_New_27-Feb-2024Rev3.xlsx]D-PRBND'!$BE$43</v>
      </c>
      <c r="J3567" s="37" t="s">
        <v>3696</v>
      </c>
    </row>
    <row r="3568" spans="1:10" x14ac:dyDescent="0.25">
      <c r="A3568" s="32" t="s">
        <v>101</v>
      </c>
      <c r="B3568" s="32">
        <f t="shared" si="853"/>
        <v>2055</v>
      </c>
      <c r="C3568" s="33" t="s">
        <v>49</v>
      </c>
      <c r="D3568" s="34" t="s">
        <v>1999</v>
      </c>
      <c r="E3568" s="35" t="str">
        <f t="shared" si="851"/>
        <v>PRBND'!</v>
      </c>
      <c r="F3568" s="34" t="str">
        <f t="shared" si="852"/>
        <v>C:\Users\jaime.benazar\Quorum Business Solutions\Ecopetrol Prometeo - Documents\Planning Space Implementation\3. Analysis &amp; Design\Design\FC22\DRR Jaime\QUIFA-CAJÚA\Cajua\[CAJUA_CF_SEC_New_27-Feb-2024Rev3.xlsx]D-PRBND'!</v>
      </c>
      <c r="G3568" s="32" t="s">
        <v>111</v>
      </c>
      <c r="H3568" s="33">
        <f t="shared" si="847"/>
        <v>44</v>
      </c>
      <c r="I3568" s="33" t="str">
        <f t="shared" si="846"/>
        <v>='C:\Users\jaime.benazar\Quorum Business Solutions\Ecopetrol Prometeo - Documents\Planning Space Implementation\3. Analysis &amp; Design\Design\FC22\DRR Jaime\QUIFA-CAJÚA\Cajua\[CAJUA_CF_SEC_New_27-Feb-2024Rev3.xlsx]D-PRBND'!$BE$44</v>
      </c>
      <c r="J3568" s="37" t="s">
        <v>3697</v>
      </c>
    </row>
    <row r="3569" spans="1:10" x14ac:dyDescent="0.25">
      <c r="A3569" s="32" t="s">
        <v>101</v>
      </c>
      <c r="B3569" s="32">
        <f t="shared" si="853"/>
        <v>2056</v>
      </c>
      <c r="C3569" s="33" t="s">
        <v>49</v>
      </c>
      <c r="D3569" s="34" t="s">
        <v>1999</v>
      </c>
      <c r="E3569" s="35" t="str">
        <f t="shared" si="851"/>
        <v>PRBND'!</v>
      </c>
      <c r="F3569" s="34" t="str">
        <f t="shared" si="852"/>
        <v>C:\Users\jaime.benazar\Quorum Business Solutions\Ecopetrol Prometeo - Documents\Planning Space Implementation\3. Analysis &amp; Design\Design\FC22\DRR Jaime\QUIFA-CAJÚA\Cajua\[CAJUA_CF_SEC_New_27-Feb-2024Rev3.xlsx]D-PRBND'!</v>
      </c>
      <c r="G3569" s="32" t="s">
        <v>111</v>
      </c>
      <c r="H3569" s="33">
        <f t="shared" si="847"/>
        <v>45</v>
      </c>
      <c r="I3569" s="33" t="str">
        <f t="shared" si="846"/>
        <v>='C:\Users\jaime.benazar\Quorum Business Solutions\Ecopetrol Prometeo - Documents\Planning Space Implementation\3. Analysis &amp; Design\Design\FC22\DRR Jaime\QUIFA-CAJÚA\Cajua\[CAJUA_CF_SEC_New_27-Feb-2024Rev3.xlsx]D-PRBND'!$BE$45</v>
      </c>
      <c r="J3569" s="37" t="s">
        <v>3698</v>
      </c>
    </row>
    <row r="3570" spans="1:10" x14ac:dyDescent="0.25">
      <c r="A3570" s="32" t="s">
        <v>101</v>
      </c>
      <c r="B3570" s="32">
        <f t="shared" si="853"/>
        <v>2057</v>
      </c>
      <c r="C3570" s="33" t="s">
        <v>49</v>
      </c>
      <c r="D3570" s="34" t="s">
        <v>1999</v>
      </c>
      <c r="E3570" s="35" t="str">
        <f t="shared" si="851"/>
        <v>PRBND'!</v>
      </c>
      <c r="F3570" s="34" t="str">
        <f t="shared" si="852"/>
        <v>C:\Users\jaime.benazar\Quorum Business Solutions\Ecopetrol Prometeo - Documents\Planning Space Implementation\3. Analysis &amp; Design\Design\FC22\DRR Jaime\QUIFA-CAJÚA\Cajua\[CAJUA_CF_SEC_New_27-Feb-2024Rev3.xlsx]D-PRBND'!</v>
      </c>
      <c r="G3570" s="32" t="s">
        <v>111</v>
      </c>
      <c r="H3570" s="33">
        <f t="shared" si="847"/>
        <v>46</v>
      </c>
      <c r="I3570" s="33" t="str">
        <f t="shared" si="846"/>
        <v>='C:\Users\jaime.benazar\Quorum Business Solutions\Ecopetrol Prometeo - Documents\Planning Space Implementation\3. Analysis &amp; Design\Design\FC22\DRR Jaime\QUIFA-CAJÚA\Cajua\[CAJUA_CF_SEC_New_27-Feb-2024Rev3.xlsx]D-PRBND'!$BE$46</v>
      </c>
      <c r="J3570" s="37" t="s">
        <v>3699</v>
      </c>
    </row>
    <row r="3571" spans="1:10" x14ac:dyDescent="0.25">
      <c r="A3571" s="32" t="s">
        <v>101</v>
      </c>
      <c r="B3571" s="32">
        <f t="shared" si="853"/>
        <v>2058</v>
      </c>
      <c r="C3571" s="33" t="s">
        <v>49</v>
      </c>
      <c r="D3571" s="34" t="s">
        <v>1999</v>
      </c>
      <c r="E3571" s="35" t="str">
        <f t="shared" si="851"/>
        <v>PRBND'!</v>
      </c>
      <c r="F3571" s="34" t="str">
        <f t="shared" si="852"/>
        <v>C:\Users\jaime.benazar\Quorum Business Solutions\Ecopetrol Prometeo - Documents\Planning Space Implementation\3. Analysis &amp; Design\Design\FC22\DRR Jaime\QUIFA-CAJÚA\Cajua\[CAJUA_CF_SEC_New_27-Feb-2024Rev3.xlsx]D-PRBND'!</v>
      </c>
      <c r="G3571" s="32" t="s">
        <v>111</v>
      </c>
      <c r="H3571" s="33">
        <f t="shared" si="847"/>
        <v>47</v>
      </c>
      <c r="I3571" s="33" t="str">
        <f t="shared" si="846"/>
        <v>='C:\Users\jaime.benazar\Quorum Business Solutions\Ecopetrol Prometeo - Documents\Planning Space Implementation\3. Analysis &amp; Design\Design\FC22\DRR Jaime\QUIFA-CAJÚA\Cajua\[CAJUA_CF_SEC_New_27-Feb-2024Rev3.xlsx]D-PRBND'!$BE$47</v>
      </c>
      <c r="J3571" s="37" t="s">
        <v>3700</v>
      </c>
    </row>
    <row r="3572" spans="1:10" x14ac:dyDescent="0.25">
      <c r="A3572" s="32" t="s">
        <v>101</v>
      </c>
      <c r="B3572" s="32">
        <f t="shared" si="853"/>
        <v>2059</v>
      </c>
      <c r="C3572" s="33" t="s">
        <v>49</v>
      </c>
      <c r="D3572" s="34" t="s">
        <v>1999</v>
      </c>
      <c r="E3572" s="35" t="str">
        <f t="shared" si="851"/>
        <v>PRBND'!</v>
      </c>
      <c r="F3572" s="34" t="str">
        <f t="shared" si="852"/>
        <v>C:\Users\jaime.benazar\Quorum Business Solutions\Ecopetrol Prometeo - Documents\Planning Space Implementation\3. Analysis &amp; Design\Design\FC22\DRR Jaime\QUIFA-CAJÚA\Cajua\[CAJUA_CF_SEC_New_27-Feb-2024Rev3.xlsx]D-PRBND'!</v>
      </c>
      <c r="G3572" s="32" t="s">
        <v>111</v>
      </c>
      <c r="H3572" s="33">
        <f t="shared" si="847"/>
        <v>48</v>
      </c>
      <c r="I3572" s="33" t="str">
        <f t="shared" si="846"/>
        <v>='C:\Users\jaime.benazar\Quorum Business Solutions\Ecopetrol Prometeo - Documents\Planning Space Implementation\3. Analysis &amp; Design\Design\FC22\DRR Jaime\QUIFA-CAJÚA\Cajua\[CAJUA_CF_SEC_New_27-Feb-2024Rev3.xlsx]D-PRBND'!$BE$48</v>
      </c>
      <c r="J3572" s="37" t="s">
        <v>3701</v>
      </c>
    </row>
    <row r="3573" spans="1:10" x14ac:dyDescent="0.25">
      <c r="A3573" s="32" t="s">
        <v>28</v>
      </c>
      <c r="B3573" s="32"/>
      <c r="C3573" s="33" t="s">
        <v>49</v>
      </c>
      <c r="D3573" s="34"/>
      <c r="E3573" s="35"/>
      <c r="F3573" s="34"/>
      <c r="G3573" s="32"/>
      <c r="H3573" s="33"/>
      <c r="I3573" s="33"/>
      <c r="J3573" s="36"/>
    </row>
    <row r="3574" spans="1:10" x14ac:dyDescent="0.25">
      <c r="A3574" s="32" t="s">
        <v>4</v>
      </c>
      <c r="B3574" s="32">
        <v>2023</v>
      </c>
      <c r="C3574" s="33" t="s">
        <v>49</v>
      </c>
      <c r="D3574" s="34" t="s">
        <v>1999</v>
      </c>
      <c r="E3574" s="35" t="str">
        <f t="shared" ref="E3574:E3594" si="854">_xlfn.CONCAT(A3574,"'!")</f>
        <v>PRB'!</v>
      </c>
      <c r="F3574" s="34" t="str">
        <f t="shared" ref="F3574:F3594" si="855">_xlfn.CONCAT(D3574:E3574)</f>
        <v>C:\Users\jaime.benazar\Quorum Business Solutions\Ecopetrol Prometeo - Documents\Planning Space Implementation\3. Analysis &amp; Design\Design\FC22\DRR Jaime\QUIFA-CAJÚA\Cajua\[CAJUA_CF_SEC_New_27-Feb-2024Rev3.xlsx]D-PRB'!</v>
      </c>
      <c r="G3574" s="32" t="s">
        <v>111</v>
      </c>
      <c r="H3574" s="33">
        <f>IF(A3574&lt;&gt;A3558,12,H3558+1)</f>
        <v>12</v>
      </c>
      <c r="I3574" s="33" t="str">
        <f t="shared" ref="I3574:I3594" si="856">_xlfn.CONCAT("='",F3574:H3574)</f>
        <v>='C:\Users\jaime.benazar\Quorum Business Solutions\Ecopetrol Prometeo - Documents\Planning Space Implementation\3. Analysis &amp; Design\Design\FC22\DRR Jaime\QUIFA-CAJÚA\Cajua\[CAJUA_CF_SEC_New_27-Feb-2024Rev3.xlsx]D-PRB'!$BE$12</v>
      </c>
      <c r="J3574" s="37" t="s">
        <v>3702</v>
      </c>
    </row>
    <row r="3575" spans="1:10" x14ac:dyDescent="0.25">
      <c r="A3575" s="32" t="s">
        <v>4</v>
      </c>
      <c r="B3575" s="32">
        <f>+B3574+1</f>
        <v>2024</v>
      </c>
      <c r="C3575" s="33" t="s">
        <v>49</v>
      </c>
      <c r="D3575" s="34" t="s">
        <v>1999</v>
      </c>
      <c r="E3575" s="35" t="str">
        <f t="shared" si="854"/>
        <v>PRB'!</v>
      </c>
      <c r="F3575" s="34" t="str">
        <f t="shared" si="855"/>
        <v>C:\Users\jaime.benazar\Quorum Business Solutions\Ecopetrol Prometeo - Documents\Planning Space Implementation\3. Analysis &amp; Design\Design\FC22\DRR Jaime\QUIFA-CAJÚA\Cajua\[CAJUA_CF_SEC_New_27-Feb-2024Rev3.xlsx]D-PRB'!</v>
      </c>
      <c r="G3575" s="32" t="s">
        <v>111</v>
      </c>
      <c r="H3575" s="33">
        <f t="shared" ref="H3575:H3594" si="857">IF(A3575&lt;&gt;A3574,36,H3574+1)</f>
        <v>13</v>
      </c>
      <c r="I3575" s="33" t="str">
        <f t="shared" si="856"/>
        <v>='C:\Users\jaime.benazar\Quorum Business Solutions\Ecopetrol Prometeo - Documents\Planning Space Implementation\3. Analysis &amp; Design\Design\FC22\DRR Jaime\QUIFA-CAJÚA\Cajua\[CAJUA_CF_SEC_New_27-Feb-2024Rev3.xlsx]D-PRB'!$BE$13</v>
      </c>
      <c r="J3575" s="37" t="s">
        <v>3703</v>
      </c>
    </row>
    <row r="3576" spans="1:10" x14ac:dyDescent="0.25">
      <c r="A3576" s="32" t="s">
        <v>4</v>
      </c>
      <c r="B3576" s="32">
        <f t="shared" ref="B3576:B3587" si="858">+B3575+1</f>
        <v>2025</v>
      </c>
      <c r="C3576" s="33" t="s">
        <v>49</v>
      </c>
      <c r="D3576" s="34" t="s">
        <v>1999</v>
      </c>
      <c r="E3576" s="35" t="str">
        <f t="shared" si="854"/>
        <v>PRB'!</v>
      </c>
      <c r="F3576" s="34" t="str">
        <f t="shared" si="855"/>
        <v>C:\Users\jaime.benazar\Quorum Business Solutions\Ecopetrol Prometeo - Documents\Planning Space Implementation\3. Analysis &amp; Design\Design\FC22\DRR Jaime\QUIFA-CAJÚA\Cajua\[CAJUA_CF_SEC_New_27-Feb-2024Rev3.xlsx]D-PRB'!</v>
      </c>
      <c r="G3576" s="32" t="s">
        <v>111</v>
      </c>
      <c r="H3576" s="33">
        <f t="shared" si="857"/>
        <v>14</v>
      </c>
      <c r="I3576" s="33" t="str">
        <f t="shared" si="856"/>
        <v>='C:\Users\jaime.benazar\Quorum Business Solutions\Ecopetrol Prometeo - Documents\Planning Space Implementation\3. Analysis &amp; Design\Design\FC22\DRR Jaime\QUIFA-CAJÚA\Cajua\[CAJUA_CF_SEC_New_27-Feb-2024Rev3.xlsx]D-PRB'!$BE$14</v>
      </c>
      <c r="J3576" s="37" t="s">
        <v>3704</v>
      </c>
    </row>
    <row r="3577" spans="1:10" x14ac:dyDescent="0.25">
      <c r="A3577" s="32" t="s">
        <v>4</v>
      </c>
      <c r="B3577" s="32">
        <f t="shared" si="858"/>
        <v>2026</v>
      </c>
      <c r="C3577" s="33" t="s">
        <v>49</v>
      </c>
      <c r="D3577" s="34" t="s">
        <v>1999</v>
      </c>
      <c r="E3577" s="35" t="str">
        <f t="shared" si="854"/>
        <v>PRB'!</v>
      </c>
      <c r="F3577" s="34" t="str">
        <f t="shared" si="855"/>
        <v>C:\Users\jaime.benazar\Quorum Business Solutions\Ecopetrol Prometeo - Documents\Planning Space Implementation\3. Analysis &amp; Design\Design\FC22\DRR Jaime\QUIFA-CAJÚA\Cajua\[CAJUA_CF_SEC_New_27-Feb-2024Rev3.xlsx]D-PRB'!</v>
      </c>
      <c r="G3577" s="32" t="s">
        <v>111</v>
      </c>
      <c r="H3577" s="33">
        <f t="shared" si="857"/>
        <v>15</v>
      </c>
      <c r="I3577" s="33" t="str">
        <f t="shared" si="856"/>
        <v>='C:\Users\jaime.benazar\Quorum Business Solutions\Ecopetrol Prometeo - Documents\Planning Space Implementation\3. Analysis &amp; Design\Design\FC22\DRR Jaime\QUIFA-CAJÚA\Cajua\[CAJUA_CF_SEC_New_27-Feb-2024Rev3.xlsx]D-PRB'!$BE$15</v>
      </c>
      <c r="J3577" s="37" t="s">
        <v>3705</v>
      </c>
    </row>
    <row r="3578" spans="1:10" x14ac:dyDescent="0.25">
      <c r="A3578" s="32" t="s">
        <v>4</v>
      </c>
      <c r="B3578" s="32">
        <f t="shared" si="858"/>
        <v>2027</v>
      </c>
      <c r="C3578" s="33" t="s">
        <v>49</v>
      </c>
      <c r="D3578" s="34" t="s">
        <v>1999</v>
      </c>
      <c r="E3578" s="35" t="str">
        <f t="shared" si="854"/>
        <v>PRB'!</v>
      </c>
      <c r="F3578" s="34" t="str">
        <f t="shared" si="855"/>
        <v>C:\Users\jaime.benazar\Quorum Business Solutions\Ecopetrol Prometeo - Documents\Planning Space Implementation\3. Analysis &amp; Design\Design\FC22\DRR Jaime\QUIFA-CAJÚA\Cajua\[CAJUA_CF_SEC_New_27-Feb-2024Rev3.xlsx]D-PRB'!</v>
      </c>
      <c r="G3578" s="32" t="s">
        <v>111</v>
      </c>
      <c r="H3578" s="33">
        <f t="shared" si="857"/>
        <v>16</v>
      </c>
      <c r="I3578" s="33" t="str">
        <f t="shared" si="856"/>
        <v>='C:\Users\jaime.benazar\Quorum Business Solutions\Ecopetrol Prometeo - Documents\Planning Space Implementation\3. Analysis &amp; Design\Design\FC22\DRR Jaime\QUIFA-CAJÚA\Cajua\[CAJUA_CF_SEC_New_27-Feb-2024Rev3.xlsx]D-PRB'!$BE$16</v>
      </c>
      <c r="J3578" s="37" t="s">
        <v>3706</v>
      </c>
    </row>
    <row r="3579" spans="1:10" x14ac:dyDescent="0.25">
      <c r="A3579" s="32" t="s">
        <v>4</v>
      </c>
      <c r="B3579" s="32">
        <f t="shared" si="858"/>
        <v>2028</v>
      </c>
      <c r="C3579" s="33" t="s">
        <v>49</v>
      </c>
      <c r="D3579" s="34" t="s">
        <v>1999</v>
      </c>
      <c r="E3579" s="35" t="str">
        <f t="shared" si="854"/>
        <v>PRB'!</v>
      </c>
      <c r="F3579" s="34" t="str">
        <f t="shared" si="855"/>
        <v>C:\Users\jaime.benazar\Quorum Business Solutions\Ecopetrol Prometeo - Documents\Planning Space Implementation\3. Analysis &amp; Design\Design\FC22\DRR Jaime\QUIFA-CAJÚA\Cajua\[CAJUA_CF_SEC_New_27-Feb-2024Rev3.xlsx]D-PRB'!</v>
      </c>
      <c r="G3579" s="32" t="s">
        <v>111</v>
      </c>
      <c r="H3579" s="33">
        <f t="shared" si="857"/>
        <v>17</v>
      </c>
      <c r="I3579" s="33" t="str">
        <f t="shared" si="856"/>
        <v>='C:\Users\jaime.benazar\Quorum Business Solutions\Ecopetrol Prometeo - Documents\Planning Space Implementation\3. Analysis &amp; Design\Design\FC22\DRR Jaime\QUIFA-CAJÚA\Cajua\[CAJUA_CF_SEC_New_27-Feb-2024Rev3.xlsx]D-PRB'!$BE$17</v>
      </c>
      <c r="J3579" s="37" t="s">
        <v>3707</v>
      </c>
    </row>
    <row r="3580" spans="1:10" x14ac:dyDescent="0.25">
      <c r="A3580" s="32" t="s">
        <v>4</v>
      </c>
      <c r="B3580" s="32">
        <f t="shared" si="858"/>
        <v>2029</v>
      </c>
      <c r="C3580" s="33" t="s">
        <v>49</v>
      </c>
      <c r="D3580" s="34" t="s">
        <v>1999</v>
      </c>
      <c r="E3580" s="35" t="str">
        <f t="shared" si="854"/>
        <v>PRB'!</v>
      </c>
      <c r="F3580" s="34" t="str">
        <f t="shared" si="855"/>
        <v>C:\Users\jaime.benazar\Quorum Business Solutions\Ecopetrol Prometeo - Documents\Planning Space Implementation\3. Analysis &amp; Design\Design\FC22\DRR Jaime\QUIFA-CAJÚA\Cajua\[CAJUA_CF_SEC_New_27-Feb-2024Rev3.xlsx]D-PRB'!</v>
      </c>
      <c r="G3580" s="32" t="s">
        <v>111</v>
      </c>
      <c r="H3580" s="33">
        <f t="shared" si="857"/>
        <v>18</v>
      </c>
      <c r="I3580" s="33" t="str">
        <f t="shared" si="856"/>
        <v>='C:\Users\jaime.benazar\Quorum Business Solutions\Ecopetrol Prometeo - Documents\Planning Space Implementation\3. Analysis &amp; Design\Design\FC22\DRR Jaime\QUIFA-CAJÚA\Cajua\[CAJUA_CF_SEC_New_27-Feb-2024Rev3.xlsx]D-PRB'!$BE$18</v>
      </c>
      <c r="J3580" s="37" t="s">
        <v>3708</v>
      </c>
    </row>
    <row r="3581" spans="1:10" x14ac:dyDescent="0.25">
      <c r="A3581" s="32" t="s">
        <v>4</v>
      </c>
      <c r="B3581" s="32">
        <f t="shared" si="858"/>
        <v>2030</v>
      </c>
      <c r="C3581" s="33" t="s">
        <v>49</v>
      </c>
      <c r="D3581" s="34" t="s">
        <v>1999</v>
      </c>
      <c r="E3581" s="35" t="str">
        <f t="shared" si="854"/>
        <v>PRB'!</v>
      </c>
      <c r="F3581" s="34" t="str">
        <f t="shared" si="855"/>
        <v>C:\Users\jaime.benazar\Quorum Business Solutions\Ecopetrol Prometeo - Documents\Planning Space Implementation\3. Analysis &amp; Design\Design\FC22\DRR Jaime\QUIFA-CAJÚA\Cajua\[CAJUA_CF_SEC_New_27-Feb-2024Rev3.xlsx]D-PRB'!</v>
      </c>
      <c r="G3581" s="32" t="s">
        <v>111</v>
      </c>
      <c r="H3581" s="33">
        <f t="shared" si="857"/>
        <v>19</v>
      </c>
      <c r="I3581" s="33" t="str">
        <f t="shared" si="856"/>
        <v>='C:\Users\jaime.benazar\Quorum Business Solutions\Ecopetrol Prometeo - Documents\Planning Space Implementation\3. Analysis &amp; Design\Design\FC22\DRR Jaime\QUIFA-CAJÚA\Cajua\[CAJUA_CF_SEC_New_27-Feb-2024Rev3.xlsx]D-PRB'!$BE$19</v>
      </c>
      <c r="J3581" s="37" t="s">
        <v>3709</v>
      </c>
    </row>
    <row r="3582" spans="1:10" x14ac:dyDescent="0.25">
      <c r="A3582" s="32" t="s">
        <v>4</v>
      </c>
      <c r="B3582" s="32">
        <f t="shared" si="858"/>
        <v>2031</v>
      </c>
      <c r="C3582" s="33" t="s">
        <v>49</v>
      </c>
      <c r="D3582" s="34" t="s">
        <v>1999</v>
      </c>
      <c r="E3582" s="35" t="str">
        <f t="shared" si="854"/>
        <v>PRB'!</v>
      </c>
      <c r="F3582" s="34" t="str">
        <f t="shared" si="855"/>
        <v>C:\Users\jaime.benazar\Quorum Business Solutions\Ecopetrol Prometeo - Documents\Planning Space Implementation\3. Analysis &amp; Design\Design\FC22\DRR Jaime\QUIFA-CAJÚA\Cajua\[CAJUA_CF_SEC_New_27-Feb-2024Rev3.xlsx]D-PRB'!</v>
      </c>
      <c r="G3582" s="32" t="s">
        <v>111</v>
      </c>
      <c r="H3582" s="33">
        <f t="shared" si="857"/>
        <v>20</v>
      </c>
      <c r="I3582" s="33" t="str">
        <f t="shared" si="856"/>
        <v>='C:\Users\jaime.benazar\Quorum Business Solutions\Ecopetrol Prometeo - Documents\Planning Space Implementation\3. Analysis &amp; Design\Design\FC22\DRR Jaime\QUIFA-CAJÚA\Cajua\[CAJUA_CF_SEC_New_27-Feb-2024Rev3.xlsx]D-PRB'!$BE$20</v>
      </c>
      <c r="J3582" s="37" t="s">
        <v>3710</v>
      </c>
    </row>
    <row r="3583" spans="1:10" x14ac:dyDescent="0.25">
      <c r="A3583" s="32" t="s">
        <v>4</v>
      </c>
      <c r="B3583" s="32">
        <f t="shared" si="858"/>
        <v>2032</v>
      </c>
      <c r="C3583" s="33" t="s">
        <v>49</v>
      </c>
      <c r="D3583" s="34" t="s">
        <v>1999</v>
      </c>
      <c r="E3583" s="35" t="str">
        <f t="shared" si="854"/>
        <v>PRB'!</v>
      </c>
      <c r="F3583" s="34" t="str">
        <f t="shared" si="855"/>
        <v>C:\Users\jaime.benazar\Quorum Business Solutions\Ecopetrol Prometeo - Documents\Planning Space Implementation\3. Analysis &amp; Design\Design\FC22\DRR Jaime\QUIFA-CAJÚA\Cajua\[CAJUA_CF_SEC_New_27-Feb-2024Rev3.xlsx]D-PRB'!</v>
      </c>
      <c r="G3583" s="32" t="s">
        <v>111</v>
      </c>
      <c r="H3583" s="33">
        <f t="shared" si="857"/>
        <v>21</v>
      </c>
      <c r="I3583" s="33" t="str">
        <f t="shared" si="856"/>
        <v>='C:\Users\jaime.benazar\Quorum Business Solutions\Ecopetrol Prometeo - Documents\Planning Space Implementation\3. Analysis &amp; Design\Design\FC22\DRR Jaime\QUIFA-CAJÚA\Cajua\[CAJUA_CF_SEC_New_27-Feb-2024Rev3.xlsx]D-PRB'!$BE$21</v>
      </c>
      <c r="J3583" s="37" t="s">
        <v>3711</v>
      </c>
    </row>
    <row r="3584" spans="1:10" x14ac:dyDescent="0.25">
      <c r="A3584" s="32" t="s">
        <v>4</v>
      </c>
      <c r="B3584" s="32">
        <f t="shared" si="858"/>
        <v>2033</v>
      </c>
      <c r="C3584" s="33" t="s">
        <v>49</v>
      </c>
      <c r="D3584" s="34" t="s">
        <v>1999</v>
      </c>
      <c r="E3584" s="35" t="str">
        <f t="shared" si="854"/>
        <v>PRB'!</v>
      </c>
      <c r="F3584" s="34" t="str">
        <f t="shared" si="855"/>
        <v>C:\Users\jaime.benazar\Quorum Business Solutions\Ecopetrol Prometeo - Documents\Planning Space Implementation\3. Analysis &amp; Design\Design\FC22\DRR Jaime\QUIFA-CAJÚA\Cajua\[CAJUA_CF_SEC_New_27-Feb-2024Rev3.xlsx]D-PRB'!</v>
      </c>
      <c r="G3584" s="32" t="s">
        <v>111</v>
      </c>
      <c r="H3584" s="33">
        <f t="shared" si="857"/>
        <v>22</v>
      </c>
      <c r="I3584" s="33" t="str">
        <f t="shared" si="856"/>
        <v>='C:\Users\jaime.benazar\Quorum Business Solutions\Ecopetrol Prometeo - Documents\Planning Space Implementation\3. Analysis &amp; Design\Design\FC22\DRR Jaime\QUIFA-CAJÚA\Cajua\[CAJUA_CF_SEC_New_27-Feb-2024Rev3.xlsx]D-PRB'!$BE$22</v>
      </c>
      <c r="J3584" s="37" t="s">
        <v>3712</v>
      </c>
    </row>
    <row r="3585" spans="1:10" x14ac:dyDescent="0.25">
      <c r="A3585" s="32" t="s">
        <v>4</v>
      </c>
      <c r="B3585" s="32">
        <f t="shared" si="858"/>
        <v>2034</v>
      </c>
      <c r="C3585" s="33" t="s">
        <v>49</v>
      </c>
      <c r="D3585" s="34" t="s">
        <v>1999</v>
      </c>
      <c r="E3585" s="35" t="str">
        <f t="shared" si="854"/>
        <v>PRB'!</v>
      </c>
      <c r="F3585" s="34" t="str">
        <f t="shared" si="855"/>
        <v>C:\Users\jaime.benazar\Quorum Business Solutions\Ecopetrol Prometeo - Documents\Planning Space Implementation\3. Analysis &amp; Design\Design\FC22\DRR Jaime\QUIFA-CAJÚA\Cajua\[CAJUA_CF_SEC_New_27-Feb-2024Rev3.xlsx]D-PRB'!</v>
      </c>
      <c r="G3585" s="32" t="s">
        <v>111</v>
      </c>
      <c r="H3585" s="33">
        <f t="shared" si="857"/>
        <v>23</v>
      </c>
      <c r="I3585" s="33" t="str">
        <f t="shared" si="856"/>
        <v>='C:\Users\jaime.benazar\Quorum Business Solutions\Ecopetrol Prometeo - Documents\Planning Space Implementation\3. Analysis &amp; Design\Design\FC22\DRR Jaime\QUIFA-CAJÚA\Cajua\[CAJUA_CF_SEC_New_27-Feb-2024Rev3.xlsx]D-PRB'!$BE$23</v>
      </c>
      <c r="J3585" s="37" t="s">
        <v>3713</v>
      </c>
    </row>
    <row r="3586" spans="1:10" x14ac:dyDescent="0.25">
      <c r="A3586" s="32" t="s">
        <v>4</v>
      </c>
      <c r="B3586" s="32">
        <f t="shared" si="858"/>
        <v>2035</v>
      </c>
      <c r="C3586" s="33" t="s">
        <v>49</v>
      </c>
      <c r="D3586" s="34" t="s">
        <v>1999</v>
      </c>
      <c r="E3586" s="35" t="str">
        <f t="shared" si="854"/>
        <v>PRB'!</v>
      </c>
      <c r="F3586" s="34" t="str">
        <f t="shared" si="855"/>
        <v>C:\Users\jaime.benazar\Quorum Business Solutions\Ecopetrol Prometeo - Documents\Planning Space Implementation\3. Analysis &amp; Design\Design\FC22\DRR Jaime\QUIFA-CAJÚA\Cajua\[CAJUA_CF_SEC_New_27-Feb-2024Rev3.xlsx]D-PRB'!</v>
      </c>
      <c r="G3586" s="32" t="s">
        <v>111</v>
      </c>
      <c r="H3586" s="33">
        <f t="shared" si="857"/>
        <v>24</v>
      </c>
      <c r="I3586" s="33" t="str">
        <f t="shared" si="856"/>
        <v>='C:\Users\jaime.benazar\Quorum Business Solutions\Ecopetrol Prometeo - Documents\Planning Space Implementation\3. Analysis &amp; Design\Design\FC22\DRR Jaime\QUIFA-CAJÚA\Cajua\[CAJUA_CF_SEC_New_27-Feb-2024Rev3.xlsx]D-PRB'!$BE$24</v>
      </c>
      <c r="J3586" s="37" t="s">
        <v>3714</v>
      </c>
    </row>
    <row r="3587" spans="1:10" x14ac:dyDescent="0.25">
      <c r="A3587" s="32" t="s">
        <v>4</v>
      </c>
      <c r="B3587" s="32">
        <f t="shared" si="858"/>
        <v>2036</v>
      </c>
      <c r="C3587" s="33" t="s">
        <v>49</v>
      </c>
      <c r="D3587" s="34" t="s">
        <v>1999</v>
      </c>
      <c r="E3587" s="35" t="str">
        <f t="shared" si="854"/>
        <v>PRB'!</v>
      </c>
      <c r="F3587" s="34" t="str">
        <f t="shared" si="855"/>
        <v>C:\Users\jaime.benazar\Quorum Business Solutions\Ecopetrol Prometeo - Documents\Planning Space Implementation\3. Analysis &amp; Design\Design\FC22\DRR Jaime\QUIFA-CAJÚA\Cajua\[CAJUA_CF_SEC_New_27-Feb-2024Rev3.xlsx]D-PRB'!</v>
      </c>
      <c r="G3587" s="32" t="s">
        <v>111</v>
      </c>
      <c r="H3587" s="33">
        <f t="shared" si="857"/>
        <v>25</v>
      </c>
      <c r="I3587" s="33" t="str">
        <f t="shared" si="856"/>
        <v>='C:\Users\jaime.benazar\Quorum Business Solutions\Ecopetrol Prometeo - Documents\Planning Space Implementation\3. Analysis &amp; Design\Design\FC22\DRR Jaime\QUIFA-CAJÚA\Cajua\[CAJUA_CF_SEC_New_27-Feb-2024Rev3.xlsx]D-PRB'!$BE$25</v>
      </c>
      <c r="J3587" s="37" t="s">
        <v>3715</v>
      </c>
    </row>
    <row r="3588" spans="1:10" x14ac:dyDescent="0.25">
      <c r="A3588" s="32" t="s">
        <v>4</v>
      </c>
      <c r="B3588" s="32">
        <f>+B3587+1</f>
        <v>2037</v>
      </c>
      <c r="C3588" s="33" t="s">
        <v>49</v>
      </c>
      <c r="D3588" s="34" t="s">
        <v>1999</v>
      </c>
      <c r="E3588" s="35" t="str">
        <f t="shared" si="854"/>
        <v>PRB'!</v>
      </c>
      <c r="F3588" s="34" t="str">
        <f t="shared" si="855"/>
        <v>C:\Users\jaime.benazar\Quorum Business Solutions\Ecopetrol Prometeo - Documents\Planning Space Implementation\3. Analysis &amp; Design\Design\FC22\DRR Jaime\QUIFA-CAJÚA\Cajua\[CAJUA_CF_SEC_New_27-Feb-2024Rev3.xlsx]D-PRB'!</v>
      </c>
      <c r="G3588" s="32" t="s">
        <v>111</v>
      </c>
      <c r="H3588" s="33">
        <f t="shared" si="857"/>
        <v>26</v>
      </c>
      <c r="I3588" s="33" t="str">
        <f t="shared" si="856"/>
        <v>='C:\Users\jaime.benazar\Quorum Business Solutions\Ecopetrol Prometeo - Documents\Planning Space Implementation\3. Analysis &amp; Design\Design\FC22\DRR Jaime\QUIFA-CAJÚA\Cajua\[CAJUA_CF_SEC_New_27-Feb-2024Rev3.xlsx]D-PRB'!$BE$26</v>
      </c>
      <c r="J3588" s="37" t="s">
        <v>3716</v>
      </c>
    </row>
    <row r="3589" spans="1:10" x14ac:dyDescent="0.25">
      <c r="A3589" s="32" t="s">
        <v>4</v>
      </c>
      <c r="B3589" s="32">
        <f t="shared" ref="B3589:B3591" si="859">+B3588+1</f>
        <v>2038</v>
      </c>
      <c r="C3589" s="33" t="s">
        <v>49</v>
      </c>
      <c r="D3589" s="34" t="s">
        <v>1999</v>
      </c>
      <c r="E3589" s="35" t="str">
        <f t="shared" si="854"/>
        <v>PRB'!</v>
      </c>
      <c r="F3589" s="34" t="str">
        <f t="shared" si="855"/>
        <v>C:\Users\jaime.benazar\Quorum Business Solutions\Ecopetrol Prometeo - Documents\Planning Space Implementation\3. Analysis &amp; Design\Design\FC22\DRR Jaime\QUIFA-CAJÚA\Cajua\[CAJUA_CF_SEC_New_27-Feb-2024Rev3.xlsx]D-PRB'!</v>
      </c>
      <c r="G3589" s="32" t="s">
        <v>111</v>
      </c>
      <c r="H3589" s="33">
        <f t="shared" si="857"/>
        <v>27</v>
      </c>
      <c r="I3589" s="33" t="str">
        <f t="shared" si="856"/>
        <v>='C:\Users\jaime.benazar\Quorum Business Solutions\Ecopetrol Prometeo - Documents\Planning Space Implementation\3. Analysis &amp; Design\Design\FC22\DRR Jaime\QUIFA-CAJÚA\Cajua\[CAJUA_CF_SEC_New_27-Feb-2024Rev3.xlsx]D-PRB'!$BE$27</v>
      </c>
      <c r="J3589" s="37" t="s">
        <v>3717</v>
      </c>
    </row>
    <row r="3590" spans="1:10" x14ac:dyDescent="0.25">
      <c r="A3590" s="32" t="s">
        <v>4</v>
      </c>
      <c r="B3590" s="32">
        <f t="shared" si="859"/>
        <v>2039</v>
      </c>
      <c r="C3590" s="33" t="s">
        <v>49</v>
      </c>
      <c r="D3590" s="34" t="s">
        <v>1999</v>
      </c>
      <c r="E3590" s="35" t="str">
        <f t="shared" si="854"/>
        <v>PRB'!</v>
      </c>
      <c r="F3590" s="34" t="str">
        <f t="shared" si="855"/>
        <v>C:\Users\jaime.benazar\Quorum Business Solutions\Ecopetrol Prometeo - Documents\Planning Space Implementation\3. Analysis &amp; Design\Design\FC22\DRR Jaime\QUIFA-CAJÚA\Cajua\[CAJUA_CF_SEC_New_27-Feb-2024Rev3.xlsx]D-PRB'!</v>
      </c>
      <c r="G3590" s="32" t="s">
        <v>111</v>
      </c>
      <c r="H3590" s="33">
        <f t="shared" si="857"/>
        <v>28</v>
      </c>
      <c r="I3590" s="33" t="str">
        <f t="shared" si="856"/>
        <v>='C:\Users\jaime.benazar\Quorum Business Solutions\Ecopetrol Prometeo - Documents\Planning Space Implementation\3. Analysis &amp; Design\Design\FC22\DRR Jaime\QUIFA-CAJÚA\Cajua\[CAJUA_CF_SEC_New_27-Feb-2024Rev3.xlsx]D-PRB'!$BE$28</v>
      </c>
      <c r="J3590" s="37" t="s">
        <v>3718</v>
      </c>
    </row>
    <row r="3591" spans="1:10" x14ac:dyDescent="0.25">
      <c r="A3591" s="32" t="s">
        <v>4</v>
      </c>
      <c r="B3591" s="32">
        <f t="shared" si="859"/>
        <v>2040</v>
      </c>
      <c r="C3591" s="33" t="s">
        <v>49</v>
      </c>
      <c r="D3591" s="34" t="s">
        <v>1999</v>
      </c>
      <c r="E3591" s="35" t="str">
        <f t="shared" si="854"/>
        <v>PRB'!</v>
      </c>
      <c r="F3591" s="34" t="str">
        <f t="shared" si="855"/>
        <v>C:\Users\jaime.benazar\Quorum Business Solutions\Ecopetrol Prometeo - Documents\Planning Space Implementation\3. Analysis &amp; Design\Design\FC22\DRR Jaime\QUIFA-CAJÚA\Cajua\[CAJUA_CF_SEC_New_27-Feb-2024Rev3.xlsx]D-PRB'!</v>
      </c>
      <c r="G3591" s="32" t="s">
        <v>111</v>
      </c>
      <c r="H3591" s="33">
        <f t="shared" si="857"/>
        <v>29</v>
      </c>
      <c r="I3591" s="33" t="str">
        <f t="shared" si="856"/>
        <v>='C:\Users\jaime.benazar\Quorum Business Solutions\Ecopetrol Prometeo - Documents\Planning Space Implementation\3. Analysis &amp; Design\Design\FC22\DRR Jaime\QUIFA-CAJÚA\Cajua\[CAJUA_CF_SEC_New_27-Feb-2024Rev3.xlsx]D-PRB'!$BE$29</v>
      </c>
      <c r="J3591" s="37" t="s">
        <v>3719</v>
      </c>
    </row>
    <row r="3592" spans="1:10" x14ac:dyDescent="0.25">
      <c r="A3592" s="32" t="s">
        <v>4</v>
      </c>
      <c r="B3592" s="32">
        <f>+B3591+1</f>
        <v>2041</v>
      </c>
      <c r="C3592" s="33" t="s">
        <v>49</v>
      </c>
      <c r="D3592" s="34" t="s">
        <v>1999</v>
      </c>
      <c r="E3592" s="35" t="str">
        <f t="shared" si="854"/>
        <v>PRB'!</v>
      </c>
      <c r="F3592" s="34" t="str">
        <f t="shared" si="855"/>
        <v>C:\Users\jaime.benazar\Quorum Business Solutions\Ecopetrol Prometeo - Documents\Planning Space Implementation\3. Analysis &amp; Design\Design\FC22\DRR Jaime\QUIFA-CAJÚA\Cajua\[CAJUA_CF_SEC_New_27-Feb-2024Rev3.xlsx]D-PRB'!</v>
      </c>
      <c r="G3592" s="32" t="s">
        <v>111</v>
      </c>
      <c r="H3592" s="33">
        <f t="shared" si="857"/>
        <v>30</v>
      </c>
      <c r="I3592" s="33" t="str">
        <f t="shared" si="856"/>
        <v>='C:\Users\jaime.benazar\Quorum Business Solutions\Ecopetrol Prometeo - Documents\Planning Space Implementation\3. Analysis &amp; Design\Design\FC22\DRR Jaime\QUIFA-CAJÚA\Cajua\[CAJUA_CF_SEC_New_27-Feb-2024Rev3.xlsx]D-PRB'!$BE$30</v>
      </c>
      <c r="J3592" s="37" t="s">
        <v>3720</v>
      </c>
    </row>
    <row r="3593" spans="1:10" x14ac:dyDescent="0.25">
      <c r="A3593" s="32" t="s">
        <v>4</v>
      </c>
      <c r="B3593" s="32">
        <f t="shared" ref="B3593:B3594" si="860">+B3592+1</f>
        <v>2042</v>
      </c>
      <c r="C3593" s="33" t="s">
        <v>49</v>
      </c>
      <c r="D3593" s="34" t="s">
        <v>1999</v>
      </c>
      <c r="E3593" s="35" t="str">
        <f t="shared" si="854"/>
        <v>PRB'!</v>
      </c>
      <c r="F3593" s="34" t="str">
        <f t="shared" si="855"/>
        <v>C:\Users\jaime.benazar\Quorum Business Solutions\Ecopetrol Prometeo - Documents\Planning Space Implementation\3. Analysis &amp; Design\Design\FC22\DRR Jaime\QUIFA-CAJÚA\Cajua\[CAJUA_CF_SEC_New_27-Feb-2024Rev3.xlsx]D-PRB'!</v>
      </c>
      <c r="G3593" s="32" t="s">
        <v>111</v>
      </c>
      <c r="H3593" s="33">
        <f t="shared" si="857"/>
        <v>31</v>
      </c>
      <c r="I3593" s="33" t="str">
        <f t="shared" si="856"/>
        <v>='C:\Users\jaime.benazar\Quorum Business Solutions\Ecopetrol Prometeo - Documents\Planning Space Implementation\3. Analysis &amp; Design\Design\FC22\DRR Jaime\QUIFA-CAJÚA\Cajua\[CAJUA_CF_SEC_New_27-Feb-2024Rev3.xlsx]D-PRB'!$BE$31</v>
      </c>
      <c r="J3593" s="37" t="s">
        <v>3721</v>
      </c>
    </row>
    <row r="3594" spans="1:10" x14ac:dyDescent="0.25">
      <c r="A3594" s="32" t="s">
        <v>4</v>
      </c>
      <c r="B3594" s="32">
        <f t="shared" si="860"/>
        <v>2043</v>
      </c>
      <c r="C3594" s="33" t="s">
        <v>49</v>
      </c>
      <c r="D3594" s="34" t="s">
        <v>1999</v>
      </c>
      <c r="E3594" s="35" t="str">
        <f t="shared" si="854"/>
        <v>PRB'!</v>
      </c>
      <c r="F3594" s="34" t="str">
        <f t="shared" si="855"/>
        <v>C:\Users\jaime.benazar\Quorum Business Solutions\Ecopetrol Prometeo - Documents\Planning Space Implementation\3. Analysis &amp; Design\Design\FC22\DRR Jaime\QUIFA-CAJÚA\Cajua\[CAJUA_CF_SEC_New_27-Feb-2024Rev3.xlsx]D-PRB'!</v>
      </c>
      <c r="G3594" s="32" t="s">
        <v>111</v>
      </c>
      <c r="H3594" s="33">
        <f t="shared" si="857"/>
        <v>32</v>
      </c>
      <c r="I3594" s="33" t="str">
        <f t="shared" si="856"/>
        <v>='C:\Users\jaime.benazar\Quorum Business Solutions\Ecopetrol Prometeo - Documents\Planning Space Implementation\3. Analysis &amp; Design\Design\FC22\DRR Jaime\QUIFA-CAJÚA\Cajua\[CAJUA_CF_SEC_New_27-Feb-2024Rev3.xlsx]D-PRB'!$BE$32</v>
      </c>
      <c r="J3594" s="37" t="s">
        <v>3722</v>
      </c>
    </row>
    <row r="3595" spans="1:10" x14ac:dyDescent="0.25">
      <c r="A3595" s="32" t="s">
        <v>4</v>
      </c>
      <c r="B3595" s="32">
        <f>+B3594+1</f>
        <v>2044</v>
      </c>
      <c r="C3595" s="33" t="s">
        <v>49</v>
      </c>
      <c r="D3595" s="34" t="s">
        <v>1999</v>
      </c>
      <c r="E3595" s="35" t="str">
        <f t="shared" ref="E3595:E3610" si="861">_xlfn.CONCAT(A3595,"'!")</f>
        <v>PRB'!</v>
      </c>
      <c r="F3595" s="34" t="str">
        <f t="shared" ref="F3595:F3610" si="862">_xlfn.CONCAT(D3595:E3595)</f>
        <v>C:\Users\jaime.benazar\Quorum Business Solutions\Ecopetrol Prometeo - Documents\Planning Space Implementation\3. Analysis &amp; Design\Design\FC22\DRR Jaime\QUIFA-CAJÚA\Cajua\[CAJUA_CF_SEC_New_27-Feb-2024Rev3.xlsx]D-PRB'!</v>
      </c>
      <c r="G3595" s="32" t="s">
        <v>111</v>
      </c>
      <c r="H3595" s="33">
        <f t="shared" ref="H3595:H3610" si="863">IF(A3595&lt;&gt;A3594,36,H3594+1)</f>
        <v>33</v>
      </c>
      <c r="I3595" s="33" t="str">
        <f t="shared" ref="I3595:I3610" si="864">_xlfn.CONCAT("='",F3595:H3595)</f>
        <v>='C:\Users\jaime.benazar\Quorum Business Solutions\Ecopetrol Prometeo - Documents\Planning Space Implementation\3. Analysis &amp; Design\Design\FC22\DRR Jaime\QUIFA-CAJÚA\Cajua\[CAJUA_CF_SEC_New_27-Feb-2024Rev3.xlsx]D-PRB'!$BE$33</v>
      </c>
      <c r="J3595" s="37" t="s">
        <v>3723</v>
      </c>
    </row>
    <row r="3596" spans="1:10" x14ac:dyDescent="0.25">
      <c r="A3596" s="32" t="s">
        <v>4</v>
      </c>
      <c r="B3596" s="32">
        <f t="shared" ref="B3596:B3610" si="865">+B3595+1</f>
        <v>2045</v>
      </c>
      <c r="C3596" s="33" t="s">
        <v>49</v>
      </c>
      <c r="D3596" s="34" t="s">
        <v>1999</v>
      </c>
      <c r="E3596" s="35" t="str">
        <f t="shared" si="861"/>
        <v>PRB'!</v>
      </c>
      <c r="F3596" s="34" t="str">
        <f t="shared" si="862"/>
        <v>C:\Users\jaime.benazar\Quorum Business Solutions\Ecopetrol Prometeo - Documents\Planning Space Implementation\3. Analysis &amp; Design\Design\FC22\DRR Jaime\QUIFA-CAJÚA\Cajua\[CAJUA_CF_SEC_New_27-Feb-2024Rev3.xlsx]D-PRB'!</v>
      </c>
      <c r="G3596" s="32" t="s">
        <v>111</v>
      </c>
      <c r="H3596" s="33">
        <f t="shared" si="863"/>
        <v>34</v>
      </c>
      <c r="I3596" s="33" t="str">
        <f t="shared" si="864"/>
        <v>='C:\Users\jaime.benazar\Quorum Business Solutions\Ecopetrol Prometeo - Documents\Planning Space Implementation\3. Analysis &amp; Design\Design\FC22\DRR Jaime\QUIFA-CAJÚA\Cajua\[CAJUA_CF_SEC_New_27-Feb-2024Rev3.xlsx]D-PRB'!$BE$34</v>
      </c>
      <c r="J3596" s="37" t="s">
        <v>3724</v>
      </c>
    </row>
    <row r="3597" spans="1:10" x14ac:dyDescent="0.25">
      <c r="A3597" s="32" t="s">
        <v>4</v>
      </c>
      <c r="B3597" s="32">
        <f t="shared" si="865"/>
        <v>2046</v>
      </c>
      <c r="C3597" s="33" t="s">
        <v>49</v>
      </c>
      <c r="D3597" s="34" t="s">
        <v>1999</v>
      </c>
      <c r="E3597" s="35" t="str">
        <f t="shared" si="861"/>
        <v>PRB'!</v>
      </c>
      <c r="F3597" s="34" t="str">
        <f t="shared" si="862"/>
        <v>C:\Users\jaime.benazar\Quorum Business Solutions\Ecopetrol Prometeo - Documents\Planning Space Implementation\3. Analysis &amp; Design\Design\FC22\DRR Jaime\QUIFA-CAJÚA\Cajua\[CAJUA_CF_SEC_New_27-Feb-2024Rev3.xlsx]D-PRB'!</v>
      </c>
      <c r="G3597" s="32" t="s">
        <v>111</v>
      </c>
      <c r="H3597" s="33">
        <f t="shared" si="863"/>
        <v>35</v>
      </c>
      <c r="I3597" s="33" t="str">
        <f t="shared" si="864"/>
        <v>='C:\Users\jaime.benazar\Quorum Business Solutions\Ecopetrol Prometeo - Documents\Planning Space Implementation\3. Analysis &amp; Design\Design\FC22\DRR Jaime\QUIFA-CAJÚA\Cajua\[CAJUA_CF_SEC_New_27-Feb-2024Rev3.xlsx]D-PRB'!$BE$35</v>
      </c>
      <c r="J3597" s="37" t="s">
        <v>3725</v>
      </c>
    </row>
    <row r="3598" spans="1:10" x14ac:dyDescent="0.25">
      <c r="A3598" s="32" t="s">
        <v>4</v>
      </c>
      <c r="B3598" s="32">
        <f t="shared" si="865"/>
        <v>2047</v>
      </c>
      <c r="C3598" s="33" t="s">
        <v>49</v>
      </c>
      <c r="D3598" s="34" t="s">
        <v>1999</v>
      </c>
      <c r="E3598" s="35" t="str">
        <f t="shared" si="861"/>
        <v>PRB'!</v>
      </c>
      <c r="F3598" s="34" t="str">
        <f t="shared" si="862"/>
        <v>C:\Users\jaime.benazar\Quorum Business Solutions\Ecopetrol Prometeo - Documents\Planning Space Implementation\3. Analysis &amp; Design\Design\FC22\DRR Jaime\QUIFA-CAJÚA\Cajua\[CAJUA_CF_SEC_New_27-Feb-2024Rev3.xlsx]D-PRB'!</v>
      </c>
      <c r="G3598" s="32" t="s">
        <v>111</v>
      </c>
      <c r="H3598" s="33">
        <f t="shared" si="863"/>
        <v>36</v>
      </c>
      <c r="I3598" s="33" t="str">
        <f t="shared" si="864"/>
        <v>='C:\Users\jaime.benazar\Quorum Business Solutions\Ecopetrol Prometeo - Documents\Planning Space Implementation\3. Analysis &amp; Design\Design\FC22\DRR Jaime\QUIFA-CAJÚA\Cajua\[CAJUA_CF_SEC_New_27-Feb-2024Rev3.xlsx]D-PRB'!$BE$36</v>
      </c>
      <c r="J3598" s="37" t="s">
        <v>3726</v>
      </c>
    </row>
    <row r="3599" spans="1:10" x14ac:dyDescent="0.25">
      <c r="A3599" s="32" t="s">
        <v>4</v>
      </c>
      <c r="B3599" s="32">
        <f t="shared" si="865"/>
        <v>2048</v>
      </c>
      <c r="C3599" s="33" t="s">
        <v>49</v>
      </c>
      <c r="D3599" s="34" t="s">
        <v>1999</v>
      </c>
      <c r="E3599" s="35" t="str">
        <f t="shared" si="861"/>
        <v>PRB'!</v>
      </c>
      <c r="F3599" s="34" t="str">
        <f t="shared" si="862"/>
        <v>C:\Users\jaime.benazar\Quorum Business Solutions\Ecopetrol Prometeo - Documents\Planning Space Implementation\3. Analysis &amp; Design\Design\FC22\DRR Jaime\QUIFA-CAJÚA\Cajua\[CAJUA_CF_SEC_New_27-Feb-2024Rev3.xlsx]D-PRB'!</v>
      </c>
      <c r="G3599" s="32" t="s">
        <v>111</v>
      </c>
      <c r="H3599" s="33">
        <f t="shared" si="863"/>
        <v>37</v>
      </c>
      <c r="I3599" s="33" t="str">
        <f t="shared" si="864"/>
        <v>='C:\Users\jaime.benazar\Quorum Business Solutions\Ecopetrol Prometeo - Documents\Planning Space Implementation\3. Analysis &amp; Design\Design\FC22\DRR Jaime\QUIFA-CAJÚA\Cajua\[CAJUA_CF_SEC_New_27-Feb-2024Rev3.xlsx]D-PRB'!$BE$37</v>
      </c>
      <c r="J3599" s="37" t="s">
        <v>3727</v>
      </c>
    </row>
    <row r="3600" spans="1:10" x14ac:dyDescent="0.25">
      <c r="A3600" s="32" t="s">
        <v>4</v>
      </c>
      <c r="B3600" s="32">
        <f t="shared" si="865"/>
        <v>2049</v>
      </c>
      <c r="C3600" s="33" t="s">
        <v>49</v>
      </c>
      <c r="D3600" s="34" t="s">
        <v>1999</v>
      </c>
      <c r="E3600" s="35" t="str">
        <f t="shared" si="861"/>
        <v>PRB'!</v>
      </c>
      <c r="F3600" s="34" t="str">
        <f t="shared" si="862"/>
        <v>C:\Users\jaime.benazar\Quorum Business Solutions\Ecopetrol Prometeo - Documents\Planning Space Implementation\3. Analysis &amp; Design\Design\FC22\DRR Jaime\QUIFA-CAJÚA\Cajua\[CAJUA_CF_SEC_New_27-Feb-2024Rev3.xlsx]D-PRB'!</v>
      </c>
      <c r="G3600" s="32" t="s">
        <v>111</v>
      </c>
      <c r="H3600" s="33">
        <f t="shared" si="863"/>
        <v>38</v>
      </c>
      <c r="I3600" s="33" t="str">
        <f t="shared" si="864"/>
        <v>='C:\Users\jaime.benazar\Quorum Business Solutions\Ecopetrol Prometeo - Documents\Planning Space Implementation\3. Analysis &amp; Design\Design\FC22\DRR Jaime\QUIFA-CAJÚA\Cajua\[CAJUA_CF_SEC_New_27-Feb-2024Rev3.xlsx]D-PRB'!$BE$38</v>
      </c>
      <c r="J3600" s="37" t="s">
        <v>3728</v>
      </c>
    </row>
    <row r="3601" spans="1:10" x14ac:dyDescent="0.25">
      <c r="A3601" s="32" t="s">
        <v>4</v>
      </c>
      <c r="B3601" s="32">
        <f t="shared" si="865"/>
        <v>2050</v>
      </c>
      <c r="C3601" s="33" t="s">
        <v>49</v>
      </c>
      <c r="D3601" s="34" t="s">
        <v>1999</v>
      </c>
      <c r="E3601" s="35" t="str">
        <f t="shared" si="861"/>
        <v>PRB'!</v>
      </c>
      <c r="F3601" s="34" t="str">
        <f t="shared" si="862"/>
        <v>C:\Users\jaime.benazar\Quorum Business Solutions\Ecopetrol Prometeo - Documents\Planning Space Implementation\3. Analysis &amp; Design\Design\FC22\DRR Jaime\QUIFA-CAJÚA\Cajua\[CAJUA_CF_SEC_New_27-Feb-2024Rev3.xlsx]D-PRB'!</v>
      </c>
      <c r="G3601" s="32" t="s">
        <v>111</v>
      </c>
      <c r="H3601" s="33">
        <f t="shared" si="863"/>
        <v>39</v>
      </c>
      <c r="I3601" s="33" t="str">
        <f t="shared" si="864"/>
        <v>='C:\Users\jaime.benazar\Quorum Business Solutions\Ecopetrol Prometeo - Documents\Planning Space Implementation\3. Analysis &amp; Design\Design\FC22\DRR Jaime\QUIFA-CAJÚA\Cajua\[CAJUA_CF_SEC_New_27-Feb-2024Rev3.xlsx]D-PRB'!$BE$39</v>
      </c>
      <c r="J3601" s="37" t="s">
        <v>3729</v>
      </c>
    </row>
    <row r="3602" spans="1:10" x14ac:dyDescent="0.25">
      <c r="A3602" s="32" t="s">
        <v>4</v>
      </c>
      <c r="B3602" s="32">
        <f t="shared" si="865"/>
        <v>2051</v>
      </c>
      <c r="C3602" s="33" t="s">
        <v>49</v>
      </c>
      <c r="D3602" s="34" t="s">
        <v>1999</v>
      </c>
      <c r="E3602" s="35" t="str">
        <f t="shared" si="861"/>
        <v>PRB'!</v>
      </c>
      <c r="F3602" s="34" t="str">
        <f t="shared" si="862"/>
        <v>C:\Users\jaime.benazar\Quorum Business Solutions\Ecopetrol Prometeo - Documents\Planning Space Implementation\3. Analysis &amp; Design\Design\FC22\DRR Jaime\QUIFA-CAJÚA\Cajua\[CAJUA_CF_SEC_New_27-Feb-2024Rev3.xlsx]D-PRB'!</v>
      </c>
      <c r="G3602" s="32" t="s">
        <v>111</v>
      </c>
      <c r="H3602" s="33">
        <f t="shared" si="863"/>
        <v>40</v>
      </c>
      <c r="I3602" s="33" t="str">
        <f t="shared" si="864"/>
        <v>='C:\Users\jaime.benazar\Quorum Business Solutions\Ecopetrol Prometeo - Documents\Planning Space Implementation\3. Analysis &amp; Design\Design\FC22\DRR Jaime\QUIFA-CAJÚA\Cajua\[CAJUA_CF_SEC_New_27-Feb-2024Rev3.xlsx]D-PRB'!$BE$40</v>
      </c>
      <c r="J3602" s="37" t="s">
        <v>3730</v>
      </c>
    </row>
    <row r="3603" spans="1:10" x14ac:dyDescent="0.25">
      <c r="A3603" s="32" t="s">
        <v>4</v>
      </c>
      <c r="B3603" s="32">
        <f t="shared" si="865"/>
        <v>2052</v>
      </c>
      <c r="C3603" s="33" t="s">
        <v>49</v>
      </c>
      <c r="D3603" s="34" t="s">
        <v>1999</v>
      </c>
      <c r="E3603" s="35" t="str">
        <f t="shared" si="861"/>
        <v>PRB'!</v>
      </c>
      <c r="F3603" s="34" t="str">
        <f t="shared" si="862"/>
        <v>C:\Users\jaime.benazar\Quorum Business Solutions\Ecopetrol Prometeo - Documents\Planning Space Implementation\3. Analysis &amp; Design\Design\FC22\DRR Jaime\QUIFA-CAJÚA\Cajua\[CAJUA_CF_SEC_New_27-Feb-2024Rev3.xlsx]D-PRB'!</v>
      </c>
      <c r="G3603" s="32" t="s">
        <v>111</v>
      </c>
      <c r="H3603" s="33">
        <f t="shared" si="863"/>
        <v>41</v>
      </c>
      <c r="I3603" s="33" t="str">
        <f t="shared" si="864"/>
        <v>='C:\Users\jaime.benazar\Quorum Business Solutions\Ecopetrol Prometeo - Documents\Planning Space Implementation\3. Analysis &amp; Design\Design\FC22\DRR Jaime\QUIFA-CAJÚA\Cajua\[CAJUA_CF_SEC_New_27-Feb-2024Rev3.xlsx]D-PRB'!$BE$41</v>
      </c>
      <c r="J3603" s="37" t="s">
        <v>3731</v>
      </c>
    </row>
    <row r="3604" spans="1:10" x14ac:dyDescent="0.25">
      <c r="A3604" s="32" t="s">
        <v>4</v>
      </c>
      <c r="B3604" s="32">
        <f t="shared" si="865"/>
        <v>2053</v>
      </c>
      <c r="C3604" s="33" t="s">
        <v>49</v>
      </c>
      <c r="D3604" s="34" t="s">
        <v>1999</v>
      </c>
      <c r="E3604" s="35" t="str">
        <f t="shared" si="861"/>
        <v>PRB'!</v>
      </c>
      <c r="F3604" s="34" t="str">
        <f t="shared" si="862"/>
        <v>C:\Users\jaime.benazar\Quorum Business Solutions\Ecopetrol Prometeo - Documents\Planning Space Implementation\3. Analysis &amp; Design\Design\FC22\DRR Jaime\QUIFA-CAJÚA\Cajua\[CAJUA_CF_SEC_New_27-Feb-2024Rev3.xlsx]D-PRB'!</v>
      </c>
      <c r="G3604" s="32" t="s">
        <v>111</v>
      </c>
      <c r="H3604" s="33">
        <f t="shared" si="863"/>
        <v>42</v>
      </c>
      <c r="I3604" s="33" t="str">
        <f t="shared" si="864"/>
        <v>='C:\Users\jaime.benazar\Quorum Business Solutions\Ecopetrol Prometeo - Documents\Planning Space Implementation\3. Analysis &amp; Design\Design\FC22\DRR Jaime\QUIFA-CAJÚA\Cajua\[CAJUA_CF_SEC_New_27-Feb-2024Rev3.xlsx]D-PRB'!$BE$42</v>
      </c>
      <c r="J3604" s="37" t="s">
        <v>3732</v>
      </c>
    </row>
    <row r="3605" spans="1:10" x14ac:dyDescent="0.25">
      <c r="A3605" s="32" t="s">
        <v>4</v>
      </c>
      <c r="B3605" s="32">
        <f t="shared" si="865"/>
        <v>2054</v>
      </c>
      <c r="C3605" s="33" t="s">
        <v>49</v>
      </c>
      <c r="D3605" s="34" t="s">
        <v>1999</v>
      </c>
      <c r="E3605" s="35" t="str">
        <f t="shared" si="861"/>
        <v>PRB'!</v>
      </c>
      <c r="F3605" s="34" t="str">
        <f t="shared" si="862"/>
        <v>C:\Users\jaime.benazar\Quorum Business Solutions\Ecopetrol Prometeo - Documents\Planning Space Implementation\3. Analysis &amp; Design\Design\FC22\DRR Jaime\QUIFA-CAJÚA\Cajua\[CAJUA_CF_SEC_New_27-Feb-2024Rev3.xlsx]D-PRB'!</v>
      </c>
      <c r="G3605" s="32" t="s">
        <v>111</v>
      </c>
      <c r="H3605" s="33">
        <f t="shared" si="863"/>
        <v>43</v>
      </c>
      <c r="I3605" s="33" t="str">
        <f t="shared" si="864"/>
        <v>='C:\Users\jaime.benazar\Quorum Business Solutions\Ecopetrol Prometeo - Documents\Planning Space Implementation\3. Analysis &amp; Design\Design\FC22\DRR Jaime\QUIFA-CAJÚA\Cajua\[CAJUA_CF_SEC_New_27-Feb-2024Rev3.xlsx]D-PRB'!$BE$43</v>
      </c>
      <c r="J3605" s="37" t="s">
        <v>3733</v>
      </c>
    </row>
    <row r="3606" spans="1:10" x14ac:dyDescent="0.25">
      <c r="A3606" s="32" t="s">
        <v>4</v>
      </c>
      <c r="B3606" s="32">
        <f t="shared" si="865"/>
        <v>2055</v>
      </c>
      <c r="C3606" s="33" t="s">
        <v>49</v>
      </c>
      <c r="D3606" s="34" t="s">
        <v>1999</v>
      </c>
      <c r="E3606" s="35" t="str">
        <f t="shared" si="861"/>
        <v>PRB'!</v>
      </c>
      <c r="F3606" s="34" t="str">
        <f t="shared" si="862"/>
        <v>C:\Users\jaime.benazar\Quorum Business Solutions\Ecopetrol Prometeo - Documents\Planning Space Implementation\3. Analysis &amp; Design\Design\FC22\DRR Jaime\QUIFA-CAJÚA\Cajua\[CAJUA_CF_SEC_New_27-Feb-2024Rev3.xlsx]D-PRB'!</v>
      </c>
      <c r="G3606" s="32" t="s">
        <v>111</v>
      </c>
      <c r="H3606" s="33">
        <f t="shared" si="863"/>
        <v>44</v>
      </c>
      <c r="I3606" s="33" t="str">
        <f t="shared" si="864"/>
        <v>='C:\Users\jaime.benazar\Quorum Business Solutions\Ecopetrol Prometeo - Documents\Planning Space Implementation\3. Analysis &amp; Design\Design\FC22\DRR Jaime\QUIFA-CAJÚA\Cajua\[CAJUA_CF_SEC_New_27-Feb-2024Rev3.xlsx]D-PRB'!$BE$44</v>
      </c>
      <c r="J3606" s="37" t="s">
        <v>3734</v>
      </c>
    </row>
    <row r="3607" spans="1:10" x14ac:dyDescent="0.25">
      <c r="A3607" s="32" t="s">
        <v>4</v>
      </c>
      <c r="B3607" s="32">
        <f t="shared" si="865"/>
        <v>2056</v>
      </c>
      <c r="C3607" s="33" t="s">
        <v>49</v>
      </c>
      <c r="D3607" s="34" t="s">
        <v>1999</v>
      </c>
      <c r="E3607" s="35" t="str">
        <f t="shared" si="861"/>
        <v>PRB'!</v>
      </c>
      <c r="F3607" s="34" t="str">
        <f t="shared" si="862"/>
        <v>C:\Users\jaime.benazar\Quorum Business Solutions\Ecopetrol Prometeo - Documents\Planning Space Implementation\3. Analysis &amp; Design\Design\FC22\DRR Jaime\QUIFA-CAJÚA\Cajua\[CAJUA_CF_SEC_New_27-Feb-2024Rev3.xlsx]D-PRB'!</v>
      </c>
      <c r="G3607" s="32" t="s">
        <v>111</v>
      </c>
      <c r="H3607" s="33">
        <f t="shared" si="863"/>
        <v>45</v>
      </c>
      <c r="I3607" s="33" t="str">
        <f t="shared" si="864"/>
        <v>='C:\Users\jaime.benazar\Quorum Business Solutions\Ecopetrol Prometeo - Documents\Planning Space Implementation\3. Analysis &amp; Design\Design\FC22\DRR Jaime\QUIFA-CAJÚA\Cajua\[CAJUA_CF_SEC_New_27-Feb-2024Rev3.xlsx]D-PRB'!$BE$45</v>
      </c>
      <c r="J3607" s="37" t="s">
        <v>3735</v>
      </c>
    </row>
    <row r="3608" spans="1:10" x14ac:dyDescent="0.25">
      <c r="A3608" s="32" t="s">
        <v>4</v>
      </c>
      <c r="B3608" s="32">
        <f t="shared" si="865"/>
        <v>2057</v>
      </c>
      <c r="C3608" s="33" t="s">
        <v>49</v>
      </c>
      <c r="D3608" s="34" t="s">
        <v>1999</v>
      </c>
      <c r="E3608" s="35" t="str">
        <f t="shared" si="861"/>
        <v>PRB'!</v>
      </c>
      <c r="F3608" s="34" t="str">
        <f t="shared" si="862"/>
        <v>C:\Users\jaime.benazar\Quorum Business Solutions\Ecopetrol Prometeo - Documents\Planning Space Implementation\3. Analysis &amp; Design\Design\FC22\DRR Jaime\QUIFA-CAJÚA\Cajua\[CAJUA_CF_SEC_New_27-Feb-2024Rev3.xlsx]D-PRB'!</v>
      </c>
      <c r="G3608" s="32" t="s">
        <v>111</v>
      </c>
      <c r="H3608" s="33">
        <f t="shared" si="863"/>
        <v>46</v>
      </c>
      <c r="I3608" s="33" t="str">
        <f t="shared" si="864"/>
        <v>='C:\Users\jaime.benazar\Quorum Business Solutions\Ecopetrol Prometeo - Documents\Planning Space Implementation\3. Analysis &amp; Design\Design\FC22\DRR Jaime\QUIFA-CAJÚA\Cajua\[CAJUA_CF_SEC_New_27-Feb-2024Rev3.xlsx]D-PRB'!$BE$46</v>
      </c>
      <c r="J3608" s="37" t="s">
        <v>3736</v>
      </c>
    </row>
    <row r="3609" spans="1:10" x14ac:dyDescent="0.25">
      <c r="A3609" s="32" t="s">
        <v>4</v>
      </c>
      <c r="B3609" s="32">
        <f t="shared" si="865"/>
        <v>2058</v>
      </c>
      <c r="C3609" s="33" t="s">
        <v>49</v>
      </c>
      <c r="D3609" s="34" t="s">
        <v>1999</v>
      </c>
      <c r="E3609" s="35" t="str">
        <f t="shared" si="861"/>
        <v>PRB'!</v>
      </c>
      <c r="F3609" s="34" t="str">
        <f t="shared" si="862"/>
        <v>C:\Users\jaime.benazar\Quorum Business Solutions\Ecopetrol Prometeo - Documents\Planning Space Implementation\3. Analysis &amp; Design\Design\FC22\DRR Jaime\QUIFA-CAJÚA\Cajua\[CAJUA_CF_SEC_New_27-Feb-2024Rev3.xlsx]D-PRB'!</v>
      </c>
      <c r="G3609" s="32" t="s">
        <v>111</v>
      </c>
      <c r="H3609" s="33">
        <f t="shared" si="863"/>
        <v>47</v>
      </c>
      <c r="I3609" s="33" t="str">
        <f t="shared" si="864"/>
        <v>='C:\Users\jaime.benazar\Quorum Business Solutions\Ecopetrol Prometeo - Documents\Planning Space Implementation\3. Analysis &amp; Design\Design\FC22\DRR Jaime\QUIFA-CAJÚA\Cajua\[CAJUA_CF_SEC_New_27-Feb-2024Rev3.xlsx]D-PRB'!$BE$47</v>
      </c>
      <c r="J3609" s="37" t="s">
        <v>3737</v>
      </c>
    </row>
    <row r="3610" spans="1:10" x14ac:dyDescent="0.25">
      <c r="A3610" s="32" t="s">
        <v>4</v>
      </c>
      <c r="B3610" s="32">
        <f t="shared" si="865"/>
        <v>2059</v>
      </c>
      <c r="C3610" s="33" t="s">
        <v>49</v>
      </c>
      <c r="D3610" s="34" t="s">
        <v>1999</v>
      </c>
      <c r="E3610" s="35" t="str">
        <f t="shared" si="861"/>
        <v>PRB'!</v>
      </c>
      <c r="F3610" s="34" t="str">
        <f t="shared" si="862"/>
        <v>C:\Users\jaime.benazar\Quorum Business Solutions\Ecopetrol Prometeo - Documents\Planning Space Implementation\3. Analysis &amp; Design\Design\FC22\DRR Jaime\QUIFA-CAJÚA\Cajua\[CAJUA_CF_SEC_New_27-Feb-2024Rev3.xlsx]D-PRB'!</v>
      </c>
      <c r="G3610" s="32" t="s">
        <v>111</v>
      </c>
      <c r="H3610" s="33">
        <f t="shared" si="863"/>
        <v>48</v>
      </c>
      <c r="I3610" s="33" t="str">
        <f t="shared" si="864"/>
        <v>='C:\Users\jaime.benazar\Quorum Business Solutions\Ecopetrol Prometeo - Documents\Planning Space Implementation\3. Analysis &amp; Design\Design\FC22\DRR Jaime\QUIFA-CAJÚA\Cajua\[CAJUA_CF_SEC_New_27-Feb-2024Rev3.xlsx]D-PRB'!$BE$48</v>
      </c>
      <c r="J3610" s="37" t="s">
        <v>3738</v>
      </c>
    </row>
    <row r="3611" spans="1:10" x14ac:dyDescent="0.25">
      <c r="A3611" s="32" t="s">
        <v>28</v>
      </c>
      <c r="B3611" s="32"/>
      <c r="C3611" s="33" t="s">
        <v>49</v>
      </c>
      <c r="D3611" s="34"/>
      <c r="E3611" s="35"/>
      <c r="F3611" s="34"/>
      <c r="G3611" s="32"/>
      <c r="H3611" s="33"/>
      <c r="I3611" s="33"/>
      <c r="J3611" s="33"/>
    </row>
    <row r="3612" spans="1:10" x14ac:dyDescent="0.25">
      <c r="A3612" s="32" t="s">
        <v>102</v>
      </c>
      <c r="B3612" s="32">
        <v>2023</v>
      </c>
      <c r="C3612" s="33" t="s">
        <v>49</v>
      </c>
      <c r="D3612" s="34" t="s">
        <v>1999</v>
      </c>
      <c r="E3612" s="35" t="str">
        <f t="shared" ref="E3612:E3632" si="866">_xlfn.CONCAT(A3612,"'!")</f>
        <v>PSDP'!</v>
      </c>
      <c r="F3612" s="34" t="str">
        <f t="shared" ref="F3612:F3632" si="867">_xlfn.CONCAT(D3612:E3612)</f>
        <v>C:\Users\jaime.benazar\Quorum Business Solutions\Ecopetrol Prometeo - Documents\Planning Space Implementation\3. Analysis &amp; Design\Design\FC22\DRR Jaime\QUIFA-CAJÚA\Cajua\[CAJUA_CF_SEC_New_27-Feb-2024Rev3.xlsx]D-PSDP'!</v>
      </c>
      <c r="G3612" s="32" t="s">
        <v>111</v>
      </c>
      <c r="H3612" s="33">
        <f>IF(A3612&lt;&gt;A3596,12,H3596+1)</f>
        <v>12</v>
      </c>
      <c r="I3612" s="33" t="str">
        <f t="shared" ref="I3612:I3648" si="868">_xlfn.CONCAT("='",F3612:H3612)</f>
        <v>='C:\Users\jaime.benazar\Quorum Business Solutions\Ecopetrol Prometeo - Documents\Planning Space Implementation\3. Analysis &amp; Design\Design\FC22\DRR Jaime\QUIFA-CAJÚA\Cajua\[CAJUA_CF_SEC_New_27-Feb-2024Rev3.xlsx]D-PSDP'!$BE$12</v>
      </c>
      <c r="J3612" s="37" t="s">
        <v>3739</v>
      </c>
    </row>
    <row r="3613" spans="1:10" x14ac:dyDescent="0.25">
      <c r="A3613" s="32" t="s">
        <v>102</v>
      </c>
      <c r="B3613" s="32">
        <f>+B3612+1</f>
        <v>2024</v>
      </c>
      <c r="C3613" s="33" t="s">
        <v>49</v>
      </c>
      <c r="D3613" s="34" t="s">
        <v>1999</v>
      </c>
      <c r="E3613" s="35" t="str">
        <f t="shared" si="866"/>
        <v>PSDP'!</v>
      </c>
      <c r="F3613" s="34" t="str">
        <f t="shared" si="867"/>
        <v>C:\Users\jaime.benazar\Quorum Business Solutions\Ecopetrol Prometeo - Documents\Planning Space Implementation\3. Analysis &amp; Design\Design\FC22\DRR Jaime\QUIFA-CAJÚA\Cajua\[CAJUA_CF_SEC_New_27-Feb-2024Rev3.xlsx]D-PSDP'!</v>
      </c>
      <c r="G3613" s="32" t="s">
        <v>111</v>
      </c>
      <c r="H3613" s="33">
        <f t="shared" ref="H3613:H3648" si="869">IF(A3613&lt;&gt;A3612,36,H3612+1)</f>
        <v>13</v>
      </c>
      <c r="I3613" s="33" t="str">
        <f t="shared" si="868"/>
        <v>='C:\Users\jaime.benazar\Quorum Business Solutions\Ecopetrol Prometeo - Documents\Planning Space Implementation\3. Analysis &amp; Design\Design\FC22\DRR Jaime\QUIFA-CAJÚA\Cajua\[CAJUA_CF_SEC_New_27-Feb-2024Rev3.xlsx]D-PSDP'!$BE$13</v>
      </c>
      <c r="J3613" s="37" t="s">
        <v>3740</v>
      </c>
    </row>
    <row r="3614" spans="1:10" x14ac:dyDescent="0.25">
      <c r="A3614" s="32" t="s">
        <v>102</v>
      </c>
      <c r="B3614" s="32">
        <f t="shared" ref="B3614:B3625" si="870">+B3613+1</f>
        <v>2025</v>
      </c>
      <c r="C3614" s="33" t="s">
        <v>49</v>
      </c>
      <c r="D3614" s="34" t="s">
        <v>1999</v>
      </c>
      <c r="E3614" s="35" t="str">
        <f t="shared" si="866"/>
        <v>PSDP'!</v>
      </c>
      <c r="F3614" s="34" t="str">
        <f t="shared" si="867"/>
        <v>C:\Users\jaime.benazar\Quorum Business Solutions\Ecopetrol Prometeo - Documents\Planning Space Implementation\3. Analysis &amp; Design\Design\FC22\DRR Jaime\QUIFA-CAJÚA\Cajua\[CAJUA_CF_SEC_New_27-Feb-2024Rev3.xlsx]D-PSDP'!</v>
      </c>
      <c r="G3614" s="32" t="s">
        <v>111</v>
      </c>
      <c r="H3614" s="33">
        <f t="shared" si="869"/>
        <v>14</v>
      </c>
      <c r="I3614" s="33" t="str">
        <f t="shared" si="868"/>
        <v>='C:\Users\jaime.benazar\Quorum Business Solutions\Ecopetrol Prometeo - Documents\Planning Space Implementation\3. Analysis &amp; Design\Design\FC22\DRR Jaime\QUIFA-CAJÚA\Cajua\[CAJUA_CF_SEC_New_27-Feb-2024Rev3.xlsx]D-PSDP'!$BE$14</v>
      </c>
      <c r="J3614" s="37" t="s">
        <v>3741</v>
      </c>
    </row>
    <row r="3615" spans="1:10" x14ac:dyDescent="0.25">
      <c r="A3615" s="32" t="s">
        <v>102</v>
      </c>
      <c r="B3615" s="32">
        <f t="shared" si="870"/>
        <v>2026</v>
      </c>
      <c r="C3615" s="33" t="s">
        <v>49</v>
      </c>
      <c r="D3615" s="34" t="s">
        <v>1999</v>
      </c>
      <c r="E3615" s="35" t="str">
        <f t="shared" si="866"/>
        <v>PSDP'!</v>
      </c>
      <c r="F3615" s="34" t="str">
        <f t="shared" si="867"/>
        <v>C:\Users\jaime.benazar\Quorum Business Solutions\Ecopetrol Prometeo - Documents\Planning Space Implementation\3. Analysis &amp; Design\Design\FC22\DRR Jaime\QUIFA-CAJÚA\Cajua\[CAJUA_CF_SEC_New_27-Feb-2024Rev3.xlsx]D-PSDP'!</v>
      </c>
      <c r="G3615" s="32" t="s">
        <v>111</v>
      </c>
      <c r="H3615" s="33">
        <f t="shared" si="869"/>
        <v>15</v>
      </c>
      <c r="I3615" s="33" t="str">
        <f t="shared" si="868"/>
        <v>='C:\Users\jaime.benazar\Quorum Business Solutions\Ecopetrol Prometeo - Documents\Planning Space Implementation\3. Analysis &amp; Design\Design\FC22\DRR Jaime\QUIFA-CAJÚA\Cajua\[CAJUA_CF_SEC_New_27-Feb-2024Rev3.xlsx]D-PSDP'!$BE$15</v>
      </c>
      <c r="J3615" s="37" t="s">
        <v>3742</v>
      </c>
    </row>
    <row r="3616" spans="1:10" x14ac:dyDescent="0.25">
      <c r="A3616" s="32" t="s">
        <v>102</v>
      </c>
      <c r="B3616" s="32">
        <f t="shared" si="870"/>
        <v>2027</v>
      </c>
      <c r="C3616" s="33" t="s">
        <v>49</v>
      </c>
      <c r="D3616" s="34" t="s">
        <v>1999</v>
      </c>
      <c r="E3616" s="35" t="str">
        <f t="shared" si="866"/>
        <v>PSDP'!</v>
      </c>
      <c r="F3616" s="34" t="str">
        <f t="shared" si="867"/>
        <v>C:\Users\jaime.benazar\Quorum Business Solutions\Ecopetrol Prometeo - Documents\Planning Space Implementation\3. Analysis &amp; Design\Design\FC22\DRR Jaime\QUIFA-CAJÚA\Cajua\[CAJUA_CF_SEC_New_27-Feb-2024Rev3.xlsx]D-PSDP'!</v>
      </c>
      <c r="G3616" s="32" t="s">
        <v>111</v>
      </c>
      <c r="H3616" s="33">
        <f t="shared" si="869"/>
        <v>16</v>
      </c>
      <c r="I3616" s="33" t="str">
        <f t="shared" si="868"/>
        <v>='C:\Users\jaime.benazar\Quorum Business Solutions\Ecopetrol Prometeo - Documents\Planning Space Implementation\3. Analysis &amp; Design\Design\FC22\DRR Jaime\QUIFA-CAJÚA\Cajua\[CAJUA_CF_SEC_New_27-Feb-2024Rev3.xlsx]D-PSDP'!$BE$16</v>
      </c>
      <c r="J3616" s="37" t="s">
        <v>3743</v>
      </c>
    </row>
    <row r="3617" spans="1:10" x14ac:dyDescent="0.25">
      <c r="A3617" s="32" t="s">
        <v>102</v>
      </c>
      <c r="B3617" s="32">
        <f t="shared" si="870"/>
        <v>2028</v>
      </c>
      <c r="C3617" s="33" t="s">
        <v>49</v>
      </c>
      <c r="D3617" s="34" t="s">
        <v>1999</v>
      </c>
      <c r="E3617" s="35" t="str">
        <f t="shared" si="866"/>
        <v>PSDP'!</v>
      </c>
      <c r="F3617" s="34" t="str">
        <f t="shared" si="867"/>
        <v>C:\Users\jaime.benazar\Quorum Business Solutions\Ecopetrol Prometeo - Documents\Planning Space Implementation\3. Analysis &amp; Design\Design\FC22\DRR Jaime\QUIFA-CAJÚA\Cajua\[CAJUA_CF_SEC_New_27-Feb-2024Rev3.xlsx]D-PSDP'!</v>
      </c>
      <c r="G3617" s="32" t="s">
        <v>111</v>
      </c>
      <c r="H3617" s="33">
        <f t="shared" si="869"/>
        <v>17</v>
      </c>
      <c r="I3617" s="33" t="str">
        <f t="shared" si="868"/>
        <v>='C:\Users\jaime.benazar\Quorum Business Solutions\Ecopetrol Prometeo - Documents\Planning Space Implementation\3. Analysis &amp; Design\Design\FC22\DRR Jaime\QUIFA-CAJÚA\Cajua\[CAJUA_CF_SEC_New_27-Feb-2024Rev3.xlsx]D-PSDP'!$BE$17</v>
      </c>
      <c r="J3617" s="37" t="s">
        <v>3744</v>
      </c>
    </row>
    <row r="3618" spans="1:10" x14ac:dyDescent="0.25">
      <c r="A3618" s="32" t="s">
        <v>102</v>
      </c>
      <c r="B3618" s="32">
        <f t="shared" si="870"/>
        <v>2029</v>
      </c>
      <c r="C3618" s="33" t="s">
        <v>49</v>
      </c>
      <c r="D3618" s="34" t="s">
        <v>1999</v>
      </c>
      <c r="E3618" s="35" t="str">
        <f t="shared" si="866"/>
        <v>PSDP'!</v>
      </c>
      <c r="F3618" s="34" t="str">
        <f t="shared" si="867"/>
        <v>C:\Users\jaime.benazar\Quorum Business Solutions\Ecopetrol Prometeo - Documents\Planning Space Implementation\3. Analysis &amp; Design\Design\FC22\DRR Jaime\QUIFA-CAJÚA\Cajua\[CAJUA_CF_SEC_New_27-Feb-2024Rev3.xlsx]D-PSDP'!</v>
      </c>
      <c r="G3618" s="32" t="s">
        <v>111</v>
      </c>
      <c r="H3618" s="33">
        <f t="shared" si="869"/>
        <v>18</v>
      </c>
      <c r="I3618" s="33" t="str">
        <f t="shared" si="868"/>
        <v>='C:\Users\jaime.benazar\Quorum Business Solutions\Ecopetrol Prometeo - Documents\Planning Space Implementation\3. Analysis &amp; Design\Design\FC22\DRR Jaime\QUIFA-CAJÚA\Cajua\[CAJUA_CF_SEC_New_27-Feb-2024Rev3.xlsx]D-PSDP'!$BE$18</v>
      </c>
      <c r="J3618" s="37" t="s">
        <v>3745</v>
      </c>
    </row>
    <row r="3619" spans="1:10" x14ac:dyDescent="0.25">
      <c r="A3619" s="32" t="s">
        <v>102</v>
      </c>
      <c r="B3619" s="32">
        <f t="shared" si="870"/>
        <v>2030</v>
      </c>
      <c r="C3619" s="33" t="s">
        <v>49</v>
      </c>
      <c r="D3619" s="34" t="s">
        <v>1999</v>
      </c>
      <c r="E3619" s="35" t="str">
        <f t="shared" si="866"/>
        <v>PSDP'!</v>
      </c>
      <c r="F3619" s="34" t="str">
        <f t="shared" si="867"/>
        <v>C:\Users\jaime.benazar\Quorum Business Solutions\Ecopetrol Prometeo - Documents\Planning Space Implementation\3. Analysis &amp; Design\Design\FC22\DRR Jaime\QUIFA-CAJÚA\Cajua\[CAJUA_CF_SEC_New_27-Feb-2024Rev3.xlsx]D-PSDP'!</v>
      </c>
      <c r="G3619" s="32" t="s">
        <v>111</v>
      </c>
      <c r="H3619" s="33">
        <f t="shared" si="869"/>
        <v>19</v>
      </c>
      <c r="I3619" s="33" t="str">
        <f t="shared" si="868"/>
        <v>='C:\Users\jaime.benazar\Quorum Business Solutions\Ecopetrol Prometeo - Documents\Planning Space Implementation\3. Analysis &amp; Design\Design\FC22\DRR Jaime\QUIFA-CAJÚA\Cajua\[CAJUA_CF_SEC_New_27-Feb-2024Rev3.xlsx]D-PSDP'!$BE$19</v>
      </c>
      <c r="J3619" s="37" t="s">
        <v>3746</v>
      </c>
    </row>
    <row r="3620" spans="1:10" x14ac:dyDescent="0.25">
      <c r="A3620" s="32" t="s">
        <v>102</v>
      </c>
      <c r="B3620" s="32">
        <f t="shared" si="870"/>
        <v>2031</v>
      </c>
      <c r="C3620" s="33" t="s">
        <v>49</v>
      </c>
      <c r="D3620" s="34" t="s">
        <v>1999</v>
      </c>
      <c r="E3620" s="35" t="str">
        <f t="shared" si="866"/>
        <v>PSDP'!</v>
      </c>
      <c r="F3620" s="34" t="str">
        <f t="shared" si="867"/>
        <v>C:\Users\jaime.benazar\Quorum Business Solutions\Ecopetrol Prometeo - Documents\Planning Space Implementation\3. Analysis &amp; Design\Design\FC22\DRR Jaime\QUIFA-CAJÚA\Cajua\[CAJUA_CF_SEC_New_27-Feb-2024Rev3.xlsx]D-PSDP'!</v>
      </c>
      <c r="G3620" s="32" t="s">
        <v>111</v>
      </c>
      <c r="H3620" s="33">
        <f t="shared" si="869"/>
        <v>20</v>
      </c>
      <c r="I3620" s="33" t="str">
        <f t="shared" si="868"/>
        <v>='C:\Users\jaime.benazar\Quorum Business Solutions\Ecopetrol Prometeo - Documents\Planning Space Implementation\3. Analysis &amp; Design\Design\FC22\DRR Jaime\QUIFA-CAJÚA\Cajua\[CAJUA_CF_SEC_New_27-Feb-2024Rev3.xlsx]D-PSDP'!$BE$20</v>
      </c>
      <c r="J3620" s="37" t="s">
        <v>3747</v>
      </c>
    </row>
    <row r="3621" spans="1:10" x14ac:dyDescent="0.25">
      <c r="A3621" s="32" t="s">
        <v>102</v>
      </c>
      <c r="B3621" s="32">
        <f t="shared" si="870"/>
        <v>2032</v>
      </c>
      <c r="C3621" s="33" t="s">
        <v>49</v>
      </c>
      <c r="D3621" s="34" t="s">
        <v>1999</v>
      </c>
      <c r="E3621" s="35" t="str">
        <f t="shared" si="866"/>
        <v>PSDP'!</v>
      </c>
      <c r="F3621" s="34" t="str">
        <f t="shared" si="867"/>
        <v>C:\Users\jaime.benazar\Quorum Business Solutions\Ecopetrol Prometeo - Documents\Planning Space Implementation\3. Analysis &amp; Design\Design\FC22\DRR Jaime\QUIFA-CAJÚA\Cajua\[CAJUA_CF_SEC_New_27-Feb-2024Rev3.xlsx]D-PSDP'!</v>
      </c>
      <c r="G3621" s="32" t="s">
        <v>111</v>
      </c>
      <c r="H3621" s="33">
        <f t="shared" si="869"/>
        <v>21</v>
      </c>
      <c r="I3621" s="33" t="str">
        <f t="shared" si="868"/>
        <v>='C:\Users\jaime.benazar\Quorum Business Solutions\Ecopetrol Prometeo - Documents\Planning Space Implementation\3. Analysis &amp; Design\Design\FC22\DRR Jaime\QUIFA-CAJÚA\Cajua\[CAJUA_CF_SEC_New_27-Feb-2024Rev3.xlsx]D-PSDP'!$BE$21</v>
      </c>
      <c r="J3621" s="37" t="s">
        <v>3748</v>
      </c>
    </row>
    <row r="3622" spans="1:10" x14ac:dyDescent="0.25">
      <c r="A3622" s="32" t="s">
        <v>102</v>
      </c>
      <c r="B3622" s="32">
        <f t="shared" si="870"/>
        <v>2033</v>
      </c>
      <c r="C3622" s="33" t="s">
        <v>49</v>
      </c>
      <c r="D3622" s="34" t="s">
        <v>1999</v>
      </c>
      <c r="E3622" s="35" t="str">
        <f t="shared" si="866"/>
        <v>PSDP'!</v>
      </c>
      <c r="F3622" s="34" t="str">
        <f t="shared" si="867"/>
        <v>C:\Users\jaime.benazar\Quorum Business Solutions\Ecopetrol Prometeo - Documents\Planning Space Implementation\3. Analysis &amp; Design\Design\FC22\DRR Jaime\QUIFA-CAJÚA\Cajua\[CAJUA_CF_SEC_New_27-Feb-2024Rev3.xlsx]D-PSDP'!</v>
      </c>
      <c r="G3622" s="32" t="s">
        <v>111</v>
      </c>
      <c r="H3622" s="33">
        <f t="shared" si="869"/>
        <v>22</v>
      </c>
      <c r="I3622" s="33" t="str">
        <f t="shared" si="868"/>
        <v>='C:\Users\jaime.benazar\Quorum Business Solutions\Ecopetrol Prometeo - Documents\Planning Space Implementation\3. Analysis &amp; Design\Design\FC22\DRR Jaime\QUIFA-CAJÚA\Cajua\[CAJUA_CF_SEC_New_27-Feb-2024Rev3.xlsx]D-PSDP'!$BE$22</v>
      </c>
      <c r="J3622" s="37" t="s">
        <v>3749</v>
      </c>
    </row>
    <row r="3623" spans="1:10" x14ac:dyDescent="0.25">
      <c r="A3623" s="32" t="s">
        <v>102</v>
      </c>
      <c r="B3623" s="32">
        <f t="shared" si="870"/>
        <v>2034</v>
      </c>
      <c r="C3623" s="33" t="s">
        <v>49</v>
      </c>
      <c r="D3623" s="34" t="s">
        <v>1999</v>
      </c>
      <c r="E3623" s="35" t="str">
        <f t="shared" si="866"/>
        <v>PSDP'!</v>
      </c>
      <c r="F3623" s="34" t="str">
        <f t="shared" si="867"/>
        <v>C:\Users\jaime.benazar\Quorum Business Solutions\Ecopetrol Prometeo - Documents\Planning Space Implementation\3. Analysis &amp; Design\Design\FC22\DRR Jaime\QUIFA-CAJÚA\Cajua\[CAJUA_CF_SEC_New_27-Feb-2024Rev3.xlsx]D-PSDP'!</v>
      </c>
      <c r="G3623" s="32" t="s">
        <v>111</v>
      </c>
      <c r="H3623" s="33">
        <f t="shared" si="869"/>
        <v>23</v>
      </c>
      <c r="I3623" s="33" t="str">
        <f t="shared" si="868"/>
        <v>='C:\Users\jaime.benazar\Quorum Business Solutions\Ecopetrol Prometeo - Documents\Planning Space Implementation\3. Analysis &amp; Design\Design\FC22\DRR Jaime\QUIFA-CAJÚA\Cajua\[CAJUA_CF_SEC_New_27-Feb-2024Rev3.xlsx]D-PSDP'!$BE$23</v>
      </c>
      <c r="J3623" s="37" t="s">
        <v>3750</v>
      </c>
    </row>
    <row r="3624" spans="1:10" x14ac:dyDescent="0.25">
      <c r="A3624" s="32" t="s">
        <v>102</v>
      </c>
      <c r="B3624" s="32">
        <f t="shared" si="870"/>
        <v>2035</v>
      </c>
      <c r="C3624" s="33" t="s">
        <v>49</v>
      </c>
      <c r="D3624" s="34" t="s">
        <v>1999</v>
      </c>
      <c r="E3624" s="35" t="str">
        <f t="shared" si="866"/>
        <v>PSDP'!</v>
      </c>
      <c r="F3624" s="34" t="str">
        <f t="shared" si="867"/>
        <v>C:\Users\jaime.benazar\Quorum Business Solutions\Ecopetrol Prometeo - Documents\Planning Space Implementation\3. Analysis &amp; Design\Design\FC22\DRR Jaime\QUIFA-CAJÚA\Cajua\[CAJUA_CF_SEC_New_27-Feb-2024Rev3.xlsx]D-PSDP'!</v>
      </c>
      <c r="G3624" s="32" t="s">
        <v>111</v>
      </c>
      <c r="H3624" s="33">
        <f t="shared" si="869"/>
        <v>24</v>
      </c>
      <c r="I3624" s="33" t="str">
        <f t="shared" si="868"/>
        <v>='C:\Users\jaime.benazar\Quorum Business Solutions\Ecopetrol Prometeo - Documents\Planning Space Implementation\3. Analysis &amp; Design\Design\FC22\DRR Jaime\QUIFA-CAJÚA\Cajua\[CAJUA_CF_SEC_New_27-Feb-2024Rev3.xlsx]D-PSDP'!$BE$24</v>
      </c>
      <c r="J3624" s="37" t="s">
        <v>3751</v>
      </c>
    </row>
    <row r="3625" spans="1:10" x14ac:dyDescent="0.25">
      <c r="A3625" s="32" t="s">
        <v>102</v>
      </c>
      <c r="B3625" s="32">
        <f t="shared" si="870"/>
        <v>2036</v>
      </c>
      <c r="C3625" s="33" t="s">
        <v>49</v>
      </c>
      <c r="D3625" s="34" t="s">
        <v>1999</v>
      </c>
      <c r="E3625" s="35" t="str">
        <f t="shared" si="866"/>
        <v>PSDP'!</v>
      </c>
      <c r="F3625" s="34" t="str">
        <f t="shared" si="867"/>
        <v>C:\Users\jaime.benazar\Quorum Business Solutions\Ecopetrol Prometeo - Documents\Planning Space Implementation\3. Analysis &amp; Design\Design\FC22\DRR Jaime\QUIFA-CAJÚA\Cajua\[CAJUA_CF_SEC_New_27-Feb-2024Rev3.xlsx]D-PSDP'!</v>
      </c>
      <c r="G3625" s="32" t="s">
        <v>111</v>
      </c>
      <c r="H3625" s="33">
        <f t="shared" si="869"/>
        <v>25</v>
      </c>
      <c r="I3625" s="33" t="str">
        <f t="shared" si="868"/>
        <v>='C:\Users\jaime.benazar\Quorum Business Solutions\Ecopetrol Prometeo - Documents\Planning Space Implementation\3. Analysis &amp; Design\Design\FC22\DRR Jaime\QUIFA-CAJÚA\Cajua\[CAJUA_CF_SEC_New_27-Feb-2024Rev3.xlsx]D-PSDP'!$BE$25</v>
      </c>
      <c r="J3625" s="37" t="s">
        <v>3752</v>
      </c>
    </row>
    <row r="3626" spans="1:10" x14ac:dyDescent="0.25">
      <c r="A3626" s="32" t="s">
        <v>102</v>
      </c>
      <c r="B3626" s="32">
        <f>+B3625+1</f>
        <v>2037</v>
      </c>
      <c r="C3626" s="33" t="s">
        <v>49</v>
      </c>
      <c r="D3626" s="34" t="s">
        <v>1999</v>
      </c>
      <c r="E3626" s="35" t="str">
        <f t="shared" si="866"/>
        <v>PSDP'!</v>
      </c>
      <c r="F3626" s="34" t="str">
        <f t="shared" si="867"/>
        <v>C:\Users\jaime.benazar\Quorum Business Solutions\Ecopetrol Prometeo - Documents\Planning Space Implementation\3. Analysis &amp; Design\Design\FC22\DRR Jaime\QUIFA-CAJÚA\Cajua\[CAJUA_CF_SEC_New_27-Feb-2024Rev3.xlsx]D-PSDP'!</v>
      </c>
      <c r="G3626" s="32" t="s">
        <v>111</v>
      </c>
      <c r="H3626" s="33">
        <f t="shared" si="869"/>
        <v>26</v>
      </c>
      <c r="I3626" s="33" t="str">
        <f t="shared" si="868"/>
        <v>='C:\Users\jaime.benazar\Quorum Business Solutions\Ecopetrol Prometeo - Documents\Planning Space Implementation\3. Analysis &amp; Design\Design\FC22\DRR Jaime\QUIFA-CAJÚA\Cajua\[CAJUA_CF_SEC_New_27-Feb-2024Rev3.xlsx]D-PSDP'!$BE$26</v>
      </c>
      <c r="J3626" s="37" t="s">
        <v>3753</v>
      </c>
    </row>
    <row r="3627" spans="1:10" x14ac:dyDescent="0.25">
      <c r="A3627" s="32" t="s">
        <v>102</v>
      </c>
      <c r="B3627" s="32">
        <f t="shared" ref="B3627:B3629" si="871">+B3626+1</f>
        <v>2038</v>
      </c>
      <c r="C3627" s="33" t="s">
        <v>49</v>
      </c>
      <c r="D3627" s="34" t="s">
        <v>1999</v>
      </c>
      <c r="E3627" s="35" t="str">
        <f t="shared" si="866"/>
        <v>PSDP'!</v>
      </c>
      <c r="F3627" s="34" t="str">
        <f t="shared" si="867"/>
        <v>C:\Users\jaime.benazar\Quorum Business Solutions\Ecopetrol Prometeo - Documents\Planning Space Implementation\3. Analysis &amp; Design\Design\FC22\DRR Jaime\QUIFA-CAJÚA\Cajua\[CAJUA_CF_SEC_New_27-Feb-2024Rev3.xlsx]D-PSDP'!</v>
      </c>
      <c r="G3627" s="32" t="s">
        <v>111</v>
      </c>
      <c r="H3627" s="33">
        <f t="shared" si="869"/>
        <v>27</v>
      </c>
      <c r="I3627" s="33" t="str">
        <f t="shared" si="868"/>
        <v>='C:\Users\jaime.benazar\Quorum Business Solutions\Ecopetrol Prometeo - Documents\Planning Space Implementation\3. Analysis &amp; Design\Design\FC22\DRR Jaime\QUIFA-CAJÚA\Cajua\[CAJUA_CF_SEC_New_27-Feb-2024Rev3.xlsx]D-PSDP'!$BE$27</v>
      </c>
      <c r="J3627" s="37" t="s">
        <v>3754</v>
      </c>
    </row>
    <row r="3628" spans="1:10" x14ac:dyDescent="0.25">
      <c r="A3628" s="32" t="s">
        <v>102</v>
      </c>
      <c r="B3628" s="32">
        <f t="shared" si="871"/>
        <v>2039</v>
      </c>
      <c r="C3628" s="33" t="s">
        <v>49</v>
      </c>
      <c r="D3628" s="34" t="s">
        <v>1999</v>
      </c>
      <c r="E3628" s="35" t="str">
        <f t="shared" si="866"/>
        <v>PSDP'!</v>
      </c>
      <c r="F3628" s="34" t="str">
        <f t="shared" si="867"/>
        <v>C:\Users\jaime.benazar\Quorum Business Solutions\Ecopetrol Prometeo - Documents\Planning Space Implementation\3. Analysis &amp; Design\Design\FC22\DRR Jaime\QUIFA-CAJÚA\Cajua\[CAJUA_CF_SEC_New_27-Feb-2024Rev3.xlsx]D-PSDP'!</v>
      </c>
      <c r="G3628" s="32" t="s">
        <v>111</v>
      </c>
      <c r="H3628" s="33">
        <f t="shared" si="869"/>
        <v>28</v>
      </c>
      <c r="I3628" s="33" t="str">
        <f t="shared" si="868"/>
        <v>='C:\Users\jaime.benazar\Quorum Business Solutions\Ecopetrol Prometeo - Documents\Planning Space Implementation\3. Analysis &amp; Design\Design\FC22\DRR Jaime\QUIFA-CAJÚA\Cajua\[CAJUA_CF_SEC_New_27-Feb-2024Rev3.xlsx]D-PSDP'!$BE$28</v>
      </c>
      <c r="J3628" s="37" t="s">
        <v>3755</v>
      </c>
    </row>
    <row r="3629" spans="1:10" x14ac:dyDescent="0.25">
      <c r="A3629" s="32" t="s">
        <v>102</v>
      </c>
      <c r="B3629" s="32">
        <f t="shared" si="871"/>
        <v>2040</v>
      </c>
      <c r="C3629" s="33" t="s">
        <v>49</v>
      </c>
      <c r="D3629" s="34" t="s">
        <v>1999</v>
      </c>
      <c r="E3629" s="35" t="str">
        <f t="shared" si="866"/>
        <v>PSDP'!</v>
      </c>
      <c r="F3629" s="34" t="str">
        <f t="shared" si="867"/>
        <v>C:\Users\jaime.benazar\Quorum Business Solutions\Ecopetrol Prometeo - Documents\Planning Space Implementation\3. Analysis &amp; Design\Design\FC22\DRR Jaime\QUIFA-CAJÚA\Cajua\[CAJUA_CF_SEC_New_27-Feb-2024Rev3.xlsx]D-PSDP'!</v>
      </c>
      <c r="G3629" s="32" t="s">
        <v>111</v>
      </c>
      <c r="H3629" s="33">
        <f t="shared" si="869"/>
        <v>29</v>
      </c>
      <c r="I3629" s="33" t="str">
        <f t="shared" si="868"/>
        <v>='C:\Users\jaime.benazar\Quorum Business Solutions\Ecopetrol Prometeo - Documents\Planning Space Implementation\3. Analysis &amp; Design\Design\FC22\DRR Jaime\QUIFA-CAJÚA\Cajua\[CAJUA_CF_SEC_New_27-Feb-2024Rev3.xlsx]D-PSDP'!$BE$29</v>
      </c>
      <c r="J3629" s="37" t="s">
        <v>3756</v>
      </c>
    </row>
    <row r="3630" spans="1:10" x14ac:dyDescent="0.25">
      <c r="A3630" s="32" t="s">
        <v>102</v>
      </c>
      <c r="B3630" s="32">
        <f>+B3629+1</f>
        <v>2041</v>
      </c>
      <c r="C3630" s="33" t="s">
        <v>49</v>
      </c>
      <c r="D3630" s="34" t="s">
        <v>1999</v>
      </c>
      <c r="E3630" s="35" t="str">
        <f t="shared" si="866"/>
        <v>PSDP'!</v>
      </c>
      <c r="F3630" s="34" t="str">
        <f t="shared" si="867"/>
        <v>C:\Users\jaime.benazar\Quorum Business Solutions\Ecopetrol Prometeo - Documents\Planning Space Implementation\3. Analysis &amp; Design\Design\FC22\DRR Jaime\QUIFA-CAJÚA\Cajua\[CAJUA_CF_SEC_New_27-Feb-2024Rev3.xlsx]D-PSDP'!</v>
      </c>
      <c r="G3630" s="32" t="s">
        <v>111</v>
      </c>
      <c r="H3630" s="33">
        <f t="shared" si="869"/>
        <v>30</v>
      </c>
      <c r="I3630" s="33" t="str">
        <f t="shared" si="868"/>
        <v>='C:\Users\jaime.benazar\Quorum Business Solutions\Ecopetrol Prometeo - Documents\Planning Space Implementation\3. Analysis &amp; Design\Design\FC22\DRR Jaime\QUIFA-CAJÚA\Cajua\[CAJUA_CF_SEC_New_27-Feb-2024Rev3.xlsx]D-PSDP'!$BE$30</v>
      </c>
      <c r="J3630" s="37" t="s">
        <v>3757</v>
      </c>
    </row>
    <row r="3631" spans="1:10" x14ac:dyDescent="0.25">
      <c r="A3631" s="32" t="s">
        <v>102</v>
      </c>
      <c r="B3631" s="32">
        <f t="shared" ref="B3631:B3632" si="872">+B3630+1</f>
        <v>2042</v>
      </c>
      <c r="C3631" s="33" t="s">
        <v>49</v>
      </c>
      <c r="D3631" s="34" t="s">
        <v>1999</v>
      </c>
      <c r="E3631" s="35" t="str">
        <f t="shared" si="866"/>
        <v>PSDP'!</v>
      </c>
      <c r="F3631" s="34" t="str">
        <f t="shared" si="867"/>
        <v>C:\Users\jaime.benazar\Quorum Business Solutions\Ecopetrol Prometeo - Documents\Planning Space Implementation\3. Analysis &amp; Design\Design\FC22\DRR Jaime\QUIFA-CAJÚA\Cajua\[CAJUA_CF_SEC_New_27-Feb-2024Rev3.xlsx]D-PSDP'!</v>
      </c>
      <c r="G3631" s="32" t="s">
        <v>111</v>
      </c>
      <c r="H3631" s="33">
        <f t="shared" si="869"/>
        <v>31</v>
      </c>
      <c r="I3631" s="33" t="str">
        <f t="shared" si="868"/>
        <v>='C:\Users\jaime.benazar\Quorum Business Solutions\Ecopetrol Prometeo - Documents\Planning Space Implementation\3. Analysis &amp; Design\Design\FC22\DRR Jaime\QUIFA-CAJÚA\Cajua\[CAJUA_CF_SEC_New_27-Feb-2024Rev3.xlsx]D-PSDP'!$BE$31</v>
      </c>
      <c r="J3631" s="37" t="s">
        <v>3758</v>
      </c>
    </row>
    <row r="3632" spans="1:10" x14ac:dyDescent="0.25">
      <c r="A3632" s="32" t="s">
        <v>102</v>
      </c>
      <c r="B3632" s="32">
        <f t="shared" si="872"/>
        <v>2043</v>
      </c>
      <c r="C3632" s="33" t="s">
        <v>49</v>
      </c>
      <c r="D3632" s="34" t="s">
        <v>1999</v>
      </c>
      <c r="E3632" s="35" t="str">
        <f t="shared" si="866"/>
        <v>PSDP'!</v>
      </c>
      <c r="F3632" s="34" t="str">
        <f t="shared" si="867"/>
        <v>C:\Users\jaime.benazar\Quorum Business Solutions\Ecopetrol Prometeo - Documents\Planning Space Implementation\3. Analysis &amp; Design\Design\FC22\DRR Jaime\QUIFA-CAJÚA\Cajua\[CAJUA_CF_SEC_New_27-Feb-2024Rev3.xlsx]D-PSDP'!</v>
      </c>
      <c r="G3632" s="32" t="s">
        <v>111</v>
      </c>
      <c r="H3632" s="33">
        <f t="shared" si="869"/>
        <v>32</v>
      </c>
      <c r="I3632" s="33" t="str">
        <f t="shared" si="868"/>
        <v>='C:\Users\jaime.benazar\Quorum Business Solutions\Ecopetrol Prometeo - Documents\Planning Space Implementation\3. Analysis &amp; Design\Design\FC22\DRR Jaime\QUIFA-CAJÚA\Cajua\[CAJUA_CF_SEC_New_27-Feb-2024Rev3.xlsx]D-PSDP'!$BE$32</v>
      </c>
      <c r="J3632" s="37" t="s">
        <v>3759</v>
      </c>
    </row>
    <row r="3633" spans="1:10" x14ac:dyDescent="0.25">
      <c r="A3633" s="32" t="s">
        <v>102</v>
      </c>
      <c r="B3633" s="32">
        <f>+B3632+1</f>
        <v>2044</v>
      </c>
      <c r="C3633" s="33" t="s">
        <v>49</v>
      </c>
      <c r="D3633" s="34" t="s">
        <v>1999</v>
      </c>
      <c r="E3633" s="35" t="str">
        <f t="shared" ref="E3633:E3648" si="873">_xlfn.CONCAT(A3633,"'!")</f>
        <v>PSDP'!</v>
      </c>
      <c r="F3633" s="34" t="str">
        <f t="shared" ref="F3633:F3648" si="874">_xlfn.CONCAT(D3633:E3633)</f>
        <v>C:\Users\jaime.benazar\Quorum Business Solutions\Ecopetrol Prometeo - Documents\Planning Space Implementation\3. Analysis &amp; Design\Design\FC22\DRR Jaime\QUIFA-CAJÚA\Cajua\[CAJUA_CF_SEC_New_27-Feb-2024Rev3.xlsx]D-PSDP'!</v>
      </c>
      <c r="G3633" s="32" t="s">
        <v>111</v>
      </c>
      <c r="H3633" s="33">
        <f t="shared" si="869"/>
        <v>33</v>
      </c>
      <c r="I3633" s="33" t="str">
        <f t="shared" si="868"/>
        <v>='C:\Users\jaime.benazar\Quorum Business Solutions\Ecopetrol Prometeo - Documents\Planning Space Implementation\3. Analysis &amp; Design\Design\FC22\DRR Jaime\QUIFA-CAJÚA\Cajua\[CAJUA_CF_SEC_New_27-Feb-2024Rev3.xlsx]D-PSDP'!$BE$33</v>
      </c>
      <c r="J3633" s="37" t="s">
        <v>3760</v>
      </c>
    </row>
    <row r="3634" spans="1:10" x14ac:dyDescent="0.25">
      <c r="A3634" s="32" t="s">
        <v>102</v>
      </c>
      <c r="B3634" s="32">
        <f t="shared" ref="B3634:B3648" si="875">+B3633+1</f>
        <v>2045</v>
      </c>
      <c r="C3634" s="33" t="s">
        <v>49</v>
      </c>
      <c r="D3634" s="34" t="s">
        <v>1999</v>
      </c>
      <c r="E3634" s="35" t="str">
        <f t="shared" si="873"/>
        <v>PSDP'!</v>
      </c>
      <c r="F3634" s="34" t="str">
        <f t="shared" si="874"/>
        <v>C:\Users\jaime.benazar\Quorum Business Solutions\Ecopetrol Prometeo - Documents\Planning Space Implementation\3. Analysis &amp; Design\Design\FC22\DRR Jaime\QUIFA-CAJÚA\Cajua\[CAJUA_CF_SEC_New_27-Feb-2024Rev3.xlsx]D-PSDP'!</v>
      </c>
      <c r="G3634" s="32" t="s">
        <v>111</v>
      </c>
      <c r="H3634" s="33">
        <f t="shared" si="869"/>
        <v>34</v>
      </c>
      <c r="I3634" s="33" t="str">
        <f t="shared" si="868"/>
        <v>='C:\Users\jaime.benazar\Quorum Business Solutions\Ecopetrol Prometeo - Documents\Planning Space Implementation\3. Analysis &amp; Design\Design\FC22\DRR Jaime\QUIFA-CAJÚA\Cajua\[CAJUA_CF_SEC_New_27-Feb-2024Rev3.xlsx]D-PSDP'!$BE$34</v>
      </c>
      <c r="J3634" s="37" t="s">
        <v>3761</v>
      </c>
    </row>
    <row r="3635" spans="1:10" x14ac:dyDescent="0.25">
      <c r="A3635" s="32" t="s">
        <v>102</v>
      </c>
      <c r="B3635" s="32">
        <f t="shared" si="875"/>
        <v>2046</v>
      </c>
      <c r="C3635" s="33" t="s">
        <v>49</v>
      </c>
      <c r="D3635" s="34" t="s">
        <v>1999</v>
      </c>
      <c r="E3635" s="35" t="str">
        <f t="shared" si="873"/>
        <v>PSDP'!</v>
      </c>
      <c r="F3635" s="34" t="str">
        <f t="shared" si="874"/>
        <v>C:\Users\jaime.benazar\Quorum Business Solutions\Ecopetrol Prometeo - Documents\Planning Space Implementation\3. Analysis &amp; Design\Design\FC22\DRR Jaime\QUIFA-CAJÚA\Cajua\[CAJUA_CF_SEC_New_27-Feb-2024Rev3.xlsx]D-PSDP'!</v>
      </c>
      <c r="G3635" s="32" t="s">
        <v>111</v>
      </c>
      <c r="H3635" s="33">
        <f t="shared" si="869"/>
        <v>35</v>
      </c>
      <c r="I3635" s="33" t="str">
        <f t="shared" si="868"/>
        <v>='C:\Users\jaime.benazar\Quorum Business Solutions\Ecopetrol Prometeo - Documents\Planning Space Implementation\3. Analysis &amp; Design\Design\FC22\DRR Jaime\QUIFA-CAJÚA\Cajua\[CAJUA_CF_SEC_New_27-Feb-2024Rev3.xlsx]D-PSDP'!$BE$35</v>
      </c>
      <c r="J3635" s="37" t="s">
        <v>3762</v>
      </c>
    </row>
    <row r="3636" spans="1:10" x14ac:dyDescent="0.25">
      <c r="A3636" s="32" t="s">
        <v>102</v>
      </c>
      <c r="B3636" s="32">
        <f t="shared" si="875"/>
        <v>2047</v>
      </c>
      <c r="C3636" s="33" t="s">
        <v>49</v>
      </c>
      <c r="D3636" s="34" t="s">
        <v>1999</v>
      </c>
      <c r="E3636" s="35" t="str">
        <f t="shared" si="873"/>
        <v>PSDP'!</v>
      </c>
      <c r="F3636" s="34" t="str">
        <f t="shared" si="874"/>
        <v>C:\Users\jaime.benazar\Quorum Business Solutions\Ecopetrol Prometeo - Documents\Planning Space Implementation\3. Analysis &amp; Design\Design\FC22\DRR Jaime\QUIFA-CAJÚA\Cajua\[CAJUA_CF_SEC_New_27-Feb-2024Rev3.xlsx]D-PSDP'!</v>
      </c>
      <c r="G3636" s="32" t="s">
        <v>111</v>
      </c>
      <c r="H3636" s="33">
        <f t="shared" si="869"/>
        <v>36</v>
      </c>
      <c r="I3636" s="33" t="str">
        <f t="shared" si="868"/>
        <v>='C:\Users\jaime.benazar\Quorum Business Solutions\Ecopetrol Prometeo - Documents\Planning Space Implementation\3. Analysis &amp; Design\Design\FC22\DRR Jaime\QUIFA-CAJÚA\Cajua\[CAJUA_CF_SEC_New_27-Feb-2024Rev3.xlsx]D-PSDP'!$BE$36</v>
      </c>
      <c r="J3636" s="37" t="s">
        <v>3763</v>
      </c>
    </row>
    <row r="3637" spans="1:10" x14ac:dyDescent="0.25">
      <c r="A3637" s="32" t="s">
        <v>102</v>
      </c>
      <c r="B3637" s="32">
        <f t="shared" si="875"/>
        <v>2048</v>
      </c>
      <c r="C3637" s="33" t="s">
        <v>49</v>
      </c>
      <c r="D3637" s="34" t="s">
        <v>1999</v>
      </c>
      <c r="E3637" s="35" t="str">
        <f t="shared" si="873"/>
        <v>PSDP'!</v>
      </c>
      <c r="F3637" s="34" t="str">
        <f t="shared" si="874"/>
        <v>C:\Users\jaime.benazar\Quorum Business Solutions\Ecopetrol Prometeo - Documents\Planning Space Implementation\3. Analysis &amp; Design\Design\FC22\DRR Jaime\QUIFA-CAJÚA\Cajua\[CAJUA_CF_SEC_New_27-Feb-2024Rev3.xlsx]D-PSDP'!</v>
      </c>
      <c r="G3637" s="32" t="s">
        <v>111</v>
      </c>
      <c r="H3637" s="33">
        <f t="shared" si="869"/>
        <v>37</v>
      </c>
      <c r="I3637" s="33" t="str">
        <f t="shared" si="868"/>
        <v>='C:\Users\jaime.benazar\Quorum Business Solutions\Ecopetrol Prometeo - Documents\Planning Space Implementation\3. Analysis &amp; Design\Design\FC22\DRR Jaime\QUIFA-CAJÚA\Cajua\[CAJUA_CF_SEC_New_27-Feb-2024Rev3.xlsx]D-PSDP'!$BE$37</v>
      </c>
      <c r="J3637" s="37" t="s">
        <v>3764</v>
      </c>
    </row>
    <row r="3638" spans="1:10" x14ac:dyDescent="0.25">
      <c r="A3638" s="32" t="s">
        <v>102</v>
      </c>
      <c r="B3638" s="32">
        <f t="shared" si="875"/>
        <v>2049</v>
      </c>
      <c r="C3638" s="33" t="s">
        <v>49</v>
      </c>
      <c r="D3638" s="34" t="s">
        <v>1999</v>
      </c>
      <c r="E3638" s="35" t="str">
        <f t="shared" si="873"/>
        <v>PSDP'!</v>
      </c>
      <c r="F3638" s="34" t="str">
        <f t="shared" si="874"/>
        <v>C:\Users\jaime.benazar\Quorum Business Solutions\Ecopetrol Prometeo - Documents\Planning Space Implementation\3. Analysis &amp; Design\Design\FC22\DRR Jaime\QUIFA-CAJÚA\Cajua\[CAJUA_CF_SEC_New_27-Feb-2024Rev3.xlsx]D-PSDP'!</v>
      </c>
      <c r="G3638" s="32" t="s">
        <v>111</v>
      </c>
      <c r="H3638" s="33">
        <f t="shared" si="869"/>
        <v>38</v>
      </c>
      <c r="I3638" s="33" t="str">
        <f t="shared" si="868"/>
        <v>='C:\Users\jaime.benazar\Quorum Business Solutions\Ecopetrol Prometeo - Documents\Planning Space Implementation\3. Analysis &amp; Design\Design\FC22\DRR Jaime\QUIFA-CAJÚA\Cajua\[CAJUA_CF_SEC_New_27-Feb-2024Rev3.xlsx]D-PSDP'!$BE$38</v>
      </c>
      <c r="J3638" s="37" t="s">
        <v>3765</v>
      </c>
    </row>
    <row r="3639" spans="1:10" x14ac:dyDescent="0.25">
      <c r="A3639" s="32" t="s">
        <v>102</v>
      </c>
      <c r="B3639" s="32">
        <f t="shared" si="875"/>
        <v>2050</v>
      </c>
      <c r="C3639" s="33" t="s">
        <v>49</v>
      </c>
      <c r="D3639" s="34" t="s">
        <v>1999</v>
      </c>
      <c r="E3639" s="35" t="str">
        <f t="shared" si="873"/>
        <v>PSDP'!</v>
      </c>
      <c r="F3639" s="34" t="str">
        <f t="shared" si="874"/>
        <v>C:\Users\jaime.benazar\Quorum Business Solutions\Ecopetrol Prometeo - Documents\Planning Space Implementation\3. Analysis &amp; Design\Design\FC22\DRR Jaime\QUIFA-CAJÚA\Cajua\[CAJUA_CF_SEC_New_27-Feb-2024Rev3.xlsx]D-PSDP'!</v>
      </c>
      <c r="G3639" s="32" t="s">
        <v>111</v>
      </c>
      <c r="H3639" s="33">
        <f t="shared" si="869"/>
        <v>39</v>
      </c>
      <c r="I3639" s="33" t="str">
        <f t="shared" si="868"/>
        <v>='C:\Users\jaime.benazar\Quorum Business Solutions\Ecopetrol Prometeo - Documents\Planning Space Implementation\3. Analysis &amp; Design\Design\FC22\DRR Jaime\QUIFA-CAJÚA\Cajua\[CAJUA_CF_SEC_New_27-Feb-2024Rev3.xlsx]D-PSDP'!$BE$39</v>
      </c>
      <c r="J3639" s="37" t="s">
        <v>3766</v>
      </c>
    </row>
    <row r="3640" spans="1:10" x14ac:dyDescent="0.25">
      <c r="A3640" s="32" t="s">
        <v>102</v>
      </c>
      <c r="B3640" s="32">
        <f t="shared" si="875"/>
        <v>2051</v>
      </c>
      <c r="C3640" s="33" t="s">
        <v>49</v>
      </c>
      <c r="D3640" s="34" t="s">
        <v>1999</v>
      </c>
      <c r="E3640" s="35" t="str">
        <f t="shared" si="873"/>
        <v>PSDP'!</v>
      </c>
      <c r="F3640" s="34" t="str">
        <f t="shared" si="874"/>
        <v>C:\Users\jaime.benazar\Quorum Business Solutions\Ecopetrol Prometeo - Documents\Planning Space Implementation\3. Analysis &amp; Design\Design\FC22\DRR Jaime\QUIFA-CAJÚA\Cajua\[CAJUA_CF_SEC_New_27-Feb-2024Rev3.xlsx]D-PSDP'!</v>
      </c>
      <c r="G3640" s="32" t="s">
        <v>111</v>
      </c>
      <c r="H3640" s="33">
        <f t="shared" si="869"/>
        <v>40</v>
      </c>
      <c r="I3640" s="33" t="str">
        <f t="shared" si="868"/>
        <v>='C:\Users\jaime.benazar\Quorum Business Solutions\Ecopetrol Prometeo - Documents\Planning Space Implementation\3. Analysis &amp; Design\Design\FC22\DRR Jaime\QUIFA-CAJÚA\Cajua\[CAJUA_CF_SEC_New_27-Feb-2024Rev3.xlsx]D-PSDP'!$BE$40</v>
      </c>
      <c r="J3640" s="37" t="s">
        <v>3767</v>
      </c>
    </row>
    <row r="3641" spans="1:10" x14ac:dyDescent="0.25">
      <c r="A3641" s="32" t="s">
        <v>102</v>
      </c>
      <c r="B3641" s="32">
        <f t="shared" si="875"/>
        <v>2052</v>
      </c>
      <c r="C3641" s="33" t="s">
        <v>49</v>
      </c>
      <c r="D3641" s="34" t="s">
        <v>1999</v>
      </c>
      <c r="E3641" s="35" t="str">
        <f t="shared" si="873"/>
        <v>PSDP'!</v>
      </c>
      <c r="F3641" s="34" t="str">
        <f t="shared" si="874"/>
        <v>C:\Users\jaime.benazar\Quorum Business Solutions\Ecopetrol Prometeo - Documents\Planning Space Implementation\3. Analysis &amp; Design\Design\FC22\DRR Jaime\QUIFA-CAJÚA\Cajua\[CAJUA_CF_SEC_New_27-Feb-2024Rev3.xlsx]D-PSDP'!</v>
      </c>
      <c r="G3641" s="32" t="s">
        <v>111</v>
      </c>
      <c r="H3641" s="33">
        <f t="shared" si="869"/>
        <v>41</v>
      </c>
      <c r="I3641" s="33" t="str">
        <f t="shared" si="868"/>
        <v>='C:\Users\jaime.benazar\Quorum Business Solutions\Ecopetrol Prometeo - Documents\Planning Space Implementation\3. Analysis &amp; Design\Design\FC22\DRR Jaime\QUIFA-CAJÚA\Cajua\[CAJUA_CF_SEC_New_27-Feb-2024Rev3.xlsx]D-PSDP'!$BE$41</v>
      </c>
      <c r="J3641" s="37" t="s">
        <v>3768</v>
      </c>
    </row>
    <row r="3642" spans="1:10" x14ac:dyDescent="0.25">
      <c r="A3642" s="32" t="s">
        <v>102</v>
      </c>
      <c r="B3642" s="32">
        <f t="shared" si="875"/>
        <v>2053</v>
      </c>
      <c r="C3642" s="33" t="s">
        <v>49</v>
      </c>
      <c r="D3642" s="34" t="s">
        <v>1999</v>
      </c>
      <c r="E3642" s="35" t="str">
        <f t="shared" si="873"/>
        <v>PSDP'!</v>
      </c>
      <c r="F3642" s="34" t="str">
        <f t="shared" si="874"/>
        <v>C:\Users\jaime.benazar\Quorum Business Solutions\Ecopetrol Prometeo - Documents\Planning Space Implementation\3. Analysis &amp; Design\Design\FC22\DRR Jaime\QUIFA-CAJÚA\Cajua\[CAJUA_CF_SEC_New_27-Feb-2024Rev3.xlsx]D-PSDP'!</v>
      </c>
      <c r="G3642" s="32" t="s">
        <v>111</v>
      </c>
      <c r="H3642" s="33">
        <f t="shared" si="869"/>
        <v>42</v>
      </c>
      <c r="I3642" s="33" t="str">
        <f t="shared" si="868"/>
        <v>='C:\Users\jaime.benazar\Quorum Business Solutions\Ecopetrol Prometeo - Documents\Planning Space Implementation\3. Analysis &amp; Design\Design\FC22\DRR Jaime\QUIFA-CAJÚA\Cajua\[CAJUA_CF_SEC_New_27-Feb-2024Rev3.xlsx]D-PSDP'!$BE$42</v>
      </c>
      <c r="J3642" s="37" t="s">
        <v>3769</v>
      </c>
    </row>
    <row r="3643" spans="1:10" x14ac:dyDescent="0.25">
      <c r="A3643" s="32" t="s">
        <v>102</v>
      </c>
      <c r="B3643" s="32">
        <f t="shared" si="875"/>
        <v>2054</v>
      </c>
      <c r="C3643" s="33" t="s">
        <v>49</v>
      </c>
      <c r="D3643" s="34" t="s">
        <v>1999</v>
      </c>
      <c r="E3643" s="35" t="str">
        <f t="shared" si="873"/>
        <v>PSDP'!</v>
      </c>
      <c r="F3643" s="34" t="str">
        <f t="shared" si="874"/>
        <v>C:\Users\jaime.benazar\Quorum Business Solutions\Ecopetrol Prometeo - Documents\Planning Space Implementation\3. Analysis &amp; Design\Design\FC22\DRR Jaime\QUIFA-CAJÚA\Cajua\[CAJUA_CF_SEC_New_27-Feb-2024Rev3.xlsx]D-PSDP'!</v>
      </c>
      <c r="G3643" s="32" t="s">
        <v>111</v>
      </c>
      <c r="H3643" s="33">
        <f t="shared" si="869"/>
        <v>43</v>
      </c>
      <c r="I3643" s="33" t="str">
        <f t="shared" si="868"/>
        <v>='C:\Users\jaime.benazar\Quorum Business Solutions\Ecopetrol Prometeo - Documents\Planning Space Implementation\3. Analysis &amp; Design\Design\FC22\DRR Jaime\QUIFA-CAJÚA\Cajua\[CAJUA_CF_SEC_New_27-Feb-2024Rev3.xlsx]D-PSDP'!$BE$43</v>
      </c>
      <c r="J3643" s="37" t="s">
        <v>3770</v>
      </c>
    </row>
    <row r="3644" spans="1:10" x14ac:dyDescent="0.25">
      <c r="A3644" s="32" t="s">
        <v>102</v>
      </c>
      <c r="B3644" s="32">
        <f t="shared" si="875"/>
        <v>2055</v>
      </c>
      <c r="C3644" s="33" t="s">
        <v>49</v>
      </c>
      <c r="D3644" s="34" t="s">
        <v>1999</v>
      </c>
      <c r="E3644" s="35" t="str">
        <f t="shared" si="873"/>
        <v>PSDP'!</v>
      </c>
      <c r="F3644" s="34" t="str">
        <f t="shared" si="874"/>
        <v>C:\Users\jaime.benazar\Quorum Business Solutions\Ecopetrol Prometeo - Documents\Planning Space Implementation\3. Analysis &amp; Design\Design\FC22\DRR Jaime\QUIFA-CAJÚA\Cajua\[CAJUA_CF_SEC_New_27-Feb-2024Rev3.xlsx]D-PSDP'!</v>
      </c>
      <c r="G3644" s="32" t="s">
        <v>111</v>
      </c>
      <c r="H3644" s="33">
        <f t="shared" si="869"/>
        <v>44</v>
      </c>
      <c r="I3644" s="33" t="str">
        <f t="shared" si="868"/>
        <v>='C:\Users\jaime.benazar\Quorum Business Solutions\Ecopetrol Prometeo - Documents\Planning Space Implementation\3. Analysis &amp; Design\Design\FC22\DRR Jaime\QUIFA-CAJÚA\Cajua\[CAJUA_CF_SEC_New_27-Feb-2024Rev3.xlsx]D-PSDP'!$BE$44</v>
      </c>
      <c r="J3644" s="37" t="s">
        <v>3771</v>
      </c>
    </row>
    <row r="3645" spans="1:10" x14ac:dyDescent="0.25">
      <c r="A3645" s="32" t="s">
        <v>102</v>
      </c>
      <c r="B3645" s="32">
        <f t="shared" si="875"/>
        <v>2056</v>
      </c>
      <c r="C3645" s="33" t="s">
        <v>49</v>
      </c>
      <c r="D3645" s="34" t="s">
        <v>1999</v>
      </c>
      <c r="E3645" s="35" t="str">
        <f t="shared" si="873"/>
        <v>PSDP'!</v>
      </c>
      <c r="F3645" s="34" t="str">
        <f t="shared" si="874"/>
        <v>C:\Users\jaime.benazar\Quorum Business Solutions\Ecopetrol Prometeo - Documents\Planning Space Implementation\3. Analysis &amp; Design\Design\FC22\DRR Jaime\QUIFA-CAJÚA\Cajua\[CAJUA_CF_SEC_New_27-Feb-2024Rev3.xlsx]D-PSDP'!</v>
      </c>
      <c r="G3645" s="32" t="s">
        <v>111</v>
      </c>
      <c r="H3645" s="33">
        <f t="shared" si="869"/>
        <v>45</v>
      </c>
      <c r="I3645" s="33" t="str">
        <f t="shared" si="868"/>
        <v>='C:\Users\jaime.benazar\Quorum Business Solutions\Ecopetrol Prometeo - Documents\Planning Space Implementation\3. Analysis &amp; Design\Design\FC22\DRR Jaime\QUIFA-CAJÚA\Cajua\[CAJUA_CF_SEC_New_27-Feb-2024Rev3.xlsx]D-PSDP'!$BE$45</v>
      </c>
      <c r="J3645" s="37" t="s">
        <v>3772</v>
      </c>
    </row>
    <row r="3646" spans="1:10" x14ac:dyDescent="0.25">
      <c r="A3646" s="32" t="s">
        <v>102</v>
      </c>
      <c r="B3646" s="32">
        <f t="shared" si="875"/>
        <v>2057</v>
      </c>
      <c r="C3646" s="33" t="s">
        <v>49</v>
      </c>
      <c r="D3646" s="34" t="s">
        <v>1999</v>
      </c>
      <c r="E3646" s="35" t="str">
        <f t="shared" si="873"/>
        <v>PSDP'!</v>
      </c>
      <c r="F3646" s="34" t="str">
        <f t="shared" si="874"/>
        <v>C:\Users\jaime.benazar\Quorum Business Solutions\Ecopetrol Prometeo - Documents\Planning Space Implementation\3. Analysis &amp; Design\Design\FC22\DRR Jaime\QUIFA-CAJÚA\Cajua\[CAJUA_CF_SEC_New_27-Feb-2024Rev3.xlsx]D-PSDP'!</v>
      </c>
      <c r="G3646" s="32" t="s">
        <v>111</v>
      </c>
      <c r="H3646" s="33">
        <f t="shared" si="869"/>
        <v>46</v>
      </c>
      <c r="I3646" s="33" t="str">
        <f t="shared" si="868"/>
        <v>='C:\Users\jaime.benazar\Quorum Business Solutions\Ecopetrol Prometeo - Documents\Planning Space Implementation\3. Analysis &amp; Design\Design\FC22\DRR Jaime\QUIFA-CAJÚA\Cajua\[CAJUA_CF_SEC_New_27-Feb-2024Rev3.xlsx]D-PSDP'!$BE$46</v>
      </c>
      <c r="J3646" s="37" t="s">
        <v>3773</v>
      </c>
    </row>
    <row r="3647" spans="1:10" x14ac:dyDescent="0.25">
      <c r="A3647" s="32" t="s">
        <v>102</v>
      </c>
      <c r="B3647" s="32">
        <f t="shared" si="875"/>
        <v>2058</v>
      </c>
      <c r="C3647" s="33" t="s">
        <v>49</v>
      </c>
      <c r="D3647" s="34" t="s">
        <v>1999</v>
      </c>
      <c r="E3647" s="35" t="str">
        <f t="shared" si="873"/>
        <v>PSDP'!</v>
      </c>
      <c r="F3647" s="34" t="str">
        <f t="shared" si="874"/>
        <v>C:\Users\jaime.benazar\Quorum Business Solutions\Ecopetrol Prometeo - Documents\Planning Space Implementation\3. Analysis &amp; Design\Design\FC22\DRR Jaime\QUIFA-CAJÚA\Cajua\[CAJUA_CF_SEC_New_27-Feb-2024Rev3.xlsx]D-PSDP'!</v>
      </c>
      <c r="G3647" s="32" t="s">
        <v>111</v>
      </c>
      <c r="H3647" s="33">
        <f t="shared" si="869"/>
        <v>47</v>
      </c>
      <c r="I3647" s="33" t="str">
        <f t="shared" si="868"/>
        <v>='C:\Users\jaime.benazar\Quorum Business Solutions\Ecopetrol Prometeo - Documents\Planning Space Implementation\3. Analysis &amp; Design\Design\FC22\DRR Jaime\QUIFA-CAJÚA\Cajua\[CAJUA_CF_SEC_New_27-Feb-2024Rev3.xlsx]D-PSDP'!$BE$47</v>
      </c>
      <c r="J3647" s="37" t="s">
        <v>3774</v>
      </c>
    </row>
    <row r="3648" spans="1:10" x14ac:dyDescent="0.25">
      <c r="A3648" s="32" t="s">
        <v>102</v>
      </c>
      <c r="B3648" s="32">
        <f t="shared" si="875"/>
        <v>2059</v>
      </c>
      <c r="C3648" s="33" t="s">
        <v>49</v>
      </c>
      <c r="D3648" s="34" t="s">
        <v>1999</v>
      </c>
      <c r="E3648" s="35" t="str">
        <f t="shared" si="873"/>
        <v>PSDP'!</v>
      </c>
      <c r="F3648" s="34" t="str">
        <f t="shared" si="874"/>
        <v>C:\Users\jaime.benazar\Quorum Business Solutions\Ecopetrol Prometeo - Documents\Planning Space Implementation\3. Analysis &amp; Design\Design\FC22\DRR Jaime\QUIFA-CAJÚA\Cajua\[CAJUA_CF_SEC_New_27-Feb-2024Rev3.xlsx]D-PSDP'!</v>
      </c>
      <c r="G3648" s="32" t="s">
        <v>111</v>
      </c>
      <c r="H3648" s="33">
        <f t="shared" si="869"/>
        <v>48</v>
      </c>
      <c r="I3648" s="33" t="str">
        <f t="shared" si="868"/>
        <v>='C:\Users\jaime.benazar\Quorum Business Solutions\Ecopetrol Prometeo - Documents\Planning Space Implementation\3. Analysis &amp; Design\Design\FC22\DRR Jaime\QUIFA-CAJÚA\Cajua\[CAJUA_CF_SEC_New_27-Feb-2024Rev3.xlsx]D-PSDP'!$BE$48</v>
      </c>
      <c r="J3648" s="37" t="s">
        <v>3775</v>
      </c>
    </row>
    <row r="3649" spans="1:10" x14ac:dyDescent="0.25">
      <c r="A3649" s="32" t="s">
        <v>28</v>
      </c>
      <c r="B3649" s="32"/>
      <c r="C3649" s="33" t="s">
        <v>49</v>
      </c>
      <c r="D3649" s="34"/>
      <c r="E3649" s="35"/>
      <c r="F3649" s="34"/>
      <c r="G3649" s="32"/>
      <c r="H3649" s="33"/>
      <c r="I3649" s="33"/>
      <c r="J3649" s="36"/>
    </row>
    <row r="3650" spans="1:10" x14ac:dyDescent="0.25">
      <c r="A3650" s="32" t="s">
        <v>103</v>
      </c>
      <c r="B3650" s="32">
        <v>2023</v>
      </c>
      <c r="C3650" s="33" t="s">
        <v>49</v>
      </c>
      <c r="D3650" s="34" t="s">
        <v>1999</v>
      </c>
      <c r="E3650" s="35" t="str">
        <f t="shared" ref="E3650:E3670" si="876">_xlfn.CONCAT(A3650,"'!")</f>
        <v>PSNP'!</v>
      </c>
      <c r="F3650" s="34" t="str">
        <f t="shared" ref="F3650:F3670" si="877">_xlfn.CONCAT(D3650:E3650)</f>
        <v>C:\Users\jaime.benazar\Quorum Business Solutions\Ecopetrol Prometeo - Documents\Planning Space Implementation\3. Analysis &amp; Design\Design\FC22\DRR Jaime\QUIFA-CAJÚA\Cajua\[CAJUA_CF_SEC_New_27-Feb-2024Rev3.xlsx]D-PSNP'!</v>
      </c>
      <c r="G3650" s="32" t="s">
        <v>111</v>
      </c>
      <c r="H3650" s="33">
        <f>IF(A3650&lt;&gt;A3634,12,H3634+1)</f>
        <v>12</v>
      </c>
      <c r="I3650" s="33" t="str">
        <f t="shared" ref="I3650:I3686" si="878">_xlfn.CONCAT("='",F3650:H3650)</f>
        <v>='C:\Users\jaime.benazar\Quorum Business Solutions\Ecopetrol Prometeo - Documents\Planning Space Implementation\3. Analysis &amp; Design\Design\FC22\DRR Jaime\QUIFA-CAJÚA\Cajua\[CAJUA_CF_SEC_New_27-Feb-2024Rev3.xlsx]D-PSNP'!$BE$12</v>
      </c>
      <c r="J3650" s="37" t="s">
        <v>3776</v>
      </c>
    </row>
    <row r="3651" spans="1:10" x14ac:dyDescent="0.25">
      <c r="A3651" s="32" t="s">
        <v>103</v>
      </c>
      <c r="B3651" s="32">
        <f>+B3650+1</f>
        <v>2024</v>
      </c>
      <c r="C3651" s="33" t="s">
        <v>49</v>
      </c>
      <c r="D3651" s="34" t="s">
        <v>1999</v>
      </c>
      <c r="E3651" s="35" t="str">
        <f t="shared" si="876"/>
        <v>PSNP'!</v>
      </c>
      <c r="F3651" s="34" t="str">
        <f t="shared" si="877"/>
        <v>C:\Users\jaime.benazar\Quorum Business Solutions\Ecopetrol Prometeo - Documents\Planning Space Implementation\3. Analysis &amp; Design\Design\FC22\DRR Jaime\QUIFA-CAJÚA\Cajua\[CAJUA_CF_SEC_New_27-Feb-2024Rev3.xlsx]D-PSNP'!</v>
      </c>
      <c r="G3651" s="32" t="s">
        <v>111</v>
      </c>
      <c r="H3651" s="33">
        <f t="shared" ref="H3651:H3686" si="879">IF(A3651&lt;&gt;A3650,36,H3650+1)</f>
        <v>13</v>
      </c>
      <c r="I3651" s="33" t="str">
        <f t="shared" si="878"/>
        <v>='C:\Users\jaime.benazar\Quorum Business Solutions\Ecopetrol Prometeo - Documents\Planning Space Implementation\3. Analysis &amp; Design\Design\FC22\DRR Jaime\QUIFA-CAJÚA\Cajua\[CAJUA_CF_SEC_New_27-Feb-2024Rev3.xlsx]D-PSNP'!$BE$13</v>
      </c>
      <c r="J3651" s="37" t="s">
        <v>3777</v>
      </c>
    </row>
    <row r="3652" spans="1:10" x14ac:dyDescent="0.25">
      <c r="A3652" s="32" t="s">
        <v>103</v>
      </c>
      <c r="B3652" s="32">
        <f t="shared" ref="B3652:B3663" si="880">+B3651+1</f>
        <v>2025</v>
      </c>
      <c r="C3652" s="33" t="s">
        <v>49</v>
      </c>
      <c r="D3652" s="34" t="s">
        <v>1999</v>
      </c>
      <c r="E3652" s="35" t="str">
        <f t="shared" si="876"/>
        <v>PSNP'!</v>
      </c>
      <c r="F3652" s="34" t="str">
        <f t="shared" si="877"/>
        <v>C:\Users\jaime.benazar\Quorum Business Solutions\Ecopetrol Prometeo - Documents\Planning Space Implementation\3. Analysis &amp; Design\Design\FC22\DRR Jaime\QUIFA-CAJÚA\Cajua\[CAJUA_CF_SEC_New_27-Feb-2024Rev3.xlsx]D-PSNP'!</v>
      </c>
      <c r="G3652" s="32" t="s">
        <v>111</v>
      </c>
      <c r="H3652" s="33">
        <f t="shared" si="879"/>
        <v>14</v>
      </c>
      <c r="I3652" s="33" t="str">
        <f t="shared" si="878"/>
        <v>='C:\Users\jaime.benazar\Quorum Business Solutions\Ecopetrol Prometeo - Documents\Planning Space Implementation\3. Analysis &amp; Design\Design\FC22\DRR Jaime\QUIFA-CAJÚA\Cajua\[CAJUA_CF_SEC_New_27-Feb-2024Rev3.xlsx]D-PSNP'!$BE$14</v>
      </c>
      <c r="J3652" s="37" t="s">
        <v>3778</v>
      </c>
    </row>
    <row r="3653" spans="1:10" x14ac:dyDescent="0.25">
      <c r="A3653" s="32" t="s">
        <v>103</v>
      </c>
      <c r="B3653" s="32">
        <f t="shared" si="880"/>
        <v>2026</v>
      </c>
      <c r="C3653" s="33" t="s">
        <v>49</v>
      </c>
      <c r="D3653" s="34" t="s">
        <v>1999</v>
      </c>
      <c r="E3653" s="35" t="str">
        <f t="shared" si="876"/>
        <v>PSNP'!</v>
      </c>
      <c r="F3653" s="34" t="str">
        <f t="shared" si="877"/>
        <v>C:\Users\jaime.benazar\Quorum Business Solutions\Ecopetrol Prometeo - Documents\Planning Space Implementation\3. Analysis &amp; Design\Design\FC22\DRR Jaime\QUIFA-CAJÚA\Cajua\[CAJUA_CF_SEC_New_27-Feb-2024Rev3.xlsx]D-PSNP'!</v>
      </c>
      <c r="G3653" s="32" t="s">
        <v>111</v>
      </c>
      <c r="H3653" s="33">
        <f t="shared" si="879"/>
        <v>15</v>
      </c>
      <c r="I3653" s="33" t="str">
        <f t="shared" si="878"/>
        <v>='C:\Users\jaime.benazar\Quorum Business Solutions\Ecopetrol Prometeo - Documents\Planning Space Implementation\3. Analysis &amp; Design\Design\FC22\DRR Jaime\QUIFA-CAJÚA\Cajua\[CAJUA_CF_SEC_New_27-Feb-2024Rev3.xlsx]D-PSNP'!$BE$15</v>
      </c>
      <c r="J3653" s="37" t="s">
        <v>3779</v>
      </c>
    </row>
    <row r="3654" spans="1:10" x14ac:dyDescent="0.25">
      <c r="A3654" s="32" t="s">
        <v>103</v>
      </c>
      <c r="B3654" s="32">
        <f t="shared" si="880"/>
        <v>2027</v>
      </c>
      <c r="C3654" s="33" t="s">
        <v>49</v>
      </c>
      <c r="D3654" s="34" t="s">
        <v>1999</v>
      </c>
      <c r="E3654" s="35" t="str">
        <f t="shared" si="876"/>
        <v>PSNP'!</v>
      </c>
      <c r="F3654" s="34" t="str">
        <f t="shared" si="877"/>
        <v>C:\Users\jaime.benazar\Quorum Business Solutions\Ecopetrol Prometeo - Documents\Planning Space Implementation\3. Analysis &amp; Design\Design\FC22\DRR Jaime\QUIFA-CAJÚA\Cajua\[CAJUA_CF_SEC_New_27-Feb-2024Rev3.xlsx]D-PSNP'!</v>
      </c>
      <c r="G3654" s="32" t="s">
        <v>111</v>
      </c>
      <c r="H3654" s="33">
        <f t="shared" si="879"/>
        <v>16</v>
      </c>
      <c r="I3654" s="33" t="str">
        <f t="shared" si="878"/>
        <v>='C:\Users\jaime.benazar\Quorum Business Solutions\Ecopetrol Prometeo - Documents\Planning Space Implementation\3. Analysis &amp; Design\Design\FC22\DRR Jaime\QUIFA-CAJÚA\Cajua\[CAJUA_CF_SEC_New_27-Feb-2024Rev3.xlsx]D-PSNP'!$BE$16</v>
      </c>
      <c r="J3654" s="37" t="s">
        <v>3780</v>
      </c>
    </row>
    <row r="3655" spans="1:10" x14ac:dyDescent="0.25">
      <c r="A3655" s="32" t="s">
        <v>103</v>
      </c>
      <c r="B3655" s="32">
        <f t="shared" si="880"/>
        <v>2028</v>
      </c>
      <c r="C3655" s="33" t="s">
        <v>49</v>
      </c>
      <c r="D3655" s="34" t="s">
        <v>1999</v>
      </c>
      <c r="E3655" s="35" t="str">
        <f t="shared" si="876"/>
        <v>PSNP'!</v>
      </c>
      <c r="F3655" s="34" t="str">
        <f t="shared" si="877"/>
        <v>C:\Users\jaime.benazar\Quorum Business Solutions\Ecopetrol Prometeo - Documents\Planning Space Implementation\3. Analysis &amp; Design\Design\FC22\DRR Jaime\QUIFA-CAJÚA\Cajua\[CAJUA_CF_SEC_New_27-Feb-2024Rev3.xlsx]D-PSNP'!</v>
      </c>
      <c r="G3655" s="32" t="s">
        <v>111</v>
      </c>
      <c r="H3655" s="33">
        <f t="shared" si="879"/>
        <v>17</v>
      </c>
      <c r="I3655" s="33" t="str">
        <f t="shared" si="878"/>
        <v>='C:\Users\jaime.benazar\Quorum Business Solutions\Ecopetrol Prometeo - Documents\Planning Space Implementation\3. Analysis &amp; Design\Design\FC22\DRR Jaime\QUIFA-CAJÚA\Cajua\[CAJUA_CF_SEC_New_27-Feb-2024Rev3.xlsx]D-PSNP'!$BE$17</v>
      </c>
      <c r="J3655" s="37" t="s">
        <v>3781</v>
      </c>
    </row>
    <row r="3656" spans="1:10" x14ac:dyDescent="0.25">
      <c r="A3656" s="32" t="s">
        <v>103</v>
      </c>
      <c r="B3656" s="32">
        <f t="shared" si="880"/>
        <v>2029</v>
      </c>
      <c r="C3656" s="33" t="s">
        <v>49</v>
      </c>
      <c r="D3656" s="34" t="s">
        <v>1999</v>
      </c>
      <c r="E3656" s="35" t="str">
        <f t="shared" si="876"/>
        <v>PSNP'!</v>
      </c>
      <c r="F3656" s="34" t="str">
        <f t="shared" si="877"/>
        <v>C:\Users\jaime.benazar\Quorum Business Solutions\Ecopetrol Prometeo - Documents\Planning Space Implementation\3. Analysis &amp; Design\Design\FC22\DRR Jaime\QUIFA-CAJÚA\Cajua\[CAJUA_CF_SEC_New_27-Feb-2024Rev3.xlsx]D-PSNP'!</v>
      </c>
      <c r="G3656" s="32" t="s">
        <v>111</v>
      </c>
      <c r="H3656" s="33">
        <f t="shared" si="879"/>
        <v>18</v>
      </c>
      <c r="I3656" s="33" t="str">
        <f t="shared" si="878"/>
        <v>='C:\Users\jaime.benazar\Quorum Business Solutions\Ecopetrol Prometeo - Documents\Planning Space Implementation\3. Analysis &amp; Design\Design\FC22\DRR Jaime\QUIFA-CAJÚA\Cajua\[CAJUA_CF_SEC_New_27-Feb-2024Rev3.xlsx]D-PSNP'!$BE$18</v>
      </c>
      <c r="J3656" s="37" t="s">
        <v>3782</v>
      </c>
    </row>
    <row r="3657" spans="1:10" x14ac:dyDescent="0.25">
      <c r="A3657" s="32" t="s">
        <v>103</v>
      </c>
      <c r="B3657" s="32">
        <f t="shared" si="880"/>
        <v>2030</v>
      </c>
      <c r="C3657" s="33" t="s">
        <v>49</v>
      </c>
      <c r="D3657" s="34" t="s">
        <v>1999</v>
      </c>
      <c r="E3657" s="35" t="str">
        <f t="shared" si="876"/>
        <v>PSNP'!</v>
      </c>
      <c r="F3657" s="34" t="str">
        <f t="shared" si="877"/>
        <v>C:\Users\jaime.benazar\Quorum Business Solutions\Ecopetrol Prometeo - Documents\Planning Space Implementation\3. Analysis &amp; Design\Design\FC22\DRR Jaime\QUIFA-CAJÚA\Cajua\[CAJUA_CF_SEC_New_27-Feb-2024Rev3.xlsx]D-PSNP'!</v>
      </c>
      <c r="G3657" s="32" t="s">
        <v>111</v>
      </c>
      <c r="H3657" s="33">
        <f t="shared" si="879"/>
        <v>19</v>
      </c>
      <c r="I3657" s="33" t="str">
        <f t="shared" si="878"/>
        <v>='C:\Users\jaime.benazar\Quorum Business Solutions\Ecopetrol Prometeo - Documents\Planning Space Implementation\3. Analysis &amp; Design\Design\FC22\DRR Jaime\QUIFA-CAJÚA\Cajua\[CAJUA_CF_SEC_New_27-Feb-2024Rev3.xlsx]D-PSNP'!$BE$19</v>
      </c>
      <c r="J3657" s="37" t="s">
        <v>3783</v>
      </c>
    </row>
    <row r="3658" spans="1:10" x14ac:dyDescent="0.25">
      <c r="A3658" s="32" t="s">
        <v>103</v>
      </c>
      <c r="B3658" s="32">
        <f t="shared" si="880"/>
        <v>2031</v>
      </c>
      <c r="C3658" s="33" t="s">
        <v>49</v>
      </c>
      <c r="D3658" s="34" t="s">
        <v>1999</v>
      </c>
      <c r="E3658" s="35" t="str">
        <f t="shared" si="876"/>
        <v>PSNP'!</v>
      </c>
      <c r="F3658" s="34" t="str">
        <f t="shared" si="877"/>
        <v>C:\Users\jaime.benazar\Quorum Business Solutions\Ecopetrol Prometeo - Documents\Planning Space Implementation\3. Analysis &amp; Design\Design\FC22\DRR Jaime\QUIFA-CAJÚA\Cajua\[CAJUA_CF_SEC_New_27-Feb-2024Rev3.xlsx]D-PSNP'!</v>
      </c>
      <c r="G3658" s="32" t="s">
        <v>111</v>
      </c>
      <c r="H3658" s="33">
        <f t="shared" si="879"/>
        <v>20</v>
      </c>
      <c r="I3658" s="33" t="str">
        <f t="shared" si="878"/>
        <v>='C:\Users\jaime.benazar\Quorum Business Solutions\Ecopetrol Prometeo - Documents\Planning Space Implementation\3. Analysis &amp; Design\Design\FC22\DRR Jaime\QUIFA-CAJÚA\Cajua\[CAJUA_CF_SEC_New_27-Feb-2024Rev3.xlsx]D-PSNP'!$BE$20</v>
      </c>
      <c r="J3658" s="37" t="s">
        <v>3784</v>
      </c>
    </row>
    <row r="3659" spans="1:10" x14ac:dyDescent="0.25">
      <c r="A3659" s="32" t="s">
        <v>103</v>
      </c>
      <c r="B3659" s="32">
        <f t="shared" si="880"/>
        <v>2032</v>
      </c>
      <c r="C3659" s="33" t="s">
        <v>49</v>
      </c>
      <c r="D3659" s="34" t="s">
        <v>1999</v>
      </c>
      <c r="E3659" s="35" t="str">
        <f t="shared" si="876"/>
        <v>PSNP'!</v>
      </c>
      <c r="F3659" s="34" t="str">
        <f t="shared" si="877"/>
        <v>C:\Users\jaime.benazar\Quorum Business Solutions\Ecopetrol Prometeo - Documents\Planning Space Implementation\3. Analysis &amp; Design\Design\FC22\DRR Jaime\QUIFA-CAJÚA\Cajua\[CAJUA_CF_SEC_New_27-Feb-2024Rev3.xlsx]D-PSNP'!</v>
      </c>
      <c r="G3659" s="32" t="s">
        <v>111</v>
      </c>
      <c r="H3659" s="33">
        <f t="shared" si="879"/>
        <v>21</v>
      </c>
      <c r="I3659" s="33" t="str">
        <f t="shared" si="878"/>
        <v>='C:\Users\jaime.benazar\Quorum Business Solutions\Ecopetrol Prometeo - Documents\Planning Space Implementation\3. Analysis &amp; Design\Design\FC22\DRR Jaime\QUIFA-CAJÚA\Cajua\[CAJUA_CF_SEC_New_27-Feb-2024Rev3.xlsx]D-PSNP'!$BE$21</v>
      </c>
      <c r="J3659" s="37" t="s">
        <v>3785</v>
      </c>
    </row>
    <row r="3660" spans="1:10" x14ac:dyDescent="0.25">
      <c r="A3660" s="32" t="s">
        <v>103</v>
      </c>
      <c r="B3660" s="32">
        <f t="shared" si="880"/>
        <v>2033</v>
      </c>
      <c r="C3660" s="33" t="s">
        <v>49</v>
      </c>
      <c r="D3660" s="34" t="s">
        <v>1999</v>
      </c>
      <c r="E3660" s="35" t="str">
        <f t="shared" si="876"/>
        <v>PSNP'!</v>
      </c>
      <c r="F3660" s="34" t="str">
        <f t="shared" si="877"/>
        <v>C:\Users\jaime.benazar\Quorum Business Solutions\Ecopetrol Prometeo - Documents\Planning Space Implementation\3. Analysis &amp; Design\Design\FC22\DRR Jaime\QUIFA-CAJÚA\Cajua\[CAJUA_CF_SEC_New_27-Feb-2024Rev3.xlsx]D-PSNP'!</v>
      </c>
      <c r="G3660" s="32" t="s">
        <v>111</v>
      </c>
      <c r="H3660" s="33">
        <f t="shared" si="879"/>
        <v>22</v>
      </c>
      <c r="I3660" s="33" t="str">
        <f t="shared" si="878"/>
        <v>='C:\Users\jaime.benazar\Quorum Business Solutions\Ecopetrol Prometeo - Documents\Planning Space Implementation\3. Analysis &amp; Design\Design\FC22\DRR Jaime\QUIFA-CAJÚA\Cajua\[CAJUA_CF_SEC_New_27-Feb-2024Rev3.xlsx]D-PSNP'!$BE$22</v>
      </c>
      <c r="J3660" s="37" t="s">
        <v>3786</v>
      </c>
    </row>
    <row r="3661" spans="1:10" x14ac:dyDescent="0.25">
      <c r="A3661" s="32" t="s">
        <v>103</v>
      </c>
      <c r="B3661" s="32">
        <f t="shared" si="880"/>
        <v>2034</v>
      </c>
      <c r="C3661" s="33" t="s">
        <v>49</v>
      </c>
      <c r="D3661" s="34" t="s">
        <v>1999</v>
      </c>
      <c r="E3661" s="35" t="str">
        <f t="shared" si="876"/>
        <v>PSNP'!</v>
      </c>
      <c r="F3661" s="34" t="str">
        <f t="shared" si="877"/>
        <v>C:\Users\jaime.benazar\Quorum Business Solutions\Ecopetrol Prometeo - Documents\Planning Space Implementation\3. Analysis &amp; Design\Design\FC22\DRR Jaime\QUIFA-CAJÚA\Cajua\[CAJUA_CF_SEC_New_27-Feb-2024Rev3.xlsx]D-PSNP'!</v>
      </c>
      <c r="G3661" s="32" t="s">
        <v>111</v>
      </c>
      <c r="H3661" s="33">
        <f t="shared" si="879"/>
        <v>23</v>
      </c>
      <c r="I3661" s="33" t="str">
        <f t="shared" si="878"/>
        <v>='C:\Users\jaime.benazar\Quorum Business Solutions\Ecopetrol Prometeo - Documents\Planning Space Implementation\3. Analysis &amp; Design\Design\FC22\DRR Jaime\QUIFA-CAJÚA\Cajua\[CAJUA_CF_SEC_New_27-Feb-2024Rev3.xlsx]D-PSNP'!$BE$23</v>
      </c>
      <c r="J3661" s="37" t="s">
        <v>3787</v>
      </c>
    </row>
    <row r="3662" spans="1:10" x14ac:dyDescent="0.25">
      <c r="A3662" s="32" t="s">
        <v>103</v>
      </c>
      <c r="B3662" s="32">
        <f t="shared" si="880"/>
        <v>2035</v>
      </c>
      <c r="C3662" s="33" t="s">
        <v>49</v>
      </c>
      <c r="D3662" s="34" t="s">
        <v>1999</v>
      </c>
      <c r="E3662" s="35" t="str">
        <f t="shared" si="876"/>
        <v>PSNP'!</v>
      </c>
      <c r="F3662" s="34" t="str">
        <f t="shared" si="877"/>
        <v>C:\Users\jaime.benazar\Quorum Business Solutions\Ecopetrol Prometeo - Documents\Planning Space Implementation\3. Analysis &amp; Design\Design\FC22\DRR Jaime\QUIFA-CAJÚA\Cajua\[CAJUA_CF_SEC_New_27-Feb-2024Rev3.xlsx]D-PSNP'!</v>
      </c>
      <c r="G3662" s="32" t="s">
        <v>111</v>
      </c>
      <c r="H3662" s="33">
        <f t="shared" si="879"/>
        <v>24</v>
      </c>
      <c r="I3662" s="33" t="str">
        <f t="shared" si="878"/>
        <v>='C:\Users\jaime.benazar\Quorum Business Solutions\Ecopetrol Prometeo - Documents\Planning Space Implementation\3. Analysis &amp; Design\Design\FC22\DRR Jaime\QUIFA-CAJÚA\Cajua\[CAJUA_CF_SEC_New_27-Feb-2024Rev3.xlsx]D-PSNP'!$BE$24</v>
      </c>
      <c r="J3662" s="37" t="s">
        <v>3788</v>
      </c>
    </row>
    <row r="3663" spans="1:10" x14ac:dyDescent="0.25">
      <c r="A3663" s="32" t="s">
        <v>103</v>
      </c>
      <c r="B3663" s="32">
        <f t="shared" si="880"/>
        <v>2036</v>
      </c>
      <c r="C3663" s="33" t="s">
        <v>49</v>
      </c>
      <c r="D3663" s="34" t="s">
        <v>1999</v>
      </c>
      <c r="E3663" s="35" t="str">
        <f t="shared" si="876"/>
        <v>PSNP'!</v>
      </c>
      <c r="F3663" s="34" t="str">
        <f t="shared" si="877"/>
        <v>C:\Users\jaime.benazar\Quorum Business Solutions\Ecopetrol Prometeo - Documents\Planning Space Implementation\3. Analysis &amp; Design\Design\FC22\DRR Jaime\QUIFA-CAJÚA\Cajua\[CAJUA_CF_SEC_New_27-Feb-2024Rev3.xlsx]D-PSNP'!</v>
      </c>
      <c r="G3663" s="32" t="s">
        <v>111</v>
      </c>
      <c r="H3663" s="33">
        <f t="shared" si="879"/>
        <v>25</v>
      </c>
      <c r="I3663" s="33" t="str">
        <f t="shared" si="878"/>
        <v>='C:\Users\jaime.benazar\Quorum Business Solutions\Ecopetrol Prometeo - Documents\Planning Space Implementation\3. Analysis &amp; Design\Design\FC22\DRR Jaime\QUIFA-CAJÚA\Cajua\[CAJUA_CF_SEC_New_27-Feb-2024Rev3.xlsx]D-PSNP'!$BE$25</v>
      </c>
      <c r="J3663" s="37" t="s">
        <v>3789</v>
      </c>
    </row>
    <row r="3664" spans="1:10" x14ac:dyDescent="0.25">
      <c r="A3664" s="32" t="s">
        <v>103</v>
      </c>
      <c r="B3664" s="32">
        <f>+B3663+1</f>
        <v>2037</v>
      </c>
      <c r="C3664" s="33" t="s">
        <v>49</v>
      </c>
      <c r="D3664" s="34" t="s">
        <v>1999</v>
      </c>
      <c r="E3664" s="35" t="str">
        <f t="shared" si="876"/>
        <v>PSNP'!</v>
      </c>
      <c r="F3664" s="34" t="str">
        <f t="shared" si="877"/>
        <v>C:\Users\jaime.benazar\Quorum Business Solutions\Ecopetrol Prometeo - Documents\Planning Space Implementation\3. Analysis &amp; Design\Design\FC22\DRR Jaime\QUIFA-CAJÚA\Cajua\[CAJUA_CF_SEC_New_27-Feb-2024Rev3.xlsx]D-PSNP'!</v>
      </c>
      <c r="G3664" s="32" t="s">
        <v>111</v>
      </c>
      <c r="H3664" s="33">
        <f t="shared" si="879"/>
        <v>26</v>
      </c>
      <c r="I3664" s="33" t="str">
        <f t="shared" si="878"/>
        <v>='C:\Users\jaime.benazar\Quorum Business Solutions\Ecopetrol Prometeo - Documents\Planning Space Implementation\3. Analysis &amp; Design\Design\FC22\DRR Jaime\QUIFA-CAJÚA\Cajua\[CAJUA_CF_SEC_New_27-Feb-2024Rev3.xlsx]D-PSNP'!$BE$26</v>
      </c>
      <c r="J3664" s="37" t="s">
        <v>3790</v>
      </c>
    </row>
    <row r="3665" spans="1:10" x14ac:dyDescent="0.25">
      <c r="A3665" s="32" t="s">
        <v>103</v>
      </c>
      <c r="B3665" s="32">
        <f t="shared" ref="B3665:B3667" si="881">+B3664+1</f>
        <v>2038</v>
      </c>
      <c r="C3665" s="33" t="s">
        <v>49</v>
      </c>
      <c r="D3665" s="34" t="s">
        <v>1999</v>
      </c>
      <c r="E3665" s="35" t="str">
        <f t="shared" si="876"/>
        <v>PSNP'!</v>
      </c>
      <c r="F3665" s="34" t="str">
        <f t="shared" si="877"/>
        <v>C:\Users\jaime.benazar\Quorum Business Solutions\Ecopetrol Prometeo - Documents\Planning Space Implementation\3. Analysis &amp; Design\Design\FC22\DRR Jaime\QUIFA-CAJÚA\Cajua\[CAJUA_CF_SEC_New_27-Feb-2024Rev3.xlsx]D-PSNP'!</v>
      </c>
      <c r="G3665" s="32" t="s">
        <v>111</v>
      </c>
      <c r="H3665" s="33">
        <f t="shared" si="879"/>
        <v>27</v>
      </c>
      <c r="I3665" s="33" t="str">
        <f t="shared" si="878"/>
        <v>='C:\Users\jaime.benazar\Quorum Business Solutions\Ecopetrol Prometeo - Documents\Planning Space Implementation\3. Analysis &amp; Design\Design\FC22\DRR Jaime\QUIFA-CAJÚA\Cajua\[CAJUA_CF_SEC_New_27-Feb-2024Rev3.xlsx]D-PSNP'!$BE$27</v>
      </c>
      <c r="J3665" s="37" t="s">
        <v>3791</v>
      </c>
    </row>
    <row r="3666" spans="1:10" x14ac:dyDescent="0.25">
      <c r="A3666" s="32" t="s">
        <v>103</v>
      </c>
      <c r="B3666" s="32">
        <f t="shared" si="881"/>
        <v>2039</v>
      </c>
      <c r="C3666" s="33" t="s">
        <v>49</v>
      </c>
      <c r="D3666" s="34" t="s">
        <v>1999</v>
      </c>
      <c r="E3666" s="35" t="str">
        <f t="shared" si="876"/>
        <v>PSNP'!</v>
      </c>
      <c r="F3666" s="34" t="str">
        <f t="shared" si="877"/>
        <v>C:\Users\jaime.benazar\Quorum Business Solutions\Ecopetrol Prometeo - Documents\Planning Space Implementation\3. Analysis &amp; Design\Design\FC22\DRR Jaime\QUIFA-CAJÚA\Cajua\[CAJUA_CF_SEC_New_27-Feb-2024Rev3.xlsx]D-PSNP'!</v>
      </c>
      <c r="G3666" s="32" t="s">
        <v>111</v>
      </c>
      <c r="H3666" s="33">
        <f t="shared" si="879"/>
        <v>28</v>
      </c>
      <c r="I3666" s="33" t="str">
        <f t="shared" si="878"/>
        <v>='C:\Users\jaime.benazar\Quorum Business Solutions\Ecopetrol Prometeo - Documents\Planning Space Implementation\3. Analysis &amp; Design\Design\FC22\DRR Jaime\QUIFA-CAJÚA\Cajua\[CAJUA_CF_SEC_New_27-Feb-2024Rev3.xlsx]D-PSNP'!$BE$28</v>
      </c>
      <c r="J3666" s="37" t="s">
        <v>3792</v>
      </c>
    </row>
    <row r="3667" spans="1:10" x14ac:dyDescent="0.25">
      <c r="A3667" s="32" t="s">
        <v>103</v>
      </c>
      <c r="B3667" s="32">
        <f t="shared" si="881"/>
        <v>2040</v>
      </c>
      <c r="C3667" s="33" t="s">
        <v>49</v>
      </c>
      <c r="D3667" s="34" t="s">
        <v>1999</v>
      </c>
      <c r="E3667" s="35" t="str">
        <f t="shared" si="876"/>
        <v>PSNP'!</v>
      </c>
      <c r="F3667" s="34" t="str">
        <f t="shared" si="877"/>
        <v>C:\Users\jaime.benazar\Quorum Business Solutions\Ecopetrol Prometeo - Documents\Planning Space Implementation\3. Analysis &amp; Design\Design\FC22\DRR Jaime\QUIFA-CAJÚA\Cajua\[CAJUA_CF_SEC_New_27-Feb-2024Rev3.xlsx]D-PSNP'!</v>
      </c>
      <c r="G3667" s="32" t="s">
        <v>111</v>
      </c>
      <c r="H3667" s="33">
        <f t="shared" si="879"/>
        <v>29</v>
      </c>
      <c r="I3667" s="33" t="str">
        <f t="shared" si="878"/>
        <v>='C:\Users\jaime.benazar\Quorum Business Solutions\Ecopetrol Prometeo - Documents\Planning Space Implementation\3. Analysis &amp; Design\Design\FC22\DRR Jaime\QUIFA-CAJÚA\Cajua\[CAJUA_CF_SEC_New_27-Feb-2024Rev3.xlsx]D-PSNP'!$BE$29</v>
      </c>
      <c r="J3667" s="37" t="s">
        <v>3793</v>
      </c>
    </row>
    <row r="3668" spans="1:10" x14ac:dyDescent="0.25">
      <c r="A3668" s="32" t="s">
        <v>103</v>
      </c>
      <c r="B3668" s="32">
        <f>+B3667+1</f>
        <v>2041</v>
      </c>
      <c r="C3668" s="33" t="s">
        <v>49</v>
      </c>
      <c r="D3668" s="34" t="s">
        <v>1999</v>
      </c>
      <c r="E3668" s="35" t="str">
        <f t="shared" si="876"/>
        <v>PSNP'!</v>
      </c>
      <c r="F3668" s="34" t="str">
        <f t="shared" si="877"/>
        <v>C:\Users\jaime.benazar\Quorum Business Solutions\Ecopetrol Prometeo - Documents\Planning Space Implementation\3. Analysis &amp; Design\Design\FC22\DRR Jaime\QUIFA-CAJÚA\Cajua\[CAJUA_CF_SEC_New_27-Feb-2024Rev3.xlsx]D-PSNP'!</v>
      </c>
      <c r="G3668" s="32" t="s">
        <v>111</v>
      </c>
      <c r="H3668" s="33">
        <f t="shared" si="879"/>
        <v>30</v>
      </c>
      <c r="I3668" s="33" t="str">
        <f t="shared" si="878"/>
        <v>='C:\Users\jaime.benazar\Quorum Business Solutions\Ecopetrol Prometeo - Documents\Planning Space Implementation\3. Analysis &amp; Design\Design\FC22\DRR Jaime\QUIFA-CAJÚA\Cajua\[CAJUA_CF_SEC_New_27-Feb-2024Rev3.xlsx]D-PSNP'!$BE$30</v>
      </c>
      <c r="J3668" s="37" t="s">
        <v>3794</v>
      </c>
    </row>
    <row r="3669" spans="1:10" x14ac:dyDescent="0.25">
      <c r="A3669" s="32" t="s">
        <v>103</v>
      </c>
      <c r="B3669" s="32">
        <f t="shared" ref="B3669:B3670" si="882">+B3668+1</f>
        <v>2042</v>
      </c>
      <c r="C3669" s="33" t="s">
        <v>49</v>
      </c>
      <c r="D3669" s="34" t="s">
        <v>1999</v>
      </c>
      <c r="E3669" s="35" t="str">
        <f t="shared" si="876"/>
        <v>PSNP'!</v>
      </c>
      <c r="F3669" s="34" t="str">
        <f t="shared" si="877"/>
        <v>C:\Users\jaime.benazar\Quorum Business Solutions\Ecopetrol Prometeo - Documents\Planning Space Implementation\3. Analysis &amp; Design\Design\FC22\DRR Jaime\QUIFA-CAJÚA\Cajua\[CAJUA_CF_SEC_New_27-Feb-2024Rev3.xlsx]D-PSNP'!</v>
      </c>
      <c r="G3669" s="32" t="s">
        <v>111</v>
      </c>
      <c r="H3669" s="33">
        <f t="shared" si="879"/>
        <v>31</v>
      </c>
      <c r="I3669" s="33" t="str">
        <f t="shared" si="878"/>
        <v>='C:\Users\jaime.benazar\Quorum Business Solutions\Ecopetrol Prometeo - Documents\Planning Space Implementation\3. Analysis &amp; Design\Design\FC22\DRR Jaime\QUIFA-CAJÚA\Cajua\[CAJUA_CF_SEC_New_27-Feb-2024Rev3.xlsx]D-PSNP'!$BE$31</v>
      </c>
      <c r="J3669" s="37" t="s">
        <v>3795</v>
      </c>
    </row>
    <row r="3670" spans="1:10" x14ac:dyDescent="0.25">
      <c r="A3670" s="32" t="s">
        <v>103</v>
      </c>
      <c r="B3670" s="32">
        <f t="shared" si="882"/>
        <v>2043</v>
      </c>
      <c r="C3670" s="33" t="s">
        <v>49</v>
      </c>
      <c r="D3670" s="34" t="s">
        <v>1999</v>
      </c>
      <c r="E3670" s="35" t="str">
        <f t="shared" si="876"/>
        <v>PSNP'!</v>
      </c>
      <c r="F3670" s="34" t="str">
        <f t="shared" si="877"/>
        <v>C:\Users\jaime.benazar\Quorum Business Solutions\Ecopetrol Prometeo - Documents\Planning Space Implementation\3. Analysis &amp; Design\Design\FC22\DRR Jaime\QUIFA-CAJÚA\Cajua\[CAJUA_CF_SEC_New_27-Feb-2024Rev3.xlsx]D-PSNP'!</v>
      </c>
      <c r="G3670" s="32" t="s">
        <v>111</v>
      </c>
      <c r="H3670" s="33">
        <f t="shared" si="879"/>
        <v>32</v>
      </c>
      <c r="I3670" s="33" t="str">
        <f t="shared" si="878"/>
        <v>='C:\Users\jaime.benazar\Quorum Business Solutions\Ecopetrol Prometeo - Documents\Planning Space Implementation\3. Analysis &amp; Design\Design\FC22\DRR Jaime\QUIFA-CAJÚA\Cajua\[CAJUA_CF_SEC_New_27-Feb-2024Rev3.xlsx]D-PSNP'!$BE$32</v>
      </c>
      <c r="J3670" s="37" t="s">
        <v>3796</v>
      </c>
    </row>
    <row r="3671" spans="1:10" x14ac:dyDescent="0.25">
      <c r="A3671" s="32" t="s">
        <v>103</v>
      </c>
      <c r="B3671" s="32">
        <f>+B3670+1</f>
        <v>2044</v>
      </c>
      <c r="C3671" s="33" t="s">
        <v>49</v>
      </c>
      <c r="D3671" s="34" t="s">
        <v>1999</v>
      </c>
      <c r="E3671" s="35" t="str">
        <f t="shared" ref="E3671:E3686" si="883">_xlfn.CONCAT(A3671,"'!")</f>
        <v>PSNP'!</v>
      </c>
      <c r="F3671" s="34" t="str">
        <f t="shared" ref="F3671:F3686" si="884">_xlfn.CONCAT(D3671:E3671)</f>
        <v>C:\Users\jaime.benazar\Quorum Business Solutions\Ecopetrol Prometeo - Documents\Planning Space Implementation\3. Analysis &amp; Design\Design\FC22\DRR Jaime\QUIFA-CAJÚA\Cajua\[CAJUA_CF_SEC_New_27-Feb-2024Rev3.xlsx]D-PSNP'!</v>
      </c>
      <c r="G3671" s="32" t="s">
        <v>111</v>
      </c>
      <c r="H3671" s="33">
        <f t="shared" si="879"/>
        <v>33</v>
      </c>
      <c r="I3671" s="33" t="str">
        <f t="shared" si="878"/>
        <v>='C:\Users\jaime.benazar\Quorum Business Solutions\Ecopetrol Prometeo - Documents\Planning Space Implementation\3. Analysis &amp; Design\Design\FC22\DRR Jaime\QUIFA-CAJÚA\Cajua\[CAJUA_CF_SEC_New_27-Feb-2024Rev3.xlsx]D-PSNP'!$BE$33</v>
      </c>
      <c r="J3671" s="37" t="s">
        <v>3797</v>
      </c>
    </row>
    <row r="3672" spans="1:10" x14ac:dyDescent="0.25">
      <c r="A3672" s="32" t="s">
        <v>103</v>
      </c>
      <c r="B3672" s="32">
        <f t="shared" ref="B3672:B3686" si="885">+B3671+1</f>
        <v>2045</v>
      </c>
      <c r="C3672" s="33" t="s">
        <v>49</v>
      </c>
      <c r="D3672" s="34" t="s">
        <v>1999</v>
      </c>
      <c r="E3672" s="35" t="str">
        <f t="shared" si="883"/>
        <v>PSNP'!</v>
      </c>
      <c r="F3672" s="34" t="str">
        <f t="shared" si="884"/>
        <v>C:\Users\jaime.benazar\Quorum Business Solutions\Ecopetrol Prometeo - Documents\Planning Space Implementation\3. Analysis &amp; Design\Design\FC22\DRR Jaime\QUIFA-CAJÚA\Cajua\[CAJUA_CF_SEC_New_27-Feb-2024Rev3.xlsx]D-PSNP'!</v>
      </c>
      <c r="G3672" s="32" t="s">
        <v>111</v>
      </c>
      <c r="H3672" s="33">
        <f t="shared" si="879"/>
        <v>34</v>
      </c>
      <c r="I3672" s="33" t="str">
        <f t="shared" si="878"/>
        <v>='C:\Users\jaime.benazar\Quorum Business Solutions\Ecopetrol Prometeo - Documents\Planning Space Implementation\3. Analysis &amp; Design\Design\FC22\DRR Jaime\QUIFA-CAJÚA\Cajua\[CAJUA_CF_SEC_New_27-Feb-2024Rev3.xlsx]D-PSNP'!$BE$34</v>
      </c>
      <c r="J3672" s="37" t="s">
        <v>3798</v>
      </c>
    </row>
    <row r="3673" spans="1:10" x14ac:dyDescent="0.25">
      <c r="A3673" s="32" t="s">
        <v>103</v>
      </c>
      <c r="B3673" s="32">
        <f t="shared" si="885"/>
        <v>2046</v>
      </c>
      <c r="C3673" s="33" t="s">
        <v>49</v>
      </c>
      <c r="D3673" s="34" t="s">
        <v>1999</v>
      </c>
      <c r="E3673" s="35" t="str">
        <f t="shared" si="883"/>
        <v>PSNP'!</v>
      </c>
      <c r="F3673" s="34" t="str">
        <f t="shared" si="884"/>
        <v>C:\Users\jaime.benazar\Quorum Business Solutions\Ecopetrol Prometeo - Documents\Planning Space Implementation\3. Analysis &amp; Design\Design\FC22\DRR Jaime\QUIFA-CAJÚA\Cajua\[CAJUA_CF_SEC_New_27-Feb-2024Rev3.xlsx]D-PSNP'!</v>
      </c>
      <c r="G3673" s="32" t="s">
        <v>111</v>
      </c>
      <c r="H3673" s="33">
        <f t="shared" si="879"/>
        <v>35</v>
      </c>
      <c r="I3673" s="33" t="str">
        <f t="shared" si="878"/>
        <v>='C:\Users\jaime.benazar\Quorum Business Solutions\Ecopetrol Prometeo - Documents\Planning Space Implementation\3. Analysis &amp; Design\Design\FC22\DRR Jaime\QUIFA-CAJÚA\Cajua\[CAJUA_CF_SEC_New_27-Feb-2024Rev3.xlsx]D-PSNP'!$BE$35</v>
      </c>
      <c r="J3673" s="37" t="s">
        <v>3799</v>
      </c>
    </row>
    <row r="3674" spans="1:10" x14ac:dyDescent="0.25">
      <c r="A3674" s="32" t="s">
        <v>103</v>
      </c>
      <c r="B3674" s="32">
        <f t="shared" si="885"/>
        <v>2047</v>
      </c>
      <c r="C3674" s="33" t="s">
        <v>49</v>
      </c>
      <c r="D3674" s="34" t="s">
        <v>1999</v>
      </c>
      <c r="E3674" s="35" t="str">
        <f t="shared" si="883"/>
        <v>PSNP'!</v>
      </c>
      <c r="F3674" s="34" t="str">
        <f t="shared" si="884"/>
        <v>C:\Users\jaime.benazar\Quorum Business Solutions\Ecopetrol Prometeo - Documents\Planning Space Implementation\3. Analysis &amp; Design\Design\FC22\DRR Jaime\QUIFA-CAJÚA\Cajua\[CAJUA_CF_SEC_New_27-Feb-2024Rev3.xlsx]D-PSNP'!</v>
      </c>
      <c r="G3674" s="32" t="s">
        <v>111</v>
      </c>
      <c r="H3674" s="33">
        <f t="shared" si="879"/>
        <v>36</v>
      </c>
      <c r="I3674" s="33" t="str">
        <f t="shared" si="878"/>
        <v>='C:\Users\jaime.benazar\Quorum Business Solutions\Ecopetrol Prometeo - Documents\Planning Space Implementation\3. Analysis &amp; Design\Design\FC22\DRR Jaime\QUIFA-CAJÚA\Cajua\[CAJUA_CF_SEC_New_27-Feb-2024Rev3.xlsx]D-PSNP'!$BE$36</v>
      </c>
      <c r="J3674" s="37" t="s">
        <v>3800</v>
      </c>
    </row>
    <row r="3675" spans="1:10" x14ac:dyDescent="0.25">
      <c r="A3675" s="32" t="s">
        <v>103</v>
      </c>
      <c r="B3675" s="32">
        <f t="shared" si="885"/>
        <v>2048</v>
      </c>
      <c r="C3675" s="33" t="s">
        <v>49</v>
      </c>
      <c r="D3675" s="34" t="s">
        <v>1999</v>
      </c>
      <c r="E3675" s="35" t="str">
        <f t="shared" si="883"/>
        <v>PSNP'!</v>
      </c>
      <c r="F3675" s="34" t="str">
        <f t="shared" si="884"/>
        <v>C:\Users\jaime.benazar\Quorum Business Solutions\Ecopetrol Prometeo - Documents\Planning Space Implementation\3. Analysis &amp; Design\Design\FC22\DRR Jaime\QUIFA-CAJÚA\Cajua\[CAJUA_CF_SEC_New_27-Feb-2024Rev3.xlsx]D-PSNP'!</v>
      </c>
      <c r="G3675" s="32" t="s">
        <v>111</v>
      </c>
      <c r="H3675" s="33">
        <f t="shared" si="879"/>
        <v>37</v>
      </c>
      <c r="I3675" s="33" t="str">
        <f t="shared" si="878"/>
        <v>='C:\Users\jaime.benazar\Quorum Business Solutions\Ecopetrol Prometeo - Documents\Planning Space Implementation\3. Analysis &amp; Design\Design\FC22\DRR Jaime\QUIFA-CAJÚA\Cajua\[CAJUA_CF_SEC_New_27-Feb-2024Rev3.xlsx]D-PSNP'!$BE$37</v>
      </c>
      <c r="J3675" s="37" t="s">
        <v>3801</v>
      </c>
    </row>
    <row r="3676" spans="1:10" x14ac:dyDescent="0.25">
      <c r="A3676" s="32" t="s">
        <v>103</v>
      </c>
      <c r="B3676" s="32">
        <f t="shared" si="885"/>
        <v>2049</v>
      </c>
      <c r="C3676" s="33" t="s">
        <v>49</v>
      </c>
      <c r="D3676" s="34" t="s">
        <v>1999</v>
      </c>
      <c r="E3676" s="35" t="str">
        <f t="shared" si="883"/>
        <v>PSNP'!</v>
      </c>
      <c r="F3676" s="34" t="str">
        <f t="shared" si="884"/>
        <v>C:\Users\jaime.benazar\Quorum Business Solutions\Ecopetrol Prometeo - Documents\Planning Space Implementation\3. Analysis &amp; Design\Design\FC22\DRR Jaime\QUIFA-CAJÚA\Cajua\[CAJUA_CF_SEC_New_27-Feb-2024Rev3.xlsx]D-PSNP'!</v>
      </c>
      <c r="G3676" s="32" t="s">
        <v>111</v>
      </c>
      <c r="H3676" s="33">
        <f t="shared" si="879"/>
        <v>38</v>
      </c>
      <c r="I3676" s="33" t="str">
        <f t="shared" si="878"/>
        <v>='C:\Users\jaime.benazar\Quorum Business Solutions\Ecopetrol Prometeo - Documents\Planning Space Implementation\3. Analysis &amp; Design\Design\FC22\DRR Jaime\QUIFA-CAJÚA\Cajua\[CAJUA_CF_SEC_New_27-Feb-2024Rev3.xlsx]D-PSNP'!$BE$38</v>
      </c>
      <c r="J3676" s="37" t="s">
        <v>3802</v>
      </c>
    </row>
    <row r="3677" spans="1:10" x14ac:dyDescent="0.25">
      <c r="A3677" s="32" t="s">
        <v>103</v>
      </c>
      <c r="B3677" s="32">
        <f t="shared" si="885"/>
        <v>2050</v>
      </c>
      <c r="C3677" s="33" t="s">
        <v>49</v>
      </c>
      <c r="D3677" s="34" t="s">
        <v>1999</v>
      </c>
      <c r="E3677" s="35" t="str">
        <f t="shared" si="883"/>
        <v>PSNP'!</v>
      </c>
      <c r="F3677" s="34" t="str">
        <f t="shared" si="884"/>
        <v>C:\Users\jaime.benazar\Quorum Business Solutions\Ecopetrol Prometeo - Documents\Planning Space Implementation\3. Analysis &amp; Design\Design\FC22\DRR Jaime\QUIFA-CAJÚA\Cajua\[CAJUA_CF_SEC_New_27-Feb-2024Rev3.xlsx]D-PSNP'!</v>
      </c>
      <c r="G3677" s="32" t="s">
        <v>111</v>
      </c>
      <c r="H3677" s="33">
        <f t="shared" si="879"/>
        <v>39</v>
      </c>
      <c r="I3677" s="33" t="str">
        <f t="shared" si="878"/>
        <v>='C:\Users\jaime.benazar\Quorum Business Solutions\Ecopetrol Prometeo - Documents\Planning Space Implementation\3. Analysis &amp; Design\Design\FC22\DRR Jaime\QUIFA-CAJÚA\Cajua\[CAJUA_CF_SEC_New_27-Feb-2024Rev3.xlsx]D-PSNP'!$BE$39</v>
      </c>
      <c r="J3677" s="37" t="s">
        <v>3803</v>
      </c>
    </row>
    <row r="3678" spans="1:10" x14ac:dyDescent="0.25">
      <c r="A3678" s="32" t="s">
        <v>103</v>
      </c>
      <c r="B3678" s="32">
        <f t="shared" si="885"/>
        <v>2051</v>
      </c>
      <c r="C3678" s="33" t="s">
        <v>49</v>
      </c>
      <c r="D3678" s="34" t="s">
        <v>1999</v>
      </c>
      <c r="E3678" s="35" t="str">
        <f t="shared" si="883"/>
        <v>PSNP'!</v>
      </c>
      <c r="F3678" s="34" t="str">
        <f t="shared" si="884"/>
        <v>C:\Users\jaime.benazar\Quorum Business Solutions\Ecopetrol Prometeo - Documents\Planning Space Implementation\3. Analysis &amp; Design\Design\FC22\DRR Jaime\QUIFA-CAJÚA\Cajua\[CAJUA_CF_SEC_New_27-Feb-2024Rev3.xlsx]D-PSNP'!</v>
      </c>
      <c r="G3678" s="32" t="s">
        <v>111</v>
      </c>
      <c r="H3678" s="33">
        <f t="shared" si="879"/>
        <v>40</v>
      </c>
      <c r="I3678" s="33" t="str">
        <f t="shared" si="878"/>
        <v>='C:\Users\jaime.benazar\Quorum Business Solutions\Ecopetrol Prometeo - Documents\Planning Space Implementation\3. Analysis &amp; Design\Design\FC22\DRR Jaime\QUIFA-CAJÚA\Cajua\[CAJUA_CF_SEC_New_27-Feb-2024Rev3.xlsx]D-PSNP'!$BE$40</v>
      </c>
      <c r="J3678" s="37" t="s">
        <v>3804</v>
      </c>
    </row>
    <row r="3679" spans="1:10" x14ac:dyDescent="0.25">
      <c r="A3679" s="32" t="s">
        <v>103</v>
      </c>
      <c r="B3679" s="32">
        <f t="shared" si="885"/>
        <v>2052</v>
      </c>
      <c r="C3679" s="33" t="s">
        <v>49</v>
      </c>
      <c r="D3679" s="34" t="s">
        <v>1999</v>
      </c>
      <c r="E3679" s="35" t="str">
        <f t="shared" si="883"/>
        <v>PSNP'!</v>
      </c>
      <c r="F3679" s="34" t="str">
        <f t="shared" si="884"/>
        <v>C:\Users\jaime.benazar\Quorum Business Solutions\Ecopetrol Prometeo - Documents\Planning Space Implementation\3. Analysis &amp; Design\Design\FC22\DRR Jaime\QUIFA-CAJÚA\Cajua\[CAJUA_CF_SEC_New_27-Feb-2024Rev3.xlsx]D-PSNP'!</v>
      </c>
      <c r="G3679" s="32" t="s">
        <v>111</v>
      </c>
      <c r="H3679" s="33">
        <f t="shared" si="879"/>
        <v>41</v>
      </c>
      <c r="I3679" s="33" t="str">
        <f t="shared" si="878"/>
        <v>='C:\Users\jaime.benazar\Quorum Business Solutions\Ecopetrol Prometeo - Documents\Planning Space Implementation\3. Analysis &amp; Design\Design\FC22\DRR Jaime\QUIFA-CAJÚA\Cajua\[CAJUA_CF_SEC_New_27-Feb-2024Rev3.xlsx]D-PSNP'!$BE$41</v>
      </c>
      <c r="J3679" s="37" t="s">
        <v>3805</v>
      </c>
    </row>
    <row r="3680" spans="1:10" x14ac:dyDescent="0.25">
      <c r="A3680" s="32" t="s">
        <v>103</v>
      </c>
      <c r="B3680" s="32">
        <f t="shared" si="885"/>
        <v>2053</v>
      </c>
      <c r="C3680" s="33" t="s">
        <v>49</v>
      </c>
      <c r="D3680" s="34" t="s">
        <v>1999</v>
      </c>
      <c r="E3680" s="35" t="str">
        <f t="shared" si="883"/>
        <v>PSNP'!</v>
      </c>
      <c r="F3680" s="34" t="str">
        <f t="shared" si="884"/>
        <v>C:\Users\jaime.benazar\Quorum Business Solutions\Ecopetrol Prometeo - Documents\Planning Space Implementation\3. Analysis &amp; Design\Design\FC22\DRR Jaime\QUIFA-CAJÚA\Cajua\[CAJUA_CF_SEC_New_27-Feb-2024Rev3.xlsx]D-PSNP'!</v>
      </c>
      <c r="G3680" s="32" t="s">
        <v>111</v>
      </c>
      <c r="H3680" s="33">
        <f t="shared" si="879"/>
        <v>42</v>
      </c>
      <c r="I3680" s="33" t="str">
        <f t="shared" si="878"/>
        <v>='C:\Users\jaime.benazar\Quorum Business Solutions\Ecopetrol Prometeo - Documents\Planning Space Implementation\3. Analysis &amp; Design\Design\FC22\DRR Jaime\QUIFA-CAJÚA\Cajua\[CAJUA_CF_SEC_New_27-Feb-2024Rev3.xlsx]D-PSNP'!$BE$42</v>
      </c>
      <c r="J3680" s="37" t="s">
        <v>3806</v>
      </c>
    </row>
    <row r="3681" spans="1:10" x14ac:dyDescent="0.25">
      <c r="A3681" s="32" t="s">
        <v>103</v>
      </c>
      <c r="B3681" s="32">
        <f t="shared" si="885"/>
        <v>2054</v>
      </c>
      <c r="C3681" s="33" t="s">
        <v>49</v>
      </c>
      <c r="D3681" s="34" t="s">
        <v>1999</v>
      </c>
      <c r="E3681" s="35" t="str">
        <f t="shared" si="883"/>
        <v>PSNP'!</v>
      </c>
      <c r="F3681" s="34" t="str">
        <f t="shared" si="884"/>
        <v>C:\Users\jaime.benazar\Quorum Business Solutions\Ecopetrol Prometeo - Documents\Planning Space Implementation\3. Analysis &amp; Design\Design\FC22\DRR Jaime\QUIFA-CAJÚA\Cajua\[CAJUA_CF_SEC_New_27-Feb-2024Rev3.xlsx]D-PSNP'!</v>
      </c>
      <c r="G3681" s="32" t="s">
        <v>111</v>
      </c>
      <c r="H3681" s="33">
        <f t="shared" si="879"/>
        <v>43</v>
      </c>
      <c r="I3681" s="33" t="str">
        <f t="shared" si="878"/>
        <v>='C:\Users\jaime.benazar\Quorum Business Solutions\Ecopetrol Prometeo - Documents\Planning Space Implementation\3. Analysis &amp; Design\Design\FC22\DRR Jaime\QUIFA-CAJÚA\Cajua\[CAJUA_CF_SEC_New_27-Feb-2024Rev3.xlsx]D-PSNP'!$BE$43</v>
      </c>
      <c r="J3681" s="37" t="s">
        <v>3807</v>
      </c>
    </row>
    <row r="3682" spans="1:10" x14ac:dyDescent="0.25">
      <c r="A3682" s="32" t="s">
        <v>103</v>
      </c>
      <c r="B3682" s="32">
        <f t="shared" si="885"/>
        <v>2055</v>
      </c>
      <c r="C3682" s="33" t="s">
        <v>49</v>
      </c>
      <c r="D3682" s="34" t="s">
        <v>1999</v>
      </c>
      <c r="E3682" s="35" t="str">
        <f t="shared" si="883"/>
        <v>PSNP'!</v>
      </c>
      <c r="F3682" s="34" t="str">
        <f t="shared" si="884"/>
        <v>C:\Users\jaime.benazar\Quorum Business Solutions\Ecopetrol Prometeo - Documents\Planning Space Implementation\3. Analysis &amp; Design\Design\FC22\DRR Jaime\QUIFA-CAJÚA\Cajua\[CAJUA_CF_SEC_New_27-Feb-2024Rev3.xlsx]D-PSNP'!</v>
      </c>
      <c r="G3682" s="32" t="s">
        <v>111</v>
      </c>
      <c r="H3682" s="33">
        <f t="shared" si="879"/>
        <v>44</v>
      </c>
      <c r="I3682" s="33" t="str">
        <f t="shared" si="878"/>
        <v>='C:\Users\jaime.benazar\Quorum Business Solutions\Ecopetrol Prometeo - Documents\Planning Space Implementation\3. Analysis &amp; Design\Design\FC22\DRR Jaime\QUIFA-CAJÚA\Cajua\[CAJUA_CF_SEC_New_27-Feb-2024Rev3.xlsx]D-PSNP'!$BE$44</v>
      </c>
      <c r="J3682" s="37" t="s">
        <v>3808</v>
      </c>
    </row>
    <row r="3683" spans="1:10" x14ac:dyDescent="0.25">
      <c r="A3683" s="32" t="s">
        <v>103</v>
      </c>
      <c r="B3683" s="32">
        <f t="shared" si="885"/>
        <v>2056</v>
      </c>
      <c r="C3683" s="33" t="s">
        <v>49</v>
      </c>
      <c r="D3683" s="34" t="s">
        <v>1999</v>
      </c>
      <c r="E3683" s="35" t="str">
        <f t="shared" si="883"/>
        <v>PSNP'!</v>
      </c>
      <c r="F3683" s="34" t="str">
        <f t="shared" si="884"/>
        <v>C:\Users\jaime.benazar\Quorum Business Solutions\Ecopetrol Prometeo - Documents\Planning Space Implementation\3. Analysis &amp; Design\Design\FC22\DRR Jaime\QUIFA-CAJÚA\Cajua\[CAJUA_CF_SEC_New_27-Feb-2024Rev3.xlsx]D-PSNP'!</v>
      </c>
      <c r="G3683" s="32" t="s">
        <v>111</v>
      </c>
      <c r="H3683" s="33">
        <f t="shared" si="879"/>
        <v>45</v>
      </c>
      <c r="I3683" s="33" t="str">
        <f t="shared" si="878"/>
        <v>='C:\Users\jaime.benazar\Quorum Business Solutions\Ecopetrol Prometeo - Documents\Planning Space Implementation\3. Analysis &amp; Design\Design\FC22\DRR Jaime\QUIFA-CAJÚA\Cajua\[CAJUA_CF_SEC_New_27-Feb-2024Rev3.xlsx]D-PSNP'!$BE$45</v>
      </c>
      <c r="J3683" s="37" t="s">
        <v>3809</v>
      </c>
    </row>
    <row r="3684" spans="1:10" x14ac:dyDescent="0.25">
      <c r="A3684" s="32" t="s">
        <v>103</v>
      </c>
      <c r="B3684" s="32">
        <f t="shared" si="885"/>
        <v>2057</v>
      </c>
      <c r="C3684" s="33" t="s">
        <v>49</v>
      </c>
      <c r="D3684" s="34" t="s">
        <v>1999</v>
      </c>
      <c r="E3684" s="35" t="str">
        <f t="shared" si="883"/>
        <v>PSNP'!</v>
      </c>
      <c r="F3684" s="34" t="str">
        <f t="shared" si="884"/>
        <v>C:\Users\jaime.benazar\Quorum Business Solutions\Ecopetrol Prometeo - Documents\Planning Space Implementation\3. Analysis &amp; Design\Design\FC22\DRR Jaime\QUIFA-CAJÚA\Cajua\[CAJUA_CF_SEC_New_27-Feb-2024Rev3.xlsx]D-PSNP'!</v>
      </c>
      <c r="G3684" s="32" t="s">
        <v>111</v>
      </c>
      <c r="H3684" s="33">
        <f t="shared" si="879"/>
        <v>46</v>
      </c>
      <c r="I3684" s="33" t="str">
        <f t="shared" si="878"/>
        <v>='C:\Users\jaime.benazar\Quorum Business Solutions\Ecopetrol Prometeo - Documents\Planning Space Implementation\3. Analysis &amp; Design\Design\FC22\DRR Jaime\QUIFA-CAJÚA\Cajua\[CAJUA_CF_SEC_New_27-Feb-2024Rev3.xlsx]D-PSNP'!$BE$46</v>
      </c>
      <c r="J3684" s="37" t="s">
        <v>3810</v>
      </c>
    </row>
    <row r="3685" spans="1:10" x14ac:dyDescent="0.25">
      <c r="A3685" s="32" t="s">
        <v>103</v>
      </c>
      <c r="B3685" s="32">
        <f t="shared" si="885"/>
        <v>2058</v>
      </c>
      <c r="C3685" s="33" t="s">
        <v>49</v>
      </c>
      <c r="D3685" s="34" t="s">
        <v>1999</v>
      </c>
      <c r="E3685" s="35" t="str">
        <f t="shared" si="883"/>
        <v>PSNP'!</v>
      </c>
      <c r="F3685" s="34" t="str">
        <f t="shared" si="884"/>
        <v>C:\Users\jaime.benazar\Quorum Business Solutions\Ecopetrol Prometeo - Documents\Planning Space Implementation\3. Analysis &amp; Design\Design\FC22\DRR Jaime\QUIFA-CAJÚA\Cajua\[CAJUA_CF_SEC_New_27-Feb-2024Rev3.xlsx]D-PSNP'!</v>
      </c>
      <c r="G3685" s="32" t="s">
        <v>111</v>
      </c>
      <c r="H3685" s="33">
        <f t="shared" si="879"/>
        <v>47</v>
      </c>
      <c r="I3685" s="33" t="str">
        <f t="shared" si="878"/>
        <v>='C:\Users\jaime.benazar\Quorum Business Solutions\Ecopetrol Prometeo - Documents\Planning Space Implementation\3. Analysis &amp; Design\Design\FC22\DRR Jaime\QUIFA-CAJÚA\Cajua\[CAJUA_CF_SEC_New_27-Feb-2024Rev3.xlsx]D-PSNP'!$BE$47</v>
      </c>
      <c r="J3685" s="37" t="s">
        <v>3811</v>
      </c>
    </row>
    <row r="3686" spans="1:10" x14ac:dyDescent="0.25">
      <c r="A3686" s="32" t="s">
        <v>103</v>
      </c>
      <c r="B3686" s="32">
        <f t="shared" si="885"/>
        <v>2059</v>
      </c>
      <c r="C3686" s="33" t="s">
        <v>49</v>
      </c>
      <c r="D3686" s="34" t="s">
        <v>1999</v>
      </c>
      <c r="E3686" s="35" t="str">
        <f t="shared" si="883"/>
        <v>PSNP'!</v>
      </c>
      <c r="F3686" s="34" t="str">
        <f t="shared" si="884"/>
        <v>C:\Users\jaime.benazar\Quorum Business Solutions\Ecopetrol Prometeo - Documents\Planning Space Implementation\3. Analysis &amp; Design\Design\FC22\DRR Jaime\QUIFA-CAJÚA\Cajua\[CAJUA_CF_SEC_New_27-Feb-2024Rev3.xlsx]D-PSNP'!</v>
      </c>
      <c r="G3686" s="32" t="s">
        <v>111</v>
      </c>
      <c r="H3686" s="33">
        <f t="shared" si="879"/>
        <v>48</v>
      </c>
      <c r="I3686" s="33" t="str">
        <f t="shared" si="878"/>
        <v>='C:\Users\jaime.benazar\Quorum Business Solutions\Ecopetrol Prometeo - Documents\Planning Space Implementation\3. Analysis &amp; Design\Design\FC22\DRR Jaime\QUIFA-CAJÚA\Cajua\[CAJUA_CF_SEC_New_27-Feb-2024Rev3.xlsx]D-PSNP'!$BE$48</v>
      </c>
      <c r="J3686" s="37" t="s">
        <v>3812</v>
      </c>
    </row>
    <row r="3687" spans="1:10" x14ac:dyDescent="0.25">
      <c r="A3687" s="32" t="s">
        <v>28</v>
      </c>
      <c r="B3687" s="32"/>
      <c r="C3687" s="33" t="s">
        <v>49</v>
      </c>
      <c r="D3687" s="34"/>
      <c r="E3687" s="35"/>
      <c r="F3687" s="34"/>
      <c r="G3687" s="32"/>
      <c r="H3687" s="33"/>
      <c r="I3687" s="33"/>
      <c r="J3687" s="36"/>
    </row>
    <row r="3688" spans="1:10" x14ac:dyDescent="0.25">
      <c r="A3688" s="32" t="s">
        <v>104</v>
      </c>
      <c r="B3688" s="32">
        <v>2023</v>
      </c>
      <c r="C3688" s="33" t="s">
        <v>49</v>
      </c>
      <c r="D3688" s="34" t="s">
        <v>1999</v>
      </c>
      <c r="E3688" s="35" t="str">
        <f t="shared" ref="E3688:E3708" si="886">_xlfn.CONCAT(A3688,"'!")</f>
        <v>PSND'!</v>
      </c>
      <c r="F3688" s="34" t="str">
        <f t="shared" ref="F3688:F3708" si="887">_xlfn.CONCAT(D3688:E3688)</f>
        <v>C:\Users\jaime.benazar\Quorum Business Solutions\Ecopetrol Prometeo - Documents\Planning Space Implementation\3. Analysis &amp; Design\Design\FC22\DRR Jaime\QUIFA-CAJÚA\Cajua\[CAJUA_CF_SEC_New_27-Feb-2024Rev3.xlsx]D-PSND'!</v>
      </c>
      <c r="G3688" s="32" t="s">
        <v>111</v>
      </c>
      <c r="H3688" s="33">
        <f>IF(A3688&lt;&gt;A3672,12,H3672+1)</f>
        <v>12</v>
      </c>
      <c r="I3688" s="33" t="str">
        <f t="shared" ref="I3688:I3724" si="888">_xlfn.CONCAT("='",F3688:H3688)</f>
        <v>='C:\Users\jaime.benazar\Quorum Business Solutions\Ecopetrol Prometeo - Documents\Planning Space Implementation\3. Analysis &amp; Design\Design\FC22\DRR Jaime\QUIFA-CAJÚA\Cajua\[CAJUA_CF_SEC_New_27-Feb-2024Rev3.xlsx]D-PSND'!$BE$12</v>
      </c>
      <c r="J3688" s="37" t="s">
        <v>3813</v>
      </c>
    </row>
    <row r="3689" spans="1:10" x14ac:dyDescent="0.25">
      <c r="A3689" s="32" t="s">
        <v>104</v>
      </c>
      <c r="B3689" s="32">
        <f>+B3688+1</f>
        <v>2024</v>
      </c>
      <c r="C3689" s="33" t="s">
        <v>49</v>
      </c>
      <c r="D3689" s="34" t="s">
        <v>1999</v>
      </c>
      <c r="E3689" s="35" t="str">
        <f t="shared" si="886"/>
        <v>PSND'!</v>
      </c>
      <c r="F3689" s="34" t="str">
        <f t="shared" si="887"/>
        <v>C:\Users\jaime.benazar\Quorum Business Solutions\Ecopetrol Prometeo - Documents\Planning Space Implementation\3. Analysis &amp; Design\Design\FC22\DRR Jaime\QUIFA-CAJÚA\Cajua\[CAJUA_CF_SEC_New_27-Feb-2024Rev3.xlsx]D-PSND'!</v>
      </c>
      <c r="G3689" s="32" t="s">
        <v>111</v>
      </c>
      <c r="H3689" s="33">
        <f t="shared" ref="H3689:H3724" si="889">IF(A3689&lt;&gt;A3688,36,H3688+1)</f>
        <v>13</v>
      </c>
      <c r="I3689" s="33" t="str">
        <f t="shared" si="888"/>
        <v>='C:\Users\jaime.benazar\Quorum Business Solutions\Ecopetrol Prometeo - Documents\Planning Space Implementation\3. Analysis &amp; Design\Design\FC22\DRR Jaime\QUIFA-CAJÚA\Cajua\[CAJUA_CF_SEC_New_27-Feb-2024Rev3.xlsx]D-PSND'!$BE$13</v>
      </c>
      <c r="J3689" s="37" t="s">
        <v>3814</v>
      </c>
    </row>
    <row r="3690" spans="1:10" x14ac:dyDescent="0.25">
      <c r="A3690" s="32" t="s">
        <v>104</v>
      </c>
      <c r="B3690" s="32">
        <f t="shared" ref="B3690:B3701" si="890">+B3689+1</f>
        <v>2025</v>
      </c>
      <c r="C3690" s="33" t="s">
        <v>49</v>
      </c>
      <c r="D3690" s="34" t="s">
        <v>1999</v>
      </c>
      <c r="E3690" s="35" t="str">
        <f t="shared" si="886"/>
        <v>PSND'!</v>
      </c>
      <c r="F3690" s="34" t="str">
        <f t="shared" si="887"/>
        <v>C:\Users\jaime.benazar\Quorum Business Solutions\Ecopetrol Prometeo - Documents\Planning Space Implementation\3. Analysis &amp; Design\Design\FC22\DRR Jaime\QUIFA-CAJÚA\Cajua\[CAJUA_CF_SEC_New_27-Feb-2024Rev3.xlsx]D-PSND'!</v>
      </c>
      <c r="G3690" s="32" t="s">
        <v>111</v>
      </c>
      <c r="H3690" s="33">
        <f t="shared" si="889"/>
        <v>14</v>
      </c>
      <c r="I3690" s="33" t="str">
        <f t="shared" si="888"/>
        <v>='C:\Users\jaime.benazar\Quorum Business Solutions\Ecopetrol Prometeo - Documents\Planning Space Implementation\3. Analysis &amp; Design\Design\FC22\DRR Jaime\QUIFA-CAJÚA\Cajua\[CAJUA_CF_SEC_New_27-Feb-2024Rev3.xlsx]D-PSND'!$BE$14</v>
      </c>
      <c r="J3690" s="37" t="s">
        <v>3815</v>
      </c>
    </row>
    <row r="3691" spans="1:10" x14ac:dyDescent="0.25">
      <c r="A3691" s="32" t="s">
        <v>104</v>
      </c>
      <c r="B3691" s="32">
        <f t="shared" si="890"/>
        <v>2026</v>
      </c>
      <c r="C3691" s="33" t="s">
        <v>49</v>
      </c>
      <c r="D3691" s="34" t="s">
        <v>1999</v>
      </c>
      <c r="E3691" s="35" t="str">
        <f t="shared" si="886"/>
        <v>PSND'!</v>
      </c>
      <c r="F3691" s="34" t="str">
        <f t="shared" si="887"/>
        <v>C:\Users\jaime.benazar\Quorum Business Solutions\Ecopetrol Prometeo - Documents\Planning Space Implementation\3. Analysis &amp; Design\Design\FC22\DRR Jaime\QUIFA-CAJÚA\Cajua\[CAJUA_CF_SEC_New_27-Feb-2024Rev3.xlsx]D-PSND'!</v>
      </c>
      <c r="G3691" s="32" t="s">
        <v>111</v>
      </c>
      <c r="H3691" s="33">
        <f t="shared" si="889"/>
        <v>15</v>
      </c>
      <c r="I3691" s="33" t="str">
        <f t="shared" si="888"/>
        <v>='C:\Users\jaime.benazar\Quorum Business Solutions\Ecopetrol Prometeo - Documents\Planning Space Implementation\3. Analysis &amp; Design\Design\FC22\DRR Jaime\QUIFA-CAJÚA\Cajua\[CAJUA_CF_SEC_New_27-Feb-2024Rev3.xlsx]D-PSND'!$BE$15</v>
      </c>
      <c r="J3691" s="37" t="s">
        <v>3816</v>
      </c>
    </row>
    <row r="3692" spans="1:10" x14ac:dyDescent="0.25">
      <c r="A3692" s="32" t="s">
        <v>104</v>
      </c>
      <c r="B3692" s="32">
        <f t="shared" si="890"/>
        <v>2027</v>
      </c>
      <c r="C3692" s="33" t="s">
        <v>49</v>
      </c>
      <c r="D3692" s="34" t="s">
        <v>1999</v>
      </c>
      <c r="E3692" s="35" t="str">
        <f t="shared" si="886"/>
        <v>PSND'!</v>
      </c>
      <c r="F3692" s="34" t="str">
        <f t="shared" si="887"/>
        <v>C:\Users\jaime.benazar\Quorum Business Solutions\Ecopetrol Prometeo - Documents\Planning Space Implementation\3. Analysis &amp; Design\Design\FC22\DRR Jaime\QUIFA-CAJÚA\Cajua\[CAJUA_CF_SEC_New_27-Feb-2024Rev3.xlsx]D-PSND'!</v>
      </c>
      <c r="G3692" s="32" t="s">
        <v>111</v>
      </c>
      <c r="H3692" s="33">
        <f t="shared" si="889"/>
        <v>16</v>
      </c>
      <c r="I3692" s="33" t="str">
        <f t="shared" si="888"/>
        <v>='C:\Users\jaime.benazar\Quorum Business Solutions\Ecopetrol Prometeo - Documents\Planning Space Implementation\3. Analysis &amp; Design\Design\FC22\DRR Jaime\QUIFA-CAJÚA\Cajua\[CAJUA_CF_SEC_New_27-Feb-2024Rev3.xlsx]D-PSND'!$BE$16</v>
      </c>
      <c r="J3692" s="37" t="s">
        <v>3817</v>
      </c>
    </row>
    <row r="3693" spans="1:10" x14ac:dyDescent="0.25">
      <c r="A3693" s="32" t="s">
        <v>104</v>
      </c>
      <c r="B3693" s="32">
        <f t="shared" si="890"/>
        <v>2028</v>
      </c>
      <c r="C3693" s="33" t="s">
        <v>49</v>
      </c>
      <c r="D3693" s="34" t="s">
        <v>1999</v>
      </c>
      <c r="E3693" s="35" t="str">
        <f t="shared" si="886"/>
        <v>PSND'!</v>
      </c>
      <c r="F3693" s="34" t="str">
        <f t="shared" si="887"/>
        <v>C:\Users\jaime.benazar\Quorum Business Solutions\Ecopetrol Prometeo - Documents\Planning Space Implementation\3. Analysis &amp; Design\Design\FC22\DRR Jaime\QUIFA-CAJÚA\Cajua\[CAJUA_CF_SEC_New_27-Feb-2024Rev3.xlsx]D-PSND'!</v>
      </c>
      <c r="G3693" s="32" t="s">
        <v>111</v>
      </c>
      <c r="H3693" s="33">
        <f t="shared" si="889"/>
        <v>17</v>
      </c>
      <c r="I3693" s="33" t="str">
        <f t="shared" si="888"/>
        <v>='C:\Users\jaime.benazar\Quorum Business Solutions\Ecopetrol Prometeo - Documents\Planning Space Implementation\3. Analysis &amp; Design\Design\FC22\DRR Jaime\QUIFA-CAJÚA\Cajua\[CAJUA_CF_SEC_New_27-Feb-2024Rev3.xlsx]D-PSND'!$BE$17</v>
      </c>
      <c r="J3693" s="37" t="s">
        <v>3818</v>
      </c>
    </row>
    <row r="3694" spans="1:10" x14ac:dyDescent="0.25">
      <c r="A3694" s="32" t="s">
        <v>104</v>
      </c>
      <c r="B3694" s="32">
        <f t="shared" si="890"/>
        <v>2029</v>
      </c>
      <c r="C3694" s="33" t="s">
        <v>49</v>
      </c>
      <c r="D3694" s="34" t="s">
        <v>1999</v>
      </c>
      <c r="E3694" s="35" t="str">
        <f t="shared" si="886"/>
        <v>PSND'!</v>
      </c>
      <c r="F3694" s="34" t="str">
        <f t="shared" si="887"/>
        <v>C:\Users\jaime.benazar\Quorum Business Solutions\Ecopetrol Prometeo - Documents\Planning Space Implementation\3. Analysis &amp; Design\Design\FC22\DRR Jaime\QUIFA-CAJÚA\Cajua\[CAJUA_CF_SEC_New_27-Feb-2024Rev3.xlsx]D-PSND'!</v>
      </c>
      <c r="G3694" s="32" t="s">
        <v>111</v>
      </c>
      <c r="H3694" s="33">
        <f t="shared" si="889"/>
        <v>18</v>
      </c>
      <c r="I3694" s="33" t="str">
        <f t="shared" si="888"/>
        <v>='C:\Users\jaime.benazar\Quorum Business Solutions\Ecopetrol Prometeo - Documents\Planning Space Implementation\3. Analysis &amp; Design\Design\FC22\DRR Jaime\QUIFA-CAJÚA\Cajua\[CAJUA_CF_SEC_New_27-Feb-2024Rev3.xlsx]D-PSND'!$BE$18</v>
      </c>
      <c r="J3694" s="37" t="s">
        <v>3819</v>
      </c>
    </row>
    <row r="3695" spans="1:10" x14ac:dyDescent="0.25">
      <c r="A3695" s="32" t="s">
        <v>104</v>
      </c>
      <c r="B3695" s="32">
        <f t="shared" si="890"/>
        <v>2030</v>
      </c>
      <c r="C3695" s="33" t="s">
        <v>49</v>
      </c>
      <c r="D3695" s="34" t="s">
        <v>1999</v>
      </c>
      <c r="E3695" s="35" t="str">
        <f t="shared" si="886"/>
        <v>PSND'!</v>
      </c>
      <c r="F3695" s="34" t="str">
        <f t="shared" si="887"/>
        <v>C:\Users\jaime.benazar\Quorum Business Solutions\Ecopetrol Prometeo - Documents\Planning Space Implementation\3. Analysis &amp; Design\Design\FC22\DRR Jaime\QUIFA-CAJÚA\Cajua\[CAJUA_CF_SEC_New_27-Feb-2024Rev3.xlsx]D-PSND'!</v>
      </c>
      <c r="G3695" s="32" t="s">
        <v>111</v>
      </c>
      <c r="H3695" s="33">
        <f t="shared" si="889"/>
        <v>19</v>
      </c>
      <c r="I3695" s="33" t="str">
        <f t="shared" si="888"/>
        <v>='C:\Users\jaime.benazar\Quorum Business Solutions\Ecopetrol Prometeo - Documents\Planning Space Implementation\3. Analysis &amp; Design\Design\FC22\DRR Jaime\QUIFA-CAJÚA\Cajua\[CAJUA_CF_SEC_New_27-Feb-2024Rev3.xlsx]D-PSND'!$BE$19</v>
      </c>
      <c r="J3695" s="37" t="s">
        <v>3820</v>
      </c>
    </row>
    <row r="3696" spans="1:10" x14ac:dyDescent="0.25">
      <c r="A3696" s="32" t="s">
        <v>104</v>
      </c>
      <c r="B3696" s="32">
        <f t="shared" si="890"/>
        <v>2031</v>
      </c>
      <c r="C3696" s="33" t="s">
        <v>49</v>
      </c>
      <c r="D3696" s="34" t="s">
        <v>1999</v>
      </c>
      <c r="E3696" s="35" t="str">
        <f t="shared" si="886"/>
        <v>PSND'!</v>
      </c>
      <c r="F3696" s="34" t="str">
        <f t="shared" si="887"/>
        <v>C:\Users\jaime.benazar\Quorum Business Solutions\Ecopetrol Prometeo - Documents\Planning Space Implementation\3. Analysis &amp; Design\Design\FC22\DRR Jaime\QUIFA-CAJÚA\Cajua\[CAJUA_CF_SEC_New_27-Feb-2024Rev3.xlsx]D-PSND'!</v>
      </c>
      <c r="G3696" s="32" t="s">
        <v>111</v>
      </c>
      <c r="H3696" s="33">
        <f t="shared" si="889"/>
        <v>20</v>
      </c>
      <c r="I3696" s="33" t="str">
        <f t="shared" si="888"/>
        <v>='C:\Users\jaime.benazar\Quorum Business Solutions\Ecopetrol Prometeo - Documents\Planning Space Implementation\3. Analysis &amp; Design\Design\FC22\DRR Jaime\QUIFA-CAJÚA\Cajua\[CAJUA_CF_SEC_New_27-Feb-2024Rev3.xlsx]D-PSND'!$BE$20</v>
      </c>
      <c r="J3696" s="37" t="s">
        <v>3821</v>
      </c>
    </row>
    <row r="3697" spans="1:10" x14ac:dyDescent="0.25">
      <c r="A3697" s="32" t="s">
        <v>104</v>
      </c>
      <c r="B3697" s="32">
        <f t="shared" si="890"/>
        <v>2032</v>
      </c>
      <c r="C3697" s="33" t="s">
        <v>49</v>
      </c>
      <c r="D3697" s="34" t="s">
        <v>1999</v>
      </c>
      <c r="E3697" s="35" t="str">
        <f t="shared" si="886"/>
        <v>PSND'!</v>
      </c>
      <c r="F3697" s="34" t="str">
        <f t="shared" si="887"/>
        <v>C:\Users\jaime.benazar\Quorum Business Solutions\Ecopetrol Prometeo - Documents\Planning Space Implementation\3. Analysis &amp; Design\Design\FC22\DRR Jaime\QUIFA-CAJÚA\Cajua\[CAJUA_CF_SEC_New_27-Feb-2024Rev3.xlsx]D-PSND'!</v>
      </c>
      <c r="G3697" s="32" t="s">
        <v>111</v>
      </c>
      <c r="H3697" s="33">
        <f t="shared" si="889"/>
        <v>21</v>
      </c>
      <c r="I3697" s="33" t="str">
        <f t="shared" si="888"/>
        <v>='C:\Users\jaime.benazar\Quorum Business Solutions\Ecopetrol Prometeo - Documents\Planning Space Implementation\3. Analysis &amp; Design\Design\FC22\DRR Jaime\QUIFA-CAJÚA\Cajua\[CAJUA_CF_SEC_New_27-Feb-2024Rev3.xlsx]D-PSND'!$BE$21</v>
      </c>
      <c r="J3697" s="37" t="s">
        <v>3822</v>
      </c>
    </row>
    <row r="3698" spans="1:10" x14ac:dyDescent="0.25">
      <c r="A3698" s="32" t="s">
        <v>104</v>
      </c>
      <c r="B3698" s="32">
        <f t="shared" si="890"/>
        <v>2033</v>
      </c>
      <c r="C3698" s="33" t="s">
        <v>49</v>
      </c>
      <c r="D3698" s="34" t="s">
        <v>1999</v>
      </c>
      <c r="E3698" s="35" t="str">
        <f t="shared" si="886"/>
        <v>PSND'!</v>
      </c>
      <c r="F3698" s="34" t="str">
        <f t="shared" si="887"/>
        <v>C:\Users\jaime.benazar\Quorum Business Solutions\Ecopetrol Prometeo - Documents\Planning Space Implementation\3. Analysis &amp; Design\Design\FC22\DRR Jaime\QUIFA-CAJÚA\Cajua\[CAJUA_CF_SEC_New_27-Feb-2024Rev3.xlsx]D-PSND'!</v>
      </c>
      <c r="G3698" s="32" t="s">
        <v>111</v>
      </c>
      <c r="H3698" s="33">
        <f t="shared" si="889"/>
        <v>22</v>
      </c>
      <c r="I3698" s="33" t="str">
        <f t="shared" si="888"/>
        <v>='C:\Users\jaime.benazar\Quorum Business Solutions\Ecopetrol Prometeo - Documents\Planning Space Implementation\3. Analysis &amp; Design\Design\FC22\DRR Jaime\QUIFA-CAJÚA\Cajua\[CAJUA_CF_SEC_New_27-Feb-2024Rev3.xlsx]D-PSND'!$BE$22</v>
      </c>
      <c r="J3698" s="37" t="s">
        <v>3823</v>
      </c>
    </row>
    <row r="3699" spans="1:10" x14ac:dyDescent="0.25">
      <c r="A3699" s="32" t="s">
        <v>104</v>
      </c>
      <c r="B3699" s="32">
        <f t="shared" si="890"/>
        <v>2034</v>
      </c>
      <c r="C3699" s="33" t="s">
        <v>49</v>
      </c>
      <c r="D3699" s="34" t="s">
        <v>1999</v>
      </c>
      <c r="E3699" s="35" t="str">
        <f t="shared" si="886"/>
        <v>PSND'!</v>
      </c>
      <c r="F3699" s="34" t="str">
        <f t="shared" si="887"/>
        <v>C:\Users\jaime.benazar\Quorum Business Solutions\Ecopetrol Prometeo - Documents\Planning Space Implementation\3. Analysis &amp; Design\Design\FC22\DRR Jaime\QUIFA-CAJÚA\Cajua\[CAJUA_CF_SEC_New_27-Feb-2024Rev3.xlsx]D-PSND'!</v>
      </c>
      <c r="G3699" s="32" t="s">
        <v>111</v>
      </c>
      <c r="H3699" s="33">
        <f t="shared" si="889"/>
        <v>23</v>
      </c>
      <c r="I3699" s="33" t="str">
        <f t="shared" si="888"/>
        <v>='C:\Users\jaime.benazar\Quorum Business Solutions\Ecopetrol Prometeo - Documents\Planning Space Implementation\3. Analysis &amp; Design\Design\FC22\DRR Jaime\QUIFA-CAJÚA\Cajua\[CAJUA_CF_SEC_New_27-Feb-2024Rev3.xlsx]D-PSND'!$BE$23</v>
      </c>
      <c r="J3699" s="37" t="s">
        <v>3824</v>
      </c>
    </row>
    <row r="3700" spans="1:10" x14ac:dyDescent="0.25">
      <c r="A3700" s="32" t="s">
        <v>104</v>
      </c>
      <c r="B3700" s="32">
        <f t="shared" si="890"/>
        <v>2035</v>
      </c>
      <c r="C3700" s="33" t="s">
        <v>49</v>
      </c>
      <c r="D3700" s="34" t="s">
        <v>1999</v>
      </c>
      <c r="E3700" s="35" t="str">
        <f t="shared" si="886"/>
        <v>PSND'!</v>
      </c>
      <c r="F3700" s="34" t="str">
        <f t="shared" si="887"/>
        <v>C:\Users\jaime.benazar\Quorum Business Solutions\Ecopetrol Prometeo - Documents\Planning Space Implementation\3. Analysis &amp; Design\Design\FC22\DRR Jaime\QUIFA-CAJÚA\Cajua\[CAJUA_CF_SEC_New_27-Feb-2024Rev3.xlsx]D-PSND'!</v>
      </c>
      <c r="G3700" s="32" t="s">
        <v>111</v>
      </c>
      <c r="H3700" s="33">
        <f t="shared" si="889"/>
        <v>24</v>
      </c>
      <c r="I3700" s="33" t="str">
        <f t="shared" si="888"/>
        <v>='C:\Users\jaime.benazar\Quorum Business Solutions\Ecopetrol Prometeo - Documents\Planning Space Implementation\3. Analysis &amp; Design\Design\FC22\DRR Jaime\QUIFA-CAJÚA\Cajua\[CAJUA_CF_SEC_New_27-Feb-2024Rev3.xlsx]D-PSND'!$BE$24</v>
      </c>
      <c r="J3700" s="37" t="s">
        <v>3825</v>
      </c>
    </row>
    <row r="3701" spans="1:10" x14ac:dyDescent="0.25">
      <c r="A3701" s="32" t="s">
        <v>104</v>
      </c>
      <c r="B3701" s="32">
        <f t="shared" si="890"/>
        <v>2036</v>
      </c>
      <c r="C3701" s="33" t="s">
        <v>49</v>
      </c>
      <c r="D3701" s="34" t="s">
        <v>1999</v>
      </c>
      <c r="E3701" s="35" t="str">
        <f t="shared" si="886"/>
        <v>PSND'!</v>
      </c>
      <c r="F3701" s="34" t="str">
        <f t="shared" si="887"/>
        <v>C:\Users\jaime.benazar\Quorum Business Solutions\Ecopetrol Prometeo - Documents\Planning Space Implementation\3. Analysis &amp; Design\Design\FC22\DRR Jaime\QUIFA-CAJÚA\Cajua\[CAJUA_CF_SEC_New_27-Feb-2024Rev3.xlsx]D-PSND'!</v>
      </c>
      <c r="G3701" s="32" t="s">
        <v>111</v>
      </c>
      <c r="H3701" s="33">
        <f t="shared" si="889"/>
        <v>25</v>
      </c>
      <c r="I3701" s="33" t="str">
        <f t="shared" si="888"/>
        <v>='C:\Users\jaime.benazar\Quorum Business Solutions\Ecopetrol Prometeo - Documents\Planning Space Implementation\3. Analysis &amp; Design\Design\FC22\DRR Jaime\QUIFA-CAJÚA\Cajua\[CAJUA_CF_SEC_New_27-Feb-2024Rev3.xlsx]D-PSND'!$BE$25</v>
      </c>
      <c r="J3701" s="37" t="s">
        <v>3826</v>
      </c>
    </row>
    <row r="3702" spans="1:10" x14ac:dyDescent="0.25">
      <c r="A3702" s="32" t="s">
        <v>104</v>
      </c>
      <c r="B3702" s="32">
        <f>+B3701+1</f>
        <v>2037</v>
      </c>
      <c r="C3702" s="33" t="s">
        <v>49</v>
      </c>
      <c r="D3702" s="34" t="s">
        <v>1999</v>
      </c>
      <c r="E3702" s="35" t="str">
        <f t="shared" si="886"/>
        <v>PSND'!</v>
      </c>
      <c r="F3702" s="34" t="str">
        <f t="shared" si="887"/>
        <v>C:\Users\jaime.benazar\Quorum Business Solutions\Ecopetrol Prometeo - Documents\Planning Space Implementation\3. Analysis &amp; Design\Design\FC22\DRR Jaime\QUIFA-CAJÚA\Cajua\[CAJUA_CF_SEC_New_27-Feb-2024Rev3.xlsx]D-PSND'!</v>
      </c>
      <c r="G3702" s="32" t="s">
        <v>111</v>
      </c>
      <c r="H3702" s="33">
        <f t="shared" si="889"/>
        <v>26</v>
      </c>
      <c r="I3702" s="33" t="str">
        <f t="shared" si="888"/>
        <v>='C:\Users\jaime.benazar\Quorum Business Solutions\Ecopetrol Prometeo - Documents\Planning Space Implementation\3. Analysis &amp; Design\Design\FC22\DRR Jaime\QUIFA-CAJÚA\Cajua\[CAJUA_CF_SEC_New_27-Feb-2024Rev3.xlsx]D-PSND'!$BE$26</v>
      </c>
      <c r="J3702" s="37" t="s">
        <v>3827</v>
      </c>
    </row>
    <row r="3703" spans="1:10" x14ac:dyDescent="0.25">
      <c r="A3703" s="32" t="s">
        <v>104</v>
      </c>
      <c r="B3703" s="32">
        <f t="shared" ref="B3703:B3705" si="891">+B3702+1</f>
        <v>2038</v>
      </c>
      <c r="C3703" s="33" t="s">
        <v>49</v>
      </c>
      <c r="D3703" s="34" t="s">
        <v>1999</v>
      </c>
      <c r="E3703" s="35" t="str">
        <f t="shared" si="886"/>
        <v>PSND'!</v>
      </c>
      <c r="F3703" s="34" t="str">
        <f t="shared" si="887"/>
        <v>C:\Users\jaime.benazar\Quorum Business Solutions\Ecopetrol Prometeo - Documents\Planning Space Implementation\3. Analysis &amp; Design\Design\FC22\DRR Jaime\QUIFA-CAJÚA\Cajua\[CAJUA_CF_SEC_New_27-Feb-2024Rev3.xlsx]D-PSND'!</v>
      </c>
      <c r="G3703" s="32" t="s">
        <v>111</v>
      </c>
      <c r="H3703" s="33">
        <f t="shared" si="889"/>
        <v>27</v>
      </c>
      <c r="I3703" s="33" t="str">
        <f t="shared" si="888"/>
        <v>='C:\Users\jaime.benazar\Quorum Business Solutions\Ecopetrol Prometeo - Documents\Planning Space Implementation\3. Analysis &amp; Design\Design\FC22\DRR Jaime\QUIFA-CAJÚA\Cajua\[CAJUA_CF_SEC_New_27-Feb-2024Rev3.xlsx]D-PSND'!$BE$27</v>
      </c>
      <c r="J3703" s="37" t="s">
        <v>3828</v>
      </c>
    </row>
    <row r="3704" spans="1:10" x14ac:dyDescent="0.25">
      <c r="A3704" s="32" t="s">
        <v>104</v>
      </c>
      <c r="B3704" s="32">
        <f t="shared" si="891"/>
        <v>2039</v>
      </c>
      <c r="C3704" s="33" t="s">
        <v>49</v>
      </c>
      <c r="D3704" s="34" t="s">
        <v>1999</v>
      </c>
      <c r="E3704" s="35" t="str">
        <f t="shared" si="886"/>
        <v>PSND'!</v>
      </c>
      <c r="F3704" s="34" t="str">
        <f t="shared" si="887"/>
        <v>C:\Users\jaime.benazar\Quorum Business Solutions\Ecopetrol Prometeo - Documents\Planning Space Implementation\3. Analysis &amp; Design\Design\FC22\DRR Jaime\QUIFA-CAJÚA\Cajua\[CAJUA_CF_SEC_New_27-Feb-2024Rev3.xlsx]D-PSND'!</v>
      </c>
      <c r="G3704" s="32" t="s">
        <v>111</v>
      </c>
      <c r="H3704" s="33">
        <f t="shared" si="889"/>
        <v>28</v>
      </c>
      <c r="I3704" s="33" t="str">
        <f t="shared" si="888"/>
        <v>='C:\Users\jaime.benazar\Quorum Business Solutions\Ecopetrol Prometeo - Documents\Planning Space Implementation\3. Analysis &amp; Design\Design\FC22\DRR Jaime\QUIFA-CAJÚA\Cajua\[CAJUA_CF_SEC_New_27-Feb-2024Rev3.xlsx]D-PSND'!$BE$28</v>
      </c>
      <c r="J3704" s="37" t="s">
        <v>3829</v>
      </c>
    </row>
    <row r="3705" spans="1:10" x14ac:dyDescent="0.25">
      <c r="A3705" s="32" t="s">
        <v>104</v>
      </c>
      <c r="B3705" s="32">
        <f t="shared" si="891"/>
        <v>2040</v>
      </c>
      <c r="C3705" s="33" t="s">
        <v>49</v>
      </c>
      <c r="D3705" s="34" t="s">
        <v>1999</v>
      </c>
      <c r="E3705" s="35" t="str">
        <f t="shared" si="886"/>
        <v>PSND'!</v>
      </c>
      <c r="F3705" s="34" t="str">
        <f t="shared" si="887"/>
        <v>C:\Users\jaime.benazar\Quorum Business Solutions\Ecopetrol Prometeo - Documents\Planning Space Implementation\3. Analysis &amp; Design\Design\FC22\DRR Jaime\QUIFA-CAJÚA\Cajua\[CAJUA_CF_SEC_New_27-Feb-2024Rev3.xlsx]D-PSND'!</v>
      </c>
      <c r="G3705" s="32" t="s">
        <v>111</v>
      </c>
      <c r="H3705" s="33">
        <f t="shared" si="889"/>
        <v>29</v>
      </c>
      <c r="I3705" s="33" t="str">
        <f t="shared" si="888"/>
        <v>='C:\Users\jaime.benazar\Quorum Business Solutions\Ecopetrol Prometeo - Documents\Planning Space Implementation\3. Analysis &amp; Design\Design\FC22\DRR Jaime\QUIFA-CAJÚA\Cajua\[CAJUA_CF_SEC_New_27-Feb-2024Rev3.xlsx]D-PSND'!$BE$29</v>
      </c>
      <c r="J3705" s="37" t="s">
        <v>3830</v>
      </c>
    </row>
    <row r="3706" spans="1:10" x14ac:dyDescent="0.25">
      <c r="A3706" s="32" t="s">
        <v>104</v>
      </c>
      <c r="B3706" s="32">
        <f>+B3705+1</f>
        <v>2041</v>
      </c>
      <c r="C3706" s="33" t="s">
        <v>49</v>
      </c>
      <c r="D3706" s="34" t="s">
        <v>1999</v>
      </c>
      <c r="E3706" s="35" t="str">
        <f t="shared" si="886"/>
        <v>PSND'!</v>
      </c>
      <c r="F3706" s="34" t="str">
        <f t="shared" si="887"/>
        <v>C:\Users\jaime.benazar\Quorum Business Solutions\Ecopetrol Prometeo - Documents\Planning Space Implementation\3. Analysis &amp; Design\Design\FC22\DRR Jaime\QUIFA-CAJÚA\Cajua\[CAJUA_CF_SEC_New_27-Feb-2024Rev3.xlsx]D-PSND'!</v>
      </c>
      <c r="G3706" s="32" t="s">
        <v>111</v>
      </c>
      <c r="H3706" s="33">
        <f t="shared" si="889"/>
        <v>30</v>
      </c>
      <c r="I3706" s="33" t="str">
        <f t="shared" si="888"/>
        <v>='C:\Users\jaime.benazar\Quorum Business Solutions\Ecopetrol Prometeo - Documents\Planning Space Implementation\3. Analysis &amp; Design\Design\FC22\DRR Jaime\QUIFA-CAJÚA\Cajua\[CAJUA_CF_SEC_New_27-Feb-2024Rev3.xlsx]D-PSND'!$BE$30</v>
      </c>
      <c r="J3706" s="37" t="s">
        <v>3831</v>
      </c>
    </row>
    <row r="3707" spans="1:10" x14ac:dyDescent="0.25">
      <c r="A3707" s="32" t="s">
        <v>104</v>
      </c>
      <c r="B3707" s="32">
        <f t="shared" ref="B3707:B3708" si="892">+B3706+1</f>
        <v>2042</v>
      </c>
      <c r="C3707" s="33" t="s">
        <v>49</v>
      </c>
      <c r="D3707" s="34" t="s">
        <v>1999</v>
      </c>
      <c r="E3707" s="35" t="str">
        <f t="shared" si="886"/>
        <v>PSND'!</v>
      </c>
      <c r="F3707" s="34" t="str">
        <f t="shared" si="887"/>
        <v>C:\Users\jaime.benazar\Quorum Business Solutions\Ecopetrol Prometeo - Documents\Planning Space Implementation\3. Analysis &amp; Design\Design\FC22\DRR Jaime\QUIFA-CAJÚA\Cajua\[CAJUA_CF_SEC_New_27-Feb-2024Rev3.xlsx]D-PSND'!</v>
      </c>
      <c r="G3707" s="32" t="s">
        <v>111</v>
      </c>
      <c r="H3707" s="33">
        <f t="shared" si="889"/>
        <v>31</v>
      </c>
      <c r="I3707" s="33" t="str">
        <f t="shared" si="888"/>
        <v>='C:\Users\jaime.benazar\Quorum Business Solutions\Ecopetrol Prometeo - Documents\Planning Space Implementation\3. Analysis &amp; Design\Design\FC22\DRR Jaime\QUIFA-CAJÚA\Cajua\[CAJUA_CF_SEC_New_27-Feb-2024Rev3.xlsx]D-PSND'!$BE$31</v>
      </c>
      <c r="J3707" s="37" t="s">
        <v>3832</v>
      </c>
    </row>
    <row r="3708" spans="1:10" x14ac:dyDescent="0.25">
      <c r="A3708" s="32" t="s">
        <v>104</v>
      </c>
      <c r="B3708" s="32">
        <f t="shared" si="892"/>
        <v>2043</v>
      </c>
      <c r="C3708" s="33" t="s">
        <v>49</v>
      </c>
      <c r="D3708" s="34" t="s">
        <v>1999</v>
      </c>
      <c r="E3708" s="35" t="str">
        <f t="shared" si="886"/>
        <v>PSND'!</v>
      </c>
      <c r="F3708" s="34" t="str">
        <f t="shared" si="887"/>
        <v>C:\Users\jaime.benazar\Quorum Business Solutions\Ecopetrol Prometeo - Documents\Planning Space Implementation\3. Analysis &amp; Design\Design\FC22\DRR Jaime\QUIFA-CAJÚA\Cajua\[CAJUA_CF_SEC_New_27-Feb-2024Rev3.xlsx]D-PSND'!</v>
      </c>
      <c r="G3708" s="32" t="s">
        <v>111</v>
      </c>
      <c r="H3708" s="33">
        <f t="shared" si="889"/>
        <v>32</v>
      </c>
      <c r="I3708" s="33" t="str">
        <f t="shared" si="888"/>
        <v>='C:\Users\jaime.benazar\Quorum Business Solutions\Ecopetrol Prometeo - Documents\Planning Space Implementation\3. Analysis &amp; Design\Design\FC22\DRR Jaime\QUIFA-CAJÚA\Cajua\[CAJUA_CF_SEC_New_27-Feb-2024Rev3.xlsx]D-PSND'!$BE$32</v>
      </c>
      <c r="J3708" s="37" t="s">
        <v>3833</v>
      </c>
    </row>
    <row r="3709" spans="1:10" x14ac:dyDescent="0.25">
      <c r="A3709" s="32" t="s">
        <v>104</v>
      </c>
      <c r="B3709" s="32">
        <f>+B3708+1</f>
        <v>2044</v>
      </c>
      <c r="C3709" s="33" t="s">
        <v>49</v>
      </c>
      <c r="D3709" s="34" t="s">
        <v>1999</v>
      </c>
      <c r="E3709" s="35" t="str">
        <f t="shared" ref="E3709:E3724" si="893">_xlfn.CONCAT(A3709,"'!")</f>
        <v>PSND'!</v>
      </c>
      <c r="F3709" s="34" t="str">
        <f t="shared" ref="F3709:F3724" si="894">_xlfn.CONCAT(D3709:E3709)</f>
        <v>C:\Users\jaime.benazar\Quorum Business Solutions\Ecopetrol Prometeo - Documents\Planning Space Implementation\3. Analysis &amp; Design\Design\FC22\DRR Jaime\QUIFA-CAJÚA\Cajua\[CAJUA_CF_SEC_New_27-Feb-2024Rev3.xlsx]D-PSND'!</v>
      </c>
      <c r="G3709" s="32" t="s">
        <v>111</v>
      </c>
      <c r="H3709" s="33">
        <f t="shared" si="889"/>
        <v>33</v>
      </c>
      <c r="I3709" s="33" t="str">
        <f t="shared" si="888"/>
        <v>='C:\Users\jaime.benazar\Quorum Business Solutions\Ecopetrol Prometeo - Documents\Planning Space Implementation\3. Analysis &amp; Design\Design\FC22\DRR Jaime\QUIFA-CAJÚA\Cajua\[CAJUA_CF_SEC_New_27-Feb-2024Rev3.xlsx]D-PSND'!$BE$33</v>
      </c>
      <c r="J3709" s="37" t="s">
        <v>3834</v>
      </c>
    </row>
    <row r="3710" spans="1:10" x14ac:dyDescent="0.25">
      <c r="A3710" s="32" t="s">
        <v>104</v>
      </c>
      <c r="B3710" s="32">
        <f t="shared" ref="B3710:B3724" si="895">+B3709+1</f>
        <v>2045</v>
      </c>
      <c r="C3710" s="33" t="s">
        <v>49</v>
      </c>
      <c r="D3710" s="34" t="s">
        <v>1999</v>
      </c>
      <c r="E3710" s="35" t="str">
        <f t="shared" si="893"/>
        <v>PSND'!</v>
      </c>
      <c r="F3710" s="34" t="str">
        <f t="shared" si="894"/>
        <v>C:\Users\jaime.benazar\Quorum Business Solutions\Ecopetrol Prometeo - Documents\Planning Space Implementation\3. Analysis &amp; Design\Design\FC22\DRR Jaime\QUIFA-CAJÚA\Cajua\[CAJUA_CF_SEC_New_27-Feb-2024Rev3.xlsx]D-PSND'!</v>
      </c>
      <c r="G3710" s="32" t="s">
        <v>111</v>
      </c>
      <c r="H3710" s="33">
        <f t="shared" si="889"/>
        <v>34</v>
      </c>
      <c r="I3710" s="33" t="str">
        <f t="shared" si="888"/>
        <v>='C:\Users\jaime.benazar\Quorum Business Solutions\Ecopetrol Prometeo - Documents\Planning Space Implementation\3. Analysis &amp; Design\Design\FC22\DRR Jaime\QUIFA-CAJÚA\Cajua\[CAJUA_CF_SEC_New_27-Feb-2024Rev3.xlsx]D-PSND'!$BE$34</v>
      </c>
      <c r="J3710" s="37" t="s">
        <v>3835</v>
      </c>
    </row>
    <row r="3711" spans="1:10" x14ac:dyDescent="0.25">
      <c r="A3711" s="32" t="s">
        <v>104</v>
      </c>
      <c r="B3711" s="32">
        <f t="shared" si="895"/>
        <v>2046</v>
      </c>
      <c r="C3711" s="33" t="s">
        <v>49</v>
      </c>
      <c r="D3711" s="34" t="s">
        <v>1999</v>
      </c>
      <c r="E3711" s="35" t="str">
        <f t="shared" si="893"/>
        <v>PSND'!</v>
      </c>
      <c r="F3711" s="34" t="str">
        <f t="shared" si="894"/>
        <v>C:\Users\jaime.benazar\Quorum Business Solutions\Ecopetrol Prometeo - Documents\Planning Space Implementation\3. Analysis &amp; Design\Design\FC22\DRR Jaime\QUIFA-CAJÚA\Cajua\[CAJUA_CF_SEC_New_27-Feb-2024Rev3.xlsx]D-PSND'!</v>
      </c>
      <c r="G3711" s="32" t="s">
        <v>111</v>
      </c>
      <c r="H3711" s="33">
        <f t="shared" si="889"/>
        <v>35</v>
      </c>
      <c r="I3711" s="33" t="str">
        <f t="shared" si="888"/>
        <v>='C:\Users\jaime.benazar\Quorum Business Solutions\Ecopetrol Prometeo - Documents\Planning Space Implementation\3. Analysis &amp; Design\Design\FC22\DRR Jaime\QUIFA-CAJÚA\Cajua\[CAJUA_CF_SEC_New_27-Feb-2024Rev3.xlsx]D-PSND'!$BE$35</v>
      </c>
      <c r="J3711" s="37" t="s">
        <v>3836</v>
      </c>
    </row>
    <row r="3712" spans="1:10" x14ac:dyDescent="0.25">
      <c r="A3712" s="32" t="s">
        <v>104</v>
      </c>
      <c r="B3712" s="32">
        <f t="shared" si="895"/>
        <v>2047</v>
      </c>
      <c r="C3712" s="33" t="s">
        <v>49</v>
      </c>
      <c r="D3712" s="34" t="s">
        <v>1999</v>
      </c>
      <c r="E3712" s="35" t="str">
        <f t="shared" si="893"/>
        <v>PSND'!</v>
      </c>
      <c r="F3712" s="34" t="str">
        <f t="shared" si="894"/>
        <v>C:\Users\jaime.benazar\Quorum Business Solutions\Ecopetrol Prometeo - Documents\Planning Space Implementation\3. Analysis &amp; Design\Design\FC22\DRR Jaime\QUIFA-CAJÚA\Cajua\[CAJUA_CF_SEC_New_27-Feb-2024Rev3.xlsx]D-PSND'!</v>
      </c>
      <c r="G3712" s="32" t="s">
        <v>111</v>
      </c>
      <c r="H3712" s="33">
        <f t="shared" si="889"/>
        <v>36</v>
      </c>
      <c r="I3712" s="33" t="str">
        <f t="shared" si="888"/>
        <v>='C:\Users\jaime.benazar\Quorum Business Solutions\Ecopetrol Prometeo - Documents\Planning Space Implementation\3. Analysis &amp; Design\Design\FC22\DRR Jaime\QUIFA-CAJÚA\Cajua\[CAJUA_CF_SEC_New_27-Feb-2024Rev3.xlsx]D-PSND'!$BE$36</v>
      </c>
      <c r="J3712" s="37" t="s">
        <v>3837</v>
      </c>
    </row>
    <row r="3713" spans="1:10" x14ac:dyDescent="0.25">
      <c r="A3713" s="32" t="s">
        <v>104</v>
      </c>
      <c r="B3713" s="32">
        <f t="shared" si="895"/>
        <v>2048</v>
      </c>
      <c r="C3713" s="33" t="s">
        <v>49</v>
      </c>
      <c r="D3713" s="34" t="s">
        <v>1999</v>
      </c>
      <c r="E3713" s="35" t="str">
        <f t="shared" si="893"/>
        <v>PSND'!</v>
      </c>
      <c r="F3713" s="34" t="str">
        <f t="shared" si="894"/>
        <v>C:\Users\jaime.benazar\Quorum Business Solutions\Ecopetrol Prometeo - Documents\Planning Space Implementation\3. Analysis &amp; Design\Design\FC22\DRR Jaime\QUIFA-CAJÚA\Cajua\[CAJUA_CF_SEC_New_27-Feb-2024Rev3.xlsx]D-PSND'!</v>
      </c>
      <c r="G3713" s="32" t="s">
        <v>111</v>
      </c>
      <c r="H3713" s="33">
        <f t="shared" si="889"/>
        <v>37</v>
      </c>
      <c r="I3713" s="33" t="str">
        <f t="shared" si="888"/>
        <v>='C:\Users\jaime.benazar\Quorum Business Solutions\Ecopetrol Prometeo - Documents\Planning Space Implementation\3. Analysis &amp; Design\Design\FC22\DRR Jaime\QUIFA-CAJÚA\Cajua\[CAJUA_CF_SEC_New_27-Feb-2024Rev3.xlsx]D-PSND'!$BE$37</v>
      </c>
      <c r="J3713" s="37" t="s">
        <v>3838</v>
      </c>
    </row>
    <row r="3714" spans="1:10" x14ac:dyDescent="0.25">
      <c r="A3714" s="32" t="s">
        <v>104</v>
      </c>
      <c r="B3714" s="32">
        <f t="shared" si="895"/>
        <v>2049</v>
      </c>
      <c r="C3714" s="33" t="s">
        <v>49</v>
      </c>
      <c r="D3714" s="34" t="s">
        <v>1999</v>
      </c>
      <c r="E3714" s="35" t="str">
        <f t="shared" si="893"/>
        <v>PSND'!</v>
      </c>
      <c r="F3714" s="34" t="str">
        <f t="shared" si="894"/>
        <v>C:\Users\jaime.benazar\Quorum Business Solutions\Ecopetrol Prometeo - Documents\Planning Space Implementation\3. Analysis &amp; Design\Design\FC22\DRR Jaime\QUIFA-CAJÚA\Cajua\[CAJUA_CF_SEC_New_27-Feb-2024Rev3.xlsx]D-PSND'!</v>
      </c>
      <c r="G3714" s="32" t="s">
        <v>111</v>
      </c>
      <c r="H3714" s="33">
        <f t="shared" si="889"/>
        <v>38</v>
      </c>
      <c r="I3714" s="33" t="str">
        <f t="shared" si="888"/>
        <v>='C:\Users\jaime.benazar\Quorum Business Solutions\Ecopetrol Prometeo - Documents\Planning Space Implementation\3. Analysis &amp; Design\Design\FC22\DRR Jaime\QUIFA-CAJÚA\Cajua\[CAJUA_CF_SEC_New_27-Feb-2024Rev3.xlsx]D-PSND'!$BE$38</v>
      </c>
      <c r="J3714" s="37" t="s">
        <v>3839</v>
      </c>
    </row>
    <row r="3715" spans="1:10" x14ac:dyDescent="0.25">
      <c r="A3715" s="32" t="s">
        <v>104</v>
      </c>
      <c r="B3715" s="32">
        <f t="shared" si="895"/>
        <v>2050</v>
      </c>
      <c r="C3715" s="33" t="s">
        <v>49</v>
      </c>
      <c r="D3715" s="34" t="s">
        <v>1999</v>
      </c>
      <c r="E3715" s="35" t="str">
        <f t="shared" si="893"/>
        <v>PSND'!</v>
      </c>
      <c r="F3715" s="34" t="str">
        <f t="shared" si="894"/>
        <v>C:\Users\jaime.benazar\Quorum Business Solutions\Ecopetrol Prometeo - Documents\Planning Space Implementation\3. Analysis &amp; Design\Design\FC22\DRR Jaime\QUIFA-CAJÚA\Cajua\[CAJUA_CF_SEC_New_27-Feb-2024Rev3.xlsx]D-PSND'!</v>
      </c>
      <c r="G3715" s="32" t="s">
        <v>111</v>
      </c>
      <c r="H3715" s="33">
        <f t="shared" si="889"/>
        <v>39</v>
      </c>
      <c r="I3715" s="33" t="str">
        <f t="shared" si="888"/>
        <v>='C:\Users\jaime.benazar\Quorum Business Solutions\Ecopetrol Prometeo - Documents\Planning Space Implementation\3. Analysis &amp; Design\Design\FC22\DRR Jaime\QUIFA-CAJÚA\Cajua\[CAJUA_CF_SEC_New_27-Feb-2024Rev3.xlsx]D-PSND'!$BE$39</v>
      </c>
      <c r="J3715" s="37" t="s">
        <v>3840</v>
      </c>
    </row>
    <row r="3716" spans="1:10" x14ac:dyDescent="0.25">
      <c r="A3716" s="32" t="s">
        <v>104</v>
      </c>
      <c r="B3716" s="32">
        <f t="shared" si="895"/>
        <v>2051</v>
      </c>
      <c r="C3716" s="33" t="s">
        <v>49</v>
      </c>
      <c r="D3716" s="34" t="s">
        <v>1999</v>
      </c>
      <c r="E3716" s="35" t="str">
        <f t="shared" si="893"/>
        <v>PSND'!</v>
      </c>
      <c r="F3716" s="34" t="str">
        <f t="shared" si="894"/>
        <v>C:\Users\jaime.benazar\Quorum Business Solutions\Ecopetrol Prometeo - Documents\Planning Space Implementation\3. Analysis &amp; Design\Design\FC22\DRR Jaime\QUIFA-CAJÚA\Cajua\[CAJUA_CF_SEC_New_27-Feb-2024Rev3.xlsx]D-PSND'!</v>
      </c>
      <c r="G3716" s="32" t="s">
        <v>111</v>
      </c>
      <c r="H3716" s="33">
        <f t="shared" si="889"/>
        <v>40</v>
      </c>
      <c r="I3716" s="33" t="str">
        <f t="shared" si="888"/>
        <v>='C:\Users\jaime.benazar\Quorum Business Solutions\Ecopetrol Prometeo - Documents\Planning Space Implementation\3. Analysis &amp; Design\Design\FC22\DRR Jaime\QUIFA-CAJÚA\Cajua\[CAJUA_CF_SEC_New_27-Feb-2024Rev3.xlsx]D-PSND'!$BE$40</v>
      </c>
      <c r="J3716" s="37" t="s">
        <v>3841</v>
      </c>
    </row>
    <row r="3717" spans="1:10" x14ac:dyDescent="0.25">
      <c r="A3717" s="32" t="s">
        <v>104</v>
      </c>
      <c r="B3717" s="32">
        <f t="shared" si="895"/>
        <v>2052</v>
      </c>
      <c r="C3717" s="33" t="s">
        <v>49</v>
      </c>
      <c r="D3717" s="34" t="s">
        <v>1999</v>
      </c>
      <c r="E3717" s="35" t="str">
        <f t="shared" si="893"/>
        <v>PSND'!</v>
      </c>
      <c r="F3717" s="34" t="str">
        <f t="shared" si="894"/>
        <v>C:\Users\jaime.benazar\Quorum Business Solutions\Ecopetrol Prometeo - Documents\Planning Space Implementation\3. Analysis &amp; Design\Design\FC22\DRR Jaime\QUIFA-CAJÚA\Cajua\[CAJUA_CF_SEC_New_27-Feb-2024Rev3.xlsx]D-PSND'!</v>
      </c>
      <c r="G3717" s="32" t="s">
        <v>111</v>
      </c>
      <c r="H3717" s="33">
        <f t="shared" si="889"/>
        <v>41</v>
      </c>
      <c r="I3717" s="33" t="str">
        <f t="shared" si="888"/>
        <v>='C:\Users\jaime.benazar\Quorum Business Solutions\Ecopetrol Prometeo - Documents\Planning Space Implementation\3. Analysis &amp; Design\Design\FC22\DRR Jaime\QUIFA-CAJÚA\Cajua\[CAJUA_CF_SEC_New_27-Feb-2024Rev3.xlsx]D-PSND'!$BE$41</v>
      </c>
      <c r="J3717" s="37" t="s">
        <v>3842</v>
      </c>
    </row>
    <row r="3718" spans="1:10" x14ac:dyDescent="0.25">
      <c r="A3718" s="32" t="s">
        <v>104</v>
      </c>
      <c r="B3718" s="32">
        <f t="shared" si="895"/>
        <v>2053</v>
      </c>
      <c r="C3718" s="33" t="s">
        <v>49</v>
      </c>
      <c r="D3718" s="34" t="s">
        <v>1999</v>
      </c>
      <c r="E3718" s="35" t="str">
        <f t="shared" si="893"/>
        <v>PSND'!</v>
      </c>
      <c r="F3718" s="34" t="str">
        <f t="shared" si="894"/>
        <v>C:\Users\jaime.benazar\Quorum Business Solutions\Ecopetrol Prometeo - Documents\Planning Space Implementation\3. Analysis &amp; Design\Design\FC22\DRR Jaime\QUIFA-CAJÚA\Cajua\[CAJUA_CF_SEC_New_27-Feb-2024Rev3.xlsx]D-PSND'!</v>
      </c>
      <c r="G3718" s="32" t="s">
        <v>111</v>
      </c>
      <c r="H3718" s="33">
        <f t="shared" si="889"/>
        <v>42</v>
      </c>
      <c r="I3718" s="33" t="str">
        <f t="shared" si="888"/>
        <v>='C:\Users\jaime.benazar\Quorum Business Solutions\Ecopetrol Prometeo - Documents\Planning Space Implementation\3. Analysis &amp; Design\Design\FC22\DRR Jaime\QUIFA-CAJÚA\Cajua\[CAJUA_CF_SEC_New_27-Feb-2024Rev3.xlsx]D-PSND'!$BE$42</v>
      </c>
      <c r="J3718" s="37" t="s">
        <v>3843</v>
      </c>
    </row>
    <row r="3719" spans="1:10" x14ac:dyDescent="0.25">
      <c r="A3719" s="32" t="s">
        <v>104</v>
      </c>
      <c r="B3719" s="32">
        <f t="shared" si="895"/>
        <v>2054</v>
      </c>
      <c r="C3719" s="33" t="s">
        <v>49</v>
      </c>
      <c r="D3719" s="34" t="s">
        <v>1999</v>
      </c>
      <c r="E3719" s="35" t="str">
        <f t="shared" si="893"/>
        <v>PSND'!</v>
      </c>
      <c r="F3719" s="34" t="str">
        <f t="shared" si="894"/>
        <v>C:\Users\jaime.benazar\Quorum Business Solutions\Ecopetrol Prometeo - Documents\Planning Space Implementation\3. Analysis &amp; Design\Design\FC22\DRR Jaime\QUIFA-CAJÚA\Cajua\[CAJUA_CF_SEC_New_27-Feb-2024Rev3.xlsx]D-PSND'!</v>
      </c>
      <c r="G3719" s="32" t="s">
        <v>111</v>
      </c>
      <c r="H3719" s="33">
        <f t="shared" si="889"/>
        <v>43</v>
      </c>
      <c r="I3719" s="33" t="str">
        <f t="shared" si="888"/>
        <v>='C:\Users\jaime.benazar\Quorum Business Solutions\Ecopetrol Prometeo - Documents\Planning Space Implementation\3. Analysis &amp; Design\Design\FC22\DRR Jaime\QUIFA-CAJÚA\Cajua\[CAJUA_CF_SEC_New_27-Feb-2024Rev3.xlsx]D-PSND'!$BE$43</v>
      </c>
      <c r="J3719" s="37" t="s">
        <v>3844</v>
      </c>
    </row>
    <row r="3720" spans="1:10" x14ac:dyDescent="0.25">
      <c r="A3720" s="32" t="s">
        <v>104</v>
      </c>
      <c r="B3720" s="32">
        <f t="shared" si="895"/>
        <v>2055</v>
      </c>
      <c r="C3720" s="33" t="s">
        <v>49</v>
      </c>
      <c r="D3720" s="34" t="s">
        <v>1999</v>
      </c>
      <c r="E3720" s="35" t="str">
        <f t="shared" si="893"/>
        <v>PSND'!</v>
      </c>
      <c r="F3720" s="34" t="str">
        <f t="shared" si="894"/>
        <v>C:\Users\jaime.benazar\Quorum Business Solutions\Ecopetrol Prometeo - Documents\Planning Space Implementation\3. Analysis &amp; Design\Design\FC22\DRR Jaime\QUIFA-CAJÚA\Cajua\[CAJUA_CF_SEC_New_27-Feb-2024Rev3.xlsx]D-PSND'!</v>
      </c>
      <c r="G3720" s="32" t="s">
        <v>111</v>
      </c>
      <c r="H3720" s="33">
        <f t="shared" si="889"/>
        <v>44</v>
      </c>
      <c r="I3720" s="33" t="str">
        <f t="shared" si="888"/>
        <v>='C:\Users\jaime.benazar\Quorum Business Solutions\Ecopetrol Prometeo - Documents\Planning Space Implementation\3. Analysis &amp; Design\Design\FC22\DRR Jaime\QUIFA-CAJÚA\Cajua\[CAJUA_CF_SEC_New_27-Feb-2024Rev3.xlsx]D-PSND'!$BE$44</v>
      </c>
      <c r="J3720" s="37" t="s">
        <v>3845</v>
      </c>
    </row>
    <row r="3721" spans="1:10" x14ac:dyDescent="0.25">
      <c r="A3721" s="32" t="s">
        <v>104</v>
      </c>
      <c r="B3721" s="32">
        <f t="shared" si="895"/>
        <v>2056</v>
      </c>
      <c r="C3721" s="33" t="s">
        <v>49</v>
      </c>
      <c r="D3721" s="34" t="s">
        <v>1999</v>
      </c>
      <c r="E3721" s="35" t="str">
        <f t="shared" si="893"/>
        <v>PSND'!</v>
      </c>
      <c r="F3721" s="34" t="str">
        <f t="shared" si="894"/>
        <v>C:\Users\jaime.benazar\Quorum Business Solutions\Ecopetrol Prometeo - Documents\Planning Space Implementation\3. Analysis &amp; Design\Design\FC22\DRR Jaime\QUIFA-CAJÚA\Cajua\[CAJUA_CF_SEC_New_27-Feb-2024Rev3.xlsx]D-PSND'!</v>
      </c>
      <c r="G3721" s="32" t="s">
        <v>111</v>
      </c>
      <c r="H3721" s="33">
        <f t="shared" si="889"/>
        <v>45</v>
      </c>
      <c r="I3721" s="33" t="str">
        <f t="shared" si="888"/>
        <v>='C:\Users\jaime.benazar\Quorum Business Solutions\Ecopetrol Prometeo - Documents\Planning Space Implementation\3. Analysis &amp; Design\Design\FC22\DRR Jaime\QUIFA-CAJÚA\Cajua\[CAJUA_CF_SEC_New_27-Feb-2024Rev3.xlsx]D-PSND'!$BE$45</v>
      </c>
      <c r="J3721" s="37" t="s">
        <v>3846</v>
      </c>
    </row>
    <row r="3722" spans="1:10" x14ac:dyDescent="0.25">
      <c r="A3722" s="32" t="s">
        <v>104</v>
      </c>
      <c r="B3722" s="32">
        <f t="shared" si="895"/>
        <v>2057</v>
      </c>
      <c r="C3722" s="33" t="s">
        <v>49</v>
      </c>
      <c r="D3722" s="34" t="s">
        <v>1999</v>
      </c>
      <c r="E3722" s="35" t="str">
        <f t="shared" si="893"/>
        <v>PSND'!</v>
      </c>
      <c r="F3722" s="34" t="str">
        <f t="shared" si="894"/>
        <v>C:\Users\jaime.benazar\Quorum Business Solutions\Ecopetrol Prometeo - Documents\Planning Space Implementation\3. Analysis &amp; Design\Design\FC22\DRR Jaime\QUIFA-CAJÚA\Cajua\[CAJUA_CF_SEC_New_27-Feb-2024Rev3.xlsx]D-PSND'!</v>
      </c>
      <c r="G3722" s="32" t="s">
        <v>111</v>
      </c>
      <c r="H3722" s="33">
        <f t="shared" si="889"/>
        <v>46</v>
      </c>
      <c r="I3722" s="33" t="str">
        <f t="shared" si="888"/>
        <v>='C:\Users\jaime.benazar\Quorum Business Solutions\Ecopetrol Prometeo - Documents\Planning Space Implementation\3. Analysis &amp; Design\Design\FC22\DRR Jaime\QUIFA-CAJÚA\Cajua\[CAJUA_CF_SEC_New_27-Feb-2024Rev3.xlsx]D-PSND'!$BE$46</v>
      </c>
      <c r="J3722" s="37" t="s">
        <v>3847</v>
      </c>
    </row>
    <row r="3723" spans="1:10" x14ac:dyDescent="0.25">
      <c r="A3723" s="32" t="s">
        <v>104</v>
      </c>
      <c r="B3723" s="32">
        <f t="shared" si="895"/>
        <v>2058</v>
      </c>
      <c r="C3723" s="33" t="s">
        <v>49</v>
      </c>
      <c r="D3723" s="34" t="s">
        <v>1999</v>
      </c>
      <c r="E3723" s="35" t="str">
        <f t="shared" si="893"/>
        <v>PSND'!</v>
      </c>
      <c r="F3723" s="34" t="str">
        <f t="shared" si="894"/>
        <v>C:\Users\jaime.benazar\Quorum Business Solutions\Ecopetrol Prometeo - Documents\Planning Space Implementation\3. Analysis &amp; Design\Design\FC22\DRR Jaime\QUIFA-CAJÚA\Cajua\[CAJUA_CF_SEC_New_27-Feb-2024Rev3.xlsx]D-PSND'!</v>
      </c>
      <c r="G3723" s="32" t="s">
        <v>111</v>
      </c>
      <c r="H3723" s="33">
        <f t="shared" si="889"/>
        <v>47</v>
      </c>
      <c r="I3723" s="33" t="str">
        <f t="shared" si="888"/>
        <v>='C:\Users\jaime.benazar\Quorum Business Solutions\Ecopetrol Prometeo - Documents\Planning Space Implementation\3. Analysis &amp; Design\Design\FC22\DRR Jaime\QUIFA-CAJÚA\Cajua\[CAJUA_CF_SEC_New_27-Feb-2024Rev3.xlsx]D-PSND'!$BE$47</v>
      </c>
      <c r="J3723" s="37" t="s">
        <v>3848</v>
      </c>
    </row>
    <row r="3724" spans="1:10" x14ac:dyDescent="0.25">
      <c r="A3724" s="32" t="s">
        <v>104</v>
      </c>
      <c r="B3724" s="32">
        <f t="shared" si="895"/>
        <v>2059</v>
      </c>
      <c r="C3724" s="33" t="s">
        <v>49</v>
      </c>
      <c r="D3724" s="34" t="s">
        <v>1999</v>
      </c>
      <c r="E3724" s="35" t="str">
        <f t="shared" si="893"/>
        <v>PSND'!</v>
      </c>
      <c r="F3724" s="34" t="str">
        <f t="shared" si="894"/>
        <v>C:\Users\jaime.benazar\Quorum Business Solutions\Ecopetrol Prometeo - Documents\Planning Space Implementation\3. Analysis &amp; Design\Design\FC22\DRR Jaime\QUIFA-CAJÚA\Cajua\[CAJUA_CF_SEC_New_27-Feb-2024Rev3.xlsx]D-PSND'!</v>
      </c>
      <c r="G3724" s="32" t="s">
        <v>111</v>
      </c>
      <c r="H3724" s="33">
        <f t="shared" si="889"/>
        <v>48</v>
      </c>
      <c r="I3724" s="33" t="str">
        <f t="shared" si="888"/>
        <v>='C:\Users\jaime.benazar\Quorum Business Solutions\Ecopetrol Prometeo - Documents\Planning Space Implementation\3. Analysis &amp; Design\Design\FC22\DRR Jaime\QUIFA-CAJÚA\Cajua\[CAJUA_CF_SEC_New_27-Feb-2024Rev3.xlsx]D-PSND'!$BE$48</v>
      </c>
      <c r="J3724" s="37" t="s">
        <v>3849</v>
      </c>
    </row>
    <row r="3725" spans="1:10" x14ac:dyDescent="0.25">
      <c r="A3725" s="32" t="s">
        <v>28</v>
      </c>
      <c r="B3725" s="32"/>
      <c r="C3725" s="33" t="s">
        <v>49</v>
      </c>
      <c r="D3725" s="34"/>
      <c r="E3725" s="35"/>
      <c r="F3725" s="34"/>
      <c r="G3725" s="32"/>
      <c r="H3725" s="33"/>
      <c r="I3725" s="33"/>
      <c r="J3725" s="36"/>
    </row>
    <row r="3726" spans="1:10" x14ac:dyDescent="0.25">
      <c r="A3726" s="32" t="s">
        <v>34</v>
      </c>
      <c r="B3726" s="32">
        <v>2023</v>
      </c>
      <c r="C3726" s="33" t="s">
        <v>49</v>
      </c>
      <c r="D3726" s="34" t="s">
        <v>1999</v>
      </c>
      <c r="E3726" s="35" t="str">
        <f t="shared" ref="E3726:E3746" si="896">_xlfn.CONCAT(A3726,"'!")</f>
        <v>PS'!</v>
      </c>
      <c r="F3726" s="34" t="str">
        <f t="shared" ref="F3726:F3746" si="897">_xlfn.CONCAT(D3726:E3726)</f>
        <v>C:\Users\jaime.benazar\Quorum Business Solutions\Ecopetrol Prometeo - Documents\Planning Space Implementation\3. Analysis &amp; Design\Design\FC22\DRR Jaime\QUIFA-CAJÚA\Cajua\[CAJUA_CF_SEC_New_27-Feb-2024Rev3.xlsx]D-PS'!</v>
      </c>
      <c r="G3726" s="32" t="s">
        <v>111</v>
      </c>
      <c r="H3726" s="33">
        <f>IF(A3726&lt;&gt;A3710,12,H3710+1)</f>
        <v>12</v>
      </c>
      <c r="I3726" s="33" t="str">
        <f t="shared" ref="I3726:I3746" si="898">_xlfn.CONCAT("='",F3726:H3726)</f>
        <v>='C:\Users\jaime.benazar\Quorum Business Solutions\Ecopetrol Prometeo - Documents\Planning Space Implementation\3. Analysis &amp; Design\Design\FC22\DRR Jaime\QUIFA-CAJÚA\Cajua\[CAJUA_CF_SEC_New_27-Feb-2024Rev3.xlsx]D-PS'!$BE$12</v>
      </c>
      <c r="J3726" s="37" t="s">
        <v>3850</v>
      </c>
    </row>
    <row r="3727" spans="1:10" x14ac:dyDescent="0.25">
      <c r="A3727" s="32" t="s">
        <v>34</v>
      </c>
      <c r="B3727" s="32">
        <f>+B3726+1</f>
        <v>2024</v>
      </c>
      <c r="C3727" s="33" t="s">
        <v>49</v>
      </c>
      <c r="D3727" s="34" t="s">
        <v>1999</v>
      </c>
      <c r="E3727" s="35" t="str">
        <f t="shared" si="896"/>
        <v>PS'!</v>
      </c>
      <c r="F3727" s="34" t="str">
        <f t="shared" si="897"/>
        <v>C:\Users\jaime.benazar\Quorum Business Solutions\Ecopetrol Prometeo - Documents\Planning Space Implementation\3. Analysis &amp; Design\Design\FC22\DRR Jaime\QUIFA-CAJÚA\Cajua\[CAJUA_CF_SEC_New_27-Feb-2024Rev3.xlsx]D-PS'!</v>
      </c>
      <c r="G3727" s="32" t="s">
        <v>111</v>
      </c>
      <c r="H3727" s="33">
        <f t="shared" ref="H3727:H3746" si="899">IF(A3727&lt;&gt;A3726,36,H3726+1)</f>
        <v>13</v>
      </c>
      <c r="I3727" s="33" t="str">
        <f t="shared" si="898"/>
        <v>='C:\Users\jaime.benazar\Quorum Business Solutions\Ecopetrol Prometeo - Documents\Planning Space Implementation\3. Analysis &amp; Design\Design\FC22\DRR Jaime\QUIFA-CAJÚA\Cajua\[CAJUA_CF_SEC_New_27-Feb-2024Rev3.xlsx]D-PS'!$BE$13</v>
      </c>
      <c r="J3727" s="37" t="s">
        <v>3851</v>
      </c>
    </row>
    <row r="3728" spans="1:10" x14ac:dyDescent="0.25">
      <c r="A3728" s="32" t="s">
        <v>34</v>
      </c>
      <c r="B3728" s="32">
        <f t="shared" ref="B3728:B3739" si="900">+B3727+1</f>
        <v>2025</v>
      </c>
      <c r="C3728" s="33" t="s">
        <v>49</v>
      </c>
      <c r="D3728" s="34" t="s">
        <v>1999</v>
      </c>
      <c r="E3728" s="35" t="str">
        <f t="shared" si="896"/>
        <v>PS'!</v>
      </c>
      <c r="F3728" s="34" t="str">
        <f t="shared" si="897"/>
        <v>C:\Users\jaime.benazar\Quorum Business Solutions\Ecopetrol Prometeo - Documents\Planning Space Implementation\3. Analysis &amp; Design\Design\FC22\DRR Jaime\QUIFA-CAJÚA\Cajua\[CAJUA_CF_SEC_New_27-Feb-2024Rev3.xlsx]D-PS'!</v>
      </c>
      <c r="G3728" s="32" t="s">
        <v>111</v>
      </c>
      <c r="H3728" s="33">
        <f t="shared" si="899"/>
        <v>14</v>
      </c>
      <c r="I3728" s="33" t="str">
        <f t="shared" si="898"/>
        <v>='C:\Users\jaime.benazar\Quorum Business Solutions\Ecopetrol Prometeo - Documents\Planning Space Implementation\3. Analysis &amp; Design\Design\FC22\DRR Jaime\QUIFA-CAJÚA\Cajua\[CAJUA_CF_SEC_New_27-Feb-2024Rev3.xlsx]D-PS'!$BE$14</v>
      </c>
      <c r="J3728" s="37" t="s">
        <v>3852</v>
      </c>
    </row>
    <row r="3729" spans="1:10" x14ac:dyDescent="0.25">
      <c r="A3729" s="32" t="s">
        <v>34</v>
      </c>
      <c r="B3729" s="32">
        <f t="shared" si="900"/>
        <v>2026</v>
      </c>
      <c r="C3729" s="33" t="s">
        <v>49</v>
      </c>
      <c r="D3729" s="34" t="s">
        <v>1999</v>
      </c>
      <c r="E3729" s="35" t="str">
        <f t="shared" si="896"/>
        <v>PS'!</v>
      </c>
      <c r="F3729" s="34" t="str">
        <f t="shared" si="897"/>
        <v>C:\Users\jaime.benazar\Quorum Business Solutions\Ecopetrol Prometeo - Documents\Planning Space Implementation\3. Analysis &amp; Design\Design\FC22\DRR Jaime\QUIFA-CAJÚA\Cajua\[CAJUA_CF_SEC_New_27-Feb-2024Rev3.xlsx]D-PS'!</v>
      </c>
      <c r="G3729" s="32" t="s">
        <v>111</v>
      </c>
      <c r="H3729" s="33">
        <f t="shared" si="899"/>
        <v>15</v>
      </c>
      <c r="I3729" s="33" t="str">
        <f t="shared" si="898"/>
        <v>='C:\Users\jaime.benazar\Quorum Business Solutions\Ecopetrol Prometeo - Documents\Planning Space Implementation\3. Analysis &amp; Design\Design\FC22\DRR Jaime\QUIFA-CAJÚA\Cajua\[CAJUA_CF_SEC_New_27-Feb-2024Rev3.xlsx]D-PS'!$BE$15</v>
      </c>
      <c r="J3729" s="37" t="s">
        <v>3853</v>
      </c>
    </row>
    <row r="3730" spans="1:10" x14ac:dyDescent="0.25">
      <c r="A3730" s="32" t="s">
        <v>34</v>
      </c>
      <c r="B3730" s="32">
        <f t="shared" si="900"/>
        <v>2027</v>
      </c>
      <c r="C3730" s="33" t="s">
        <v>49</v>
      </c>
      <c r="D3730" s="34" t="s">
        <v>1999</v>
      </c>
      <c r="E3730" s="35" t="str">
        <f t="shared" si="896"/>
        <v>PS'!</v>
      </c>
      <c r="F3730" s="34" t="str">
        <f t="shared" si="897"/>
        <v>C:\Users\jaime.benazar\Quorum Business Solutions\Ecopetrol Prometeo - Documents\Planning Space Implementation\3. Analysis &amp; Design\Design\FC22\DRR Jaime\QUIFA-CAJÚA\Cajua\[CAJUA_CF_SEC_New_27-Feb-2024Rev3.xlsx]D-PS'!</v>
      </c>
      <c r="G3730" s="32" t="s">
        <v>111</v>
      </c>
      <c r="H3730" s="33">
        <f t="shared" si="899"/>
        <v>16</v>
      </c>
      <c r="I3730" s="33" t="str">
        <f t="shared" si="898"/>
        <v>='C:\Users\jaime.benazar\Quorum Business Solutions\Ecopetrol Prometeo - Documents\Planning Space Implementation\3. Analysis &amp; Design\Design\FC22\DRR Jaime\QUIFA-CAJÚA\Cajua\[CAJUA_CF_SEC_New_27-Feb-2024Rev3.xlsx]D-PS'!$BE$16</v>
      </c>
      <c r="J3730" s="37" t="s">
        <v>3854</v>
      </c>
    </row>
    <row r="3731" spans="1:10" x14ac:dyDescent="0.25">
      <c r="A3731" s="32" t="s">
        <v>34</v>
      </c>
      <c r="B3731" s="32">
        <f t="shared" si="900"/>
        <v>2028</v>
      </c>
      <c r="C3731" s="33" t="s">
        <v>49</v>
      </c>
      <c r="D3731" s="34" t="s">
        <v>1999</v>
      </c>
      <c r="E3731" s="35" t="str">
        <f t="shared" si="896"/>
        <v>PS'!</v>
      </c>
      <c r="F3731" s="34" t="str">
        <f t="shared" si="897"/>
        <v>C:\Users\jaime.benazar\Quorum Business Solutions\Ecopetrol Prometeo - Documents\Planning Space Implementation\3. Analysis &amp; Design\Design\FC22\DRR Jaime\QUIFA-CAJÚA\Cajua\[CAJUA_CF_SEC_New_27-Feb-2024Rev3.xlsx]D-PS'!</v>
      </c>
      <c r="G3731" s="32" t="s">
        <v>111</v>
      </c>
      <c r="H3731" s="33">
        <f t="shared" si="899"/>
        <v>17</v>
      </c>
      <c r="I3731" s="33" t="str">
        <f t="shared" si="898"/>
        <v>='C:\Users\jaime.benazar\Quorum Business Solutions\Ecopetrol Prometeo - Documents\Planning Space Implementation\3. Analysis &amp; Design\Design\FC22\DRR Jaime\QUIFA-CAJÚA\Cajua\[CAJUA_CF_SEC_New_27-Feb-2024Rev3.xlsx]D-PS'!$BE$17</v>
      </c>
      <c r="J3731" s="37" t="s">
        <v>3855</v>
      </c>
    </row>
    <row r="3732" spans="1:10" x14ac:dyDescent="0.25">
      <c r="A3732" s="32" t="s">
        <v>34</v>
      </c>
      <c r="B3732" s="32">
        <f t="shared" si="900"/>
        <v>2029</v>
      </c>
      <c r="C3732" s="33" t="s">
        <v>49</v>
      </c>
      <c r="D3732" s="34" t="s">
        <v>1999</v>
      </c>
      <c r="E3732" s="35" t="str">
        <f t="shared" si="896"/>
        <v>PS'!</v>
      </c>
      <c r="F3732" s="34" t="str">
        <f t="shared" si="897"/>
        <v>C:\Users\jaime.benazar\Quorum Business Solutions\Ecopetrol Prometeo - Documents\Planning Space Implementation\3. Analysis &amp; Design\Design\FC22\DRR Jaime\QUIFA-CAJÚA\Cajua\[CAJUA_CF_SEC_New_27-Feb-2024Rev3.xlsx]D-PS'!</v>
      </c>
      <c r="G3732" s="32" t="s">
        <v>111</v>
      </c>
      <c r="H3732" s="33">
        <f t="shared" si="899"/>
        <v>18</v>
      </c>
      <c r="I3732" s="33" t="str">
        <f t="shared" si="898"/>
        <v>='C:\Users\jaime.benazar\Quorum Business Solutions\Ecopetrol Prometeo - Documents\Planning Space Implementation\3. Analysis &amp; Design\Design\FC22\DRR Jaime\QUIFA-CAJÚA\Cajua\[CAJUA_CF_SEC_New_27-Feb-2024Rev3.xlsx]D-PS'!$BE$18</v>
      </c>
      <c r="J3732" s="37" t="s">
        <v>3856</v>
      </c>
    </row>
    <row r="3733" spans="1:10" x14ac:dyDescent="0.25">
      <c r="A3733" s="32" t="s">
        <v>34</v>
      </c>
      <c r="B3733" s="32">
        <f t="shared" si="900"/>
        <v>2030</v>
      </c>
      <c r="C3733" s="33" t="s">
        <v>49</v>
      </c>
      <c r="D3733" s="34" t="s">
        <v>1999</v>
      </c>
      <c r="E3733" s="35" t="str">
        <f t="shared" si="896"/>
        <v>PS'!</v>
      </c>
      <c r="F3733" s="34" t="str">
        <f t="shared" si="897"/>
        <v>C:\Users\jaime.benazar\Quorum Business Solutions\Ecopetrol Prometeo - Documents\Planning Space Implementation\3. Analysis &amp; Design\Design\FC22\DRR Jaime\QUIFA-CAJÚA\Cajua\[CAJUA_CF_SEC_New_27-Feb-2024Rev3.xlsx]D-PS'!</v>
      </c>
      <c r="G3733" s="32" t="s">
        <v>111</v>
      </c>
      <c r="H3733" s="33">
        <f t="shared" si="899"/>
        <v>19</v>
      </c>
      <c r="I3733" s="33" t="str">
        <f t="shared" si="898"/>
        <v>='C:\Users\jaime.benazar\Quorum Business Solutions\Ecopetrol Prometeo - Documents\Planning Space Implementation\3. Analysis &amp; Design\Design\FC22\DRR Jaime\QUIFA-CAJÚA\Cajua\[CAJUA_CF_SEC_New_27-Feb-2024Rev3.xlsx]D-PS'!$BE$19</v>
      </c>
      <c r="J3733" s="37" t="s">
        <v>3857</v>
      </c>
    </row>
    <row r="3734" spans="1:10" x14ac:dyDescent="0.25">
      <c r="A3734" s="32" t="s">
        <v>34</v>
      </c>
      <c r="B3734" s="32">
        <f t="shared" si="900"/>
        <v>2031</v>
      </c>
      <c r="C3734" s="33" t="s">
        <v>49</v>
      </c>
      <c r="D3734" s="34" t="s">
        <v>1999</v>
      </c>
      <c r="E3734" s="35" t="str">
        <f t="shared" si="896"/>
        <v>PS'!</v>
      </c>
      <c r="F3734" s="34" t="str">
        <f t="shared" si="897"/>
        <v>C:\Users\jaime.benazar\Quorum Business Solutions\Ecopetrol Prometeo - Documents\Planning Space Implementation\3. Analysis &amp; Design\Design\FC22\DRR Jaime\QUIFA-CAJÚA\Cajua\[CAJUA_CF_SEC_New_27-Feb-2024Rev3.xlsx]D-PS'!</v>
      </c>
      <c r="G3734" s="32" t="s">
        <v>111</v>
      </c>
      <c r="H3734" s="33">
        <f t="shared" si="899"/>
        <v>20</v>
      </c>
      <c r="I3734" s="33" t="str">
        <f t="shared" si="898"/>
        <v>='C:\Users\jaime.benazar\Quorum Business Solutions\Ecopetrol Prometeo - Documents\Planning Space Implementation\3. Analysis &amp; Design\Design\FC22\DRR Jaime\QUIFA-CAJÚA\Cajua\[CAJUA_CF_SEC_New_27-Feb-2024Rev3.xlsx]D-PS'!$BE$20</v>
      </c>
      <c r="J3734" s="37" t="s">
        <v>3858</v>
      </c>
    </row>
    <row r="3735" spans="1:10" x14ac:dyDescent="0.25">
      <c r="A3735" s="32" t="s">
        <v>34</v>
      </c>
      <c r="B3735" s="32">
        <f t="shared" si="900"/>
        <v>2032</v>
      </c>
      <c r="C3735" s="33" t="s">
        <v>49</v>
      </c>
      <c r="D3735" s="34" t="s">
        <v>1999</v>
      </c>
      <c r="E3735" s="35" t="str">
        <f t="shared" si="896"/>
        <v>PS'!</v>
      </c>
      <c r="F3735" s="34" t="str">
        <f t="shared" si="897"/>
        <v>C:\Users\jaime.benazar\Quorum Business Solutions\Ecopetrol Prometeo - Documents\Planning Space Implementation\3. Analysis &amp; Design\Design\FC22\DRR Jaime\QUIFA-CAJÚA\Cajua\[CAJUA_CF_SEC_New_27-Feb-2024Rev3.xlsx]D-PS'!</v>
      </c>
      <c r="G3735" s="32" t="s">
        <v>111</v>
      </c>
      <c r="H3735" s="33">
        <f t="shared" si="899"/>
        <v>21</v>
      </c>
      <c r="I3735" s="33" t="str">
        <f t="shared" si="898"/>
        <v>='C:\Users\jaime.benazar\Quorum Business Solutions\Ecopetrol Prometeo - Documents\Planning Space Implementation\3. Analysis &amp; Design\Design\FC22\DRR Jaime\QUIFA-CAJÚA\Cajua\[CAJUA_CF_SEC_New_27-Feb-2024Rev3.xlsx]D-PS'!$BE$21</v>
      </c>
      <c r="J3735" s="37" t="s">
        <v>3859</v>
      </c>
    </row>
    <row r="3736" spans="1:10" x14ac:dyDescent="0.25">
      <c r="A3736" s="32" t="s">
        <v>34</v>
      </c>
      <c r="B3736" s="32">
        <f t="shared" si="900"/>
        <v>2033</v>
      </c>
      <c r="C3736" s="33" t="s">
        <v>49</v>
      </c>
      <c r="D3736" s="34" t="s">
        <v>1999</v>
      </c>
      <c r="E3736" s="35" t="str">
        <f t="shared" si="896"/>
        <v>PS'!</v>
      </c>
      <c r="F3736" s="34" t="str">
        <f t="shared" si="897"/>
        <v>C:\Users\jaime.benazar\Quorum Business Solutions\Ecopetrol Prometeo - Documents\Planning Space Implementation\3. Analysis &amp; Design\Design\FC22\DRR Jaime\QUIFA-CAJÚA\Cajua\[CAJUA_CF_SEC_New_27-Feb-2024Rev3.xlsx]D-PS'!</v>
      </c>
      <c r="G3736" s="32" t="s">
        <v>111</v>
      </c>
      <c r="H3736" s="33">
        <f t="shared" si="899"/>
        <v>22</v>
      </c>
      <c r="I3736" s="33" t="str">
        <f t="shared" si="898"/>
        <v>='C:\Users\jaime.benazar\Quorum Business Solutions\Ecopetrol Prometeo - Documents\Planning Space Implementation\3. Analysis &amp; Design\Design\FC22\DRR Jaime\QUIFA-CAJÚA\Cajua\[CAJUA_CF_SEC_New_27-Feb-2024Rev3.xlsx]D-PS'!$BE$22</v>
      </c>
      <c r="J3736" s="37" t="s">
        <v>3860</v>
      </c>
    </row>
    <row r="3737" spans="1:10" x14ac:dyDescent="0.25">
      <c r="A3737" s="32" t="s">
        <v>34</v>
      </c>
      <c r="B3737" s="32">
        <f t="shared" si="900"/>
        <v>2034</v>
      </c>
      <c r="C3737" s="33" t="s">
        <v>49</v>
      </c>
      <c r="D3737" s="34" t="s">
        <v>1999</v>
      </c>
      <c r="E3737" s="35" t="str">
        <f t="shared" si="896"/>
        <v>PS'!</v>
      </c>
      <c r="F3737" s="34" t="str">
        <f t="shared" si="897"/>
        <v>C:\Users\jaime.benazar\Quorum Business Solutions\Ecopetrol Prometeo - Documents\Planning Space Implementation\3. Analysis &amp; Design\Design\FC22\DRR Jaime\QUIFA-CAJÚA\Cajua\[CAJUA_CF_SEC_New_27-Feb-2024Rev3.xlsx]D-PS'!</v>
      </c>
      <c r="G3737" s="32" t="s">
        <v>111</v>
      </c>
      <c r="H3737" s="33">
        <f t="shared" si="899"/>
        <v>23</v>
      </c>
      <c r="I3737" s="33" t="str">
        <f t="shared" si="898"/>
        <v>='C:\Users\jaime.benazar\Quorum Business Solutions\Ecopetrol Prometeo - Documents\Planning Space Implementation\3. Analysis &amp; Design\Design\FC22\DRR Jaime\QUIFA-CAJÚA\Cajua\[CAJUA_CF_SEC_New_27-Feb-2024Rev3.xlsx]D-PS'!$BE$23</v>
      </c>
      <c r="J3737" s="37" t="s">
        <v>3861</v>
      </c>
    </row>
    <row r="3738" spans="1:10" x14ac:dyDescent="0.25">
      <c r="A3738" s="32" t="s">
        <v>34</v>
      </c>
      <c r="B3738" s="32">
        <f t="shared" si="900"/>
        <v>2035</v>
      </c>
      <c r="C3738" s="33" t="s">
        <v>49</v>
      </c>
      <c r="D3738" s="34" t="s">
        <v>1999</v>
      </c>
      <c r="E3738" s="35" t="str">
        <f t="shared" si="896"/>
        <v>PS'!</v>
      </c>
      <c r="F3738" s="34" t="str">
        <f t="shared" si="897"/>
        <v>C:\Users\jaime.benazar\Quorum Business Solutions\Ecopetrol Prometeo - Documents\Planning Space Implementation\3. Analysis &amp; Design\Design\FC22\DRR Jaime\QUIFA-CAJÚA\Cajua\[CAJUA_CF_SEC_New_27-Feb-2024Rev3.xlsx]D-PS'!</v>
      </c>
      <c r="G3738" s="32" t="s">
        <v>111</v>
      </c>
      <c r="H3738" s="33">
        <f t="shared" si="899"/>
        <v>24</v>
      </c>
      <c r="I3738" s="33" t="str">
        <f t="shared" si="898"/>
        <v>='C:\Users\jaime.benazar\Quorum Business Solutions\Ecopetrol Prometeo - Documents\Planning Space Implementation\3. Analysis &amp; Design\Design\FC22\DRR Jaime\QUIFA-CAJÚA\Cajua\[CAJUA_CF_SEC_New_27-Feb-2024Rev3.xlsx]D-PS'!$BE$24</v>
      </c>
      <c r="J3738" s="37" t="s">
        <v>3862</v>
      </c>
    </row>
    <row r="3739" spans="1:10" x14ac:dyDescent="0.25">
      <c r="A3739" s="32" t="s">
        <v>34</v>
      </c>
      <c r="B3739" s="32">
        <f t="shared" si="900"/>
        <v>2036</v>
      </c>
      <c r="C3739" s="33" t="s">
        <v>49</v>
      </c>
      <c r="D3739" s="34" t="s">
        <v>1999</v>
      </c>
      <c r="E3739" s="35" t="str">
        <f t="shared" si="896"/>
        <v>PS'!</v>
      </c>
      <c r="F3739" s="34" t="str">
        <f t="shared" si="897"/>
        <v>C:\Users\jaime.benazar\Quorum Business Solutions\Ecopetrol Prometeo - Documents\Planning Space Implementation\3. Analysis &amp; Design\Design\FC22\DRR Jaime\QUIFA-CAJÚA\Cajua\[CAJUA_CF_SEC_New_27-Feb-2024Rev3.xlsx]D-PS'!</v>
      </c>
      <c r="G3739" s="32" t="s">
        <v>111</v>
      </c>
      <c r="H3739" s="33">
        <f t="shared" si="899"/>
        <v>25</v>
      </c>
      <c r="I3739" s="33" t="str">
        <f t="shared" si="898"/>
        <v>='C:\Users\jaime.benazar\Quorum Business Solutions\Ecopetrol Prometeo - Documents\Planning Space Implementation\3. Analysis &amp; Design\Design\FC22\DRR Jaime\QUIFA-CAJÚA\Cajua\[CAJUA_CF_SEC_New_27-Feb-2024Rev3.xlsx]D-PS'!$BE$25</v>
      </c>
      <c r="J3739" s="37" t="s">
        <v>3863</v>
      </c>
    </row>
    <row r="3740" spans="1:10" x14ac:dyDescent="0.25">
      <c r="A3740" s="32" t="s">
        <v>34</v>
      </c>
      <c r="B3740" s="32">
        <f>+B3739+1</f>
        <v>2037</v>
      </c>
      <c r="C3740" s="33" t="s">
        <v>49</v>
      </c>
      <c r="D3740" s="34" t="s">
        <v>1999</v>
      </c>
      <c r="E3740" s="35" t="str">
        <f t="shared" si="896"/>
        <v>PS'!</v>
      </c>
      <c r="F3740" s="34" t="str">
        <f t="shared" si="897"/>
        <v>C:\Users\jaime.benazar\Quorum Business Solutions\Ecopetrol Prometeo - Documents\Planning Space Implementation\3. Analysis &amp; Design\Design\FC22\DRR Jaime\QUIFA-CAJÚA\Cajua\[CAJUA_CF_SEC_New_27-Feb-2024Rev3.xlsx]D-PS'!</v>
      </c>
      <c r="G3740" s="32" t="s">
        <v>111</v>
      </c>
      <c r="H3740" s="33">
        <f t="shared" si="899"/>
        <v>26</v>
      </c>
      <c r="I3740" s="33" t="str">
        <f t="shared" si="898"/>
        <v>='C:\Users\jaime.benazar\Quorum Business Solutions\Ecopetrol Prometeo - Documents\Planning Space Implementation\3. Analysis &amp; Design\Design\FC22\DRR Jaime\QUIFA-CAJÚA\Cajua\[CAJUA_CF_SEC_New_27-Feb-2024Rev3.xlsx]D-PS'!$BE$26</v>
      </c>
      <c r="J3740" s="37" t="s">
        <v>3864</v>
      </c>
    </row>
    <row r="3741" spans="1:10" x14ac:dyDescent="0.25">
      <c r="A3741" s="32" t="s">
        <v>34</v>
      </c>
      <c r="B3741" s="32">
        <f t="shared" ref="B3741:B3743" si="901">+B3740+1</f>
        <v>2038</v>
      </c>
      <c r="C3741" s="33" t="s">
        <v>49</v>
      </c>
      <c r="D3741" s="34" t="s">
        <v>1999</v>
      </c>
      <c r="E3741" s="35" t="str">
        <f t="shared" si="896"/>
        <v>PS'!</v>
      </c>
      <c r="F3741" s="34" t="str">
        <f t="shared" si="897"/>
        <v>C:\Users\jaime.benazar\Quorum Business Solutions\Ecopetrol Prometeo - Documents\Planning Space Implementation\3. Analysis &amp; Design\Design\FC22\DRR Jaime\QUIFA-CAJÚA\Cajua\[CAJUA_CF_SEC_New_27-Feb-2024Rev3.xlsx]D-PS'!</v>
      </c>
      <c r="G3741" s="32" t="s">
        <v>111</v>
      </c>
      <c r="H3741" s="33">
        <f t="shared" si="899"/>
        <v>27</v>
      </c>
      <c r="I3741" s="33" t="str">
        <f t="shared" si="898"/>
        <v>='C:\Users\jaime.benazar\Quorum Business Solutions\Ecopetrol Prometeo - Documents\Planning Space Implementation\3. Analysis &amp; Design\Design\FC22\DRR Jaime\QUIFA-CAJÚA\Cajua\[CAJUA_CF_SEC_New_27-Feb-2024Rev3.xlsx]D-PS'!$BE$27</v>
      </c>
      <c r="J3741" s="37" t="s">
        <v>3865</v>
      </c>
    </row>
    <row r="3742" spans="1:10" x14ac:dyDescent="0.25">
      <c r="A3742" s="32" t="s">
        <v>34</v>
      </c>
      <c r="B3742" s="32">
        <f t="shared" si="901"/>
        <v>2039</v>
      </c>
      <c r="C3742" s="33" t="s">
        <v>49</v>
      </c>
      <c r="D3742" s="34" t="s">
        <v>1999</v>
      </c>
      <c r="E3742" s="35" t="str">
        <f t="shared" si="896"/>
        <v>PS'!</v>
      </c>
      <c r="F3742" s="34" t="str">
        <f t="shared" si="897"/>
        <v>C:\Users\jaime.benazar\Quorum Business Solutions\Ecopetrol Prometeo - Documents\Planning Space Implementation\3. Analysis &amp; Design\Design\FC22\DRR Jaime\QUIFA-CAJÚA\Cajua\[CAJUA_CF_SEC_New_27-Feb-2024Rev3.xlsx]D-PS'!</v>
      </c>
      <c r="G3742" s="32" t="s">
        <v>111</v>
      </c>
      <c r="H3742" s="33">
        <f t="shared" si="899"/>
        <v>28</v>
      </c>
      <c r="I3742" s="33" t="str">
        <f t="shared" si="898"/>
        <v>='C:\Users\jaime.benazar\Quorum Business Solutions\Ecopetrol Prometeo - Documents\Planning Space Implementation\3. Analysis &amp; Design\Design\FC22\DRR Jaime\QUIFA-CAJÚA\Cajua\[CAJUA_CF_SEC_New_27-Feb-2024Rev3.xlsx]D-PS'!$BE$28</v>
      </c>
      <c r="J3742" s="37" t="s">
        <v>3866</v>
      </c>
    </row>
    <row r="3743" spans="1:10" x14ac:dyDescent="0.25">
      <c r="A3743" s="32" t="s">
        <v>34</v>
      </c>
      <c r="B3743" s="32">
        <f t="shared" si="901"/>
        <v>2040</v>
      </c>
      <c r="C3743" s="33" t="s">
        <v>49</v>
      </c>
      <c r="D3743" s="34" t="s">
        <v>1999</v>
      </c>
      <c r="E3743" s="35" t="str">
        <f t="shared" si="896"/>
        <v>PS'!</v>
      </c>
      <c r="F3743" s="34" t="str">
        <f t="shared" si="897"/>
        <v>C:\Users\jaime.benazar\Quorum Business Solutions\Ecopetrol Prometeo - Documents\Planning Space Implementation\3. Analysis &amp; Design\Design\FC22\DRR Jaime\QUIFA-CAJÚA\Cajua\[CAJUA_CF_SEC_New_27-Feb-2024Rev3.xlsx]D-PS'!</v>
      </c>
      <c r="G3743" s="32" t="s">
        <v>111</v>
      </c>
      <c r="H3743" s="33">
        <f t="shared" si="899"/>
        <v>29</v>
      </c>
      <c r="I3743" s="33" t="str">
        <f t="shared" si="898"/>
        <v>='C:\Users\jaime.benazar\Quorum Business Solutions\Ecopetrol Prometeo - Documents\Planning Space Implementation\3. Analysis &amp; Design\Design\FC22\DRR Jaime\QUIFA-CAJÚA\Cajua\[CAJUA_CF_SEC_New_27-Feb-2024Rev3.xlsx]D-PS'!$BE$29</v>
      </c>
      <c r="J3743" s="37" t="s">
        <v>3867</v>
      </c>
    </row>
    <row r="3744" spans="1:10" x14ac:dyDescent="0.25">
      <c r="A3744" s="32" t="s">
        <v>34</v>
      </c>
      <c r="B3744" s="32">
        <f>+B3743+1</f>
        <v>2041</v>
      </c>
      <c r="C3744" s="33" t="s">
        <v>49</v>
      </c>
      <c r="D3744" s="34" t="s">
        <v>1999</v>
      </c>
      <c r="E3744" s="35" t="str">
        <f t="shared" si="896"/>
        <v>PS'!</v>
      </c>
      <c r="F3744" s="34" t="str">
        <f t="shared" si="897"/>
        <v>C:\Users\jaime.benazar\Quorum Business Solutions\Ecopetrol Prometeo - Documents\Planning Space Implementation\3. Analysis &amp; Design\Design\FC22\DRR Jaime\QUIFA-CAJÚA\Cajua\[CAJUA_CF_SEC_New_27-Feb-2024Rev3.xlsx]D-PS'!</v>
      </c>
      <c r="G3744" s="32" t="s">
        <v>111</v>
      </c>
      <c r="H3744" s="33">
        <f t="shared" si="899"/>
        <v>30</v>
      </c>
      <c r="I3744" s="33" t="str">
        <f t="shared" si="898"/>
        <v>='C:\Users\jaime.benazar\Quorum Business Solutions\Ecopetrol Prometeo - Documents\Planning Space Implementation\3. Analysis &amp; Design\Design\FC22\DRR Jaime\QUIFA-CAJÚA\Cajua\[CAJUA_CF_SEC_New_27-Feb-2024Rev3.xlsx]D-PS'!$BE$30</v>
      </c>
      <c r="J3744" s="37" t="s">
        <v>3868</v>
      </c>
    </row>
    <row r="3745" spans="1:10" x14ac:dyDescent="0.25">
      <c r="A3745" s="32" t="s">
        <v>34</v>
      </c>
      <c r="B3745" s="32">
        <f t="shared" ref="B3745:B3746" si="902">+B3744+1</f>
        <v>2042</v>
      </c>
      <c r="C3745" s="33" t="s">
        <v>49</v>
      </c>
      <c r="D3745" s="34" t="s">
        <v>1999</v>
      </c>
      <c r="E3745" s="35" t="str">
        <f t="shared" si="896"/>
        <v>PS'!</v>
      </c>
      <c r="F3745" s="34" t="str">
        <f t="shared" si="897"/>
        <v>C:\Users\jaime.benazar\Quorum Business Solutions\Ecopetrol Prometeo - Documents\Planning Space Implementation\3. Analysis &amp; Design\Design\FC22\DRR Jaime\QUIFA-CAJÚA\Cajua\[CAJUA_CF_SEC_New_27-Feb-2024Rev3.xlsx]D-PS'!</v>
      </c>
      <c r="G3745" s="32" t="s">
        <v>111</v>
      </c>
      <c r="H3745" s="33">
        <f t="shared" si="899"/>
        <v>31</v>
      </c>
      <c r="I3745" s="33" t="str">
        <f t="shared" si="898"/>
        <v>='C:\Users\jaime.benazar\Quorum Business Solutions\Ecopetrol Prometeo - Documents\Planning Space Implementation\3. Analysis &amp; Design\Design\FC22\DRR Jaime\QUIFA-CAJÚA\Cajua\[CAJUA_CF_SEC_New_27-Feb-2024Rev3.xlsx]D-PS'!$BE$31</v>
      </c>
      <c r="J3745" s="37" t="s">
        <v>3869</v>
      </c>
    </row>
    <row r="3746" spans="1:10" x14ac:dyDescent="0.25">
      <c r="A3746" s="32" t="s">
        <v>34</v>
      </c>
      <c r="B3746" s="32">
        <f t="shared" si="902"/>
        <v>2043</v>
      </c>
      <c r="C3746" s="33" t="s">
        <v>49</v>
      </c>
      <c r="D3746" s="34" t="s">
        <v>1999</v>
      </c>
      <c r="E3746" s="35" t="str">
        <f t="shared" si="896"/>
        <v>PS'!</v>
      </c>
      <c r="F3746" s="34" t="str">
        <f t="shared" si="897"/>
        <v>C:\Users\jaime.benazar\Quorum Business Solutions\Ecopetrol Prometeo - Documents\Planning Space Implementation\3. Analysis &amp; Design\Design\FC22\DRR Jaime\QUIFA-CAJÚA\Cajua\[CAJUA_CF_SEC_New_27-Feb-2024Rev3.xlsx]D-PS'!</v>
      </c>
      <c r="G3746" s="32" t="s">
        <v>111</v>
      </c>
      <c r="H3746" s="33">
        <f t="shared" si="899"/>
        <v>32</v>
      </c>
      <c r="I3746" s="33" t="str">
        <f t="shared" si="898"/>
        <v>='C:\Users\jaime.benazar\Quorum Business Solutions\Ecopetrol Prometeo - Documents\Planning Space Implementation\3. Analysis &amp; Design\Design\FC22\DRR Jaime\QUIFA-CAJÚA\Cajua\[CAJUA_CF_SEC_New_27-Feb-2024Rev3.xlsx]D-PS'!$BE$32</v>
      </c>
      <c r="J3746" s="37" t="s">
        <v>3870</v>
      </c>
    </row>
    <row r="3747" spans="1:10" x14ac:dyDescent="0.25">
      <c r="A3747" s="32" t="s">
        <v>34</v>
      </c>
      <c r="B3747" s="32">
        <f>+B3746+1</f>
        <v>2044</v>
      </c>
      <c r="C3747" s="33" t="s">
        <v>49</v>
      </c>
      <c r="D3747" s="34" t="s">
        <v>1999</v>
      </c>
      <c r="E3747" s="35" t="str">
        <f t="shared" ref="E3747:E3762" si="903">_xlfn.CONCAT(A3747,"'!")</f>
        <v>PS'!</v>
      </c>
      <c r="F3747" s="34" t="str">
        <f t="shared" ref="F3747:F3762" si="904">_xlfn.CONCAT(D3747:E3747)</f>
        <v>C:\Users\jaime.benazar\Quorum Business Solutions\Ecopetrol Prometeo - Documents\Planning Space Implementation\3. Analysis &amp; Design\Design\FC22\DRR Jaime\QUIFA-CAJÚA\Cajua\[CAJUA_CF_SEC_New_27-Feb-2024Rev3.xlsx]D-PS'!</v>
      </c>
      <c r="G3747" s="32" t="s">
        <v>111</v>
      </c>
      <c r="H3747" s="33">
        <f t="shared" ref="H3747:H3762" si="905">IF(A3747&lt;&gt;A3746,36,H3746+1)</f>
        <v>33</v>
      </c>
      <c r="I3747" s="33" t="str">
        <f t="shared" ref="I3747:I3762" si="906">_xlfn.CONCAT("='",F3747:H3747)</f>
        <v>='C:\Users\jaime.benazar\Quorum Business Solutions\Ecopetrol Prometeo - Documents\Planning Space Implementation\3. Analysis &amp; Design\Design\FC22\DRR Jaime\QUIFA-CAJÚA\Cajua\[CAJUA_CF_SEC_New_27-Feb-2024Rev3.xlsx]D-PS'!$BE$33</v>
      </c>
      <c r="J3747" s="37" t="s">
        <v>3871</v>
      </c>
    </row>
    <row r="3748" spans="1:10" x14ac:dyDescent="0.25">
      <c r="A3748" s="32" t="s">
        <v>34</v>
      </c>
      <c r="B3748" s="32">
        <f t="shared" ref="B3748:B3762" si="907">+B3747+1</f>
        <v>2045</v>
      </c>
      <c r="C3748" s="33" t="s">
        <v>49</v>
      </c>
      <c r="D3748" s="34" t="s">
        <v>1999</v>
      </c>
      <c r="E3748" s="35" t="str">
        <f t="shared" si="903"/>
        <v>PS'!</v>
      </c>
      <c r="F3748" s="34" t="str">
        <f t="shared" si="904"/>
        <v>C:\Users\jaime.benazar\Quorum Business Solutions\Ecopetrol Prometeo - Documents\Planning Space Implementation\3. Analysis &amp; Design\Design\FC22\DRR Jaime\QUIFA-CAJÚA\Cajua\[CAJUA_CF_SEC_New_27-Feb-2024Rev3.xlsx]D-PS'!</v>
      </c>
      <c r="G3748" s="32" t="s">
        <v>111</v>
      </c>
      <c r="H3748" s="33">
        <f t="shared" si="905"/>
        <v>34</v>
      </c>
      <c r="I3748" s="33" t="str">
        <f t="shared" si="906"/>
        <v>='C:\Users\jaime.benazar\Quorum Business Solutions\Ecopetrol Prometeo - Documents\Planning Space Implementation\3. Analysis &amp; Design\Design\FC22\DRR Jaime\QUIFA-CAJÚA\Cajua\[CAJUA_CF_SEC_New_27-Feb-2024Rev3.xlsx]D-PS'!$BE$34</v>
      </c>
      <c r="J3748" s="37" t="s">
        <v>3872</v>
      </c>
    </row>
    <row r="3749" spans="1:10" x14ac:dyDescent="0.25">
      <c r="A3749" s="32" t="s">
        <v>34</v>
      </c>
      <c r="B3749" s="32">
        <f t="shared" si="907"/>
        <v>2046</v>
      </c>
      <c r="C3749" s="33" t="s">
        <v>49</v>
      </c>
      <c r="D3749" s="34" t="s">
        <v>1999</v>
      </c>
      <c r="E3749" s="35" t="str">
        <f t="shared" si="903"/>
        <v>PS'!</v>
      </c>
      <c r="F3749" s="34" t="str">
        <f t="shared" si="904"/>
        <v>C:\Users\jaime.benazar\Quorum Business Solutions\Ecopetrol Prometeo - Documents\Planning Space Implementation\3. Analysis &amp; Design\Design\FC22\DRR Jaime\QUIFA-CAJÚA\Cajua\[CAJUA_CF_SEC_New_27-Feb-2024Rev3.xlsx]D-PS'!</v>
      </c>
      <c r="G3749" s="32" t="s">
        <v>111</v>
      </c>
      <c r="H3749" s="33">
        <f t="shared" si="905"/>
        <v>35</v>
      </c>
      <c r="I3749" s="33" t="str">
        <f t="shared" si="906"/>
        <v>='C:\Users\jaime.benazar\Quorum Business Solutions\Ecopetrol Prometeo - Documents\Planning Space Implementation\3. Analysis &amp; Design\Design\FC22\DRR Jaime\QUIFA-CAJÚA\Cajua\[CAJUA_CF_SEC_New_27-Feb-2024Rev3.xlsx]D-PS'!$BE$35</v>
      </c>
      <c r="J3749" s="37" t="s">
        <v>3873</v>
      </c>
    </row>
    <row r="3750" spans="1:10" x14ac:dyDescent="0.25">
      <c r="A3750" s="32" t="s">
        <v>34</v>
      </c>
      <c r="B3750" s="32">
        <f t="shared" si="907"/>
        <v>2047</v>
      </c>
      <c r="C3750" s="33" t="s">
        <v>49</v>
      </c>
      <c r="D3750" s="34" t="s">
        <v>1999</v>
      </c>
      <c r="E3750" s="35" t="str">
        <f t="shared" si="903"/>
        <v>PS'!</v>
      </c>
      <c r="F3750" s="34" t="str">
        <f t="shared" si="904"/>
        <v>C:\Users\jaime.benazar\Quorum Business Solutions\Ecopetrol Prometeo - Documents\Planning Space Implementation\3. Analysis &amp; Design\Design\FC22\DRR Jaime\QUIFA-CAJÚA\Cajua\[CAJUA_CF_SEC_New_27-Feb-2024Rev3.xlsx]D-PS'!</v>
      </c>
      <c r="G3750" s="32" t="s">
        <v>111</v>
      </c>
      <c r="H3750" s="33">
        <f t="shared" si="905"/>
        <v>36</v>
      </c>
      <c r="I3750" s="33" t="str">
        <f t="shared" si="906"/>
        <v>='C:\Users\jaime.benazar\Quorum Business Solutions\Ecopetrol Prometeo - Documents\Planning Space Implementation\3. Analysis &amp; Design\Design\FC22\DRR Jaime\QUIFA-CAJÚA\Cajua\[CAJUA_CF_SEC_New_27-Feb-2024Rev3.xlsx]D-PS'!$BE$36</v>
      </c>
      <c r="J3750" s="37" t="s">
        <v>3874</v>
      </c>
    </row>
    <row r="3751" spans="1:10" x14ac:dyDescent="0.25">
      <c r="A3751" s="32" t="s">
        <v>34</v>
      </c>
      <c r="B3751" s="32">
        <f t="shared" si="907"/>
        <v>2048</v>
      </c>
      <c r="C3751" s="33" t="s">
        <v>49</v>
      </c>
      <c r="D3751" s="34" t="s">
        <v>1999</v>
      </c>
      <c r="E3751" s="35" t="str">
        <f t="shared" si="903"/>
        <v>PS'!</v>
      </c>
      <c r="F3751" s="34" t="str">
        <f t="shared" si="904"/>
        <v>C:\Users\jaime.benazar\Quorum Business Solutions\Ecopetrol Prometeo - Documents\Planning Space Implementation\3. Analysis &amp; Design\Design\FC22\DRR Jaime\QUIFA-CAJÚA\Cajua\[CAJUA_CF_SEC_New_27-Feb-2024Rev3.xlsx]D-PS'!</v>
      </c>
      <c r="G3751" s="32" t="s">
        <v>111</v>
      </c>
      <c r="H3751" s="33">
        <f t="shared" si="905"/>
        <v>37</v>
      </c>
      <c r="I3751" s="33" t="str">
        <f t="shared" si="906"/>
        <v>='C:\Users\jaime.benazar\Quorum Business Solutions\Ecopetrol Prometeo - Documents\Planning Space Implementation\3. Analysis &amp; Design\Design\FC22\DRR Jaime\QUIFA-CAJÚA\Cajua\[CAJUA_CF_SEC_New_27-Feb-2024Rev3.xlsx]D-PS'!$BE$37</v>
      </c>
      <c r="J3751" s="37" t="s">
        <v>3875</v>
      </c>
    </row>
    <row r="3752" spans="1:10" x14ac:dyDescent="0.25">
      <c r="A3752" s="32" t="s">
        <v>34</v>
      </c>
      <c r="B3752" s="32">
        <f t="shared" si="907"/>
        <v>2049</v>
      </c>
      <c r="C3752" s="33" t="s">
        <v>49</v>
      </c>
      <c r="D3752" s="34" t="s">
        <v>1999</v>
      </c>
      <c r="E3752" s="35" t="str">
        <f t="shared" si="903"/>
        <v>PS'!</v>
      </c>
      <c r="F3752" s="34" t="str">
        <f t="shared" si="904"/>
        <v>C:\Users\jaime.benazar\Quorum Business Solutions\Ecopetrol Prometeo - Documents\Planning Space Implementation\3. Analysis &amp; Design\Design\FC22\DRR Jaime\QUIFA-CAJÚA\Cajua\[CAJUA_CF_SEC_New_27-Feb-2024Rev3.xlsx]D-PS'!</v>
      </c>
      <c r="G3752" s="32" t="s">
        <v>111</v>
      </c>
      <c r="H3752" s="33">
        <f t="shared" si="905"/>
        <v>38</v>
      </c>
      <c r="I3752" s="33" t="str">
        <f t="shared" si="906"/>
        <v>='C:\Users\jaime.benazar\Quorum Business Solutions\Ecopetrol Prometeo - Documents\Planning Space Implementation\3. Analysis &amp; Design\Design\FC22\DRR Jaime\QUIFA-CAJÚA\Cajua\[CAJUA_CF_SEC_New_27-Feb-2024Rev3.xlsx]D-PS'!$BE$38</v>
      </c>
      <c r="J3752" s="37" t="s">
        <v>3876</v>
      </c>
    </row>
    <row r="3753" spans="1:10" x14ac:dyDescent="0.25">
      <c r="A3753" s="32" t="s">
        <v>34</v>
      </c>
      <c r="B3753" s="32">
        <f t="shared" si="907"/>
        <v>2050</v>
      </c>
      <c r="C3753" s="33" t="s">
        <v>49</v>
      </c>
      <c r="D3753" s="34" t="s">
        <v>1999</v>
      </c>
      <c r="E3753" s="35" t="str">
        <f t="shared" si="903"/>
        <v>PS'!</v>
      </c>
      <c r="F3753" s="34" t="str">
        <f t="shared" si="904"/>
        <v>C:\Users\jaime.benazar\Quorum Business Solutions\Ecopetrol Prometeo - Documents\Planning Space Implementation\3. Analysis &amp; Design\Design\FC22\DRR Jaime\QUIFA-CAJÚA\Cajua\[CAJUA_CF_SEC_New_27-Feb-2024Rev3.xlsx]D-PS'!</v>
      </c>
      <c r="G3753" s="32" t="s">
        <v>111</v>
      </c>
      <c r="H3753" s="33">
        <f t="shared" si="905"/>
        <v>39</v>
      </c>
      <c r="I3753" s="33" t="str">
        <f t="shared" si="906"/>
        <v>='C:\Users\jaime.benazar\Quorum Business Solutions\Ecopetrol Prometeo - Documents\Planning Space Implementation\3. Analysis &amp; Design\Design\FC22\DRR Jaime\QUIFA-CAJÚA\Cajua\[CAJUA_CF_SEC_New_27-Feb-2024Rev3.xlsx]D-PS'!$BE$39</v>
      </c>
      <c r="J3753" s="37" t="s">
        <v>3877</v>
      </c>
    </row>
    <row r="3754" spans="1:10" x14ac:dyDescent="0.25">
      <c r="A3754" s="32" t="s">
        <v>34</v>
      </c>
      <c r="B3754" s="32">
        <f t="shared" si="907"/>
        <v>2051</v>
      </c>
      <c r="C3754" s="33" t="s">
        <v>49</v>
      </c>
      <c r="D3754" s="34" t="s">
        <v>1999</v>
      </c>
      <c r="E3754" s="35" t="str">
        <f t="shared" si="903"/>
        <v>PS'!</v>
      </c>
      <c r="F3754" s="34" t="str">
        <f t="shared" si="904"/>
        <v>C:\Users\jaime.benazar\Quorum Business Solutions\Ecopetrol Prometeo - Documents\Planning Space Implementation\3. Analysis &amp; Design\Design\FC22\DRR Jaime\QUIFA-CAJÚA\Cajua\[CAJUA_CF_SEC_New_27-Feb-2024Rev3.xlsx]D-PS'!</v>
      </c>
      <c r="G3754" s="32" t="s">
        <v>111</v>
      </c>
      <c r="H3754" s="33">
        <f t="shared" si="905"/>
        <v>40</v>
      </c>
      <c r="I3754" s="33" t="str">
        <f t="shared" si="906"/>
        <v>='C:\Users\jaime.benazar\Quorum Business Solutions\Ecopetrol Prometeo - Documents\Planning Space Implementation\3. Analysis &amp; Design\Design\FC22\DRR Jaime\QUIFA-CAJÚA\Cajua\[CAJUA_CF_SEC_New_27-Feb-2024Rev3.xlsx]D-PS'!$BE$40</v>
      </c>
      <c r="J3754" s="37" t="s">
        <v>3878</v>
      </c>
    </row>
    <row r="3755" spans="1:10" x14ac:dyDescent="0.25">
      <c r="A3755" s="32" t="s">
        <v>34</v>
      </c>
      <c r="B3755" s="32">
        <f t="shared" si="907"/>
        <v>2052</v>
      </c>
      <c r="C3755" s="33" t="s">
        <v>49</v>
      </c>
      <c r="D3755" s="34" t="s">
        <v>1999</v>
      </c>
      <c r="E3755" s="35" t="str">
        <f t="shared" si="903"/>
        <v>PS'!</v>
      </c>
      <c r="F3755" s="34" t="str">
        <f t="shared" si="904"/>
        <v>C:\Users\jaime.benazar\Quorum Business Solutions\Ecopetrol Prometeo - Documents\Planning Space Implementation\3. Analysis &amp; Design\Design\FC22\DRR Jaime\QUIFA-CAJÚA\Cajua\[CAJUA_CF_SEC_New_27-Feb-2024Rev3.xlsx]D-PS'!</v>
      </c>
      <c r="G3755" s="32" t="s">
        <v>111</v>
      </c>
      <c r="H3755" s="33">
        <f t="shared" si="905"/>
        <v>41</v>
      </c>
      <c r="I3755" s="33" t="str">
        <f t="shared" si="906"/>
        <v>='C:\Users\jaime.benazar\Quorum Business Solutions\Ecopetrol Prometeo - Documents\Planning Space Implementation\3. Analysis &amp; Design\Design\FC22\DRR Jaime\QUIFA-CAJÚA\Cajua\[CAJUA_CF_SEC_New_27-Feb-2024Rev3.xlsx]D-PS'!$BE$41</v>
      </c>
      <c r="J3755" s="37" t="s">
        <v>3879</v>
      </c>
    </row>
    <row r="3756" spans="1:10" x14ac:dyDescent="0.25">
      <c r="A3756" s="32" t="s">
        <v>34</v>
      </c>
      <c r="B3756" s="32">
        <f t="shared" si="907"/>
        <v>2053</v>
      </c>
      <c r="C3756" s="33" t="s">
        <v>49</v>
      </c>
      <c r="D3756" s="34" t="s">
        <v>1999</v>
      </c>
      <c r="E3756" s="35" t="str">
        <f t="shared" si="903"/>
        <v>PS'!</v>
      </c>
      <c r="F3756" s="34" t="str">
        <f t="shared" si="904"/>
        <v>C:\Users\jaime.benazar\Quorum Business Solutions\Ecopetrol Prometeo - Documents\Planning Space Implementation\3. Analysis &amp; Design\Design\FC22\DRR Jaime\QUIFA-CAJÚA\Cajua\[CAJUA_CF_SEC_New_27-Feb-2024Rev3.xlsx]D-PS'!</v>
      </c>
      <c r="G3756" s="32" t="s">
        <v>111</v>
      </c>
      <c r="H3756" s="33">
        <f t="shared" si="905"/>
        <v>42</v>
      </c>
      <c r="I3756" s="33" t="str">
        <f t="shared" si="906"/>
        <v>='C:\Users\jaime.benazar\Quorum Business Solutions\Ecopetrol Prometeo - Documents\Planning Space Implementation\3. Analysis &amp; Design\Design\FC22\DRR Jaime\QUIFA-CAJÚA\Cajua\[CAJUA_CF_SEC_New_27-Feb-2024Rev3.xlsx]D-PS'!$BE$42</v>
      </c>
      <c r="J3756" s="37" t="s">
        <v>3880</v>
      </c>
    </row>
    <row r="3757" spans="1:10" x14ac:dyDescent="0.25">
      <c r="A3757" s="32" t="s">
        <v>34</v>
      </c>
      <c r="B3757" s="32">
        <f t="shared" si="907"/>
        <v>2054</v>
      </c>
      <c r="C3757" s="33" t="s">
        <v>49</v>
      </c>
      <c r="D3757" s="34" t="s">
        <v>1999</v>
      </c>
      <c r="E3757" s="35" t="str">
        <f t="shared" si="903"/>
        <v>PS'!</v>
      </c>
      <c r="F3757" s="34" t="str">
        <f t="shared" si="904"/>
        <v>C:\Users\jaime.benazar\Quorum Business Solutions\Ecopetrol Prometeo - Documents\Planning Space Implementation\3. Analysis &amp; Design\Design\FC22\DRR Jaime\QUIFA-CAJÚA\Cajua\[CAJUA_CF_SEC_New_27-Feb-2024Rev3.xlsx]D-PS'!</v>
      </c>
      <c r="G3757" s="32" t="s">
        <v>111</v>
      </c>
      <c r="H3757" s="33">
        <f t="shared" si="905"/>
        <v>43</v>
      </c>
      <c r="I3757" s="33" t="str">
        <f t="shared" si="906"/>
        <v>='C:\Users\jaime.benazar\Quorum Business Solutions\Ecopetrol Prometeo - Documents\Planning Space Implementation\3. Analysis &amp; Design\Design\FC22\DRR Jaime\QUIFA-CAJÚA\Cajua\[CAJUA_CF_SEC_New_27-Feb-2024Rev3.xlsx]D-PS'!$BE$43</v>
      </c>
      <c r="J3757" s="37" t="s">
        <v>3881</v>
      </c>
    </row>
    <row r="3758" spans="1:10" x14ac:dyDescent="0.25">
      <c r="A3758" s="32" t="s">
        <v>34</v>
      </c>
      <c r="B3758" s="32">
        <f t="shared" si="907"/>
        <v>2055</v>
      </c>
      <c r="C3758" s="33" t="s">
        <v>49</v>
      </c>
      <c r="D3758" s="34" t="s">
        <v>1999</v>
      </c>
      <c r="E3758" s="35" t="str">
        <f t="shared" si="903"/>
        <v>PS'!</v>
      </c>
      <c r="F3758" s="34" t="str">
        <f t="shared" si="904"/>
        <v>C:\Users\jaime.benazar\Quorum Business Solutions\Ecopetrol Prometeo - Documents\Planning Space Implementation\3. Analysis &amp; Design\Design\FC22\DRR Jaime\QUIFA-CAJÚA\Cajua\[CAJUA_CF_SEC_New_27-Feb-2024Rev3.xlsx]D-PS'!</v>
      </c>
      <c r="G3758" s="32" t="s">
        <v>111</v>
      </c>
      <c r="H3758" s="33">
        <f t="shared" si="905"/>
        <v>44</v>
      </c>
      <c r="I3758" s="33" t="str">
        <f t="shared" si="906"/>
        <v>='C:\Users\jaime.benazar\Quorum Business Solutions\Ecopetrol Prometeo - Documents\Planning Space Implementation\3. Analysis &amp; Design\Design\FC22\DRR Jaime\QUIFA-CAJÚA\Cajua\[CAJUA_CF_SEC_New_27-Feb-2024Rev3.xlsx]D-PS'!$BE$44</v>
      </c>
      <c r="J3758" s="37" t="s">
        <v>3882</v>
      </c>
    </row>
    <row r="3759" spans="1:10" x14ac:dyDescent="0.25">
      <c r="A3759" s="32" t="s">
        <v>34</v>
      </c>
      <c r="B3759" s="32">
        <f t="shared" si="907"/>
        <v>2056</v>
      </c>
      <c r="C3759" s="33" t="s">
        <v>49</v>
      </c>
      <c r="D3759" s="34" t="s">
        <v>1999</v>
      </c>
      <c r="E3759" s="35" t="str">
        <f t="shared" si="903"/>
        <v>PS'!</v>
      </c>
      <c r="F3759" s="34" t="str">
        <f t="shared" si="904"/>
        <v>C:\Users\jaime.benazar\Quorum Business Solutions\Ecopetrol Prometeo - Documents\Planning Space Implementation\3. Analysis &amp; Design\Design\FC22\DRR Jaime\QUIFA-CAJÚA\Cajua\[CAJUA_CF_SEC_New_27-Feb-2024Rev3.xlsx]D-PS'!</v>
      </c>
      <c r="G3759" s="32" t="s">
        <v>111</v>
      </c>
      <c r="H3759" s="33">
        <f t="shared" si="905"/>
        <v>45</v>
      </c>
      <c r="I3759" s="33" t="str">
        <f t="shared" si="906"/>
        <v>='C:\Users\jaime.benazar\Quorum Business Solutions\Ecopetrol Prometeo - Documents\Planning Space Implementation\3. Analysis &amp; Design\Design\FC22\DRR Jaime\QUIFA-CAJÚA\Cajua\[CAJUA_CF_SEC_New_27-Feb-2024Rev3.xlsx]D-PS'!$BE$45</v>
      </c>
      <c r="J3759" s="37" t="s">
        <v>3883</v>
      </c>
    </row>
    <row r="3760" spans="1:10" x14ac:dyDescent="0.25">
      <c r="A3760" s="32" t="s">
        <v>34</v>
      </c>
      <c r="B3760" s="32">
        <f t="shared" si="907"/>
        <v>2057</v>
      </c>
      <c r="C3760" s="33" t="s">
        <v>49</v>
      </c>
      <c r="D3760" s="34" t="s">
        <v>1999</v>
      </c>
      <c r="E3760" s="35" t="str">
        <f t="shared" si="903"/>
        <v>PS'!</v>
      </c>
      <c r="F3760" s="34" t="str">
        <f t="shared" si="904"/>
        <v>C:\Users\jaime.benazar\Quorum Business Solutions\Ecopetrol Prometeo - Documents\Planning Space Implementation\3. Analysis &amp; Design\Design\FC22\DRR Jaime\QUIFA-CAJÚA\Cajua\[CAJUA_CF_SEC_New_27-Feb-2024Rev3.xlsx]D-PS'!</v>
      </c>
      <c r="G3760" s="32" t="s">
        <v>111</v>
      </c>
      <c r="H3760" s="33">
        <f t="shared" si="905"/>
        <v>46</v>
      </c>
      <c r="I3760" s="33" t="str">
        <f t="shared" si="906"/>
        <v>='C:\Users\jaime.benazar\Quorum Business Solutions\Ecopetrol Prometeo - Documents\Planning Space Implementation\3. Analysis &amp; Design\Design\FC22\DRR Jaime\QUIFA-CAJÚA\Cajua\[CAJUA_CF_SEC_New_27-Feb-2024Rev3.xlsx]D-PS'!$BE$46</v>
      </c>
      <c r="J3760" s="37" t="s">
        <v>3884</v>
      </c>
    </row>
    <row r="3761" spans="1:10" x14ac:dyDescent="0.25">
      <c r="A3761" s="32" t="s">
        <v>34</v>
      </c>
      <c r="B3761" s="32">
        <f t="shared" si="907"/>
        <v>2058</v>
      </c>
      <c r="C3761" s="33" t="s">
        <v>49</v>
      </c>
      <c r="D3761" s="34" t="s">
        <v>1999</v>
      </c>
      <c r="E3761" s="35" t="str">
        <f t="shared" si="903"/>
        <v>PS'!</v>
      </c>
      <c r="F3761" s="34" t="str">
        <f t="shared" si="904"/>
        <v>C:\Users\jaime.benazar\Quorum Business Solutions\Ecopetrol Prometeo - Documents\Planning Space Implementation\3. Analysis &amp; Design\Design\FC22\DRR Jaime\QUIFA-CAJÚA\Cajua\[CAJUA_CF_SEC_New_27-Feb-2024Rev3.xlsx]D-PS'!</v>
      </c>
      <c r="G3761" s="32" t="s">
        <v>111</v>
      </c>
      <c r="H3761" s="33">
        <f t="shared" si="905"/>
        <v>47</v>
      </c>
      <c r="I3761" s="33" t="str">
        <f t="shared" si="906"/>
        <v>='C:\Users\jaime.benazar\Quorum Business Solutions\Ecopetrol Prometeo - Documents\Planning Space Implementation\3. Analysis &amp; Design\Design\FC22\DRR Jaime\QUIFA-CAJÚA\Cajua\[CAJUA_CF_SEC_New_27-Feb-2024Rev3.xlsx]D-PS'!$BE$47</v>
      </c>
      <c r="J3761" s="37" t="s">
        <v>3885</v>
      </c>
    </row>
    <row r="3762" spans="1:10" x14ac:dyDescent="0.25">
      <c r="A3762" s="32" t="s">
        <v>34</v>
      </c>
      <c r="B3762" s="32">
        <f t="shared" si="907"/>
        <v>2059</v>
      </c>
      <c r="C3762" s="33" t="s">
        <v>49</v>
      </c>
      <c r="D3762" s="34" t="s">
        <v>1999</v>
      </c>
      <c r="E3762" s="35" t="str">
        <f t="shared" si="903"/>
        <v>PS'!</v>
      </c>
      <c r="F3762" s="34" t="str">
        <f t="shared" si="904"/>
        <v>C:\Users\jaime.benazar\Quorum Business Solutions\Ecopetrol Prometeo - Documents\Planning Space Implementation\3. Analysis &amp; Design\Design\FC22\DRR Jaime\QUIFA-CAJÚA\Cajua\[CAJUA_CF_SEC_New_27-Feb-2024Rev3.xlsx]D-PS'!</v>
      </c>
      <c r="G3762" s="32" t="s">
        <v>111</v>
      </c>
      <c r="H3762" s="33">
        <f t="shared" si="905"/>
        <v>48</v>
      </c>
      <c r="I3762" s="33" t="str">
        <f t="shared" si="906"/>
        <v>='C:\Users\jaime.benazar\Quorum Business Solutions\Ecopetrol Prometeo - Documents\Planning Space Implementation\3. Analysis &amp; Design\Design\FC22\DRR Jaime\QUIFA-CAJÚA\Cajua\[CAJUA_CF_SEC_New_27-Feb-2024Rev3.xlsx]D-PS'!$BE$48</v>
      </c>
      <c r="J3762" s="37" t="s">
        <v>3886</v>
      </c>
    </row>
    <row r="3763" spans="1:10" x14ac:dyDescent="0.25">
      <c r="A3763" s="32" t="s">
        <v>28</v>
      </c>
      <c r="B3763" s="32"/>
      <c r="C3763" s="33" t="s">
        <v>49</v>
      </c>
      <c r="D3763" s="34"/>
      <c r="E3763" s="35"/>
      <c r="F3763" s="34"/>
      <c r="G3763" s="32"/>
      <c r="H3763" s="33"/>
      <c r="I3763" s="33"/>
      <c r="J3763" s="33"/>
    </row>
    <row r="3764" spans="1:10" x14ac:dyDescent="0.2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Jaime\QUIFA-CAJÚA\Cajua\[CAJUA_CF_SEC_New_27-Feb-2024Rev3.xlsx]D-PDP'!</v>
      </c>
      <c r="G3764" s="32" t="s">
        <v>114</v>
      </c>
      <c r="H3764" s="33">
        <v>12</v>
      </c>
      <c r="I3764" s="33" t="str">
        <f>_xlfn.CONCAT("='",F3764:H3764)</f>
        <v>='C:\Users\jaime.benazar\Quorum Business Solutions\Ecopetrol Prometeo - Documents\Planning Space Implementation\3. Analysis &amp; Design\Design\FC22\DRR Jaime\QUIFA-CAJÚA\Cajua\[CAJUA_CF_SEC_New_27-Feb-2024Rev3.xlsx]D-PDP'!$CB$12</v>
      </c>
      <c r="J3764" s="36" t="s">
        <v>3887</v>
      </c>
    </row>
    <row r="3765" spans="1:10" x14ac:dyDescent="0.25">
      <c r="A3765" s="32" t="s">
        <v>1</v>
      </c>
      <c r="B3765" s="32">
        <f>+B3764+1</f>
        <v>2024</v>
      </c>
      <c r="C3765" s="33" t="s">
        <v>109</v>
      </c>
      <c r="D3765" s="34" t="s">
        <v>1999</v>
      </c>
      <c r="E3765" s="35" t="str">
        <f t="shared" ref="E3765:E3822" si="908">_xlfn.CONCAT(A3765,"'!")</f>
        <v>PDP'!</v>
      </c>
      <c r="F3765" s="34" t="str">
        <f t="shared" ref="F3765:F3784" si="909">_xlfn.CONCAT(D3765:E3765)</f>
        <v>C:\Users\jaime.benazar\Quorum Business Solutions\Ecopetrol Prometeo - Documents\Planning Space Implementation\3. Analysis &amp; Design\Design\FC22\DRR Jaime\QUIFA-CAJÚA\Cajua\[CAJUA_CF_SEC_New_27-Feb-2024Rev3.xlsx]D-PDP'!</v>
      </c>
      <c r="G3765" s="32" t="s">
        <v>114</v>
      </c>
      <c r="H3765" s="33">
        <f t="shared" ref="H3765:H3784" si="910">IF(A3765&lt;&gt;A3764,12,H3764+1)</f>
        <v>13</v>
      </c>
      <c r="I3765" s="33" t="str">
        <f t="shared" ref="I3765:I3784" si="911">_xlfn.CONCAT("='",F3765:H3765)</f>
        <v>='C:\Users\jaime.benazar\Quorum Business Solutions\Ecopetrol Prometeo - Documents\Planning Space Implementation\3. Analysis &amp; Design\Design\FC22\DRR Jaime\QUIFA-CAJÚA\Cajua\[CAJUA_CF_SEC_New_27-Feb-2024Rev3.xlsx]D-PDP'!$CB$13</v>
      </c>
      <c r="J3765" s="37" t="s">
        <v>3888</v>
      </c>
    </row>
    <row r="3766" spans="1:10" x14ac:dyDescent="0.25">
      <c r="A3766" s="32" t="s">
        <v>1</v>
      </c>
      <c r="B3766" s="32">
        <f t="shared" ref="B3766:B3800" si="912">+B3765+1</f>
        <v>2025</v>
      </c>
      <c r="C3766" s="33" t="s">
        <v>109</v>
      </c>
      <c r="D3766" s="34" t="s">
        <v>1999</v>
      </c>
      <c r="E3766" s="35" t="str">
        <f t="shared" si="908"/>
        <v>PDP'!</v>
      </c>
      <c r="F3766" s="34" t="str">
        <f t="shared" si="909"/>
        <v>C:\Users\jaime.benazar\Quorum Business Solutions\Ecopetrol Prometeo - Documents\Planning Space Implementation\3. Analysis &amp; Design\Design\FC22\DRR Jaime\QUIFA-CAJÚA\Cajua\[CAJUA_CF_SEC_New_27-Feb-2024Rev3.xlsx]D-PDP'!</v>
      </c>
      <c r="G3766" s="32" t="s">
        <v>114</v>
      </c>
      <c r="H3766" s="33">
        <f t="shared" si="910"/>
        <v>14</v>
      </c>
      <c r="I3766" s="33" t="str">
        <f t="shared" si="911"/>
        <v>='C:\Users\jaime.benazar\Quorum Business Solutions\Ecopetrol Prometeo - Documents\Planning Space Implementation\3. Analysis &amp; Design\Design\FC22\DRR Jaime\QUIFA-CAJÚA\Cajua\[CAJUA_CF_SEC_New_27-Feb-2024Rev3.xlsx]D-PDP'!$CB$14</v>
      </c>
      <c r="J3766" s="37" t="s">
        <v>3889</v>
      </c>
    </row>
    <row r="3767" spans="1:10" x14ac:dyDescent="0.25">
      <c r="A3767" s="32" t="s">
        <v>1</v>
      </c>
      <c r="B3767" s="32">
        <f t="shared" si="912"/>
        <v>2026</v>
      </c>
      <c r="C3767" s="33" t="s">
        <v>109</v>
      </c>
      <c r="D3767" s="34" t="s">
        <v>1999</v>
      </c>
      <c r="E3767" s="35" t="str">
        <f t="shared" si="908"/>
        <v>PDP'!</v>
      </c>
      <c r="F3767" s="34" t="str">
        <f t="shared" si="909"/>
        <v>C:\Users\jaime.benazar\Quorum Business Solutions\Ecopetrol Prometeo - Documents\Planning Space Implementation\3. Analysis &amp; Design\Design\FC22\DRR Jaime\QUIFA-CAJÚA\Cajua\[CAJUA_CF_SEC_New_27-Feb-2024Rev3.xlsx]D-PDP'!</v>
      </c>
      <c r="G3767" s="32" t="s">
        <v>114</v>
      </c>
      <c r="H3767" s="33">
        <f t="shared" si="910"/>
        <v>15</v>
      </c>
      <c r="I3767" s="33" t="str">
        <f t="shared" si="911"/>
        <v>='C:\Users\jaime.benazar\Quorum Business Solutions\Ecopetrol Prometeo - Documents\Planning Space Implementation\3. Analysis &amp; Design\Design\FC22\DRR Jaime\QUIFA-CAJÚA\Cajua\[CAJUA_CF_SEC_New_27-Feb-2024Rev3.xlsx]D-PDP'!$CB$15</v>
      </c>
      <c r="J3767" s="37" t="s">
        <v>3890</v>
      </c>
    </row>
    <row r="3768" spans="1:10" x14ac:dyDescent="0.25">
      <c r="A3768" s="32" t="s">
        <v>1</v>
      </c>
      <c r="B3768" s="32">
        <f t="shared" si="912"/>
        <v>2027</v>
      </c>
      <c r="C3768" s="33" t="s">
        <v>109</v>
      </c>
      <c r="D3768" s="34" t="s">
        <v>1999</v>
      </c>
      <c r="E3768" s="35" t="str">
        <f t="shared" si="908"/>
        <v>PDP'!</v>
      </c>
      <c r="F3768" s="34" t="str">
        <f t="shared" si="909"/>
        <v>C:\Users\jaime.benazar\Quorum Business Solutions\Ecopetrol Prometeo - Documents\Planning Space Implementation\3. Analysis &amp; Design\Design\FC22\DRR Jaime\QUIFA-CAJÚA\Cajua\[CAJUA_CF_SEC_New_27-Feb-2024Rev3.xlsx]D-PDP'!</v>
      </c>
      <c r="G3768" s="32" t="s">
        <v>114</v>
      </c>
      <c r="H3768" s="33">
        <f t="shared" si="910"/>
        <v>16</v>
      </c>
      <c r="I3768" s="33" t="str">
        <f t="shared" si="911"/>
        <v>='C:\Users\jaime.benazar\Quorum Business Solutions\Ecopetrol Prometeo - Documents\Planning Space Implementation\3. Analysis &amp; Design\Design\FC22\DRR Jaime\QUIFA-CAJÚA\Cajua\[CAJUA_CF_SEC_New_27-Feb-2024Rev3.xlsx]D-PDP'!$CB$16</v>
      </c>
      <c r="J3768" s="37" t="s">
        <v>3891</v>
      </c>
    </row>
    <row r="3769" spans="1:10" x14ac:dyDescent="0.25">
      <c r="A3769" s="32" t="s">
        <v>1</v>
      </c>
      <c r="B3769" s="32">
        <f t="shared" si="912"/>
        <v>2028</v>
      </c>
      <c r="C3769" s="33" t="s">
        <v>109</v>
      </c>
      <c r="D3769" s="34" t="s">
        <v>1999</v>
      </c>
      <c r="E3769" s="35" t="str">
        <f t="shared" si="908"/>
        <v>PDP'!</v>
      </c>
      <c r="F3769" s="34" t="str">
        <f t="shared" si="909"/>
        <v>C:\Users\jaime.benazar\Quorum Business Solutions\Ecopetrol Prometeo - Documents\Planning Space Implementation\3. Analysis &amp; Design\Design\FC22\DRR Jaime\QUIFA-CAJÚA\Cajua\[CAJUA_CF_SEC_New_27-Feb-2024Rev3.xlsx]D-PDP'!</v>
      </c>
      <c r="G3769" s="32" t="s">
        <v>114</v>
      </c>
      <c r="H3769" s="33">
        <f t="shared" si="910"/>
        <v>17</v>
      </c>
      <c r="I3769" s="33" t="str">
        <f t="shared" si="911"/>
        <v>='C:\Users\jaime.benazar\Quorum Business Solutions\Ecopetrol Prometeo - Documents\Planning Space Implementation\3. Analysis &amp; Design\Design\FC22\DRR Jaime\QUIFA-CAJÚA\Cajua\[CAJUA_CF_SEC_New_27-Feb-2024Rev3.xlsx]D-PDP'!$CB$17</v>
      </c>
      <c r="J3769" s="37" t="s">
        <v>3892</v>
      </c>
    </row>
    <row r="3770" spans="1:10" x14ac:dyDescent="0.25">
      <c r="A3770" s="32" t="s">
        <v>1</v>
      </c>
      <c r="B3770" s="32">
        <f t="shared" si="912"/>
        <v>2029</v>
      </c>
      <c r="C3770" s="33" t="s">
        <v>109</v>
      </c>
      <c r="D3770" s="34" t="s">
        <v>1999</v>
      </c>
      <c r="E3770" s="35" t="str">
        <f t="shared" si="908"/>
        <v>PDP'!</v>
      </c>
      <c r="F3770" s="34" t="str">
        <f t="shared" si="909"/>
        <v>C:\Users\jaime.benazar\Quorum Business Solutions\Ecopetrol Prometeo - Documents\Planning Space Implementation\3. Analysis &amp; Design\Design\FC22\DRR Jaime\QUIFA-CAJÚA\Cajua\[CAJUA_CF_SEC_New_27-Feb-2024Rev3.xlsx]D-PDP'!</v>
      </c>
      <c r="G3770" s="32" t="s">
        <v>114</v>
      </c>
      <c r="H3770" s="33">
        <f t="shared" si="910"/>
        <v>18</v>
      </c>
      <c r="I3770" s="33" t="str">
        <f t="shared" si="911"/>
        <v>='C:\Users\jaime.benazar\Quorum Business Solutions\Ecopetrol Prometeo - Documents\Planning Space Implementation\3. Analysis &amp; Design\Design\FC22\DRR Jaime\QUIFA-CAJÚA\Cajua\[CAJUA_CF_SEC_New_27-Feb-2024Rev3.xlsx]D-PDP'!$CB$18</v>
      </c>
      <c r="J3770" s="37" t="s">
        <v>3893</v>
      </c>
    </row>
    <row r="3771" spans="1:10" x14ac:dyDescent="0.25">
      <c r="A3771" s="32" t="s">
        <v>1</v>
      </c>
      <c r="B3771" s="32">
        <f t="shared" si="912"/>
        <v>2030</v>
      </c>
      <c r="C3771" s="33" t="s">
        <v>109</v>
      </c>
      <c r="D3771" s="34" t="s">
        <v>1999</v>
      </c>
      <c r="E3771" s="35" t="str">
        <f t="shared" si="908"/>
        <v>PDP'!</v>
      </c>
      <c r="F3771" s="34" t="str">
        <f t="shared" si="909"/>
        <v>C:\Users\jaime.benazar\Quorum Business Solutions\Ecopetrol Prometeo - Documents\Planning Space Implementation\3. Analysis &amp; Design\Design\FC22\DRR Jaime\QUIFA-CAJÚA\Cajua\[CAJUA_CF_SEC_New_27-Feb-2024Rev3.xlsx]D-PDP'!</v>
      </c>
      <c r="G3771" s="32" t="s">
        <v>114</v>
      </c>
      <c r="H3771" s="33">
        <f t="shared" si="910"/>
        <v>19</v>
      </c>
      <c r="I3771" s="33" t="str">
        <f t="shared" si="911"/>
        <v>='C:\Users\jaime.benazar\Quorum Business Solutions\Ecopetrol Prometeo - Documents\Planning Space Implementation\3. Analysis &amp; Design\Design\FC22\DRR Jaime\QUIFA-CAJÚA\Cajua\[CAJUA_CF_SEC_New_27-Feb-2024Rev3.xlsx]D-PDP'!$CB$19</v>
      </c>
      <c r="J3771" s="37" t="s">
        <v>3894</v>
      </c>
    </row>
    <row r="3772" spans="1:10" x14ac:dyDescent="0.25">
      <c r="A3772" s="32" t="s">
        <v>1</v>
      </c>
      <c r="B3772" s="32">
        <f t="shared" si="912"/>
        <v>2031</v>
      </c>
      <c r="C3772" s="33" t="s">
        <v>109</v>
      </c>
      <c r="D3772" s="34" t="s">
        <v>1999</v>
      </c>
      <c r="E3772" s="35" t="str">
        <f t="shared" si="908"/>
        <v>PDP'!</v>
      </c>
      <c r="F3772" s="34" t="str">
        <f t="shared" si="909"/>
        <v>C:\Users\jaime.benazar\Quorum Business Solutions\Ecopetrol Prometeo - Documents\Planning Space Implementation\3. Analysis &amp; Design\Design\FC22\DRR Jaime\QUIFA-CAJÚA\Cajua\[CAJUA_CF_SEC_New_27-Feb-2024Rev3.xlsx]D-PDP'!</v>
      </c>
      <c r="G3772" s="32" t="s">
        <v>114</v>
      </c>
      <c r="H3772" s="33">
        <f t="shared" si="910"/>
        <v>20</v>
      </c>
      <c r="I3772" s="33" t="str">
        <f t="shared" si="911"/>
        <v>='C:\Users\jaime.benazar\Quorum Business Solutions\Ecopetrol Prometeo - Documents\Planning Space Implementation\3. Analysis &amp; Design\Design\FC22\DRR Jaime\QUIFA-CAJÚA\Cajua\[CAJUA_CF_SEC_New_27-Feb-2024Rev3.xlsx]D-PDP'!$CB$20</v>
      </c>
      <c r="J3772" s="37" t="s">
        <v>3895</v>
      </c>
    </row>
    <row r="3773" spans="1:10" x14ac:dyDescent="0.25">
      <c r="A3773" s="32" t="s">
        <v>1</v>
      </c>
      <c r="B3773" s="32">
        <f t="shared" si="912"/>
        <v>2032</v>
      </c>
      <c r="C3773" s="33" t="s">
        <v>109</v>
      </c>
      <c r="D3773" s="34" t="s">
        <v>1999</v>
      </c>
      <c r="E3773" s="35" t="str">
        <f t="shared" si="908"/>
        <v>PDP'!</v>
      </c>
      <c r="F3773" s="34" t="str">
        <f t="shared" si="909"/>
        <v>C:\Users\jaime.benazar\Quorum Business Solutions\Ecopetrol Prometeo - Documents\Planning Space Implementation\3. Analysis &amp; Design\Design\FC22\DRR Jaime\QUIFA-CAJÚA\Cajua\[CAJUA_CF_SEC_New_27-Feb-2024Rev3.xlsx]D-PDP'!</v>
      </c>
      <c r="G3773" s="32" t="s">
        <v>114</v>
      </c>
      <c r="H3773" s="33">
        <f t="shared" si="910"/>
        <v>21</v>
      </c>
      <c r="I3773" s="33" t="str">
        <f t="shared" si="911"/>
        <v>='C:\Users\jaime.benazar\Quorum Business Solutions\Ecopetrol Prometeo - Documents\Planning Space Implementation\3. Analysis &amp; Design\Design\FC22\DRR Jaime\QUIFA-CAJÚA\Cajua\[CAJUA_CF_SEC_New_27-Feb-2024Rev3.xlsx]D-PDP'!$CB$21</v>
      </c>
      <c r="J3773" s="37" t="s">
        <v>3896</v>
      </c>
    </row>
    <row r="3774" spans="1:10" x14ac:dyDescent="0.25">
      <c r="A3774" s="32" t="s">
        <v>1</v>
      </c>
      <c r="B3774" s="32">
        <f t="shared" si="912"/>
        <v>2033</v>
      </c>
      <c r="C3774" s="33" t="s">
        <v>109</v>
      </c>
      <c r="D3774" s="34" t="s">
        <v>1999</v>
      </c>
      <c r="E3774" s="35" t="str">
        <f t="shared" si="908"/>
        <v>PDP'!</v>
      </c>
      <c r="F3774" s="34" t="str">
        <f t="shared" si="909"/>
        <v>C:\Users\jaime.benazar\Quorum Business Solutions\Ecopetrol Prometeo - Documents\Planning Space Implementation\3. Analysis &amp; Design\Design\FC22\DRR Jaime\QUIFA-CAJÚA\Cajua\[CAJUA_CF_SEC_New_27-Feb-2024Rev3.xlsx]D-PDP'!</v>
      </c>
      <c r="G3774" s="32" t="s">
        <v>114</v>
      </c>
      <c r="H3774" s="33">
        <f t="shared" si="910"/>
        <v>22</v>
      </c>
      <c r="I3774" s="33" t="str">
        <f t="shared" si="911"/>
        <v>='C:\Users\jaime.benazar\Quorum Business Solutions\Ecopetrol Prometeo - Documents\Planning Space Implementation\3. Analysis &amp; Design\Design\FC22\DRR Jaime\QUIFA-CAJÚA\Cajua\[CAJUA_CF_SEC_New_27-Feb-2024Rev3.xlsx]D-PDP'!$CB$22</v>
      </c>
      <c r="J3774" s="37" t="s">
        <v>3897</v>
      </c>
    </row>
    <row r="3775" spans="1:10" x14ac:dyDescent="0.25">
      <c r="A3775" s="32" t="s">
        <v>1</v>
      </c>
      <c r="B3775" s="32">
        <f t="shared" si="912"/>
        <v>2034</v>
      </c>
      <c r="C3775" s="33" t="s">
        <v>109</v>
      </c>
      <c r="D3775" s="34" t="s">
        <v>1999</v>
      </c>
      <c r="E3775" s="35" t="str">
        <f t="shared" si="908"/>
        <v>PDP'!</v>
      </c>
      <c r="F3775" s="34" t="str">
        <f t="shared" si="909"/>
        <v>C:\Users\jaime.benazar\Quorum Business Solutions\Ecopetrol Prometeo - Documents\Planning Space Implementation\3. Analysis &amp; Design\Design\FC22\DRR Jaime\QUIFA-CAJÚA\Cajua\[CAJUA_CF_SEC_New_27-Feb-2024Rev3.xlsx]D-PDP'!</v>
      </c>
      <c r="G3775" s="32" t="s">
        <v>114</v>
      </c>
      <c r="H3775" s="33">
        <f t="shared" si="910"/>
        <v>23</v>
      </c>
      <c r="I3775" s="33" t="str">
        <f t="shared" si="911"/>
        <v>='C:\Users\jaime.benazar\Quorum Business Solutions\Ecopetrol Prometeo - Documents\Planning Space Implementation\3. Analysis &amp; Design\Design\FC22\DRR Jaime\QUIFA-CAJÚA\Cajua\[CAJUA_CF_SEC_New_27-Feb-2024Rev3.xlsx]D-PDP'!$CB$23</v>
      </c>
      <c r="J3775" s="37" t="s">
        <v>3898</v>
      </c>
    </row>
    <row r="3776" spans="1:10" x14ac:dyDescent="0.25">
      <c r="A3776" s="32" t="s">
        <v>1</v>
      </c>
      <c r="B3776" s="32">
        <f t="shared" si="912"/>
        <v>2035</v>
      </c>
      <c r="C3776" s="33" t="s">
        <v>109</v>
      </c>
      <c r="D3776" s="34" t="s">
        <v>1999</v>
      </c>
      <c r="E3776" s="35" t="str">
        <f t="shared" si="908"/>
        <v>PDP'!</v>
      </c>
      <c r="F3776" s="34" t="str">
        <f t="shared" si="909"/>
        <v>C:\Users\jaime.benazar\Quorum Business Solutions\Ecopetrol Prometeo - Documents\Planning Space Implementation\3. Analysis &amp; Design\Design\FC22\DRR Jaime\QUIFA-CAJÚA\Cajua\[CAJUA_CF_SEC_New_27-Feb-2024Rev3.xlsx]D-PDP'!</v>
      </c>
      <c r="G3776" s="32" t="s">
        <v>114</v>
      </c>
      <c r="H3776" s="33">
        <f t="shared" si="910"/>
        <v>24</v>
      </c>
      <c r="I3776" s="33" t="str">
        <f t="shared" si="911"/>
        <v>='C:\Users\jaime.benazar\Quorum Business Solutions\Ecopetrol Prometeo - Documents\Planning Space Implementation\3. Analysis &amp; Design\Design\FC22\DRR Jaime\QUIFA-CAJÚA\Cajua\[CAJUA_CF_SEC_New_27-Feb-2024Rev3.xlsx]D-PDP'!$CB$24</v>
      </c>
      <c r="J3776" s="37" t="s">
        <v>3899</v>
      </c>
    </row>
    <row r="3777" spans="1:10" x14ac:dyDescent="0.25">
      <c r="A3777" s="32" t="s">
        <v>1</v>
      </c>
      <c r="B3777" s="32">
        <f t="shared" si="912"/>
        <v>2036</v>
      </c>
      <c r="C3777" s="33" t="s">
        <v>109</v>
      </c>
      <c r="D3777" s="34" t="s">
        <v>1999</v>
      </c>
      <c r="E3777" s="35" t="str">
        <f t="shared" si="908"/>
        <v>PDP'!</v>
      </c>
      <c r="F3777" s="34" t="str">
        <f t="shared" si="909"/>
        <v>C:\Users\jaime.benazar\Quorum Business Solutions\Ecopetrol Prometeo - Documents\Planning Space Implementation\3. Analysis &amp; Design\Design\FC22\DRR Jaime\QUIFA-CAJÚA\Cajua\[CAJUA_CF_SEC_New_27-Feb-2024Rev3.xlsx]D-PDP'!</v>
      </c>
      <c r="G3777" s="32" t="s">
        <v>114</v>
      </c>
      <c r="H3777" s="33">
        <f t="shared" si="910"/>
        <v>25</v>
      </c>
      <c r="I3777" s="33" t="str">
        <f t="shared" si="911"/>
        <v>='C:\Users\jaime.benazar\Quorum Business Solutions\Ecopetrol Prometeo - Documents\Planning Space Implementation\3. Analysis &amp; Design\Design\FC22\DRR Jaime\QUIFA-CAJÚA\Cajua\[CAJUA_CF_SEC_New_27-Feb-2024Rev3.xlsx]D-PDP'!$CB$25</v>
      </c>
      <c r="J3777" s="37" t="s">
        <v>3900</v>
      </c>
    </row>
    <row r="3778" spans="1:10" x14ac:dyDescent="0.25">
      <c r="A3778" s="32" t="s">
        <v>1</v>
      </c>
      <c r="B3778" s="32">
        <f>+B3777+1</f>
        <v>2037</v>
      </c>
      <c r="C3778" s="33" t="s">
        <v>109</v>
      </c>
      <c r="D3778" s="34" t="s">
        <v>1999</v>
      </c>
      <c r="E3778" s="35" t="str">
        <f t="shared" si="908"/>
        <v>PDP'!</v>
      </c>
      <c r="F3778" s="34" t="str">
        <f t="shared" si="909"/>
        <v>C:\Users\jaime.benazar\Quorum Business Solutions\Ecopetrol Prometeo - Documents\Planning Space Implementation\3. Analysis &amp; Design\Design\FC22\DRR Jaime\QUIFA-CAJÚA\Cajua\[CAJUA_CF_SEC_New_27-Feb-2024Rev3.xlsx]D-PDP'!</v>
      </c>
      <c r="G3778" s="32" t="s">
        <v>114</v>
      </c>
      <c r="H3778" s="33">
        <f t="shared" si="910"/>
        <v>26</v>
      </c>
      <c r="I3778" s="33" t="str">
        <f t="shared" si="911"/>
        <v>='C:\Users\jaime.benazar\Quorum Business Solutions\Ecopetrol Prometeo - Documents\Planning Space Implementation\3. Analysis &amp; Design\Design\FC22\DRR Jaime\QUIFA-CAJÚA\Cajua\[CAJUA_CF_SEC_New_27-Feb-2024Rev3.xlsx]D-PDP'!$CB$26</v>
      </c>
      <c r="J3778" s="37" t="s">
        <v>3901</v>
      </c>
    </row>
    <row r="3779" spans="1:10" x14ac:dyDescent="0.25">
      <c r="A3779" s="32" t="s">
        <v>1</v>
      </c>
      <c r="B3779" s="32">
        <f t="shared" si="912"/>
        <v>2038</v>
      </c>
      <c r="C3779" s="33" t="s">
        <v>109</v>
      </c>
      <c r="D3779" s="34" t="s">
        <v>1999</v>
      </c>
      <c r="E3779" s="35" t="str">
        <f t="shared" si="908"/>
        <v>PDP'!</v>
      </c>
      <c r="F3779" s="34" t="str">
        <f t="shared" si="909"/>
        <v>C:\Users\jaime.benazar\Quorum Business Solutions\Ecopetrol Prometeo - Documents\Planning Space Implementation\3. Analysis &amp; Design\Design\FC22\DRR Jaime\QUIFA-CAJÚA\Cajua\[CAJUA_CF_SEC_New_27-Feb-2024Rev3.xlsx]D-PDP'!</v>
      </c>
      <c r="G3779" s="32" t="s">
        <v>114</v>
      </c>
      <c r="H3779" s="33">
        <f t="shared" si="910"/>
        <v>27</v>
      </c>
      <c r="I3779" s="33" t="str">
        <f t="shared" si="911"/>
        <v>='C:\Users\jaime.benazar\Quorum Business Solutions\Ecopetrol Prometeo - Documents\Planning Space Implementation\3. Analysis &amp; Design\Design\FC22\DRR Jaime\QUIFA-CAJÚA\Cajua\[CAJUA_CF_SEC_New_27-Feb-2024Rev3.xlsx]D-PDP'!$CB$27</v>
      </c>
      <c r="J3779" s="37" t="s">
        <v>3902</v>
      </c>
    </row>
    <row r="3780" spans="1:10" x14ac:dyDescent="0.25">
      <c r="A3780" s="32" t="s">
        <v>1</v>
      </c>
      <c r="B3780" s="32">
        <f t="shared" si="912"/>
        <v>2039</v>
      </c>
      <c r="C3780" s="33" t="s">
        <v>109</v>
      </c>
      <c r="D3780" s="34" t="s">
        <v>1999</v>
      </c>
      <c r="E3780" s="35" t="str">
        <f t="shared" si="908"/>
        <v>PDP'!</v>
      </c>
      <c r="F3780" s="34" t="str">
        <f t="shared" si="909"/>
        <v>C:\Users\jaime.benazar\Quorum Business Solutions\Ecopetrol Prometeo - Documents\Planning Space Implementation\3. Analysis &amp; Design\Design\FC22\DRR Jaime\QUIFA-CAJÚA\Cajua\[CAJUA_CF_SEC_New_27-Feb-2024Rev3.xlsx]D-PDP'!</v>
      </c>
      <c r="G3780" s="32" t="s">
        <v>114</v>
      </c>
      <c r="H3780" s="33">
        <f t="shared" si="910"/>
        <v>28</v>
      </c>
      <c r="I3780" s="33" t="str">
        <f t="shared" si="911"/>
        <v>='C:\Users\jaime.benazar\Quorum Business Solutions\Ecopetrol Prometeo - Documents\Planning Space Implementation\3. Analysis &amp; Design\Design\FC22\DRR Jaime\QUIFA-CAJÚA\Cajua\[CAJUA_CF_SEC_New_27-Feb-2024Rev3.xlsx]D-PDP'!$CB$28</v>
      </c>
      <c r="J3780" s="37" t="s">
        <v>3903</v>
      </c>
    </row>
    <row r="3781" spans="1:10" x14ac:dyDescent="0.25">
      <c r="A3781" s="32" t="s">
        <v>1</v>
      </c>
      <c r="B3781" s="32">
        <f t="shared" si="912"/>
        <v>2040</v>
      </c>
      <c r="C3781" s="33" t="s">
        <v>109</v>
      </c>
      <c r="D3781" s="34" t="s">
        <v>1999</v>
      </c>
      <c r="E3781" s="35" t="str">
        <f t="shared" si="908"/>
        <v>PDP'!</v>
      </c>
      <c r="F3781" s="34" t="str">
        <f t="shared" si="909"/>
        <v>C:\Users\jaime.benazar\Quorum Business Solutions\Ecopetrol Prometeo - Documents\Planning Space Implementation\3. Analysis &amp; Design\Design\FC22\DRR Jaime\QUIFA-CAJÚA\Cajua\[CAJUA_CF_SEC_New_27-Feb-2024Rev3.xlsx]D-PDP'!</v>
      </c>
      <c r="G3781" s="32" t="s">
        <v>114</v>
      </c>
      <c r="H3781" s="33">
        <f t="shared" si="910"/>
        <v>29</v>
      </c>
      <c r="I3781" s="33" t="str">
        <f t="shared" si="911"/>
        <v>='C:\Users\jaime.benazar\Quorum Business Solutions\Ecopetrol Prometeo - Documents\Planning Space Implementation\3. Analysis &amp; Design\Design\FC22\DRR Jaime\QUIFA-CAJÚA\Cajua\[CAJUA_CF_SEC_New_27-Feb-2024Rev3.xlsx]D-PDP'!$CB$29</v>
      </c>
      <c r="J3781" s="37" t="s">
        <v>3904</v>
      </c>
    </row>
    <row r="3782" spans="1:10" x14ac:dyDescent="0.25">
      <c r="A3782" s="32" t="s">
        <v>1</v>
      </c>
      <c r="B3782" s="32">
        <f>+B3781+1</f>
        <v>2041</v>
      </c>
      <c r="C3782" s="33" t="s">
        <v>109</v>
      </c>
      <c r="D3782" s="34" t="s">
        <v>1999</v>
      </c>
      <c r="E3782" s="35" t="str">
        <f t="shared" si="908"/>
        <v>PDP'!</v>
      </c>
      <c r="F3782" s="34" t="str">
        <f t="shared" si="909"/>
        <v>C:\Users\jaime.benazar\Quorum Business Solutions\Ecopetrol Prometeo - Documents\Planning Space Implementation\3. Analysis &amp; Design\Design\FC22\DRR Jaime\QUIFA-CAJÚA\Cajua\[CAJUA_CF_SEC_New_27-Feb-2024Rev3.xlsx]D-PDP'!</v>
      </c>
      <c r="G3782" s="32" t="s">
        <v>114</v>
      </c>
      <c r="H3782" s="33">
        <f t="shared" si="910"/>
        <v>30</v>
      </c>
      <c r="I3782" s="33" t="str">
        <f t="shared" si="911"/>
        <v>='C:\Users\jaime.benazar\Quorum Business Solutions\Ecopetrol Prometeo - Documents\Planning Space Implementation\3. Analysis &amp; Design\Design\FC22\DRR Jaime\QUIFA-CAJÚA\Cajua\[CAJUA_CF_SEC_New_27-Feb-2024Rev3.xlsx]D-PDP'!$CB$30</v>
      </c>
      <c r="J3782" s="37" t="s">
        <v>3905</v>
      </c>
    </row>
    <row r="3783" spans="1:10" x14ac:dyDescent="0.25">
      <c r="A3783" s="32" t="s">
        <v>1</v>
      </c>
      <c r="B3783" s="32">
        <f t="shared" si="912"/>
        <v>2042</v>
      </c>
      <c r="C3783" s="33" t="s">
        <v>109</v>
      </c>
      <c r="D3783" s="34" t="s">
        <v>1999</v>
      </c>
      <c r="E3783" s="35" t="str">
        <f t="shared" si="908"/>
        <v>PDP'!</v>
      </c>
      <c r="F3783" s="34" t="str">
        <f t="shared" si="909"/>
        <v>C:\Users\jaime.benazar\Quorum Business Solutions\Ecopetrol Prometeo - Documents\Planning Space Implementation\3. Analysis &amp; Design\Design\FC22\DRR Jaime\QUIFA-CAJÚA\Cajua\[CAJUA_CF_SEC_New_27-Feb-2024Rev3.xlsx]D-PDP'!</v>
      </c>
      <c r="G3783" s="32" t="s">
        <v>114</v>
      </c>
      <c r="H3783" s="33">
        <f t="shared" si="910"/>
        <v>31</v>
      </c>
      <c r="I3783" s="33" t="str">
        <f t="shared" si="911"/>
        <v>='C:\Users\jaime.benazar\Quorum Business Solutions\Ecopetrol Prometeo - Documents\Planning Space Implementation\3. Analysis &amp; Design\Design\FC22\DRR Jaime\QUIFA-CAJÚA\Cajua\[CAJUA_CF_SEC_New_27-Feb-2024Rev3.xlsx]D-PDP'!$CB$31</v>
      </c>
      <c r="J3783" s="37" t="s">
        <v>3906</v>
      </c>
    </row>
    <row r="3784" spans="1:10" x14ac:dyDescent="0.25">
      <c r="A3784" s="32" t="s">
        <v>1</v>
      </c>
      <c r="B3784" s="32">
        <f t="shared" si="912"/>
        <v>2043</v>
      </c>
      <c r="C3784" s="33" t="s">
        <v>109</v>
      </c>
      <c r="D3784" s="34" t="s">
        <v>1999</v>
      </c>
      <c r="E3784" s="35" t="str">
        <f t="shared" si="908"/>
        <v>PDP'!</v>
      </c>
      <c r="F3784" s="34" t="str">
        <f t="shared" si="909"/>
        <v>C:\Users\jaime.benazar\Quorum Business Solutions\Ecopetrol Prometeo - Documents\Planning Space Implementation\3. Analysis &amp; Design\Design\FC22\DRR Jaime\QUIFA-CAJÚA\Cajua\[CAJUA_CF_SEC_New_27-Feb-2024Rev3.xlsx]D-PDP'!</v>
      </c>
      <c r="G3784" s="32" t="s">
        <v>114</v>
      </c>
      <c r="H3784" s="33">
        <f t="shared" si="910"/>
        <v>32</v>
      </c>
      <c r="I3784" s="33" t="str">
        <f t="shared" si="911"/>
        <v>='C:\Users\jaime.benazar\Quorum Business Solutions\Ecopetrol Prometeo - Documents\Planning Space Implementation\3. Analysis &amp; Design\Design\FC22\DRR Jaime\QUIFA-CAJÚA\Cajua\[CAJUA_CF_SEC_New_27-Feb-2024Rev3.xlsx]D-PDP'!$CB$32</v>
      </c>
      <c r="J3784" s="37" t="s">
        <v>3907</v>
      </c>
    </row>
    <row r="3785" spans="1:10" x14ac:dyDescent="0.25">
      <c r="A3785" s="32" t="s">
        <v>1</v>
      </c>
      <c r="B3785" s="32">
        <f>+B3784+1</f>
        <v>2044</v>
      </c>
      <c r="C3785" s="33" t="s">
        <v>109</v>
      </c>
      <c r="D3785" s="34" t="s">
        <v>1999</v>
      </c>
      <c r="E3785" s="35" t="str">
        <f t="shared" ref="E3785:E3800" si="913">_xlfn.CONCAT(A3785,"'!")</f>
        <v>PDP'!</v>
      </c>
      <c r="F3785" s="34" t="str">
        <f t="shared" ref="F3785:F3800" si="914">_xlfn.CONCAT(D3785:E3785)</f>
        <v>C:\Users\jaime.benazar\Quorum Business Solutions\Ecopetrol Prometeo - Documents\Planning Space Implementation\3. Analysis &amp; Design\Design\FC22\DRR Jaime\QUIFA-CAJÚA\Cajua\[CAJUA_CF_SEC_New_27-Feb-2024Rev3.xlsx]D-PDP'!</v>
      </c>
      <c r="G3785" s="32" t="s">
        <v>114</v>
      </c>
      <c r="H3785" s="33">
        <f t="shared" ref="H3785:H3800" si="915">IF(A3785&lt;&gt;A3784,12,H3784+1)</f>
        <v>33</v>
      </c>
      <c r="I3785" s="33" t="str">
        <f t="shared" ref="I3785:I3800" si="916">_xlfn.CONCAT("='",F3785:H3785)</f>
        <v>='C:\Users\jaime.benazar\Quorum Business Solutions\Ecopetrol Prometeo - Documents\Planning Space Implementation\3. Analysis &amp; Design\Design\FC22\DRR Jaime\QUIFA-CAJÚA\Cajua\[CAJUA_CF_SEC_New_27-Feb-2024Rev3.xlsx]D-PDP'!$CB$33</v>
      </c>
      <c r="J3785" s="37" t="s">
        <v>3908</v>
      </c>
    </row>
    <row r="3786" spans="1:10" x14ac:dyDescent="0.25">
      <c r="A3786" s="32" t="s">
        <v>1</v>
      </c>
      <c r="B3786" s="32">
        <f t="shared" si="912"/>
        <v>2045</v>
      </c>
      <c r="C3786" s="33" t="s">
        <v>109</v>
      </c>
      <c r="D3786" s="34" t="s">
        <v>1999</v>
      </c>
      <c r="E3786" s="35" t="str">
        <f t="shared" si="913"/>
        <v>PDP'!</v>
      </c>
      <c r="F3786" s="34" t="str">
        <f t="shared" si="914"/>
        <v>C:\Users\jaime.benazar\Quorum Business Solutions\Ecopetrol Prometeo - Documents\Planning Space Implementation\3. Analysis &amp; Design\Design\FC22\DRR Jaime\QUIFA-CAJÚA\Cajua\[CAJUA_CF_SEC_New_27-Feb-2024Rev3.xlsx]D-PDP'!</v>
      </c>
      <c r="G3786" s="32" t="s">
        <v>114</v>
      </c>
      <c r="H3786" s="33">
        <f t="shared" si="915"/>
        <v>34</v>
      </c>
      <c r="I3786" s="33" t="str">
        <f t="shared" si="916"/>
        <v>='C:\Users\jaime.benazar\Quorum Business Solutions\Ecopetrol Prometeo - Documents\Planning Space Implementation\3. Analysis &amp; Design\Design\FC22\DRR Jaime\QUIFA-CAJÚA\Cajua\[CAJUA_CF_SEC_New_27-Feb-2024Rev3.xlsx]D-PDP'!$CB$34</v>
      </c>
      <c r="J3786" s="37" t="s">
        <v>3909</v>
      </c>
    </row>
    <row r="3787" spans="1:10" x14ac:dyDescent="0.25">
      <c r="A3787" s="32" t="s">
        <v>1</v>
      </c>
      <c r="B3787" s="32">
        <f t="shared" si="912"/>
        <v>2046</v>
      </c>
      <c r="C3787" s="33" t="s">
        <v>109</v>
      </c>
      <c r="D3787" s="34" t="s">
        <v>1999</v>
      </c>
      <c r="E3787" s="35" t="str">
        <f t="shared" si="913"/>
        <v>PDP'!</v>
      </c>
      <c r="F3787" s="34" t="str">
        <f t="shared" si="914"/>
        <v>C:\Users\jaime.benazar\Quorum Business Solutions\Ecopetrol Prometeo - Documents\Planning Space Implementation\3. Analysis &amp; Design\Design\FC22\DRR Jaime\QUIFA-CAJÚA\Cajua\[CAJUA_CF_SEC_New_27-Feb-2024Rev3.xlsx]D-PDP'!</v>
      </c>
      <c r="G3787" s="32" t="s">
        <v>114</v>
      </c>
      <c r="H3787" s="33">
        <f t="shared" si="915"/>
        <v>35</v>
      </c>
      <c r="I3787" s="33" t="str">
        <f t="shared" si="916"/>
        <v>='C:\Users\jaime.benazar\Quorum Business Solutions\Ecopetrol Prometeo - Documents\Planning Space Implementation\3. Analysis &amp; Design\Design\FC22\DRR Jaime\QUIFA-CAJÚA\Cajua\[CAJUA_CF_SEC_New_27-Feb-2024Rev3.xlsx]D-PDP'!$CB$35</v>
      </c>
      <c r="J3787" s="37" t="s">
        <v>3910</v>
      </c>
    </row>
    <row r="3788" spans="1:10" x14ac:dyDescent="0.25">
      <c r="A3788" s="32" t="s">
        <v>1</v>
      </c>
      <c r="B3788" s="32">
        <f t="shared" si="912"/>
        <v>2047</v>
      </c>
      <c r="C3788" s="33" t="s">
        <v>109</v>
      </c>
      <c r="D3788" s="34" t="s">
        <v>1999</v>
      </c>
      <c r="E3788" s="35" t="str">
        <f t="shared" si="913"/>
        <v>PDP'!</v>
      </c>
      <c r="F3788" s="34" t="str">
        <f t="shared" si="914"/>
        <v>C:\Users\jaime.benazar\Quorum Business Solutions\Ecopetrol Prometeo - Documents\Planning Space Implementation\3. Analysis &amp; Design\Design\FC22\DRR Jaime\QUIFA-CAJÚA\Cajua\[CAJUA_CF_SEC_New_27-Feb-2024Rev3.xlsx]D-PDP'!</v>
      </c>
      <c r="G3788" s="32" t="s">
        <v>114</v>
      </c>
      <c r="H3788" s="33">
        <f t="shared" si="915"/>
        <v>36</v>
      </c>
      <c r="I3788" s="33" t="str">
        <f t="shared" si="916"/>
        <v>='C:\Users\jaime.benazar\Quorum Business Solutions\Ecopetrol Prometeo - Documents\Planning Space Implementation\3. Analysis &amp; Design\Design\FC22\DRR Jaime\QUIFA-CAJÚA\Cajua\[CAJUA_CF_SEC_New_27-Feb-2024Rev3.xlsx]D-PDP'!$CB$36</v>
      </c>
      <c r="J3788" s="37" t="s">
        <v>3911</v>
      </c>
    </row>
    <row r="3789" spans="1:10" x14ac:dyDescent="0.25">
      <c r="A3789" s="32" t="s">
        <v>1</v>
      </c>
      <c r="B3789" s="32">
        <f t="shared" si="912"/>
        <v>2048</v>
      </c>
      <c r="C3789" s="33" t="s">
        <v>109</v>
      </c>
      <c r="D3789" s="34" t="s">
        <v>1999</v>
      </c>
      <c r="E3789" s="35" t="str">
        <f t="shared" si="913"/>
        <v>PDP'!</v>
      </c>
      <c r="F3789" s="34" t="str">
        <f t="shared" si="914"/>
        <v>C:\Users\jaime.benazar\Quorum Business Solutions\Ecopetrol Prometeo - Documents\Planning Space Implementation\3. Analysis &amp; Design\Design\FC22\DRR Jaime\QUIFA-CAJÚA\Cajua\[CAJUA_CF_SEC_New_27-Feb-2024Rev3.xlsx]D-PDP'!</v>
      </c>
      <c r="G3789" s="32" t="s">
        <v>114</v>
      </c>
      <c r="H3789" s="33">
        <f t="shared" si="915"/>
        <v>37</v>
      </c>
      <c r="I3789" s="33" t="str">
        <f t="shared" si="916"/>
        <v>='C:\Users\jaime.benazar\Quorum Business Solutions\Ecopetrol Prometeo - Documents\Planning Space Implementation\3. Analysis &amp; Design\Design\FC22\DRR Jaime\QUIFA-CAJÚA\Cajua\[CAJUA_CF_SEC_New_27-Feb-2024Rev3.xlsx]D-PDP'!$CB$37</v>
      </c>
      <c r="J3789" s="37" t="s">
        <v>3912</v>
      </c>
    </row>
    <row r="3790" spans="1:10" x14ac:dyDescent="0.25">
      <c r="A3790" s="32" t="s">
        <v>1</v>
      </c>
      <c r="B3790" s="32">
        <f t="shared" si="912"/>
        <v>2049</v>
      </c>
      <c r="C3790" s="33" t="s">
        <v>109</v>
      </c>
      <c r="D3790" s="34" t="s">
        <v>1999</v>
      </c>
      <c r="E3790" s="35" t="str">
        <f t="shared" si="913"/>
        <v>PDP'!</v>
      </c>
      <c r="F3790" s="34" t="str">
        <f t="shared" si="914"/>
        <v>C:\Users\jaime.benazar\Quorum Business Solutions\Ecopetrol Prometeo - Documents\Planning Space Implementation\3. Analysis &amp; Design\Design\FC22\DRR Jaime\QUIFA-CAJÚA\Cajua\[CAJUA_CF_SEC_New_27-Feb-2024Rev3.xlsx]D-PDP'!</v>
      </c>
      <c r="G3790" s="32" t="s">
        <v>114</v>
      </c>
      <c r="H3790" s="33">
        <f t="shared" si="915"/>
        <v>38</v>
      </c>
      <c r="I3790" s="33" t="str">
        <f t="shared" si="916"/>
        <v>='C:\Users\jaime.benazar\Quorum Business Solutions\Ecopetrol Prometeo - Documents\Planning Space Implementation\3. Analysis &amp; Design\Design\FC22\DRR Jaime\QUIFA-CAJÚA\Cajua\[CAJUA_CF_SEC_New_27-Feb-2024Rev3.xlsx]D-PDP'!$CB$38</v>
      </c>
      <c r="J3790" s="37" t="s">
        <v>3913</v>
      </c>
    </row>
    <row r="3791" spans="1:10" x14ac:dyDescent="0.25">
      <c r="A3791" s="32" t="s">
        <v>1</v>
      </c>
      <c r="B3791" s="32">
        <f t="shared" si="912"/>
        <v>2050</v>
      </c>
      <c r="C3791" s="33" t="s">
        <v>109</v>
      </c>
      <c r="D3791" s="34" t="s">
        <v>1999</v>
      </c>
      <c r="E3791" s="35" t="str">
        <f t="shared" si="913"/>
        <v>PDP'!</v>
      </c>
      <c r="F3791" s="34" t="str">
        <f t="shared" si="914"/>
        <v>C:\Users\jaime.benazar\Quorum Business Solutions\Ecopetrol Prometeo - Documents\Planning Space Implementation\3. Analysis &amp; Design\Design\FC22\DRR Jaime\QUIFA-CAJÚA\Cajua\[CAJUA_CF_SEC_New_27-Feb-2024Rev3.xlsx]D-PDP'!</v>
      </c>
      <c r="G3791" s="32" t="s">
        <v>114</v>
      </c>
      <c r="H3791" s="33">
        <f t="shared" si="915"/>
        <v>39</v>
      </c>
      <c r="I3791" s="33" t="str">
        <f t="shared" si="916"/>
        <v>='C:\Users\jaime.benazar\Quorum Business Solutions\Ecopetrol Prometeo - Documents\Planning Space Implementation\3. Analysis &amp; Design\Design\FC22\DRR Jaime\QUIFA-CAJÚA\Cajua\[CAJUA_CF_SEC_New_27-Feb-2024Rev3.xlsx]D-PDP'!$CB$39</v>
      </c>
      <c r="J3791" s="37" t="s">
        <v>3914</v>
      </c>
    </row>
    <row r="3792" spans="1:10" x14ac:dyDescent="0.25">
      <c r="A3792" s="32" t="s">
        <v>1</v>
      </c>
      <c r="B3792" s="32">
        <f t="shared" si="912"/>
        <v>2051</v>
      </c>
      <c r="C3792" s="33" t="s">
        <v>109</v>
      </c>
      <c r="D3792" s="34" t="s">
        <v>1999</v>
      </c>
      <c r="E3792" s="35" t="str">
        <f t="shared" si="913"/>
        <v>PDP'!</v>
      </c>
      <c r="F3792" s="34" t="str">
        <f t="shared" si="914"/>
        <v>C:\Users\jaime.benazar\Quorum Business Solutions\Ecopetrol Prometeo - Documents\Planning Space Implementation\3. Analysis &amp; Design\Design\FC22\DRR Jaime\QUIFA-CAJÚA\Cajua\[CAJUA_CF_SEC_New_27-Feb-2024Rev3.xlsx]D-PDP'!</v>
      </c>
      <c r="G3792" s="32" t="s">
        <v>114</v>
      </c>
      <c r="H3792" s="33">
        <f t="shared" si="915"/>
        <v>40</v>
      </c>
      <c r="I3792" s="33" t="str">
        <f t="shared" si="916"/>
        <v>='C:\Users\jaime.benazar\Quorum Business Solutions\Ecopetrol Prometeo - Documents\Planning Space Implementation\3. Analysis &amp; Design\Design\FC22\DRR Jaime\QUIFA-CAJÚA\Cajua\[CAJUA_CF_SEC_New_27-Feb-2024Rev3.xlsx]D-PDP'!$CB$40</v>
      </c>
      <c r="J3792" s="37" t="s">
        <v>3915</v>
      </c>
    </row>
    <row r="3793" spans="1:10" x14ac:dyDescent="0.25">
      <c r="A3793" s="32" t="s">
        <v>1</v>
      </c>
      <c r="B3793" s="32">
        <f t="shared" si="912"/>
        <v>2052</v>
      </c>
      <c r="C3793" s="33" t="s">
        <v>109</v>
      </c>
      <c r="D3793" s="34" t="s">
        <v>1999</v>
      </c>
      <c r="E3793" s="35" t="str">
        <f t="shared" si="913"/>
        <v>PDP'!</v>
      </c>
      <c r="F3793" s="34" t="str">
        <f t="shared" si="914"/>
        <v>C:\Users\jaime.benazar\Quorum Business Solutions\Ecopetrol Prometeo - Documents\Planning Space Implementation\3. Analysis &amp; Design\Design\FC22\DRR Jaime\QUIFA-CAJÚA\Cajua\[CAJUA_CF_SEC_New_27-Feb-2024Rev3.xlsx]D-PDP'!</v>
      </c>
      <c r="G3793" s="32" t="s">
        <v>114</v>
      </c>
      <c r="H3793" s="33">
        <f t="shared" si="915"/>
        <v>41</v>
      </c>
      <c r="I3793" s="33" t="str">
        <f t="shared" si="916"/>
        <v>='C:\Users\jaime.benazar\Quorum Business Solutions\Ecopetrol Prometeo - Documents\Planning Space Implementation\3. Analysis &amp; Design\Design\FC22\DRR Jaime\QUIFA-CAJÚA\Cajua\[CAJUA_CF_SEC_New_27-Feb-2024Rev3.xlsx]D-PDP'!$CB$41</v>
      </c>
      <c r="J3793" s="37" t="s">
        <v>3916</v>
      </c>
    </row>
    <row r="3794" spans="1:10" x14ac:dyDescent="0.25">
      <c r="A3794" s="32" t="s">
        <v>1</v>
      </c>
      <c r="B3794" s="32">
        <f t="shared" si="912"/>
        <v>2053</v>
      </c>
      <c r="C3794" s="33" t="s">
        <v>109</v>
      </c>
      <c r="D3794" s="34" t="s">
        <v>1999</v>
      </c>
      <c r="E3794" s="35" t="str">
        <f t="shared" si="913"/>
        <v>PDP'!</v>
      </c>
      <c r="F3794" s="34" t="str">
        <f t="shared" si="914"/>
        <v>C:\Users\jaime.benazar\Quorum Business Solutions\Ecopetrol Prometeo - Documents\Planning Space Implementation\3. Analysis &amp; Design\Design\FC22\DRR Jaime\QUIFA-CAJÚA\Cajua\[CAJUA_CF_SEC_New_27-Feb-2024Rev3.xlsx]D-PDP'!</v>
      </c>
      <c r="G3794" s="32" t="s">
        <v>114</v>
      </c>
      <c r="H3794" s="33">
        <f t="shared" si="915"/>
        <v>42</v>
      </c>
      <c r="I3794" s="33" t="str">
        <f t="shared" si="916"/>
        <v>='C:\Users\jaime.benazar\Quorum Business Solutions\Ecopetrol Prometeo - Documents\Planning Space Implementation\3. Analysis &amp; Design\Design\FC22\DRR Jaime\QUIFA-CAJÚA\Cajua\[CAJUA_CF_SEC_New_27-Feb-2024Rev3.xlsx]D-PDP'!$CB$42</v>
      </c>
      <c r="J3794" s="37" t="s">
        <v>3917</v>
      </c>
    </row>
    <row r="3795" spans="1:10" x14ac:dyDescent="0.25">
      <c r="A3795" s="32" t="s">
        <v>1</v>
      </c>
      <c r="B3795" s="32">
        <f t="shared" si="912"/>
        <v>2054</v>
      </c>
      <c r="C3795" s="33" t="s">
        <v>109</v>
      </c>
      <c r="D3795" s="34" t="s">
        <v>1999</v>
      </c>
      <c r="E3795" s="35" t="str">
        <f t="shared" si="913"/>
        <v>PDP'!</v>
      </c>
      <c r="F3795" s="34" t="str">
        <f t="shared" si="914"/>
        <v>C:\Users\jaime.benazar\Quorum Business Solutions\Ecopetrol Prometeo - Documents\Planning Space Implementation\3. Analysis &amp; Design\Design\FC22\DRR Jaime\QUIFA-CAJÚA\Cajua\[CAJUA_CF_SEC_New_27-Feb-2024Rev3.xlsx]D-PDP'!</v>
      </c>
      <c r="G3795" s="32" t="s">
        <v>114</v>
      </c>
      <c r="H3795" s="33">
        <f t="shared" si="915"/>
        <v>43</v>
      </c>
      <c r="I3795" s="33" t="str">
        <f t="shared" si="916"/>
        <v>='C:\Users\jaime.benazar\Quorum Business Solutions\Ecopetrol Prometeo - Documents\Planning Space Implementation\3. Analysis &amp; Design\Design\FC22\DRR Jaime\QUIFA-CAJÚA\Cajua\[CAJUA_CF_SEC_New_27-Feb-2024Rev3.xlsx]D-PDP'!$CB$43</v>
      </c>
      <c r="J3795" s="37" t="s">
        <v>3918</v>
      </c>
    </row>
    <row r="3796" spans="1:10" x14ac:dyDescent="0.25">
      <c r="A3796" s="32" t="s">
        <v>1</v>
      </c>
      <c r="B3796" s="32">
        <f t="shared" si="912"/>
        <v>2055</v>
      </c>
      <c r="C3796" s="33" t="s">
        <v>109</v>
      </c>
      <c r="D3796" s="34" t="s">
        <v>1999</v>
      </c>
      <c r="E3796" s="35" t="str">
        <f t="shared" si="913"/>
        <v>PDP'!</v>
      </c>
      <c r="F3796" s="34" t="str">
        <f t="shared" si="914"/>
        <v>C:\Users\jaime.benazar\Quorum Business Solutions\Ecopetrol Prometeo - Documents\Planning Space Implementation\3. Analysis &amp; Design\Design\FC22\DRR Jaime\QUIFA-CAJÚA\Cajua\[CAJUA_CF_SEC_New_27-Feb-2024Rev3.xlsx]D-PDP'!</v>
      </c>
      <c r="G3796" s="32" t="s">
        <v>114</v>
      </c>
      <c r="H3796" s="33">
        <f t="shared" si="915"/>
        <v>44</v>
      </c>
      <c r="I3796" s="33" t="str">
        <f t="shared" si="916"/>
        <v>='C:\Users\jaime.benazar\Quorum Business Solutions\Ecopetrol Prometeo - Documents\Planning Space Implementation\3. Analysis &amp; Design\Design\FC22\DRR Jaime\QUIFA-CAJÚA\Cajua\[CAJUA_CF_SEC_New_27-Feb-2024Rev3.xlsx]D-PDP'!$CB$44</v>
      </c>
      <c r="J3796" s="37" t="s">
        <v>3919</v>
      </c>
    </row>
    <row r="3797" spans="1:10" x14ac:dyDescent="0.25">
      <c r="A3797" s="32" t="s">
        <v>1</v>
      </c>
      <c r="B3797" s="32">
        <f t="shared" si="912"/>
        <v>2056</v>
      </c>
      <c r="C3797" s="33" t="s">
        <v>109</v>
      </c>
      <c r="D3797" s="34" t="s">
        <v>1999</v>
      </c>
      <c r="E3797" s="35" t="str">
        <f t="shared" si="913"/>
        <v>PDP'!</v>
      </c>
      <c r="F3797" s="34" t="str">
        <f t="shared" si="914"/>
        <v>C:\Users\jaime.benazar\Quorum Business Solutions\Ecopetrol Prometeo - Documents\Planning Space Implementation\3. Analysis &amp; Design\Design\FC22\DRR Jaime\QUIFA-CAJÚA\Cajua\[CAJUA_CF_SEC_New_27-Feb-2024Rev3.xlsx]D-PDP'!</v>
      </c>
      <c r="G3797" s="32" t="s">
        <v>114</v>
      </c>
      <c r="H3797" s="33">
        <f t="shared" si="915"/>
        <v>45</v>
      </c>
      <c r="I3797" s="33" t="str">
        <f t="shared" si="916"/>
        <v>='C:\Users\jaime.benazar\Quorum Business Solutions\Ecopetrol Prometeo - Documents\Planning Space Implementation\3. Analysis &amp; Design\Design\FC22\DRR Jaime\QUIFA-CAJÚA\Cajua\[CAJUA_CF_SEC_New_27-Feb-2024Rev3.xlsx]D-PDP'!$CB$45</v>
      </c>
      <c r="J3797" s="37" t="s">
        <v>3920</v>
      </c>
    </row>
    <row r="3798" spans="1:10" x14ac:dyDescent="0.25">
      <c r="A3798" s="32" t="s">
        <v>1</v>
      </c>
      <c r="B3798" s="32">
        <f t="shared" si="912"/>
        <v>2057</v>
      </c>
      <c r="C3798" s="33" t="s">
        <v>109</v>
      </c>
      <c r="D3798" s="34" t="s">
        <v>1999</v>
      </c>
      <c r="E3798" s="35" t="str">
        <f t="shared" si="913"/>
        <v>PDP'!</v>
      </c>
      <c r="F3798" s="34" t="str">
        <f t="shared" si="914"/>
        <v>C:\Users\jaime.benazar\Quorum Business Solutions\Ecopetrol Prometeo - Documents\Planning Space Implementation\3. Analysis &amp; Design\Design\FC22\DRR Jaime\QUIFA-CAJÚA\Cajua\[CAJUA_CF_SEC_New_27-Feb-2024Rev3.xlsx]D-PDP'!</v>
      </c>
      <c r="G3798" s="32" t="s">
        <v>114</v>
      </c>
      <c r="H3798" s="33">
        <f t="shared" si="915"/>
        <v>46</v>
      </c>
      <c r="I3798" s="33" t="str">
        <f t="shared" si="916"/>
        <v>='C:\Users\jaime.benazar\Quorum Business Solutions\Ecopetrol Prometeo - Documents\Planning Space Implementation\3. Analysis &amp; Design\Design\FC22\DRR Jaime\QUIFA-CAJÚA\Cajua\[CAJUA_CF_SEC_New_27-Feb-2024Rev3.xlsx]D-PDP'!$CB$46</v>
      </c>
      <c r="J3798" s="37" t="s">
        <v>3921</v>
      </c>
    </row>
    <row r="3799" spans="1:10" x14ac:dyDescent="0.25">
      <c r="A3799" s="32" t="s">
        <v>1</v>
      </c>
      <c r="B3799" s="32">
        <f t="shared" si="912"/>
        <v>2058</v>
      </c>
      <c r="C3799" s="33" t="s">
        <v>109</v>
      </c>
      <c r="D3799" s="34" t="s">
        <v>1999</v>
      </c>
      <c r="E3799" s="35" t="str">
        <f t="shared" si="913"/>
        <v>PDP'!</v>
      </c>
      <c r="F3799" s="34" t="str">
        <f t="shared" si="914"/>
        <v>C:\Users\jaime.benazar\Quorum Business Solutions\Ecopetrol Prometeo - Documents\Planning Space Implementation\3. Analysis &amp; Design\Design\FC22\DRR Jaime\QUIFA-CAJÚA\Cajua\[CAJUA_CF_SEC_New_27-Feb-2024Rev3.xlsx]D-PDP'!</v>
      </c>
      <c r="G3799" s="32" t="s">
        <v>114</v>
      </c>
      <c r="H3799" s="33">
        <f t="shared" si="915"/>
        <v>47</v>
      </c>
      <c r="I3799" s="33" t="str">
        <f t="shared" si="916"/>
        <v>='C:\Users\jaime.benazar\Quorum Business Solutions\Ecopetrol Prometeo - Documents\Planning Space Implementation\3. Analysis &amp; Design\Design\FC22\DRR Jaime\QUIFA-CAJÚA\Cajua\[CAJUA_CF_SEC_New_27-Feb-2024Rev3.xlsx]D-PDP'!$CB$47</v>
      </c>
      <c r="J3799" s="37" t="s">
        <v>3922</v>
      </c>
    </row>
    <row r="3800" spans="1:10" x14ac:dyDescent="0.25">
      <c r="A3800" s="32" t="s">
        <v>1</v>
      </c>
      <c r="B3800" s="32">
        <f t="shared" si="912"/>
        <v>2059</v>
      </c>
      <c r="C3800" s="33" t="s">
        <v>109</v>
      </c>
      <c r="D3800" s="34" t="s">
        <v>1999</v>
      </c>
      <c r="E3800" s="35" t="str">
        <f t="shared" si="913"/>
        <v>PDP'!</v>
      </c>
      <c r="F3800" s="34" t="str">
        <f t="shared" si="914"/>
        <v>C:\Users\jaime.benazar\Quorum Business Solutions\Ecopetrol Prometeo - Documents\Planning Space Implementation\3. Analysis &amp; Design\Design\FC22\DRR Jaime\QUIFA-CAJÚA\Cajua\[CAJUA_CF_SEC_New_27-Feb-2024Rev3.xlsx]D-PDP'!</v>
      </c>
      <c r="G3800" s="32" t="s">
        <v>114</v>
      </c>
      <c r="H3800" s="33">
        <f t="shared" si="915"/>
        <v>48</v>
      </c>
      <c r="I3800" s="33" t="str">
        <f t="shared" si="916"/>
        <v>='C:\Users\jaime.benazar\Quorum Business Solutions\Ecopetrol Prometeo - Documents\Planning Space Implementation\3. Analysis &amp; Design\Design\FC22\DRR Jaime\QUIFA-CAJÚA\Cajua\[CAJUA_CF_SEC_New_27-Feb-2024Rev3.xlsx]D-PDP'!$CB$48</v>
      </c>
      <c r="J3800" s="37" t="s">
        <v>3923</v>
      </c>
    </row>
    <row r="3801" spans="1:10" x14ac:dyDescent="0.25">
      <c r="A3801" s="32" t="s">
        <v>28</v>
      </c>
      <c r="B3801" s="32"/>
      <c r="C3801" s="33" t="s">
        <v>109</v>
      </c>
      <c r="D3801" s="34"/>
      <c r="E3801" s="35" t="str">
        <f t="shared" si="908"/>
        <v>Total'!</v>
      </c>
      <c r="F3801" s="34"/>
      <c r="G3801" s="32"/>
      <c r="H3801" s="33"/>
      <c r="I3801" s="33"/>
      <c r="J3801" s="33"/>
    </row>
    <row r="3802" spans="1:10" x14ac:dyDescent="0.25">
      <c r="A3802" s="32" t="s">
        <v>2</v>
      </c>
      <c r="B3802" s="32">
        <v>2023</v>
      </c>
      <c r="C3802" s="33" t="s">
        <v>109</v>
      </c>
      <c r="D3802" s="34" t="s">
        <v>1999</v>
      </c>
      <c r="E3802" s="35" t="str">
        <f t="shared" si="908"/>
        <v>PNP'!</v>
      </c>
      <c r="F3802" s="34" t="str">
        <f t="shared" ref="F3802:F3822" si="917">_xlfn.CONCAT(D3802:E3802)</f>
        <v>C:\Users\jaime.benazar\Quorum Business Solutions\Ecopetrol Prometeo - Documents\Planning Space Implementation\3. Analysis &amp; Design\Design\FC22\DRR Jaime\QUIFA-CAJÚA\Cajua\[CAJUA_CF_SEC_New_27-Feb-2024Rev3.xlsx]D-PNP'!</v>
      </c>
      <c r="G3802" s="32" t="s">
        <v>114</v>
      </c>
      <c r="H3802" s="33">
        <v>12</v>
      </c>
      <c r="I3802" s="33" t="str">
        <f t="shared" ref="I3802:I3822" si="918">_xlfn.CONCAT("='",F3802:H3802)</f>
        <v>='C:\Users\jaime.benazar\Quorum Business Solutions\Ecopetrol Prometeo - Documents\Planning Space Implementation\3. Analysis &amp; Design\Design\FC22\DRR Jaime\QUIFA-CAJÚA\Cajua\[CAJUA_CF_SEC_New_27-Feb-2024Rev3.xlsx]D-PNP'!$CB$12</v>
      </c>
      <c r="J3802" s="37" t="s">
        <v>3924</v>
      </c>
    </row>
    <row r="3803" spans="1:10" x14ac:dyDescent="0.25">
      <c r="A3803" s="32" t="s">
        <v>2</v>
      </c>
      <c r="B3803" s="32">
        <f>+B3802+1</f>
        <v>2024</v>
      </c>
      <c r="C3803" s="33" t="s">
        <v>109</v>
      </c>
      <c r="D3803" s="34" t="s">
        <v>1999</v>
      </c>
      <c r="E3803" s="35" t="str">
        <f t="shared" si="908"/>
        <v>PNP'!</v>
      </c>
      <c r="F3803" s="34" t="str">
        <f t="shared" si="917"/>
        <v>C:\Users\jaime.benazar\Quorum Business Solutions\Ecopetrol Prometeo - Documents\Planning Space Implementation\3. Analysis &amp; Design\Design\FC22\DRR Jaime\QUIFA-CAJÚA\Cajua\[CAJUA_CF_SEC_New_27-Feb-2024Rev3.xlsx]D-PNP'!</v>
      </c>
      <c r="G3803" s="32" t="s">
        <v>114</v>
      </c>
      <c r="H3803" s="33">
        <f t="shared" ref="H3803:H3822" si="919">IF(A3803&lt;&gt;A3802,12,H3802+1)</f>
        <v>13</v>
      </c>
      <c r="I3803" s="33" t="str">
        <f t="shared" si="918"/>
        <v>='C:\Users\jaime.benazar\Quorum Business Solutions\Ecopetrol Prometeo - Documents\Planning Space Implementation\3. Analysis &amp; Design\Design\FC22\DRR Jaime\QUIFA-CAJÚA\Cajua\[CAJUA_CF_SEC_New_27-Feb-2024Rev3.xlsx]D-PNP'!$CB$13</v>
      </c>
      <c r="J3803" s="37" t="s">
        <v>3925</v>
      </c>
    </row>
    <row r="3804" spans="1:10" x14ac:dyDescent="0.25">
      <c r="A3804" s="32" t="s">
        <v>2</v>
      </c>
      <c r="B3804" s="32">
        <f t="shared" ref="B3804:B3815" si="920">+B3803+1</f>
        <v>2025</v>
      </c>
      <c r="C3804" s="33" t="s">
        <v>109</v>
      </c>
      <c r="D3804" s="34" t="s">
        <v>1999</v>
      </c>
      <c r="E3804" s="35" t="str">
        <f t="shared" si="908"/>
        <v>PNP'!</v>
      </c>
      <c r="F3804" s="34" t="str">
        <f t="shared" si="917"/>
        <v>C:\Users\jaime.benazar\Quorum Business Solutions\Ecopetrol Prometeo - Documents\Planning Space Implementation\3. Analysis &amp; Design\Design\FC22\DRR Jaime\QUIFA-CAJÚA\Cajua\[CAJUA_CF_SEC_New_27-Feb-2024Rev3.xlsx]D-PNP'!</v>
      </c>
      <c r="G3804" s="32" t="s">
        <v>114</v>
      </c>
      <c r="H3804" s="33">
        <f t="shared" si="919"/>
        <v>14</v>
      </c>
      <c r="I3804" s="33" t="str">
        <f t="shared" si="918"/>
        <v>='C:\Users\jaime.benazar\Quorum Business Solutions\Ecopetrol Prometeo - Documents\Planning Space Implementation\3. Analysis &amp; Design\Design\FC22\DRR Jaime\QUIFA-CAJÚA\Cajua\[CAJUA_CF_SEC_New_27-Feb-2024Rev3.xlsx]D-PNP'!$CB$14</v>
      </c>
      <c r="J3804" s="37" t="s">
        <v>3926</v>
      </c>
    </row>
    <row r="3805" spans="1:10" x14ac:dyDescent="0.25">
      <c r="A3805" s="32" t="s">
        <v>2</v>
      </c>
      <c r="B3805" s="32">
        <f t="shared" si="920"/>
        <v>2026</v>
      </c>
      <c r="C3805" s="33" t="s">
        <v>109</v>
      </c>
      <c r="D3805" s="34" t="s">
        <v>1999</v>
      </c>
      <c r="E3805" s="35" t="str">
        <f t="shared" si="908"/>
        <v>PNP'!</v>
      </c>
      <c r="F3805" s="34" t="str">
        <f t="shared" si="917"/>
        <v>C:\Users\jaime.benazar\Quorum Business Solutions\Ecopetrol Prometeo - Documents\Planning Space Implementation\3. Analysis &amp; Design\Design\FC22\DRR Jaime\QUIFA-CAJÚA\Cajua\[CAJUA_CF_SEC_New_27-Feb-2024Rev3.xlsx]D-PNP'!</v>
      </c>
      <c r="G3805" s="32" t="s">
        <v>114</v>
      </c>
      <c r="H3805" s="33">
        <f t="shared" si="919"/>
        <v>15</v>
      </c>
      <c r="I3805" s="33" t="str">
        <f t="shared" si="918"/>
        <v>='C:\Users\jaime.benazar\Quorum Business Solutions\Ecopetrol Prometeo - Documents\Planning Space Implementation\3. Analysis &amp; Design\Design\FC22\DRR Jaime\QUIFA-CAJÚA\Cajua\[CAJUA_CF_SEC_New_27-Feb-2024Rev3.xlsx]D-PNP'!$CB$15</v>
      </c>
      <c r="J3805" s="37" t="s">
        <v>3927</v>
      </c>
    </row>
    <row r="3806" spans="1:10" x14ac:dyDescent="0.25">
      <c r="A3806" s="32" t="s">
        <v>2</v>
      </c>
      <c r="B3806" s="32">
        <f t="shared" si="920"/>
        <v>2027</v>
      </c>
      <c r="C3806" s="33" t="s">
        <v>109</v>
      </c>
      <c r="D3806" s="34" t="s">
        <v>1999</v>
      </c>
      <c r="E3806" s="35" t="str">
        <f t="shared" si="908"/>
        <v>PNP'!</v>
      </c>
      <c r="F3806" s="34" t="str">
        <f t="shared" si="917"/>
        <v>C:\Users\jaime.benazar\Quorum Business Solutions\Ecopetrol Prometeo - Documents\Planning Space Implementation\3. Analysis &amp; Design\Design\FC22\DRR Jaime\QUIFA-CAJÚA\Cajua\[CAJUA_CF_SEC_New_27-Feb-2024Rev3.xlsx]D-PNP'!</v>
      </c>
      <c r="G3806" s="32" t="s">
        <v>114</v>
      </c>
      <c r="H3806" s="33">
        <f t="shared" si="919"/>
        <v>16</v>
      </c>
      <c r="I3806" s="33" t="str">
        <f t="shared" si="918"/>
        <v>='C:\Users\jaime.benazar\Quorum Business Solutions\Ecopetrol Prometeo - Documents\Planning Space Implementation\3. Analysis &amp; Design\Design\FC22\DRR Jaime\QUIFA-CAJÚA\Cajua\[CAJUA_CF_SEC_New_27-Feb-2024Rev3.xlsx]D-PNP'!$CB$16</v>
      </c>
      <c r="J3806" s="37" t="s">
        <v>3928</v>
      </c>
    </row>
    <row r="3807" spans="1:10" x14ac:dyDescent="0.25">
      <c r="A3807" s="32" t="s">
        <v>2</v>
      </c>
      <c r="B3807" s="32">
        <f t="shared" si="920"/>
        <v>2028</v>
      </c>
      <c r="C3807" s="33" t="s">
        <v>109</v>
      </c>
      <c r="D3807" s="34" t="s">
        <v>1999</v>
      </c>
      <c r="E3807" s="35" t="str">
        <f t="shared" si="908"/>
        <v>PNP'!</v>
      </c>
      <c r="F3807" s="34" t="str">
        <f t="shared" si="917"/>
        <v>C:\Users\jaime.benazar\Quorum Business Solutions\Ecopetrol Prometeo - Documents\Planning Space Implementation\3. Analysis &amp; Design\Design\FC22\DRR Jaime\QUIFA-CAJÚA\Cajua\[CAJUA_CF_SEC_New_27-Feb-2024Rev3.xlsx]D-PNP'!</v>
      </c>
      <c r="G3807" s="32" t="s">
        <v>114</v>
      </c>
      <c r="H3807" s="33">
        <f t="shared" si="919"/>
        <v>17</v>
      </c>
      <c r="I3807" s="33" t="str">
        <f t="shared" si="918"/>
        <v>='C:\Users\jaime.benazar\Quorum Business Solutions\Ecopetrol Prometeo - Documents\Planning Space Implementation\3. Analysis &amp; Design\Design\FC22\DRR Jaime\QUIFA-CAJÚA\Cajua\[CAJUA_CF_SEC_New_27-Feb-2024Rev3.xlsx]D-PNP'!$CB$17</v>
      </c>
      <c r="J3807" s="37" t="s">
        <v>3929</v>
      </c>
    </row>
    <row r="3808" spans="1:10" x14ac:dyDescent="0.25">
      <c r="A3808" s="32" t="s">
        <v>2</v>
      </c>
      <c r="B3808" s="32">
        <f t="shared" si="920"/>
        <v>2029</v>
      </c>
      <c r="C3808" s="33" t="s">
        <v>109</v>
      </c>
      <c r="D3808" s="34" t="s">
        <v>1999</v>
      </c>
      <c r="E3808" s="35" t="str">
        <f t="shared" si="908"/>
        <v>PNP'!</v>
      </c>
      <c r="F3808" s="34" t="str">
        <f t="shared" si="917"/>
        <v>C:\Users\jaime.benazar\Quorum Business Solutions\Ecopetrol Prometeo - Documents\Planning Space Implementation\3. Analysis &amp; Design\Design\FC22\DRR Jaime\QUIFA-CAJÚA\Cajua\[CAJUA_CF_SEC_New_27-Feb-2024Rev3.xlsx]D-PNP'!</v>
      </c>
      <c r="G3808" s="32" t="s">
        <v>114</v>
      </c>
      <c r="H3808" s="33">
        <f t="shared" si="919"/>
        <v>18</v>
      </c>
      <c r="I3808" s="33" t="str">
        <f t="shared" si="918"/>
        <v>='C:\Users\jaime.benazar\Quorum Business Solutions\Ecopetrol Prometeo - Documents\Planning Space Implementation\3. Analysis &amp; Design\Design\FC22\DRR Jaime\QUIFA-CAJÚA\Cajua\[CAJUA_CF_SEC_New_27-Feb-2024Rev3.xlsx]D-PNP'!$CB$18</v>
      </c>
      <c r="J3808" s="37" t="s">
        <v>3930</v>
      </c>
    </row>
    <row r="3809" spans="1:10" x14ac:dyDescent="0.25">
      <c r="A3809" s="32" t="s">
        <v>2</v>
      </c>
      <c r="B3809" s="32">
        <f t="shared" si="920"/>
        <v>2030</v>
      </c>
      <c r="C3809" s="33" t="s">
        <v>109</v>
      </c>
      <c r="D3809" s="34" t="s">
        <v>1999</v>
      </c>
      <c r="E3809" s="35" t="str">
        <f t="shared" si="908"/>
        <v>PNP'!</v>
      </c>
      <c r="F3809" s="34" t="str">
        <f t="shared" si="917"/>
        <v>C:\Users\jaime.benazar\Quorum Business Solutions\Ecopetrol Prometeo - Documents\Planning Space Implementation\3. Analysis &amp; Design\Design\FC22\DRR Jaime\QUIFA-CAJÚA\Cajua\[CAJUA_CF_SEC_New_27-Feb-2024Rev3.xlsx]D-PNP'!</v>
      </c>
      <c r="G3809" s="32" t="s">
        <v>114</v>
      </c>
      <c r="H3809" s="33">
        <f t="shared" si="919"/>
        <v>19</v>
      </c>
      <c r="I3809" s="33" t="str">
        <f t="shared" si="918"/>
        <v>='C:\Users\jaime.benazar\Quorum Business Solutions\Ecopetrol Prometeo - Documents\Planning Space Implementation\3. Analysis &amp; Design\Design\FC22\DRR Jaime\QUIFA-CAJÚA\Cajua\[CAJUA_CF_SEC_New_27-Feb-2024Rev3.xlsx]D-PNP'!$CB$19</v>
      </c>
      <c r="J3809" s="37" t="s">
        <v>3931</v>
      </c>
    </row>
    <row r="3810" spans="1:10" x14ac:dyDescent="0.25">
      <c r="A3810" s="32" t="s">
        <v>2</v>
      </c>
      <c r="B3810" s="32">
        <f t="shared" si="920"/>
        <v>2031</v>
      </c>
      <c r="C3810" s="33" t="s">
        <v>109</v>
      </c>
      <c r="D3810" s="34" t="s">
        <v>1999</v>
      </c>
      <c r="E3810" s="35" t="str">
        <f t="shared" si="908"/>
        <v>PNP'!</v>
      </c>
      <c r="F3810" s="34" t="str">
        <f t="shared" si="917"/>
        <v>C:\Users\jaime.benazar\Quorum Business Solutions\Ecopetrol Prometeo - Documents\Planning Space Implementation\3. Analysis &amp; Design\Design\FC22\DRR Jaime\QUIFA-CAJÚA\Cajua\[CAJUA_CF_SEC_New_27-Feb-2024Rev3.xlsx]D-PNP'!</v>
      </c>
      <c r="G3810" s="32" t="s">
        <v>114</v>
      </c>
      <c r="H3810" s="33">
        <f t="shared" si="919"/>
        <v>20</v>
      </c>
      <c r="I3810" s="33" t="str">
        <f t="shared" si="918"/>
        <v>='C:\Users\jaime.benazar\Quorum Business Solutions\Ecopetrol Prometeo - Documents\Planning Space Implementation\3. Analysis &amp; Design\Design\FC22\DRR Jaime\QUIFA-CAJÚA\Cajua\[CAJUA_CF_SEC_New_27-Feb-2024Rev3.xlsx]D-PNP'!$CB$20</v>
      </c>
      <c r="J3810" s="37" t="s">
        <v>3932</v>
      </c>
    </row>
    <row r="3811" spans="1:10" x14ac:dyDescent="0.25">
      <c r="A3811" s="32" t="s">
        <v>2</v>
      </c>
      <c r="B3811" s="32">
        <f t="shared" si="920"/>
        <v>2032</v>
      </c>
      <c r="C3811" s="33" t="s">
        <v>109</v>
      </c>
      <c r="D3811" s="34" t="s">
        <v>1999</v>
      </c>
      <c r="E3811" s="35" t="str">
        <f t="shared" si="908"/>
        <v>PNP'!</v>
      </c>
      <c r="F3811" s="34" t="str">
        <f t="shared" si="917"/>
        <v>C:\Users\jaime.benazar\Quorum Business Solutions\Ecopetrol Prometeo - Documents\Planning Space Implementation\3. Analysis &amp; Design\Design\FC22\DRR Jaime\QUIFA-CAJÚA\Cajua\[CAJUA_CF_SEC_New_27-Feb-2024Rev3.xlsx]D-PNP'!</v>
      </c>
      <c r="G3811" s="32" t="s">
        <v>114</v>
      </c>
      <c r="H3811" s="33">
        <f t="shared" si="919"/>
        <v>21</v>
      </c>
      <c r="I3811" s="33" t="str">
        <f t="shared" si="918"/>
        <v>='C:\Users\jaime.benazar\Quorum Business Solutions\Ecopetrol Prometeo - Documents\Planning Space Implementation\3. Analysis &amp; Design\Design\FC22\DRR Jaime\QUIFA-CAJÚA\Cajua\[CAJUA_CF_SEC_New_27-Feb-2024Rev3.xlsx]D-PNP'!$CB$21</v>
      </c>
      <c r="J3811" s="37" t="s">
        <v>3933</v>
      </c>
    </row>
    <row r="3812" spans="1:10" x14ac:dyDescent="0.25">
      <c r="A3812" s="32" t="s">
        <v>2</v>
      </c>
      <c r="B3812" s="32">
        <f t="shared" si="920"/>
        <v>2033</v>
      </c>
      <c r="C3812" s="33" t="s">
        <v>109</v>
      </c>
      <c r="D3812" s="34" t="s">
        <v>1999</v>
      </c>
      <c r="E3812" s="35" t="str">
        <f t="shared" si="908"/>
        <v>PNP'!</v>
      </c>
      <c r="F3812" s="34" t="str">
        <f t="shared" si="917"/>
        <v>C:\Users\jaime.benazar\Quorum Business Solutions\Ecopetrol Prometeo - Documents\Planning Space Implementation\3. Analysis &amp; Design\Design\FC22\DRR Jaime\QUIFA-CAJÚA\Cajua\[CAJUA_CF_SEC_New_27-Feb-2024Rev3.xlsx]D-PNP'!</v>
      </c>
      <c r="G3812" s="32" t="s">
        <v>114</v>
      </c>
      <c r="H3812" s="33">
        <f t="shared" si="919"/>
        <v>22</v>
      </c>
      <c r="I3812" s="33" t="str">
        <f t="shared" si="918"/>
        <v>='C:\Users\jaime.benazar\Quorum Business Solutions\Ecopetrol Prometeo - Documents\Planning Space Implementation\3. Analysis &amp; Design\Design\FC22\DRR Jaime\QUIFA-CAJÚA\Cajua\[CAJUA_CF_SEC_New_27-Feb-2024Rev3.xlsx]D-PNP'!$CB$22</v>
      </c>
      <c r="J3812" s="37" t="s">
        <v>3934</v>
      </c>
    </row>
    <row r="3813" spans="1:10" x14ac:dyDescent="0.25">
      <c r="A3813" s="32" t="s">
        <v>2</v>
      </c>
      <c r="B3813" s="32">
        <f t="shared" si="920"/>
        <v>2034</v>
      </c>
      <c r="C3813" s="33" t="s">
        <v>109</v>
      </c>
      <c r="D3813" s="34" t="s">
        <v>1999</v>
      </c>
      <c r="E3813" s="35" t="str">
        <f t="shared" si="908"/>
        <v>PNP'!</v>
      </c>
      <c r="F3813" s="34" t="str">
        <f t="shared" si="917"/>
        <v>C:\Users\jaime.benazar\Quorum Business Solutions\Ecopetrol Prometeo - Documents\Planning Space Implementation\3. Analysis &amp; Design\Design\FC22\DRR Jaime\QUIFA-CAJÚA\Cajua\[CAJUA_CF_SEC_New_27-Feb-2024Rev3.xlsx]D-PNP'!</v>
      </c>
      <c r="G3813" s="32" t="s">
        <v>114</v>
      </c>
      <c r="H3813" s="33">
        <f t="shared" si="919"/>
        <v>23</v>
      </c>
      <c r="I3813" s="33" t="str">
        <f t="shared" si="918"/>
        <v>='C:\Users\jaime.benazar\Quorum Business Solutions\Ecopetrol Prometeo - Documents\Planning Space Implementation\3. Analysis &amp; Design\Design\FC22\DRR Jaime\QUIFA-CAJÚA\Cajua\[CAJUA_CF_SEC_New_27-Feb-2024Rev3.xlsx]D-PNP'!$CB$23</v>
      </c>
      <c r="J3813" s="37" t="s">
        <v>3935</v>
      </c>
    </row>
    <row r="3814" spans="1:10" x14ac:dyDescent="0.25">
      <c r="A3814" s="32" t="s">
        <v>2</v>
      </c>
      <c r="B3814" s="32">
        <f t="shared" si="920"/>
        <v>2035</v>
      </c>
      <c r="C3814" s="33" t="s">
        <v>109</v>
      </c>
      <c r="D3814" s="34" t="s">
        <v>1999</v>
      </c>
      <c r="E3814" s="35" t="str">
        <f t="shared" si="908"/>
        <v>PNP'!</v>
      </c>
      <c r="F3814" s="34" t="str">
        <f t="shared" si="917"/>
        <v>C:\Users\jaime.benazar\Quorum Business Solutions\Ecopetrol Prometeo - Documents\Planning Space Implementation\3. Analysis &amp; Design\Design\FC22\DRR Jaime\QUIFA-CAJÚA\Cajua\[CAJUA_CF_SEC_New_27-Feb-2024Rev3.xlsx]D-PNP'!</v>
      </c>
      <c r="G3814" s="32" t="s">
        <v>114</v>
      </c>
      <c r="H3814" s="33">
        <f t="shared" si="919"/>
        <v>24</v>
      </c>
      <c r="I3814" s="33" t="str">
        <f t="shared" si="918"/>
        <v>='C:\Users\jaime.benazar\Quorum Business Solutions\Ecopetrol Prometeo - Documents\Planning Space Implementation\3. Analysis &amp; Design\Design\FC22\DRR Jaime\QUIFA-CAJÚA\Cajua\[CAJUA_CF_SEC_New_27-Feb-2024Rev3.xlsx]D-PNP'!$CB$24</v>
      </c>
      <c r="J3814" s="37" t="s">
        <v>3936</v>
      </c>
    </row>
    <row r="3815" spans="1:10" x14ac:dyDescent="0.25">
      <c r="A3815" s="32" t="s">
        <v>2</v>
      </c>
      <c r="B3815" s="32">
        <f t="shared" si="920"/>
        <v>2036</v>
      </c>
      <c r="C3815" s="33" t="s">
        <v>109</v>
      </c>
      <c r="D3815" s="34" t="s">
        <v>1999</v>
      </c>
      <c r="E3815" s="35" t="str">
        <f t="shared" si="908"/>
        <v>PNP'!</v>
      </c>
      <c r="F3815" s="34" t="str">
        <f t="shared" si="917"/>
        <v>C:\Users\jaime.benazar\Quorum Business Solutions\Ecopetrol Prometeo - Documents\Planning Space Implementation\3. Analysis &amp; Design\Design\FC22\DRR Jaime\QUIFA-CAJÚA\Cajua\[CAJUA_CF_SEC_New_27-Feb-2024Rev3.xlsx]D-PNP'!</v>
      </c>
      <c r="G3815" s="32" t="s">
        <v>114</v>
      </c>
      <c r="H3815" s="33">
        <f t="shared" si="919"/>
        <v>25</v>
      </c>
      <c r="I3815" s="33" t="str">
        <f t="shared" si="918"/>
        <v>='C:\Users\jaime.benazar\Quorum Business Solutions\Ecopetrol Prometeo - Documents\Planning Space Implementation\3. Analysis &amp; Design\Design\FC22\DRR Jaime\QUIFA-CAJÚA\Cajua\[CAJUA_CF_SEC_New_27-Feb-2024Rev3.xlsx]D-PNP'!$CB$25</v>
      </c>
      <c r="J3815" s="37" t="s">
        <v>3937</v>
      </c>
    </row>
    <row r="3816" spans="1:10" x14ac:dyDescent="0.25">
      <c r="A3816" s="32" t="s">
        <v>2</v>
      </c>
      <c r="B3816" s="32">
        <f>+B3815+1</f>
        <v>2037</v>
      </c>
      <c r="C3816" s="33" t="s">
        <v>109</v>
      </c>
      <c r="D3816" s="34" t="s">
        <v>1999</v>
      </c>
      <c r="E3816" s="35" t="str">
        <f t="shared" si="908"/>
        <v>PNP'!</v>
      </c>
      <c r="F3816" s="34" t="str">
        <f t="shared" si="917"/>
        <v>C:\Users\jaime.benazar\Quorum Business Solutions\Ecopetrol Prometeo - Documents\Planning Space Implementation\3. Analysis &amp; Design\Design\FC22\DRR Jaime\QUIFA-CAJÚA\Cajua\[CAJUA_CF_SEC_New_27-Feb-2024Rev3.xlsx]D-PNP'!</v>
      </c>
      <c r="G3816" s="32" t="s">
        <v>114</v>
      </c>
      <c r="H3816" s="33">
        <f t="shared" si="919"/>
        <v>26</v>
      </c>
      <c r="I3816" s="33" t="str">
        <f t="shared" si="918"/>
        <v>='C:\Users\jaime.benazar\Quorum Business Solutions\Ecopetrol Prometeo - Documents\Planning Space Implementation\3. Analysis &amp; Design\Design\FC22\DRR Jaime\QUIFA-CAJÚA\Cajua\[CAJUA_CF_SEC_New_27-Feb-2024Rev3.xlsx]D-PNP'!$CB$26</v>
      </c>
      <c r="J3816" s="37" t="s">
        <v>3938</v>
      </c>
    </row>
    <row r="3817" spans="1:10" x14ac:dyDescent="0.25">
      <c r="A3817" s="32" t="s">
        <v>2</v>
      </c>
      <c r="B3817" s="32">
        <f t="shared" ref="B3817:B3819" si="921">+B3816+1</f>
        <v>2038</v>
      </c>
      <c r="C3817" s="33" t="s">
        <v>109</v>
      </c>
      <c r="D3817" s="34" t="s">
        <v>1999</v>
      </c>
      <c r="E3817" s="35" t="str">
        <f t="shared" si="908"/>
        <v>PNP'!</v>
      </c>
      <c r="F3817" s="34" t="str">
        <f t="shared" si="917"/>
        <v>C:\Users\jaime.benazar\Quorum Business Solutions\Ecopetrol Prometeo - Documents\Planning Space Implementation\3. Analysis &amp; Design\Design\FC22\DRR Jaime\QUIFA-CAJÚA\Cajua\[CAJUA_CF_SEC_New_27-Feb-2024Rev3.xlsx]D-PNP'!</v>
      </c>
      <c r="G3817" s="32" t="s">
        <v>114</v>
      </c>
      <c r="H3817" s="33">
        <f t="shared" si="919"/>
        <v>27</v>
      </c>
      <c r="I3817" s="33" t="str">
        <f t="shared" si="918"/>
        <v>='C:\Users\jaime.benazar\Quorum Business Solutions\Ecopetrol Prometeo - Documents\Planning Space Implementation\3. Analysis &amp; Design\Design\FC22\DRR Jaime\QUIFA-CAJÚA\Cajua\[CAJUA_CF_SEC_New_27-Feb-2024Rev3.xlsx]D-PNP'!$CB$27</v>
      </c>
      <c r="J3817" s="37" t="s">
        <v>3939</v>
      </c>
    </row>
    <row r="3818" spans="1:10" x14ac:dyDescent="0.25">
      <c r="A3818" s="32" t="s">
        <v>2</v>
      </c>
      <c r="B3818" s="32">
        <f t="shared" si="921"/>
        <v>2039</v>
      </c>
      <c r="C3818" s="33" t="s">
        <v>109</v>
      </c>
      <c r="D3818" s="34" t="s">
        <v>1999</v>
      </c>
      <c r="E3818" s="35" t="str">
        <f t="shared" si="908"/>
        <v>PNP'!</v>
      </c>
      <c r="F3818" s="34" t="str">
        <f t="shared" si="917"/>
        <v>C:\Users\jaime.benazar\Quorum Business Solutions\Ecopetrol Prometeo - Documents\Planning Space Implementation\3. Analysis &amp; Design\Design\FC22\DRR Jaime\QUIFA-CAJÚA\Cajua\[CAJUA_CF_SEC_New_27-Feb-2024Rev3.xlsx]D-PNP'!</v>
      </c>
      <c r="G3818" s="32" t="s">
        <v>114</v>
      </c>
      <c r="H3818" s="33">
        <f t="shared" si="919"/>
        <v>28</v>
      </c>
      <c r="I3818" s="33" t="str">
        <f t="shared" si="918"/>
        <v>='C:\Users\jaime.benazar\Quorum Business Solutions\Ecopetrol Prometeo - Documents\Planning Space Implementation\3. Analysis &amp; Design\Design\FC22\DRR Jaime\QUIFA-CAJÚA\Cajua\[CAJUA_CF_SEC_New_27-Feb-2024Rev3.xlsx]D-PNP'!$CB$28</v>
      </c>
      <c r="J3818" s="37" t="s">
        <v>3940</v>
      </c>
    </row>
    <row r="3819" spans="1:10" x14ac:dyDescent="0.25">
      <c r="A3819" s="32" t="s">
        <v>2</v>
      </c>
      <c r="B3819" s="32">
        <f t="shared" si="921"/>
        <v>2040</v>
      </c>
      <c r="C3819" s="33" t="s">
        <v>109</v>
      </c>
      <c r="D3819" s="34" t="s">
        <v>1999</v>
      </c>
      <c r="E3819" s="35" t="str">
        <f t="shared" si="908"/>
        <v>PNP'!</v>
      </c>
      <c r="F3819" s="34" t="str">
        <f t="shared" si="917"/>
        <v>C:\Users\jaime.benazar\Quorum Business Solutions\Ecopetrol Prometeo - Documents\Planning Space Implementation\3. Analysis &amp; Design\Design\FC22\DRR Jaime\QUIFA-CAJÚA\Cajua\[CAJUA_CF_SEC_New_27-Feb-2024Rev3.xlsx]D-PNP'!</v>
      </c>
      <c r="G3819" s="32" t="s">
        <v>114</v>
      </c>
      <c r="H3819" s="33">
        <f t="shared" si="919"/>
        <v>29</v>
      </c>
      <c r="I3819" s="33" t="str">
        <f t="shared" si="918"/>
        <v>='C:\Users\jaime.benazar\Quorum Business Solutions\Ecopetrol Prometeo - Documents\Planning Space Implementation\3. Analysis &amp; Design\Design\FC22\DRR Jaime\QUIFA-CAJÚA\Cajua\[CAJUA_CF_SEC_New_27-Feb-2024Rev3.xlsx]D-PNP'!$CB$29</v>
      </c>
      <c r="J3819" s="37" t="s">
        <v>3941</v>
      </c>
    </row>
    <row r="3820" spans="1:10" x14ac:dyDescent="0.25">
      <c r="A3820" s="32" t="s">
        <v>2</v>
      </c>
      <c r="B3820" s="32">
        <f>+B3819+1</f>
        <v>2041</v>
      </c>
      <c r="C3820" s="33" t="s">
        <v>109</v>
      </c>
      <c r="D3820" s="34" t="s">
        <v>1999</v>
      </c>
      <c r="E3820" s="35" t="str">
        <f t="shared" si="908"/>
        <v>PNP'!</v>
      </c>
      <c r="F3820" s="34" t="str">
        <f t="shared" si="917"/>
        <v>C:\Users\jaime.benazar\Quorum Business Solutions\Ecopetrol Prometeo - Documents\Planning Space Implementation\3. Analysis &amp; Design\Design\FC22\DRR Jaime\QUIFA-CAJÚA\Cajua\[CAJUA_CF_SEC_New_27-Feb-2024Rev3.xlsx]D-PNP'!</v>
      </c>
      <c r="G3820" s="32" t="s">
        <v>114</v>
      </c>
      <c r="H3820" s="33">
        <f t="shared" si="919"/>
        <v>30</v>
      </c>
      <c r="I3820" s="33" t="str">
        <f t="shared" si="918"/>
        <v>='C:\Users\jaime.benazar\Quorum Business Solutions\Ecopetrol Prometeo - Documents\Planning Space Implementation\3. Analysis &amp; Design\Design\FC22\DRR Jaime\QUIFA-CAJÚA\Cajua\[CAJUA_CF_SEC_New_27-Feb-2024Rev3.xlsx]D-PNP'!$CB$30</v>
      </c>
      <c r="J3820" s="37" t="s">
        <v>3942</v>
      </c>
    </row>
    <row r="3821" spans="1:10" x14ac:dyDescent="0.25">
      <c r="A3821" s="32" t="s">
        <v>2</v>
      </c>
      <c r="B3821" s="32">
        <f t="shared" ref="B3821:B3822" si="922">+B3820+1</f>
        <v>2042</v>
      </c>
      <c r="C3821" s="33" t="s">
        <v>109</v>
      </c>
      <c r="D3821" s="34" t="s">
        <v>1999</v>
      </c>
      <c r="E3821" s="35" t="str">
        <f t="shared" si="908"/>
        <v>PNP'!</v>
      </c>
      <c r="F3821" s="34" t="str">
        <f t="shared" si="917"/>
        <v>C:\Users\jaime.benazar\Quorum Business Solutions\Ecopetrol Prometeo - Documents\Planning Space Implementation\3. Analysis &amp; Design\Design\FC22\DRR Jaime\QUIFA-CAJÚA\Cajua\[CAJUA_CF_SEC_New_27-Feb-2024Rev3.xlsx]D-PNP'!</v>
      </c>
      <c r="G3821" s="32" t="s">
        <v>114</v>
      </c>
      <c r="H3821" s="33">
        <f t="shared" si="919"/>
        <v>31</v>
      </c>
      <c r="I3821" s="33" t="str">
        <f t="shared" si="918"/>
        <v>='C:\Users\jaime.benazar\Quorum Business Solutions\Ecopetrol Prometeo - Documents\Planning Space Implementation\3. Analysis &amp; Design\Design\FC22\DRR Jaime\QUIFA-CAJÚA\Cajua\[CAJUA_CF_SEC_New_27-Feb-2024Rev3.xlsx]D-PNP'!$CB$31</v>
      </c>
      <c r="J3821" s="37" t="s">
        <v>3943</v>
      </c>
    </row>
    <row r="3822" spans="1:10" x14ac:dyDescent="0.25">
      <c r="A3822" s="32" t="s">
        <v>2</v>
      </c>
      <c r="B3822" s="32">
        <f t="shared" si="922"/>
        <v>2043</v>
      </c>
      <c r="C3822" s="33" t="s">
        <v>109</v>
      </c>
      <c r="D3822" s="34" t="s">
        <v>1999</v>
      </c>
      <c r="E3822" s="35" t="str">
        <f t="shared" si="908"/>
        <v>PNP'!</v>
      </c>
      <c r="F3822" s="34" t="str">
        <f t="shared" si="917"/>
        <v>C:\Users\jaime.benazar\Quorum Business Solutions\Ecopetrol Prometeo - Documents\Planning Space Implementation\3. Analysis &amp; Design\Design\FC22\DRR Jaime\QUIFA-CAJÚA\Cajua\[CAJUA_CF_SEC_New_27-Feb-2024Rev3.xlsx]D-PNP'!</v>
      </c>
      <c r="G3822" s="32" t="s">
        <v>114</v>
      </c>
      <c r="H3822" s="33">
        <f t="shared" si="919"/>
        <v>32</v>
      </c>
      <c r="I3822" s="33" t="str">
        <f t="shared" si="918"/>
        <v>='C:\Users\jaime.benazar\Quorum Business Solutions\Ecopetrol Prometeo - Documents\Planning Space Implementation\3. Analysis &amp; Design\Design\FC22\DRR Jaime\QUIFA-CAJÚA\Cajua\[CAJUA_CF_SEC_New_27-Feb-2024Rev3.xlsx]D-PNP'!$CB$32</v>
      </c>
      <c r="J3822" s="37" t="s">
        <v>3944</v>
      </c>
    </row>
    <row r="3823" spans="1:10" x14ac:dyDescent="0.25">
      <c r="A3823" s="32" t="s">
        <v>2</v>
      </c>
      <c r="B3823" s="32">
        <f>+B3822+1</f>
        <v>2044</v>
      </c>
      <c r="C3823" s="33" t="s">
        <v>109</v>
      </c>
      <c r="D3823" s="34" t="s">
        <v>1999</v>
      </c>
      <c r="E3823" s="35" t="str">
        <f t="shared" ref="E3823:E3838" si="923">_xlfn.CONCAT(A3823,"'!")</f>
        <v>PNP'!</v>
      </c>
      <c r="F3823" s="34" t="str">
        <f t="shared" ref="F3823:F3838" si="924">_xlfn.CONCAT(D3823:E3823)</f>
        <v>C:\Users\jaime.benazar\Quorum Business Solutions\Ecopetrol Prometeo - Documents\Planning Space Implementation\3. Analysis &amp; Design\Design\FC22\DRR Jaime\QUIFA-CAJÚA\Cajua\[CAJUA_CF_SEC_New_27-Feb-2024Rev3.xlsx]D-PNP'!</v>
      </c>
      <c r="G3823" s="32" t="s">
        <v>114</v>
      </c>
      <c r="H3823" s="33">
        <f t="shared" ref="H3823:H3838" si="925">IF(A3823&lt;&gt;A3822,12,H3822+1)</f>
        <v>33</v>
      </c>
      <c r="I3823" s="33" t="str">
        <f t="shared" ref="I3823:I3838" si="926">_xlfn.CONCAT("='",F3823:H3823)</f>
        <v>='C:\Users\jaime.benazar\Quorum Business Solutions\Ecopetrol Prometeo - Documents\Planning Space Implementation\3. Analysis &amp; Design\Design\FC22\DRR Jaime\QUIFA-CAJÚA\Cajua\[CAJUA_CF_SEC_New_27-Feb-2024Rev3.xlsx]D-PNP'!$CB$33</v>
      </c>
      <c r="J3823" s="37" t="s">
        <v>3945</v>
      </c>
    </row>
    <row r="3824" spans="1:10" x14ac:dyDescent="0.25">
      <c r="A3824" s="32" t="s">
        <v>2</v>
      </c>
      <c r="B3824" s="32">
        <f t="shared" ref="B3824:B3838" si="927">+B3823+1</f>
        <v>2045</v>
      </c>
      <c r="C3824" s="33" t="s">
        <v>109</v>
      </c>
      <c r="D3824" s="34" t="s">
        <v>1999</v>
      </c>
      <c r="E3824" s="35" t="str">
        <f t="shared" si="923"/>
        <v>PNP'!</v>
      </c>
      <c r="F3824" s="34" t="str">
        <f t="shared" si="924"/>
        <v>C:\Users\jaime.benazar\Quorum Business Solutions\Ecopetrol Prometeo - Documents\Planning Space Implementation\3. Analysis &amp; Design\Design\FC22\DRR Jaime\QUIFA-CAJÚA\Cajua\[CAJUA_CF_SEC_New_27-Feb-2024Rev3.xlsx]D-PNP'!</v>
      </c>
      <c r="G3824" s="32" t="s">
        <v>114</v>
      </c>
      <c r="H3824" s="33">
        <f t="shared" si="925"/>
        <v>34</v>
      </c>
      <c r="I3824" s="33" t="str">
        <f t="shared" si="926"/>
        <v>='C:\Users\jaime.benazar\Quorum Business Solutions\Ecopetrol Prometeo - Documents\Planning Space Implementation\3. Analysis &amp; Design\Design\FC22\DRR Jaime\QUIFA-CAJÚA\Cajua\[CAJUA_CF_SEC_New_27-Feb-2024Rev3.xlsx]D-PNP'!$CB$34</v>
      </c>
      <c r="J3824" s="37" t="s">
        <v>3946</v>
      </c>
    </row>
    <row r="3825" spans="1:10" x14ac:dyDescent="0.25">
      <c r="A3825" s="32" t="s">
        <v>2</v>
      </c>
      <c r="B3825" s="32">
        <f t="shared" si="927"/>
        <v>2046</v>
      </c>
      <c r="C3825" s="33" t="s">
        <v>109</v>
      </c>
      <c r="D3825" s="34" t="s">
        <v>1999</v>
      </c>
      <c r="E3825" s="35" t="str">
        <f t="shared" si="923"/>
        <v>PNP'!</v>
      </c>
      <c r="F3825" s="34" t="str">
        <f t="shared" si="924"/>
        <v>C:\Users\jaime.benazar\Quorum Business Solutions\Ecopetrol Prometeo - Documents\Planning Space Implementation\3. Analysis &amp; Design\Design\FC22\DRR Jaime\QUIFA-CAJÚA\Cajua\[CAJUA_CF_SEC_New_27-Feb-2024Rev3.xlsx]D-PNP'!</v>
      </c>
      <c r="G3825" s="32" t="s">
        <v>114</v>
      </c>
      <c r="H3825" s="33">
        <f t="shared" si="925"/>
        <v>35</v>
      </c>
      <c r="I3825" s="33" t="str">
        <f t="shared" si="926"/>
        <v>='C:\Users\jaime.benazar\Quorum Business Solutions\Ecopetrol Prometeo - Documents\Planning Space Implementation\3. Analysis &amp; Design\Design\FC22\DRR Jaime\QUIFA-CAJÚA\Cajua\[CAJUA_CF_SEC_New_27-Feb-2024Rev3.xlsx]D-PNP'!$CB$35</v>
      </c>
      <c r="J3825" s="37" t="s">
        <v>3947</v>
      </c>
    </row>
    <row r="3826" spans="1:10" x14ac:dyDescent="0.25">
      <c r="A3826" s="32" t="s">
        <v>2</v>
      </c>
      <c r="B3826" s="32">
        <f t="shared" si="927"/>
        <v>2047</v>
      </c>
      <c r="C3826" s="33" t="s">
        <v>109</v>
      </c>
      <c r="D3826" s="34" t="s">
        <v>1999</v>
      </c>
      <c r="E3826" s="35" t="str">
        <f t="shared" si="923"/>
        <v>PNP'!</v>
      </c>
      <c r="F3826" s="34" t="str">
        <f t="shared" si="924"/>
        <v>C:\Users\jaime.benazar\Quorum Business Solutions\Ecopetrol Prometeo - Documents\Planning Space Implementation\3. Analysis &amp; Design\Design\FC22\DRR Jaime\QUIFA-CAJÚA\Cajua\[CAJUA_CF_SEC_New_27-Feb-2024Rev3.xlsx]D-PNP'!</v>
      </c>
      <c r="G3826" s="32" t="s">
        <v>114</v>
      </c>
      <c r="H3826" s="33">
        <f t="shared" si="925"/>
        <v>36</v>
      </c>
      <c r="I3826" s="33" t="str">
        <f t="shared" si="926"/>
        <v>='C:\Users\jaime.benazar\Quorum Business Solutions\Ecopetrol Prometeo - Documents\Planning Space Implementation\3. Analysis &amp; Design\Design\FC22\DRR Jaime\QUIFA-CAJÚA\Cajua\[CAJUA_CF_SEC_New_27-Feb-2024Rev3.xlsx]D-PNP'!$CB$36</v>
      </c>
      <c r="J3826" s="37" t="s">
        <v>3948</v>
      </c>
    </row>
    <row r="3827" spans="1:10" x14ac:dyDescent="0.25">
      <c r="A3827" s="32" t="s">
        <v>2</v>
      </c>
      <c r="B3827" s="32">
        <f t="shared" si="927"/>
        <v>2048</v>
      </c>
      <c r="C3827" s="33" t="s">
        <v>109</v>
      </c>
      <c r="D3827" s="34" t="s">
        <v>1999</v>
      </c>
      <c r="E3827" s="35" t="str">
        <f t="shared" si="923"/>
        <v>PNP'!</v>
      </c>
      <c r="F3827" s="34" t="str">
        <f t="shared" si="924"/>
        <v>C:\Users\jaime.benazar\Quorum Business Solutions\Ecopetrol Prometeo - Documents\Planning Space Implementation\3. Analysis &amp; Design\Design\FC22\DRR Jaime\QUIFA-CAJÚA\Cajua\[CAJUA_CF_SEC_New_27-Feb-2024Rev3.xlsx]D-PNP'!</v>
      </c>
      <c r="G3827" s="32" t="s">
        <v>114</v>
      </c>
      <c r="H3827" s="33">
        <f t="shared" si="925"/>
        <v>37</v>
      </c>
      <c r="I3827" s="33" t="str">
        <f t="shared" si="926"/>
        <v>='C:\Users\jaime.benazar\Quorum Business Solutions\Ecopetrol Prometeo - Documents\Planning Space Implementation\3. Analysis &amp; Design\Design\FC22\DRR Jaime\QUIFA-CAJÚA\Cajua\[CAJUA_CF_SEC_New_27-Feb-2024Rev3.xlsx]D-PNP'!$CB$37</v>
      </c>
      <c r="J3827" s="37" t="s">
        <v>3949</v>
      </c>
    </row>
    <row r="3828" spans="1:10" x14ac:dyDescent="0.25">
      <c r="A3828" s="32" t="s">
        <v>2</v>
      </c>
      <c r="B3828" s="32">
        <f t="shared" si="927"/>
        <v>2049</v>
      </c>
      <c r="C3828" s="33" t="s">
        <v>109</v>
      </c>
      <c r="D3828" s="34" t="s">
        <v>1999</v>
      </c>
      <c r="E3828" s="35" t="str">
        <f t="shared" si="923"/>
        <v>PNP'!</v>
      </c>
      <c r="F3828" s="34" t="str">
        <f t="shared" si="924"/>
        <v>C:\Users\jaime.benazar\Quorum Business Solutions\Ecopetrol Prometeo - Documents\Planning Space Implementation\3. Analysis &amp; Design\Design\FC22\DRR Jaime\QUIFA-CAJÚA\Cajua\[CAJUA_CF_SEC_New_27-Feb-2024Rev3.xlsx]D-PNP'!</v>
      </c>
      <c r="G3828" s="32" t="s">
        <v>114</v>
      </c>
      <c r="H3828" s="33">
        <f t="shared" si="925"/>
        <v>38</v>
      </c>
      <c r="I3828" s="33" t="str">
        <f t="shared" si="926"/>
        <v>='C:\Users\jaime.benazar\Quorum Business Solutions\Ecopetrol Prometeo - Documents\Planning Space Implementation\3. Analysis &amp; Design\Design\FC22\DRR Jaime\QUIFA-CAJÚA\Cajua\[CAJUA_CF_SEC_New_27-Feb-2024Rev3.xlsx]D-PNP'!$CB$38</v>
      </c>
      <c r="J3828" s="37" t="s">
        <v>3950</v>
      </c>
    </row>
    <row r="3829" spans="1:10" x14ac:dyDescent="0.25">
      <c r="A3829" s="32" t="s">
        <v>2</v>
      </c>
      <c r="B3829" s="32">
        <f t="shared" si="927"/>
        <v>2050</v>
      </c>
      <c r="C3829" s="33" t="s">
        <v>109</v>
      </c>
      <c r="D3829" s="34" t="s">
        <v>1999</v>
      </c>
      <c r="E3829" s="35" t="str">
        <f t="shared" si="923"/>
        <v>PNP'!</v>
      </c>
      <c r="F3829" s="34" t="str">
        <f t="shared" si="924"/>
        <v>C:\Users\jaime.benazar\Quorum Business Solutions\Ecopetrol Prometeo - Documents\Planning Space Implementation\3. Analysis &amp; Design\Design\FC22\DRR Jaime\QUIFA-CAJÚA\Cajua\[CAJUA_CF_SEC_New_27-Feb-2024Rev3.xlsx]D-PNP'!</v>
      </c>
      <c r="G3829" s="32" t="s">
        <v>114</v>
      </c>
      <c r="H3829" s="33">
        <f t="shared" si="925"/>
        <v>39</v>
      </c>
      <c r="I3829" s="33" t="str">
        <f t="shared" si="926"/>
        <v>='C:\Users\jaime.benazar\Quorum Business Solutions\Ecopetrol Prometeo - Documents\Planning Space Implementation\3. Analysis &amp; Design\Design\FC22\DRR Jaime\QUIFA-CAJÚA\Cajua\[CAJUA_CF_SEC_New_27-Feb-2024Rev3.xlsx]D-PNP'!$CB$39</v>
      </c>
      <c r="J3829" s="37" t="s">
        <v>3951</v>
      </c>
    </row>
    <row r="3830" spans="1:10" x14ac:dyDescent="0.25">
      <c r="A3830" s="32" t="s">
        <v>2</v>
      </c>
      <c r="B3830" s="32">
        <f t="shared" si="927"/>
        <v>2051</v>
      </c>
      <c r="C3830" s="33" t="s">
        <v>109</v>
      </c>
      <c r="D3830" s="34" t="s">
        <v>1999</v>
      </c>
      <c r="E3830" s="35" t="str">
        <f t="shared" si="923"/>
        <v>PNP'!</v>
      </c>
      <c r="F3830" s="34" t="str">
        <f t="shared" si="924"/>
        <v>C:\Users\jaime.benazar\Quorum Business Solutions\Ecopetrol Prometeo - Documents\Planning Space Implementation\3. Analysis &amp; Design\Design\FC22\DRR Jaime\QUIFA-CAJÚA\Cajua\[CAJUA_CF_SEC_New_27-Feb-2024Rev3.xlsx]D-PNP'!</v>
      </c>
      <c r="G3830" s="32" t="s">
        <v>114</v>
      </c>
      <c r="H3830" s="33">
        <f t="shared" si="925"/>
        <v>40</v>
      </c>
      <c r="I3830" s="33" t="str">
        <f t="shared" si="926"/>
        <v>='C:\Users\jaime.benazar\Quorum Business Solutions\Ecopetrol Prometeo - Documents\Planning Space Implementation\3. Analysis &amp; Design\Design\FC22\DRR Jaime\QUIFA-CAJÚA\Cajua\[CAJUA_CF_SEC_New_27-Feb-2024Rev3.xlsx]D-PNP'!$CB$40</v>
      </c>
      <c r="J3830" s="37" t="s">
        <v>3952</v>
      </c>
    </row>
    <row r="3831" spans="1:10" x14ac:dyDescent="0.25">
      <c r="A3831" s="32" t="s">
        <v>2</v>
      </c>
      <c r="B3831" s="32">
        <f t="shared" si="927"/>
        <v>2052</v>
      </c>
      <c r="C3831" s="33" t="s">
        <v>109</v>
      </c>
      <c r="D3831" s="34" t="s">
        <v>1999</v>
      </c>
      <c r="E3831" s="35" t="str">
        <f t="shared" si="923"/>
        <v>PNP'!</v>
      </c>
      <c r="F3831" s="34" t="str">
        <f t="shared" si="924"/>
        <v>C:\Users\jaime.benazar\Quorum Business Solutions\Ecopetrol Prometeo - Documents\Planning Space Implementation\3. Analysis &amp; Design\Design\FC22\DRR Jaime\QUIFA-CAJÚA\Cajua\[CAJUA_CF_SEC_New_27-Feb-2024Rev3.xlsx]D-PNP'!</v>
      </c>
      <c r="G3831" s="32" t="s">
        <v>114</v>
      </c>
      <c r="H3831" s="33">
        <f t="shared" si="925"/>
        <v>41</v>
      </c>
      <c r="I3831" s="33" t="str">
        <f t="shared" si="926"/>
        <v>='C:\Users\jaime.benazar\Quorum Business Solutions\Ecopetrol Prometeo - Documents\Planning Space Implementation\3. Analysis &amp; Design\Design\FC22\DRR Jaime\QUIFA-CAJÚA\Cajua\[CAJUA_CF_SEC_New_27-Feb-2024Rev3.xlsx]D-PNP'!$CB$41</v>
      </c>
      <c r="J3831" s="37" t="s">
        <v>3953</v>
      </c>
    </row>
    <row r="3832" spans="1:10" x14ac:dyDescent="0.25">
      <c r="A3832" s="32" t="s">
        <v>2</v>
      </c>
      <c r="B3832" s="32">
        <f t="shared" si="927"/>
        <v>2053</v>
      </c>
      <c r="C3832" s="33" t="s">
        <v>109</v>
      </c>
      <c r="D3832" s="34" t="s">
        <v>1999</v>
      </c>
      <c r="E3832" s="35" t="str">
        <f t="shared" si="923"/>
        <v>PNP'!</v>
      </c>
      <c r="F3832" s="34" t="str">
        <f t="shared" si="924"/>
        <v>C:\Users\jaime.benazar\Quorum Business Solutions\Ecopetrol Prometeo - Documents\Planning Space Implementation\3. Analysis &amp; Design\Design\FC22\DRR Jaime\QUIFA-CAJÚA\Cajua\[CAJUA_CF_SEC_New_27-Feb-2024Rev3.xlsx]D-PNP'!</v>
      </c>
      <c r="G3832" s="32" t="s">
        <v>114</v>
      </c>
      <c r="H3832" s="33">
        <f t="shared" si="925"/>
        <v>42</v>
      </c>
      <c r="I3832" s="33" t="str">
        <f t="shared" si="926"/>
        <v>='C:\Users\jaime.benazar\Quorum Business Solutions\Ecopetrol Prometeo - Documents\Planning Space Implementation\3. Analysis &amp; Design\Design\FC22\DRR Jaime\QUIFA-CAJÚA\Cajua\[CAJUA_CF_SEC_New_27-Feb-2024Rev3.xlsx]D-PNP'!$CB$42</v>
      </c>
      <c r="J3832" s="37" t="s">
        <v>3954</v>
      </c>
    </row>
    <row r="3833" spans="1:10" x14ac:dyDescent="0.25">
      <c r="A3833" s="32" t="s">
        <v>2</v>
      </c>
      <c r="B3833" s="32">
        <f t="shared" si="927"/>
        <v>2054</v>
      </c>
      <c r="C3833" s="33" t="s">
        <v>109</v>
      </c>
      <c r="D3833" s="34" t="s">
        <v>1999</v>
      </c>
      <c r="E3833" s="35" t="str">
        <f t="shared" si="923"/>
        <v>PNP'!</v>
      </c>
      <c r="F3833" s="34" t="str">
        <f t="shared" si="924"/>
        <v>C:\Users\jaime.benazar\Quorum Business Solutions\Ecopetrol Prometeo - Documents\Planning Space Implementation\3. Analysis &amp; Design\Design\FC22\DRR Jaime\QUIFA-CAJÚA\Cajua\[CAJUA_CF_SEC_New_27-Feb-2024Rev3.xlsx]D-PNP'!</v>
      </c>
      <c r="G3833" s="32" t="s">
        <v>114</v>
      </c>
      <c r="H3833" s="33">
        <f t="shared" si="925"/>
        <v>43</v>
      </c>
      <c r="I3833" s="33" t="str">
        <f t="shared" si="926"/>
        <v>='C:\Users\jaime.benazar\Quorum Business Solutions\Ecopetrol Prometeo - Documents\Planning Space Implementation\3. Analysis &amp; Design\Design\FC22\DRR Jaime\QUIFA-CAJÚA\Cajua\[CAJUA_CF_SEC_New_27-Feb-2024Rev3.xlsx]D-PNP'!$CB$43</v>
      </c>
      <c r="J3833" s="37" t="s">
        <v>3955</v>
      </c>
    </row>
    <row r="3834" spans="1:10" x14ac:dyDescent="0.25">
      <c r="A3834" s="32" t="s">
        <v>2</v>
      </c>
      <c r="B3834" s="32">
        <f t="shared" si="927"/>
        <v>2055</v>
      </c>
      <c r="C3834" s="33" t="s">
        <v>109</v>
      </c>
      <c r="D3834" s="34" t="s">
        <v>1999</v>
      </c>
      <c r="E3834" s="35" t="str">
        <f t="shared" si="923"/>
        <v>PNP'!</v>
      </c>
      <c r="F3834" s="34" t="str">
        <f t="shared" si="924"/>
        <v>C:\Users\jaime.benazar\Quorum Business Solutions\Ecopetrol Prometeo - Documents\Planning Space Implementation\3. Analysis &amp; Design\Design\FC22\DRR Jaime\QUIFA-CAJÚA\Cajua\[CAJUA_CF_SEC_New_27-Feb-2024Rev3.xlsx]D-PNP'!</v>
      </c>
      <c r="G3834" s="32" t="s">
        <v>114</v>
      </c>
      <c r="H3834" s="33">
        <f t="shared" si="925"/>
        <v>44</v>
      </c>
      <c r="I3834" s="33" t="str">
        <f t="shared" si="926"/>
        <v>='C:\Users\jaime.benazar\Quorum Business Solutions\Ecopetrol Prometeo - Documents\Planning Space Implementation\3. Analysis &amp; Design\Design\FC22\DRR Jaime\QUIFA-CAJÚA\Cajua\[CAJUA_CF_SEC_New_27-Feb-2024Rev3.xlsx]D-PNP'!$CB$44</v>
      </c>
      <c r="J3834" s="37" t="s">
        <v>3956</v>
      </c>
    </row>
    <row r="3835" spans="1:10" x14ac:dyDescent="0.25">
      <c r="A3835" s="32" t="s">
        <v>2</v>
      </c>
      <c r="B3835" s="32">
        <f t="shared" si="927"/>
        <v>2056</v>
      </c>
      <c r="C3835" s="33" t="s">
        <v>109</v>
      </c>
      <c r="D3835" s="34" t="s">
        <v>1999</v>
      </c>
      <c r="E3835" s="35" t="str">
        <f t="shared" si="923"/>
        <v>PNP'!</v>
      </c>
      <c r="F3835" s="34" t="str">
        <f t="shared" si="924"/>
        <v>C:\Users\jaime.benazar\Quorum Business Solutions\Ecopetrol Prometeo - Documents\Planning Space Implementation\3. Analysis &amp; Design\Design\FC22\DRR Jaime\QUIFA-CAJÚA\Cajua\[CAJUA_CF_SEC_New_27-Feb-2024Rev3.xlsx]D-PNP'!</v>
      </c>
      <c r="G3835" s="32" t="s">
        <v>114</v>
      </c>
      <c r="H3835" s="33">
        <f t="shared" si="925"/>
        <v>45</v>
      </c>
      <c r="I3835" s="33" t="str">
        <f t="shared" si="926"/>
        <v>='C:\Users\jaime.benazar\Quorum Business Solutions\Ecopetrol Prometeo - Documents\Planning Space Implementation\3. Analysis &amp; Design\Design\FC22\DRR Jaime\QUIFA-CAJÚA\Cajua\[CAJUA_CF_SEC_New_27-Feb-2024Rev3.xlsx]D-PNP'!$CB$45</v>
      </c>
      <c r="J3835" s="37" t="s">
        <v>3957</v>
      </c>
    </row>
    <row r="3836" spans="1:10" x14ac:dyDescent="0.25">
      <c r="A3836" s="32" t="s">
        <v>2</v>
      </c>
      <c r="B3836" s="32">
        <f t="shared" si="927"/>
        <v>2057</v>
      </c>
      <c r="C3836" s="33" t="s">
        <v>109</v>
      </c>
      <c r="D3836" s="34" t="s">
        <v>1999</v>
      </c>
      <c r="E3836" s="35" t="str">
        <f t="shared" si="923"/>
        <v>PNP'!</v>
      </c>
      <c r="F3836" s="34" t="str">
        <f t="shared" si="924"/>
        <v>C:\Users\jaime.benazar\Quorum Business Solutions\Ecopetrol Prometeo - Documents\Planning Space Implementation\3. Analysis &amp; Design\Design\FC22\DRR Jaime\QUIFA-CAJÚA\Cajua\[CAJUA_CF_SEC_New_27-Feb-2024Rev3.xlsx]D-PNP'!</v>
      </c>
      <c r="G3836" s="32" t="s">
        <v>114</v>
      </c>
      <c r="H3836" s="33">
        <f t="shared" si="925"/>
        <v>46</v>
      </c>
      <c r="I3836" s="33" t="str">
        <f t="shared" si="926"/>
        <v>='C:\Users\jaime.benazar\Quorum Business Solutions\Ecopetrol Prometeo - Documents\Planning Space Implementation\3. Analysis &amp; Design\Design\FC22\DRR Jaime\QUIFA-CAJÚA\Cajua\[CAJUA_CF_SEC_New_27-Feb-2024Rev3.xlsx]D-PNP'!$CB$46</v>
      </c>
      <c r="J3836" s="37" t="s">
        <v>3958</v>
      </c>
    </row>
    <row r="3837" spans="1:10" x14ac:dyDescent="0.25">
      <c r="A3837" s="32" t="s">
        <v>2</v>
      </c>
      <c r="B3837" s="32">
        <f t="shared" si="927"/>
        <v>2058</v>
      </c>
      <c r="C3837" s="33" t="s">
        <v>109</v>
      </c>
      <c r="D3837" s="34" t="s">
        <v>1999</v>
      </c>
      <c r="E3837" s="35" t="str">
        <f t="shared" si="923"/>
        <v>PNP'!</v>
      </c>
      <c r="F3837" s="34" t="str">
        <f t="shared" si="924"/>
        <v>C:\Users\jaime.benazar\Quorum Business Solutions\Ecopetrol Prometeo - Documents\Planning Space Implementation\3. Analysis &amp; Design\Design\FC22\DRR Jaime\QUIFA-CAJÚA\Cajua\[CAJUA_CF_SEC_New_27-Feb-2024Rev3.xlsx]D-PNP'!</v>
      </c>
      <c r="G3837" s="32" t="s">
        <v>114</v>
      </c>
      <c r="H3837" s="33">
        <f t="shared" si="925"/>
        <v>47</v>
      </c>
      <c r="I3837" s="33" t="str">
        <f t="shared" si="926"/>
        <v>='C:\Users\jaime.benazar\Quorum Business Solutions\Ecopetrol Prometeo - Documents\Planning Space Implementation\3. Analysis &amp; Design\Design\FC22\DRR Jaime\QUIFA-CAJÚA\Cajua\[CAJUA_CF_SEC_New_27-Feb-2024Rev3.xlsx]D-PNP'!$CB$47</v>
      </c>
      <c r="J3837" s="37" t="s">
        <v>3959</v>
      </c>
    </row>
    <row r="3838" spans="1:10" x14ac:dyDescent="0.25">
      <c r="A3838" s="32" t="s">
        <v>2</v>
      </c>
      <c r="B3838" s="32">
        <f t="shared" si="927"/>
        <v>2059</v>
      </c>
      <c r="C3838" s="33" t="s">
        <v>109</v>
      </c>
      <c r="D3838" s="34" t="s">
        <v>1999</v>
      </c>
      <c r="E3838" s="35" t="str">
        <f t="shared" si="923"/>
        <v>PNP'!</v>
      </c>
      <c r="F3838" s="34" t="str">
        <f t="shared" si="924"/>
        <v>C:\Users\jaime.benazar\Quorum Business Solutions\Ecopetrol Prometeo - Documents\Planning Space Implementation\3. Analysis &amp; Design\Design\FC22\DRR Jaime\QUIFA-CAJÚA\Cajua\[CAJUA_CF_SEC_New_27-Feb-2024Rev3.xlsx]D-PNP'!</v>
      </c>
      <c r="G3838" s="32" t="s">
        <v>114</v>
      </c>
      <c r="H3838" s="33">
        <f t="shared" si="925"/>
        <v>48</v>
      </c>
      <c r="I3838" s="33" t="str">
        <f t="shared" si="926"/>
        <v>='C:\Users\jaime.benazar\Quorum Business Solutions\Ecopetrol Prometeo - Documents\Planning Space Implementation\3. Analysis &amp; Design\Design\FC22\DRR Jaime\QUIFA-CAJÚA\Cajua\[CAJUA_CF_SEC_New_27-Feb-2024Rev3.xlsx]D-PNP'!$CB$48</v>
      </c>
      <c r="J3838" s="37" t="s">
        <v>3960</v>
      </c>
    </row>
    <row r="3839" spans="1:10" x14ac:dyDescent="0.25">
      <c r="A3839" s="32" t="s">
        <v>28</v>
      </c>
      <c r="B3839" s="32"/>
      <c r="C3839" s="33" t="s">
        <v>109</v>
      </c>
      <c r="D3839" s="34"/>
      <c r="E3839" s="35"/>
      <c r="F3839" s="34"/>
      <c r="G3839" s="32"/>
      <c r="H3839" s="33"/>
      <c r="I3839" s="33"/>
      <c r="J3839" s="33"/>
    </row>
    <row r="3840" spans="1:10" x14ac:dyDescent="0.25">
      <c r="A3840" s="32" t="s">
        <v>3</v>
      </c>
      <c r="B3840" s="32">
        <v>2023</v>
      </c>
      <c r="C3840" s="33" t="s">
        <v>109</v>
      </c>
      <c r="D3840" s="34" t="s">
        <v>1999</v>
      </c>
      <c r="E3840" s="35" t="str">
        <f t="shared" ref="E3840:E3860" si="928">_xlfn.CONCAT(A3840,"'!")</f>
        <v>PND'!</v>
      </c>
      <c r="F3840" s="34" t="str">
        <f t="shared" ref="F3840:F3860" si="929">_xlfn.CONCAT(D3840:E3840)</f>
        <v>C:\Users\jaime.benazar\Quorum Business Solutions\Ecopetrol Prometeo - Documents\Planning Space Implementation\3. Analysis &amp; Design\Design\FC22\DRR Jaime\QUIFA-CAJÚA\Cajua\[CAJUA_CF_SEC_New_27-Feb-2024Rev3.xlsx]D-PND'!</v>
      </c>
      <c r="G3840" s="32" t="s">
        <v>114</v>
      </c>
      <c r="H3840" s="33">
        <v>12</v>
      </c>
      <c r="I3840" s="33" t="str">
        <f t="shared" ref="I3840:I3860" si="930">_xlfn.CONCAT("='",F3840:H3840)</f>
        <v>='C:\Users\jaime.benazar\Quorum Business Solutions\Ecopetrol Prometeo - Documents\Planning Space Implementation\3. Analysis &amp; Design\Design\FC22\DRR Jaime\QUIFA-CAJÚA\Cajua\[CAJUA_CF_SEC_New_27-Feb-2024Rev3.xlsx]D-PND'!$CB$12</v>
      </c>
      <c r="J3840" s="37" t="s">
        <v>3961</v>
      </c>
    </row>
    <row r="3841" spans="1:10" x14ac:dyDescent="0.25">
      <c r="A3841" s="32" t="s">
        <v>3</v>
      </c>
      <c r="B3841" s="32">
        <f>+B3840+1</f>
        <v>2024</v>
      </c>
      <c r="C3841" s="33" t="s">
        <v>109</v>
      </c>
      <c r="D3841" s="34" t="s">
        <v>1999</v>
      </c>
      <c r="E3841" s="35" t="str">
        <f t="shared" si="928"/>
        <v>PND'!</v>
      </c>
      <c r="F3841" s="34" t="str">
        <f t="shared" si="929"/>
        <v>C:\Users\jaime.benazar\Quorum Business Solutions\Ecopetrol Prometeo - Documents\Planning Space Implementation\3. Analysis &amp; Design\Design\FC22\DRR Jaime\QUIFA-CAJÚA\Cajua\[CAJUA_CF_SEC_New_27-Feb-2024Rev3.xlsx]D-PND'!</v>
      </c>
      <c r="G3841" s="32" t="s">
        <v>114</v>
      </c>
      <c r="H3841" s="33">
        <f t="shared" ref="H3841:H3860" si="931">IF(A3841&lt;&gt;A3840,12,H3840+1)</f>
        <v>13</v>
      </c>
      <c r="I3841" s="33" t="str">
        <f t="shared" si="930"/>
        <v>='C:\Users\jaime.benazar\Quorum Business Solutions\Ecopetrol Prometeo - Documents\Planning Space Implementation\3. Analysis &amp; Design\Design\FC22\DRR Jaime\QUIFA-CAJÚA\Cajua\[CAJUA_CF_SEC_New_27-Feb-2024Rev3.xlsx]D-PND'!$CB$13</v>
      </c>
      <c r="J3841" s="37" t="s">
        <v>3962</v>
      </c>
    </row>
    <row r="3842" spans="1:10" x14ac:dyDescent="0.25">
      <c r="A3842" s="32" t="s">
        <v>3</v>
      </c>
      <c r="B3842" s="32">
        <f t="shared" ref="B3842:B3853" si="932">+B3841+1</f>
        <v>2025</v>
      </c>
      <c r="C3842" s="33" t="s">
        <v>109</v>
      </c>
      <c r="D3842" s="34" t="s">
        <v>1999</v>
      </c>
      <c r="E3842" s="35" t="str">
        <f t="shared" si="928"/>
        <v>PND'!</v>
      </c>
      <c r="F3842" s="34" t="str">
        <f t="shared" si="929"/>
        <v>C:\Users\jaime.benazar\Quorum Business Solutions\Ecopetrol Prometeo - Documents\Planning Space Implementation\3. Analysis &amp; Design\Design\FC22\DRR Jaime\QUIFA-CAJÚA\Cajua\[CAJUA_CF_SEC_New_27-Feb-2024Rev3.xlsx]D-PND'!</v>
      </c>
      <c r="G3842" s="32" t="s">
        <v>114</v>
      </c>
      <c r="H3842" s="33">
        <f t="shared" si="931"/>
        <v>14</v>
      </c>
      <c r="I3842" s="33" t="str">
        <f t="shared" si="930"/>
        <v>='C:\Users\jaime.benazar\Quorum Business Solutions\Ecopetrol Prometeo - Documents\Planning Space Implementation\3. Analysis &amp; Design\Design\FC22\DRR Jaime\QUIFA-CAJÚA\Cajua\[CAJUA_CF_SEC_New_27-Feb-2024Rev3.xlsx]D-PND'!$CB$14</v>
      </c>
      <c r="J3842" s="37" t="s">
        <v>3963</v>
      </c>
    </row>
    <row r="3843" spans="1:10" x14ac:dyDescent="0.25">
      <c r="A3843" s="32" t="s">
        <v>3</v>
      </c>
      <c r="B3843" s="32">
        <f t="shared" si="932"/>
        <v>2026</v>
      </c>
      <c r="C3843" s="33" t="s">
        <v>109</v>
      </c>
      <c r="D3843" s="34" t="s">
        <v>1999</v>
      </c>
      <c r="E3843" s="35" t="str">
        <f t="shared" si="928"/>
        <v>PND'!</v>
      </c>
      <c r="F3843" s="34" t="str">
        <f t="shared" si="929"/>
        <v>C:\Users\jaime.benazar\Quorum Business Solutions\Ecopetrol Prometeo - Documents\Planning Space Implementation\3. Analysis &amp; Design\Design\FC22\DRR Jaime\QUIFA-CAJÚA\Cajua\[CAJUA_CF_SEC_New_27-Feb-2024Rev3.xlsx]D-PND'!</v>
      </c>
      <c r="G3843" s="32" t="s">
        <v>114</v>
      </c>
      <c r="H3843" s="33">
        <f t="shared" si="931"/>
        <v>15</v>
      </c>
      <c r="I3843" s="33" t="str">
        <f t="shared" si="930"/>
        <v>='C:\Users\jaime.benazar\Quorum Business Solutions\Ecopetrol Prometeo - Documents\Planning Space Implementation\3. Analysis &amp; Design\Design\FC22\DRR Jaime\QUIFA-CAJÚA\Cajua\[CAJUA_CF_SEC_New_27-Feb-2024Rev3.xlsx]D-PND'!$CB$15</v>
      </c>
      <c r="J3843" s="37" t="s">
        <v>3964</v>
      </c>
    </row>
    <row r="3844" spans="1:10" x14ac:dyDescent="0.25">
      <c r="A3844" s="32" t="s">
        <v>3</v>
      </c>
      <c r="B3844" s="32">
        <f t="shared" si="932"/>
        <v>2027</v>
      </c>
      <c r="C3844" s="33" t="s">
        <v>109</v>
      </c>
      <c r="D3844" s="34" t="s">
        <v>1999</v>
      </c>
      <c r="E3844" s="35" t="str">
        <f t="shared" si="928"/>
        <v>PND'!</v>
      </c>
      <c r="F3844" s="34" t="str">
        <f t="shared" si="929"/>
        <v>C:\Users\jaime.benazar\Quorum Business Solutions\Ecopetrol Prometeo - Documents\Planning Space Implementation\3. Analysis &amp; Design\Design\FC22\DRR Jaime\QUIFA-CAJÚA\Cajua\[CAJUA_CF_SEC_New_27-Feb-2024Rev3.xlsx]D-PND'!</v>
      </c>
      <c r="G3844" s="32" t="s">
        <v>114</v>
      </c>
      <c r="H3844" s="33">
        <f t="shared" si="931"/>
        <v>16</v>
      </c>
      <c r="I3844" s="33" t="str">
        <f t="shared" si="930"/>
        <v>='C:\Users\jaime.benazar\Quorum Business Solutions\Ecopetrol Prometeo - Documents\Planning Space Implementation\3. Analysis &amp; Design\Design\FC22\DRR Jaime\QUIFA-CAJÚA\Cajua\[CAJUA_CF_SEC_New_27-Feb-2024Rev3.xlsx]D-PND'!$CB$16</v>
      </c>
      <c r="J3844" s="37" t="s">
        <v>3965</v>
      </c>
    </row>
    <row r="3845" spans="1:10" x14ac:dyDescent="0.25">
      <c r="A3845" s="32" t="s">
        <v>3</v>
      </c>
      <c r="B3845" s="32">
        <f t="shared" si="932"/>
        <v>2028</v>
      </c>
      <c r="C3845" s="33" t="s">
        <v>109</v>
      </c>
      <c r="D3845" s="34" t="s">
        <v>1999</v>
      </c>
      <c r="E3845" s="35" t="str">
        <f t="shared" si="928"/>
        <v>PND'!</v>
      </c>
      <c r="F3845" s="34" t="str">
        <f t="shared" si="929"/>
        <v>C:\Users\jaime.benazar\Quorum Business Solutions\Ecopetrol Prometeo - Documents\Planning Space Implementation\3. Analysis &amp; Design\Design\FC22\DRR Jaime\QUIFA-CAJÚA\Cajua\[CAJUA_CF_SEC_New_27-Feb-2024Rev3.xlsx]D-PND'!</v>
      </c>
      <c r="G3845" s="32" t="s">
        <v>114</v>
      </c>
      <c r="H3845" s="33">
        <f t="shared" si="931"/>
        <v>17</v>
      </c>
      <c r="I3845" s="33" t="str">
        <f t="shared" si="930"/>
        <v>='C:\Users\jaime.benazar\Quorum Business Solutions\Ecopetrol Prometeo - Documents\Planning Space Implementation\3. Analysis &amp; Design\Design\FC22\DRR Jaime\QUIFA-CAJÚA\Cajua\[CAJUA_CF_SEC_New_27-Feb-2024Rev3.xlsx]D-PND'!$CB$17</v>
      </c>
      <c r="J3845" s="37" t="s">
        <v>3966</v>
      </c>
    </row>
    <row r="3846" spans="1:10" x14ac:dyDescent="0.25">
      <c r="A3846" s="32" t="s">
        <v>3</v>
      </c>
      <c r="B3846" s="32">
        <f t="shared" si="932"/>
        <v>2029</v>
      </c>
      <c r="C3846" s="33" t="s">
        <v>109</v>
      </c>
      <c r="D3846" s="34" t="s">
        <v>1999</v>
      </c>
      <c r="E3846" s="35" t="str">
        <f t="shared" si="928"/>
        <v>PND'!</v>
      </c>
      <c r="F3846" s="34" t="str">
        <f t="shared" si="929"/>
        <v>C:\Users\jaime.benazar\Quorum Business Solutions\Ecopetrol Prometeo - Documents\Planning Space Implementation\3. Analysis &amp; Design\Design\FC22\DRR Jaime\QUIFA-CAJÚA\Cajua\[CAJUA_CF_SEC_New_27-Feb-2024Rev3.xlsx]D-PND'!</v>
      </c>
      <c r="G3846" s="32" t="s">
        <v>114</v>
      </c>
      <c r="H3846" s="33">
        <f t="shared" si="931"/>
        <v>18</v>
      </c>
      <c r="I3846" s="33" t="str">
        <f t="shared" si="930"/>
        <v>='C:\Users\jaime.benazar\Quorum Business Solutions\Ecopetrol Prometeo - Documents\Planning Space Implementation\3. Analysis &amp; Design\Design\FC22\DRR Jaime\QUIFA-CAJÚA\Cajua\[CAJUA_CF_SEC_New_27-Feb-2024Rev3.xlsx]D-PND'!$CB$18</v>
      </c>
      <c r="J3846" s="37" t="s">
        <v>3967</v>
      </c>
    </row>
    <row r="3847" spans="1:10" x14ac:dyDescent="0.25">
      <c r="A3847" s="32" t="s">
        <v>3</v>
      </c>
      <c r="B3847" s="32">
        <f t="shared" si="932"/>
        <v>2030</v>
      </c>
      <c r="C3847" s="33" t="s">
        <v>109</v>
      </c>
      <c r="D3847" s="34" t="s">
        <v>1999</v>
      </c>
      <c r="E3847" s="35" t="str">
        <f t="shared" si="928"/>
        <v>PND'!</v>
      </c>
      <c r="F3847" s="34" t="str">
        <f t="shared" si="929"/>
        <v>C:\Users\jaime.benazar\Quorum Business Solutions\Ecopetrol Prometeo - Documents\Planning Space Implementation\3. Analysis &amp; Design\Design\FC22\DRR Jaime\QUIFA-CAJÚA\Cajua\[CAJUA_CF_SEC_New_27-Feb-2024Rev3.xlsx]D-PND'!</v>
      </c>
      <c r="G3847" s="32" t="s">
        <v>114</v>
      </c>
      <c r="H3847" s="33">
        <f t="shared" si="931"/>
        <v>19</v>
      </c>
      <c r="I3847" s="33" t="str">
        <f t="shared" si="930"/>
        <v>='C:\Users\jaime.benazar\Quorum Business Solutions\Ecopetrol Prometeo - Documents\Planning Space Implementation\3. Analysis &amp; Design\Design\FC22\DRR Jaime\QUIFA-CAJÚA\Cajua\[CAJUA_CF_SEC_New_27-Feb-2024Rev3.xlsx]D-PND'!$CB$19</v>
      </c>
      <c r="J3847" s="37" t="s">
        <v>3968</v>
      </c>
    </row>
    <row r="3848" spans="1:10" x14ac:dyDescent="0.25">
      <c r="A3848" s="32" t="s">
        <v>3</v>
      </c>
      <c r="B3848" s="32">
        <f t="shared" si="932"/>
        <v>2031</v>
      </c>
      <c r="C3848" s="33" t="s">
        <v>109</v>
      </c>
      <c r="D3848" s="34" t="s">
        <v>1999</v>
      </c>
      <c r="E3848" s="35" t="str">
        <f t="shared" si="928"/>
        <v>PND'!</v>
      </c>
      <c r="F3848" s="34" t="str">
        <f t="shared" si="929"/>
        <v>C:\Users\jaime.benazar\Quorum Business Solutions\Ecopetrol Prometeo - Documents\Planning Space Implementation\3. Analysis &amp; Design\Design\FC22\DRR Jaime\QUIFA-CAJÚA\Cajua\[CAJUA_CF_SEC_New_27-Feb-2024Rev3.xlsx]D-PND'!</v>
      </c>
      <c r="G3848" s="32" t="s">
        <v>114</v>
      </c>
      <c r="H3848" s="33">
        <f t="shared" si="931"/>
        <v>20</v>
      </c>
      <c r="I3848" s="33" t="str">
        <f t="shared" si="930"/>
        <v>='C:\Users\jaime.benazar\Quorum Business Solutions\Ecopetrol Prometeo - Documents\Planning Space Implementation\3. Analysis &amp; Design\Design\FC22\DRR Jaime\QUIFA-CAJÚA\Cajua\[CAJUA_CF_SEC_New_27-Feb-2024Rev3.xlsx]D-PND'!$CB$20</v>
      </c>
      <c r="J3848" s="37" t="s">
        <v>3969</v>
      </c>
    </row>
    <row r="3849" spans="1:10" x14ac:dyDescent="0.25">
      <c r="A3849" s="32" t="s">
        <v>3</v>
      </c>
      <c r="B3849" s="32">
        <f t="shared" si="932"/>
        <v>2032</v>
      </c>
      <c r="C3849" s="33" t="s">
        <v>109</v>
      </c>
      <c r="D3849" s="34" t="s">
        <v>1999</v>
      </c>
      <c r="E3849" s="35" t="str">
        <f t="shared" si="928"/>
        <v>PND'!</v>
      </c>
      <c r="F3849" s="34" t="str">
        <f t="shared" si="929"/>
        <v>C:\Users\jaime.benazar\Quorum Business Solutions\Ecopetrol Prometeo - Documents\Planning Space Implementation\3. Analysis &amp; Design\Design\FC22\DRR Jaime\QUIFA-CAJÚA\Cajua\[CAJUA_CF_SEC_New_27-Feb-2024Rev3.xlsx]D-PND'!</v>
      </c>
      <c r="G3849" s="32" t="s">
        <v>114</v>
      </c>
      <c r="H3849" s="33">
        <f t="shared" si="931"/>
        <v>21</v>
      </c>
      <c r="I3849" s="33" t="str">
        <f t="shared" si="930"/>
        <v>='C:\Users\jaime.benazar\Quorum Business Solutions\Ecopetrol Prometeo - Documents\Planning Space Implementation\3. Analysis &amp; Design\Design\FC22\DRR Jaime\QUIFA-CAJÚA\Cajua\[CAJUA_CF_SEC_New_27-Feb-2024Rev3.xlsx]D-PND'!$CB$21</v>
      </c>
      <c r="J3849" s="37" t="s">
        <v>3970</v>
      </c>
    </row>
    <row r="3850" spans="1:10" x14ac:dyDescent="0.25">
      <c r="A3850" s="32" t="s">
        <v>3</v>
      </c>
      <c r="B3850" s="32">
        <f t="shared" si="932"/>
        <v>2033</v>
      </c>
      <c r="C3850" s="33" t="s">
        <v>109</v>
      </c>
      <c r="D3850" s="34" t="s">
        <v>1999</v>
      </c>
      <c r="E3850" s="35" t="str">
        <f t="shared" si="928"/>
        <v>PND'!</v>
      </c>
      <c r="F3850" s="34" t="str">
        <f t="shared" si="929"/>
        <v>C:\Users\jaime.benazar\Quorum Business Solutions\Ecopetrol Prometeo - Documents\Planning Space Implementation\3. Analysis &amp; Design\Design\FC22\DRR Jaime\QUIFA-CAJÚA\Cajua\[CAJUA_CF_SEC_New_27-Feb-2024Rev3.xlsx]D-PND'!</v>
      </c>
      <c r="G3850" s="32" t="s">
        <v>114</v>
      </c>
      <c r="H3850" s="33">
        <f t="shared" si="931"/>
        <v>22</v>
      </c>
      <c r="I3850" s="33" t="str">
        <f t="shared" si="930"/>
        <v>='C:\Users\jaime.benazar\Quorum Business Solutions\Ecopetrol Prometeo - Documents\Planning Space Implementation\3. Analysis &amp; Design\Design\FC22\DRR Jaime\QUIFA-CAJÚA\Cajua\[CAJUA_CF_SEC_New_27-Feb-2024Rev3.xlsx]D-PND'!$CB$22</v>
      </c>
      <c r="J3850" s="37" t="s">
        <v>3971</v>
      </c>
    </row>
    <row r="3851" spans="1:10" x14ac:dyDescent="0.25">
      <c r="A3851" s="32" t="s">
        <v>3</v>
      </c>
      <c r="B3851" s="32">
        <f t="shared" si="932"/>
        <v>2034</v>
      </c>
      <c r="C3851" s="33" t="s">
        <v>109</v>
      </c>
      <c r="D3851" s="34" t="s">
        <v>1999</v>
      </c>
      <c r="E3851" s="35" t="str">
        <f t="shared" si="928"/>
        <v>PND'!</v>
      </c>
      <c r="F3851" s="34" t="str">
        <f t="shared" si="929"/>
        <v>C:\Users\jaime.benazar\Quorum Business Solutions\Ecopetrol Prometeo - Documents\Planning Space Implementation\3. Analysis &amp; Design\Design\FC22\DRR Jaime\QUIFA-CAJÚA\Cajua\[CAJUA_CF_SEC_New_27-Feb-2024Rev3.xlsx]D-PND'!</v>
      </c>
      <c r="G3851" s="32" t="s">
        <v>114</v>
      </c>
      <c r="H3851" s="33">
        <f t="shared" si="931"/>
        <v>23</v>
      </c>
      <c r="I3851" s="33" t="str">
        <f t="shared" si="930"/>
        <v>='C:\Users\jaime.benazar\Quorum Business Solutions\Ecopetrol Prometeo - Documents\Planning Space Implementation\3. Analysis &amp; Design\Design\FC22\DRR Jaime\QUIFA-CAJÚA\Cajua\[CAJUA_CF_SEC_New_27-Feb-2024Rev3.xlsx]D-PND'!$CB$23</v>
      </c>
      <c r="J3851" s="37" t="s">
        <v>3972</v>
      </c>
    </row>
    <row r="3852" spans="1:10" x14ac:dyDescent="0.25">
      <c r="A3852" s="32" t="s">
        <v>3</v>
      </c>
      <c r="B3852" s="32">
        <f t="shared" si="932"/>
        <v>2035</v>
      </c>
      <c r="C3852" s="33" t="s">
        <v>109</v>
      </c>
      <c r="D3852" s="34" t="s">
        <v>1999</v>
      </c>
      <c r="E3852" s="35" t="str">
        <f t="shared" si="928"/>
        <v>PND'!</v>
      </c>
      <c r="F3852" s="34" t="str">
        <f t="shared" si="929"/>
        <v>C:\Users\jaime.benazar\Quorum Business Solutions\Ecopetrol Prometeo - Documents\Planning Space Implementation\3. Analysis &amp; Design\Design\FC22\DRR Jaime\QUIFA-CAJÚA\Cajua\[CAJUA_CF_SEC_New_27-Feb-2024Rev3.xlsx]D-PND'!</v>
      </c>
      <c r="G3852" s="32" t="s">
        <v>114</v>
      </c>
      <c r="H3852" s="33">
        <f t="shared" si="931"/>
        <v>24</v>
      </c>
      <c r="I3852" s="33" t="str">
        <f t="shared" si="930"/>
        <v>='C:\Users\jaime.benazar\Quorum Business Solutions\Ecopetrol Prometeo - Documents\Planning Space Implementation\3. Analysis &amp; Design\Design\FC22\DRR Jaime\QUIFA-CAJÚA\Cajua\[CAJUA_CF_SEC_New_27-Feb-2024Rev3.xlsx]D-PND'!$CB$24</v>
      </c>
      <c r="J3852" s="37" t="s">
        <v>3973</v>
      </c>
    </row>
    <row r="3853" spans="1:10" x14ac:dyDescent="0.25">
      <c r="A3853" s="32" t="s">
        <v>3</v>
      </c>
      <c r="B3853" s="32">
        <f t="shared" si="932"/>
        <v>2036</v>
      </c>
      <c r="C3853" s="33" t="s">
        <v>109</v>
      </c>
      <c r="D3853" s="34" t="s">
        <v>1999</v>
      </c>
      <c r="E3853" s="35" t="str">
        <f t="shared" si="928"/>
        <v>PND'!</v>
      </c>
      <c r="F3853" s="34" t="str">
        <f t="shared" si="929"/>
        <v>C:\Users\jaime.benazar\Quorum Business Solutions\Ecopetrol Prometeo - Documents\Planning Space Implementation\3. Analysis &amp; Design\Design\FC22\DRR Jaime\QUIFA-CAJÚA\Cajua\[CAJUA_CF_SEC_New_27-Feb-2024Rev3.xlsx]D-PND'!</v>
      </c>
      <c r="G3853" s="32" t="s">
        <v>114</v>
      </c>
      <c r="H3853" s="33">
        <f t="shared" si="931"/>
        <v>25</v>
      </c>
      <c r="I3853" s="33" t="str">
        <f t="shared" si="930"/>
        <v>='C:\Users\jaime.benazar\Quorum Business Solutions\Ecopetrol Prometeo - Documents\Planning Space Implementation\3. Analysis &amp; Design\Design\FC22\DRR Jaime\QUIFA-CAJÚA\Cajua\[CAJUA_CF_SEC_New_27-Feb-2024Rev3.xlsx]D-PND'!$CB$25</v>
      </c>
      <c r="J3853" s="37" t="s">
        <v>3974</v>
      </c>
    </row>
    <row r="3854" spans="1:10" x14ac:dyDescent="0.25">
      <c r="A3854" s="32" t="s">
        <v>3</v>
      </c>
      <c r="B3854" s="32">
        <f>+B3853+1</f>
        <v>2037</v>
      </c>
      <c r="C3854" s="33" t="s">
        <v>109</v>
      </c>
      <c r="D3854" s="34" t="s">
        <v>1999</v>
      </c>
      <c r="E3854" s="35" t="str">
        <f t="shared" si="928"/>
        <v>PND'!</v>
      </c>
      <c r="F3854" s="34" t="str">
        <f t="shared" si="929"/>
        <v>C:\Users\jaime.benazar\Quorum Business Solutions\Ecopetrol Prometeo - Documents\Planning Space Implementation\3. Analysis &amp; Design\Design\FC22\DRR Jaime\QUIFA-CAJÚA\Cajua\[CAJUA_CF_SEC_New_27-Feb-2024Rev3.xlsx]D-PND'!</v>
      </c>
      <c r="G3854" s="32" t="s">
        <v>114</v>
      </c>
      <c r="H3854" s="33">
        <f t="shared" si="931"/>
        <v>26</v>
      </c>
      <c r="I3854" s="33" t="str">
        <f t="shared" si="930"/>
        <v>='C:\Users\jaime.benazar\Quorum Business Solutions\Ecopetrol Prometeo - Documents\Planning Space Implementation\3. Analysis &amp; Design\Design\FC22\DRR Jaime\QUIFA-CAJÚA\Cajua\[CAJUA_CF_SEC_New_27-Feb-2024Rev3.xlsx]D-PND'!$CB$26</v>
      </c>
      <c r="J3854" s="37" t="s">
        <v>3975</v>
      </c>
    </row>
    <row r="3855" spans="1:10" x14ac:dyDescent="0.25">
      <c r="A3855" s="32" t="s">
        <v>3</v>
      </c>
      <c r="B3855" s="32">
        <f t="shared" ref="B3855:B3857" si="933">+B3854+1</f>
        <v>2038</v>
      </c>
      <c r="C3855" s="33" t="s">
        <v>109</v>
      </c>
      <c r="D3855" s="34" t="s">
        <v>1999</v>
      </c>
      <c r="E3855" s="35" t="str">
        <f t="shared" si="928"/>
        <v>PND'!</v>
      </c>
      <c r="F3855" s="34" t="str">
        <f t="shared" si="929"/>
        <v>C:\Users\jaime.benazar\Quorum Business Solutions\Ecopetrol Prometeo - Documents\Planning Space Implementation\3. Analysis &amp; Design\Design\FC22\DRR Jaime\QUIFA-CAJÚA\Cajua\[CAJUA_CF_SEC_New_27-Feb-2024Rev3.xlsx]D-PND'!</v>
      </c>
      <c r="G3855" s="32" t="s">
        <v>114</v>
      </c>
      <c r="H3855" s="33">
        <f t="shared" si="931"/>
        <v>27</v>
      </c>
      <c r="I3855" s="33" t="str">
        <f t="shared" si="930"/>
        <v>='C:\Users\jaime.benazar\Quorum Business Solutions\Ecopetrol Prometeo - Documents\Planning Space Implementation\3. Analysis &amp; Design\Design\FC22\DRR Jaime\QUIFA-CAJÚA\Cajua\[CAJUA_CF_SEC_New_27-Feb-2024Rev3.xlsx]D-PND'!$CB$27</v>
      </c>
      <c r="J3855" s="37" t="s">
        <v>3976</v>
      </c>
    </row>
    <row r="3856" spans="1:10" x14ac:dyDescent="0.25">
      <c r="A3856" s="32" t="s">
        <v>3</v>
      </c>
      <c r="B3856" s="32">
        <f t="shared" si="933"/>
        <v>2039</v>
      </c>
      <c r="C3856" s="33" t="s">
        <v>109</v>
      </c>
      <c r="D3856" s="34" t="s">
        <v>1999</v>
      </c>
      <c r="E3856" s="35" t="str">
        <f t="shared" si="928"/>
        <v>PND'!</v>
      </c>
      <c r="F3856" s="34" t="str">
        <f t="shared" si="929"/>
        <v>C:\Users\jaime.benazar\Quorum Business Solutions\Ecopetrol Prometeo - Documents\Planning Space Implementation\3. Analysis &amp; Design\Design\FC22\DRR Jaime\QUIFA-CAJÚA\Cajua\[CAJUA_CF_SEC_New_27-Feb-2024Rev3.xlsx]D-PND'!</v>
      </c>
      <c r="G3856" s="32" t="s">
        <v>114</v>
      </c>
      <c r="H3856" s="33">
        <f t="shared" si="931"/>
        <v>28</v>
      </c>
      <c r="I3856" s="33" t="str">
        <f t="shared" si="930"/>
        <v>='C:\Users\jaime.benazar\Quorum Business Solutions\Ecopetrol Prometeo - Documents\Planning Space Implementation\3. Analysis &amp; Design\Design\FC22\DRR Jaime\QUIFA-CAJÚA\Cajua\[CAJUA_CF_SEC_New_27-Feb-2024Rev3.xlsx]D-PND'!$CB$28</v>
      </c>
      <c r="J3856" s="37" t="s">
        <v>3977</v>
      </c>
    </row>
    <row r="3857" spans="1:10" x14ac:dyDescent="0.25">
      <c r="A3857" s="32" t="s">
        <v>3</v>
      </c>
      <c r="B3857" s="32">
        <f t="shared" si="933"/>
        <v>2040</v>
      </c>
      <c r="C3857" s="33" t="s">
        <v>109</v>
      </c>
      <c r="D3857" s="34" t="s">
        <v>1999</v>
      </c>
      <c r="E3857" s="35" t="str">
        <f t="shared" si="928"/>
        <v>PND'!</v>
      </c>
      <c r="F3857" s="34" t="str">
        <f t="shared" si="929"/>
        <v>C:\Users\jaime.benazar\Quorum Business Solutions\Ecopetrol Prometeo - Documents\Planning Space Implementation\3. Analysis &amp; Design\Design\FC22\DRR Jaime\QUIFA-CAJÚA\Cajua\[CAJUA_CF_SEC_New_27-Feb-2024Rev3.xlsx]D-PND'!</v>
      </c>
      <c r="G3857" s="32" t="s">
        <v>114</v>
      </c>
      <c r="H3857" s="33">
        <f t="shared" si="931"/>
        <v>29</v>
      </c>
      <c r="I3857" s="33" t="str">
        <f t="shared" si="930"/>
        <v>='C:\Users\jaime.benazar\Quorum Business Solutions\Ecopetrol Prometeo - Documents\Planning Space Implementation\3. Analysis &amp; Design\Design\FC22\DRR Jaime\QUIFA-CAJÚA\Cajua\[CAJUA_CF_SEC_New_27-Feb-2024Rev3.xlsx]D-PND'!$CB$29</v>
      </c>
      <c r="J3857" s="37" t="s">
        <v>3978</v>
      </c>
    </row>
    <row r="3858" spans="1:10" x14ac:dyDescent="0.25">
      <c r="A3858" s="32" t="s">
        <v>3</v>
      </c>
      <c r="B3858" s="32">
        <f>+B3857+1</f>
        <v>2041</v>
      </c>
      <c r="C3858" s="33" t="s">
        <v>109</v>
      </c>
      <c r="D3858" s="34" t="s">
        <v>1999</v>
      </c>
      <c r="E3858" s="35" t="str">
        <f t="shared" si="928"/>
        <v>PND'!</v>
      </c>
      <c r="F3858" s="34" t="str">
        <f t="shared" si="929"/>
        <v>C:\Users\jaime.benazar\Quorum Business Solutions\Ecopetrol Prometeo - Documents\Planning Space Implementation\3. Analysis &amp; Design\Design\FC22\DRR Jaime\QUIFA-CAJÚA\Cajua\[CAJUA_CF_SEC_New_27-Feb-2024Rev3.xlsx]D-PND'!</v>
      </c>
      <c r="G3858" s="32" t="s">
        <v>114</v>
      </c>
      <c r="H3858" s="33">
        <f t="shared" si="931"/>
        <v>30</v>
      </c>
      <c r="I3858" s="33" t="str">
        <f t="shared" si="930"/>
        <v>='C:\Users\jaime.benazar\Quorum Business Solutions\Ecopetrol Prometeo - Documents\Planning Space Implementation\3. Analysis &amp; Design\Design\FC22\DRR Jaime\QUIFA-CAJÚA\Cajua\[CAJUA_CF_SEC_New_27-Feb-2024Rev3.xlsx]D-PND'!$CB$30</v>
      </c>
      <c r="J3858" s="37" t="s">
        <v>3979</v>
      </c>
    </row>
    <row r="3859" spans="1:10" x14ac:dyDescent="0.25">
      <c r="A3859" s="32" t="s">
        <v>3</v>
      </c>
      <c r="B3859" s="32">
        <f t="shared" ref="B3859:B3860" si="934">+B3858+1</f>
        <v>2042</v>
      </c>
      <c r="C3859" s="33" t="s">
        <v>109</v>
      </c>
      <c r="D3859" s="34" t="s">
        <v>1999</v>
      </c>
      <c r="E3859" s="35" t="str">
        <f t="shared" si="928"/>
        <v>PND'!</v>
      </c>
      <c r="F3859" s="34" t="str">
        <f t="shared" si="929"/>
        <v>C:\Users\jaime.benazar\Quorum Business Solutions\Ecopetrol Prometeo - Documents\Planning Space Implementation\3. Analysis &amp; Design\Design\FC22\DRR Jaime\QUIFA-CAJÚA\Cajua\[CAJUA_CF_SEC_New_27-Feb-2024Rev3.xlsx]D-PND'!</v>
      </c>
      <c r="G3859" s="32" t="s">
        <v>114</v>
      </c>
      <c r="H3859" s="33">
        <f t="shared" si="931"/>
        <v>31</v>
      </c>
      <c r="I3859" s="33" t="str">
        <f t="shared" si="930"/>
        <v>='C:\Users\jaime.benazar\Quorum Business Solutions\Ecopetrol Prometeo - Documents\Planning Space Implementation\3. Analysis &amp; Design\Design\FC22\DRR Jaime\QUIFA-CAJÚA\Cajua\[CAJUA_CF_SEC_New_27-Feb-2024Rev3.xlsx]D-PND'!$CB$31</v>
      </c>
      <c r="J3859" s="37" t="s">
        <v>3980</v>
      </c>
    </row>
    <row r="3860" spans="1:10" x14ac:dyDescent="0.25">
      <c r="A3860" s="32" t="s">
        <v>3</v>
      </c>
      <c r="B3860" s="32">
        <f t="shared" si="934"/>
        <v>2043</v>
      </c>
      <c r="C3860" s="33" t="s">
        <v>109</v>
      </c>
      <c r="D3860" s="34" t="s">
        <v>1999</v>
      </c>
      <c r="E3860" s="35" t="str">
        <f t="shared" si="928"/>
        <v>PND'!</v>
      </c>
      <c r="F3860" s="34" t="str">
        <f t="shared" si="929"/>
        <v>C:\Users\jaime.benazar\Quorum Business Solutions\Ecopetrol Prometeo - Documents\Planning Space Implementation\3. Analysis &amp; Design\Design\FC22\DRR Jaime\QUIFA-CAJÚA\Cajua\[CAJUA_CF_SEC_New_27-Feb-2024Rev3.xlsx]D-PND'!</v>
      </c>
      <c r="G3860" s="32" t="s">
        <v>114</v>
      </c>
      <c r="H3860" s="33">
        <f t="shared" si="931"/>
        <v>32</v>
      </c>
      <c r="I3860" s="33" t="str">
        <f t="shared" si="930"/>
        <v>='C:\Users\jaime.benazar\Quorum Business Solutions\Ecopetrol Prometeo - Documents\Planning Space Implementation\3. Analysis &amp; Design\Design\FC22\DRR Jaime\QUIFA-CAJÚA\Cajua\[CAJUA_CF_SEC_New_27-Feb-2024Rev3.xlsx]D-PND'!$CB$32</v>
      </c>
      <c r="J3860" s="37" t="s">
        <v>3981</v>
      </c>
    </row>
    <row r="3861" spans="1:10" x14ac:dyDescent="0.25">
      <c r="A3861" s="32" t="s">
        <v>3</v>
      </c>
      <c r="B3861" s="32">
        <f>+B3860+1</f>
        <v>2044</v>
      </c>
      <c r="C3861" s="33" t="s">
        <v>109</v>
      </c>
      <c r="D3861" s="34" t="s">
        <v>1999</v>
      </c>
      <c r="E3861" s="35" t="str">
        <f t="shared" ref="E3861:E3876" si="935">_xlfn.CONCAT(A3861,"'!")</f>
        <v>PND'!</v>
      </c>
      <c r="F3861" s="34" t="str">
        <f t="shared" ref="F3861:F3876" si="936">_xlfn.CONCAT(D3861:E3861)</f>
        <v>C:\Users\jaime.benazar\Quorum Business Solutions\Ecopetrol Prometeo - Documents\Planning Space Implementation\3. Analysis &amp; Design\Design\FC22\DRR Jaime\QUIFA-CAJÚA\Cajua\[CAJUA_CF_SEC_New_27-Feb-2024Rev3.xlsx]D-PND'!</v>
      </c>
      <c r="G3861" s="32" t="s">
        <v>114</v>
      </c>
      <c r="H3861" s="33">
        <f t="shared" ref="H3861:H3876" si="937">IF(A3861&lt;&gt;A3860,12,H3860+1)</f>
        <v>33</v>
      </c>
      <c r="I3861" s="33" t="str">
        <f t="shared" ref="I3861:I3876" si="938">_xlfn.CONCAT("='",F3861:H3861)</f>
        <v>='C:\Users\jaime.benazar\Quorum Business Solutions\Ecopetrol Prometeo - Documents\Planning Space Implementation\3. Analysis &amp; Design\Design\FC22\DRR Jaime\QUIFA-CAJÚA\Cajua\[CAJUA_CF_SEC_New_27-Feb-2024Rev3.xlsx]D-PND'!$CB$33</v>
      </c>
      <c r="J3861" s="37" t="s">
        <v>3982</v>
      </c>
    </row>
    <row r="3862" spans="1:10" x14ac:dyDescent="0.25">
      <c r="A3862" s="32" t="s">
        <v>3</v>
      </c>
      <c r="B3862" s="32">
        <f t="shared" ref="B3862:B3876" si="939">+B3861+1</f>
        <v>2045</v>
      </c>
      <c r="C3862" s="33" t="s">
        <v>109</v>
      </c>
      <c r="D3862" s="34" t="s">
        <v>1999</v>
      </c>
      <c r="E3862" s="35" t="str">
        <f t="shared" si="935"/>
        <v>PND'!</v>
      </c>
      <c r="F3862" s="34" t="str">
        <f t="shared" si="936"/>
        <v>C:\Users\jaime.benazar\Quorum Business Solutions\Ecopetrol Prometeo - Documents\Planning Space Implementation\3. Analysis &amp; Design\Design\FC22\DRR Jaime\QUIFA-CAJÚA\Cajua\[CAJUA_CF_SEC_New_27-Feb-2024Rev3.xlsx]D-PND'!</v>
      </c>
      <c r="G3862" s="32" t="s">
        <v>114</v>
      </c>
      <c r="H3862" s="33">
        <f t="shared" si="937"/>
        <v>34</v>
      </c>
      <c r="I3862" s="33" t="str">
        <f t="shared" si="938"/>
        <v>='C:\Users\jaime.benazar\Quorum Business Solutions\Ecopetrol Prometeo - Documents\Planning Space Implementation\3. Analysis &amp; Design\Design\FC22\DRR Jaime\QUIFA-CAJÚA\Cajua\[CAJUA_CF_SEC_New_27-Feb-2024Rev3.xlsx]D-PND'!$CB$34</v>
      </c>
      <c r="J3862" s="37" t="s">
        <v>3983</v>
      </c>
    </row>
    <row r="3863" spans="1:10" x14ac:dyDescent="0.25">
      <c r="A3863" s="32" t="s">
        <v>3</v>
      </c>
      <c r="B3863" s="32">
        <f t="shared" si="939"/>
        <v>2046</v>
      </c>
      <c r="C3863" s="33" t="s">
        <v>109</v>
      </c>
      <c r="D3863" s="34" t="s">
        <v>1999</v>
      </c>
      <c r="E3863" s="35" t="str">
        <f t="shared" si="935"/>
        <v>PND'!</v>
      </c>
      <c r="F3863" s="34" t="str">
        <f t="shared" si="936"/>
        <v>C:\Users\jaime.benazar\Quorum Business Solutions\Ecopetrol Prometeo - Documents\Planning Space Implementation\3. Analysis &amp; Design\Design\FC22\DRR Jaime\QUIFA-CAJÚA\Cajua\[CAJUA_CF_SEC_New_27-Feb-2024Rev3.xlsx]D-PND'!</v>
      </c>
      <c r="G3863" s="32" t="s">
        <v>114</v>
      </c>
      <c r="H3863" s="33">
        <f t="shared" si="937"/>
        <v>35</v>
      </c>
      <c r="I3863" s="33" t="str">
        <f t="shared" si="938"/>
        <v>='C:\Users\jaime.benazar\Quorum Business Solutions\Ecopetrol Prometeo - Documents\Planning Space Implementation\3. Analysis &amp; Design\Design\FC22\DRR Jaime\QUIFA-CAJÚA\Cajua\[CAJUA_CF_SEC_New_27-Feb-2024Rev3.xlsx]D-PND'!$CB$35</v>
      </c>
      <c r="J3863" s="37" t="s">
        <v>3984</v>
      </c>
    </row>
    <row r="3864" spans="1:10" x14ac:dyDescent="0.25">
      <c r="A3864" s="32" t="s">
        <v>3</v>
      </c>
      <c r="B3864" s="32">
        <f t="shared" si="939"/>
        <v>2047</v>
      </c>
      <c r="C3864" s="33" t="s">
        <v>109</v>
      </c>
      <c r="D3864" s="34" t="s">
        <v>1999</v>
      </c>
      <c r="E3864" s="35" t="str">
        <f t="shared" si="935"/>
        <v>PND'!</v>
      </c>
      <c r="F3864" s="34" t="str">
        <f t="shared" si="936"/>
        <v>C:\Users\jaime.benazar\Quorum Business Solutions\Ecopetrol Prometeo - Documents\Planning Space Implementation\3. Analysis &amp; Design\Design\FC22\DRR Jaime\QUIFA-CAJÚA\Cajua\[CAJUA_CF_SEC_New_27-Feb-2024Rev3.xlsx]D-PND'!</v>
      </c>
      <c r="G3864" s="32" t="s">
        <v>114</v>
      </c>
      <c r="H3864" s="33">
        <f t="shared" si="937"/>
        <v>36</v>
      </c>
      <c r="I3864" s="33" t="str">
        <f t="shared" si="938"/>
        <v>='C:\Users\jaime.benazar\Quorum Business Solutions\Ecopetrol Prometeo - Documents\Planning Space Implementation\3. Analysis &amp; Design\Design\FC22\DRR Jaime\QUIFA-CAJÚA\Cajua\[CAJUA_CF_SEC_New_27-Feb-2024Rev3.xlsx]D-PND'!$CB$36</v>
      </c>
      <c r="J3864" s="37" t="s">
        <v>3985</v>
      </c>
    </row>
    <row r="3865" spans="1:10" x14ac:dyDescent="0.25">
      <c r="A3865" s="32" t="s">
        <v>3</v>
      </c>
      <c r="B3865" s="32">
        <f t="shared" si="939"/>
        <v>2048</v>
      </c>
      <c r="C3865" s="33" t="s">
        <v>109</v>
      </c>
      <c r="D3865" s="34" t="s">
        <v>1999</v>
      </c>
      <c r="E3865" s="35" t="str">
        <f t="shared" si="935"/>
        <v>PND'!</v>
      </c>
      <c r="F3865" s="34" t="str">
        <f t="shared" si="936"/>
        <v>C:\Users\jaime.benazar\Quorum Business Solutions\Ecopetrol Prometeo - Documents\Planning Space Implementation\3. Analysis &amp; Design\Design\FC22\DRR Jaime\QUIFA-CAJÚA\Cajua\[CAJUA_CF_SEC_New_27-Feb-2024Rev3.xlsx]D-PND'!</v>
      </c>
      <c r="G3865" s="32" t="s">
        <v>114</v>
      </c>
      <c r="H3865" s="33">
        <f t="shared" si="937"/>
        <v>37</v>
      </c>
      <c r="I3865" s="33" t="str">
        <f t="shared" si="938"/>
        <v>='C:\Users\jaime.benazar\Quorum Business Solutions\Ecopetrol Prometeo - Documents\Planning Space Implementation\3. Analysis &amp; Design\Design\FC22\DRR Jaime\QUIFA-CAJÚA\Cajua\[CAJUA_CF_SEC_New_27-Feb-2024Rev3.xlsx]D-PND'!$CB$37</v>
      </c>
      <c r="J3865" s="37" t="s">
        <v>3986</v>
      </c>
    </row>
    <row r="3866" spans="1:10" x14ac:dyDescent="0.25">
      <c r="A3866" s="32" t="s">
        <v>3</v>
      </c>
      <c r="B3866" s="32">
        <f t="shared" si="939"/>
        <v>2049</v>
      </c>
      <c r="C3866" s="33" t="s">
        <v>109</v>
      </c>
      <c r="D3866" s="34" t="s">
        <v>1999</v>
      </c>
      <c r="E3866" s="35" t="str">
        <f t="shared" si="935"/>
        <v>PND'!</v>
      </c>
      <c r="F3866" s="34" t="str">
        <f t="shared" si="936"/>
        <v>C:\Users\jaime.benazar\Quorum Business Solutions\Ecopetrol Prometeo - Documents\Planning Space Implementation\3. Analysis &amp; Design\Design\FC22\DRR Jaime\QUIFA-CAJÚA\Cajua\[CAJUA_CF_SEC_New_27-Feb-2024Rev3.xlsx]D-PND'!</v>
      </c>
      <c r="G3866" s="32" t="s">
        <v>114</v>
      </c>
      <c r="H3866" s="33">
        <f t="shared" si="937"/>
        <v>38</v>
      </c>
      <c r="I3866" s="33" t="str">
        <f t="shared" si="938"/>
        <v>='C:\Users\jaime.benazar\Quorum Business Solutions\Ecopetrol Prometeo - Documents\Planning Space Implementation\3. Analysis &amp; Design\Design\FC22\DRR Jaime\QUIFA-CAJÚA\Cajua\[CAJUA_CF_SEC_New_27-Feb-2024Rev3.xlsx]D-PND'!$CB$38</v>
      </c>
      <c r="J3866" s="37" t="s">
        <v>3987</v>
      </c>
    </row>
    <row r="3867" spans="1:10" x14ac:dyDescent="0.25">
      <c r="A3867" s="32" t="s">
        <v>3</v>
      </c>
      <c r="B3867" s="32">
        <f t="shared" si="939"/>
        <v>2050</v>
      </c>
      <c r="C3867" s="33" t="s">
        <v>109</v>
      </c>
      <c r="D3867" s="34" t="s">
        <v>1999</v>
      </c>
      <c r="E3867" s="35" t="str">
        <f t="shared" si="935"/>
        <v>PND'!</v>
      </c>
      <c r="F3867" s="34" t="str">
        <f t="shared" si="936"/>
        <v>C:\Users\jaime.benazar\Quorum Business Solutions\Ecopetrol Prometeo - Documents\Planning Space Implementation\3. Analysis &amp; Design\Design\FC22\DRR Jaime\QUIFA-CAJÚA\Cajua\[CAJUA_CF_SEC_New_27-Feb-2024Rev3.xlsx]D-PND'!</v>
      </c>
      <c r="G3867" s="32" t="s">
        <v>114</v>
      </c>
      <c r="H3867" s="33">
        <f t="shared" si="937"/>
        <v>39</v>
      </c>
      <c r="I3867" s="33" t="str">
        <f t="shared" si="938"/>
        <v>='C:\Users\jaime.benazar\Quorum Business Solutions\Ecopetrol Prometeo - Documents\Planning Space Implementation\3. Analysis &amp; Design\Design\FC22\DRR Jaime\QUIFA-CAJÚA\Cajua\[CAJUA_CF_SEC_New_27-Feb-2024Rev3.xlsx]D-PND'!$CB$39</v>
      </c>
      <c r="J3867" s="37" t="s">
        <v>3988</v>
      </c>
    </row>
    <row r="3868" spans="1:10" x14ac:dyDescent="0.25">
      <c r="A3868" s="32" t="s">
        <v>3</v>
      </c>
      <c r="B3868" s="32">
        <f t="shared" si="939"/>
        <v>2051</v>
      </c>
      <c r="C3868" s="33" t="s">
        <v>109</v>
      </c>
      <c r="D3868" s="34" t="s">
        <v>1999</v>
      </c>
      <c r="E3868" s="35" t="str">
        <f t="shared" si="935"/>
        <v>PND'!</v>
      </c>
      <c r="F3868" s="34" t="str">
        <f t="shared" si="936"/>
        <v>C:\Users\jaime.benazar\Quorum Business Solutions\Ecopetrol Prometeo - Documents\Planning Space Implementation\3. Analysis &amp; Design\Design\FC22\DRR Jaime\QUIFA-CAJÚA\Cajua\[CAJUA_CF_SEC_New_27-Feb-2024Rev3.xlsx]D-PND'!</v>
      </c>
      <c r="G3868" s="32" t="s">
        <v>114</v>
      </c>
      <c r="H3868" s="33">
        <f t="shared" si="937"/>
        <v>40</v>
      </c>
      <c r="I3868" s="33" t="str">
        <f t="shared" si="938"/>
        <v>='C:\Users\jaime.benazar\Quorum Business Solutions\Ecopetrol Prometeo - Documents\Planning Space Implementation\3. Analysis &amp; Design\Design\FC22\DRR Jaime\QUIFA-CAJÚA\Cajua\[CAJUA_CF_SEC_New_27-Feb-2024Rev3.xlsx]D-PND'!$CB$40</v>
      </c>
      <c r="J3868" s="37" t="s">
        <v>3989</v>
      </c>
    </row>
    <row r="3869" spans="1:10" x14ac:dyDescent="0.25">
      <c r="A3869" s="32" t="s">
        <v>3</v>
      </c>
      <c r="B3869" s="32">
        <f t="shared" si="939"/>
        <v>2052</v>
      </c>
      <c r="C3869" s="33" t="s">
        <v>109</v>
      </c>
      <c r="D3869" s="34" t="s">
        <v>1999</v>
      </c>
      <c r="E3869" s="35" t="str">
        <f t="shared" si="935"/>
        <v>PND'!</v>
      </c>
      <c r="F3869" s="34" t="str">
        <f t="shared" si="936"/>
        <v>C:\Users\jaime.benazar\Quorum Business Solutions\Ecopetrol Prometeo - Documents\Planning Space Implementation\3. Analysis &amp; Design\Design\FC22\DRR Jaime\QUIFA-CAJÚA\Cajua\[CAJUA_CF_SEC_New_27-Feb-2024Rev3.xlsx]D-PND'!</v>
      </c>
      <c r="G3869" s="32" t="s">
        <v>114</v>
      </c>
      <c r="H3869" s="33">
        <f t="shared" si="937"/>
        <v>41</v>
      </c>
      <c r="I3869" s="33" t="str">
        <f t="shared" si="938"/>
        <v>='C:\Users\jaime.benazar\Quorum Business Solutions\Ecopetrol Prometeo - Documents\Planning Space Implementation\3. Analysis &amp; Design\Design\FC22\DRR Jaime\QUIFA-CAJÚA\Cajua\[CAJUA_CF_SEC_New_27-Feb-2024Rev3.xlsx]D-PND'!$CB$41</v>
      </c>
      <c r="J3869" s="37" t="s">
        <v>3990</v>
      </c>
    </row>
    <row r="3870" spans="1:10" x14ac:dyDescent="0.25">
      <c r="A3870" s="32" t="s">
        <v>3</v>
      </c>
      <c r="B3870" s="32">
        <f t="shared" si="939"/>
        <v>2053</v>
      </c>
      <c r="C3870" s="33" t="s">
        <v>109</v>
      </c>
      <c r="D3870" s="34" t="s">
        <v>1999</v>
      </c>
      <c r="E3870" s="35" t="str">
        <f t="shared" si="935"/>
        <v>PND'!</v>
      </c>
      <c r="F3870" s="34" t="str">
        <f t="shared" si="936"/>
        <v>C:\Users\jaime.benazar\Quorum Business Solutions\Ecopetrol Prometeo - Documents\Planning Space Implementation\3. Analysis &amp; Design\Design\FC22\DRR Jaime\QUIFA-CAJÚA\Cajua\[CAJUA_CF_SEC_New_27-Feb-2024Rev3.xlsx]D-PND'!</v>
      </c>
      <c r="G3870" s="32" t="s">
        <v>114</v>
      </c>
      <c r="H3870" s="33">
        <f t="shared" si="937"/>
        <v>42</v>
      </c>
      <c r="I3870" s="33" t="str">
        <f t="shared" si="938"/>
        <v>='C:\Users\jaime.benazar\Quorum Business Solutions\Ecopetrol Prometeo - Documents\Planning Space Implementation\3. Analysis &amp; Design\Design\FC22\DRR Jaime\QUIFA-CAJÚA\Cajua\[CAJUA_CF_SEC_New_27-Feb-2024Rev3.xlsx]D-PND'!$CB$42</v>
      </c>
      <c r="J3870" s="37" t="s">
        <v>3991</v>
      </c>
    </row>
    <row r="3871" spans="1:10" x14ac:dyDescent="0.25">
      <c r="A3871" s="32" t="s">
        <v>3</v>
      </c>
      <c r="B3871" s="32">
        <f t="shared" si="939"/>
        <v>2054</v>
      </c>
      <c r="C3871" s="33" t="s">
        <v>109</v>
      </c>
      <c r="D3871" s="34" t="s">
        <v>1999</v>
      </c>
      <c r="E3871" s="35" t="str">
        <f t="shared" si="935"/>
        <v>PND'!</v>
      </c>
      <c r="F3871" s="34" t="str">
        <f t="shared" si="936"/>
        <v>C:\Users\jaime.benazar\Quorum Business Solutions\Ecopetrol Prometeo - Documents\Planning Space Implementation\3. Analysis &amp; Design\Design\FC22\DRR Jaime\QUIFA-CAJÚA\Cajua\[CAJUA_CF_SEC_New_27-Feb-2024Rev3.xlsx]D-PND'!</v>
      </c>
      <c r="G3871" s="32" t="s">
        <v>114</v>
      </c>
      <c r="H3871" s="33">
        <f t="shared" si="937"/>
        <v>43</v>
      </c>
      <c r="I3871" s="33" t="str">
        <f t="shared" si="938"/>
        <v>='C:\Users\jaime.benazar\Quorum Business Solutions\Ecopetrol Prometeo - Documents\Planning Space Implementation\3. Analysis &amp; Design\Design\FC22\DRR Jaime\QUIFA-CAJÚA\Cajua\[CAJUA_CF_SEC_New_27-Feb-2024Rev3.xlsx]D-PND'!$CB$43</v>
      </c>
      <c r="J3871" s="37" t="s">
        <v>3992</v>
      </c>
    </row>
    <row r="3872" spans="1:10" x14ac:dyDescent="0.25">
      <c r="A3872" s="32" t="s">
        <v>3</v>
      </c>
      <c r="B3872" s="32">
        <f t="shared" si="939"/>
        <v>2055</v>
      </c>
      <c r="C3872" s="33" t="s">
        <v>109</v>
      </c>
      <c r="D3872" s="34" t="s">
        <v>1999</v>
      </c>
      <c r="E3872" s="35" t="str">
        <f t="shared" si="935"/>
        <v>PND'!</v>
      </c>
      <c r="F3872" s="34" t="str">
        <f t="shared" si="936"/>
        <v>C:\Users\jaime.benazar\Quorum Business Solutions\Ecopetrol Prometeo - Documents\Planning Space Implementation\3. Analysis &amp; Design\Design\FC22\DRR Jaime\QUIFA-CAJÚA\Cajua\[CAJUA_CF_SEC_New_27-Feb-2024Rev3.xlsx]D-PND'!</v>
      </c>
      <c r="G3872" s="32" t="s">
        <v>114</v>
      </c>
      <c r="H3872" s="33">
        <f t="shared" si="937"/>
        <v>44</v>
      </c>
      <c r="I3872" s="33" t="str">
        <f t="shared" si="938"/>
        <v>='C:\Users\jaime.benazar\Quorum Business Solutions\Ecopetrol Prometeo - Documents\Planning Space Implementation\3. Analysis &amp; Design\Design\FC22\DRR Jaime\QUIFA-CAJÚA\Cajua\[CAJUA_CF_SEC_New_27-Feb-2024Rev3.xlsx]D-PND'!$CB$44</v>
      </c>
      <c r="J3872" s="37" t="s">
        <v>3993</v>
      </c>
    </row>
    <row r="3873" spans="1:10" x14ac:dyDescent="0.25">
      <c r="A3873" s="32" t="s">
        <v>3</v>
      </c>
      <c r="B3873" s="32">
        <f t="shared" si="939"/>
        <v>2056</v>
      </c>
      <c r="C3873" s="33" t="s">
        <v>109</v>
      </c>
      <c r="D3873" s="34" t="s">
        <v>1999</v>
      </c>
      <c r="E3873" s="35" t="str">
        <f t="shared" si="935"/>
        <v>PND'!</v>
      </c>
      <c r="F3873" s="34" t="str">
        <f t="shared" si="936"/>
        <v>C:\Users\jaime.benazar\Quorum Business Solutions\Ecopetrol Prometeo - Documents\Planning Space Implementation\3. Analysis &amp; Design\Design\FC22\DRR Jaime\QUIFA-CAJÚA\Cajua\[CAJUA_CF_SEC_New_27-Feb-2024Rev3.xlsx]D-PND'!</v>
      </c>
      <c r="G3873" s="32" t="s">
        <v>114</v>
      </c>
      <c r="H3873" s="33">
        <f t="shared" si="937"/>
        <v>45</v>
      </c>
      <c r="I3873" s="33" t="str">
        <f t="shared" si="938"/>
        <v>='C:\Users\jaime.benazar\Quorum Business Solutions\Ecopetrol Prometeo - Documents\Planning Space Implementation\3. Analysis &amp; Design\Design\FC22\DRR Jaime\QUIFA-CAJÚA\Cajua\[CAJUA_CF_SEC_New_27-Feb-2024Rev3.xlsx]D-PND'!$CB$45</v>
      </c>
      <c r="J3873" s="37" t="s">
        <v>3994</v>
      </c>
    </row>
    <row r="3874" spans="1:10" x14ac:dyDescent="0.25">
      <c r="A3874" s="32" t="s">
        <v>3</v>
      </c>
      <c r="B3874" s="32">
        <f t="shared" si="939"/>
        <v>2057</v>
      </c>
      <c r="C3874" s="33" t="s">
        <v>109</v>
      </c>
      <c r="D3874" s="34" t="s">
        <v>1999</v>
      </c>
      <c r="E3874" s="35" t="str">
        <f t="shared" si="935"/>
        <v>PND'!</v>
      </c>
      <c r="F3874" s="34" t="str">
        <f t="shared" si="936"/>
        <v>C:\Users\jaime.benazar\Quorum Business Solutions\Ecopetrol Prometeo - Documents\Planning Space Implementation\3. Analysis &amp; Design\Design\FC22\DRR Jaime\QUIFA-CAJÚA\Cajua\[CAJUA_CF_SEC_New_27-Feb-2024Rev3.xlsx]D-PND'!</v>
      </c>
      <c r="G3874" s="32" t="s">
        <v>114</v>
      </c>
      <c r="H3874" s="33">
        <f t="shared" si="937"/>
        <v>46</v>
      </c>
      <c r="I3874" s="33" t="str">
        <f t="shared" si="938"/>
        <v>='C:\Users\jaime.benazar\Quorum Business Solutions\Ecopetrol Prometeo - Documents\Planning Space Implementation\3. Analysis &amp; Design\Design\FC22\DRR Jaime\QUIFA-CAJÚA\Cajua\[CAJUA_CF_SEC_New_27-Feb-2024Rev3.xlsx]D-PND'!$CB$46</v>
      </c>
      <c r="J3874" s="37" t="s">
        <v>3995</v>
      </c>
    </row>
    <row r="3875" spans="1:10" x14ac:dyDescent="0.25">
      <c r="A3875" s="32" t="s">
        <v>3</v>
      </c>
      <c r="B3875" s="32">
        <f t="shared" si="939"/>
        <v>2058</v>
      </c>
      <c r="C3875" s="33" t="s">
        <v>109</v>
      </c>
      <c r="D3875" s="34" t="s">
        <v>1999</v>
      </c>
      <c r="E3875" s="35" t="str">
        <f t="shared" si="935"/>
        <v>PND'!</v>
      </c>
      <c r="F3875" s="34" t="str">
        <f t="shared" si="936"/>
        <v>C:\Users\jaime.benazar\Quorum Business Solutions\Ecopetrol Prometeo - Documents\Planning Space Implementation\3. Analysis &amp; Design\Design\FC22\DRR Jaime\QUIFA-CAJÚA\Cajua\[CAJUA_CF_SEC_New_27-Feb-2024Rev3.xlsx]D-PND'!</v>
      </c>
      <c r="G3875" s="32" t="s">
        <v>114</v>
      </c>
      <c r="H3875" s="33">
        <f t="shared" si="937"/>
        <v>47</v>
      </c>
      <c r="I3875" s="33" t="str">
        <f t="shared" si="938"/>
        <v>='C:\Users\jaime.benazar\Quorum Business Solutions\Ecopetrol Prometeo - Documents\Planning Space Implementation\3. Analysis &amp; Design\Design\FC22\DRR Jaime\QUIFA-CAJÚA\Cajua\[CAJUA_CF_SEC_New_27-Feb-2024Rev3.xlsx]D-PND'!$CB$47</v>
      </c>
      <c r="J3875" s="37" t="s">
        <v>3996</v>
      </c>
    </row>
    <row r="3876" spans="1:10" x14ac:dyDescent="0.25">
      <c r="A3876" s="32" t="s">
        <v>3</v>
      </c>
      <c r="B3876" s="32">
        <f t="shared" si="939"/>
        <v>2059</v>
      </c>
      <c r="C3876" s="33" t="s">
        <v>109</v>
      </c>
      <c r="D3876" s="34" t="s">
        <v>1999</v>
      </c>
      <c r="E3876" s="35" t="str">
        <f t="shared" si="935"/>
        <v>PND'!</v>
      </c>
      <c r="F3876" s="34" t="str">
        <f t="shared" si="936"/>
        <v>C:\Users\jaime.benazar\Quorum Business Solutions\Ecopetrol Prometeo - Documents\Planning Space Implementation\3. Analysis &amp; Design\Design\FC22\DRR Jaime\QUIFA-CAJÚA\Cajua\[CAJUA_CF_SEC_New_27-Feb-2024Rev3.xlsx]D-PND'!</v>
      </c>
      <c r="G3876" s="32" t="s">
        <v>114</v>
      </c>
      <c r="H3876" s="33">
        <f t="shared" si="937"/>
        <v>48</v>
      </c>
      <c r="I3876" s="33" t="str">
        <f t="shared" si="938"/>
        <v>='C:\Users\jaime.benazar\Quorum Business Solutions\Ecopetrol Prometeo - Documents\Planning Space Implementation\3. Analysis &amp; Design\Design\FC22\DRR Jaime\QUIFA-CAJÚA\Cajua\[CAJUA_CF_SEC_New_27-Feb-2024Rev3.xlsx]D-PND'!$CB$48</v>
      </c>
      <c r="J3876" s="37" t="s">
        <v>3997</v>
      </c>
    </row>
    <row r="3877" spans="1:10" x14ac:dyDescent="0.25">
      <c r="A3877" s="32" t="s">
        <v>28</v>
      </c>
      <c r="B3877" s="32"/>
      <c r="C3877" s="33" t="s">
        <v>109</v>
      </c>
      <c r="D3877" s="34"/>
      <c r="E3877" s="35"/>
      <c r="F3877" s="34"/>
      <c r="G3877" s="32"/>
      <c r="H3877" s="33"/>
      <c r="I3877" s="33"/>
      <c r="J3877" s="33"/>
    </row>
    <row r="3878" spans="1:10" x14ac:dyDescent="0.25">
      <c r="A3878" s="32" t="s">
        <v>99</v>
      </c>
      <c r="B3878" s="32">
        <v>2023</v>
      </c>
      <c r="C3878" s="33" t="s">
        <v>109</v>
      </c>
      <c r="D3878" s="34" t="s">
        <v>1999</v>
      </c>
      <c r="E3878" s="35" t="str">
        <f t="shared" ref="E3878:E3898" si="940">_xlfn.CONCAT(A3878,"'!")</f>
        <v>PRBDP'!</v>
      </c>
      <c r="F3878" s="34" t="str">
        <f t="shared" ref="F3878:F3898" si="941">_xlfn.CONCAT(D3878:E3878)</f>
        <v>C:\Users\jaime.benazar\Quorum Business Solutions\Ecopetrol Prometeo - Documents\Planning Space Implementation\3. Analysis &amp; Design\Design\FC22\DRR Jaime\QUIFA-CAJÚA\Cajua\[CAJUA_CF_SEC_New_27-Feb-2024Rev3.xlsx]D-PRBDP'!</v>
      </c>
      <c r="G3878" s="32" t="s">
        <v>114</v>
      </c>
      <c r="H3878" s="33"/>
      <c r="I3878" s="33"/>
      <c r="J3878" s="37"/>
    </row>
    <row r="3879" spans="1:10" x14ac:dyDescent="0.25">
      <c r="A3879" s="32" t="s">
        <v>99</v>
      </c>
      <c r="B3879" s="32">
        <f>+B3878+1</f>
        <v>2024</v>
      </c>
      <c r="C3879" s="33" t="s">
        <v>109</v>
      </c>
      <c r="D3879" s="34" t="s">
        <v>1999</v>
      </c>
      <c r="E3879" s="35" t="str">
        <f t="shared" si="940"/>
        <v>PRBDP'!</v>
      </c>
      <c r="F3879" s="34" t="str">
        <f t="shared" si="941"/>
        <v>C:\Users\jaime.benazar\Quorum Business Solutions\Ecopetrol Prometeo - Documents\Planning Space Implementation\3. Analysis &amp; Design\Design\FC22\DRR Jaime\QUIFA-CAJÚA\Cajua\[CAJUA_CF_SEC_New_27-Feb-2024Rev3.xlsx]D-PRBDP'!</v>
      </c>
      <c r="G3879" s="32" t="s">
        <v>114</v>
      </c>
      <c r="H3879" s="33"/>
      <c r="I3879" s="33"/>
      <c r="J3879" s="37"/>
    </row>
    <row r="3880" spans="1:10" x14ac:dyDescent="0.25">
      <c r="A3880" s="32" t="s">
        <v>99</v>
      </c>
      <c r="B3880" s="32">
        <f t="shared" ref="B3880:B3891" si="942">+B3879+1</f>
        <v>2025</v>
      </c>
      <c r="C3880" s="33" t="s">
        <v>109</v>
      </c>
      <c r="D3880" s="34" t="s">
        <v>1999</v>
      </c>
      <c r="E3880" s="35" t="str">
        <f t="shared" si="940"/>
        <v>PRBDP'!</v>
      </c>
      <c r="F3880" s="34" t="str">
        <f t="shared" si="941"/>
        <v>C:\Users\jaime.benazar\Quorum Business Solutions\Ecopetrol Prometeo - Documents\Planning Space Implementation\3. Analysis &amp; Design\Design\FC22\DRR Jaime\QUIFA-CAJÚA\Cajua\[CAJUA_CF_SEC_New_27-Feb-2024Rev3.xlsx]D-PRBDP'!</v>
      </c>
      <c r="G3880" s="32" t="s">
        <v>114</v>
      </c>
      <c r="H3880" s="33"/>
      <c r="I3880" s="33"/>
      <c r="J3880" s="37"/>
    </row>
    <row r="3881" spans="1:10" x14ac:dyDescent="0.25">
      <c r="A3881" s="32" t="s">
        <v>99</v>
      </c>
      <c r="B3881" s="32">
        <f t="shared" si="942"/>
        <v>2026</v>
      </c>
      <c r="C3881" s="33" t="s">
        <v>109</v>
      </c>
      <c r="D3881" s="34" t="s">
        <v>1999</v>
      </c>
      <c r="E3881" s="35" t="str">
        <f t="shared" si="940"/>
        <v>PRBDP'!</v>
      </c>
      <c r="F3881" s="34" t="str">
        <f t="shared" si="941"/>
        <v>C:\Users\jaime.benazar\Quorum Business Solutions\Ecopetrol Prometeo - Documents\Planning Space Implementation\3. Analysis &amp; Design\Design\FC22\DRR Jaime\QUIFA-CAJÚA\Cajua\[CAJUA_CF_SEC_New_27-Feb-2024Rev3.xlsx]D-PRBDP'!</v>
      </c>
      <c r="G3881" s="32" t="s">
        <v>114</v>
      </c>
      <c r="H3881" s="33"/>
      <c r="I3881" s="33"/>
      <c r="J3881" s="37"/>
    </row>
    <row r="3882" spans="1:10" x14ac:dyDescent="0.25">
      <c r="A3882" s="32" t="s">
        <v>99</v>
      </c>
      <c r="B3882" s="32">
        <f t="shared" si="942"/>
        <v>2027</v>
      </c>
      <c r="C3882" s="33" t="s">
        <v>109</v>
      </c>
      <c r="D3882" s="34" t="s">
        <v>1999</v>
      </c>
      <c r="E3882" s="35" t="str">
        <f t="shared" si="940"/>
        <v>PRBDP'!</v>
      </c>
      <c r="F3882" s="34" t="str">
        <f t="shared" si="941"/>
        <v>C:\Users\jaime.benazar\Quorum Business Solutions\Ecopetrol Prometeo - Documents\Planning Space Implementation\3. Analysis &amp; Design\Design\FC22\DRR Jaime\QUIFA-CAJÚA\Cajua\[CAJUA_CF_SEC_New_27-Feb-2024Rev3.xlsx]D-PRBDP'!</v>
      </c>
      <c r="G3882" s="32" t="s">
        <v>114</v>
      </c>
      <c r="H3882" s="33"/>
      <c r="I3882" s="33"/>
      <c r="J3882" s="37"/>
    </row>
    <row r="3883" spans="1:10" x14ac:dyDescent="0.25">
      <c r="A3883" s="32" t="s">
        <v>99</v>
      </c>
      <c r="B3883" s="32">
        <f t="shared" si="942"/>
        <v>2028</v>
      </c>
      <c r="C3883" s="33" t="s">
        <v>109</v>
      </c>
      <c r="D3883" s="34" t="s">
        <v>1999</v>
      </c>
      <c r="E3883" s="35" t="str">
        <f t="shared" si="940"/>
        <v>PRBDP'!</v>
      </c>
      <c r="F3883" s="34" t="str">
        <f t="shared" si="941"/>
        <v>C:\Users\jaime.benazar\Quorum Business Solutions\Ecopetrol Prometeo - Documents\Planning Space Implementation\3. Analysis &amp; Design\Design\FC22\DRR Jaime\QUIFA-CAJÚA\Cajua\[CAJUA_CF_SEC_New_27-Feb-2024Rev3.xlsx]D-PRBDP'!</v>
      </c>
      <c r="G3883" s="32" t="s">
        <v>114</v>
      </c>
      <c r="H3883" s="33"/>
      <c r="I3883" s="33"/>
      <c r="J3883" s="37"/>
    </row>
    <row r="3884" spans="1:10" x14ac:dyDescent="0.25">
      <c r="A3884" s="32" t="s">
        <v>99</v>
      </c>
      <c r="B3884" s="32">
        <f t="shared" si="942"/>
        <v>2029</v>
      </c>
      <c r="C3884" s="33" t="s">
        <v>109</v>
      </c>
      <c r="D3884" s="34" t="s">
        <v>1999</v>
      </c>
      <c r="E3884" s="35" t="str">
        <f t="shared" si="940"/>
        <v>PRBDP'!</v>
      </c>
      <c r="F3884" s="34" t="str">
        <f t="shared" si="941"/>
        <v>C:\Users\jaime.benazar\Quorum Business Solutions\Ecopetrol Prometeo - Documents\Planning Space Implementation\3. Analysis &amp; Design\Design\FC22\DRR Jaime\QUIFA-CAJÚA\Cajua\[CAJUA_CF_SEC_New_27-Feb-2024Rev3.xlsx]D-PRBDP'!</v>
      </c>
      <c r="G3884" s="32" t="s">
        <v>114</v>
      </c>
      <c r="H3884" s="33"/>
      <c r="I3884" s="33"/>
      <c r="J3884" s="37"/>
    </row>
    <row r="3885" spans="1:10" x14ac:dyDescent="0.25">
      <c r="A3885" s="32" t="s">
        <v>99</v>
      </c>
      <c r="B3885" s="32">
        <f t="shared" si="942"/>
        <v>2030</v>
      </c>
      <c r="C3885" s="33" t="s">
        <v>109</v>
      </c>
      <c r="D3885" s="34" t="s">
        <v>1999</v>
      </c>
      <c r="E3885" s="35" t="str">
        <f t="shared" si="940"/>
        <v>PRBDP'!</v>
      </c>
      <c r="F3885" s="34" t="str">
        <f t="shared" si="941"/>
        <v>C:\Users\jaime.benazar\Quorum Business Solutions\Ecopetrol Prometeo - Documents\Planning Space Implementation\3. Analysis &amp; Design\Design\FC22\DRR Jaime\QUIFA-CAJÚA\Cajua\[CAJUA_CF_SEC_New_27-Feb-2024Rev3.xlsx]D-PRBDP'!</v>
      </c>
      <c r="G3885" s="32" t="s">
        <v>114</v>
      </c>
      <c r="H3885" s="33"/>
      <c r="I3885" s="33"/>
      <c r="J3885" s="37"/>
    </row>
    <row r="3886" spans="1:10" x14ac:dyDescent="0.25">
      <c r="A3886" s="32" t="s">
        <v>99</v>
      </c>
      <c r="B3886" s="32">
        <f t="shared" si="942"/>
        <v>2031</v>
      </c>
      <c r="C3886" s="33" t="s">
        <v>109</v>
      </c>
      <c r="D3886" s="34" t="s">
        <v>1999</v>
      </c>
      <c r="E3886" s="35" t="str">
        <f t="shared" si="940"/>
        <v>PRBDP'!</v>
      </c>
      <c r="F3886" s="34" t="str">
        <f t="shared" si="941"/>
        <v>C:\Users\jaime.benazar\Quorum Business Solutions\Ecopetrol Prometeo - Documents\Planning Space Implementation\3. Analysis &amp; Design\Design\FC22\DRR Jaime\QUIFA-CAJÚA\Cajua\[CAJUA_CF_SEC_New_27-Feb-2024Rev3.xlsx]D-PRBDP'!</v>
      </c>
      <c r="G3886" s="32" t="s">
        <v>114</v>
      </c>
      <c r="H3886" s="33"/>
      <c r="I3886" s="33"/>
      <c r="J3886" s="37"/>
    </row>
    <row r="3887" spans="1:10" x14ac:dyDescent="0.25">
      <c r="A3887" s="32" t="s">
        <v>99</v>
      </c>
      <c r="B3887" s="32">
        <f t="shared" si="942"/>
        <v>2032</v>
      </c>
      <c r="C3887" s="33" t="s">
        <v>109</v>
      </c>
      <c r="D3887" s="34" t="s">
        <v>1999</v>
      </c>
      <c r="E3887" s="35" t="str">
        <f t="shared" si="940"/>
        <v>PRBDP'!</v>
      </c>
      <c r="F3887" s="34" t="str">
        <f t="shared" si="941"/>
        <v>C:\Users\jaime.benazar\Quorum Business Solutions\Ecopetrol Prometeo - Documents\Planning Space Implementation\3. Analysis &amp; Design\Design\FC22\DRR Jaime\QUIFA-CAJÚA\Cajua\[CAJUA_CF_SEC_New_27-Feb-2024Rev3.xlsx]D-PRBDP'!</v>
      </c>
      <c r="G3887" s="32" t="s">
        <v>114</v>
      </c>
      <c r="H3887" s="33"/>
      <c r="I3887" s="33"/>
      <c r="J3887" s="37"/>
    </row>
    <row r="3888" spans="1:10" x14ac:dyDescent="0.25">
      <c r="A3888" s="32" t="s">
        <v>99</v>
      </c>
      <c r="B3888" s="32">
        <f t="shared" si="942"/>
        <v>2033</v>
      </c>
      <c r="C3888" s="33" t="s">
        <v>109</v>
      </c>
      <c r="D3888" s="34" t="s">
        <v>1999</v>
      </c>
      <c r="E3888" s="35" t="str">
        <f t="shared" si="940"/>
        <v>PRBDP'!</v>
      </c>
      <c r="F3888" s="34" t="str">
        <f t="shared" si="941"/>
        <v>C:\Users\jaime.benazar\Quorum Business Solutions\Ecopetrol Prometeo - Documents\Planning Space Implementation\3. Analysis &amp; Design\Design\FC22\DRR Jaime\QUIFA-CAJÚA\Cajua\[CAJUA_CF_SEC_New_27-Feb-2024Rev3.xlsx]D-PRBDP'!</v>
      </c>
      <c r="G3888" s="32" t="s">
        <v>114</v>
      </c>
      <c r="H3888" s="33"/>
      <c r="I3888" s="33"/>
      <c r="J3888" s="37"/>
    </row>
    <row r="3889" spans="1:10" x14ac:dyDescent="0.25">
      <c r="A3889" s="32" t="s">
        <v>99</v>
      </c>
      <c r="B3889" s="32">
        <f t="shared" si="942"/>
        <v>2034</v>
      </c>
      <c r="C3889" s="33" t="s">
        <v>109</v>
      </c>
      <c r="D3889" s="34" t="s">
        <v>1999</v>
      </c>
      <c r="E3889" s="35" t="str">
        <f t="shared" si="940"/>
        <v>PRBDP'!</v>
      </c>
      <c r="F3889" s="34" t="str">
        <f t="shared" si="941"/>
        <v>C:\Users\jaime.benazar\Quorum Business Solutions\Ecopetrol Prometeo - Documents\Planning Space Implementation\3. Analysis &amp; Design\Design\FC22\DRR Jaime\QUIFA-CAJÚA\Cajua\[CAJUA_CF_SEC_New_27-Feb-2024Rev3.xlsx]D-PRBDP'!</v>
      </c>
      <c r="G3889" s="32" t="s">
        <v>114</v>
      </c>
      <c r="H3889" s="33"/>
      <c r="I3889" s="33"/>
      <c r="J3889" s="37"/>
    </row>
    <row r="3890" spans="1:10" x14ac:dyDescent="0.25">
      <c r="A3890" s="32" t="s">
        <v>99</v>
      </c>
      <c r="B3890" s="32">
        <f t="shared" si="942"/>
        <v>2035</v>
      </c>
      <c r="C3890" s="33" t="s">
        <v>109</v>
      </c>
      <c r="D3890" s="34" t="s">
        <v>1999</v>
      </c>
      <c r="E3890" s="35" t="str">
        <f t="shared" si="940"/>
        <v>PRBDP'!</v>
      </c>
      <c r="F3890" s="34" t="str">
        <f t="shared" si="941"/>
        <v>C:\Users\jaime.benazar\Quorum Business Solutions\Ecopetrol Prometeo - Documents\Planning Space Implementation\3. Analysis &amp; Design\Design\FC22\DRR Jaime\QUIFA-CAJÚA\Cajua\[CAJUA_CF_SEC_New_27-Feb-2024Rev3.xlsx]D-PRBDP'!</v>
      </c>
      <c r="G3890" s="32" t="s">
        <v>114</v>
      </c>
      <c r="H3890" s="33"/>
      <c r="I3890" s="33"/>
      <c r="J3890" s="37"/>
    </row>
    <row r="3891" spans="1:10" x14ac:dyDescent="0.25">
      <c r="A3891" s="32" t="s">
        <v>99</v>
      </c>
      <c r="B3891" s="32">
        <f t="shared" si="942"/>
        <v>2036</v>
      </c>
      <c r="C3891" s="33" t="s">
        <v>109</v>
      </c>
      <c r="D3891" s="34" t="s">
        <v>1999</v>
      </c>
      <c r="E3891" s="35" t="str">
        <f t="shared" si="940"/>
        <v>PRBDP'!</v>
      </c>
      <c r="F3891" s="34" t="str">
        <f t="shared" si="941"/>
        <v>C:\Users\jaime.benazar\Quorum Business Solutions\Ecopetrol Prometeo - Documents\Planning Space Implementation\3. Analysis &amp; Design\Design\FC22\DRR Jaime\QUIFA-CAJÚA\Cajua\[CAJUA_CF_SEC_New_27-Feb-2024Rev3.xlsx]D-PRBDP'!</v>
      </c>
      <c r="G3891" s="32" t="s">
        <v>114</v>
      </c>
      <c r="H3891" s="33"/>
      <c r="I3891" s="33"/>
      <c r="J3891" s="37"/>
    </row>
    <row r="3892" spans="1:10" x14ac:dyDescent="0.25">
      <c r="A3892" s="32" t="s">
        <v>99</v>
      </c>
      <c r="B3892" s="32">
        <f>+B3891+1</f>
        <v>2037</v>
      </c>
      <c r="C3892" s="33" t="s">
        <v>109</v>
      </c>
      <c r="D3892" s="34" t="s">
        <v>1999</v>
      </c>
      <c r="E3892" s="35" t="str">
        <f t="shared" si="940"/>
        <v>PRBDP'!</v>
      </c>
      <c r="F3892" s="34" t="str">
        <f t="shared" si="941"/>
        <v>C:\Users\jaime.benazar\Quorum Business Solutions\Ecopetrol Prometeo - Documents\Planning Space Implementation\3. Analysis &amp; Design\Design\FC22\DRR Jaime\QUIFA-CAJÚA\Cajua\[CAJUA_CF_SEC_New_27-Feb-2024Rev3.xlsx]D-PRBDP'!</v>
      </c>
      <c r="G3892" s="32" t="s">
        <v>114</v>
      </c>
      <c r="H3892" s="33"/>
      <c r="I3892" s="33"/>
      <c r="J3892" s="37"/>
    </row>
    <row r="3893" spans="1:10" x14ac:dyDescent="0.25">
      <c r="A3893" s="32" t="s">
        <v>99</v>
      </c>
      <c r="B3893" s="32">
        <f t="shared" ref="B3893:B3895" si="943">+B3892+1</f>
        <v>2038</v>
      </c>
      <c r="C3893" s="33" t="s">
        <v>109</v>
      </c>
      <c r="D3893" s="34" t="s">
        <v>1999</v>
      </c>
      <c r="E3893" s="35" t="str">
        <f t="shared" si="940"/>
        <v>PRBDP'!</v>
      </c>
      <c r="F3893" s="34" t="str">
        <f t="shared" si="941"/>
        <v>C:\Users\jaime.benazar\Quorum Business Solutions\Ecopetrol Prometeo - Documents\Planning Space Implementation\3. Analysis &amp; Design\Design\FC22\DRR Jaime\QUIFA-CAJÚA\Cajua\[CAJUA_CF_SEC_New_27-Feb-2024Rev3.xlsx]D-PRBDP'!</v>
      </c>
      <c r="G3893" s="32" t="s">
        <v>114</v>
      </c>
      <c r="H3893" s="33"/>
      <c r="I3893" s="33"/>
      <c r="J3893" s="37"/>
    </row>
    <row r="3894" spans="1:10" x14ac:dyDescent="0.25">
      <c r="A3894" s="32" t="s">
        <v>99</v>
      </c>
      <c r="B3894" s="32">
        <f t="shared" si="943"/>
        <v>2039</v>
      </c>
      <c r="C3894" s="33" t="s">
        <v>109</v>
      </c>
      <c r="D3894" s="34" t="s">
        <v>1999</v>
      </c>
      <c r="E3894" s="35" t="str">
        <f t="shared" si="940"/>
        <v>PRBDP'!</v>
      </c>
      <c r="F3894" s="34" t="str">
        <f t="shared" si="941"/>
        <v>C:\Users\jaime.benazar\Quorum Business Solutions\Ecopetrol Prometeo - Documents\Planning Space Implementation\3. Analysis &amp; Design\Design\FC22\DRR Jaime\QUIFA-CAJÚA\Cajua\[CAJUA_CF_SEC_New_27-Feb-2024Rev3.xlsx]D-PRBDP'!</v>
      </c>
      <c r="G3894" s="32" t="s">
        <v>114</v>
      </c>
      <c r="H3894" s="33"/>
      <c r="I3894" s="33"/>
      <c r="J3894" s="37"/>
    </row>
    <row r="3895" spans="1:10" x14ac:dyDescent="0.25">
      <c r="A3895" s="32" t="s">
        <v>99</v>
      </c>
      <c r="B3895" s="32">
        <f t="shared" si="943"/>
        <v>2040</v>
      </c>
      <c r="C3895" s="33" t="s">
        <v>109</v>
      </c>
      <c r="D3895" s="34" t="s">
        <v>1999</v>
      </c>
      <c r="E3895" s="35" t="str">
        <f t="shared" si="940"/>
        <v>PRBDP'!</v>
      </c>
      <c r="F3895" s="34" t="str">
        <f t="shared" si="941"/>
        <v>C:\Users\jaime.benazar\Quorum Business Solutions\Ecopetrol Prometeo - Documents\Planning Space Implementation\3. Analysis &amp; Design\Design\FC22\DRR Jaime\QUIFA-CAJÚA\Cajua\[CAJUA_CF_SEC_New_27-Feb-2024Rev3.xlsx]D-PRBDP'!</v>
      </c>
      <c r="G3895" s="32" t="s">
        <v>114</v>
      </c>
      <c r="H3895" s="33"/>
      <c r="I3895" s="33"/>
      <c r="J3895" s="37"/>
    </row>
    <row r="3896" spans="1:10" x14ac:dyDescent="0.25">
      <c r="A3896" s="32" t="s">
        <v>99</v>
      </c>
      <c r="B3896" s="32">
        <f>+B3895+1</f>
        <v>2041</v>
      </c>
      <c r="C3896" s="33" t="s">
        <v>109</v>
      </c>
      <c r="D3896" s="34" t="s">
        <v>1999</v>
      </c>
      <c r="E3896" s="35" t="str">
        <f t="shared" si="940"/>
        <v>PRBDP'!</v>
      </c>
      <c r="F3896" s="34" t="str">
        <f t="shared" si="941"/>
        <v>C:\Users\jaime.benazar\Quorum Business Solutions\Ecopetrol Prometeo - Documents\Planning Space Implementation\3. Analysis &amp; Design\Design\FC22\DRR Jaime\QUIFA-CAJÚA\Cajua\[CAJUA_CF_SEC_New_27-Feb-2024Rev3.xlsx]D-PRBDP'!</v>
      </c>
      <c r="G3896" s="32" t="s">
        <v>114</v>
      </c>
      <c r="H3896" s="33"/>
      <c r="I3896" s="33"/>
      <c r="J3896" s="37"/>
    </row>
    <row r="3897" spans="1:10" x14ac:dyDescent="0.25">
      <c r="A3897" s="32" t="s">
        <v>99</v>
      </c>
      <c r="B3897" s="32">
        <f t="shared" ref="B3897:B3898" si="944">+B3896+1</f>
        <v>2042</v>
      </c>
      <c r="C3897" s="33" t="s">
        <v>109</v>
      </c>
      <c r="D3897" s="34" t="s">
        <v>1999</v>
      </c>
      <c r="E3897" s="35" t="str">
        <f t="shared" si="940"/>
        <v>PRBDP'!</v>
      </c>
      <c r="F3897" s="34" t="str">
        <f t="shared" si="941"/>
        <v>C:\Users\jaime.benazar\Quorum Business Solutions\Ecopetrol Prometeo - Documents\Planning Space Implementation\3. Analysis &amp; Design\Design\FC22\DRR Jaime\QUIFA-CAJÚA\Cajua\[CAJUA_CF_SEC_New_27-Feb-2024Rev3.xlsx]D-PRBDP'!</v>
      </c>
      <c r="G3897" s="32" t="s">
        <v>114</v>
      </c>
      <c r="H3897" s="33"/>
      <c r="I3897" s="33"/>
      <c r="J3897" s="37"/>
    </row>
    <row r="3898" spans="1:10" x14ac:dyDescent="0.25">
      <c r="A3898" s="32" t="s">
        <v>99</v>
      </c>
      <c r="B3898" s="32">
        <f t="shared" si="944"/>
        <v>2043</v>
      </c>
      <c r="C3898" s="33" t="s">
        <v>109</v>
      </c>
      <c r="D3898" s="34" t="s">
        <v>1999</v>
      </c>
      <c r="E3898" s="35" t="str">
        <f t="shared" si="940"/>
        <v>PRBDP'!</v>
      </c>
      <c r="F3898" s="34" t="str">
        <f t="shared" si="941"/>
        <v>C:\Users\jaime.benazar\Quorum Business Solutions\Ecopetrol Prometeo - Documents\Planning Space Implementation\3. Analysis &amp; Design\Design\FC22\DRR Jaime\QUIFA-CAJÚA\Cajua\[CAJUA_CF_SEC_New_27-Feb-2024Rev3.xlsx]D-PRBDP'!</v>
      </c>
      <c r="G3898" s="32" t="s">
        <v>114</v>
      </c>
      <c r="H3898" s="33"/>
      <c r="I3898" s="33"/>
      <c r="J3898" s="37"/>
    </row>
    <row r="3899" spans="1:10" x14ac:dyDescent="0.25">
      <c r="A3899" s="32" t="s">
        <v>99</v>
      </c>
      <c r="B3899" s="32">
        <f>+B3898+1</f>
        <v>2044</v>
      </c>
      <c r="C3899" s="33" t="s">
        <v>109</v>
      </c>
      <c r="D3899" s="34" t="s">
        <v>1999</v>
      </c>
      <c r="E3899" s="35" t="str">
        <f t="shared" ref="E3899:E3914" si="945">_xlfn.CONCAT(A3899,"'!")</f>
        <v>PRBDP'!</v>
      </c>
      <c r="F3899" s="34" t="str">
        <f t="shared" ref="F3899:F3914" si="946">_xlfn.CONCAT(D3899:E3899)</f>
        <v>C:\Users\jaime.benazar\Quorum Business Solutions\Ecopetrol Prometeo - Documents\Planning Space Implementation\3. Analysis &amp; Design\Design\FC22\DRR Jaime\QUIFA-CAJÚA\Cajua\[CAJUA_CF_SEC_New_27-Feb-2024Rev3.xlsx]D-PRBDP'!</v>
      </c>
      <c r="G3899" s="32" t="s">
        <v>114</v>
      </c>
      <c r="H3899" s="33"/>
      <c r="I3899" s="33"/>
      <c r="J3899" s="37"/>
    </row>
    <row r="3900" spans="1:10" x14ac:dyDescent="0.25">
      <c r="A3900" s="32" t="s">
        <v>99</v>
      </c>
      <c r="B3900" s="32">
        <f t="shared" ref="B3900:B3914" si="947">+B3899+1</f>
        <v>2045</v>
      </c>
      <c r="C3900" s="33" t="s">
        <v>109</v>
      </c>
      <c r="D3900" s="34" t="s">
        <v>1999</v>
      </c>
      <c r="E3900" s="35" t="str">
        <f t="shared" si="945"/>
        <v>PRBDP'!</v>
      </c>
      <c r="F3900" s="34" t="str">
        <f t="shared" si="946"/>
        <v>C:\Users\jaime.benazar\Quorum Business Solutions\Ecopetrol Prometeo - Documents\Planning Space Implementation\3. Analysis &amp; Design\Design\FC22\DRR Jaime\QUIFA-CAJÚA\Cajua\[CAJUA_CF_SEC_New_27-Feb-2024Rev3.xlsx]D-PRBDP'!</v>
      </c>
      <c r="G3900" s="32" t="s">
        <v>114</v>
      </c>
      <c r="H3900" s="33"/>
      <c r="I3900" s="33"/>
      <c r="J3900" s="37"/>
    </row>
    <row r="3901" spans="1:10" x14ac:dyDescent="0.25">
      <c r="A3901" s="32" t="s">
        <v>99</v>
      </c>
      <c r="B3901" s="32">
        <f t="shared" si="947"/>
        <v>2046</v>
      </c>
      <c r="C3901" s="33" t="s">
        <v>109</v>
      </c>
      <c r="D3901" s="34" t="s">
        <v>1999</v>
      </c>
      <c r="E3901" s="35" t="str">
        <f t="shared" si="945"/>
        <v>PRBDP'!</v>
      </c>
      <c r="F3901" s="34" t="str">
        <f t="shared" si="946"/>
        <v>C:\Users\jaime.benazar\Quorum Business Solutions\Ecopetrol Prometeo - Documents\Planning Space Implementation\3. Analysis &amp; Design\Design\FC22\DRR Jaime\QUIFA-CAJÚA\Cajua\[CAJUA_CF_SEC_New_27-Feb-2024Rev3.xlsx]D-PRBDP'!</v>
      </c>
      <c r="G3901" s="32" t="s">
        <v>114</v>
      </c>
      <c r="H3901" s="33"/>
      <c r="I3901" s="33"/>
      <c r="J3901" s="37"/>
    </row>
    <row r="3902" spans="1:10" x14ac:dyDescent="0.25">
      <c r="A3902" s="32" t="s">
        <v>99</v>
      </c>
      <c r="B3902" s="32">
        <f t="shared" si="947"/>
        <v>2047</v>
      </c>
      <c r="C3902" s="33" t="s">
        <v>109</v>
      </c>
      <c r="D3902" s="34" t="s">
        <v>1999</v>
      </c>
      <c r="E3902" s="35" t="str">
        <f t="shared" si="945"/>
        <v>PRBDP'!</v>
      </c>
      <c r="F3902" s="34" t="str">
        <f t="shared" si="946"/>
        <v>C:\Users\jaime.benazar\Quorum Business Solutions\Ecopetrol Prometeo - Documents\Planning Space Implementation\3. Analysis &amp; Design\Design\FC22\DRR Jaime\QUIFA-CAJÚA\Cajua\[CAJUA_CF_SEC_New_27-Feb-2024Rev3.xlsx]D-PRBDP'!</v>
      </c>
      <c r="G3902" s="32" t="s">
        <v>114</v>
      </c>
      <c r="H3902" s="33"/>
      <c r="I3902" s="33"/>
      <c r="J3902" s="37"/>
    </row>
    <row r="3903" spans="1:10" x14ac:dyDescent="0.25">
      <c r="A3903" s="32" t="s">
        <v>99</v>
      </c>
      <c r="B3903" s="32">
        <f t="shared" si="947"/>
        <v>2048</v>
      </c>
      <c r="C3903" s="33" t="s">
        <v>109</v>
      </c>
      <c r="D3903" s="34" t="s">
        <v>1999</v>
      </c>
      <c r="E3903" s="35" t="str">
        <f t="shared" si="945"/>
        <v>PRBDP'!</v>
      </c>
      <c r="F3903" s="34" t="str">
        <f t="shared" si="946"/>
        <v>C:\Users\jaime.benazar\Quorum Business Solutions\Ecopetrol Prometeo - Documents\Planning Space Implementation\3. Analysis &amp; Design\Design\FC22\DRR Jaime\QUIFA-CAJÚA\Cajua\[CAJUA_CF_SEC_New_27-Feb-2024Rev3.xlsx]D-PRBDP'!</v>
      </c>
      <c r="G3903" s="32" t="s">
        <v>114</v>
      </c>
      <c r="H3903" s="33"/>
      <c r="I3903" s="33"/>
      <c r="J3903" s="37"/>
    </row>
    <row r="3904" spans="1:10" x14ac:dyDescent="0.25">
      <c r="A3904" s="32" t="s">
        <v>99</v>
      </c>
      <c r="B3904" s="32">
        <f t="shared" si="947"/>
        <v>2049</v>
      </c>
      <c r="C3904" s="33" t="s">
        <v>109</v>
      </c>
      <c r="D3904" s="34" t="s">
        <v>1999</v>
      </c>
      <c r="E3904" s="35" t="str">
        <f t="shared" si="945"/>
        <v>PRBDP'!</v>
      </c>
      <c r="F3904" s="34" t="str">
        <f t="shared" si="946"/>
        <v>C:\Users\jaime.benazar\Quorum Business Solutions\Ecopetrol Prometeo - Documents\Planning Space Implementation\3. Analysis &amp; Design\Design\FC22\DRR Jaime\QUIFA-CAJÚA\Cajua\[CAJUA_CF_SEC_New_27-Feb-2024Rev3.xlsx]D-PRBDP'!</v>
      </c>
      <c r="G3904" s="32" t="s">
        <v>114</v>
      </c>
      <c r="H3904" s="33"/>
      <c r="I3904" s="33"/>
      <c r="J3904" s="37"/>
    </row>
    <row r="3905" spans="1:10" x14ac:dyDescent="0.25">
      <c r="A3905" s="32" t="s">
        <v>99</v>
      </c>
      <c r="B3905" s="32">
        <f t="shared" si="947"/>
        <v>2050</v>
      </c>
      <c r="C3905" s="33" t="s">
        <v>109</v>
      </c>
      <c r="D3905" s="34" t="s">
        <v>1999</v>
      </c>
      <c r="E3905" s="35" t="str">
        <f t="shared" si="945"/>
        <v>PRBDP'!</v>
      </c>
      <c r="F3905" s="34" t="str">
        <f t="shared" si="946"/>
        <v>C:\Users\jaime.benazar\Quorum Business Solutions\Ecopetrol Prometeo - Documents\Planning Space Implementation\3. Analysis &amp; Design\Design\FC22\DRR Jaime\QUIFA-CAJÚA\Cajua\[CAJUA_CF_SEC_New_27-Feb-2024Rev3.xlsx]D-PRBDP'!</v>
      </c>
      <c r="G3905" s="32" t="s">
        <v>114</v>
      </c>
      <c r="H3905" s="33"/>
      <c r="I3905" s="33"/>
      <c r="J3905" s="37"/>
    </row>
    <row r="3906" spans="1:10" x14ac:dyDescent="0.25">
      <c r="A3906" s="32" t="s">
        <v>99</v>
      </c>
      <c r="B3906" s="32">
        <f t="shared" si="947"/>
        <v>2051</v>
      </c>
      <c r="C3906" s="33" t="s">
        <v>109</v>
      </c>
      <c r="D3906" s="34" t="s">
        <v>1999</v>
      </c>
      <c r="E3906" s="35" t="str">
        <f t="shared" si="945"/>
        <v>PRBDP'!</v>
      </c>
      <c r="F3906" s="34" t="str">
        <f t="shared" si="946"/>
        <v>C:\Users\jaime.benazar\Quorum Business Solutions\Ecopetrol Prometeo - Documents\Planning Space Implementation\3. Analysis &amp; Design\Design\FC22\DRR Jaime\QUIFA-CAJÚA\Cajua\[CAJUA_CF_SEC_New_27-Feb-2024Rev3.xlsx]D-PRBDP'!</v>
      </c>
      <c r="G3906" s="32" t="s">
        <v>114</v>
      </c>
      <c r="H3906" s="33"/>
      <c r="I3906" s="33"/>
      <c r="J3906" s="37"/>
    </row>
    <row r="3907" spans="1:10" x14ac:dyDescent="0.25">
      <c r="A3907" s="32" t="s">
        <v>99</v>
      </c>
      <c r="B3907" s="32">
        <f t="shared" si="947"/>
        <v>2052</v>
      </c>
      <c r="C3907" s="33" t="s">
        <v>109</v>
      </c>
      <c r="D3907" s="34" t="s">
        <v>1999</v>
      </c>
      <c r="E3907" s="35" t="str">
        <f t="shared" si="945"/>
        <v>PRBDP'!</v>
      </c>
      <c r="F3907" s="34" t="str">
        <f t="shared" si="946"/>
        <v>C:\Users\jaime.benazar\Quorum Business Solutions\Ecopetrol Prometeo - Documents\Planning Space Implementation\3. Analysis &amp; Design\Design\FC22\DRR Jaime\QUIFA-CAJÚA\Cajua\[CAJUA_CF_SEC_New_27-Feb-2024Rev3.xlsx]D-PRBDP'!</v>
      </c>
      <c r="G3907" s="32" t="s">
        <v>114</v>
      </c>
      <c r="H3907" s="33"/>
      <c r="I3907" s="33"/>
      <c r="J3907" s="37"/>
    </row>
    <row r="3908" spans="1:10" x14ac:dyDescent="0.25">
      <c r="A3908" s="32" t="s">
        <v>99</v>
      </c>
      <c r="B3908" s="32">
        <f t="shared" si="947"/>
        <v>2053</v>
      </c>
      <c r="C3908" s="33" t="s">
        <v>109</v>
      </c>
      <c r="D3908" s="34" t="s">
        <v>1999</v>
      </c>
      <c r="E3908" s="35" t="str">
        <f t="shared" si="945"/>
        <v>PRBDP'!</v>
      </c>
      <c r="F3908" s="34" t="str">
        <f t="shared" si="946"/>
        <v>C:\Users\jaime.benazar\Quorum Business Solutions\Ecopetrol Prometeo - Documents\Planning Space Implementation\3. Analysis &amp; Design\Design\FC22\DRR Jaime\QUIFA-CAJÚA\Cajua\[CAJUA_CF_SEC_New_27-Feb-2024Rev3.xlsx]D-PRBDP'!</v>
      </c>
      <c r="G3908" s="32" t="s">
        <v>114</v>
      </c>
      <c r="H3908" s="33"/>
      <c r="I3908" s="33"/>
      <c r="J3908" s="37"/>
    </row>
    <row r="3909" spans="1:10" x14ac:dyDescent="0.25">
      <c r="A3909" s="32" t="s">
        <v>99</v>
      </c>
      <c r="B3909" s="32">
        <f t="shared" si="947"/>
        <v>2054</v>
      </c>
      <c r="C3909" s="33" t="s">
        <v>109</v>
      </c>
      <c r="D3909" s="34" t="s">
        <v>1999</v>
      </c>
      <c r="E3909" s="35" t="str">
        <f t="shared" si="945"/>
        <v>PRBDP'!</v>
      </c>
      <c r="F3909" s="34" t="str">
        <f t="shared" si="946"/>
        <v>C:\Users\jaime.benazar\Quorum Business Solutions\Ecopetrol Prometeo - Documents\Planning Space Implementation\3. Analysis &amp; Design\Design\FC22\DRR Jaime\QUIFA-CAJÚA\Cajua\[CAJUA_CF_SEC_New_27-Feb-2024Rev3.xlsx]D-PRBDP'!</v>
      </c>
      <c r="G3909" s="32" t="s">
        <v>114</v>
      </c>
      <c r="H3909" s="33"/>
      <c r="I3909" s="33"/>
      <c r="J3909" s="37"/>
    </row>
    <row r="3910" spans="1:10" x14ac:dyDescent="0.25">
      <c r="A3910" s="32" t="s">
        <v>99</v>
      </c>
      <c r="B3910" s="32">
        <f t="shared" si="947"/>
        <v>2055</v>
      </c>
      <c r="C3910" s="33" t="s">
        <v>109</v>
      </c>
      <c r="D3910" s="34" t="s">
        <v>1999</v>
      </c>
      <c r="E3910" s="35" t="str">
        <f t="shared" si="945"/>
        <v>PRBDP'!</v>
      </c>
      <c r="F3910" s="34" t="str">
        <f t="shared" si="946"/>
        <v>C:\Users\jaime.benazar\Quorum Business Solutions\Ecopetrol Prometeo - Documents\Planning Space Implementation\3. Analysis &amp; Design\Design\FC22\DRR Jaime\QUIFA-CAJÚA\Cajua\[CAJUA_CF_SEC_New_27-Feb-2024Rev3.xlsx]D-PRBDP'!</v>
      </c>
      <c r="G3910" s="32" t="s">
        <v>114</v>
      </c>
      <c r="H3910" s="33"/>
      <c r="I3910" s="33"/>
      <c r="J3910" s="37"/>
    </row>
    <row r="3911" spans="1:10" x14ac:dyDescent="0.25">
      <c r="A3911" s="32" t="s">
        <v>99</v>
      </c>
      <c r="B3911" s="32">
        <f t="shared" si="947"/>
        <v>2056</v>
      </c>
      <c r="C3911" s="33" t="s">
        <v>109</v>
      </c>
      <c r="D3911" s="34" t="s">
        <v>1999</v>
      </c>
      <c r="E3911" s="35" t="str">
        <f t="shared" si="945"/>
        <v>PRBDP'!</v>
      </c>
      <c r="F3911" s="34" t="str">
        <f t="shared" si="946"/>
        <v>C:\Users\jaime.benazar\Quorum Business Solutions\Ecopetrol Prometeo - Documents\Planning Space Implementation\3. Analysis &amp; Design\Design\FC22\DRR Jaime\QUIFA-CAJÚA\Cajua\[CAJUA_CF_SEC_New_27-Feb-2024Rev3.xlsx]D-PRBDP'!</v>
      </c>
      <c r="G3911" s="32" t="s">
        <v>114</v>
      </c>
      <c r="H3911" s="33"/>
      <c r="I3911" s="33"/>
      <c r="J3911" s="37"/>
    </row>
    <row r="3912" spans="1:10" x14ac:dyDescent="0.25">
      <c r="A3912" s="32" t="s">
        <v>99</v>
      </c>
      <c r="B3912" s="32">
        <f t="shared" si="947"/>
        <v>2057</v>
      </c>
      <c r="C3912" s="33" t="s">
        <v>109</v>
      </c>
      <c r="D3912" s="34" t="s">
        <v>1999</v>
      </c>
      <c r="E3912" s="35" t="str">
        <f t="shared" si="945"/>
        <v>PRBDP'!</v>
      </c>
      <c r="F3912" s="34" t="str">
        <f t="shared" si="946"/>
        <v>C:\Users\jaime.benazar\Quorum Business Solutions\Ecopetrol Prometeo - Documents\Planning Space Implementation\3. Analysis &amp; Design\Design\FC22\DRR Jaime\QUIFA-CAJÚA\Cajua\[CAJUA_CF_SEC_New_27-Feb-2024Rev3.xlsx]D-PRBDP'!</v>
      </c>
      <c r="G3912" s="32" t="s">
        <v>114</v>
      </c>
      <c r="H3912" s="33"/>
      <c r="I3912" s="33"/>
      <c r="J3912" s="37"/>
    </row>
    <row r="3913" spans="1:10" x14ac:dyDescent="0.25">
      <c r="A3913" s="32" t="s">
        <v>99</v>
      </c>
      <c r="B3913" s="32">
        <f t="shared" si="947"/>
        <v>2058</v>
      </c>
      <c r="C3913" s="33" t="s">
        <v>109</v>
      </c>
      <c r="D3913" s="34" t="s">
        <v>1999</v>
      </c>
      <c r="E3913" s="35" t="str">
        <f t="shared" si="945"/>
        <v>PRBDP'!</v>
      </c>
      <c r="F3913" s="34" t="str">
        <f t="shared" si="946"/>
        <v>C:\Users\jaime.benazar\Quorum Business Solutions\Ecopetrol Prometeo - Documents\Planning Space Implementation\3. Analysis &amp; Design\Design\FC22\DRR Jaime\QUIFA-CAJÚA\Cajua\[CAJUA_CF_SEC_New_27-Feb-2024Rev3.xlsx]D-PRBDP'!</v>
      </c>
      <c r="G3913" s="32" t="s">
        <v>114</v>
      </c>
      <c r="H3913" s="33"/>
      <c r="I3913" s="33"/>
      <c r="J3913" s="37"/>
    </row>
    <row r="3914" spans="1:10" x14ac:dyDescent="0.25">
      <c r="A3914" s="32" t="s">
        <v>99</v>
      </c>
      <c r="B3914" s="32">
        <f t="shared" si="947"/>
        <v>2059</v>
      </c>
      <c r="C3914" s="33" t="s">
        <v>109</v>
      </c>
      <c r="D3914" s="34" t="s">
        <v>1999</v>
      </c>
      <c r="E3914" s="35" t="str">
        <f t="shared" si="945"/>
        <v>PRBDP'!</v>
      </c>
      <c r="F3914" s="34" t="str">
        <f t="shared" si="946"/>
        <v>C:\Users\jaime.benazar\Quorum Business Solutions\Ecopetrol Prometeo - Documents\Planning Space Implementation\3. Analysis &amp; Design\Design\FC22\DRR Jaime\QUIFA-CAJÚA\Cajua\[CAJUA_CF_SEC_New_27-Feb-2024Rev3.xlsx]D-PRBDP'!</v>
      </c>
      <c r="G3914" s="32" t="s">
        <v>114</v>
      </c>
      <c r="H3914" s="33"/>
      <c r="I3914" s="33"/>
      <c r="J3914" s="37"/>
    </row>
    <row r="3915" spans="1:10" x14ac:dyDescent="0.25">
      <c r="A3915" s="32" t="s">
        <v>28</v>
      </c>
      <c r="B3915" s="32"/>
      <c r="C3915" s="33" t="s">
        <v>109</v>
      </c>
      <c r="D3915" s="34"/>
      <c r="E3915" s="35"/>
      <c r="F3915" s="34"/>
      <c r="G3915" s="32"/>
      <c r="H3915" s="33"/>
      <c r="I3915" s="33"/>
      <c r="J3915" s="36"/>
    </row>
    <row r="3916" spans="1:10" x14ac:dyDescent="0.25">
      <c r="A3916" s="32" t="s">
        <v>100</v>
      </c>
      <c r="B3916" s="32">
        <v>2023</v>
      </c>
      <c r="C3916" s="33" t="s">
        <v>109</v>
      </c>
      <c r="D3916" s="34" t="s">
        <v>1999</v>
      </c>
      <c r="E3916" s="35" t="str">
        <f t="shared" ref="E3916:E3936" si="948">_xlfn.CONCAT(A3916,"'!")</f>
        <v>PRBNP'!</v>
      </c>
      <c r="F3916" s="34" t="str">
        <f t="shared" ref="F3916:F3936" si="949">_xlfn.CONCAT(D3916:E3916)</f>
        <v>C:\Users\jaime.benazar\Quorum Business Solutions\Ecopetrol Prometeo - Documents\Planning Space Implementation\3. Analysis &amp; Design\Design\FC22\DRR Jaime\QUIFA-CAJÚA\Cajua\[CAJUA_CF_SEC_New_27-Feb-2024Rev3.xlsx]D-PRBNP'!</v>
      </c>
      <c r="G3916" s="32" t="s">
        <v>114</v>
      </c>
      <c r="H3916" s="33"/>
      <c r="I3916" s="33"/>
      <c r="J3916" s="37"/>
    </row>
    <row r="3917" spans="1:10" x14ac:dyDescent="0.25">
      <c r="A3917" s="32" t="s">
        <v>100</v>
      </c>
      <c r="B3917" s="32">
        <f>+B3916+1</f>
        <v>2024</v>
      </c>
      <c r="C3917" s="33" t="s">
        <v>109</v>
      </c>
      <c r="D3917" s="34" t="s">
        <v>1999</v>
      </c>
      <c r="E3917" s="35" t="str">
        <f t="shared" si="948"/>
        <v>PRBNP'!</v>
      </c>
      <c r="F3917" s="34" t="str">
        <f t="shared" si="949"/>
        <v>C:\Users\jaime.benazar\Quorum Business Solutions\Ecopetrol Prometeo - Documents\Planning Space Implementation\3. Analysis &amp; Design\Design\FC22\DRR Jaime\QUIFA-CAJÚA\Cajua\[CAJUA_CF_SEC_New_27-Feb-2024Rev3.xlsx]D-PRBNP'!</v>
      </c>
      <c r="G3917" s="32" t="s">
        <v>114</v>
      </c>
      <c r="H3917" s="33"/>
      <c r="I3917" s="33"/>
      <c r="J3917" s="37"/>
    </row>
    <row r="3918" spans="1:10" x14ac:dyDescent="0.25">
      <c r="A3918" s="32" t="s">
        <v>100</v>
      </c>
      <c r="B3918" s="32">
        <f t="shared" ref="B3918:B3929" si="950">+B3917+1</f>
        <v>2025</v>
      </c>
      <c r="C3918" s="33" t="s">
        <v>109</v>
      </c>
      <c r="D3918" s="34" t="s">
        <v>1999</v>
      </c>
      <c r="E3918" s="35" t="str">
        <f t="shared" si="948"/>
        <v>PRBNP'!</v>
      </c>
      <c r="F3918" s="34" t="str">
        <f t="shared" si="949"/>
        <v>C:\Users\jaime.benazar\Quorum Business Solutions\Ecopetrol Prometeo - Documents\Planning Space Implementation\3. Analysis &amp; Design\Design\FC22\DRR Jaime\QUIFA-CAJÚA\Cajua\[CAJUA_CF_SEC_New_27-Feb-2024Rev3.xlsx]D-PRBNP'!</v>
      </c>
      <c r="G3918" s="32" t="s">
        <v>114</v>
      </c>
      <c r="H3918" s="33"/>
      <c r="I3918" s="33"/>
      <c r="J3918" s="37"/>
    </row>
    <row r="3919" spans="1:10" x14ac:dyDescent="0.25">
      <c r="A3919" s="32" t="s">
        <v>100</v>
      </c>
      <c r="B3919" s="32">
        <f t="shared" si="950"/>
        <v>2026</v>
      </c>
      <c r="C3919" s="33" t="s">
        <v>109</v>
      </c>
      <c r="D3919" s="34" t="s">
        <v>1999</v>
      </c>
      <c r="E3919" s="35" t="str">
        <f t="shared" si="948"/>
        <v>PRBNP'!</v>
      </c>
      <c r="F3919" s="34" t="str">
        <f t="shared" si="949"/>
        <v>C:\Users\jaime.benazar\Quorum Business Solutions\Ecopetrol Prometeo - Documents\Planning Space Implementation\3. Analysis &amp; Design\Design\FC22\DRR Jaime\QUIFA-CAJÚA\Cajua\[CAJUA_CF_SEC_New_27-Feb-2024Rev3.xlsx]D-PRBNP'!</v>
      </c>
      <c r="G3919" s="32" t="s">
        <v>114</v>
      </c>
      <c r="H3919" s="33"/>
      <c r="I3919" s="33"/>
      <c r="J3919" s="37"/>
    </row>
    <row r="3920" spans="1:10" x14ac:dyDescent="0.25">
      <c r="A3920" s="32" t="s">
        <v>100</v>
      </c>
      <c r="B3920" s="32">
        <f t="shared" si="950"/>
        <v>2027</v>
      </c>
      <c r="C3920" s="33" t="s">
        <v>109</v>
      </c>
      <c r="D3920" s="34" t="s">
        <v>1999</v>
      </c>
      <c r="E3920" s="35" t="str">
        <f t="shared" si="948"/>
        <v>PRBNP'!</v>
      </c>
      <c r="F3920" s="34" t="str">
        <f t="shared" si="949"/>
        <v>C:\Users\jaime.benazar\Quorum Business Solutions\Ecopetrol Prometeo - Documents\Planning Space Implementation\3. Analysis &amp; Design\Design\FC22\DRR Jaime\QUIFA-CAJÚA\Cajua\[CAJUA_CF_SEC_New_27-Feb-2024Rev3.xlsx]D-PRBNP'!</v>
      </c>
      <c r="G3920" s="32" t="s">
        <v>114</v>
      </c>
      <c r="H3920" s="33"/>
      <c r="I3920" s="33"/>
      <c r="J3920" s="37"/>
    </row>
    <row r="3921" spans="1:10" x14ac:dyDescent="0.25">
      <c r="A3921" s="32" t="s">
        <v>100</v>
      </c>
      <c r="B3921" s="32">
        <f t="shared" si="950"/>
        <v>2028</v>
      </c>
      <c r="C3921" s="33" t="s">
        <v>109</v>
      </c>
      <c r="D3921" s="34" t="s">
        <v>1999</v>
      </c>
      <c r="E3921" s="35" t="str">
        <f t="shared" si="948"/>
        <v>PRBNP'!</v>
      </c>
      <c r="F3921" s="34" t="str">
        <f t="shared" si="949"/>
        <v>C:\Users\jaime.benazar\Quorum Business Solutions\Ecopetrol Prometeo - Documents\Planning Space Implementation\3. Analysis &amp; Design\Design\FC22\DRR Jaime\QUIFA-CAJÚA\Cajua\[CAJUA_CF_SEC_New_27-Feb-2024Rev3.xlsx]D-PRBNP'!</v>
      </c>
      <c r="G3921" s="32" t="s">
        <v>114</v>
      </c>
      <c r="H3921" s="33"/>
      <c r="I3921" s="33"/>
      <c r="J3921" s="37"/>
    </row>
    <row r="3922" spans="1:10" x14ac:dyDescent="0.25">
      <c r="A3922" s="32" t="s">
        <v>100</v>
      </c>
      <c r="B3922" s="32">
        <f t="shared" si="950"/>
        <v>2029</v>
      </c>
      <c r="C3922" s="33" t="s">
        <v>109</v>
      </c>
      <c r="D3922" s="34" t="s">
        <v>1999</v>
      </c>
      <c r="E3922" s="35" t="str">
        <f t="shared" si="948"/>
        <v>PRBNP'!</v>
      </c>
      <c r="F3922" s="34" t="str">
        <f t="shared" si="949"/>
        <v>C:\Users\jaime.benazar\Quorum Business Solutions\Ecopetrol Prometeo - Documents\Planning Space Implementation\3. Analysis &amp; Design\Design\FC22\DRR Jaime\QUIFA-CAJÚA\Cajua\[CAJUA_CF_SEC_New_27-Feb-2024Rev3.xlsx]D-PRBNP'!</v>
      </c>
      <c r="G3922" s="32" t="s">
        <v>114</v>
      </c>
      <c r="H3922" s="33"/>
      <c r="I3922" s="33"/>
      <c r="J3922" s="37"/>
    </row>
    <row r="3923" spans="1:10" x14ac:dyDescent="0.25">
      <c r="A3923" s="32" t="s">
        <v>100</v>
      </c>
      <c r="B3923" s="32">
        <f t="shared" si="950"/>
        <v>2030</v>
      </c>
      <c r="C3923" s="33" t="s">
        <v>109</v>
      </c>
      <c r="D3923" s="34" t="s">
        <v>1999</v>
      </c>
      <c r="E3923" s="35" t="str">
        <f t="shared" si="948"/>
        <v>PRBNP'!</v>
      </c>
      <c r="F3923" s="34" t="str">
        <f t="shared" si="949"/>
        <v>C:\Users\jaime.benazar\Quorum Business Solutions\Ecopetrol Prometeo - Documents\Planning Space Implementation\3. Analysis &amp; Design\Design\FC22\DRR Jaime\QUIFA-CAJÚA\Cajua\[CAJUA_CF_SEC_New_27-Feb-2024Rev3.xlsx]D-PRBNP'!</v>
      </c>
      <c r="G3923" s="32" t="s">
        <v>114</v>
      </c>
      <c r="H3923" s="33"/>
      <c r="I3923" s="33"/>
      <c r="J3923" s="37"/>
    </row>
    <row r="3924" spans="1:10" x14ac:dyDescent="0.25">
      <c r="A3924" s="32" t="s">
        <v>100</v>
      </c>
      <c r="B3924" s="32">
        <f t="shared" si="950"/>
        <v>2031</v>
      </c>
      <c r="C3924" s="33" t="s">
        <v>109</v>
      </c>
      <c r="D3924" s="34" t="s">
        <v>1999</v>
      </c>
      <c r="E3924" s="35" t="str">
        <f t="shared" si="948"/>
        <v>PRBNP'!</v>
      </c>
      <c r="F3924" s="34" t="str">
        <f t="shared" si="949"/>
        <v>C:\Users\jaime.benazar\Quorum Business Solutions\Ecopetrol Prometeo - Documents\Planning Space Implementation\3. Analysis &amp; Design\Design\FC22\DRR Jaime\QUIFA-CAJÚA\Cajua\[CAJUA_CF_SEC_New_27-Feb-2024Rev3.xlsx]D-PRBNP'!</v>
      </c>
      <c r="G3924" s="32" t="s">
        <v>114</v>
      </c>
      <c r="H3924" s="33"/>
      <c r="I3924" s="33"/>
      <c r="J3924" s="37"/>
    </row>
    <row r="3925" spans="1:10" x14ac:dyDescent="0.25">
      <c r="A3925" s="32" t="s">
        <v>100</v>
      </c>
      <c r="B3925" s="32">
        <f t="shared" si="950"/>
        <v>2032</v>
      </c>
      <c r="C3925" s="33" t="s">
        <v>109</v>
      </c>
      <c r="D3925" s="34" t="s">
        <v>1999</v>
      </c>
      <c r="E3925" s="35" t="str">
        <f t="shared" si="948"/>
        <v>PRBNP'!</v>
      </c>
      <c r="F3925" s="34" t="str">
        <f t="shared" si="949"/>
        <v>C:\Users\jaime.benazar\Quorum Business Solutions\Ecopetrol Prometeo - Documents\Planning Space Implementation\3. Analysis &amp; Design\Design\FC22\DRR Jaime\QUIFA-CAJÚA\Cajua\[CAJUA_CF_SEC_New_27-Feb-2024Rev3.xlsx]D-PRBNP'!</v>
      </c>
      <c r="G3925" s="32" t="s">
        <v>114</v>
      </c>
      <c r="H3925" s="33"/>
      <c r="I3925" s="33"/>
      <c r="J3925" s="37"/>
    </row>
    <row r="3926" spans="1:10" x14ac:dyDescent="0.25">
      <c r="A3926" s="32" t="s">
        <v>100</v>
      </c>
      <c r="B3926" s="32">
        <f t="shared" si="950"/>
        <v>2033</v>
      </c>
      <c r="C3926" s="33" t="s">
        <v>109</v>
      </c>
      <c r="D3926" s="34" t="s">
        <v>1999</v>
      </c>
      <c r="E3926" s="35" t="str">
        <f t="shared" si="948"/>
        <v>PRBNP'!</v>
      </c>
      <c r="F3926" s="34" t="str">
        <f t="shared" si="949"/>
        <v>C:\Users\jaime.benazar\Quorum Business Solutions\Ecopetrol Prometeo - Documents\Planning Space Implementation\3. Analysis &amp; Design\Design\FC22\DRR Jaime\QUIFA-CAJÚA\Cajua\[CAJUA_CF_SEC_New_27-Feb-2024Rev3.xlsx]D-PRBNP'!</v>
      </c>
      <c r="G3926" s="32" t="s">
        <v>114</v>
      </c>
      <c r="H3926" s="33"/>
      <c r="I3926" s="33"/>
      <c r="J3926" s="37"/>
    </row>
    <row r="3927" spans="1:10" x14ac:dyDescent="0.25">
      <c r="A3927" s="32" t="s">
        <v>100</v>
      </c>
      <c r="B3927" s="32">
        <f t="shared" si="950"/>
        <v>2034</v>
      </c>
      <c r="C3927" s="33" t="s">
        <v>109</v>
      </c>
      <c r="D3927" s="34" t="s">
        <v>1999</v>
      </c>
      <c r="E3927" s="35" t="str">
        <f t="shared" si="948"/>
        <v>PRBNP'!</v>
      </c>
      <c r="F3927" s="34" t="str">
        <f t="shared" si="949"/>
        <v>C:\Users\jaime.benazar\Quorum Business Solutions\Ecopetrol Prometeo - Documents\Planning Space Implementation\3. Analysis &amp; Design\Design\FC22\DRR Jaime\QUIFA-CAJÚA\Cajua\[CAJUA_CF_SEC_New_27-Feb-2024Rev3.xlsx]D-PRBNP'!</v>
      </c>
      <c r="G3927" s="32" t="s">
        <v>114</v>
      </c>
      <c r="H3927" s="33"/>
      <c r="I3927" s="33"/>
      <c r="J3927" s="37"/>
    </row>
    <row r="3928" spans="1:10" x14ac:dyDescent="0.25">
      <c r="A3928" s="32" t="s">
        <v>100</v>
      </c>
      <c r="B3928" s="32">
        <f t="shared" si="950"/>
        <v>2035</v>
      </c>
      <c r="C3928" s="33" t="s">
        <v>109</v>
      </c>
      <c r="D3928" s="34" t="s">
        <v>1999</v>
      </c>
      <c r="E3928" s="35" t="str">
        <f t="shared" si="948"/>
        <v>PRBNP'!</v>
      </c>
      <c r="F3928" s="34" t="str">
        <f t="shared" si="949"/>
        <v>C:\Users\jaime.benazar\Quorum Business Solutions\Ecopetrol Prometeo - Documents\Planning Space Implementation\3. Analysis &amp; Design\Design\FC22\DRR Jaime\QUIFA-CAJÚA\Cajua\[CAJUA_CF_SEC_New_27-Feb-2024Rev3.xlsx]D-PRBNP'!</v>
      </c>
      <c r="G3928" s="32" t="s">
        <v>114</v>
      </c>
      <c r="H3928" s="33"/>
      <c r="I3928" s="33"/>
      <c r="J3928" s="37"/>
    </row>
    <row r="3929" spans="1:10" x14ac:dyDescent="0.25">
      <c r="A3929" s="32" t="s">
        <v>100</v>
      </c>
      <c r="B3929" s="32">
        <f t="shared" si="950"/>
        <v>2036</v>
      </c>
      <c r="C3929" s="33" t="s">
        <v>109</v>
      </c>
      <c r="D3929" s="34" t="s">
        <v>1999</v>
      </c>
      <c r="E3929" s="35" t="str">
        <f t="shared" si="948"/>
        <v>PRBNP'!</v>
      </c>
      <c r="F3929" s="34" t="str">
        <f t="shared" si="949"/>
        <v>C:\Users\jaime.benazar\Quorum Business Solutions\Ecopetrol Prometeo - Documents\Planning Space Implementation\3. Analysis &amp; Design\Design\FC22\DRR Jaime\QUIFA-CAJÚA\Cajua\[CAJUA_CF_SEC_New_27-Feb-2024Rev3.xlsx]D-PRBNP'!</v>
      </c>
      <c r="G3929" s="32" t="s">
        <v>114</v>
      </c>
      <c r="H3929" s="33"/>
      <c r="I3929" s="33"/>
      <c r="J3929" s="37"/>
    </row>
    <row r="3930" spans="1:10" x14ac:dyDescent="0.25">
      <c r="A3930" s="32" t="s">
        <v>100</v>
      </c>
      <c r="B3930" s="32">
        <f>+B3929+1</f>
        <v>2037</v>
      </c>
      <c r="C3930" s="33" t="s">
        <v>109</v>
      </c>
      <c r="D3930" s="34" t="s">
        <v>1999</v>
      </c>
      <c r="E3930" s="35" t="str">
        <f t="shared" si="948"/>
        <v>PRBNP'!</v>
      </c>
      <c r="F3930" s="34" t="str">
        <f t="shared" si="949"/>
        <v>C:\Users\jaime.benazar\Quorum Business Solutions\Ecopetrol Prometeo - Documents\Planning Space Implementation\3. Analysis &amp; Design\Design\FC22\DRR Jaime\QUIFA-CAJÚA\Cajua\[CAJUA_CF_SEC_New_27-Feb-2024Rev3.xlsx]D-PRBNP'!</v>
      </c>
      <c r="G3930" s="32" t="s">
        <v>114</v>
      </c>
      <c r="H3930" s="33"/>
      <c r="I3930" s="33"/>
      <c r="J3930" s="37"/>
    </row>
    <row r="3931" spans="1:10" x14ac:dyDescent="0.25">
      <c r="A3931" s="32" t="s">
        <v>100</v>
      </c>
      <c r="B3931" s="32">
        <f t="shared" ref="B3931:B3933" si="951">+B3930+1</f>
        <v>2038</v>
      </c>
      <c r="C3931" s="33" t="s">
        <v>109</v>
      </c>
      <c r="D3931" s="34" t="s">
        <v>1999</v>
      </c>
      <c r="E3931" s="35" t="str">
        <f t="shared" si="948"/>
        <v>PRBNP'!</v>
      </c>
      <c r="F3931" s="34" t="str">
        <f t="shared" si="949"/>
        <v>C:\Users\jaime.benazar\Quorum Business Solutions\Ecopetrol Prometeo - Documents\Planning Space Implementation\3. Analysis &amp; Design\Design\FC22\DRR Jaime\QUIFA-CAJÚA\Cajua\[CAJUA_CF_SEC_New_27-Feb-2024Rev3.xlsx]D-PRBNP'!</v>
      </c>
      <c r="G3931" s="32" t="s">
        <v>114</v>
      </c>
      <c r="H3931" s="33"/>
      <c r="I3931" s="33"/>
      <c r="J3931" s="37"/>
    </row>
    <row r="3932" spans="1:10" x14ac:dyDescent="0.25">
      <c r="A3932" s="32" t="s">
        <v>100</v>
      </c>
      <c r="B3932" s="32">
        <f t="shared" si="951"/>
        <v>2039</v>
      </c>
      <c r="C3932" s="33" t="s">
        <v>109</v>
      </c>
      <c r="D3932" s="34" t="s">
        <v>1999</v>
      </c>
      <c r="E3932" s="35" t="str">
        <f t="shared" si="948"/>
        <v>PRBNP'!</v>
      </c>
      <c r="F3932" s="34" t="str">
        <f t="shared" si="949"/>
        <v>C:\Users\jaime.benazar\Quorum Business Solutions\Ecopetrol Prometeo - Documents\Planning Space Implementation\3. Analysis &amp; Design\Design\FC22\DRR Jaime\QUIFA-CAJÚA\Cajua\[CAJUA_CF_SEC_New_27-Feb-2024Rev3.xlsx]D-PRBNP'!</v>
      </c>
      <c r="G3932" s="32" t="s">
        <v>114</v>
      </c>
      <c r="H3932" s="33"/>
      <c r="I3932" s="33"/>
      <c r="J3932" s="37"/>
    </row>
    <row r="3933" spans="1:10" x14ac:dyDescent="0.25">
      <c r="A3933" s="32" t="s">
        <v>100</v>
      </c>
      <c r="B3933" s="32">
        <f t="shared" si="951"/>
        <v>2040</v>
      </c>
      <c r="C3933" s="33" t="s">
        <v>109</v>
      </c>
      <c r="D3933" s="34" t="s">
        <v>1999</v>
      </c>
      <c r="E3933" s="35" t="str">
        <f t="shared" si="948"/>
        <v>PRBNP'!</v>
      </c>
      <c r="F3933" s="34" t="str">
        <f t="shared" si="949"/>
        <v>C:\Users\jaime.benazar\Quorum Business Solutions\Ecopetrol Prometeo - Documents\Planning Space Implementation\3. Analysis &amp; Design\Design\FC22\DRR Jaime\QUIFA-CAJÚA\Cajua\[CAJUA_CF_SEC_New_27-Feb-2024Rev3.xlsx]D-PRBNP'!</v>
      </c>
      <c r="G3933" s="32" t="s">
        <v>114</v>
      </c>
      <c r="H3933" s="33"/>
      <c r="I3933" s="33"/>
      <c r="J3933" s="37"/>
    </row>
    <row r="3934" spans="1:10" x14ac:dyDescent="0.25">
      <c r="A3934" s="32" t="s">
        <v>100</v>
      </c>
      <c r="B3934" s="32">
        <f>+B3933+1</f>
        <v>2041</v>
      </c>
      <c r="C3934" s="33" t="s">
        <v>109</v>
      </c>
      <c r="D3934" s="34" t="s">
        <v>1999</v>
      </c>
      <c r="E3934" s="35" t="str">
        <f t="shared" si="948"/>
        <v>PRBNP'!</v>
      </c>
      <c r="F3934" s="34" t="str">
        <f t="shared" si="949"/>
        <v>C:\Users\jaime.benazar\Quorum Business Solutions\Ecopetrol Prometeo - Documents\Planning Space Implementation\3. Analysis &amp; Design\Design\FC22\DRR Jaime\QUIFA-CAJÚA\Cajua\[CAJUA_CF_SEC_New_27-Feb-2024Rev3.xlsx]D-PRBNP'!</v>
      </c>
      <c r="G3934" s="32" t="s">
        <v>114</v>
      </c>
      <c r="H3934" s="33"/>
      <c r="I3934" s="33"/>
      <c r="J3934" s="37"/>
    </row>
    <row r="3935" spans="1:10" x14ac:dyDescent="0.25">
      <c r="A3935" s="32" t="s">
        <v>100</v>
      </c>
      <c r="B3935" s="32">
        <f t="shared" ref="B3935:B3936" si="952">+B3934+1</f>
        <v>2042</v>
      </c>
      <c r="C3935" s="33" t="s">
        <v>109</v>
      </c>
      <c r="D3935" s="34" t="s">
        <v>1999</v>
      </c>
      <c r="E3935" s="35" t="str">
        <f t="shared" si="948"/>
        <v>PRBNP'!</v>
      </c>
      <c r="F3935" s="34" t="str">
        <f t="shared" si="949"/>
        <v>C:\Users\jaime.benazar\Quorum Business Solutions\Ecopetrol Prometeo - Documents\Planning Space Implementation\3. Analysis &amp; Design\Design\FC22\DRR Jaime\QUIFA-CAJÚA\Cajua\[CAJUA_CF_SEC_New_27-Feb-2024Rev3.xlsx]D-PRBNP'!</v>
      </c>
      <c r="G3935" s="32" t="s">
        <v>114</v>
      </c>
      <c r="H3935" s="33"/>
      <c r="I3935" s="33"/>
      <c r="J3935" s="37"/>
    </row>
    <row r="3936" spans="1:10" x14ac:dyDescent="0.25">
      <c r="A3936" s="32" t="s">
        <v>100</v>
      </c>
      <c r="B3936" s="32">
        <f t="shared" si="952"/>
        <v>2043</v>
      </c>
      <c r="C3936" s="33" t="s">
        <v>109</v>
      </c>
      <c r="D3936" s="34" t="s">
        <v>1999</v>
      </c>
      <c r="E3936" s="35" t="str">
        <f t="shared" si="948"/>
        <v>PRBNP'!</v>
      </c>
      <c r="F3936" s="34" t="str">
        <f t="shared" si="949"/>
        <v>C:\Users\jaime.benazar\Quorum Business Solutions\Ecopetrol Prometeo - Documents\Planning Space Implementation\3. Analysis &amp; Design\Design\FC22\DRR Jaime\QUIFA-CAJÚA\Cajua\[CAJUA_CF_SEC_New_27-Feb-2024Rev3.xlsx]D-PRBNP'!</v>
      </c>
      <c r="G3936" s="32" t="s">
        <v>114</v>
      </c>
      <c r="H3936" s="33"/>
      <c r="I3936" s="33"/>
      <c r="J3936" s="37"/>
    </row>
    <row r="3937" spans="1:10" x14ac:dyDescent="0.25">
      <c r="A3937" s="32" t="s">
        <v>100</v>
      </c>
      <c r="B3937" s="32">
        <f>+B3936+1</f>
        <v>2044</v>
      </c>
      <c r="C3937" s="33" t="s">
        <v>109</v>
      </c>
      <c r="D3937" s="34" t="s">
        <v>1999</v>
      </c>
      <c r="E3937" s="35" t="str">
        <f t="shared" ref="E3937:E3952" si="953">_xlfn.CONCAT(A3937,"'!")</f>
        <v>PRBNP'!</v>
      </c>
      <c r="F3937" s="34" t="str">
        <f t="shared" ref="F3937:F3952" si="954">_xlfn.CONCAT(D3937:E3937)</f>
        <v>C:\Users\jaime.benazar\Quorum Business Solutions\Ecopetrol Prometeo - Documents\Planning Space Implementation\3. Analysis &amp; Design\Design\FC22\DRR Jaime\QUIFA-CAJÚA\Cajua\[CAJUA_CF_SEC_New_27-Feb-2024Rev3.xlsx]D-PRBNP'!</v>
      </c>
      <c r="G3937" s="32" t="s">
        <v>114</v>
      </c>
      <c r="H3937" s="33"/>
      <c r="I3937" s="33"/>
      <c r="J3937" s="37"/>
    </row>
    <row r="3938" spans="1:10" x14ac:dyDescent="0.25">
      <c r="A3938" s="32" t="s">
        <v>100</v>
      </c>
      <c r="B3938" s="32">
        <f t="shared" ref="B3938:B3952" si="955">+B3937+1</f>
        <v>2045</v>
      </c>
      <c r="C3938" s="33" t="s">
        <v>109</v>
      </c>
      <c r="D3938" s="34" t="s">
        <v>1999</v>
      </c>
      <c r="E3938" s="35" t="str">
        <f t="shared" si="953"/>
        <v>PRBNP'!</v>
      </c>
      <c r="F3938" s="34" t="str">
        <f t="shared" si="954"/>
        <v>C:\Users\jaime.benazar\Quorum Business Solutions\Ecopetrol Prometeo - Documents\Planning Space Implementation\3. Analysis &amp; Design\Design\FC22\DRR Jaime\QUIFA-CAJÚA\Cajua\[CAJUA_CF_SEC_New_27-Feb-2024Rev3.xlsx]D-PRBNP'!</v>
      </c>
      <c r="G3938" s="32" t="s">
        <v>114</v>
      </c>
      <c r="H3938" s="33"/>
      <c r="I3938" s="33"/>
      <c r="J3938" s="37"/>
    </row>
    <row r="3939" spans="1:10" x14ac:dyDescent="0.25">
      <c r="A3939" s="32" t="s">
        <v>100</v>
      </c>
      <c r="B3939" s="32">
        <f t="shared" si="955"/>
        <v>2046</v>
      </c>
      <c r="C3939" s="33" t="s">
        <v>109</v>
      </c>
      <c r="D3939" s="34" t="s">
        <v>1999</v>
      </c>
      <c r="E3939" s="35" t="str">
        <f t="shared" si="953"/>
        <v>PRBNP'!</v>
      </c>
      <c r="F3939" s="34" t="str">
        <f t="shared" si="954"/>
        <v>C:\Users\jaime.benazar\Quorum Business Solutions\Ecopetrol Prometeo - Documents\Planning Space Implementation\3. Analysis &amp; Design\Design\FC22\DRR Jaime\QUIFA-CAJÚA\Cajua\[CAJUA_CF_SEC_New_27-Feb-2024Rev3.xlsx]D-PRBNP'!</v>
      </c>
      <c r="G3939" s="32" t="s">
        <v>114</v>
      </c>
      <c r="H3939" s="33"/>
      <c r="I3939" s="33"/>
      <c r="J3939" s="37"/>
    </row>
    <row r="3940" spans="1:10" x14ac:dyDescent="0.25">
      <c r="A3940" s="32" t="s">
        <v>100</v>
      </c>
      <c r="B3940" s="32">
        <f t="shared" si="955"/>
        <v>2047</v>
      </c>
      <c r="C3940" s="33" t="s">
        <v>109</v>
      </c>
      <c r="D3940" s="34" t="s">
        <v>1999</v>
      </c>
      <c r="E3940" s="35" t="str">
        <f t="shared" si="953"/>
        <v>PRBNP'!</v>
      </c>
      <c r="F3940" s="34" t="str">
        <f t="shared" si="954"/>
        <v>C:\Users\jaime.benazar\Quorum Business Solutions\Ecopetrol Prometeo - Documents\Planning Space Implementation\3. Analysis &amp; Design\Design\FC22\DRR Jaime\QUIFA-CAJÚA\Cajua\[CAJUA_CF_SEC_New_27-Feb-2024Rev3.xlsx]D-PRBNP'!</v>
      </c>
      <c r="G3940" s="32" t="s">
        <v>114</v>
      </c>
      <c r="H3940" s="33"/>
      <c r="I3940" s="33"/>
      <c r="J3940" s="37"/>
    </row>
    <row r="3941" spans="1:10" x14ac:dyDescent="0.25">
      <c r="A3941" s="32" t="s">
        <v>100</v>
      </c>
      <c r="B3941" s="32">
        <f t="shared" si="955"/>
        <v>2048</v>
      </c>
      <c r="C3941" s="33" t="s">
        <v>109</v>
      </c>
      <c r="D3941" s="34" t="s">
        <v>1999</v>
      </c>
      <c r="E3941" s="35" t="str">
        <f t="shared" si="953"/>
        <v>PRBNP'!</v>
      </c>
      <c r="F3941" s="34" t="str">
        <f t="shared" si="954"/>
        <v>C:\Users\jaime.benazar\Quorum Business Solutions\Ecopetrol Prometeo - Documents\Planning Space Implementation\3. Analysis &amp; Design\Design\FC22\DRR Jaime\QUIFA-CAJÚA\Cajua\[CAJUA_CF_SEC_New_27-Feb-2024Rev3.xlsx]D-PRBNP'!</v>
      </c>
      <c r="G3941" s="32" t="s">
        <v>114</v>
      </c>
      <c r="H3941" s="33"/>
      <c r="I3941" s="33"/>
      <c r="J3941" s="37"/>
    </row>
    <row r="3942" spans="1:10" x14ac:dyDescent="0.25">
      <c r="A3942" s="32" t="s">
        <v>100</v>
      </c>
      <c r="B3942" s="32">
        <f t="shared" si="955"/>
        <v>2049</v>
      </c>
      <c r="C3942" s="33" t="s">
        <v>109</v>
      </c>
      <c r="D3942" s="34" t="s">
        <v>1999</v>
      </c>
      <c r="E3942" s="35" t="str">
        <f t="shared" si="953"/>
        <v>PRBNP'!</v>
      </c>
      <c r="F3942" s="34" t="str">
        <f t="shared" si="954"/>
        <v>C:\Users\jaime.benazar\Quorum Business Solutions\Ecopetrol Prometeo - Documents\Planning Space Implementation\3. Analysis &amp; Design\Design\FC22\DRR Jaime\QUIFA-CAJÚA\Cajua\[CAJUA_CF_SEC_New_27-Feb-2024Rev3.xlsx]D-PRBNP'!</v>
      </c>
      <c r="G3942" s="32" t="s">
        <v>114</v>
      </c>
      <c r="H3942" s="33"/>
      <c r="I3942" s="33"/>
      <c r="J3942" s="37"/>
    </row>
    <row r="3943" spans="1:10" x14ac:dyDescent="0.25">
      <c r="A3943" s="32" t="s">
        <v>100</v>
      </c>
      <c r="B3943" s="32">
        <f t="shared" si="955"/>
        <v>2050</v>
      </c>
      <c r="C3943" s="33" t="s">
        <v>109</v>
      </c>
      <c r="D3943" s="34" t="s">
        <v>1999</v>
      </c>
      <c r="E3943" s="35" t="str">
        <f t="shared" si="953"/>
        <v>PRBNP'!</v>
      </c>
      <c r="F3943" s="34" t="str">
        <f t="shared" si="954"/>
        <v>C:\Users\jaime.benazar\Quorum Business Solutions\Ecopetrol Prometeo - Documents\Planning Space Implementation\3. Analysis &amp; Design\Design\FC22\DRR Jaime\QUIFA-CAJÚA\Cajua\[CAJUA_CF_SEC_New_27-Feb-2024Rev3.xlsx]D-PRBNP'!</v>
      </c>
      <c r="G3943" s="32" t="s">
        <v>114</v>
      </c>
      <c r="H3943" s="33"/>
      <c r="I3943" s="33"/>
      <c r="J3943" s="37"/>
    </row>
    <row r="3944" spans="1:10" x14ac:dyDescent="0.25">
      <c r="A3944" s="32" t="s">
        <v>100</v>
      </c>
      <c r="B3944" s="32">
        <f t="shared" si="955"/>
        <v>2051</v>
      </c>
      <c r="C3944" s="33" t="s">
        <v>109</v>
      </c>
      <c r="D3944" s="34" t="s">
        <v>1999</v>
      </c>
      <c r="E3944" s="35" t="str">
        <f t="shared" si="953"/>
        <v>PRBNP'!</v>
      </c>
      <c r="F3944" s="34" t="str">
        <f t="shared" si="954"/>
        <v>C:\Users\jaime.benazar\Quorum Business Solutions\Ecopetrol Prometeo - Documents\Planning Space Implementation\3. Analysis &amp; Design\Design\FC22\DRR Jaime\QUIFA-CAJÚA\Cajua\[CAJUA_CF_SEC_New_27-Feb-2024Rev3.xlsx]D-PRBNP'!</v>
      </c>
      <c r="G3944" s="32" t="s">
        <v>114</v>
      </c>
      <c r="H3944" s="33"/>
      <c r="I3944" s="33"/>
      <c r="J3944" s="37"/>
    </row>
    <row r="3945" spans="1:10" x14ac:dyDescent="0.25">
      <c r="A3945" s="32" t="s">
        <v>100</v>
      </c>
      <c r="B3945" s="32">
        <f t="shared" si="955"/>
        <v>2052</v>
      </c>
      <c r="C3945" s="33" t="s">
        <v>109</v>
      </c>
      <c r="D3945" s="34" t="s">
        <v>1999</v>
      </c>
      <c r="E3945" s="35" t="str">
        <f t="shared" si="953"/>
        <v>PRBNP'!</v>
      </c>
      <c r="F3945" s="34" t="str">
        <f t="shared" si="954"/>
        <v>C:\Users\jaime.benazar\Quorum Business Solutions\Ecopetrol Prometeo - Documents\Planning Space Implementation\3. Analysis &amp; Design\Design\FC22\DRR Jaime\QUIFA-CAJÚA\Cajua\[CAJUA_CF_SEC_New_27-Feb-2024Rev3.xlsx]D-PRBNP'!</v>
      </c>
      <c r="G3945" s="32" t="s">
        <v>114</v>
      </c>
      <c r="H3945" s="33"/>
      <c r="I3945" s="33"/>
      <c r="J3945" s="37"/>
    </row>
    <row r="3946" spans="1:10" x14ac:dyDescent="0.25">
      <c r="A3946" s="32" t="s">
        <v>100</v>
      </c>
      <c r="B3946" s="32">
        <f t="shared" si="955"/>
        <v>2053</v>
      </c>
      <c r="C3946" s="33" t="s">
        <v>109</v>
      </c>
      <c r="D3946" s="34" t="s">
        <v>1999</v>
      </c>
      <c r="E3946" s="35" t="str">
        <f t="shared" si="953"/>
        <v>PRBNP'!</v>
      </c>
      <c r="F3946" s="34" t="str">
        <f t="shared" si="954"/>
        <v>C:\Users\jaime.benazar\Quorum Business Solutions\Ecopetrol Prometeo - Documents\Planning Space Implementation\3. Analysis &amp; Design\Design\FC22\DRR Jaime\QUIFA-CAJÚA\Cajua\[CAJUA_CF_SEC_New_27-Feb-2024Rev3.xlsx]D-PRBNP'!</v>
      </c>
      <c r="G3946" s="32" t="s">
        <v>114</v>
      </c>
      <c r="H3946" s="33"/>
      <c r="I3946" s="33"/>
      <c r="J3946" s="37"/>
    </row>
    <row r="3947" spans="1:10" x14ac:dyDescent="0.25">
      <c r="A3947" s="32" t="s">
        <v>100</v>
      </c>
      <c r="B3947" s="32">
        <f t="shared" si="955"/>
        <v>2054</v>
      </c>
      <c r="C3947" s="33" t="s">
        <v>109</v>
      </c>
      <c r="D3947" s="34" t="s">
        <v>1999</v>
      </c>
      <c r="E3947" s="35" t="str">
        <f t="shared" si="953"/>
        <v>PRBNP'!</v>
      </c>
      <c r="F3947" s="34" t="str">
        <f t="shared" si="954"/>
        <v>C:\Users\jaime.benazar\Quorum Business Solutions\Ecopetrol Prometeo - Documents\Planning Space Implementation\3. Analysis &amp; Design\Design\FC22\DRR Jaime\QUIFA-CAJÚA\Cajua\[CAJUA_CF_SEC_New_27-Feb-2024Rev3.xlsx]D-PRBNP'!</v>
      </c>
      <c r="G3947" s="32" t="s">
        <v>114</v>
      </c>
      <c r="H3947" s="33"/>
      <c r="I3947" s="33"/>
      <c r="J3947" s="37"/>
    </row>
    <row r="3948" spans="1:10" x14ac:dyDescent="0.25">
      <c r="A3948" s="32" t="s">
        <v>100</v>
      </c>
      <c r="B3948" s="32">
        <f t="shared" si="955"/>
        <v>2055</v>
      </c>
      <c r="C3948" s="33" t="s">
        <v>109</v>
      </c>
      <c r="D3948" s="34" t="s">
        <v>1999</v>
      </c>
      <c r="E3948" s="35" t="str">
        <f t="shared" si="953"/>
        <v>PRBNP'!</v>
      </c>
      <c r="F3948" s="34" t="str">
        <f t="shared" si="954"/>
        <v>C:\Users\jaime.benazar\Quorum Business Solutions\Ecopetrol Prometeo - Documents\Planning Space Implementation\3. Analysis &amp; Design\Design\FC22\DRR Jaime\QUIFA-CAJÚA\Cajua\[CAJUA_CF_SEC_New_27-Feb-2024Rev3.xlsx]D-PRBNP'!</v>
      </c>
      <c r="G3948" s="32" t="s">
        <v>114</v>
      </c>
      <c r="H3948" s="33"/>
      <c r="I3948" s="33"/>
      <c r="J3948" s="37"/>
    </row>
    <row r="3949" spans="1:10" x14ac:dyDescent="0.25">
      <c r="A3949" s="32" t="s">
        <v>100</v>
      </c>
      <c r="B3949" s="32">
        <f t="shared" si="955"/>
        <v>2056</v>
      </c>
      <c r="C3949" s="33" t="s">
        <v>109</v>
      </c>
      <c r="D3949" s="34" t="s">
        <v>1999</v>
      </c>
      <c r="E3949" s="35" t="str">
        <f t="shared" si="953"/>
        <v>PRBNP'!</v>
      </c>
      <c r="F3949" s="34" t="str">
        <f t="shared" si="954"/>
        <v>C:\Users\jaime.benazar\Quorum Business Solutions\Ecopetrol Prometeo - Documents\Planning Space Implementation\3. Analysis &amp; Design\Design\FC22\DRR Jaime\QUIFA-CAJÚA\Cajua\[CAJUA_CF_SEC_New_27-Feb-2024Rev3.xlsx]D-PRBNP'!</v>
      </c>
      <c r="G3949" s="32" t="s">
        <v>114</v>
      </c>
      <c r="H3949" s="33"/>
      <c r="I3949" s="33"/>
      <c r="J3949" s="37"/>
    </row>
    <row r="3950" spans="1:10" x14ac:dyDescent="0.25">
      <c r="A3950" s="32" t="s">
        <v>100</v>
      </c>
      <c r="B3950" s="32">
        <f t="shared" si="955"/>
        <v>2057</v>
      </c>
      <c r="C3950" s="33" t="s">
        <v>109</v>
      </c>
      <c r="D3950" s="34" t="s">
        <v>1999</v>
      </c>
      <c r="E3950" s="35" t="str">
        <f t="shared" si="953"/>
        <v>PRBNP'!</v>
      </c>
      <c r="F3950" s="34" t="str">
        <f t="shared" si="954"/>
        <v>C:\Users\jaime.benazar\Quorum Business Solutions\Ecopetrol Prometeo - Documents\Planning Space Implementation\3. Analysis &amp; Design\Design\FC22\DRR Jaime\QUIFA-CAJÚA\Cajua\[CAJUA_CF_SEC_New_27-Feb-2024Rev3.xlsx]D-PRBNP'!</v>
      </c>
      <c r="G3950" s="32" t="s">
        <v>114</v>
      </c>
      <c r="H3950" s="33"/>
      <c r="I3950" s="33"/>
      <c r="J3950" s="37"/>
    </row>
    <row r="3951" spans="1:10" x14ac:dyDescent="0.25">
      <c r="A3951" s="32" t="s">
        <v>100</v>
      </c>
      <c r="B3951" s="32">
        <f t="shared" si="955"/>
        <v>2058</v>
      </c>
      <c r="C3951" s="33" t="s">
        <v>109</v>
      </c>
      <c r="D3951" s="34" t="s">
        <v>1999</v>
      </c>
      <c r="E3951" s="35" t="str">
        <f t="shared" si="953"/>
        <v>PRBNP'!</v>
      </c>
      <c r="F3951" s="34" t="str">
        <f t="shared" si="954"/>
        <v>C:\Users\jaime.benazar\Quorum Business Solutions\Ecopetrol Prometeo - Documents\Planning Space Implementation\3. Analysis &amp; Design\Design\FC22\DRR Jaime\QUIFA-CAJÚA\Cajua\[CAJUA_CF_SEC_New_27-Feb-2024Rev3.xlsx]D-PRBNP'!</v>
      </c>
      <c r="G3951" s="32" t="s">
        <v>114</v>
      </c>
      <c r="H3951" s="33"/>
      <c r="I3951" s="33"/>
      <c r="J3951" s="37"/>
    </row>
    <row r="3952" spans="1:10" x14ac:dyDescent="0.25">
      <c r="A3952" s="32" t="s">
        <v>100</v>
      </c>
      <c r="B3952" s="32">
        <f t="shared" si="955"/>
        <v>2059</v>
      </c>
      <c r="C3952" s="33" t="s">
        <v>109</v>
      </c>
      <c r="D3952" s="34" t="s">
        <v>1999</v>
      </c>
      <c r="E3952" s="35" t="str">
        <f t="shared" si="953"/>
        <v>PRBNP'!</v>
      </c>
      <c r="F3952" s="34" t="str">
        <f t="shared" si="954"/>
        <v>C:\Users\jaime.benazar\Quorum Business Solutions\Ecopetrol Prometeo - Documents\Planning Space Implementation\3. Analysis &amp; Design\Design\FC22\DRR Jaime\QUIFA-CAJÚA\Cajua\[CAJUA_CF_SEC_New_27-Feb-2024Rev3.xlsx]D-PRBNP'!</v>
      </c>
      <c r="G3952" s="32" t="s">
        <v>114</v>
      </c>
      <c r="H3952" s="33"/>
      <c r="I3952" s="33"/>
      <c r="J3952" s="37"/>
    </row>
    <row r="3953" spans="1:10" x14ac:dyDescent="0.25">
      <c r="A3953" s="32" t="s">
        <v>28</v>
      </c>
      <c r="B3953" s="32"/>
      <c r="C3953" s="33" t="s">
        <v>109</v>
      </c>
      <c r="D3953" s="34"/>
      <c r="E3953" s="35"/>
      <c r="F3953" s="34"/>
      <c r="G3953" s="32"/>
      <c r="H3953" s="33"/>
      <c r="I3953" s="33"/>
      <c r="J3953" s="36"/>
    </row>
    <row r="3954" spans="1:10" x14ac:dyDescent="0.25">
      <c r="A3954" s="32" t="s">
        <v>101</v>
      </c>
      <c r="B3954" s="32">
        <v>2023</v>
      </c>
      <c r="C3954" s="33" t="s">
        <v>109</v>
      </c>
      <c r="D3954" s="34" t="s">
        <v>1999</v>
      </c>
      <c r="E3954" s="35" t="str">
        <f t="shared" ref="E3954:E3974" si="956">_xlfn.CONCAT(A3954,"'!")</f>
        <v>PRBND'!</v>
      </c>
      <c r="F3954" s="34" t="str">
        <f t="shared" ref="F3954:F3974" si="957">_xlfn.CONCAT(D3954:E3954)</f>
        <v>C:\Users\jaime.benazar\Quorum Business Solutions\Ecopetrol Prometeo - Documents\Planning Space Implementation\3. Analysis &amp; Design\Design\FC22\DRR Jaime\QUIFA-CAJÚA\Cajua\[CAJUA_CF_SEC_New_27-Feb-2024Rev3.xlsx]D-PRBND'!</v>
      </c>
      <c r="G3954" s="32" t="s">
        <v>114</v>
      </c>
      <c r="H3954" s="33"/>
      <c r="I3954" s="33"/>
      <c r="J3954" s="37"/>
    </row>
    <row r="3955" spans="1:10" x14ac:dyDescent="0.25">
      <c r="A3955" s="32" t="s">
        <v>101</v>
      </c>
      <c r="B3955" s="32">
        <f>+B3954+1</f>
        <v>2024</v>
      </c>
      <c r="C3955" s="33" t="s">
        <v>109</v>
      </c>
      <c r="D3955" s="34" t="s">
        <v>1999</v>
      </c>
      <c r="E3955" s="35" t="str">
        <f t="shared" si="956"/>
        <v>PRBND'!</v>
      </c>
      <c r="F3955" s="34" t="str">
        <f t="shared" si="957"/>
        <v>C:\Users\jaime.benazar\Quorum Business Solutions\Ecopetrol Prometeo - Documents\Planning Space Implementation\3. Analysis &amp; Design\Design\FC22\DRR Jaime\QUIFA-CAJÚA\Cajua\[CAJUA_CF_SEC_New_27-Feb-2024Rev3.xlsx]D-PRBND'!</v>
      </c>
      <c r="G3955" s="32" t="s">
        <v>114</v>
      </c>
      <c r="H3955" s="33"/>
      <c r="I3955" s="33"/>
      <c r="J3955" s="37"/>
    </row>
    <row r="3956" spans="1:10" x14ac:dyDescent="0.25">
      <c r="A3956" s="32" t="s">
        <v>101</v>
      </c>
      <c r="B3956" s="32">
        <f t="shared" ref="B3956:B3967" si="958">+B3955+1</f>
        <v>2025</v>
      </c>
      <c r="C3956" s="33" t="s">
        <v>109</v>
      </c>
      <c r="D3956" s="34" t="s">
        <v>1999</v>
      </c>
      <c r="E3956" s="35" t="str">
        <f t="shared" si="956"/>
        <v>PRBND'!</v>
      </c>
      <c r="F3956" s="34" t="str">
        <f t="shared" si="957"/>
        <v>C:\Users\jaime.benazar\Quorum Business Solutions\Ecopetrol Prometeo - Documents\Planning Space Implementation\3. Analysis &amp; Design\Design\FC22\DRR Jaime\QUIFA-CAJÚA\Cajua\[CAJUA_CF_SEC_New_27-Feb-2024Rev3.xlsx]D-PRBND'!</v>
      </c>
      <c r="G3956" s="32" t="s">
        <v>114</v>
      </c>
      <c r="H3956" s="33"/>
      <c r="I3956" s="33"/>
      <c r="J3956" s="37"/>
    </row>
    <row r="3957" spans="1:10" x14ac:dyDescent="0.25">
      <c r="A3957" s="32" t="s">
        <v>101</v>
      </c>
      <c r="B3957" s="32">
        <f t="shared" si="958"/>
        <v>2026</v>
      </c>
      <c r="C3957" s="33" t="s">
        <v>109</v>
      </c>
      <c r="D3957" s="34" t="s">
        <v>1999</v>
      </c>
      <c r="E3957" s="35" t="str">
        <f t="shared" si="956"/>
        <v>PRBND'!</v>
      </c>
      <c r="F3957" s="34" t="str">
        <f t="shared" si="957"/>
        <v>C:\Users\jaime.benazar\Quorum Business Solutions\Ecopetrol Prometeo - Documents\Planning Space Implementation\3. Analysis &amp; Design\Design\FC22\DRR Jaime\QUIFA-CAJÚA\Cajua\[CAJUA_CF_SEC_New_27-Feb-2024Rev3.xlsx]D-PRBND'!</v>
      </c>
      <c r="G3957" s="32" t="s">
        <v>114</v>
      </c>
      <c r="H3957" s="33"/>
      <c r="I3957" s="33"/>
      <c r="J3957" s="37"/>
    </row>
    <row r="3958" spans="1:10" x14ac:dyDescent="0.25">
      <c r="A3958" s="32" t="s">
        <v>101</v>
      </c>
      <c r="B3958" s="32">
        <f t="shared" si="958"/>
        <v>2027</v>
      </c>
      <c r="C3958" s="33" t="s">
        <v>109</v>
      </c>
      <c r="D3958" s="34" t="s">
        <v>1999</v>
      </c>
      <c r="E3958" s="35" t="str">
        <f t="shared" si="956"/>
        <v>PRBND'!</v>
      </c>
      <c r="F3958" s="34" t="str">
        <f t="shared" si="957"/>
        <v>C:\Users\jaime.benazar\Quorum Business Solutions\Ecopetrol Prometeo - Documents\Planning Space Implementation\3. Analysis &amp; Design\Design\FC22\DRR Jaime\QUIFA-CAJÚA\Cajua\[CAJUA_CF_SEC_New_27-Feb-2024Rev3.xlsx]D-PRBND'!</v>
      </c>
      <c r="G3958" s="32" t="s">
        <v>114</v>
      </c>
      <c r="H3958" s="33"/>
      <c r="I3958" s="33"/>
      <c r="J3958" s="37"/>
    </row>
    <row r="3959" spans="1:10" x14ac:dyDescent="0.25">
      <c r="A3959" s="32" t="s">
        <v>101</v>
      </c>
      <c r="B3959" s="32">
        <f t="shared" si="958"/>
        <v>2028</v>
      </c>
      <c r="C3959" s="33" t="s">
        <v>109</v>
      </c>
      <c r="D3959" s="34" t="s">
        <v>1999</v>
      </c>
      <c r="E3959" s="35" t="str">
        <f t="shared" si="956"/>
        <v>PRBND'!</v>
      </c>
      <c r="F3959" s="34" t="str">
        <f t="shared" si="957"/>
        <v>C:\Users\jaime.benazar\Quorum Business Solutions\Ecopetrol Prometeo - Documents\Planning Space Implementation\3. Analysis &amp; Design\Design\FC22\DRR Jaime\QUIFA-CAJÚA\Cajua\[CAJUA_CF_SEC_New_27-Feb-2024Rev3.xlsx]D-PRBND'!</v>
      </c>
      <c r="G3959" s="32" t="s">
        <v>114</v>
      </c>
      <c r="H3959" s="33"/>
      <c r="I3959" s="33"/>
      <c r="J3959" s="37"/>
    </row>
    <row r="3960" spans="1:10" x14ac:dyDescent="0.25">
      <c r="A3960" s="32" t="s">
        <v>101</v>
      </c>
      <c r="B3960" s="32">
        <f t="shared" si="958"/>
        <v>2029</v>
      </c>
      <c r="C3960" s="33" t="s">
        <v>109</v>
      </c>
      <c r="D3960" s="34" t="s">
        <v>1999</v>
      </c>
      <c r="E3960" s="35" t="str">
        <f t="shared" si="956"/>
        <v>PRBND'!</v>
      </c>
      <c r="F3960" s="34" t="str">
        <f t="shared" si="957"/>
        <v>C:\Users\jaime.benazar\Quorum Business Solutions\Ecopetrol Prometeo - Documents\Planning Space Implementation\3. Analysis &amp; Design\Design\FC22\DRR Jaime\QUIFA-CAJÚA\Cajua\[CAJUA_CF_SEC_New_27-Feb-2024Rev3.xlsx]D-PRBND'!</v>
      </c>
      <c r="G3960" s="32" t="s">
        <v>114</v>
      </c>
      <c r="H3960" s="33"/>
      <c r="I3960" s="33"/>
      <c r="J3960" s="37"/>
    </row>
    <row r="3961" spans="1:10" x14ac:dyDescent="0.25">
      <c r="A3961" s="32" t="s">
        <v>101</v>
      </c>
      <c r="B3961" s="32">
        <f t="shared" si="958"/>
        <v>2030</v>
      </c>
      <c r="C3961" s="33" t="s">
        <v>109</v>
      </c>
      <c r="D3961" s="34" t="s">
        <v>1999</v>
      </c>
      <c r="E3961" s="35" t="str">
        <f t="shared" si="956"/>
        <v>PRBND'!</v>
      </c>
      <c r="F3961" s="34" t="str">
        <f t="shared" si="957"/>
        <v>C:\Users\jaime.benazar\Quorum Business Solutions\Ecopetrol Prometeo - Documents\Planning Space Implementation\3. Analysis &amp; Design\Design\FC22\DRR Jaime\QUIFA-CAJÚA\Cajua\[CAJUA_CF_SEC_New_27-Feb-2024Rev3.xlsx]D-PRBND'!</v>
      </c>
      <c r="G3961" s="32" t="s">
        <v>114</v>
      </c>
      <c r="H3961" s="33"/>
      <c r="I3961" s="33"/>
      <c r="J3961" s="37"/>
    </row>
    <row r="3962" spans="1:10" x14ac:dyDescent="0.25">
      <c r="A3962" s="32" t="s">
        <v>101</v>
      </c>
      <c r="B3962" s="32">
        <f t="shared" si="958"/>
        <v>2031</v>
      </c>
      <c r="C3962" s="33" t="s">
        <v>109</v>
      </c>
      <c r="D3962" s="34" t="s">
        <v>1999</v>
      </c>
      <c r="E3962" s="35" t="str">
        <f t="shared" si="956"/>
        <v>PRBND'!</v>
      </c>
      <c r="F3962" s="34" t="str">
        <f t="shared" si="957"/>
        <v>C:\Users\jaime.benazar\Quorum Business Solutions\Ecopetrol Prometeo - Documents\Planning Space Implementation\3. Analysis &amp; Design\Design\FC22\DRR Jaime\QUIFA-CAJÚA\Cajua\[CAJUA_CF_SEC_New_27-Feb-2024Rev3.xlsx]D-PRBND'!</v>
      </c>
      <c r="G3962" s="32" t="s">
        <v>114</v>
      </c>
      <c r="H3962" s="33"/>
      <c r="I3962" s="33"/>
      <c r="J3962" s="37"/>
    </row>
    <row r="3963" spans="1:10" x14ac:dyDescent="0.25">
      <c r="A3963" s="32" t="s">
        <v>101</v>
      </c>
      <c r="B3963" s="32">
        <f t="shared" si="958"/>
        <v>2032</v>
      </c>
      <c r="C3963" s="33" t="s">
        <v>109</v>
      </c>
      <c r="D3963" s="34" t="s">
        <v>1999</v>
      </c>
      <c r="E3963" s="35" t="str">
        <f t="shared" si="956"/>
        <v>PRBND'!</v>
      </c>
      <c r="F3963" s="34" t="str">
        <f t="shared" si="957"/>
        <v>C:\Users\jaime.benazar\Quorum Business Solutions\Ecopetrol Prometeo - Documents\Planning Space Implementation\3. Analysis &amp; Design\Design\FC22\DRR Jaime\QUIFA-CAJÚA\Cajua\[CAJUA_CF_SEC_New_27-Feb-2024Rev3.xlsx]D-PRBND'!</v>
      </c>
      <c r="G3963" s="32" t="s">
        <v>114</v>
      </c>
      <c r="H3963" s="33"/>
      <c r="I3963" s="33"/>
      <c r="J3963" s="37"/>
    </row>
    <row r="3964" spans="1:10" x14ac:dyDescent="0.25">
      <c r="A3964" s="32" t="s">
        <v>101</v>
      </c>
      <c r="B3964" s="32">
        <f t="shared" si="958"/>
        <v>2033</v>
      </c>
      <c r="C3964" s="33" t="s">
        <v>109</v>
      </c>
      <c r="D3964" s="34" t="s">
        <v>1999</v>
      </c>
      <c r="E3964" s="35" t="str">
        <f t="shared" si="956"/>
        <v>PRBND'!</v>
      </c>
      <c r="F3964" s="34" t="str">
        <f t="shared" si="957"/>
        <v>C:\Users\jaime.benazar\Quorum Business Solutions\Ecopetrol Prometeo - Documents\Planning Space Implementation\3. Analysis &amp; Design\Design\FC22\DRR Jaime\QUIFA-CAJÚA\Cajua\[CAJUA_CF_SEC_New_27-Feb-2024Rev3.xlsx]D-PRBND'!</v>
      </c>
      <c r="G3964" s="32" t="s">
        <v>114</v>
      </c>
      <c r="H3964" s="33"/>
      <c r="I3964" s="33"/>
      <c r="J3964" s="37"/>
    </row>
    <row r="3965" spans="1:10" x14ac:dyDescent="0.25">
      <c r="A3965" s="32" t="s">
        <v>101</v>
      </c>
      <c r="B3965" s="32">
        <f t="shared" si="958"/>
        <v>2034</v>
      </c>
      <c r="C3965" s="33" t="s">
        <v>109</v>
      </c>
      <c r="D3965" s="34" t="s">
        <v>1999</v>
      </c>
      <c r="E3965" s="35" t="str">
        <f t="shared" si="956"/>
        <v>PRBND'!</v>
      </c>
      <c r="F3965" s="34" t="str">
        <f t="shared" si="957"/>
        <v>C:\Users\jaime.benazar\Quorum Business Solutions\Ecopetrol Prometeo - Documents\Planning Space Implementation\3. Analysis &amp; Design\Design\FC22\DRR Jaime\QUIFA-CAJÚA\Cajua\[CAJUA_CF_SEC_New_27-Feb-2024Rev3.xlsx]D-PRBND'!</v>
      </c>
      <c r="G3965" s="32" t="s">
        <v>114</v>
      </c>
      <c r="H3965" s="33"/>
      <c r="I3965" s="33"/>
      <c r="J3965" s="37"/>
    </row>
    <row r="3966" spans="1:10" x14ac:dyDescent="0.25">
      <c r="A3966" s="32" t="s">
        <v>101</v>
      </c>
      <c r="B3966" s="32">
        <f t="shared" si="958"/>
        <v>2035</v>
      </c>
      <c r="C3966" s="33" t="s">
        <v>109</v>
      </c>
      <c r="D3966" s="34" t="s">
        <v>1999</v>
      </c>
      <c r="E3966" s="35" t="str">
        <f t="shared" si="956"/>
        <v>PRBND'!</v>
      </c>
      <c r="F3966" s="34" t="str">
        <f t="shared" si="957"/>
        <v>C:\Users\jaime.benazar\Quorum Business Solutions\Ecopetrol Prometeo - Documents\Planning Space Implementation\3. Analysis &amp; Design\Design\FC22\DRR Jaime\QUIFA-CAJÚA\Cajua\[CAJUA_CF_SEC_New_27-Feb-2024Rev3.xlsx]D-PRBND'!</v>
      </c>
      <c r="G3966" s="32" t="s">
        <v>114</v>
      </c>
      <c r="H3966" s="33"/>
      <c r="I3966" s="33"/>
      <c r="J3966" s="37"/>
    </row>
    <row r="3967" spans="1:10" x14ac:dyDescent="0.25">
      <c r="A3967" s="32" t="s">
        <v>101</v>
      </c>
      <c r="B3967" s="32">
        <f t="shared" si="958"/>
        <v>2036</v>
      </c>
      <c r="C3967" s="33" t="s">
        <v>109</v>
      </c>
      <c r="D3967" s="34" t="s">
        <v>1999</v>
      </c>
      <c r="E3967" s="35" t="str">
        <f t="shared" si="956"/>
        <v>PRBND'!</v>
      </c>
      <c r="F3967" s="34" t="str">
        <f t="shared" si="957"/>
        <v>C:\Users\jaime.benazar\Quorum Business Solutions\Ecopetrol Prometeo - Documents\Planning Space Implementation\3. Analysis &amp; Design\Design\FC22\DRR Jaime\QUIFA-CAJÚA\Cajua\[CAJUA_CF_SEC_New_27-Feb-2024Rev3.xlsx]D-PRBND'!</v>
      </c>
      <c r="G3967" s="32" t="s">
        <v>114</v>
      </c>
      <c r="H3967" s="33"/>
      <c r="I3967" s="33"/>
      <c r="J3967" s="37"/>
    </row>
    <row r="3968" spans="1:10" x14ac:dyDescent="0.25">
      <c r="A3968" s="32" t="s">
        <v>101</v>
      </c>
      <c r="B3968" s="32">
        <f>+B3967+1</f>
        <v>2037</v>
      </c>
      <c r="C3968" s="33" t="s">
        <v>109</v>
      </c>
      <c r="D3968" s="34" t="s">
        <v>1999</v>
      </c>
      <c r="E3968" s="35" t="str">
        <f t="shared" si="956"/>
        <v>PRBND'!</v>
      </c>
      <c r="F3968" s="34" t="str">
        <f t="shared" si="957"/>
        <v>C:\Users\jaime.benazar\Quorum Business Solutions\Ecopetrol Prometeo - Documents\Planning Space Implementation\3. Analysis &amp; Design\Design\FC22\DRR Jaime\QUIFA-CAJÚA\Cajua\[CAJUA_CF_SEC_New_27-Feb-2024Rev3.xlsx]D-PRBND'!</v>
      </c>
      <c r="G3968" s="32" t="s">
        <v>114</v>
      </c>
      <c r="H3968" s="33"/>
      <c r="I3968" s="33"/>
      <c r="J3968" s="37"/>
    </row>
    <row r="3969" spans="1:10" x14ac:dyDescent="0.25">
      <c r="A3969" s="32" t="s">
        <v>101</v>
      </c>
      <c r="B3969" s="32">
        <f t="shared" ref="B3969:B3971" si="959">+B3968+1</f>
        <v>2038</v>
      </c>
      <c r="C3969" s="33" t="s">
        <v>109</v>
      </c>
      <c r="D3969" s="34" t="s">
        <v>1999</v>
      </c>
      <c r="E3969" s="35" t="str">
        <f t="shared" si="956"/>
        <v>PRBND'!</v>
      </c>
      <c r="F3969" s="34" t="str">
        <f t="shared" si="957"/>
        <v>C:\Users\jaime.benazar\Quorum Business Solutions\Ecopetrol Prometeo - Documents\Planning Space Implementation\3. Analysis &amp; Design\Design\FC22\DRR Jaime\QUIFA-CAJÚA\Cajua\[CAJUA_CF_SEC_New_27-Feb-2024Rev3.xlsx]D-PRBND'!</v>
      </c>
      <c r="G3969" s="32" t="s">
        <v>114</v>
      </c>
      <c r="H3969" s="33"/>
      <c r="I3969" s="33"/>
      <c r="J3969" s="37"/>
    </row>
    <row r="3970" spans="1:10" x14ac:dyDescent="0.25">
      <c r="A3970" s="32" t="s">
        <v>101</v>
      </c>
      <c r="B3970" s="32">
        <f t="shared" si="959"/>
        <v>2039</v>
      </c>
      <c r="C3970" s="33" t="s">
        <v>109</v>
      </c>
      <c r="D3970" s="34" t="s">
        <v>1999</v>
      </c>
      <c r="E3970" s="35" t="str">
        <f t="shared" si="956"/>
        <v>PRBND'!</v>
      </c>
      <c r="F3970" s="34" t="str">
        <f t="shared" si="957"/>
        <v>C:\Users\jaime.benazar\Quorum Business Solutions\Ecopetrol Prometeo - Documents\Planning Space Implementation\3. Analysis &amp; Design\Design\FC22\DRR Jaime\QUIFA-CAJÚA\Cajua\[CAJUA_CF_SEC_New_27-Feb-2024Rev3.xlsx]D-PRBND'!</v>
      </c>
      <c r="G3970" s="32" t="s">
        <v>114</v>
      </c>
      <c r="H3970" s="33"/>
      <c r="I3970" s="33"/>
      <c r="J3970" s="37"/>
    </row>
    <row r="3971" spans="1:10" x14ac:dyDescent="0.25">
      <c r="A3971" s="32" t="s">
        <v>101</v>
      </c>
      <c r="B3971" s="32">
        <f t="shared" si="959"/>
        <v>2040</v>
      </c>
      <c r="C3971" s="33" t="s">
        <v>109</v>
      </c>
      <c r="D3971" s="34" t="s">
        <v>1999</v>
      </c>
      <c r="E3971" s="35" t="str">
        <f t="shared" si="956"/>
        <v>PRBND'!</v>
      </c>
      <c r="F3971" s="34" t="str">
        <f t="shared" si="957"/>
        <v>C:\Users\jaime.benazar\Quorum Business Solutions\Ecopetrol Prometeo - Documents\Planning Space Implementation\3. Analysis &amp; Design\Design\FC22\DRR Jaime\QUIFA-CAJÚA\Cajua\[CAJUA_CF_SEC_New_27-Feb-2024Rev3.xlsx]D-PRBND'!</v>
      </c>
      <c r="G3971" s="32" t="s">
        <v>114</v>
      </c>
      <c r="H3971" s="33"/>
      <c r="I3971" s="33"/>
      <c r="J3971" s="37"/>
    </row>
    <row r="3972" spans="1:10" x14ac:dyDescent="0.25">
      <c r="A3972" s="32" t="s">
        <v>101</v>
      </c>
      <c r="B3972" s="32">
        <f>+B3971+1</f>
        <v>2041</v>
      </c>
      <c r="C3972" s="33" t="s">
        <v>109</v>
      </c>
      <c r="D3972" s="34" t="s">
        <v>1999</v>
      </c>
      <c r="E3972" s="35" t="str">
        <f t="shared" si="956"/>
        <v>PRBND'!</v>
      </c>
      <c r="F3972" s="34" t="str">
        <f t="shared" si="957"/>
        <v>C:\Users\jaime.benazar\Quorum Business Solutions\Ecopetrol Prometeo - Documents\Planning Space Implementation\3. Analysis &amp; Design\Design\FC22\DRR Jaime\QUIFA-CAJÚA\Cajua\[CAJUA_CF_SEC_New_27-Feb-2024Rev3.xlsx]D-PRBND'!</v>
      </c>
      <c r="G3972" s="32" t="s">
        <v>114</v>
      </c>
      <c r="H3972" s="33"/>
      <c r="I3972" s="33"/>
      <c r="J3972" s="37"/>
    </row>
    <row r="3973" spans="1:10" x14ac:dyDescent="0.25">
      <c r="A3973" s="32" t="s">
        <v>101</v>
      </c>
      <c r="B3973" s="32">
        <f t="shared" ref="B3973:B3974" si="960">+B3972+1</f>
        <v>2042</v>
      </c>
      <c r="C3973" s="33" t="s">
        <v>109</v>
      </c>
      <c r="D3973" s="34" t="s">
        <v>1999</v>
      </c>
      <c r="E3973" s="35" t="str">
        <f t="shared" si="956"/>
        <v>PRBND'!</v>
      </c>
      <c r="F3973" s="34" t="str">
        <f t="shared" si="957"/>
        <v>C:\Users\jaime.benazar\Quorum Business Solutions\Ecopetrol Prometeo - Documents\Planning Space Implementation\3. Analysis &amp; Design\Design\FC22\DRR Jaime\QUIFA-CAJÚA\Cajua\[CAJUA_CF_SEC_New_27-Feb-2024Rev3.xlsx]D-PRBND'!</v>
      </c>
      <c r="G3973" s="32" t="s">
        <v>114</v>
      </c>
      <c r="H3973" s="33"/>
      <c r="I3973" s="33"/>
      <c r="J3973" s="37"/>
    </row>
    <row r="3974" spans="1:10" x14ac:dyDescent="0.25">
      <c r="A3974" s="32" t="s">
        <v>101</v>
      </c>
      <c r="B3974" s="32">
        <f t="shared" si="960"/>
        <v>2043</v>
      </c>
      <c r="C3974" s="33" t="s">
        <v>109</v>
      </c>
      <c r="D3974" s="34" t="s">
        <v>1999</v>
      </c>
      <c r="E3974" s="35" t="str">
        <f t="shared" si="956"/>
        <v>PRBND'!</v>
      </c>
      <c r="F3974" s="34" t="str">
        <f t="shared" si="957"/>
        <v>C:\Users\jaime.benazar\Quorum Business Solutions\Ecopetrol Prometeo - Documents\Planning Space Implementation\3. Analysis &amp; Design\Design\FC22\DRR Jaime\QUIFA-CAJÚA\Cajua\[CAJUA_CF_SEC_New_27-Feb-2024Rev3.xlsx]D-PRBND'!</v>
      </c>
      <c r="G3974" s="32" t="s">
        <v>114</v>
      </c>
      <c r="H3974" s="33"/>
      <c r="I3974" s="33"/>
      <c r="J3974" s="37"/>
    </row>
    <row r="3975" spans="1:10" x14ac:dyDescent="0.25">
      <c r="A3975" s="32" t="s">
        <v>101</v>
      </c>
      <c r="B3975" s="32">
        <f>+B3974+1</f>
        <v>2044</v>
      </c>
      <c r="C3975" s="33" t="s">
        <v>109</v>
      </c>
      <c r="D3975" s="34" t="s">
        <v>1999</v>
      </c>
      <c r="E3975" s="35" t="str">
        <f t="shared" ref="E3975:E3990" si="961">_xlfn.CONCAT(A3975,"'!")</f>
        <v>PRBND'!</v>
      </c>
      <c r="F3975" s="34" t="str">
        <f t="shared" ref="F3975:F3990" si="962">_xlfn.CONCAT(D3975:E3975)</f>
        <v>C:\Users\jaime.benazar\Quorum Business Solutions\Ecopetrol Prometeo - Documents\Planning Space Implementation\3. Analysis &amp; Design\Design\FC22\DRR Jaime\QUIFA-CAJÚA\Cajua\[CAJUA_CF_SEC_New_27-Feb-2024Rev3.xlsx]D-PRBND'!</v>
      </c>
      <c r="G3975" s="32" t="s">
        <v>114</v>
      </c>
      <c r="H3975" s="33"/>
      <c r="I3975" s="33"/>
      <c r="J3975" s="37"/>
    </row>
    <row r="3976" spans="1:10" x14ac:dyDescent="0.25">
      <c r="A3976" s="32" t="s">
        <v>101</v>
      </c>
      <c r="B3976" s="32">
        <f t="shared" ref="B3976:B3990" si="963">+B3975+1</f>
        <v>2045</v>
      </c>
      <c r="C3976" s="33" t="s">
        <v>109</v>
      </c>
      <c r="D3976" s="34" t="s">
        <v>1999</v>
      </c>
      <c r="E3976" s="35" t="str">
        <f t="shared" si="961"/>
        <v>PRBND'!</v>
      </c>
      <c r="F3976" s="34" t="str">
        <f t="shared" si="962"/>
        <v>C:\Users\jaime.benazar\Quorum Business Solutions\Ecopetrol Prometeo - Documents\Planning Space Implementation\3. Analysis &amp; Design\Design\FC22\DRR Jaime\QUIFA-CAJÚA\Cajua\[CAJUA_CF_SEC_New_27-Feb-2024Rev3.xlsx]D-PRBND'!</v>
      </c>
      <c r="G3976" s="32" t="s">
        <v>114</v>
      </c>
      <c r="H3976" s="33"/>
      <c r="I3976" s="33"/>
      <c r="J3976" s="37"/>
    </row>
    <row r="3977" spans="1:10" x14ac:dyDescent="0.25">
      <c r="A3977" s="32" t="s">
        <v>101</v>
      </c>
      <c r="B3977" s="32">
        <f t="shared" si="963"/>
        <v>2046</v>
      </c>
      <c r="C3977" s="33" t="s">
        <v>109</v>
      </c>
      <c r="D3977" s="34" t="s">
        <v>1999</v>
      </c>
      <c r="E3977" s="35" t="str">
        <f t="shared" si="961"/>
        <v>PRBND'!</v>
      </c>
      <c r="F3977" s="34" t="str">
        <f t="shared" si="962"/>
        <v>C:\Users\jaime.benazar\Quorum Business Solutions\Ecopetrol Prometeo - Documents\Planning Space Implementation\3. Analysis &amp; Design\Design\FC22\DRR Jaime\QUIFA-CAJÚA\Cajua\[CAJUA_CF_SEC_New_27-Feb-2024Rev3.xlsx]D-PRBND'!</v>
      </c>
      <c r="G3977" s="32" t="s">
        <v>114</v>
      </c>
      <c r="H3977" s="33"/>
      <c r="I3977" s="33"/>
      <c r="J3977" s="37"/>
    </row>
    <row r="3978" spans="1:10" x14ac:dyDescent="0.25">
      <c r="A3978" s="32" t="s">
        <v>101</v>
      </c>
      <c r="B3978" s="32">
        <f t="shared" si="963"/>
        <v>2047</v>
      </c>
      <c r="C3978" s="33" t="s">
        <v>109</v>
      </c>
      <c r="D3978" s="34" t="s">
        <v>1999</v>
      </c>
      <c r="E3978" s="35" t="str">
        <f t="shared" si="961"/>
        <v>PRBND'!</v>
      </c>
      <c r="F3978" s="34" t="str">
        <f t="shared" si="962"/>
        <v>C:\Users\jaime.benazar\Quorum Business Solutions\Ecopetrol Prometeo - Documents\Planning Space Implementation\3. Analysis &amp; Design\Design\FC22\DRR Jaime\QUIFA-CAJÚA\Cajua\[CAJUA_CF_SEC_New_27-Feb-2024Rev3.xlsx]D-PRBND'!</v>
      </c>
      <c r="G3978" s="32" t="s">
        <v>114</v>
      </c>
      <c r="H3978" s="33"/>
      <c r="I3978" s="33"/>
      <c r="J3978" s="37"/>
    </row>
    <row r="3979" spans="1:10" x14ac:dyDescent="0.25">
      <c r="A3979" s="32" t="s">
        <v>101</v>
      </c>
      <c r="B3979" s="32">
        <f t="shared" si="963"/>
        <v>2048</v>
      </c>
      <c r="C3979" s="33" t="s">
        <v>109</v>
      </c>
      <c r="D3979" s="34" t="s">
        <v>1999</v>
      </c>
      <c r="E3979" s="35" t="str">
        <f t="shared" si="961"/>
        <v>PRBND'!</v>
      </c>
      <c r="F3979" s="34" t="str">
        <f t="shared" si="962"/>
        <v>C:\Users\jaime.benazar\Quorum Business Solutions\Ecopetrol Prometeo - Documents\Planning Space Implementation\3. Analysis &amp; Design\Design\FC22\DRR Jaime\QUIFA-CAJÚA\Cajua\[CAJUA_CF_SEC_New_27-Feb-2024Rev3.xlsx]D-PRBND'!</v>
      </c>
      <c r="G3979" s="32" t="s">
        <v>114</v>
      </c>
      <c r="H3979" s="33"/>
      <c r="I3979" s="33"/>
      <c r="J3979" s="37"/>
    </row>
    <row r="3980" spans="1:10" x14ac:dyDescent="0.25">
      <c r="A3980" s="32" t="s">
        <v>101</v>
      </c>
      <c r="B3980" s="32">
        <f t="shared" si="963"/>
        <v>2049</v>
      </c>
      <c r="C3980" s="33" t="s">
        <v>109</v>
      </c>
      <c r="D3980" s="34" t="s">
        <v>1999</v>
      </c>
      <c r="E3980" s="35" t="str">
        <f t="shared" si="961"/>
        <v>PRBND'!</v>
      </c>
      <c r="F3980" s="34" t="str">
        <f t="shared" si="962"/>
        <v>C:\Users\jaime.benazar\Quorum Business Solutions\Ecopetrol Prometeo - Documents\Planning Space Implementation\3. Analysis &amp; Design\Design\FC22\DRR Jaime\QUIFA-CAJÚA\Cajua\[CAJUA_CF_SEC_New_27-Feb-2024Rev3.xlsx]D-PRBND'!</v>
      </c>
      <c r="G3980" s="32" t="s">
        <v>114</v>
      </c>
      <c r="H3980" s="33"/>
      <c r="I3980" s="33"/>
      <c r="J3980" s="37"/>
    </row>
    <row r="3981" spans="1:10" x14ac:dyDescent="0.25">
      <c r="A3981" s="32" t="s">
        <v>101</v>
      </c>
      <c r="B3981" s="32">
        <f t="shared" si="963"/>
        <v>2050</v>
      </c>
      <c r="C3981" s="33" t="s">
        <v>109</v>
      </c>
      <c r="D3981" s="34" t="s">
        <v>1999</v>
      </c>
      <c r="E3981" s="35" t="str">
        <f t="shared" si="961"/>
        <v>PRBND'!</v>
      </c>
      <c r="F3981" s="34" t="str">
        <f t="shared" si="962"/>
        <v>C:\Users\jaime.benazar\Quorum Business Solutions\Ecopetrol Prometeo - Documents\Planning Space Implementation\3. Analysis &amp; Design\Design\FC22\DRR Jaime\QUIFA-CAJÚA\Cajua\[CAJUA_CF_SEC_New_27-Feb-2024Rev3.xlsx]D-PRBND'!</v>
      </c>
      <c r="G3981" s="32" t="s">
        <v>114</v>
      </c>
      <c r="H3981" s="33"/>
      <c r="I3981" s="33"/>
      <c r="J3981" s="37"/>
    </row>
    <row r="3982" spans="1:10" x14ac:dyDescent="0.25">
      <c r="A3982" s="32" t="s">
        <v>101</v>
      </c>
      <c r="B3982" s="32">
        <f t="shared" si="963"/>
        <v>2051</v>
      </c>
      <c r="C3982" s="33" t="s">
        <v>109</v>
      </c>
      <c r="D3982" s="34" t="s">
        <v>1999</v>
      </c>
      <c r="E3982" s="35" t="str">
        <f t="shared" si="961"/>
        <v>PRBND'!</v>
      </c>
      <c r="F3982" s="34" t="str">
        <f t="shared" si="962"/>
        <v>C:\Users\jaime.benazar\Quorum Business Solutions\Ecopetrol Prometeo - Documents\Planning Space Implementation\3. Analysis &amp; Design\Design\FC22\DRR Jaime\QUIFA-CAJÚA\Cajua\[CAJUA_CF_SEC_New_27-Feb-2024Rev3.xlsx]D-PRBND'!</v>
      </c>
      <c r="G3982" s="32" t="s">
        <v>114</v>
      </c>
      <c r="H3982" s="33"/>
      <c r="I3982" s="33"/>
      <c r="J3982" s="37"/>
    </row>
    <row r="3983" spans="1:10" x14ac:dyDescent="0.25">
      <c r="A3983" s="32" t="s">
        <v>101</v>
      </c>
      <c r="B3983" s="32">
        <f t="shared" si="963"/>
        <v>2052</v>
      </c>
      <c r="C3983" s="33" t="s">
        <v>109</v>
      </c>
      <c r="D3983" s="34" t="s">
        <v>1999</v>
      </c>
      <c r="E3983" s="35" t="str">
        <f t="shared" si="961"/>
        <v>PRBND'!</v>
      </c>
      <c r="F3983" s="34" t="str">
        <f t="shared" si="962"/>
        <v>C:\Users\jaime.benazar\Quorum Business Solutions\Ecopetrol Prometeo - Documents\Planning Space Implementation\3. Analysis &amp; Design\Design\FC22\DRR Jaime\QUIFA-CAJÚA\Cajua\[CAJUA_CF_SEC_New_27-Feb-2024Rev3.xlsx]D-PRBND'!</v>
      </c>
      <c r="G3983" s="32" t="s">
        <v>114</v>
      </c>
      <c r="H3983" s="33"/>
      <c r="I3983" s="33"/>
      <c r="J3983" s="37"/>
    </row>
    <row r="3984" spans="1:10" x14ac:dyDescent="0.25">
      <c r="A3984" s="32" t="s">
        <v>101</v>
      </c>
      <c r="B3984" s="32">
        <f t="shared" si="963"/>
        <v>2053</v>
      </c>
      <c r="C3984" s="33" t="s">
        <v>109</v>
      </c>
      <c r="D3984" s="34" t="s">
        <v>1999</v>
      </c>
      <c r="E3984" s="35" t="str">
        <f t="shared" si="961"/>
        <v>PRBND'!</v>
      </c>
      <c r="F3984" s="34" t="str">
        <f t="shared" si="962"/>
        <v>C:\Users\jaime.benazar\Quorum Business Solutions\Ecopetrol Prometeo - Documents\Planning Space Implementation\3. Analysis &amp; Design\Design\FC22\DRR Jaime\QUIFA-CAJÚA\Cajua\[CAJUA_CF_SEC_New_27-Feb-2024Rev3.xlsx]D-PRBND'!</v>
      </c>
      <c r="G3984" s="32" t="s">
        <v>114</v>
      </c>
      <c r="H3984" s="33"/>
      <c r="I3984" s="33"/>
      <c r="J3984" s="37"/>
    </row>
    <row r="3985" spans="1:10" x14ac:dyDescent="0.25">
      <c r="A3985" s="32" t="s">
        <v>101</v>
      </c>
      <c r="B3985" s="32">
        <f t="shared" si="963"/>
        <v>2054</v>
      </c>
      <c r="C3985" s="33" t="s">
        <v>109</v>
      </c>
      <c r="D3985" s="34" t="s">
        <v>1999</v>
      </c>
      <c r="E3985" s="35" t="str">
        <f t="shared" si="961"/>
        <v>PRBND'!</v>
      </c>
      <c r="F3985" s="34" t="str">
        <f t="shared" si="962"/>
        <v>C:\Users\jaime.benazar\Quorum Business Solutions\Ecopetrol Prometeo - Documents\Planning Space Implementation\3. Analysis &amp; Design\Design\FC22\DRR Jaime\QUIFA-CAJÚA\Cajua\[CAJUA_CF_SEC_New_27-Feb-2024Rev3.xlsx]D-PRBND'!</v>
      </c>
      <c r="G3985" s="32" t="s">
        <v>114</v>
      </c>
      <c r="H3985" s="33"/>
      <c r="I3985" s="33"/>
      <c r="J3985" s="37"/>
    </row>
    <row r="3986" spans="1:10" x14ac:dyDescent="0.25">
      <c r="A3986" s="32" t="s">
        <v>101</v>
      </c>
      <c r="B3986" s="32">
        <f t="shared" si="963"/>
        <v>2055</v>
      </c>
      <c r="C3986" s="33" t="s">
        <v>109</v>
      </c>
      <c r="D3986" s="34" t="s">
        <v>1999</v>
      </c>
      <c r="E3986" s="35" t="str">
        <f t="shared" si="961"/>
        <v>PRBND'!</v>
      </c>
      <c r="F3986" s="34" t="str">
        <f t="shared" si="962"/>
        <v>C:\Users\jaime.benazar\Quorum Business Solutions\Ecopetrol Prometeo - Documents\Planning Space Implementation\3. Analysis &amp; Design\Design\FC22\DRR Jaime\QUIFA-CAJÚA\Cajua\[CAJUA_CF_SEC_New_27-Feb-2024Rev3.xlsx]D-PRBND'!</v>
      </c>
      <c r="G3986" s="32" t="s">
        <v>114</v>
      </c>
      <c r="H3986" s="33"/>
      <c r="I3986" s="33"/>
      <c r="J3986" s="37"/>
    </row>
    <row r="3987" spans="1:10" x14ac:dyDescent="0.25">
      <c r="A3987" s="32" t="s">
        <v>101</v>
      </c>
      <c r="B3987" s="32">
        <f t="shared" si="963"/>
        <v>2056</v>
      </c>
      <c r="C3987" s="33" t="s">
        <v>109</v>
      </c>
      <c r="D3987" s="34" t="s">
        <v>1999</v>
      </c>
      <c r="E3987" s="35" t="str">
        <f t="shared" si="961"/>
        <v>PRBND'!</v>
      </c>
      <c r="F3987" s="34" t="str">
        <f t="shared" si="962"/>
        <v>C:\Users\jaime.benazar\Quorum Business Solutions\Ecopetrol Prometeo - Documents\Planning Space Implementation\3. Analysis &amp; Design\Design\FC22\DRR Jaime\QUIFA-CAJÚA\Cajua\[CAJUA_CF_SEC_New_27-Feb-2024Rev3.xlsx]D-PRBND'!</v>
      </c>
      <c r="G3987" s="32" t="s">
        <v>114</v>
      </c>
      <c r="H3987" s="33"/>
      <c r="I3987" s="33"/>
      <c r="J3987" s="37"/>
    </row>
    <row r="3988" spans="1:10" x14ac:dyDescent="0.25">
      <c r="A3988" s="32" t="s">
        <v>101</v>
      </c>
      <c r="B3988" s="32">
        <f t="shared" si="963"/>
        <v>2057</v>
      </c>
      <c r="C3988" s="33" t="s">
        <v>109</v>
      </c>
      <c r="D3988" s="34" t="s">
        <v>1999</v>
      </c>
      <c r="E3988" s="35" t="str">
        <f t="shared" si="961"/>
        <v>PRBND'!</v>
      </c>
      <c r="F3988" s="34" t="str">
        <f t="shared" si="962"/>
        <v>C:\Users\jaime.benazar\Quorum Business Solutions\Ecopetrol Prometeo - Documents\Planning Space Implementation\3. Analysis &amp; Design\Design\FC22\DRR Jaime\QUIFA-CAJÚA\Cajua\[CAJUA_CF_SEC_New_27-Feb-2024Rev3.xlsx]D-PRBND'!</v>
      </c>
      <c r="G3988" s="32" t="s">
        <v>114</v>
      </c>
      <c r="H3988" s="33"/>
      <c r="I3988" s="33"/>
      <c r="J3988" s="37"/>
    </row>
    <row r="3989" spans="1:10" x14ac:dyDescent="0.25">
      <c r="A3989" s="32" t="s">
        <v>101</v>
      </c>
      <c r="B3989" s="32">
        <f t="shared" si="963"/>
        <v>2058</v>
      </c>
      <c r="C3989" s="33" t="s">
        <v>109</v>
      </c>
      <c r="D3989" s="34" t="s">
        <v>1999</v>
      </c>
      <c r="E3989" s="35" t="str">
        <f t="shared" si="961"/>
        <v>PRBND'!</v>
      </c>
      <c r="F3989" s="34" t="str">
        <f t="shared" si="962"/>
        <v>C:\Users\jaime.benazar\Quorum Business Solutions\Ecopetrol Prometeo - Documents\Planning Space Implementation\3. Analysis &amp; Design\Design\FC22\DRR Jaime\QUIFA-CAJÚA\Cajua\[CAJUA_CF_SEC_New_27-Feb-2024Rev3.xlsx]D-PRBND'!</v>
      </c>
      <c r="G3989" s="32" t="s">
        <v>114</v>
      </c>
      <c r="H3989" s="33"/>
      <c r="I3989" s="33"/>
      <c r="J3989" s="37"/>
    </row>
    <row r="3990" spans="1:10" x14ac:dyDescent="0.25">
      <c r="A3990" s="32" t="s">
        <v>101</v>
      </c>
      <c r="B3990" s="32">
        <f t="shared" si="963"/>
        <v>2059</v>
      </c>
      <c r="C3990" s="33" t="s">
        <v>109</v>
      </c>
      <c r="D3990" s="34" t="s">
        <v>1999</v>
      </c>
      <c r="E3990" s="35" t="str">
        <f t="shared" si="961"/>
        <v>PRBND'!</v>
      </c>
      <c r="F3990" s="34" t="str">
        <f t="shared" si="962"/>
        <v>C:\Users\jaime.benazar\Quorum Business Solutions\Ecopetrol Prometeo - Documents\Planning Space Implementation\3. Analysis &amp; Design\Design\FC22\DRR Jaime\QUIFA-CAJÚA\Cajua\[CAJUA_CF_SEC_New_27-Feb-2024Rev3.xlsx]D-PRBND'!</v>
      </c>
      <c r="G3990" s="32" t="s">
        <v>114</v>
      </c>
      <c r="H3990" s="33"/>
      <c r="I3990" s="33"/>
      <c r="J3990" s="37"/>
    </row>
    <row r="3991" spans="1:10" x14ac:dyDescent="0.25">
      <c r="A3991" s="32" t="s">
        <v>28</v>
      </c>
      <c r="B3991" s="32"/>
      <c r="C3991" s="33" t="s">
        <v>109</v>
      </c>
      <c r="D3991" s="34"/>
      <c r="E3991" s="35"/>
      <c r="F3991" s="34"/>
      <c r="G3991" s="32"/>
      <c r="H3991" s="33"/>
      <c r="I3991" s="33"/>
      <c r="J3991" s="36"/>
    </row>
    <row r="3992" spans="1:10" x14ac:dyDescent="0.25">
      <c r="A3992" s="32" t="s">
        <v>4</v>
      </c>
      <c r="B3992" s="32">
        <v>2023</v>
      </c>
      <c r="C3992" s="33" t="s">
        <v>109</v>
      </c>
      <c r="D3992" s="34" t="s">
        <v>1999</v>
      </c>
      <c r="E3992" s="35" t="str">
        <f t="shared" ref="E3992:E4012" si="964">_xlfn.CONCAT(A3992,"'!")</f>
        <v>PRB'!</v>
      </c>
      <c r="F3992" s="34" t="str">
        <f t="shared" ref="F3992:F4012" si="965">_xlfn.CONCAT(D3992:E3992)</f>
        <v>C:\Users\jaime.benazar\Quorum Business Solutions\Ecopetrol Prometeo - Documents\Planning Space Implementation\3. Analysis &amp; Design\Design\FC22\DRR Jaime\QUIFA-CAJÚA\Cajua\[CAJUA_CF_SEC_New_27-Feb-2024Rev3.xlsx]D-PRB'!</v>
      </c>
      <c r="G3992" s="32" t="s">
        <v>114</v>
      </c>
      <c r="H3992" s="33">
        <v>12</v>
      </c>
      <c r="I3992" s="33" t="str">
        <f t="shared" ref="I3992:I4012" si="966">_xlfn.CONCAT("='",F3992:H3992)</f>
        <v>='C:\Users\jaime.benazar\Quorum Business Solutions\Ecopetrol Prometeo - Documents\Planning Space Implementation\3. Analysis &amp; Design\Design\FC22\DRR Jaime\QUIFA-CAJÚA\Cajua\[CAJUA_CF_SEC_New_27-Feb-2024Rev3.xlsx]D-PRB'!$CB$12</v>
      </c>
      <c r="J3992" s="37" t="s">
        <v>3998</v>
      </c>
    </row>
    <row r="3993" spans="1:10" x14ac:dyDescent="0.25">
      <c r="A3993" s="32" t="s">
        <v>4</v>
      </c>
      <c r="B3993" s="32">
        <f>+B3992+1</f>
        <v>2024</v>
      </c>
      <c r="C3993" s="33" t="s">
        <v>109</v>
      </c>
      <c r="D3993" s="34" t="s">
        <v>1999</v>
      </c>
      <c r="E3993" s="35" t="str">
        <f t="shared" si="964"/>
        <v>PRB'!</v>
      </c>
      <c r="F3993" s="34" t="str">
        <f t="shared" si="965"/>
        <v>C:\Users\jaime.benazar\Quorum Business Solutions\Ecopetrol Prometeo - Documents\Planning Space Implementation\3. Analysis &amp; Design\Design\FC22\DRR Jaime\QUIFA-CAJÚA\Cajua\[CAJUA_CF_SEC_New_27-Feb-2024Rev3.xlsx]D-PRB'!</v>
      </c>
      <c r="G3993" s="32" t="s">
        <v>114</v>
      </c>
      <c r="H3993" s="33">
        <f t="shared" ref="H3993:H4012" si="967">IF(A3993&lt;&gt;A3992,12,H3992+1)</f>
        <v>13</v>
      </c>
      <c r="I3993" s="33" t="str">
        <f t="shared" si="966"/>
        <v>='C:\Users\jaime.benazar\Quorum Business Solutions\Ecopetrol Prometeo - Documents\Planning Space Implementation\3. Analysis &amp; Design\Design\FC22\DRR Jaime\QUIFA-CAJÚA\Cajua\[CAJUA_CF_SEC_New_27-Feb-2024Rev3.xlsx]D-PRB'!$CB$13</v>
      </c>
      <c r="J3993" s="37" t="s">
        <v>3999</v>
      </c>
    </row>
    <row r="3994" spans="1:10" x14ac:dyDescent="0.25">
      <c r="A3994" s="32" t="s">
        <v>4</v>
      </c>
      <c r="B3994" s="32">
        <f t="shared" ref="B3994:B4005" si="968">+B3993+1</f>
        <v>2025</v>
      </c>
      <c r="C3994" s="33" t="s">
        <v>109</v>
      </c>
      <c r="D3994" s="34" t="s">
        <v>1999</v>
      </c>
      <c r="E3994" s="35" t="str">
        <f t="shared" si="964"/>
        <v>PRB'!</v>
      </c>
      <c r="F3994" s="34" t="str">
        <f t="shared" si="965"/>
        <v>C:\Users\jaime.benazar\Quorum Business Solutions\Ecopetrol Prometeo - Documents\Planning Space Implementation\3. Analysis &amp; Design\Design\FC22\DRR Jaime\QUIFA-CAJÚA\Cajua\[CAJUA_CF_SEC_New_27-Feb-2024Rev3.xlsx]D-PRB'!</v>
      </c>
      <c r="G3994" s="32" t="s">
        <v>114</v>
      </c>
      <c r="H3994" s="33">
        <f t="shared" si="967"/>
        <v>14</v>
      </c>
      <c r="I3994" s="33" t="str">
        <f t="shared" si="966"/>
        <v>='C:\Users\jaime.benazar\Quorum Business Solutions\Ecopetrol Prometeo - Documents\Planning Space Implementation\3. Analysis &amp; Design\Design\FC22\DRR Jaime\QUIFA-CAJÚA\Cajua\[CAJUA_CF_SEC_New_27-Feb-2024Rev3.xlsx]D-PRB'!$CB$14</v>
      </c>
      <c r="J3994" s="37" t="s">
        <v>4000</v>
      </c>
    </row>
    <row r="3995" spans="1:10" x14ac:dyDescent="0.25">
      <c r="A3995" s="32" t="s">
        <v>4</v>
      </c>
      <c r="B3995" s="32">
        <f t="shared" si="968"/>
        <v>2026</v>
      </c>
      <c r="C3995" s="33" t="s">
        <v>109</v>
      </c>
      <c r="D3995" s="34" t="s">
        <v>1999</v>
      </c>
      <c r="E3995" s="35" t="str">
        <f t="shared" si="964"/>
        <v>PRB'!</v>
      </c>
      <c r="F3995" s="34" t="str">
        <f t="shared" si="965"/>
        <v>C:\Users\jaime.benazar\Quorum Business Solutions\Ecopetrol Prometeo - Documents\Planning Space Implementation\3. Analysis &amp; Design\Design\FC22\DRR Jaime\QUIFA-CAJÚA\Cajua\[CAJUA_CF_SEC_New_27-Feb-2024Rev3.xlsx]D-PRB'!</v>
      </c>
      <c r="G3995" s="32" t="s">
        <v>114</v>
      </c>
      <c r="H3995" s="33">
        <f t="shared" si="967"/>
        <v>15</v>
      </c>
      <c r="I3995" s="33" t="str">
        <f t="shared" si="966"/>
        <v>='C:\Users\jaime.benazar\Quorum Business Solutions\Ecopetrol Prometeo - Documents\Planning Space Implementation\3. Analysis &amp; Design\Design\FC22\DRR Jaime\QUIFA-CAJÚA\Cajua\[CAJUA_CF_SEC_New_27-Feb-2024Rev3.xlsx]D-PRB'!$CB$15</v>
      </c>
      <c r="J3995" s="37" t="s">
        <v>4001</v>
      </c>
    </row>
    <row r="3996" spans="1:10" x14ac:dyDescent="0.25">
      <c r="A3996" s="32" t="s">
        <v>4</v>
      </c>
      <c r="B3996" s="32">
        <f t="shared" si="968"/>
        <v>2027</v>
      </c>
      <c r="C3996" s="33" t="s">
        <v>109</v>
      </c>
      <c r="D3996" s="34" t="s">
        <v>1999</v>
      </c>
      <c r="E3996" s="35" t="str">
        <f t="shared" si="964"/>
        <v>PRB'!</v>
      </c>
      <c r="F3996" s="34" t="str">
        <f t="shared" si="965"/>
        <v>C:\Users\jaime.benazar\Quorum Business Solutions\Ecopetrol Prometeo - Documents\Planning Space Implementation\3. Analysis &amp; Design\Design\FC22\DRR Jaime\QUIFA-CAJÚA\Cajua\[CAJUA_CF_SEC_New_27-Feb-2024Rev3.xlsx]D-PRB'!</v>
      </c>
      <c r="G3996" s="32" t="s">
        <v>114</v>
      </c>
      <c r="H3996" s="33">
        <f t="shared" si="967"/>
        <v>16</v>
      </c>
      <c r="I3996" s="33" t="str">
        <f t="shared" si="966"/>
        <v>='C:\Users\jaime.benazar\Quorum Business Solutions\Ecopetrol Prometeo - Documents\Planning Space Implementation\3. Analysis &amp; Design\Design\FC22\DRR Jaime\QUIFA-CAJÚA\Cajua\[CAJUA_CF_SEC_New_27-Feb-2024Rev3.xlsx]D-PRB'!$CB$16</v>
      </c>
      <c r="J3996" s="37" t="s">
        <v>4002</v>
      </c>
    </row>
    <row r="3997" spans="1:10" x14ac:dyDescent="0.25">
      <c r="A3997" s="32" t="s">
        <v>4</v>
      </c>
      <c r="B3997" s="32">
        <f t="shared" si="968"/>
        <v>2028</v>
      </c>
      <c r="C3997" s="33" t="s">
        <v>109</v>
      </c>
      <c r="D3997" s="34" t="s">
        <v>1999</v>
      </c>
      <c r="E3997" s="35" t="str">
        <f t="shared" si="964"/>
        <v>PRB'!</v>
      </c>
      <c r="F3997" s="34" t="str">
        <f t="shared" si="965"/>
        <v>C:\Users\jaime.benazar\Quorum Business Solutions\Ecopetrol Prometeo - Documents\Planning Space Implementation\3. Analysis &amp; Design\Design\FC22\DRR Jaime\QUIFA-CAJÚA\Cajua\[CAJUA_CF_SEC_New_27-Feb-2024Rev3.xlsx]D-PRB'!</v>
      </c>
      <c r="G3997" s="32" t="s">
        <v>114</v>
      </c>
      <c r="H3997" s="33">
        <f t="shared" si="967"/>
        <v>17</v>
      </c>
      <c r="I3997" s="33" t="str">
        <f t="shared" si="966"/>
        <v>='C:\Users\jaime.benazar\Quorum Business Solutions\Ecopetrol Prometeo - Documents\Planning Space Implementation\3. Analysis &amp; Design\Design\FC22\DRR Jaime\QUIFA-CAJÚA\Cajua\[CAJUA_CF_SEC_New_27-Feb-2024Rev3.xlsx]D-PRB'!$CB$17</v>
      </c>
      <c r="J3997" s="37" t="s">
        <v>4003</v>
      </c>
    </row>
    <row r="3998" spans="1:10" x14ac:dyDescent="0.25">
      <c r="A3998" s="32" t="s">
        <v>4</v>
      </c>
      <c r="B3998" s="32">
        <f t="shared" si="968"/>
        <v>2029</v>
      </c>
      <c r="C3998" s="33" t="s">
        <v>109</v>
      </c>
      <c r="D3998" s="34" t="s">
        <v>1999</v>
      </c>
      <c r="E3998" s="35" t="str">
        <f t="shared" si="964"/>
        <v>PRB'!</v>
      </c>
      <c r="F3998" s="34" t="str">
        <f t="shared" si="965"/>
        <v>C:\Users\jaime.benazar\Quorum Business Solutions\Ecopetrol Prometeo - Documents\Planning Space Implementation\3. Analysis &amp; Design\Design\FC22\DRR Jaime\QUIFA-CAJÚA\Cajua\[CAJUA_CF_SEC_New_27-Feb-2024Rev3.xlsx]D-PRB'!</v>
      </c>
      <c r="G3998" s="32" t="s">
        <v>114</v>
      </c>
      <c r="H3998" s="33">
        <f t="shared" si="967"/>
        <v>18</v>
      </c>
      <c r="I3998" s="33" t="str">
        <f t="shared" si="966"/>
        <v>='C:\Users\jaime.benazar\Quorum Business Solutions\Ecopetrol Prometeo - Documents\Planning Space Implementation\3. Analysis &amp; Design\Design\FC22\DRR Jaime\QUIFA-CAJÚA\Cajua\[CAJUA_CF_SEC_New_27-Feb-2024Rev3.xlsx]D-PRB'!$CB$18</v>
      </c>
      <c r="J3998" s="37" t="s">
        <v>4004</v>
      </c>
    </row>
    <row r="3999" spans="1:10" x14ac:dyDescent="0.25">
      <c r="A3999" s="32" t="s">
        <v>4</v>
      </c>
      <c r="B3999" s="32">
        <f t="shared" si="968"/>
        <v>2030</v>
      </c>
      <c r="C3999" s="33" t="s">
        <v>109</v>
      </c>
      <c r="D3999" s="34" t="s">
        <v>1999</v>
      </c>
      <c r="E3999" s="35" t="str">
        <f t="shared" si="964"/>
        <v>PRB'!</v>
      </c>
      <c r="F3999" s="34" t="str">
        <f t="shared" si="965"/>
        <v>C:\Users\jaime.benazar\Quorum Business Solutions\Ecopetrol Prometeo - Documents\Planning Space Implementation\3. Analysis &amp; Design\Design\FC22\DRR Jaime\QUIFA-CAJÚA\Cajua\[CAJUA_CF_SEC_New_27-Feb-2024Rev3.xlsx]D-PRB'!</v>
      </c>
      <c r="G3999" s="32" t="s">
        <v>114</v>
      </c>
      <c r="H3999" s="33">
        <f t="shared" si="967"/>
        <v>19</v>
      </c>
      <c r="I3999" s="33" t="str">
        <f t="shared" si="966"/>
        <v>='C:\Users\jaime.benazar\Quorum Business Solutions\Ecopetrol Prometeo - Documents\Planning Space Implementation\3. Analysis &amp; Design\Design\FC22\DRR Jaime\QUIFA-CAJÚA\Cajua\[CAJUA_CF_SEC_New_27-Feb-2024Rev3.xlsx]D-PRB'!$CB$19</v>
      </c>
      <c r="J3999" s="37" t="s">
        <v>4005</v>
      </c>
    </row>
    <row r="4000" spans="1:10" x14ac:dyDescent="0.25">
      <c r="A4000" s="32" t="s">
        <v>4</v>
      </c>
      <c r="B4000" s="32">
        <f t="shared" si="968"/>
        <v>2031</v>
      </c>
      <c r="C4000" s="33" t="s">
        <v>109</v>
      </c>
      <c r="D4000" s="34" t="s">
        <v>1999</v>
      </c>
      <c r="E4000" s="35" t="str">
        <f t="shared" si="964"/>
        <v>PRB'!</v>
      </c>
      <c r="F4000" s="34" t="str">
        <f t="shared" si="965"/>
        <v>C:\Users\jaime.benazar\Quorum Business Solutions\Ecopetrol Prometeo - Documents\Planning Space Implementation\3. Analysis &amp; Design\Design\FC22\DRR Jaime\QUIFA-CAJÚA\Cajua\[CAJUA_CF_SEC_New_27-Feb-2024Rev3.xlsx]D-PRB'!</v>
      </c>
      <c r="G4000" s="32" t="s">
        <v>114</v>
      </c>
      <c r="H4000" s="33">
        <f t="shared" si="967"/>
        <v>20</v>
      </c>
      <c r="I4000" s="33" t="str">
        <f t="shared" si="966"/>
        <v>='C:\Users\jaime.benazar\Quorum Business Solutions\Ecopetrol Prometeo - Documents\Planning Space Implementation\3. Analysis &amp; Design\Design\FC22\DRR Jaime\QUIFA-CAJÚA\Cajua\[CAJUA_CF_SEC_New_27-Feb-2024Rev3.xlsx]D-PRB'!$CB$20</v>
      </c>
      <c r="J4000" s="37" t="s">
        <v>4006</v>
      </c>
    </row>
    <row r="4001" spans="1:10" x14ac:dyDescent="0.25">
      <c r="A4001" s="32" t="s">
        <v>4</v>
      </c>
      <c r="B4001" s="32">
        <f t="shared" si="968"/>
        <v>2032</v>
      </c>
      <c r="C4001" s="33" t="s">
        <v>109</v>
      </c>
      <c r="D4001" s="34" t="s">
        <v>1999</v>
      </c>
      <c r="E4001" s="35" t="str">
        <f t="shared" si="964"/>
        <v>PRB'!</v>
      </c>
      <c r="F4001" s="34" t="str">
        <f t="shared" si="965"/>
        <v>C:\Users\jaime.benazar\Quorum Business Solutions\Ecopetrol Prometeo - Documents\Planning Space Implementation\3. Analysis &amp; Design\Design\FC22\DRR Jaime\QUIFA-CAJÚA\Cajua\[CAJUA_CF_SEC_New_27-Feb-2024Rev3.xlsx]D-PRB'!</v>
      </c>
      <c r="G4001" s="32" t="s">
        <v>114</v>
      </c>
      <c r="H4001" s="33">
        <f t="shared" si="967"/>
        <v>21</v>
      </c>
      <c r="I4001" s="33" t="str">
        <f t="shared" si="966"/>
        <v>='C:\Users\jaime.benazar\Quorum Business Solutions\Ecopetrol Prometeo - Documents\Planning Space Implementation\3. Analysis &amp; Design\Design\FC22\DRR Jaime\QUIFA-CAJÚA\Cajua\[CAJUA_CF_SEC_New_27-Feb-2024Rev3.xlsx]D-PRB'!$CB$21</v>
      </c>
      <c r="J4001" s="37" t="s">
        <v>4007</v>
      </c>
    </row>
    <row r="4002" spans="1:10" x14ac:dyDescent="0.25">
      <c r="A4002" s="32" t="s">
        <v>4</v>
      </c>
      <c r="B4002" s="32">
        <f t="shared" si="968"/>
        <v>2033</v>
      </c>
      <c r="C4002" s="33" t="s">
        <v>109</v>
      </c>
      <c r="D4002" s="34" t="s">
        <v>1999</v>
      </c>
      <c r="E4002" s="35" t="str">
        <f t="shared" si="964"/>
        <v>PRB'!</v>
      </c>
      <c r="F4002" s="34" t="str">
        <f t="shared" si="965"/>
        <v>C:\Users\jaime.benazar\Quorum Business Solutions\Ecopetrol Prometeo - Documents\Planning Space Implementation\3. Analysis &amp; Design\Design\FC22\DRR Jaime\QUIFA-CAJÚA\Cajua\[CAJUA_CF_SEC_New_27-Feb-2024Rev3.xlsx]D-PRB'!</v>
      </c>
      <c r="G4002" s="32" t="s">
        <v>114</v>
      </c>
      <c r="H4002" s="33">
        <f t="shared" si="967"/>
        <v>22</v>
      </c>
      <c r="I4002" s="33" t="str">
        <f t="shared" si="966"/>
        <v>='C:\Users\jaime.benazar\Quorum Business Solutions\Ecopetrol Prometeo - Documents\Planning Space Implementation\3. Analysis &amp; Design\Design\FC22\DRR Jaime\QUIFA-CAJÚA\Cajua\[CAJUA_CF_SEC_New_27-Feb-2024Rev3.xlsx]D-PRB'!$CB$22</v>
      </c>
      <c r="J4002" s="37" t="s">
        <v>4008</v>
      </c>
    </row>
    <row r="4003" spans="1:10" x14ac:dyDescent="0.25">
      <c r="A4003" s="32" t="s">
        <v>4</v>
      </c>
      <c r="B4003" s="32">
        <f t="shared" si="968"/>
        <v>2034</v>
      </c>
      <c r="C4003" s="33" t="s">
        <v>109</v>
      </c>
      <c r="D4003" s="34" t="s">
        <v>1999</v>
      </c>
      <c r="E4003" s="35" t="str">
        <f t="shared" si="964"/>
        <v>PRB'!</v>
      </c>
      <c r="F4003" s="34" t="str">
        <f t="shared" si="965"/>
        <v>C:\Users\jaime.benazar\Quorum Business Solutions\Ecopetrol Prometeo - Documents\Planning Space Implementation\3. Analysis &amp; Design\Design\FC22\DRR Jaime\QUIFA-CAJÚA\Cajua\[CAJUA_CF_SEC_New_27-Feb-2024Rev3.xlsx]D-PRB'!</v>
      </c>
      <c r="G4003" s="32" t="s">
        <v>114</v>
      </c>
      <c r="H4003" s="33">
        <f t="shared" si="967"/>
        <v>23</v>
      </c>
      <c r="I4003" s="33" t="str">
        <f t="shared" si="966"/>
        <v>='C:\Users\jaime.benazar\Quorum Business Solutions\Ecopetrol Prometeo - Documents\Planning Space Implementation\3. Analysis &amp; Design\Design\FC22\DRR Jaime\QUIFA-CAJÚA\Cajua\[CAJUA_CF_SEC_New_27-Feb-2024Rev3.xlsx]D-PRB'!$CB$23</v>
      </c>
      <c r="J4003" s="37" t="s">
        <v>4009</v>
      </c>
    </row>
    <row r="4004" spans="1:10" x14ac:dyDescent="0.25">
      <c r="A4004" s="32" t="s">
        <v>4</v>
      </c>
      <c r="B4004" s="32">
        <f t="shared" si="968"/>
        <v>2035</v>
      </c>
      <c r="C4004" s="33" t="s">
        <v>109</v>
      </c>
      <c r="D4004" s="34" t="s">
        <v>1999</v>
      </c>
      <c r="E4004" s="35" t="str">
        <f t="shared" si="964"/>
        <v>PRB'!</v>
      </c>
      <c r="F4004" s="34" t="str">
        <f t="shared" si="965"/>
        <v>C:\Users\jaime.benazar\Quorum Business Solutions\Ecopetrol Prometeo - Documents\Planning Space Implementation\3. Analysis &amp; Design\Design\FC22\DRR Jaime\QUIFA-CAJÚA\Cajua\[CAJUA_CF_SEC_New_27-Feb-2024Rev3.xlsx]D-PRB'!</v>
      </c>
      <c r="G4004" s="32" t="s">
        <v>114</v>
      </c>
      <c r="H4004" s="33">
        <f t="shared" si="967"/>
        <v>24</v>
      </c>
      <c r="I4004" s="33" t="str">
        <f t="shared" si="966"/>
        <v>='C:\Users\jaime.benazar\Quorum Business Solutions\Ecopetrol Prometeo - Documents\Planning Space Implementation\3. Analysis &amp; Design\Design\FC22\DRR Jaime\QUIFA-CAJÚA\Cajua\[CAJUA_CF_SEC_New_27-Feb-2024Rev3.xlsx]D-PRB'!$CB$24</v>
      </c>
      <c r="J4004" s="37" t="s">
        <v>4010</v>
      </c>
    </row>
    <row r="4005" spans="1:10" x14ac:dyDescent="0.25">
      <c r="A4005" s="32" t="s">
        <v>4</v>
      </c>
      <c r="B4005" s="32">
        <f t="shared" si="968"/>
        <v>2036</v>
      </c>
      <c r="C4005" s="33" t="s">
        <v>109</v>
      </c>
      <c r="D4005" s="34" t="s">
        <v>1999</v>
      </c>
      <c r="E4005" s="35" t="str">
        <f t="shared" si="964"/>
        <v>PRB'!</v>
      </c>
      <c r="F4005" s="34" t="str">
        <f t="shared" si="965"/>
        <v>C:\Users\jaime.benazar\Quorum Business Solutions\Ecopetrol Prometeo - Documents\Planning Space Implementation\3. Analysis &amp; Design\Design\FC22\DRR Jaime\QUIFA-CAJÚA\Cajua\[CAJUA_CF_SEC_New_27-Feb-2024Rev3.xlsx]D-PRB'!</v>
      </c>
      <c r="G4005" s="32" t="s">
        <v>114</v>
      </c>
      <c r="H4005" s="33">
        <f t="shared" si="967"/>
        <v>25</v>
      </c>
      <c r="I4005" s="33" t="str">
        <f t="shared" si="966"/>
        <v>='C:\Users\jaime.benazar\Quorum Business Solutions\Ecopetrol Prometeo - Documents\Planning Space Implementation\3. Analysis &amp; Design\Design\FC22\DRR Jaime\QUIFA-CAJÚA\Cajua\[CAJUA_CF_SEC_New_27-Feb-2024Rev3.xlsx]D-PRB'!$CB$25</v>
      </c>
      <c r="J4005" s="37" t="s">
        <v>4011</v>
      </c>
    </row>
    <row r="4006" spans="1:10" x14ac:dyDescent="0.25">
      <c r="A4006" s="32" t="s">
        <v>4</v>
      </c>
      <c r="B4006" s="32">
        <f>+B4005+1</f>
        <v>2037</v>
      </c>
      <c r="C4006" s="33" t="s">
        <v>109</v>
      </c>
      <c r="D4006" s="34" t="s">
        <v>1999</v>
      </c>
      <c r="E4006" s="35" t="str">
        <f t="shared" si="964"/>
        <v>PRB'!</v>
      </c>
      <c r="F4006" s="34" t="str">
        <f t="shared" si="965"/>
        <v>C:\Users\jaime.benazar\Quorum Business Solutions\Ecopetrol Prometeo - Documents\Planning Space Implementation\3. Analysis &amp; Design\Design\FC22\DRR Jaime\QUIFA-CAJÚA\Cajua\[CAJUA_CF_SEC_New_27-Feb-2024Rev3.xlsx]D-PRB'!</v>
      </c>
      <c r="G4006" s="32" t="s">
        <v>114</v>
      </c>
      <c r="H4006" s="33">
        <f t="shared" si="967"/>
        <v>26</v>
      </c>
      <c r="I4006" s="33" t="str">
        <f t="shared" si="966"/>
        <v>='C:\Users\jaime.benazar\Quorum Business Solutions\Ecopetrol Prometeo - Documents\Planning Space Implementation\3. Analysis &amp; Design\Design\FC22\DRR Jaime\QUIFA-CAJÚA\Cajua\[CAJUA_CF_SEC_New_27-Feb-2024Rev3.xlsx]D-PRB'!$CB$26</v>
      </c>
      <c r="J4006" s="37" t="s">
        <v>4012</v>
      </c>
    </row>
    <row r="4007" spans="1:10" x14ac:dyDescent="0.25">
      <c r="A4007" s="32" t="s">
        <v>4</v>
      </c>
      <c r="B4007" s="32">
        <f t="shared" ref="B4007:B4009" si="969">+B4006+1</f>
        <v>2038</v>
      </c>
      <c r="C4007" s="33" t="s">
        <v>109</v>
      </c>
      <c r="D4007" s="34" t="s">
        <v>1999</v>
      </c>
      <c r="E4007" s="35" t="str">
        <f t="shared" si="964"/>
        <v>PRB'!</v>
      </c>
      <c r="F4007" s="34" t="str">
        <f t="shared" si="965"/>
        <v>C:\Users\jaime.benazar\Quorum Business Solutions\Ecopetrol Prometeo - Documents\Planning Space Implementation\3. Analysis &amp; Design\Design\FC22\DRR Jaime\QUIFA-CAJÚA\Cajua\[CAJUA_CF_SEC_New_27-Feb-2024Rev3.xlsx]D-PRB'!</v>
      </c>
      <c r="G4007" s="32" t="s">
        <v>114</v>
      </c>
      <c r="H4007" s="33">
        <f t="shared" si="967"/>
        <v>27</v>
      </c>
      <c r="I4007" s="33" t="str">
        <f t="shared" si="966"/>
        <v>='C:\Users\jaime.benazar\Quorum Business Solutions\Ecopetrol Prometeo - Documents\Planning Space Implementation\3. Analysis &amp; Design\Design\FC22\DRR Jaime\QUIFA-CAJÚA\Cajua\[CAJUA_CF_SEC_New_27-Feb-2024Rev3.xlsx]D-PRB'!$CB$27</v>
      </c>
      <c r="J4007" s="37" t="s">
        <v>4013</v>
      </c>
    </row>
    <row r="4008" spans="1:10" x14ac:dyDescent="0.25">
      <c r="A4008" s="32" t="s">
        <v>4</v>
      </c>
      <c r="B4008" s="32">
        <f t="shared" si="969"/>
        <v>2039</v>
      </c>
      <c r="C4008" s="33" t="s">
        <v>109</v>
      </c>
      <c r="D4008" s="34" t="s">
        <v>1999</v>
      </c>
      <c r="E4008" s="35" t="str">
        <f t="shared" si="964"/>
        <v>PRB'!</v>
      </c>
      <c r="F4008" s="34" t="str">
        <f t="shared" si="965"/>
        <v>C:\Users\jaime.benazar\Quorum Business Solutions\Ecopetrol Prometeo - Documents\Planning Space Implementation\3. Analysis &amp; Design\Design\FC22\DRR Jaime\QUIFA-CAJÚA\Cajua\[CAJUA_CF_SEC_New_27-Feb-2024Rev3.xlsx]D-PRB'!</v>
      </c>
      <c r="G4008" s="32" t="s">
        <v>114</v>
      </c>
      <c r="H4008" s="33">
        <f t="shared" si="967"/>
        <v>28</v>
      </c>
      <c r="I4008" s="33" t="str">
        <f t="shared" si="966"/>
        <v>='C:\Users\jaime.benazar\Quorum Business Solutions\Ecopetrol Prometeo - Documents\Planning Space Implementation\3. Analysis &amp; Design\Design\FC22\DRR Jaime\QUIFA-CAJÚA\Cajua\[CAJUA_CF_SEC_New_27-Feb-2024Rev3.xlsx]D-PRB'!$CB$28</v>
      </c>
      <c r="J4008" s="37" t="s">
        <v>4014</v>
      </c>
    </row>
    <row r="4009" spans="1:10" x14ac:dyDescent="0.25">
      <c r="A4009" s="32" t="s">
        <v>4</v>
      </c>
      <c r="B4009" s="32">
        <f t="shared" si="969"/>
        <v>2040</v>
      </c>
      <c r="C4009" s="33" t="s">
        <v>109</v>
      </c>
      <c r="D4009" s="34" t="s">
        <v>1999</v>
      </c>
      <c r="E4009" s="35" t="str">
        <f t="shared" si="964"/>
        <v>PRB'!</v>
      </c>
      <c r="F4009" s="34" t="str">
        <f t="shared" si="965"/>
        <v>C:\Users\jaime.benazar\Quorum Business Solutions\Ecopetrol Prometeo - Documents\Planning Space Implementation\3. Analysis &amp; Design\Design\FC22\DRR Jaime\QUIFA-CAJÚA\Cajua\[CAJUA_CF_SEC_New_27-Feb-2024Rev3.xlsx]D-PRB'!</v>
      </c>
      <c r="G4009" s="32" t="s">
        <v>114</v>
      </c>
      <c r="H4009" s="33">
        <f t="shared" si="967"/>
        <v>29</v>
      </c>
      <c r="I4009" s="33" t="str">
        <f t="shared" si="966"/>
        <v>='C:\Users\jaime.benazar\Quorum Business Solutions\Ecopetrol Prometeo - Documents\Planning Space Implementation\3. Analysis &amp; Design\Design\FC22\DRR Jaime\QUIFA-CAJÚA\Cajua\[CAJUA_CF_SEC_New_27-Feb-2024Rev3.xlsx]D-PRB'!$CB$29</v>
      </c>
      <c r="J4009" s="37" t="s">
        <v>4015</v>
      </c>
    </row>
    <row r="4010" spans="1:10" x14ac:dyDescent="0.25">
      <c r="A4010" s="32" t="s">
        <v>4</v>
      </c>
      <c r="B4010" s="32">
        <f>+B4009+1</f>
        <v>2041</v>
      </c>
      <c r="C4010" s="33" t="s">
        <v>109</v>
      </c>
      <c r="D4010" s="34" t="s">
        <v>1999</v>
      </c>
      <c r="E4010" s="35" t="str">
        <f t="shared" si="964"/>
        <v>PRB'!</v>
      </c>
      <c r="F4010" s="34" t="str">
        <f t="shared" si="965"/>
        <v>C:\Users\jaime.benazar\Quorum Business Solutions\Ecopetrol Prometeo - Documents\Planning Space Implementation\3. Analysis &amp; Design\Design\FC22\DRR Jaime\QUIFA-CAJÚA\Cajua\[CAJUA_CF_SEC_New_27-Feb-2024Rev3.xlsx]D-PRB'!</v>
      </c>
      <c r="G4010" s="32" t="s">
        <v>114</v>
      </c>
      <c r="H4010" s="33">
        <f t="shared" si="967"/>
        <v>30</v>
      </c>
      <c r="I4010" s="33" t="str">
        <f t="shared" si="966"/>
        <v>='C:\Users\jaime.benazar\Quorum Business Solutions\Ecopetrol Prometeo - Documents\Planning Space Implementation\3. Analysis &amp; Design\Design\FC22\DRR Jaime\QUIFA-CAJÚA\Cajua\[CAJUA_CF_SEC_New_27-Feb-2024Rev3.xlsx]D-PRB'!$CB$30</v>
      </c>
      <c r="J4010" s="37" t="s">
        <v>4016</v>
      </c>
    </row>
    <row r="4011" spans="1:10" x14ac:dyDescent="0.25">
      <c r="A4011" s="32" t="s">
        <v>4</v>
      </c>
      <c r="B4011" s="32">
        <f t="shared" ref="B4011:B4012" si="970">+B4010+1</f>
        <v>2042</v>
      </c>
      <c r="C4011" s="33" t="s">
        <v>109</v>
      </c>
      <c r="D4011" s="34" t="s">
        <v>1999</v>
      </c>
      <c r="E4011" s="35" t="str">
        <f t="shared" si="964"/>
        <v>PRB'!</v>
      </c>
      <c r="F4011" s="34" t="str">
        <f t="shared" si="965"/>
        <v>C:\Users\jaime.benazar\Quorum Business Solutions\Ecopetrol Prometeo - Documents\Planning Space Implementation\3. Analysis &amp; Design\Design\FC22\DRR Jaime\QUIFA-CAJÚA\Cajua\[CAJUA_CF_SEC_New_27-Feb-2024Rev3.xlsx]D-PRB'!</v>
      </c>
      <c r="G4011" s="32" t="s">
        <v>114</v>
      </c>
      <c r="H4011" s="33">
        <f t="shared" si="967"/>
        <v>31</v>
      </c>
      <c r="I4011" s="33" t="str">
        <f t="shared" si="966"/>
        <v>='C:\Users\jaime.benazar\Quorum Business Solutions\Ecopetrol Prometeo - Documents\Planning Space Implementation\3. Analysis &amp; Design\Design\FC22\DRR Jaime\QUIFA-CAJÚA\Cajua\[CAJUA_CF_SEC_New_27-Feb-2024Rev3.xlsx]D-PRB'!$CB$31</v>
      </c>
      <c r="J4011" s="37" t="s">
        <v>4017</v>
      </c>
    </row>
    <row r="4012" spans="1:10" x14ac:dyDescent="0.25">
      <c r="A4012" s="32" t="s">
        <v>4</v>
      </c>
      <c r="B4012" s="32">
        <f t="shared" si="970"/>
        <v>2043</v>
      </c>
      <c r="C4012" s="33" t="s">
        <v>109</v>
      </c>
      <c r="D4012" s="34" t="s">
        <v>1999</v>
      </c>
      <c r="E4012" s="35" t="str">
        <f t="shared" si="964"/>
        <v>PRB'!</v>
      </c>
      <c r="F4012" s="34" t="str">
        <f t="shared" si="965"/>
        <v>C:\Users\jaime.benazar\Quorum Business Solutions\Ecopetrol Prometeo - Documents\Planning Space Implementation\3. Analysis &amp; Design\Design\FC22\DRR Jaime\QUIFA-CAJÚA\Cajua\[CAJUA_CF_SEC_New_27-Feb-2024Rev3.xlsx]D-PRB'!</v>
      </c>
      <c r="G4012" s="32" t="s">
        <v>114</v>
      </c>
      <c r="H4012" s="33">
        <f t="shared" si="967"/>
        <v>32</v>
      </c>
      <c r="I4012" s="33" t="str">
        <f t="shared" si="966"/>
        <v>='C:\Users\jaime.benazar\Quorum Business Solutions\Ecopetrol Prometeo - Documents\Planning Space Implementation\3. Analysis &amp; Design\Design\FC22\DRR Jaime\QUIFA-CAJÚA\Cajua\[CAJUA_CF_SEC_New_27-Feb-2024Rev3.xlsx]D-PRB'!$CB$32</v>
      </c>
      <c r="J4012" s="37" t="s">
        <v>4018</v>
      </c>
    </row>
    <row r="4013" spans="1:10" x14ac:dyDescent="0.25">
      <c r="A4013" s="32" t="s">
        <v>4</v>
      </c>
      <c r="B4013" s="32">
        <f>+B4012+1</f>
        <v>2044</v>
      </c>
      <c r="C4013" s="33" t="s">
        <v>109</v>
      </c>
      <c r="D4013" s="34" t="s">
        <v>1999</v>
      </c>
      <c r="E4013" s="35" t="str">
        <f t="shared" ref="E4013:E4028" si="971">_xlfn.CONCAT(A4013,"'!")</f>
        <v>PRB'!</v>
      </c>
      <c r="F4013" s="34" t="str">
        <f t="shared" ref="F4013:F4028" si="972">_xlfn.CONCAT(D4013:E4013)</f>
        <v>C:\Users\jaime.benazar\Quorum Business Solutions\Ecopetrol Prometeo - Documents\Planning Space Implementation\3. Analysis &amp; Design\Design\FC22\DRR Jaime\QUIFA-CAJÚA\Cajua\[CAJUA_CF_SEC_New_27-Feb-2024Rev3.xlsx]D-PRB'!</v>
      </c>
      <c r="G4013" s="32" t="s">
        <v>114</v>
      </c>
      <c r="H4013" s="33">
        <f t="shared" ref="H4013:H4028" si="973">IF(A4013&lt;&gt;A4012,12,H4012+1)</f>
        <v>33</v>
      </c>
      <c r="I4013" s="33" t="str">
        <f t="shared" ref="I4013:I4028" si="974">_xlfn.CONCAT("='",F4013:H4013)</f>
        <v>='C:\Users\jaime.benazar\Quorum Business Solutions\Ecopetrol Prometeo - Documents\Planning Space Implementation\3. Analysis &amp; Design\Design\FC22\DRR Jaime\QUIFA-CAJÚA\Cajua\[CAJUA_CF_SEC_New_27-Feb-2024Rev3.xlsx]D-PRB'!$CB$33</v>
      </c>
      <c r="J4013" s="37" t="s">
        <v>4019</v>
      </c>
    </row>
    <row r="4014" spans="1:10" x14ac:dyDescent="0.25">
      <c r="A4014" s="32" t="s">
        <v>4</v>
      </c>
      <c r="B4014" s="32">
        <f t="shared" ref="B4014:B4028" si="975">+B4013+1</f>
        <v>2045</v>
      </c>
      <c r="C4014" s="33" t="s">
        <v>109</v>
      </c>
      <c r="D4014" s="34" t="s">
        <v>1999</v>
      </c>
      <c r="E4014" s="35" t="str">
        <f t="shared" si="971"/>
        <v>PRB'!</v>
      </c>
      <c r="F4014" s="34" t="str">
        <f t="shared" si="972"/>
        <v>C:\Users\jaime.benazar\Quorum Business Solutions\Ecopetrol Prometeo - Documents\Planning Space Implementation\3. Analysis &amp; Design\Design\FC22\DRR Jaime\QUIFA-CAJÚA\Cajua\[CAJUA_CF_SEC_New_27-Feb-2024Rev3.xlsx]D-PRB'!</v>
      </c>
      <c r="G4014" s="32" t="s">
        <v>114</v>
      </c>
      <c r="H4014" s="33">
        <f t="shared" si="973"/>
        <v>34</v>
      </c>
      <c r="I4014" s="33" t="str">
        <f t="shared" si="974"/>
        <v>='C:\Users\jaime.benazar\Quorum Business Solutions\Ecopetrol Prometeo - Documents\Planning Space Implementation\3. Analysis &amp; Design\Design\FC22\DRR Jaime\QUIFA-CAJÚA\Cajua\[CAJUA_CF_SEC_New_27-Feb-2024Rev3.xlsx]D-PRB'!$CB$34</v>
      </c>
      <c r="J4014" s="37" t="s">
        <v>4020</v>
      </c>
    </row>
    <row r="4015" spans="1:10" x14ac:dyDescent="0.25">
      <c r="A4015" s="32" t="s">
        <v>4</v>
      </c>
      <c r="B4015" s="32">
        <f t="shared" si="975"/>
        <v>2046</v>
      </c>
      <c r="C4015" s="33" t="s">
        <v>109</v>
      </c>
      <c r="D4015" s="34" t="s">
        <v>1999</v>
      </c>
      <c r="E4015" s="35" t="str">
        <f t="shared" si="971"/>
        <v>PRB'!</v>
      </c>
      <c r="F4015" s="34" t="str">
        <f t="shared" si="972"/>
        <v>C:\Users\jaime.benazar\Quorum Business Solutions\Ecopetrol Prometeo - Documents\Planning Space Implementation\3. Analysis &amp; Design\Design\FC22\DRR Jaime\QUIFA-CAJÚA\Cajua\[CAJUA_CF_SEC_New_27-Feb-2024Rev3.xlsx]D-PRB'!</v>
      </c>
      <c r="G4015" s="32" t="s">
        <v>114</v>
      </c>
      <c r="H4015" s="33">
        <f t="shared" si="973"/>
        <v>35</v>
      </c>
      <c r="I4015" s="33" t="str">
        <f t="shared" si="974"/>
        <v>='C:\Users\jaime.benazar\Quorum Business Solutions\Ecopetrol Prometeo - Documents\Planning Space Implementation\3. Analysis &amp; Design\Design\FC22\DRR Jaime\QUIFA-CAJÚA\Cajua\[CAJUA_CF_SEC_New_27-Feb-2024Rev3.xlsx]D-PRB'!$CB$35</v>
      </c>
      <c r="J4015" s="37" t="s">
        <v>4021</v>
      </c>
    </row>
    <row r="4016" spans="1:10" x14ac:dyDescent="0.25">
      <c r="A4016" s="32" t="s">
        <v>4</v>
      </c>
      <c r="B4016" s="32">
        <f t="shared" si="975"/>
        <v>2047</v>
      </c>
      <c r="C4016" s="33" t="s">
        <v>109</v>
      </c>
      <c r="D4016" s="34" t="s">
        <v>1999</v>
      </c>
      <c r="E4016" s="35" t="str">
        <f t="shared" si="971"/>
        <v>PRB'!</v>
      </c>
      <c r="F4016" s="34" t="str">
        <f t="shared" si="972"/>
        <v>C:\Users\jaime.benazar\Quorum Business Solutions\Ecopetrol Prometeo - Documents\Planning Space Implementation\3. Analysis &amp; Design\Design\FC22\DRR Jaime\QUIFA-CAJÚA\Cajua\[CAJUA_CF_SEC_New_27-Feb-2024Rev3.xlsx]D-PRB'!</v>
      </c>
      <c r="G4016" s="32" t="s">
        <v>114</v>
      </c>
      <c r="H4016" s="33">
        <f t="shared" si="973"/>
        <v>36</v>
      </c>
      <c r="I4016" s="33" t="str">
        <f t="shared" si="974"/>
        <v>='C:\Users\jaime.benazar\Quorum Business Solutions\Ecopetrol Prometeo - Documents\Planning Space Implementation\3. Analysis &amp; Design\Design\FC22\DRR Jaime\QUIFA-CAJÚA\Cajua\[CAJUA_CF_SEC_New_27-Feb-2024Rev3.xlsx]D-PRB'!$CB$36</v>
      </c>
      <c r="J4016" s="37" t="s">
        <v>4022</v>
      </c>
    </row>
    <row r="4017" spans="1:10" x14ac:dyDescent="0.25">
      <c r="A4017" s="32" t="s">
        <v>4</v>
      </c>
      <c r="B4017" s="32">
        <f t="shared" si="975"/>
        <v>2048</v>
      </c>
      <c r="C4017" s="33" t="s">
        <v>109</v>
      </c>
      <c r="D4017" s="34" t="s">
        <v>1999</v>
      </c>
      <c r="E4017" s="35" t="str">
        <f t="shared" si="971"/>
        <v>PRB'!</v>
      </c>
      <c r="F4017" s="34" t="str">
        <f t="shared" si="972"/>
        <v>C:\Users\jaime.benazar\Quorum Business Solutions\Ecopetrol Prometeo - Documents\Planning Space Implementation\3. Analysis &amp; Design\Design\FC22\DRR Jaime\QUIFA-CAJÚA\Cajua\[CAJUA_CF_SEC_New_27-Feb-2024Rev3.xlsx]D-PRB'!</v>
      </c>
      <c r="G4017" s="32" t="s">
        <v>114</v>
      </c>
      <c r="H4017" s="33">
        <f t="shared" si="973"/>
        <v>37</v>
      </c>
      <c r="I4017" s="33" t="str">
        <f t="shared" si="974"/>
        <v>='C:\Users\jaime.benazar\Quorum Business Solutions\Ecopetrol Prometeo - Documents\Planning Space Implementation\3. Analysis &amp; Design\Design\FC22\DRR Jaime\QUIFA-CAJÚA\Cajua\[CAJUA_CF_SEC_New_27-Feb-2024Rev3.xlsx]D-PRB'!$CB$37</v>
      </c>
      <c r="J4017" s="37" t="s">
        <v>4023</v>
      </c>
    </row>
    <row r="4018" spans="1:10" x14ac:dyDescent="0.25">
      <c r="A4018" s="32" t="s">
        <v>4</v>
      </c>
      <c r="B4018" s="32">
        <f t="shared" si="975"/>
        <v>2049</v>
      </c>
      <c r="C4018" s="33" t="s">
        <v>109</v>
      </c>
      <c r="D4018" s="34" t="s">
        <v>1999</v>
      </c>
      <c r="E4018" s="35" t="str">
        <f t="shared" si="971"/>
        <v>PRB'!</v>
      </c>
      <c r="F4018" s="34" t="str">
        <f t="shared" si="972"/>
        <v>C:\Users\jaime.benazar\Quorum Business Solutions\Ecopetrol Prometeo - Documents\Planning Space Implementation\3. Analysis &amp; Design\Design\FC22\DRR Jaime\QUIFA-CAJÚA\Cajua\[CAJUA_CF_SEC_New_27-Feb-2024Rev3.xlsx]D-PRB'!</v>
      </c>
      <c r="G4018" s="32" t="s">
        <v>114</v>
      </c>
      <c r="H4018" s="33">
        <f t="shared" si="973"/>
        <v>38</v>
      </c>
      <c r="I4018" s="33" t="str">
        <f t="shared" si="974"/>
        <v>='C:\Users\jaime.benazar\Quorum Business Solutions\Ecopetrol Prometeo - Documents\Planning Space Implementation\3. Analysis &amp; Design\Design\FC22\DRR Jaime\QUIFA-CAJÚA\Cajua\[CAJUA_CF_SEC_New_27-Feb-2024Rev3.xlsx]D-PRB'!$CB$38</v>
      </c>
      <c r="J4018" s="37" t="s">
        <v>4024</v>
      </c>
    </row>
    <row r="4019" spans="1:10" x14ac:dyDescent="0.25">
      <c r="A4019" s="32" t="s">
        <v>4</v>
      </c>
      <c r="B4019" s="32">
        <f t="shared" si="975"/>
        <v>2050</v>
      </c>
      <c r="C4019" s="33" t="s">
        <v>109</v>
      </c>
      <c r="D4019" s="34" t="s">
        <v>1999</v>
      </c>
      <c r="E4019" s="35" t="str">
        <f t="shared" si="971"/>
        <v>PRB'!</v>
      </c>
      <c r="F4019" s="34" t="str">
        <f t="shared" si="972"/>
        <v>C:\Users\jaime.benazar\Quorum Business Solutions\Ecopetrol Prometeo - Documents\Planning Space Implementation\3. Analysis &amp; Design\Design\FC22\DRR Jaime\QUIFA-CAJÚA\Cajua\[CAJUA_CF_SEC_New_27-Feb-2024Rev3.xlsx]D-PRB'!</v>
      </c>
      <c r="G4019" s="32" t="s">
        <v>114</v>
      </c>
      <c r="H4019" s="33">
        <f t="shared" si="973"/>
        <v>39</v>
      </c>
      <c r="I4019" s="33" t="str">
        <f t="shared" si="974"/>
        <v>='C:\Users\jaime.benazar\Quorum Business Solutions\Ecopetrol Prometeo - Documents\Planning Space Implementation\3. Analysis &amp; Design\Design\FC22\DRR Jaime\QUIFA-CAJÚA\Cajua\[CAJUA_CF_SEC_New_27-Feb-2024Rev3.xlsx]D-PRB'!$CB$39</v>
      </c>
      <c r="J4019" s="37" t="s">
        <v>4025</v>
      </c>
    </row>
    <row r="4020" spans="1:10" x14ac:dyDescent="0.25">
      <c r="A4020" s="32" t="s">
        <v>4</v>
      </c>
      <c r="B4020" s="32">
        <f t="shared" si="975"/>
        <v>2051</v>
      </c>
      <c r="C4020" s="33" t="s">
        <v>109</v>
      </c>
      <c r="D4020" s="34" t="s">
        <v>1999</v>
      </c>
      <c r="E4020" s="35" t="str">
        <f t="shared" si="971"/>
        <v>PRB'!</v>
      </c>
      <c r="F4020" s="34" t="str">
        <f t="shared" si="972"/>
        <v>C:\Users\jaime.benazar\Quorum Business Solutions\Ecopetrol Prometeo - Documents\Planning Space Implementation\3. Analysis &amp; Design\Design\FC22\DRR Jaime\QUIFA-CAJÚA\Cajua\[CAJUA_CF_SEC_New_27-Feb-2024Rev3.xlsx]D-PRB'!</v>
      </c>
      <c r="G4020" s="32" t="s">
        <v>114</v>
      </c>
      <c r="H4020" s="33">
        <f t="shared" si="973"/>
        <v>40</v>
      </c>
      <c r="I4020" s="33" t="str">
        <f t="shared" si="974"/>
        <v>='C:\Users\jaime.benazar\Quorum Business Solutions\Ecopetrol Prometeo - Documents\Planning Space Implementation\3. Analysis &amp; Design\Design\FC22\DRR Jaime\QUIFA-CAJÚA\Cajua\[CAJUA_CF_SEC_New_27-Feb-2024Rev3.xlsx]D-PRB'!$CB$40</v>
      </c>
      <c r="J4020" s="37" t="s">
        <v>4026</v>
      </c>
    </row>
    <row r="4021" spans="1:10" x14ac:dyDescent="0.25">
      <c r="A4021" s="32" t="s">
        <v>4</v>
      </c>
      <c r="B4021" s="32">
        <f t="shared" si="975"/>
        <v>2052</v>
      </c>
      <c r="C4021" s="33" t="s">
        <v>109</v>
      </c>
      <c r="D4021" s="34" t="s">
        <v>1999</v>
      </c>
      <c r="E4021" s="35" t="str">
        <f t="shared" si="971"/>
        <v>PRB'!</v>
      </c>
      <c r="F4021" s="34" t="str">
        <f t="shared" si="972"/>
        <v>C:\Users\jaime.benazar\Quorum Business Solutions\Ecopetrol Prometeo - Documents\Planning Space Implementation\3. Analysis &amp; Design\Design\FC22\DRR Jaime\QUIFA-CAJÚA\Cajua\[CAJUA_CF_SEC_New_27-Feb-2024Rev3.xlsx]D-PRB'!</v>
      </c>
      <c r="G4021" s="32" t="s">
        <v>114</v>
      </c>
      <c r="H4021" s="33">
        <f t="shared" si="973"/>
        <v>41</v>
      </c>
      <c r="I4021" s="33" t="str">
        <f t="shared" si="974"/>
        <v>='C:\Users\jaime.benazar\Quorum Business Solutions\Ecopetrol Prometeo - Documents\Planning Space Implementation\3. Analysis &amp; Design\Design\FC22\DRR Jaime\QUIFA-CAJÚA\Cajua\[CAJUA_CF_SEC_New_27-Feb-2024Rev3.xlsx]D-PRB'!$CB$41</v>
      </c>
      <c r="J4021" s="37" t="s">
        <v>4027</v>
      </c>
    </row>
    <row r="4022" spans="1:10" x14ac:dyDescent="0.25">
      <c r="A4022" s="32" t="s">
        <v>4</v>
      </c>
      <c r="B4022" s="32">
        <f t="shared" si="975"/>
        <v>2053</v>
      </c>
      <c r="C4022" s="33" t="s">
        <v>109</v>
      </c>
      <c r="D4022" s="34" t="s">
        <v>1999</v>
      </c>
      <c r="E4022" s="35" t="str">
        <f t="shared" si="971"/>
        <v>PRB'!</v>
      </c>
      <c r="F4022" s="34" t="str">
        <f t="shared" si="972"/>
        <v>C:\Users\jaime.benazar\Quorum Business Solutions\Ecopetrol Prometeo - Documents\Planning Space Implementation\3. Analysis &amp; Design\Design\FC22\DRR Jaime\QUIFA-CAJÚA\Cajua\[CAJUA_CF_SEC_New_27-Feb-2024Rev3.xlsx]D-PRB'!</v>
      </c>
      <c r="G4022" s="32" t="s">
        <v>114</v>
      </c>
      <c r="H4022" s="33">
        <f t="shared" si="973"/>
        <v>42</v>
      </c>
      <c r="I4022" s="33" t="str">
        <f t="shared" si="974"/>
        <v>='C:\Users\jaime.benazar\Quorum Business Solutions\Ecopetrol Prometeo - Documents\Planning Space Implementation\3. Analysis &amp; Design\Design\FC22\DRR Jaime\QUIFA-CAJÚA\Cajua\[CAJUA_CF_SEC_New_27-Feb-2024Rev3.xlsx]D-PRB'!$CB$42</v>
      </c>
      <c r="J4022" s="37" t="s">
        <v>4028</v>
      </c>
    </row>
    <row r="4023" spans="1:10" x14ac:dyDescent="0.25">
      <c r="A4023" s="32" t="s">
        <v>4</v>
      </c>
      <c r="B4023" s="32">
        <f t="shared" si="975"/>
        <v>2054</v>
      </c>
      <c r="C4023" s="33" t="s">
        <v>109</v>
      </c>
      <c r="D4023" s="34" t="s">
        <v>1999</v>
      </c>
      <c r="E4023" s="35" t="str">
        <f t="shared" si="971"/>
        <v>PRB'!</v>
      </c>
      <c r="F4023" s="34" t="str">
        <f t="shared" si="972"/>
        <v>C:\Users\jaime.benazar\Quorum Business Solutions\Ecopetrol Prometeo - Documents\Planning Space Implementation\3. Analysis &amp; Design\Design\FC22\DRR Jaime\QUIFA-CAJÚA\Cajua\[CAJUA_CF_SEC_New_27-Feb-2024Rev3.xlsx]D-PRB'!</v>
      </c>
      <c r="G4023" s="32" t="s">
        <v>114</v>
      </c>
      <c r="H4023" s="33">
        <f t="shared" si="973"/>
        <v>43</v>
      </c>
      <c r="I4023" s="33" t="str">
        <f t="shared" si="974"/>
        <v>='C:\Users\jaime.benazar\Quorum Business Solutions\Ecopetrol Prometeo - Documents\Planning Space Implementation\3. Analysis &amp; Design\Design\FC22\DRR Jaime\QUIFA-CAJÚA\Cajua\[CAJUA_CF_SEC_New_27-Feb-2024Rev3.xlsx]D-PRB'!$CB$43</v>
      </c>
      <c r="J4023" s="37" t="s">
        <v>4029</v>
      </c>
    </row>
    <row r="4024" spans="1:10" x14ac:dyDescent="0.25">
      <c r="A4024" s="32" t="s">
        <v>4</v>
      </c>
      <c r="B4024" s="32">
        <f t="shared" si="975"/>
        <v>2055</v>
      </c>
      <c r="C4024" s="33" t="s">
        <v>109</v>
      </c>
      <c r="D4024" s="34" t="s">
        <v>1999</v>
      </c>
      <c r="E4024" s="35" t="str">
        <f t="shared" si="971"/>
        <v>PRB'!</v>
      </c>
      <c r="F4024" s="34" t="str">
        <f t="shared" si="972"/>
        <v>C:\Users\jaime.benazar\Quorum Business Solutions\Ecopetrol Prometeo - Documents\Planning Space Implementation\3. Analysis &amp; Design\Design\FC22\DRR Jaime\QUIFA-CAJÚA\Cajua\[CAJUA_CF_SEC_New_27-Feb-2024Rev3.xlsx]D-PRB'!</v>
      </c>
      <c r="G4024" s="32" t="s">
        <v>114</v>
      </c>
      <c r="H4024" s="33">
        <f t="shared" si="973"/>
        <v>44</v>
      </c>
      <c r="I4024" s="33" t="str">
        <f t="shared" si="974"/>
        <v>='C:\Users\jaime.benazar\Quorum Business Solutions\Ecopetrol Prometeo - Documents\Planning Space Implementation\3. Analysis &amp; Design\Design\FC22\DRR Jaime\QUIFA-CAJÚA\Cajua\[CAJUA_CF_SEC_New_27-Feb-2024Rev3.xlsx]D-PRB'!$CB$44</v>
      </c>
      <c r="J4024" s="37" t="s">
        <v>4030</v>
      </c>
    </row>
    <row r="4025" spans="1:10" x14ac:dyDescent="0.25">
      <c r="A4025" s="32" t="s">
        <v>4</v>
      </c>
      <c r="B4025" s="32">
        <f t="shared" si="975"/>
        <v>2056</v>
      </c>
      <c r="C4025" s="33" t="s">
        <v>109</v>
      </c>
      <c r="D4025" s="34" t="s">
        <v>1999</v>
      </c>
      <c r="E4025" s="35" t="str">
        <f t="shared" si="971"/>
        <v>PRB'!</v>
      </c>
      <c r="F4025" s="34" t="str">
        <f t="shared" si="972"/>
        <v>C:\Users\jaime.benazar\Quorum Business Solutions\Ecopetrol Prometeo - Documents\Planning Space Implementation\3. Analysis &amp; Design\Design\FC22\DRR Jaime\QUIFA-CAJÚA\Cajua\[CAJUA_CF_SEC_New_27-Feb-2024Rev3.xlsx]D-PRB'!</v>
      </c>
      <c r="G4025" s="32" t="s">
        <v>114</v>
      </c>
      <c r="H4025" s="33">
        <f t="shared" si="973"/>
        <v>45</v>
      </c>
      <c r="I4025" s="33" t="str">
        <f t="shared" si="974"/>
        <v>='C:\Users\jaime.benazar\Quorum Business Solutions\Ecopetrol Prometeo - Documents\Planning Space Implementation\3. Analysis &amp; Design\Design\FC22\DRR Jaime\QUIFA-CAJÚA\Cajua\[CAJUA_CF_SEC_New_27-Feb-2024Rev3.xlsx]D-PRB'!$CB$45</v>
      </c>
      <c r="J4025" s="37" t="s">
        <v>4031</v>
      </c>
    </row>
    <row r="4026" spans="1:10" x14ac:dyDescent="0.25">
      <c r="A4026" s="32" t="s">
        <v>4</v>
      </c>
      <c r="B4026" s="32">
        <f t="shared" si="975"/>
        <v>2057</v>
      </c>
      <c r="C4026" s="33" t="s">
        <v>109</v>
      </c>
      <c r="D4026" s="34" t="s">
        <v>1999</v>
      </c>
      <c r="E4026" s="35" t="str">
        <f t="shared" si="971"/>
        <v>PRB'!</v>
      </c>
      <c r="F4026" s="34" t="str">
        <f t="shared" si="972"/>
        <v>C:\Users\jaime.benazar\Quorum Business Solutions\Ecopetrol Prometeo - Documents\Planning Space Implementation\3. Analysis &amp; Design\Design\FC22\DRR Jaime\QUIFA-CAJÚA\Cajua\[CAJUA_CF_SEC_New_27-Feb-2024Rev3.xlsx]D-PRB'!</v>
      </c>
      <c r="G4026" s="32" t="s">
        <v>114</v>
      </c>
      <c r="H4026" s="33">
        <f t="shared" si="973"/>
        <v>46</v>
      </c>
      <c r="I4026" s="33" t="str">
        <f t="shared" si="974"/>
        <v>='C:\Users\jaime.benazar\Quorum Business Solutions\Ecopetrol Prometeo - Documents\Planning Space Implementation\3. Analysis &amp; Design\Design\FC22\DRR Jaime\QUIFA-CAJÚA\Cajua\[CAJUA_CF_SEC_New_27-Feb-2024Rev3.xlsx]D-PRB'!$CB$46</v>
      </c>
      <c r="J4026" s="37" t="s">
        <v>4032</v>
      </c>
    </row>
    <row r="4027" spans="1:10" x14ac:dyDescent="0.25">
      <c r="A4027" s="32" t="s">
        <v>4</v>
      </c>
      <c r="B4027" s="32">
        <f t="shared" si="975"/>
        <v>2058</v>
      </c>
      <c r="C4027" s="33" t="s">
        <v>109</v>
      </c>
      <c r="D4027" s="34" t="s">
        <v>1999</v>
      </c>
      <c r="E4027" s="35" t="str">
        <f t="shared" si="971"/>
        <v>PRB'!</v>
      </c>
      <c r="F4027" s="34" t="str">
        <f t="shared" si="972"/>
        <v>C:\Users\jaime.benazar\Quorum Business Solutions\Ecopetrol Prometeo - Documents\Planning Space Implementation\3. Analysis &amp; Design\Design\FC22\DRR Jaime\QUIFA-CAJÚA\Cajua\[CAJUA_CF_SEC_New_27-Feb-2024Rev3.xlsx]D-PRB'!</v>
      </c>
      <c r="G4027" s="32" t="s">
        <v>114</v>
      </c>
      <c r="H4027" s="33">
        <f t="shared" si="973"/>
        <v>47</v>
      </c>
      <c r="I4027" s="33" t="str">
        <f t="shared" si="974"/>
        <v>='C:\Users\jaime.benazar\Quorum Business Solutions\Ecopetrol Prometeo - Documents\Planning Space Implementation\3. Analysis &amp; Design\Design\FC22\DRR Jaime\QUIFA-CAJÚA\Cajua\[CAJUA_CF_SEC_New_27-Feb-2024Rev3.xlsx]D-PRB'!$CB$47</v>
      </c>
      <c r="J4027" s="37" t="s">
        <v>4033</v>
      </c>
    </row>
    <row r="4028" spans="1:10" x14ac:dyDescent="0.25">
      <c r="A4028" s="32" t="s">
        <v>4</v>
      </c>
      <c r="B4028" s="32">
        <f t="shared" si="975"/>
        <v>2059</v>
      </c>
      <c r="C4028" s="33" t="s">
        <v>109</v>
      </c>
      <c r="D4028" s="34" t="s">
        <v>1999</v>
      </c>
      <c r="E4028" s="35" t="str">
        <f t="shared" si="971"/>
        <v>PRB'!</v>
      </c>
      <c r="F4028" s="34" t="str">
        <f t="shared" si="972"/>
        <v>C:\Users\jaime.benazar\Quorum Business Solutions\Ecopetrol Prometeo - Documents\Planning Space Implementation\3. Analysis &amp; Design\Design\FC22\DRR Jaime\QUIFA-CAJÚA\Cajua\[CAJUA_CF_SEC_New_27-Feb-2024Rev3.xlsx]D-PRB'!</v>
      </c>
      <c r="G4028" s="32" t="s">
        <v>114</v>
      </c>
      <c r="H4028" s="33">
        <f t="shared" si="973"/>
        <v>48</v>
      </c>
      <c r="I4028" s="33" t="str">
        <f t="shared" si="974"/>
        <v>='C:\Users\jaime.benazar\Quorum Business Solutions\Ecopetrol Prometeo - Documents\Planning Space Implementation\3. Analysis &amp; Design\Design\FC22\DRR Jaime\QUIFA-CAJÚA\Cajua\[CAJUA_CF_SEC_New_27-Feb-2024Rev3.xlsx]D-PRB'!$CB$48</v>
      </c>
      <c r="J4028" s="37" t="s">
        <v>4034</v>
      </c>
    </row>
    <row r="4029" spans="1:10" x14ac:dyDescent="0.25">
      <c r="A4029" s="32" t="s">
        <v>28</v>
      </c>
      <c r="B4029" s="32"/>
      <c r="C4029" s="33" t="s">
        <v>109</v>
      </c>
      <c r="D4029" s="34"/>
      <c r="E4029" s="35"/>
      <c r="F4029" s="34"/>
      <c r="G4029" s="32"/>
      <c r="H4029" s="33"/>
      <c r="I4029" s="33"/>
      <c r="J4029" s="33"/>
    </row>
    <row r="4030" spans="1:10" x14ac:dyDescent="0.25">
      <c r="A4030" s="32" t="s">
        <v>102</v>
      </c>
      <c r="B4030" s="32">
        <v>2023</v>
      </c>
      <c r="C4030" s="33" t="s">
        <v>109</v>
      </c>
      <c r="D4030" s="34" t="s">
        <v>1999</v>
      </c>
      <c r="E4030" s="35" t="str">
        <f t="shared" ref="E4030:E4050" si="976">_xlfn.CONCAT(A4030,"'!")</f>
        <v>PSDP'!</v>
      </c>
      <c r="F4030" s="34" t="str">
        <f t="shared" ref="F4030:F4050" si="977">_xlfn.CONCAT(D4030:E4030)</f>
        <v>C:\Users\jaime.benazar\Quorum Business Solutions\Ecopetrol Prometeo - Documents\Planning Space Implementation\3. Analysis &amp; Design\Design\FC22\DRR Jaime\QUIFA-CAJÚA\Cajua\[CAJUA_CF_SEC_New_27-Feb-2024Rev3.xlsx]D-PSDP'!</v>
      </c>
      <c r="G4030" s="32" t="s">
        <v>114</v>
      </c>
      <c r="H4030" s="33"/>
      <c r="I4030" s="33"/>
      <c r="J4030" s="37"/>
    </row>
    <row r="4031" spans="1:10" x14ac:dyDescent="0.25">
      <c r="A4031" s="32" t="s">
        <v>102</v>
      </c>
      <c r="B4031" s="32">
        <f>+B4030+1</f>
        <v>2024</v>
      </c>
      <c r="C4031" s="33" t="s">
        <v>109</v>
      </c>
      <c r="D4031" s="34" t="s">
        <v>1999</v>
      </c>
      <c r="E4031" s="35" t="str">
        <f t="shared" si="976"/>
        <v>PSDP'!</v>
      </c>
      <c r="F4031" s="34" t="str">
        <f t="shared" si="977"/>
        <v>C:\Users\jaime.benazar\Quorum Business Solutions\Ecopetrol Prometeo - Documents\Planning Space Implementation\3. Analysis &amp; Design\Design\FC22\DRR Jaime\QUIFA-CAJÚA\Cajua\[CAJUA_CF_SEC_New_27-Feb-2024Rev3.xlsx]D-PSDP'!</v>
      </c>
      <c r="G4031" s="32" t="s">
        <v>114</v>
      </c>
      <c r="H4031" s="33"/>
      <c r="I4031" s="33"/>
      <c r="J4031" s="37"/>
    </row>
    <row r="4032" spans="1:10" x14ac:dyDescent="0.25">
      <c r="A4032" s="32" t="s">
        <v>102</v>
      </c>
      <c r="B4032" s="32">
        <f t="shared" ref="B4032:B4043" si="978">+B4031+1</f>
        <v>2025</v>
      </c>
      <c r="C4032" s="33" t="s">
        <v>109</v>
      </c>
      <c r="D4032" s="34" t="s">
        <v>1999</v>
      </c>
      <c r="E4032" s="35" t="str">
        <f t="shared" si="976"/>
        <v>PSDP'!</v>
      </c>
      <c r="F4032" s="34" t="str">
        <f t="shared" si="977"/>
        <v>C:\Users\jaime.benazar\Quorum Business Solutions\Ecopetrol Prometeo - Documents\Planning Space Implementation\3. Analysis &amp; Design\Design\FC22\DRR Jaime\QUIFA-CAJÚA\Cajua\[CAJUA_CF_SEC_New_27-Feb-2024Rev3.xlsx]D-PSDP'!</v>
      </c>
      <c r="G4032" s="32" t="s">
        <v>114</v>
      </c>
      <c r="H4032" s="33"/>
      <c r="I4032" s="33"/>
      <c r="J4032" s="37"/>
    </row>
    <row r="4033" spans="1:10" x14ac:dyDescent="0.25">
      <c r="A4033" s="32" t="s">
        <v>102</v>
      </c>
      <c r="B4033" s="32">
        <f t="shared" si="978"/>
        <v>2026</v>
      </c>
      <c r="C4033" s="33" t="s">
        <v>109</v>
      </c>
      <c r="D4033" s="34" t="s">
        <v>1999</v>
      </c>
      <c r="E4033" s="35" t="str">
        <f t="shared" si="976"/>
        <v>PSDP'!</v>
      </c>
      <c r="F4033" s="34" t="str">
        <f t="shared" si="977"/>
        <v>C:\Users\jaime.benazar\Quorum Business Solutions\Ecopetrol Prometeo - Documents\Planning Space Implementation\3. Analysis &amp; Design\Design\FC22\DRR Jaime\QUIFA-CAJÚA\Cajua\[CAJUA_CF_SEC_New_27-Feb-2024Rev3.xlsx]D-PSDP'!</v>
      </c>
      <c r="G4033" s="32" t="s">
        <v>114</v>
      </c>
      <c r="H4033" s="33"/>
      <c r="I4033" s="33"/>
      <c r="J4033" s="37"/>
    </row>
    <row r="4034" spans="1:10" x14ac:dyDescent="0.25">
      <c r="A4034" s="32" t="s">
        <v>102</v>
      </c>
      <c r="B4034" s="32">
        <f t="shared" si="978"/>
        <v>2027</v>
      </c>
      <c r="C4034" s="33" t="s">
        <v>109</v>
      </c>
      <c r="D4034" s="34" t="s">
        <v>1999</v>
      </c>
      <c r="E4034" s="35" t="str">
        <f t="shared" si="976"/>
        <v>PSDP'!</v>
      </c>
      <c r="F4034" s="34" t="str">
        <f t="shared" si="977"/>
        <v>C:\Users\jaime.benazar\Quorum Business Solutions\Ecopetrol Prometeo - Documents\Planning Space Implementation\3. Analysis &amp; Design\Design\FC22\DRR Jaime\QUIFA-CAJÚA\Cajua\[CAJUA_CF_SEC_New_27-Feb-2024Rev3.xlsx]D-PSDP'!</v>
      </c>
      <c r="G4034" s="32" t="s">
        <v>114</v>
      </c>
      <c r="H4034" s="33"/>
      <c r="I4034" s="33"/>
      <c r="J4034" s="37"/>
    </row>
    <row r="4035" spans="1:10" x14ac:dyDescent="0.25">
      <c r="A4035" s="32" t="s">
        <v>102</v>
      </c>
      <c r="B4035" s="32">
        <f t="shared" si="978"/>
        <v>2028</v>
      </c>
      <c r="C4035" s="33" t="s">
        <v>109</v>
      </c>
      <c r="D4035" s="34" t="s">
        <v>1999</v>
      </c>
      <c r="E4035" s="35" t="str">
        <f t="shared" si="976"/>
        <v>PSDP'!</v>
      </c>
      <c r="F4035" s="34" t="str">
        <f t="shared" si="977"/>
        <v>C:\Users\jaime.benazar\Quorum Business Solutions\Ecopetrol Prometeo - Documents\Planning Space Implementation\3. Analysis &amp; Design\Design\FC22\DRR Jaime\QUIFA-CAJÚA\Cajua\[CAJUA_CF_SEC_New_27-Feb-2024Rev3.xlsx]D-PSDP'!</v>
      </c>
      <c r="G4035" s="32" t="s">
        <v>114</v>
      </c>
      <c r="H4035" s="33"/>
      <c r="I4035" s="33"/>
      <c r="J4035" s="37"/>
    </row>
    <row r="4036" spans="1:10" x14ac:dyDescent="0.25">
      <c r="A4036" s="32" t="s">
        <v>102</v>
      </c>
      <c r="B4036" s="32">
        <f t="shared" si="978"/>
        <v>2029</v>
      </c>
      <c r="C4036" s="33" t="s">
        <v>109</v>
      </c>
      <c r="D4036" s="34" t="s">
        <v>1999</v>
      </c>
      <c r="E4036" s="35" t="str">
        <f t="shared" si="976"/>
        <v>PSDP'!</v>
      </c>
      <c r="F4036" s="34" t="str">
        <f t="shared" si="977"/>
        <v>C:\Users\jaime.benazar\Quorum Business Solutions\Ecopetrol Prometeo - Documents\Planning Space Implementation\3. Analysis &amp; Design\Design\FC22\DRR Jaime\QUIFA-CAJÚA\Cajua\[CAJUA_CF_SEC_New_27-Feb-2024Rev3.xlsx]D-PSDP'!</v>
      </c>
      <c r="G4036" s="32" t="s">
        <v>114</v>
      </c>
      <c r="H4036" s="33"/>
      <c r="I4036" s="33"/>
      <c r="J4036" s="37"/>
    </row>
    <row r="4037" spans="1:10" x14ac:dyDescent="0.25">
      <c r="A4037" s="32" t="s">
        <v>102</v>
      </c>
      <c r="B4037" s="32">
        <f t="shared" si="978"/>
        <v>2030</v>
      </c>
      <c r="C4037" s="33" t="s">
        <v>109</v>
      </c>
      <c r="D4037" s="34" t="s">
        <v>1999</v>
      </c>
      <c r="E4037" s="35" t="str">
        <f t="shared" si="976"/>
        <v>PSDP'!</v>
      </c>
      <c r="F4037" s="34" t="str">
        <f t="shared" si="977"/>
        <v>C:\Users\jaime.benazar\Quorum Business Solutions\Ecopetrol Prometeo - Documents\Planning Space Implementation\3. Analysis &amp; Design\Design\FC22\DRR Jaime\QUIFA-CAJÚA\Cajua\[CAJUA_CF_SEC_New_27-Feb-2024Rev3.xlsx]D-PSDP'!</v>
      </c>
      <c r="G4037" s="32" t="s">
        <v>114</v>
      </c>
      <c r="H4037" s="33"/>
      <c r="I4037" s="33"/>
      <c r="J4037" s="37"/>
    </row>
    <row r="4038" spans="1:10" x14ac:dyDescent="0.25">
      <c r="A4038" s="32" t="s">
        <v>102</v>
      </c>
      <c r="B4038" s="32">
        <f t="shared" si="978"/>
        <v>2031</v>
      </c>
      <c r="C4038" s="33" t="s">
        <v>109</v>
      </c>
      <c r="D4038" s="34" t="s">
        <v>1999</v>
      </c>
      <c r="E4038" s="35" t="str">
        <f t="shared" si="976"/>
        <v>PSDP'!</v>
      </c>
      <c r="F4038" s="34" t="str">
        <f t="shared" si="977"/>
        <v>C:\Users\jaime.benazar\Quorum Business Solutions\Ecopetrol Prometeo - Documents\Planning Space Implementation\3. Analysis &amp; Design\Design\FC22\DRR Jaime\QUIFA-CAJÚA\Cajua\[CAJUA_CF_SEC_New_27-Feb-2024Rev3.xlsx]D-PSDP'!</v>
      </c>
      <c r="G4038" s="32" t="s">
        <v>114</v>
      </c>
      <c r="H4038" s="33"/>
      <c r="I4038" s="33"/>
      <c r="J4038" s="37"/>
    </row>
    <row r="4039" spans="1:10" x14ac:dyDescent="0.25">
      <c r="A4039" s="32" t="s">
        <v>102</v>
      </c>
      <c r="B4039" s="32">
        <f t="shared" si="978"/>
        <v>2032</v>
      </c>
      <c r="C4039" s="33" t="s">
        <v>109</v>
      </c>
      <c r="D4039" s="34" t="s">
        <v>1999</v>
      </c>
      <c r="E4039" s="35" t="str">
        <f t="shared" si="976"/>
        <v>PSDP'!</v>
      </c>
      <c r="F4039" s="34" t="str">
        <f t="shared" si="977"/>
        <v>C:\Users\jaime.benazar\Quorum Business Solutions\Ecopetrol Prometeo - Documents\Planning Space Implementation\3. Analysis &amp; Design\Design\FC22\DRR Jaime\QUIFA-CAJÚA\Cajua\[CAJUA_CF_SEC_New_27-Feb-2024Rev3.xlsx]D-PSDP'!</v>
      </c>
      <c r="G4039" s="32" t="s">
        <v>114</v>
      </c>
      <c r="H4039" s="33"/>
      <c r="I4039" s="33"/>
      <c r="J4039" s="37"/>
    </row>
    <row r="4040" spans="1:10" x14ac:dyDescent="0.25">
      <c r="A4040" s="32" t="s">
        <v>102</v>
      </c>
      <c r="B4040" s="32">
        <f t="shared" si="978"/>
        <v>2033</v>
      </c>
      <c r="C4040" s="33" t="s">
        <v>109</v>
      </c>
      <c r="D4040" s="34" t="s">
        <v>1999</v>
      </c>
      <c r="E4040" s="35" t="str">
        <f t="shared" si="976"/>
        <v>PSDP'!</v>
      </c>
      <c r="F4040" s="34" t="str">
        <f t="shared" si="977"/>
        <v>C:\Users\jaime.benazar\Quorum Business Solutions\Ecopetrol Prometeo - Documents\Planning Space Implementation\3. Analysis &amp; Design\Design\FC22\DRR Jaime\QUIFA-CAJÚA\Cajua\[CAJUA_CF_SEC_New_27-Feb-2024Rev3.xlsx]D-PSDP'!</v>
      </c>
      <c r="G4040" s="32" t="s">
        <v>114</v>
      </c>
      <c r="H4040" s="33"/>
      <c r="I4040" s="33"/>
      <c r="J4040" s="37"/>
    </row>
    <row r="4041" spans="1:10" x14ac:dyDescent="0.25">
      <c r="A4041" s="32" t="s">
        <v>102</v>
      </c>
      <c r="B4041" s="32">
        <f t="shared" si="978"/>
        <v>2034</v>
      </c>
      <c r="C4041" s="33" t="s">
        <v>109</v>
      </c>
      <c r="D4041" s="34" t="s">
        <v>1999</v>
      </c>
      <c r="E4041" s="35" t="str">
        <f t="shared" si="976"/>
        <v>PSDP'!</v>
      </c>
      <c r="F4041" s="34" t="str">
        <f t="shared" si="977"/>
        <v>C:\Users\jaime.benazar\Quorum Business Solutions\Ecopetrol Prometeo - Documents\Planning Space Implementation\3. Analysis &amp; Design\Design\FC22\DRR Jaime\QUIFA-CAJÚA\Cajua\[CAJUA_CF_SEC_New_27-Feb-2024Rev3.xlsx]D-PSDP'!</v>
      </c>
      <c r="G4041" s="32" t="s">
        <v>114</v>
      </c>
      <c r="H4041" s="33"/>
      <c r="I4041" s="33"/>
      <c r="J4041" s="37"/>
    </row>
    <row r="4042" spans="1:10" x14ac:dyDescent="0.25">
      <c r="A4042" s="32" t="s">
        <v>102</v>
      </c>
      <c r="B4042" s="32">
        <f t="shared" si="978"/>
        <v>2035</v>
      </c>
      <c r="C4042" s="33" t="s">
        <v>109</v>
      </c>
      <c r="D4042" s="34" t="s">
        <v>1999</v>
      </c>
      <c r="E4042" s="35" t="str">
        <f t="shared" si="976"/>
        <v>PSDP'!</v>
      </c>
      <c r="F4042" s="34" t="str">
        <f t="shared" si="977"/>
        <v>C:\Users\jaime.benazar\Quorum Business Solutions\Ecopetrol Prometeo - Documents\Planning Space Implementation\3. Analysis &amp; Design\Design\FC22\DRR Jaime\QUIFA-CAJÚA\Cajua\[CAJUA_CF_SEC_New_27-Feb-2024Rev3.xlsx]D-PSDP'!</v>
      </c>
      <c r="G4042" s="32" t="s">
        <v>114</v>
      </c>
      <c r="H4042" s="33"/>
      <c r="I4042" s="33"/>
      <c r="J4042" s="37"/>
    </row>
    <row r="4043" spans="1:10" x14ac:dyDescent="0.25">
      <c r="A4043" s="32" t="s">
        <v>102</v>
      </c>
      <c r="B4043" s="32">
        <f t="shared" si="978"/>
        <v>2036</v>
      </c>
      <c r="C4043" s="33" t="s">
        <v>109</v>
      </c>
      <c r="D4043" s="34" t="s">
        <v>1999</v>
      </c>
      <c r="E4043" s="35" t="str">
        <f t="shared" si="976"/>
        <v>PSDP'!</v>
      </c>
      <c r="F4043" s="34" t="str">
        <f t="shared" si="977"/>
        <v>C:\Users\jaime.benazar\Quorum Business Solutions\Ecopetrol Prometeo - Documents\Planning Space Implementation\3. Analysis &amp; Design\Design\FC22\DRR Jaime\QUIFA-CAJÚA\Cajua\[CAJUA_CF_SEC_New_27-Feb-2024Rev3.xlsx]D-PSDP'!</v>
      </c>
      <c r="G4043" s="32" t="s">
        <v>114</v>
      </c>
      <c r="H4043" s="33"/>
      <c r="I4043" s="33"/>
      <c r="J4043" s="37"/>
    </row>
    <row r="4044" spans="1:10" x14ac:dyDescent="0.25">
      <c r="A4044" s="32" t="s">
        <v>102</v>
      </c>
      <c r="B4044" s="32">
        <f>+B4043+1</f>
        <v>2037</v>
      </c>
      <c r="C4044" s="33" t="s">
        <v>109</v>
      </c>
      <c r="D4044" s="34" t="s">
        <v>1999</v>
      </c>
      <c r="E4044" s="35" t="str">
        <f t="shared" si="976"/>
        <v>PSDP'!</v>
      </c>
      <c r="F4044" s="34" t="str">
        <f t="shared" si="977"/>
        <v>C:\Users\jaime.benazar\Quorum Business Solutions\Ecopetrol Prometeo - Documents\Planning Space Implementation\3. Analysis &amp; Design\Design\FC22\DRR Jaime\QUIFA-CAJÚA\Cajua\[CAJUA_CF_SEC_New_27-Feb-2024Rev3.xlsx]D-PSDP'!</v>
      </c>
      <c r="G4044" s="32" t="s">
        <v>114</v>
      </c>
      <c r="H4044" s="33"/>
      <c r="I4044" s="33"/>
      <c r="J4044" s="37"/>
    </row>
    <row r="4045" spans="1:10" x14ac:dyDescent="0.25">
      <c r="A4045" s="32" t="s">
        <v>102</v>
      </c>
      <c r="B4045" s="32">
        <f t="shared" ref="B4045:B4047" si="979">+B4044+1</f>
        <v>2038</v>
      </c>
      <c r="C4045" s="33" t="s">
        <v>109</v>
      </c>
      <c r="D4045" s="34" t="s">
        <v>1999</v>
      </c>
      <c r="E4045" s="35" t="str">
        <f t="shared" si="976"/>
        <v>PSDP'!</v>
      </c>
      <c r="F4045" s="34" t="str">
        <f t="shared" si="977"/>
        <v>C:\Users\jaime.benazar\Quorum Business Solutions\Ecopetrol Prometeo - Documents\Planning Space Implementation\3. Analysis &amp; Design\Design\FC22\DRR Jaime\QUIFA-CAJÚA\Cajua\[CAJUA_CF_SEC_New_27-Feb-2024Rev3.xlsx]D-PSDP'!</v>
      </c>
      <c r="G4045" s="32" t="s">
        <v>114</v>
      </c>
      <c r="H4045" s="33"/>
      <c r="I4045" s="33"/>
      <c r="J4045" s="37"/>
    </row>
    <row r="4046" spans="1:10" x14ac:dyDescent="0.25">
      <c r="A4046" s="32" t="s">
        <v>102</v>
      </c>
      <c r="B4046" s="32">
        <f t="shared" si="979"/>
        <v>2039</v>
      </c>
      <c r="C4046" s="33" t="s">
        <v>109</v>
      </c>
      <c r="D4046" s="34" t="s">
        <v>1999</v>
      </c>
      <c r="E4046" s="35" t="str">
        <f t="shared" si="976"/>
        <v>PSDP'!</v>
      </c>
      <c r="F4046" s="34" t="str">
        <f t="shared" si="977"/>
        <v>C:\Users\jaime.benazar\Quorum Business Solutions\Ecopetrol Prometeo - Documents\Planning Space Implementation\3. Analysis &amp; Design\Design\FC22\DRR Jaime\QUIFA-CAJÚA\Cajua\[CAJUA_CF_SEC_New_27-Feb-2024Rev3.xlsx]D-PSDP'!</v>
      </c>
      <c r="G4046" s="32" t="s">
        <v>114</v>
      </c>
      <c r="H4046" s="33"/>
      <c r="I4046" s="33"/>
      <c r="J4046" s="37"/>
    </row>
    <row r="4047" spans="1:10" x14ac:dyDescent="0.25">
      <c r="A4047" s="32" t="s">
        <v>102</v>
      </c>
      <c r="B4047" s="32">
        <f t="shared" si="979"/>
        <v>2040</v>
      </c>
      <c r="C4047" s="33" t="s">
        <v>109</v>
      </c>
      <c r="D4047" s="34" t="s">
        <v>1999</v>
      </c>
      <c r="E4047" s="35" t="str">
        <f t="shared" si="976"/>
        <v>PSDP'!</v>
      </c>
      <c r="F4047" s="34" t="str">
        <f t="shared" si="977"/>
        <v>C:\Users\jaime.benazar\Quorum Business Solutions\Ecopetrol Prometeo - Documents\Planning Space Implementation\3. Analysis &amp; Design\Design\FC22\DRR Jaime\QUIFA-CAJÚA\Cajua\[CAJUA_CF_SEC_New_27-Feb-2024Rev3.xlsx]D-PSDP'!</v>
      </c>
      <c r="G4047" s="32" t="s">
        <v>114</v>
      </c>
      <c r="H4047" s="33"/>
      <c r="I4047" s="33"/>
      <c r="J4047" s="37"/>
    </row>
    <row r="4048" spans="1:10" x14ac:dyDescent="0.25">
      <c r="A4048" s="32" t="s">
        <v>102</v>
      </c>
      <c r="B4048" s="32">
        <f>+B4047+1</f>
        <v>2041</v>
      </c>
      <c r="C4048" s="33" t="s">
        <v>109</v>
      </c>
      <c r="D4048" s="34" t="s">
        <v>1999</v>
      </c>
      <c r="E4048" s="35" t="str">
        <f t="shared" si="976"/>
        <v>PSDP'!</v>
      </c>
      <c r="F4048" s="34" t="str">
        <f t="shared" si="977"/>
        <v>C:\Users\jaime.benazar\Quorum Business Solutions\Ecopetrol Prometeo - Documents\Planning Space Implementation\3. Analysis &amp; Design\Design\FC22\DRR Jaime\QUIFA-CAJÚA\Cajua\[CAJUA_CF_SEC_New_27-Feb-2024Rev3.xlsx]D-PSDP'!</v>
      </c>
      <c r="G4048" s="32" t="s">
        <v>114</v>
      </c>
      <c r="H4048" s="33"/>
      <c r="I4048" s="33"/>
      <c r="J4048" s="37"/>
    </row>
    <row r="4049" spans="1:10" x14ac:dyDescent="0.25">
      <c r="A4049" s="32" t="s">
        <v>102</v>
      </c>
      <c r="B4049" s="32">
        <f t="shared" ref="B4049:B4050" si="980">+B4048+1</f>
        <v>2042</v>
      </c>
      <c r="C4049" s="33" t="s">
        <v>109</v>
      </c>
      <c r="D4049" s="34" t="s">
        <v>1999</v>
      </c>
      <c r="E4049" s="35" t="str">
        <f t="shared" si="976"/>
        <v>PSDP'!</v>
      </c>
      <c r="F4049" s="34" t="str">
        <f t="shared" si="977"/>
        <v>C:\Users\jaime.benazar\Quorum Business Solutions\Ecopetrol Prometeo - Documents\Planning Space Implementation\3. Analysis &amp; Design\Design\FC22\DRR Jaime\QUIFA-CAJÚA\Cajua\[CAJUA_CF_SEC_New_27-Feb-2024Rev3.xlsx]D-PSDP'!</v>
      </c>
      <c r="G4049" s="32" t="s">
        <v>114</v>
      </c>
      <c r="H4049" s="33"/>
      <c r="I4049" s="33"/>
      <c r="J4049" s="37"/>
    </row>
    <row r="4050" spans="1:10" x14ac:dyDescent="0.25">
      <c r="A4050" s="32" t="s">
        <v>102</v>
      </c>
      <c r="B4050" s="32">
        <f t="shared" si="980"/>
        <v>2043</v>
      </c>
      <c r="C4050" s="33" t="s">
        <v>109</v>
      </c>
      <c r="D4050" s="34" t="s">
        <v>1999</v>
      </c>
      <c r="E4050" s="35" t="str">
        <f t="shared" si="976"/>
        <v>PSDP'!</v>
      </c>
      <c r="F4050" s="34" t="str">
        <f t="shared" si="977"/>
        <v>C:\Users\jaime.benazar\Quorum Business Solutions\Ecopetrol Prometeo - Documents\Planning Space Implementation\3. Analysis &amp; Design\Design\FC22\DRR Jaime\QUIFA-CAJÚA\Cajua\[CAJUA_CF_SEC_New_27-Feb-2024Rev3.xlsx]D-PSDP'!</v>
      </c>
      <c r="G4050" s="32" t="s">
        <v>114</v>
      </c>
      <c r="H4050" s="33"/>
      <c r="I4050" s="33"/>
      <c r="J4050" s="37"/>
    </row>
    <row r="4051" spans="1:10" x14ac:dyDescent="0.25">
      <c r="A4051" s="32" t="s">
        <v>102</v>
      </c>
      <c r="B4051" s="32">
        <f>+B4050+1</f>
        <v>2044</v>
      </c>
      <c r="C4051" s="33" t="s">
        <v>109</v>
      </c>
      <c r="D4051" s="34" t="s">
        <v>1999</v>
      </c>
      <c r="E4051" s="35" t="str">
        <f t="shared" ref="E4051:E4066" si="981">_xlfn.CONCAT(A4051,"'!")</f>
        <v>PSDP'!</v>
      </c>
      <c r="F4051" s="34" t="str">
        <f t="shared" ref="F4051:F4066" si="982">_xlfn.CONCAT(D4051:E4051)</f>
        <v>C:\Users\jaime.benazar\Quorum Business Solutions\Ecopetrol Prometeo - Documents\Planning Space Implementation\3. Analysis &amp; Design\Design\FC22\DRR Jaime\QUIFA-CAJÚA\Cajua\[CAJUA_CF_SEC_New_27-Feb-2024Rev3.xlsx]D-PSDP'!</v>
      </c>
      <c r="G4051" s="32" t="s">
        <v>114</v>
      </c>
      <c r="H4051" s="33"/>
      <c r="I4051" s="33"/>
      <c r="J4051" s="37"/>
    </row>
    <row r="4052" spans="1:10" x14ac:dyDescent="0.25">
      <c r="A4052" s="32" t="s">
        <v>102</v>
      </c>
      <c r="B4052" s="32">
        <f t="shared" ref="B4052:B4066" si="983">+B4051+1</f>
        <v>2045</v>
      </c>
      <c r="C4052" s="33" t="s">
        <v>109</v>
      </c>
      <c r="D4052" s="34" t="s">
        <v>1999</v>
      </c>
      <c r="E4052" s="35" t="str">
        <f t="shared" si="981"/>
        <v>PSDP'!</v>
      </c>
      <c r="F4052" s="34" t="str">
        <f t="shared" si="982"/>
        <v>C:\Users\jaime.benazar\Quorum Business Solutions\Ecopetrol Prometeo - Documents\Planning Space Implementation\3. Analysis &amp; Design\Design\FC22\DRR Jaime\QUIFA-CAJÚA\Cajua\[CAJUA_CF_SEC_New_27-Feb-2024Rev3.xlsx]D-PSDP'!</v>
      </c>
      <c r="G4052" s="32" t="s">
        <v>114</v>
      </c>
      <c r="H4052" s="33"/>
      <c r="I4052" s="33"/>
      <c r="J4052" s="37"/>
    </row>
    <row r="4053" spans="1:10" x14ac:dyDescent="0.25">
      <c r="A4053" s="32" t="s">
        <v>102</v>
      </c>
      <c r="B4053" s="32">
        <f t="shared" si="983"/>
        <v>2046</v>
      </c>
      <c r="C4053" s="33" t="s">
        <v>109</v>
      </c>
      <c r="D4053" s="34" t="s">
        <v>1999</v>
      </c>
      <c r="E4053" s="35" t="str">
        <f t="shared" si="981"/>
        <v>PSDP'!</v>
      </c>
      <c r="F4053" s="34" t="str">
        <f t="shared" si="982"/>
        <v>C:\Users\jaime.benazar\Quorum Business Solutions\Ecopetrol Prometeo - Documents\Planning Space Implementation\3. Analysis &amp; Design\Design\FC22\DRR Jaime\QUIFA-CAJÚA\Cajua\[CAJUA_CF_SEC_New_27-Feb-2024Rev3.xlsx]D-PSDP'!</v>
      </c>
      <c r="G4053" s="32" t="s">
        <v>114</v>
      </c>
      <c r="H4053" s="33"/>
      <c r="I4053" s="33"/>
      <c r="J4053" s="37"/>
    </row>
    <row r="4054" spans="1:10" x14ac:dyDescent="0.25">
      <c r="A4054" s="32" t="s">
        <v>102</v>
      </c>
      <c r="B4054" s="32">
        <f t="shared" si="983"/>
        <v>2047</v>
      </c>
      <c r="C4054" s="33" t="s">
        <v>109</v>
      </c>
      <c r="D4054" s="34" t="s">
        <v>1999</v>
      </c>
      <c r="E4054" s="35" t="str">
        <f t="shared" si="981"/>
        <v>PSDP'!</v>
      </c>
      <c r="F4054" s="34" t="str">
        <f t="shared" si="982"/>
        <v>C:\Users\jaime.benazar\Quorum Business Solutions\Ecopetrol Prometeo - Documents\Planning Space Implementation\3. Analysis &amp; Design\Design\FC22\DRR Jaime\QUIFA-CAJÚA\Cajua\[CAJUA_CF_SEC_New_27-Feb-2024Rev3.xlsx]D-PSDP'!</v>
      </c>
      <c r="G4054" s="32" t="s">
        <v>114</v>
      </c>
      <c r="H4054" s="33"/>
      <c r="I4054" s="33"/>
      <c r="J4054" s="37"/>
    </row>
    <row r="4055" spans="1:10" x14ac:dyDescent="0.25">
      <c r="A4055" s="32" t="s">
        <v>102</v>
      </c>
      <c r="B4055" s="32">
        <f t="shared" si="983"/>
        <v>2048</v>
      </c>
      <c r="C4055" s="33" t="s">
        <v>109</v>
      </c>
      <c r="D4055" s="34" t="s">
        <v>1999</v>
      </c>
      <c r="E4055" s="35" t="str">
        <f t="shared" si="981"/>
        <v>PSDP'!</v>
      </c>
      <c r="F4055" s="34" t="str">
        <f t="shared" si="982"/>
        <v>C:\Users\jaime.benazar\Quorum Business Solutions\Ecopetrol Prometeo - Documents\Planning Space Implementation\3. Analysis &amp; Design\Design\FC22\DRR Jaime\QUIFA-CAJÚA\Cajua\[CAJUA_CF_SEC_New_27-Feb-2024Rev3.xlsx]D-PSDP'!</v>
      </c>
      <c r="G4055" s="32" t="s">
        <v>114</v>
      </c>
      <c r="H4055" s="33"/>
      <c r="I4055" s="33"/>
      <c r="J4055" s="37"/>
    </row>
    <row r="4056" spans="1:10" x14ac:dyDescent="0.25">
      <c r="A4056" s="32" t="s">
        <v>102</v>
      </c>
      <c r="B4056" s="32">
        <f t="shared" si="983"/>
        <v>2049</v>
      </c>
      <c r="C4056" s="33" t="s">
        <v>109</v>
      </c>
      <c r="D4056" s="34" t="s">
        <v>1999</v>
      </c>
      <c r="E4056" s="35" t="str">
        <f t="shared" si="981"/>
        <v>PSDP'!</v>
      </c>
      <c r="F4056" s="34" t="str">
        <f t="shared" si="982"/>
        <v>C:\Users\jaime.benazar\Quorum Business Solutions\Ecopetrol Prometeo - Documents\Planning Space Implementation\3. Analysis &amp; Design\Design\FC22\DRR Jaime\QUIFA-CAJÚA\Cajua\[CAJUA_CF_SEC_New_27-Feb-2024Rev3.xlsx]D-PSDP'!</v>
      </c>
      <c r="G4056" s="32" t="s">
        <v>114</v>
      </c>
      <c r="H4056" s="33"/>
      <c r="I4056" s="33"/>
      <c r="J4056" s="37"/>
    </row>
    <row r="4057" spans="1:10" x14ac:dyDescent="0.25">
      <c r="A4057" s="32" t="s">
        <v>102</v>
      </c>
      <c r="B4057" s="32">
        <f t="shared" si="983"/>
        <v>2050</v>
      </c>
      <c r="C4057" s="33" t="s">
        <v>109</v>
      </c>
      <c r="D4057" s="34" t="s">
        <v>1999</v>
      </c>
      <c r="E4057" s="35" t="str">
        <f t="shared" si="981"/>
        <v>PSDP'!</v>
      </c>
      <c r="F4057" s="34" t="str">
        <f t="shared" si="982"/>
        <v>C:\Users\jaime.benazar\Quorum Business Solutions\Ecopetrol Prometeo - Documents\Planning Space Implementation\3. Analysis &amp; Design\Design\FC22\DRR Jaime\QUIFA-CAJÚA\Cajua\[CAJUA_CF_SEC_New_27-Feb-2024Rev3.xlsx]D-PSDP'!</v>
      </c>
      <c r="G4057" s="32" t="s">
        <v>114</v>
      </c>
      <c r="H4057" s="33"/>
      <c r="I4057" s="33"/>
      <c r="J4057" s="37"/>
    </row>
    <row r="4058" spans="1:10" x14ac:dyDescent="0.25">
      <c r="A4058" s="32" t="s">
        <v>102</v>
      </c>
      <c r="B4058" s="32">
        <f t="shared" si="983"/>
        <v>2051</v>
      </c>
      <c r="C4058" s="33" t="s">
        <v>109</v>
      </c>
      <c r="D4058" s="34" t="s">
        <v>1999</v>
      </c>
      <c r="E4058" s="35" t="str">
        <f t="shared" si="981"/>
        <v>PSDP'!</v>
      </c>
      <c r="F4058" s="34" t="str">
        <f t="shared" si="982"/>
        <v>C:\Users\jaime.benazar\Quorum Business Solutions\Ecopetrol Prometeo - Documents\Planning Space Implementation\3. Analysis &amp; Design\Design\FC22\DRR Jaime\QUIFA-CAJÚA\Cajua\[CAJUA_CF_SEC_New_27-Feb-2024Rev3.xlsx]D-PSDP'!</v>
      </c>
      <c r="G4058" s="32" t="s">
        <v>114</v>
      </c>
      <c r="H4058" s="33"/>
      <c r="I4058" s="33"/>
      <c r="J4058" s="37"/>
    </row>
    <row r="4059" spans="1:10" x14ac:dyDescent="0.25">
      <c r="A4059" s="32" t="s">
        <v>102</v>
      </c>
      <c r="B4059" s="32">
        <f t="shared" si="983"/>
        <v>2052</v>
      </c>
      <c r="C4059" s="33" t="s">
        <v>109</v>
      </c>
      <c r="D4059" s="34" t="s">
        <v>1999</v>
      </c>
      <c r="E4059" s="35" t="str">
        <f t="shared" si="981"/>
        <v>PSDP'!</v>
      </c>
      <c r="F4059" s="34" t="str">
        <f t="shared" si="982"/>
        <v>C:\Users\jaime.benazar\Quorum Business Solutions\Ecopetrol Prometeo - Documents\Planning Space Implementation\3. Analysis &amp; Design\Design\FC22\DRR Jaime\QUIFA-CAJÚA\Cajua\[CAJUA_CF_SEC_New_27-Feb-2024Rev3.xlsx]D-PSDP'!</v>
      </c>
      <c r="G4059" s="32" t="s">
        <v>114</v>
      </c>
      <c r="H4059" s="33"/>
      <c r="I4059" s="33"/>
      <c r="J4059" s="37"/>
    </row>
    <row r="4060" spans="1:10" x14ac:dyDescent="0.25">
      <c r="A4060" s="32" t="s">
        <v>102</v>
      </c>
      <c r="B4060" s="32">
        <f t="shared" si="983"/>
        <v>2053</v>
      </c>
      <c r="C4060" s="33" t="s">
        <v>109</v>
      </c>
      <c r="D4060" s="34" t="s">
        <v>1999</v>
      </c>
      <c r="E4060" s="35" t="str">
        <f t="shared" si="981"/>
        <v>PSDP'!</v>
      </c>
      <c r="F4060" s="34" t="str">
        <f t="shared" si="982"/>
        <v>C:\Users\jaime.benazar\Quorum Business Solutions\Ecopetrol Prometeo - Documents\Planning Space Implementation\3. Analysis &amp; Design\Design\FC22\DRR Jaime\QUIFA-CAJÚA\Cajua\[CAJUA_CF_SEC_New_27-Feb-2024Rev3.xlsx]D-PSDP'!</v>
      </c>
      <c r="G4060" s="32" t="s">
        <v>114</v>
      </c>
      <c r="H4060" s="33"/>
      <c r="I4060" s="33"/>
      <c r="J4060" s="37"/>
    </row>
    <row r="4061" spans="1:10" x14ac:dyDescent="0.25">
      <c r="A4061" s="32" t="s">
        <v>102</v>
      </c>
      <c r="B4061" s="32">
        <f t="shared" si="983"/>
        <v>2054</v>
      </c>
      <c r="C4061" s="33" t="s">
        <v>109</v>
      </c>
      <c r="D4061" s="34" t="s">
        <v>1999</v>
      </c>
      <c r="E4061" s="35" t="str">
        <f t="shared" si="981"/>
        <v>PSDP'!</v>
      </c>
      <c r="F4061" s="34" t="str">
        <f t="shared" si="982"/>
        <v>C:\Users\jaime.benazar\Quorum Business Solutions\Ecopetrol Prometeo - Documents\Planning Space Implementation\3. Analysis &amp; Design\Design\FC22\DRR Jaime\QUIFA-CAJÚA\Cajua\[CAJUA_CF_SEC_New_27-Feb-2024Rev3.xlsx]D-PSDP'!</v>
      </c>
      <c r="G4061" s="32" t="s">
        <v>114</v>
      </c>
      <c r="H4061" s="33"/>
      <c r="I4061" s="33"/>
      <c r="J4061" s="37"/>
    </row>
    <row r="4062" spans="1:10" x14ac:dyDescent="0.25">
      <c r="A4062" s="32" t="s">
        <v>102</v>
      </c>
      <c r="B4062" s="32">
        <f t="shared" si="983"/>
        <v>2055</v>
      </c>
      <c r="C4062" s="33" t="s">
        <v>109</v>
      </c>
      <c r="D4062" s="34" t="s">
        <v>1999</v>
      </c>
      <c r="E4062" s="35" t="str">
        <f t="shared" si="981"/>
        <v>PSDP'!</v>
      </c>
      <c r="F4062" s="34" t="str">
        <f t="shared" si="982"/>
        <v>C:\Users\jaime.benazar\Quorum Business Solutions\Ecopetrol Prometeo - Documents\Planning Space Implementation\3. Analysis &amp; Design\Design\FC22\DRR Jaime\QUIFA-CAJÚA\Cajua\[CAJUA_CF_SEC_New_27-Feb-2024Rev3.xlsx]D-PSDP'!</v>
      </c>
      <c r="G4062" s="32" t="s">
        <v>114</v>
      </c>
      <c r="H4062" s="33"/>
      <c r="I4062" s="33"/>
      <c r="J4062" s="37"/>
    </row>
    <row r="4063" spans="1:10" x14ac:dyDescent="0.25">
      <c r="A4063" s="32" t="s">
        <v>102</v>
      </c>
      <c r="B4063" s="32">
        <f t="shared" si="983"/>
        <v>2056</v>
      </c>
      <c r="C4063" s="33" t="s">
        <v>109</v>
      </c>
      <c r="D4063" s="34" t="s">
        <v>1999</v>
      </c>
      <c r="E4063" s="35" t="str">
        <f t="shared" si="981"/>
        <v>PSDP'!</v>
      </c>
      <c r="F4063" s="34" t="str">
        <f t="shared" si="982"/>
        <v>C:\Users\jaime.benazar\Quorum Business Solutions\Ecopetrol Prometeo - Documents\Planning Space Implementation\3. Analysis &amp; Design\Design\FC22\DRR Jaime\QUIFA-CAJÚA\Cajua\[CAJUA_CF_SEC_New_27-Feb-2024Rev3.xlsx]D-PSDP'!</v>
      </c>
      <c r="G4063" s="32" t="s">
        <v>114</v>
      </c>
      <c r="H4063" s="33"/>
      <c r="I4063" s="33"/>
      <c r="J4063" s="37"/>
    </row>
    <row r="4064" spans="1:10" x14ac:dyDescent="0.25">
      <c r="A4064" s="32" t="s">
        <v>102</v>
      </c>
      <c r="B4064" s="32">
        <f t="shared" si="983"/>
        <v>2057</v>
      </c>
      <c r="C4064" s="33" t="s">
        <v>109</v>
      </c>
      <c r="D4064" s="34" t="s">
        <v>1999</v>
      </c>
      <c r="E4064" s="35" t="str">
        <f t="shared" si="981"/>
        <v>PSDP'!</v>
      </c>
      <c r="F4064" s="34" t="str">
        <f t="shared" si="982"/>
        <v>C:\Users\jaime.benazar\Quorum Business Solutions\Ecopetrol Prometeo - Documents\Planning Space Implementation\3. Analysis &amp; Design\Design\FC22\DRR Jaime\QUIFA-CAJÚA\Cajua\[CAJUA_CF_SEC_New_27-Feb-2024Rev3.xlsx]D-PSDP'!</v>
      </c>
      <c r="G4064" s="32" t="s">
        <v>114</v>
      </c>
      <c r="H4064" s="33"/>
      <c r="I4064" s="33"/>
      <c r="J4064" s="37"/>
    </row>
    <row r="4065" spans="1:10" x14ac:dyDescent="0.25">
      <c r="A4065" s="32" t="s">
        <v>102</v>
      </c>
      <c r="B4065" s="32">
        <f t="shared" si="983"/>
        <v>2058</v>
      </c>
      <c r="C4065" s="33" t="s">
        <v>109</v>
      </c>
      <c r="D4065" s="34" t="s">
        <v>1999</v>
      </c>
      <c r="E4065" s="35" t="str">
        <f t="shared" si="981"/>
        <v>PSDP'!</v>
      </c>
      <c r="F4065" s="34" t="str">
        <f t="shared" si="982"/>
        <v>C:\Users\jaime.benazar\Quorum Business Solutions\Ecopetrol Prometeo - Documents\Planning Space Implementation\3. Analysis &amp; Design\Design\FC22\DRR Jaime\QUIFA-CAJÚA\Cajua\[CAJUA_CF_SEC_New_27-Feb-2024Rev3.xlsx]D-PSDP'!</v>
      </c>
      <c r="G4065" s="32" t="s">
        <v>114</v>
      </c>
      <c r="H4065" s="33"/>
      <c r="I4065" s="33"/>
      <c r="J4065" s="37"/>
    </row>
    <row r="4066" spans="1:10" x14ac:dyDescent="0.25">
      <c r="A4066" s="32" t="s">
        <v>102</v>
      </c>
      <c r="B4066" s="32">
        <f t="shared" si="983"/>
        <v>2059</v>
      </c>
      <c r="C4066" s="33" t="s">
        <v>109</v>
      </c>
      <c r="D4066" s="34" t="s">
        <v>1999</v>
      </c>
      <c r="E4066" s="35" t="str">
        <f t="shared" si="981"/>
        <v>PSDP'!</v>
      </c>
      <c r="F4066" s="34" t="str">
        <f t="shared" si="982"/>
        <v>C:\Users\jaime.benazar\Quorum Business Solutions\Ecopetrol Prometeo - Documents\Planning Space Implementation\3. Analysis &amp; Design\Design\FC22\DRR Jaime\QUIFA-CAJÚA\Cajua\[CAJUA_CF_SEC_New_27-Feb-2024Rev3.xlsx]D-PSDP'!</v>
      </c>
      <c r="G4066" s="32" t="s">
        <v>114</v>
      </c>
      <c r="H4066" s="33"/>
      <c r="I4066" s="33"/>
      <c r="J4066" s="37"/>
    </row>
    <row r="4067" spans="1:10" x14ac:dyDescent="0.25">
      <c r="A4067" s="32" t="s">
        <v>28</v>
      </c>
      <c r="B4067" s="32"/>
      <c r="C4067" s="33" t="s">
        <v>109</v>
      </c>
      <c r="D4067" s="34"/>
      <c r="E4067" s="35"/>
      <c r="F4067" s="34"/>
      <c r="G4067" s="32"/>
      <c r="H4067" s="33"/>
      <c r="I4067" s="33"/>
      <c r="J4067" s="36"/>
    </row>
    <row r="4068" spans="1:10" x14ac:dyDescent="0.25">
      <c r="A4068" s="32" t="s">
        <v>103</v>
      </c>
      <c r="B4068" s="32">
        <v>2023</v>
      </c>
      <c r="C4068" s="33" t="s">
        <v>109</v>
      </c>
      <c r="D4068" s="34" t="s">
        <v>1999</v>
      </c>
      <c r="E4068" s="35" t="str">
        <f t="shared" ref="E4068:E4088" si="984">_xlfn.CONCAT(A4068,"'!")</f>
        <v>PSNP'!</v>
      </c>
      <c r="F4068" s="34" t="str">
        <f t="shared" ref="F4068:F4088" si="985">_xlfn.CONCAT(D4068:E4068)</f>
        <v>C:\Users\jaime.benazar\Quorum Business Solutions\Ecopetrol Prometeo - Documents\Planning Space Implementation\3. Analysis &amp; Design\Design\FC22\DRR Jaime\QUIFA-CAJÚA\Cajua\[CAJUA_CF_SEC_New_27-Feb-2024Rev3.xlsx]D-PSNP'!</v>
      </c>
      <c r="G4068" s="32" t="s">
        <v>114</v>
      </c>
      <c r="H4068" s="33"/>
      <c r="I4068" s="33"/>
      <c r="J4068" s="37"/>
    </row>
    <row r="4069" spans="1:10" x14ac:dyDescent="0.25">
      <c r="A4069" s="32" t="s">
        <v>103</v>
      </c>
      <c r="B4069" s="32">
        <f>+B4068+1</f>
        <v>2024</v>
      </c>
      <c r="C4069" s="33" t="s">
        <v>109</v>
      </c>
      <c r="D4069" s="34" t="s">
        <v>1999</v>
      </c>
      <c r="E4069" s="35" t="str">
        <f t="shared" si="984"/>
        <v>PSNP'!</v>
      </c>
      <c r="F4069" s="34" t="str">
        <f t="shared" si="985"/>
        <v>C:\Users\jaime.benazar\Quorum Business Solutions\Ecopetrol Prometeo - Documents\Planning Space Implementation\3. Analysis &amp; Design\Design\FC22\DRR Jaime\QUIFA-CAJÚA\Cajua\[CAJUA_CF_SEC_New_27-Feb-2024Rev3.xlsx]D-PSNP'!</v>
      </c>
      <c r="G4069" s="32" t="s">
        <v>114</v>
      </c>
      <c r="H4069" s="33"/>
      <c r="I4069" s="33"/>
      <c r="J4069" s="37"/>
    </row>
    <row r="4070" spans="1:10" x14ac:dyDescent="0.25">
      <c r="A4070" s="32" t="s">
        <v>103</v>
      </c>
      <c r="B4070" s="32">
        <f t="shared" ref="B4070:B4081" si="986">+B4069+1</f>
        <v>2025</v>
      </c>
      <c r="C4070" s="33" t="s">
        <v>109</v>
      </c>
      <c r="D4070" s="34" t="s">
        <v>1999</v>
      </c>
      <c r="E4070" s="35" t="str">
        <f t="shared" si="984"/>
        <v>PSNP'!</v>
      </c>
      <c r="F4070" s="34" t="str">
        <f t="shared" si="985"/>
        <v>C:\Users\jaime.benazar\Quorum Business Solutions\Ecopetrol Prometeo - Documents\Planning Space Implementation\3. Analysis &amp; Design\Design\FC22\DRR Jaime\QUIFA-CAJÚA\Cajua\[CAJUA_CF_SEC_New_27-Feb-2024Rev3.xlsx]D-PSNP'!</v>
      </c>
      <c r="G4070" s="32" t="s">
        <v>114</v>
      </c>
      <c r="H4070" s="33"/>
      <c r="I4070" s="33"/>
      <c r="J4070" s="37"/>
    </row>
    <row r="4071" spans="1:10" x14ac:dyDescent="0.25">
      <c r="A4071" s="32" t="s">
        <v>103</v>
      </c>
      <c r="B4071" s="32">
        <f t="shared" si="986"/>
        <v>2026</v>
      </c>
      <c r="C4071" s="33" t="s">
        <v>109</v>
      </c>
      <c r="D4071" s="34" t="s">
        <v>1999</v>
      </c>
      <c r="E4071" s="35" t="str">
        <f t="shared" si="984"/>
        <v>PSNP'!</v>
      </c>
      <c r="F4071" s="34" t="str">
        <f t="shared" si="985"/>
        <v>C:\Users\jaime.benazar\Quorum Business Solutions\Ecopetrol Prometeo - Documents\Planning Space Implementation\3. Analysis &amp; Design\Design\FC22\DRR Jaime\QUIFA-CAJÚA\Cajua\[CAJUA_CF_SEC_New_27-Feb-2024Rev3.xlsx]D-PSNP'!</v>
      </c>
      <c r="G4071" s="32" t="s">
        <v>114</v>
      </c>
      <c r="H4071" s="33"/>
      <c r="I4071" s="33"/>
      <c r="J4071" s="37"/>
    </row>
    <row r="4072" spans="1:10" x14ac:dyDescent="0.25">
      <c r="A4072" s="32" t="s">
        <v>103</v>
      </c>
      <c r="B4072" s="32">
        <f t="shared" si="986"/>
        <v>2027</v>
      </c>
      <c r="C4072" s="33" t="s">
        <v>109</v>
      </c>
      <c r="D4072" s="34" t="s">
        <v>1999</v>
      </c>
      <c r="E4072" s="35" t="str">
        <f t="shared" si="984"/>
        <v>PSNP'!</v>
      </c>
      <c r="F4072" s="34" t="str">
        <f t="shared" si="985"/>
        <v>C:\Users\jaime.benazar\Quorum Business Solutions\Ecopetrol Prometeo - Documents\Planning Space Implementation\3. Analysis &amp; Design\Design\FC22\DRR Jaime\QUIFA-CAJÚA\Cajua\[CAJUA_CF_SEC_New_27-Feb-2024Rev3.xlsx]D-PSNP'!</v>
      </c>
      <c r="G4072" s="32" t="s">
        <v>114</v>
      </c>
      <c r="H4072" s="33"/>
      <c r="I4072" s="33"/>
      <c r="J4072" s="37"/>
    </row>
    <row r="4073" spans="1:10" x14ac:dyDescent="0.25">
      <c r="A4073" s="32" t="s">
        <v>103</v>
      </c>
      <c r="B4073" s="32">
        <f t="shared" si="986"/>
        <v>2028</v>
      </c>
      <c r="C4073" s="33" t="s">
        <v>109</v>
      </c>
      <c r="D4073" s="34" t="s">
        <v>1999</v>
      </c>
      <c r="E4073" s="35" t="str">
        <f t="shared" si="984"/>
        <v>PSNP'!</v>
      </c>
      <c r="F4073" s="34" t="str">
        <f t="shared" si="985"/>
        <v>C:\Users\jaime.benazar\Quorum Business Solutions\Ecopetrol Prometeo - Documents\Planning Space Implementation\3. Analysis &amp; Design\Design\FC22\DRR Jaime\QUIFA-CAJÚA\Cajua\[CAJUA_CF_SEC_New_27-Feb-2024Rev3.xlsx]D-PSNP'!</v>
      </c>
      <c r="G4073" s="32" t="s">
        <v>114</v>
      </c>
      <c r="H4073" s="33"/>
      <c r="I4073" s="33"/>
      <c r="J4073" s="37"/>
    </row>
    <row r="4074" spans="1:10" x14ac:dyDescent="0.25">
      <c r="A4074" s="32" t="s">
        <v>103</v>
      </c>
      <c r="B4074" s="32">
        <f t="shared" si="986"/>
        <v>2029</v>
      </c>
      <c r="C4074" s="33" t="s">
        <v>109</v>
      </c>
      <c r="D4074" s="34" t="s">
        <v>1999</v>
      </c>
      <c r="E4074" s="35" t="str">
        <f t="shared" si="984"/>
        <v>PSNP'!</v>
      </c>
      <c r="F4074" s="34" t="str">
        <f t="shared" si="985"/>
        <v>C:\Users\jaime.benazar\Quorum Business Solutions\Ecopetrol Prometeo - Documents\Planning Space Implementation\3. Analysis &amp; Design\Design\FC22\DRR Jaime\QUIFA-CAJÚA\Cajua\[CAJUA_CF_SEC_New_27-Feb-2024Rev3.xlsx]D-PSNP'!</v>
      </c>
      <c r="G4074" s="32" t="s">
        <v>114</v>
      </c>
      <c r="H4074" s="33"/>
      <c r="I4074" s="33"/>
      <c r="J4074" s="37"/>
    </row>
    <row r="4075" spans="1:10" x14ac:dyDescent="0.25">
      <c r="A4075" s="32" t="s">
        <v>103</v>
      </c>
      <c r="B4075" s="32">
        <f t="shared" si="986"/>
        <v>2030</v>
      </c>
      <c r="C4075" s="33" t="s">
        <v>109</v>
      </c>
      <c r="D4075" s="34" t="s">
        <v>1999</v>
      </c>
      <c r="E4075" s="35" t="str">
        <f t="shared" si="984"/>
        <v>PSNP'!</v>
      </c>
      <c r="F4075" s="34" t="str">
        <f t="shared" si="985"/>
        <v>C:\Users\jaime.benazar\Quorum Business Solutions\Ecopetrol Prometeo - Documents\Planning Space Implementation\3. Analysis &amp; Design\Design\FC22\DRR Jaime\QUIFA-CAJÚA\Cajua\[CAJUA_CF_SEC_New_27-Feb-2024Rev3.xlsx]D-PSNP'!</v>
      </c>
      <c r="G4075" s="32" t="s">
        <v>114</v>
      </c>
      <c r="H4075" s="33"/>
      <c r="I4075" s="33"/>
      <c r="J4075" s="37"/>
    </row>
    <row r="4076" spans="1:10" x14ac:dyDescent="0.25">
      <c r="A4076" s="32" t="s">
        <v>103</v>
      </c>
      <c r="B4076" s="32">
        <f t="shared" si="986"/>
        <v>2031</v>
      </c>
      <c r="C4076" s="33" t="s">
        <v>109</v>
      </c>
      <c r="D4076" s="34" t="s">
        <v>1999</v>
      </c>
      <c r="E4076" s="35" t="str">
        <f t="shared" si="984"/>
        <v>PSNP'!</v>
      </c>
      <c r="F4076" s="34" t="str">
        <f t="shared" si="985"/>
        <v>C:\Users\jaime.benazar\Quorum Business Solutions\Ecopetrol Prometeo - Documents\Planning Space Implementation\3. Analysis &amp; Design\Design\FC22\DRR Jaime\QUIFA-CAJÚA\Cajua\[CAJUA_CF_SEC_New_27-Feb-2024Rev3.xlsx]D-PSNP'!</v>
      </c>
      <c r="G4076" s="32" t="s">
        <v>114</v>
      </c>
      <c r="H4076" s="33"/>
      <c r="I4076" s="33"/>
      <c r="J4076" s="37"/>
    </row>
    <row r="4077" spans="1:10" x14ac:dyDescent="0.25">
      <c r="A4077" s="32" t="s">
        <v>103</v>
      </c>
      <c r="B4077" s="32">
        <f t="shared" si="986"/>
        <v>2032</v>
      </c>
      <c r="C4077" s="33" t="s">
        <v>109</v>
      </c>
      <c r="D4077" s="34" t="s">
        <v>1999</v>
      </c>
      <c r="E4077" s="35" t="str">
        <f t="shared" si="984"/>
        <v>PSNP'!</v>
      </c>
      <c r="F4077" s="34" t="str">
        <f t="shared" si="985"/>
        <v>C:\Users\jaime.benazar\Quorum Business Solutions\Ecopetrol Prometeo - Documents\Planning Space Implementation\3. Analysis &amp; Design\Design\FC22\DRR Jaime\QUIFA-CAJÚA\Cajua\[CAJUA_CF_SEC_New_27-Feb-2024Rev3.xlsx]D-PSNP'!</v>
      </c>
      <c r="G4077" s="32" t="s">
        <v>114</v>
      </c>
      <c r="H4077" s="33"/>
      <c r="I4077" s="33"/>
      <c r="J4077" s="37"/>
    </row>
    <row r="4078" spans="1:10" x14ac:dyDescent="0.25">
      <c r="A4078" s="32" t="s">
        <v>103</v>
      </c>
      <c r="B4078" s="32">
        <f t="shared" si="986"/>
        <v>2033</v>
      </c>
      <c r="C4078" s="33" t="s">
        <v>109</v>
      </c>
      <c r="D4078" s="34" t="s">
        <v>1999</v>
      </c>
      <c r="E4078" s="35" t="str">
        <f t="shared" si="984"/>
        <v>PSNP'!</v>
      </c>
      <c r="F4078" s="34" t="str">
        <f t="shared" si="985"/>
        <v>C:\Users\jaime.benazar\Quorum Business Solutions\Ecopetrol Prometeo - Documents\Planning Space Implementation\3. Analysis &amp; Design\Design\FC22\DRR Jaime\QUIFA-CAJÚA\Cajua\[CAJUA_CF_SEC_New_27-Feb-2024Rev3.xlsx]D-PSNP'!</v>
      </c>
      <c r="G4078" s="32" t="s">
        <v>114</v>
      </c>
      <c r="H4078" s="33"/>
      <c r="I4078" s="33"/>
      <c r="J4078" s="37"/>
    </row>
    <row r="4079" spans="1:10" x14ac:dyDescent="0.25">
      <c r="A4079" s="32" t="s">
        <v>103</v>
      </c>
      <c r="B4079" s="32">
        <f t="shared" si="986"/>
        <v>2034</v>
      </c>
      <c r="C4079" s="33" t="s">
        <v>109</v>
      </c>
      <c r="D4079" s="34" t="s">
        <v>1999</v>
      </c>
      <c r="E4079" s="35" t="str">
        <f t="shared" si="984"/>
        <v>PSNP'!</v>
      </c>
      <c r="F4079" s="34" t="str">
        <f t="shared" si="985"/>
        <v>C:\Users\jaime.benazar\Quorum Business Solutions\Ecopetrol Prometeo - Documents\Planning Space Implementation\3. Analysis &amp; Design\Design\FC22\DRR Jaime\QUIFA-CAJÚA\Cajua\[CAJUA_CF_SEC_New_27-Feb-2024Rev3.xlsx]D-PSNP'!</v>
      </c>
      <c r="G4079" s="32" t="s">
        <v>114</v>
      </c>
      <c r="H4079" s="33"/>
      <c r="I4079" s="33"/>
      <c r="J4079" s="37"/>
    </row>
    <row r="4080" spans="1:10" x14ac:dyDescent="0.25">
      <c r="A4080" s="32" t="s">
        <v>103</v>
      </c>
      <c r="B4080" s="32">
        <f t="shared" si="986"/>
        <v>2035</v>
      </c>
      <c r="C4080" s="33" t="s">
        <v>109</v>
      </c>
      <c r="D4080" s="34" t="s">
        <v>1999</v>
      </c>
      <c r="E4080" s="35" t="str">
        <f t="shared" si="984"/>
        <v>PSNP'!</v>
      </c>
      <c r="F4080" s="34" t="str">
        <f t="shared" si="985"/>
        <v>C:\Users\jaime.benazar\Quorum Business Solutions\Ecopetrol Prometeo - Documents\Planning Space Implementation\3. Analysis &amp; Design\Design\FC22\DRR Jaime\QUIFA-CAJÚA\Cajua\[CAJUA_CF_SEC_New_27-Feb-2024Rev3.xlsx]D-PSNP'!</v>
      </c>
      <c r="G4080" s="32" t="s">
        <v>114</v>
      </c>
      <c r="H4080" s="33"/>
      <c r="I4080" s="33"/>
      <c r="J4080" s="37"/>
    </row>
    <row r="4081" spans="1:10" x14ac:dyDescent="0.25">
      <c r="A4081" s="32" t="s">
        <v>103</v>
      </c>
      <c r="B4081" s="32">
        <f t="shared" si="986"/>
        <v>2036</v>
      </c>
      <c r="C4081" s="33" t="s">
        <v>109</v>
      </c>
      <c r="D4081" s="34" t="s">
        <v>1999</v>
      </c>
      <c r="E4081" s="35" t="str">
        <f t="shared" si="984"/>
        <v>PSNP'!</v>
      </c>
      <c r="F4081" s="34" t="str">
        <f t="shared" si="985"/>
        <v>C:\Users\jaime.benazar\Quorum Business Solutions\Ecopetrol Prometeo - Documents\Planning Space Implementation\3. Analysis &amp; Design\Design\FC22\DRR Jaime\QUIFA-CAJÚA\Cajua\[CAJUA_CF_SEC_New_27-Feb-2024Rev3.xlsx]D-PSNP'!</v>
      </c>
      <c r="G4081" s="32" t="s">
        <v>114</v>
      </c>
      <c r="H4081" s="33"/>
      <c r="I4081" s="33"/>
      <c r="J4081" s="37"/>
    </row>
    <row r="4082" spans="1:10" x14ac:dyDescent="0.25">
      <c r="A4082" s="32" t="s">
        <v>103</v>
      </c>
      <c r="B4082" s="32">
        <f>+B4081+1</f>
        <v>2037</v>
      </c>
      <c r="C4082" s="33" t="s">
        <v>109</v>
      </c>
      <c r="D4082" s="34" t="s">
        <v>1999</v>
      </c>
      <c r="E4082" s="35" t="str">
        <f t="shared" si="984"/>
        <v>PSNP'!</v>
      </c>
      <c r="F4082" s="34" t="str">
        <f t="shared" si="985"/>
        <v>C:\Users\jaime.benazar\Quorum Business Solutions\Ecopetrol Prometeo - Documents\Planning Space Implementation\3. Analysis &amp; Design\Design\FC22\DRR Jaime\QUIFA-CAJÚA\Cajua\[CAJUA_CF_SEC_New_27-Feb-2024Rev3.xlsx]D-PSNP'!</v>
      </c>
      <c r="G4082" s="32" t="s">
        <v>114</v>
      </c>
      <c r="H4082" s="33"/>
      <c r="I4082" s="33"/>
      <c r="J4082" s="37"/>
    </row>
    <row r="4083" spans="1:10" x14ac:dyDescent="0.25">
      <c r="A4083" s="32" t="s">
        <v>103</v>
      </c>
      <c r="B4083" s="32">
        <f t="shared" ref="B4083:B4085" si="987">+B4082+1</f>
        <v>2038</v>
      </c>
      <c r="C4083" s="33" t="s">
        <v>109</v>
      </c>
      <c r="D4083" s="34" t="s">
        <v>1999</v>
      </c>
      <c r="E4083" s="35" t="str">
        <f t="shared" si="984"/>
        <v>PSNP'!</v>
      </c>
      <c r="F4083" s="34" t="str">
        <f t="shared" si="985"/>
        <v>C:\Users\jaime.benazar\Quorum Business Solutions\Ecopetrol Prometeo - Documents\Planning Space Implementation\3. Analysis &amp; Design\Design\FC22\DRR Jaime\QUIFA-CAJÚA\Cajua\[CAJUA_CF_SEC_New_27-Feb-2024Rev3.xlsx]D-PSNP'!</v>
      </c>
      <c r="G4083" s="32" t="s">
        <v>114</v>
      </c>
      <c r="H4083" s="33"/>
      <c r="I4083" s="33"/>
      <c r="J4083" s="37"/>
    </row>
    <row r="4084" spans="1:10" x14ac:dyDescent="0.25">
      <c r="A4084" s="32" t="s">
        <v>103</v>
      </c>
      <c r="B4084" s="32">
        <f t="shared" si="987"/>
        <v>2039</v>
      </c>
      <c r="C4084" s="33" t="s">
        <v>109</v>
      </c>
      <c r="D4084" s="34" t="s">
        <v>1999</v>
      </c>
      <c r="E4084" s="35" t="str">
        <f t="shared" si="984"/>
        <v>PSNP'!</v>
      </c>
      <c r="F4084" s="34" t="str">
        <f t="shared" si="985"/>
        <v>C:\Users\jaime.benazar\Quorum Business Solutions\Ecopetrol Prometeo - Documents\Planning Space Implementation\3. Analysis &amp; Design\Design\FC22\DRR Jaime\QUIFA-CAJÚA\Cajua\[CAJUA_CF_SEC_New_27-Feb-2024Rev3.xlsx]D-PSNP'!</v>
      </c>
      <c r="G4084" s="32" t="s">
        <v>114</v>
      </c>
      <c r="H4084" s="33"/>
      <c r="I4084" s="33"/>
      <c r="J4084" s="37"/>
    </row>
    <row r="4085" spans="1:10" x14ac:dyDescent="0.25">
      <c r="A4085" s="32" t="s">
        <v>103</v>
      </c>
      <c r="B4085" s="32">
        <f t="shared" si="987"/>
        <v>2040</v>
      </c>
      <c r="C4085" s="33" t="s">
        <v>109</v>
      </c>
      <c r="D4085" s="34" t="s">
        <v>1999</v>
      </c>
      <c r="E4085" s="35" t="str">
        <f t="shared" si="984"/>
        <v>PSNP'!</v>
      </c>
      <c r="F4085" s="34" t="str">
        <f t="shared" si="985"/>
        <v>C:\Users\jaime.benazar\Quorum Business Solutions\Ecopetrol Prometeo - Documents\Planning Space Implementation\3. Analysis &amp; Design\Design\FC22\DRR Jaime\QUIFA-CAJÚA\Cajua\[CAJUA_CF_SEC_New_27-Feb-2024Rev3.xlsx]D-PSNP'!</v>
      </c>
      <c r="G4085" s="32" t="s">
        <v>114</v>
      </c>
      <c r="H4085" s="33"/>
      <c r="I4085" s="33"/>
      <c r="J4085" s="37"/>
    </row>
    <row r="4086" spans="1:10" x14ac:dyDescent="0.25">
      <c r="A4086" s="32" t="s">
        <v>103</v>
      </c>
      <c r="B4086" s="32">
        <f>+B4085+1</f>
        <v>2041</v>
      </c>
      <c r="C4086" s="33" t="s">
        <v>109</v>
      </c>
      <c r="D4086" s="34" t="s">
        <v>1999</v>
      </c>
      <c r="E4086" s="35" t="str">
        <f t="shared" si="984"/>
        <v>PSNP'!</v>
      </c>
      <c r="F4086" s="34" t="str">
        <f t="shared" si="985"/>
        <v>C:\Users\jaime.benazar\Quorum Business Solutions\Ecopetrol Prometeo - Documents\Planning Space Implementation\3. Analysis &amp; Design\Design\FC22\DRR Jaime\QUIFA-CAJÚA\Cajua\[CAJUA_CF_SEC_New_27-Feb-2024Rev3.xlsx]D-PSNP'!</v>
      </c>
      <c r="G4086" s="32" t="s">
        <v>114</v>
      </c>
      <c r="H4086" s="33"/>
      <c r="I4086" s="33"/>
      <c r="J4086" s="37"/>
    </row>
    <row r="4087" spans="1:10" x14ac:dyDescent="0.25">
      <c r="A4087" s="32" t="s">
        <v>103</v>
      </c>
      <c r="B4087" s="32">
        <f t="shared" ref="B4087:B4088" si="988">+B4086+1</f>
        <v>2042</v>
      </c>
      <c r="C4087" s="33" t="s">
        <v>109</v>
      </c>
      <c r="D4087" s="34" t="s">
        <v>1999</v>
      </c>
      <c r="E4087" s="35" t="str">
        <f t="shared" si="984"/>
        <v>PSNP'!</v>
      </c>
      <c r="F4087" s="34" t="str">
        <f t="shared" si="985"/>
        <v>C:\Users\jaime.benazar\Quorum Business Solutions\Ecopetrol Prometeo - Documents\Planning Space Implementation\3. Analysis &amp; Design\Design\FC22\DRR Jaime\QUIFA-CAJÚA\Cajua\[CAJUA_CF_SEC_New_27-Feb-2024Rev3.xlsx]D-PSNP'!</v>
      </c>
      <c r="G4087" s="32" t="s">
        <v>114</v>
      </c>
      <c r="H4087" s="33"/>
      <c r="I4087" s="33"/>
      <c r="J4087" s="37"/>
    </row>
    <row r="4088" spans="1:10" x14ac:dyDescent="0.25">
      <c r="A4088" s="32" t="s">
        <v>103</v>
      </c>
      <c r="B4088" s="32">
        <f t="shared" si="988"/>
        <v>2043</v>
      </c>
      <c r="C4088" s="33" t="s">
        <v>109</v>
      </c>
      <c r="D4088" s="34" t="s">
        <v>1999</v>
      </c>
      <c r="E4088" s="35" t="str">
        <f t="shared" si="984"/>
        <v>PSNP'!</v>
      </c>
      <c r="F4088" s="34" t="str">
        <f t="shared" si="985"/>
        <v>C:\Users\jaime.benazar\Quorum Business Solutions\Ecopetrol Prometeo - Documents\Planning Space Implementation\3. Analysis &amp; Design\Design\FC22\DRR Jaime\QUIFA-CAJÚA\Cajua\[CAJUA_CF_SEC_New_27-Feb-2024Rev3.xlsx]D-PSNP'!</v>
      </c>
      <c r="G4088" s="32" t="s">
        <v>114</v>
      </c>
      <c r="H4088" s="33"/>
      <c r="I4088" s="33"/>
      <c r="J4088" s="37"/>
    </row>
    <row r="4089" spans="1:10" x14ac:dyDescent="0.25">
      <c r="A4089" s="32" t="s">
        <v>103</v>
      </c>
      <c r="B4089" s="32">
        <f>+B4088+1</f>
        <v>2044</v>
      </c>
      <c r="C4089" s="33" t="s">
        <v>109</v>
      </c>
      <c r="D4089" s="34" t="s">
        <v>1999</v>
      </c>
      <c r="E4089" s="35" t="str">
        <f t="shared" ref="E4089:E4104" si="989">_xlfn.CONCAT(A4089,"'!")</f>
        <v>PSNP'!</v>
      </c>
      <c r="F4089" s="34" t="str">
        <f t="shared" ref="F4089:F4104" si="990">_xlfn.CONCAT(D4089:E4089)</f>
        <v>C:\Users\jaime.benazar\Quorum Business Solutions\Ecopetrol Prometeo - Documents\Planning Space Implementation\3. Analysis &amp; Design\Design\FC22\DRR Jaime\QUIFA-CAJÚA\Cajua\[CAJUA_CF_SEC_New_27-Feb-2024Rev3.xlsx]D-PSNP'!</v>
      </c>
      <c r="G4089" s="32" t="s">
        <v>114</v>
      </c>
      <c r="H4089" s="33"/>
      <c r="I4089" s="33"/>
      <c r="J4089" s="37"/>
    </row>
    <row r="4090" spans="1:10" x14ac:dyDescent="0.25">
      <c r="A4090" s="32" t="s">
        <v>103</v>
      </c>
      <c r="B4090" s="32">
        <f t="shared" ref="B4090:B4104" si="991">+B4089+1</f>
        <v>2045</v>
      </c>
      <c r="C4090" s="33" t="s">
        <v>109</v>
      </c>
      <c r="D4090" s="34" t="s">
        <v>1999</v>
      </c>
      <c r="E4090" s="35" t="str">
        <f t="shared" si="989"/>
        <v>PSNP'!</v>
      </c>
      <c r="F4090" s="34" t="str">
        <f t="shared" si="990"/>
        <v>C:\Users\jaime.benazar\Quorum Business Solutions\Ecopetrol Prometeo - Documents\Planning Space Implementation\3. Analysis &amp; Design\Design\FC22\DRR Jaime\QUIFA-CAJÚA\Cajua\[CAJUA_CF_SEC_New_27-Feb-2024Rev3.xlsx]D-PSNP'!</v>
      </c>
      <c r="G4090" s="32" t="s">
        <v>114</v>
      </c>
      <c r="H4090" s="33"/>
      <c r="I4090" s="33"/>
      <c r="J4090" s="37"/>
    </row>
    <row r="4091" spans="1:10" x14ac:dyDescent="0.25">
      <c r="A4091" s="32" t="s">
        <v>103</v>
      </c>
      <c r="B4091" s="32">
        <f t="shared" si="991"/>
        <v>2046</v>
      </c>
      <c r="C4091" s="33" t="s">
        <v>109</v>
      </c>
      <c r="D4091" s="34" t="s">
        <v>1999</v>
      </c>
      <c r="E4091" s="35" t="str">
        <f t="shared" si="989"/>
        <v>PSNP'!</v>
      </c>
      <c r="F4091" s="34" t="str">
        <f t="shared" si="990"/>
        <v>C:\Users\jaime.benazar\Quorum Business Solutions\Ecopetrol Prometeo - Documents\Planning Space Implementation\3. Analysis &amp; Design\Design\FC22\DRR Jaime\QUIFA-CAJÚA\Cajua\[CAJUA_CF_SEC_New_27-Feb-2024Rev3.xlsx]D-PSNP'!</v>
      </c>
      <c r="G4091" s="32" t="s">
        <v>114</v>
      </c>
      <c r="H4091" s="33"/>
      <c r="I4091" s="33"/>
      <c r="J4091" s="37"/>
    </row>
    <row r="4092" spans="1:10" x14ac:dyDescent="0.25">
      <c r="A4092" s="32" t="s">
        <v>103</v>
      </c>
      <c r="B4092" s="32">
        <f t="shared" si="991"/>
        <v>2047</v>
      </c>
      <c r="C4092" s="33" t="s">
        <v>109</v>
      </c>
      <c r="D4092" s="34" t="s">
        <v>1999</v>
      </c>
      <c r="E4092" s="35" t="str">
        <f t="shared" si="989"/>
        <v>PSNP'!</v>
      </c>
      <c r="F4092" s="34" t="str">
        <f t="shared" si="990"/>
        <v>C:\Users\jaime.benazar\Quorum Business Solutions\Ecopetrol Prometeo - Documents\Planning Space Implementation\3. Analysis &amp; Design\Design\FC22\DRR Jaime\QUIFA-CAJÚA\Cajua\[CAJUA_CF_SEC_New_27-Feb-2024Rev3.xlsx]D-PSNP'!</v>
      </c>
      <c r="G4092" s="32" t="s">
        <v>114</v>
      </c>
      <c r="H4092" s="33"/>
      <c r="I4092" s="33"/>
      <c r="J4092" s="37"/>
    </row>
    <row r="4093" spans="1:10" x14ac:dyDescent="0.25">
      <c r="A4093" s="32" t="s">
        <v>103</v>
      </c>
      <c r="B4093" s="32">
        <f t="shared" si="991"/>
        <v>2048</v>
      </c>
      <c r="C4093" s="33" t="s">
        <v>109</v>
      </c>
      <c r="D4093" s="34" t="s">
        <v>1999</v>
      </c>
      <c r="E4093" s="35" t="str">
        <f t="shared" si="989"/>
        <v>PSNP'!</v>
      </c>
      <c r="F4093" s="34" t="str">
        <f t="shared" si="990"/>
        <v>C:\Users\jaime.benazar\Quorum Business Solutions\Ecopetrol Prometeo - Documents\Planning Space Implementation\3. Analysis &amp; Design\Design\FC22\DRR Jaime\QUIFA-CAJÚA\Cajua\[CAJUA_CF_SEC_New_27-Feb-2024Rev3.xlsx]D-PSNP'!</v>
      </c>
      <c r="G4093" s="32" t="s">
        <v>114</v>
      </c>
      <c r="H4093" s="33"/>
      <c r="I4093" s="33"/>
      <c r="J4093" s="37"/>
    </row>
    <row r="4094" spans="1:10" x14ac:dyDescent="0.25">
      <c r="A4094" s="32" t="s">
        <v>103</v>
      </c>
      <c r="B4094" s="32">
        <f t="shared" si="991"/>
        <v>2049</v>
      </c>
      <c r="C4094" s="33" t="s">
        <v>109</v>
      </c>
      <c r="D4094" s="34" t="s">
        <v>1999</v>
      </c>
      <c r="E4094" s="35" t="str">
        <f t="shared" si="989"/>
        <v>PSNP'!</v>
      </c>
      <c r="F4094" s="34" t="str">
        <f t="shared" si="990"/>
        <v>C:\Users\jaime.benazar\Quorum Business Solutions\Ecopetrol Prometeo - Documents\Planning Space Implementation\3. Analysis &amp; Design\Design\FC22\DRR Jaime\QUIFA-CAJÚA\Cajua\[CAJUA_CF_SEC_New_27-Feb-2024Rev3.xlsx]D-PSNP'!</v>
      </c>
      <c r="G4094" s="32" t="s">
        <v>114</v>
      </c>
      <c r="H4094" s="33"/>
      <c r="I4094" s="33"/>
      <c r="J4094" s="37"/>
    </row>
    <row r="4095" spans="1:10" x14ac:dyDescent="0.25">
      <c r="A4095" s="32" t="s">
        <v>103</v>
      </c>
      <c r="B4095" s="32">
        <f t="shared" si="991"/>
        <v>2050</v>
      </c>
      <c r="C4095" s="33" t="s">
        <v>109</v>
      </c>
      <c r="D4095" s="34" t="s">
        <v>1999</v>
      </c>
      <c r="E4095" s="35" t="str">
        <f t="shared" si="989"/>
        <v>PSNP'!</v>
      </c>
      <c r="F4095" s="34" t="str">
        <f t="shared" si="990"/>
        <v>C:\Users\jaime.benazar\Quorum Business Solutions\Ecopetrol Prometeo - Documents\Planning Space Implementation\3. Analysis &amp; Design\Design\FC22\DRR Jaime\QUIFA-CAJÚA\Cajua\[CAJUA_CF_SEC_New_27-Feb-2024Rev3.xlsx]D-PSNP'!</v>
      </c>
      <c r="G4095" s="32" t="s">
        <v>114</v>
      </c>
      <c r="H4095" s="33"/>
      <c r="I4095" s="33"/>
      <c r="J4095" s="37"/>
    </row>
    <row r="4096" spans="1:10" x14ac:dyDescent="0.25">
      <c r="A4096" s="32" t="s">
        <v>103</v>
      </c>
      <c r="B4096" s="32">
        <f t="shared" si="991"/>
        <v>2051</v>
      </c>
      <c r="C4096" s="33" t="s">
        <v>109</v>
      </c>
      <c r="D4096" s="34" t="s">
        <v>1999</v>
      </c>
      <c r="E4096" s="35" t="str">
        <f t="shared" si="989"/>
        <v>PSNP'!</v>
      </c>
      <c r="F4096" s="34" t="str">
        <f t="shared" si="990"/>
        <v>C:\Users\jaime.benazar\Quorum Business Solutions\Ecopetrol Prometeo - Documents\Planning Space Implementation\3. Analysis &amp; Design\Design\FC22\DRR Jaime\QUIFA-CAJÚA\Cajua\[CAJUA_CF_SEC_New_27-Feb-2024Rev3.xlsx]D-PSNP'!</v>
      </c>
      <c r="G4096" s="32" t="s">
        <v>114</v>
      </c>
      <c r="H4096" s="33"/>
      <c r="I4096" s="33"/>
      <c r="J4096" s="37"/>
    </row>
    <row r="4097" spans="1:10" x14ac:dyDescent="0.25">
      <c r="A4097" s="32" t="s">
        <v>103</v>
      </c>
      <c r="B4097" s="32">
        <f t="shared" si="991"/>
        <v>2052</v>
      </c>
      <c r="C4097" s="33" t="s">
        <v>109</v>
      </c>
      <c r="D4097" s="34" t="s">
        <v>1999</v>
      </c>
      <c r="E4097" s="35" t="str">
        <f t="shared" si="989"/>
        <v>PSNP'!</v>
      </c>
      <c r="F4097" s="34" t="str">
        <f t="shared" si="990"/>
        <v>C:\Users\jaime.benazar\Quorum Business Solutions\Ecopetrol Prometeo - Documents\Planning Space Implementation\3. Analysis &amp; Design\Design\FC22\DRR Jaime\QUIFA-CAJÚA\Cajua\[CAJUA_CF_SEC_New_27-Feb-2024Rev3.xlsx]D-PSNP'!</v>
      </c>
      <c r="G4097" s="32" t="s">
        <v>114</v>
      </c>
      <c r="H4097" s="33"/>
      <c r="I4097" s="33"/>
      <c r="J4097" s="37"/>
    </row>
    <row r="4098" spans="1:10" x14ac:dyDescent="0.25">
      <c r="A4098" s="32" t="s">
        <v>103</v>
      </c>
      <c r="B4098" s="32">
        <f t="shared" si="991"/>
        <v>2053</v>
      </c>
      <c r="C4098" s="33" t="s">
        <v>109</v>
      </c>
      <c r="D4098" s="34" t="s">
        <v>1999</v>
      </c>
      <c r="E4098" s="35" t="str">
        <f t="shared" si="989"/>
        <v>PSNP'!</v>
      </c>
      <c r="F4098" s="34" t="str">
        <f t="shared" si="990"/>
        <v>C:\Users\jaime.benazar\Quorum Business Solutions\Ecopetrol Prometeo - Documents\Planning Space Implementation\3. Analysis &amp; Design\Design\FC22\DRR Jaime\QUIFA-CAJÚA\Cajua\[CAJUA_CF_SEC_New_27-Feb-2024Rev3.xlsx]D-PSNP'!</v>
      </c>
      <c r="G4098" s="32" t="s">
        <v>114</v>
      </c>
      <c r="H4098" s="33"/>
      <c r="I4098" s="33"/>
      <c r="J4098" s="37"/>
    </row>
    <row r="4099" spans="1:10" x14ac:dyDescent="0.25">
      <c r="A4099" s="32" t="s">
        <v>103</v>
      </c>
      <c r="B4099" s="32">
        <f t="shared" si="991"/>
        <v>2054</v>
      </c>
      <c r="C4099" s="33" t="s">
        <v>109</v>
      </c>
      <c r="D4099" s="34" t="s">
        <v>1999</v>
      </c>
      <c r="E4099" s="35" t="str">
        <f t="shared" si="989"/>
        <v>PSNP'!</v>
      </c>
      <c r="F4099" s="34" t="str">
        <f t="shared" si="990"/>
        <v>C:\Users\jaime.benazar\Quorum Business Solutions\Ecopetrol Prometeo - Documents\Planning Space Implementation\3. Analysis &amp; Design\Design\FC22\DRR Jaime\QUIFA-CAJÚA\Cajua\[CAJUA_CF_SEC_New_27-Feb-2024Rev3.xlsx]D-PSNP'!</v>
      </c>
      <c r="G4099" s="32" t="s">
        <v>114</v>
      </c>
      <c r="H4099" s="33"/>
      <c r="I4099" s="33"/>
      <c r="J4099" s="37"/>
    </row>
    <row r="4100" spans="1:10" x14ac:dyDescent="0.25">
      <c r="A4100" s="32" t="s">
        <v>103</v>
      </c>
      <c r="B4100" s="32">
        <f t="shared" si="991"/>
        <v>2055</v>
      </c>
      <c r="C4100" s="33" t="s">
        <v>109</v>
      </c>
      <c r="D4100" s="34" t="s">
        <v>1999</v>
      </c>
      <c r="E4100" s="35" t="str">
        <f t="shared" si="989"/>
        <v>PSNP'!</v>
      </c>
      <c r="F4100" s="34" t="str">
        <f t="shared" si="990"/>
        <v>C:\Users\jaime.benazar\Quorum Business Solutions\Ecopetrol Prometeo - Documents\Planning Space Implementation\3. Analysis &amp; Design\Design\FC22\DRR Jaime\QUIFA-CAJÚA\Cajua\[CAJUA_CF_SEC_New_27-Feb-2024Rev3.xlsx]D-PSNP'!</v>
      </c>
      <c r="G4100" s="32" t="s">
        <v>114</v>
      </c>
      <c r="H4100" s="33"/>
      <c r="I4100" s="33"/>
      <c r="J4100" s="37"/>
    </row>
    <row r="4101" spans="1:10" x14ac:dyDescent="0.25">
      <c r="A4101" s="32" t="s">
        <v>103</v>
      </c>
      <c r="B4101" s="32">
        <f t="shared" si="991"/>
        <v>2056</v>
      </c>
      <c r="C4101" s="33" t="s">
        <v>109</v>
      </c>
      <c r="D4101" s="34" t="s">
        <v>1999</v>
      </c>
      <c r="E4101" s="35" t="str">
        <f t="shared" si="989"/>
        <v>PSNP'!</v>
      </c>
      <c r="F4101" s="34" t="str">
        <f t="shared" si="990"/>
        <v>C:\Users\jaime.benazar\Quorum Business Solutions\Ecopetrol Prometeo - Documents\Planning Space Implementation\3. Analysis &amp; Design\Design\FC22\DRR Jaime\QUIFA-CAJÚA\Cajua\[CAJUA_CF_SEC_New_27-Feb-2024Rev3.xlsx]D-PSNP'!</v>
      </c>
      <c r="G4101" s="32" t="s">
        <v>114</v>
      </c>
      <c r="H4101" s="33"/>
      <c r="I4101" s="33"/>
      <c r="J4101" s="37"/>
    </row>
    <row r="4102" spans="1:10" x14ac:dyDescent="0.25">
      <c r="A4102" s="32" t="s">
        <v>103</v>
      </c>
      <c r="B4102" s="32">
        <f t="shared" si="991"/>
        <v>2057</v>
      </c>
      <c r="C4102" s="33" t="s">
        <v>109</v>
      </c>
      <c r="D4102" s="34" t="s">
        <v>1999</v>
      </c>
      <c r="E4102" s="35" t="str">
        <f t="shared" si="989"/>
        <v>PSNP'!</v>
      </c>
      <c r="F4102" s="34" t="str">
        <f t="shared" si="990"/>
        <v>C:\Users\jaime.benazar\Quorum Business Solutions\Ecopetrol Prometeo - Documents\Planning Space Implementation\3. Analysis &amp; Design\Design\FC22\DRR Jaime\QUIFA-CAJÚA\Cajua\[CAJUA_CF_SEC_New_27-Feb-2024Rev3.xlsx]D-PSNP'!</v>
      </c>
      <c r="G4102" s="32" t="s">
        <v>114</v>
      </c>
      <c r="H4102" s="33"/>
      <c r="I4102" s="33"/>
      <c r="J4102" s="37"/>
    </row>
    <row r="4103" spans="1:10" x14ac:dyDescent="0.25">
      <c r="A4103" s="32" t="s">
        <v>103</v>
      </c>
      <c r="B4103" s="32">
        <f t="shared" si="991"/>
        <v>2058</v>
      </c>
      <c r="C4103" s="33" t="s">
        <v>109</v>
      </c>
      <c r="D4103" s="34" t="s">
        <v>1999</v>
      </c>
      <c r="E4103" s="35" t="str">
        <f t="shared" si="989"/>
        <v>PSNP'!</v>
      </c>
      <c r="F4103" s="34" t="str">
        <f t="shared" si="990"/>
        <v>C:\Users\jaime.benazar\Quorum Business Solutions\Ecopetrol Prometeo - Documents\Planning Space Implementation\3. Analysis &amp; Design\Design\FC22\DRR Jaime\QUIFA-CAJÚA\Cajua\[CAJUA_CF_SEC_New_27-Feb-2024Rev3.xlsx]D-PSNP'!</v>
      </c>
      <c r="G4103" s="32" t="s">
        <v>114</v>
      </c>
      <c r="H4103" s="33"/>
      <c r="I4103" s="33"/>
      <c r="J4103" s="37"/>
    </row>
    <row r="4104" spans="1:10" x14ac:dyDescent="0.25">
      <c r="A4104" s="32" t="s">
        <v>103</v>
      </c>
      <c r="B4104" s="32">
        <f t="shared" si="991"/>
        <v>2059</v>
      </c>
      <c r="C4104" s="33" t="s">
        <v>109</v>
      </c>
      <c r="D4104" s="34" t="s">
        <v>1999</v>
      </c>
      <c r="E4104" s="35" t="str">
        <f t="shared" si="989"/>
        <v>PSNP'!</v>
      </c>
      <c r="F4104" s="34" t="str">
        <f t="shared" si="990"/>
        <v>C:\Users\jaime.benazar\Quorum Business Solutions\Ecopetrol Prometeo - Documents\Planning Space Implementation\3. Analysis &amp; Design\Design\FC22\DRR Jaime\QUIFA-CAJÚA\Cajua\[CAJUA_CF_SEC_New_27-Feb-2024Rev3.xlsx]D-PSNP'!</v>
      </c>
      <c r="G4104" s="32" t="s">
        <v>114</v>
      </c>
      <c r="H4104" s="33"/>
      <c r="I4104" s="33"/>
      <c r="J4104" s="37"/>
    </row>
    <row r="4105" spans="1:10" x14ac:dyDescent="0.25">
      <c r="A4105" s="32" t="s">
        <v>28</v>
      </c>
      <c r="B4105" s="32"/>
      <c r="C4105" s="33" t="s">
        <v>109</v>
      </c>
      <c r="D4105" s="34"/>
      <c r="E4105" s="35"/>
      <c r="F4105" s="34"/>
      <c r="G4105" s="32"/>
      <c r="H4105" s="33"/>
      <c r="I4105" s="33"/>
      <c r="J4105" s="36"/>
    </row>
    <row r="4106" spans="1:10" x14ac:dyDescent="0.25">
      <c r="A4106" s="32" t="s">
        <v>104</v>
      </c>
      <c r="B4106" s="32">
        <v>2023</v>
      </c>
      <c r="C4106" s="33" t="s">
        <v>109</v>
      </c>
      <c r="D4106" s="34" t="s">
        <v>1999</v>
      </c>
      <c r="E4106" s="35" t="str">
        <f t="shared" ref="E4106:E4126" si="992">_xlfn.CONCAT(A4106,"'!")</f>
        <v>PSND'!</v>
      </c>
      <c r="F4106" s="34" t="str">
        <f t="shared" ref="F4106:F4126" si="993">_xlfn.CONCAT(D4106:E4106)</f>
        <v>C:\Users\jaime.benazar\Quorum Business Solutions\Ecopetrol Prometeo - Documents\Planning Space Implementation\3. Analysis &amp; Design\Design\FC22\DRR Jaime\QUIFA-CAJÚA\Cajua\[CAJUA_CF_SEC_New_27-Feb-2024Rev3.xlsx]D-PSND'!</v>
      </c>
      <c r="G4106" s="32" t="s">
        <v>114</v>
      </c>
      <c r="H4106" s="33"/>
      <c r="I4106" s="33"/>
      <c r="J4106" s="37"/>
    </row>
    <row r="4107" spans="1:10" x14ac:dyDescent="0.25">
      <c r="A4107" s="32" t="s">
        <v>104</v>
      </c>
      <c r="B4107" s="32">
        <f>+B4106+1</f>
        <v>2024</v>
      </c>
      <c r="C4107" s="33" t="s">
        <v>109</v>
      </c>
      <c r="D4107" s="34" t="s">
        <v>1999</v>
      </c>
      <c r="E4107" s="35" t="str">
        <f t="shared" si="992"/>
        <v>PSND'!</v>
      </c>
      <c r="F4107" s="34" t="str">
        <f t="shared" si="993"/>
        <v>C:\Users\jaime.benazar\Quorum Business Solutions\Ecopetrol Prometeo - Documents\Planning Space Implementation\3. Analysis &amp; Design\Design\FC22\DRR Jaime\QUIFA-CAJÚA\Cajua\[CAJUA_CF_SEC_New_27-Feb-2024Rev3.xlsx]D-PSND'!</v>
      </c>
      <c r="G4107" s="32" t="s">
        <v>114</v>
      </c>
      <c r="H4107" s="33"/>
      <c r="I4107" s="33"/>
      <c r="J4107" s="37"/>
    </row>
    <row r="4108" spans="1:10" x14ac:dyDescent="0.25">
      <c r="A4108" s="32" t="s">
        <v>104</v>
      </c>
      <c r="B4108" s="32">
        <f t="shared" ref="B4108:B4119" si="994">+B4107+1</f>
        <v>2025</v>
      </c>
      <c r="C4108" s="33" t="s">
        <v>109</v>
      </c>
      <c r="D4108" s="34" t="s">
        <v>1999</v>
      </c>
      <c r="E4108" s="35" t="str">
        <f t="shared" si="992"/>
        <v>PSND'!</v>
      </c>
      <c r="F4108" s="34" t="str">
        <f t="shared" si="993"/>
        <v>C:\Users\jaime.benazar\Quorum Business Solutions\Ecopetrol Prometeo - Documents\Planning Space Implementation\3. Analysis &amp; Design\Design\FC22\DRR Jaime\QUIFA-CAJÚA\Cajua\[CAJUA_CF_SEC_New_27-Feb-2024Rev3.xlsx]D-PSND'!</v>
      </c>
      <c r="G4108" s="32" t="s">
        <v>114</v>
      </c>
      <c r="H4108" s="33"/>
      <c r="I4108" s="33"/>
      <c r="J4108" s="37"/>
    </row>
    <row r="4109" spans="1:10" x14ac:dyDescent="0.25">
      <c r="A4109" s="32" t="s">
        <v>104</v>
      </c>
      <c r="B4109" s="32">
        <f t="shared" si="994"/>
        <v>2026</v>
      </c>
      <c r="C4109" s="33" t="s">
        <v>109</v>
      </c>
      <c r="D4109" s="34" t="s">
        <v>1999</v>
      </c>
      <c r="E4109" s="35" t="str">
        <f t="shared" si="992"/>
        <v>PSND'!</v>
      </c>
      <c r="F4109" s="34" t="str">
        <f t="shared" si="993"/>
        <v>C:\Users\jaime.benazar\Quorum Business Solutions\Ecopetrol Prometeo - Documents\Planning Space Implementation\3. Analysis &amp; Design\Design\FC22\DRR Jaime\QUIFA-CAJÚA\Cajua\[CAJUA_CF_SEC_New_27-Feb-2024Rev3.xlsx]D-PSND'!</v>
      </c>
      <c r="G4109" s="32" t="s">
        <v>114</v>
      </c>
      <c r="H4109" s="33"/>
      <c r="I4109" s="33"/>
      <c r="J4109" s="37"/>
    </row>
    <row r="4110" spans="1:10" x14ac:dyDescent="0.25">
      <c r="A4110" s="32" t="s">
        <v>104</v>
      </c>
      <c r="B4110" s="32">
        <f t="shared" si="994"/>
        <v>2027</v>
      </c>
      <c r="C4110" s="33" t="s">
        <v>109</v>
      </c>
      <c r="D4110" s="34" t="s">
        <v>1999</v>
      </c>
      <c r="E4110" s="35" t="str">
        <f t="shared" si="992"/>
        <v>PSND'!</v>
      </c>
      <c r="F4110" s="34" t="str">
        <f t="shared" si="993"/>
        <v>C:\Users\jaime.benazar\Quorum Business Solutions\Ecopetrol Prometeo - Documents\Planning Space Implementation\3. Analysis &amp; Design\Design\FC22\DRR Jaime\QUIFA-CAJÚA\Cajua\[CAJUA_CF_SEC_New_27-Feb-2024Rev3.xlsx]D-PSND'!</v>
      </c>
      <c r="G4110" s="32" t="s">
        <v>114</v>
      </c>
      <c r="H4110" s="33"/>
      <c r="I4110" s="33"/>
      <c r="J4110" s="37"/>
    </row>
    <row r="4111" spans="1:10" x14ac:dyDescent="0.25">
      <c r="A4111" s="32" t="s">
        <v>104</v>
      </c>
      <c r="B4111" s="32">
        <f t="shared" si="994"/>
        <v>2028</v>
      </c>
      <c r="C4111" s="33" t="s">
        <v>109</v>
      </c>
      <c r="D4111" s="34" t="s">
        <v>1999</v>
      </c>
      <c r="E4111" s="35" t="str">
        <f t="shared" si="992"/>
        <v>PSND'!</v>
      </c>
      <c r="F4111" s="34" t="str">
        <f t="shared" si="993"/>
        <v>C:\Users\jaime.benazar\Quorum Business Solutions\Ecopetrol Prometeo - Documents\Planning Space Implementation\3. Analysis &amp; Design\Design\FC22\DRR Jaime\QUIFA-CAJÚA\Cajua\[CAJUA_CF_SEC_New_27-Feb-2024Rev3.xlsx]D-PSND'!</v>
      </c>
      <c r="G4111" s="32" t="s">
        <v>114</v>
      </c>
      <c r="H4111" s="33"/>
      <c r="I4111" s="33"/>
      <c r="J4111" s="37"/>
    </row>
    <row r="4112" spans="1:10" x14ac:dyDescent="0.25">
      <c r="A4112" s="32" t="s">
        <v>104</v>
      </c>
      <c r="B4112" s="32">
        <f t="shared" si="994"/>
        <v>2029</v>
      </c>
      <c r="C4112" s="33" t="s">
        <v>109</v>
      </c>
      <c r="D4112" s="34" t="s">
        <v>1999</v>
      </c>
      <c r="E4112" s="35" t="str">
        <f t="shared" si="992"/>
        <v>PSND'!</v>
      </c>
      <c r="F4112" s="34" t="str">
        <f t="shared" si="993"/>
        <v>C:\Users\jaime.benazar\Quorum Business Solutions\Ecopetrol Prometeo - Documents\Planning Space Implementation\3. Analysis &amp; Design\Design\FC22\DRR Jaime\QUIFA-CAJÚA\Cajua\[CAJUA_CF_SEC_New_27-Feb-2024Rev3.xlsx]D-PSND'!</v>
      </c>
      <c r="G4112" s="32" t="s">
        <v>114</v>
      </c>
      <c r="H4112" s="33"/>
      <c r="I4112" s="33"/>
      <c r="J4112" s="37"/>
    </row>
    <row r="4113" spans="1:10" x14ac:dyDescent="0.25">
      <c r="A4113" s="32" t="s">
        <v>104</v>
      </c>
      <c r="B4113" s="32">
        <f t="shared" si="994"/>
        <v>2030</v>
      </c>
      <c r="C4113" s="33" t="s">
        <v>109</v>
      </c>
      <c r="D4113" s="34" t="s">
        <v>1999</v>
      </c>
      <c r="E4113" s="35" t="str">
        <f t="shared" si="992"/>
        <v>PSND'!</v>
      </c>
      <c r="F4113" s="34" t="str">
        <f t="shared" si="993"/>
        <v>C:\Users\jaime.benazar\Quorum Business Solutions\Ecopetrol Prometeo - Documents\Planning Space Implementation\3. Analysis &amp; Design\Design\FC22\DRR Jaime\QUIFA-CAJÚA\Cajua\[CAJUA_CF_SEC_New_27-Feb-2024Rev3.xlsx]D-PSND'!</v>
      </c>
      <c r="G4113" s="32" t="s">
        <v>114</v>
      </c>
      <c r="H4113" s="33"/>
      <c r="I4113" s="33"/>
      <c r="J4113" s="37"/>
    </row>
    <row r="4114" spans="1:10" x14ac:dyDescent="0.25">
      <c r="A4114" s="32" t="s">
        <v>104</v>
      </c>
      <c r="B4114" s="32">
        <f t="shared" si="994"/>
        <v>2031</v>
      </c>
      <c r="C4114" s="33" t="s">
        <v>109</v>
      </c>
      <c r="D4114" s="34" t="s">
        <v>1999</v>
      </c>
      <c r="E4114" s="35" t="str">
        <f t="shared" si="992"/>
        <v>PSND'!</v>
      </c>
      <c r="F4114" s="34" t="str">
        <f t="shared" si="993"/>
        <v>C:\Users\jaime.benazar\Quorum Business Solutions\Ecopetrol Prometeo - Documents\Planning Space Implementation\3. Analysis &amp; Design\Design\FC22\DRR Jaime\QUIFA-CAJÚA\Cajua\[CAJUA_CF_SEC_New_27-Feb-2024Rev3.xlsx]D-PSND'!</v>
      </c>
      <c r="G4114" s="32" t="s">
        <v>114</v>
      </c>
      <c r="H4114" s="33"/>
      <c r="I4114" s="33"/>
      <c r="J4114" s="37"/>
    </row>
    <row r="4115" spans="1:10" x14ac:dyDescent="0.25">
      <c r="A4115" s="32" t="s">
        <v>104</v>
      </c>
      <c r="B4115" s="32">
        <f t="shared" si="994"/>
        <v>2032</v>
      </c>
      <c r="C4115" s="33" t="s">
        <v>109</v>
      </c>
      <c r="D4115" s="34" t="s">
        <v>1999</v>
      </c>
      <c r="E4115" s="35" t="str">
        <f t="shared" si="992"/>
        <v>PSND'!</v>
      </c>
      <c r="F4115" s="34" t="str">
        <f t="shared" si="993"/>
        <v>C:\Users\jaime.benazar\Quorum Business Solutions\Ecopetrol Prometeo - Documents\Planning Space Implementation\3. Analysis &amp; Design\Design\FC22\DRR Jaime\QUIFA-CAJÚA\Cajua\[CAJUA_CF_SEC_New_27-Feb-2024Rev3.xlsx]D-PSND'!</v>
      </c>
      <c r="G4115" s="32" t="s">
        <v>114</v>
      </c>
      <c r="H4115" s="33"/>
      <c r="I4115" s="33"/>
      <c r="J4115" s="37"/>
    </row>
    <row r="4116" spans="1:10" x14ac:dyDescent="0.25">
      <c r="A4116" s="32" t="s">
        <v>104</v>
      </c>
      <c r="B4116" s="32">
        <f t="shared" si="994"/>
        <v>2033</v>
      </c>
      <c r="C4116" s="33" t="s">
        <v>109</v>
      </c>
      <c r="D4116" s="34" t="s">
        <v>1999</v>
      </c>
      <c r="E4116" s="35" t="str">
        <f t="shared" si="992"/>
        <v>PSND'!</v>
      </c>
      <c r="F4116" s="34" t="str">
        <f t="shared" si="993"/>
        <v>C:\Users\jaime.benazar\Quorum Business Solutions\Ecopetrol Prometeo - Documents\Planning Space Implementation\3. Analysis &amp; Design\Design\FC22\DRR Jaime\QUIFA-CAJÚA\Cajua\[CAJUA_CF_SEC_New_27-Feb-2024Rev3.xlsx]D-PSND'!</v>
      </c>
      <c r="G4116" s="32" t="s">
        <v>114</v>
      </c>
      <c r="H4116" s="33"/>
      <c r="I4116" s="33"/>
      <c r="J4116" s="37"/>
    </row>
    <row r="4117" spans="1:10" x14ac:dyDescent="0.25">
      <c r="A4117" s="32" t="s">
        <v>104</v>
      </c>
      <c r="B4117" s="32">
        <f t="shared" si="994"/>
        <v>2034</v>
      </c>
      <c r="C4117" s="33" t="s">
        <v>109</v>
      </c>
      <c r="D4117" s="34" t="s">
        <v>1999</v>
      </c>
      <c r="E4117" s="35" t="str">
        <f t="shared" si="992"/>
        <v>PSND'!</v>
      </c>
      <c r="F4117" s="34" t="str">
        <f t="shared" si="993"/>
        <v>C:\Users\jaime.benazar\Quorum Business Solutions\Ecopetrol Prometeo - Documents\Planning Space Implementation\3. Analysis &amp; Design\Design\FC22\DRR Jaime\QUIFA-CAJÚA\Cajua\[CAJUA_CF_SEC_New_27-Feb-2024Rev3.xlsx]D-PSND'!</v>
      </c>
      <c r="G4117" s="32" t="s">
        <v>114</v>
      </c>
      <c r="H4117" s="33"/>
      <c r="I4117" s="33"/>
      <c r="J4117" s="37"/>
    </row>
    <row r="4118" spans="1:10" x14ac:dyDescent="0.25">
      <c r="A4118" s="32" t="s">
        <v>104</v>
      </c>
      <c r="B4118" s="32">
        <f t="shared" si="994"/>
        <v>2035</v>
      </c>
      <c r="C4118" s="33" t="s">
        <v>109</v>
      </c>
      <c r="D4118" s="34" t="s">
        <v>1999</v>
      </c>
      <c r="E4118" s="35" t="str">
        <f t="shared" si="992"/>
        <v>PSND'!</v>
      </c>
      <c r="F4118" s="34" t="str">
        <f t="shared" si="993"/>
        <v>C:\Users\jaime.benazar\Quorum Business Solutions\Ecopetrol Prometeo - Documents\Planning Space Implementation\3. Analysis &amp; Design\Design\FC22\DRR Jaime\QUIFA-CAJÚA\Cajua\[CAJUA_CF_SEC_New_27-Feb-2024Rev3.xlsx]D-PSND'!</v>
      </c>
      <c r="G4118" s="32" t="s">
        <v>114</v>
      </c>
      <c r="H4118" s="33"/>
      <c r="I4118" s="33"/>
      <c r="J4118" s="37"/>
    </row>
    <row r="4119" spans="1:10" x14ac:dyDescent="0.25">
      <c r="A4119" s="32" t="s">
        <v>104</v>
      </c>
      <c r="B4119" s="32">
        <f t="shared" si="994"/>
        <v>2036</v>
      </c>
      <c r="C4119" s="33" t="s">
        <v>109</v>
      </c>
      <c r="D4119" s="34" t="s">
        <v>1999</v>
      </c>
      <c r="E4119" s="35" t="str">
        <f t="shared" si="992"/>
        <v>PSND'!</v>
      </c>
      <c r="F4119" s="34" t="str">
        <f t="shared" si="993"/>
        <v>C:\Users\jaime.benazar\Quorum Business Solutions\Ecopetrol Prometeo - Documents\Planning Space Implementation\3. Analysis &amp; Design\Design\FC22\DRR Jaime\QUIFA-CAJÚA\Cajua\[CAJUA_CF_SEC_New_27-Feb-2024Rev3.xlsx]D-PSND'!</v>
      </c>
      <c r="G4119" s="32" t="s">
        <v>114</v>
      </c>
      <c r="H4119" s="33"/>
      <c r="I4119" s="33"/>
      <c r="J4119" s="37"/>
    </row>
    <row r="4120" spans="1:10" x14ac:dyDescent="0.25">
      <c r="A4120" s="32" t="s">
        <v>104</v>
      </c>
      <c r="B4120" s="32">
        <f>+B4119+1</f>
        <v>2037</v>
      </c>
      <c r="C4120" s="33" t="s">
        <v>109</v>
      </c>
      <c r="D4120" s="34" t="s">
        <v>1999</v>
      </c>
      <c r="E4120" s="35" t="str">
        <f t="shared" si="992"/>
        <v>PSND'!</v>
      </c>
      <c r="F4120" s="34" t="str">
        <f t="shared" si="993"/>
        <v>C:\Users\jaime.benazar\Quorum Business Solutions\Ecopetrol Prometeo - Documents\Planning Space Implementation\3. Analysis &amp; Design\Design\FC22\DRR Jaime\QUIFA-CAJÚA\Cajua\[CAJUA_CF_SEC_New_27-Feb-2024Rev3.xlsx]D-PSND'!</v>
      </c>
      <c r="G4120" s="32" t="s">
        <v>114</v>
      </c>
      <c r="H4120" s="33"/>
      <c r="I4120" s="33"/>
      <c r="J4120" s="37"/>
    </row>
    <row r="4121" spans="1:10" x14ac:dyDescent="0.25">
      <c r="A4121" s="32" t="s">
        <v>104</v>
      </c>
      <c r="B4121" s="32">
        <f t="shared" ref="B4121:B4123" si="995">+B4120+1</f>
        <v>2038</v>
      </c>
      <c r="C4121" s="33" t="s">
        <v>109</v>
      </c>
      <c r="D4121" s="34" t="s">
        <v>1999</v>
      </c>
      <c r="E4121" s="35" t="str">
        <f t="shared" si="992"/>
        <v>PSND'!</v>
      </c>
      <c r="F4121" s="34" t="str">
        <f t="shared" si="993"/>
        <v>C:\Users\jaime.benazar\Quorum Business Solutions\Ecopetrol Prometeo - Documents\Planning Space Implementation\3. Analysis &amp; Design\Design\FC22\DRR Jaime\QUIFA-CAJÚA\Cajua\[CAJUA_CF_SEC_New_27-Feb-2024Rev3.xlsx]D-PSND'!</v>
      </c>
      <c r="G4121" s="32" t="s">
        <v>114</v>
      </c>
      <c r="H4121" s="33"/>
      <c r="I4121" s="33"/>
      <c r="J4121" s="37"/>
    </row>
    <row r="4122" spans="1:10" x14ac:dyDescent="0.25">
      <c r="A4122" s="32" t="s">
        <v>104</v>
      </c>
      <c r="B4122" s="32">
        <f t="shared" si="995"/>
        <v>2039</v>
      </c>
      <c r="C4122" s="33" t="s">
        <v>109</v>
      </c>
      <c r="D4122" s="34" t="s">
        <v>1999</v>
      </c>
      <c r="E4122" s="35" t="str">
        <f t="shared" si="992"/>
        <v>PSND'!</v>
      </c>
      <c r="F4122" s="34" t="str">
        <f t="shared" si="993"/>
        <v>C:\Users\jaime.benazar\Quorum Business Solutions\Ecopetrol Prometeo - Documents\Planning Space Implementation\3. Analysis &amp; Design\Design\FC22\DRR Jaime\QUIFA-CAJÚA\Cajua\[CAJUA_CF_SEC_New_27-Feb-2024Rev3.xlsx]D-PSND'!</v>
      </c>
      <c r="G4122" s="32" t="s">
        <v>114</v>
      </c>
      <c r="H4122" s="33"/>
      <c r="I4122" s="33"/>
      <c r="J4122" s="37"/>
    </row>
    <row r="4123" spans="1:10" x14ac:dyDescent="0.25">
      <c r="A4123" s="32" t="s">
        <v>104</v>
      </c>
      <c r="B4123" s="32">
        <f t="shared" si="995"/>
        <v>2040</v>
      </c>
      <c r="C4123" s="33" t="s">
        <v>109</v>
      </c>
      <c r="D4123" s="34" t="s">
        <v>1999</v>
      </c>
      <c r="E4123" s="35" t="str">
        <f t="shared" si="992"/>
        <v>PSND'!</v>
      </c>
      <c r="F4123" s="34" t="str">
        <f t="shared" si="993"/>
        <v>C:\Users\jaime.benazar\Quorum Business Solutions\Ecopetrol Prometeo - Documents\Planning Space Implementation\3. Analysis &amp; Design\Design\FC22\DRR Jaime\QUIFA-CAJÚA\Cajua\[CAJUA_CF_SEC_New_27-Feb-2024Rev3.xlsx]D-PSND'!</v>
      </c>
      <c r="G4123" s="32" t="s">
        <v>114</v>
      </c>
      <c r="H4123" s="33"/>
      <c r="I4123" s="33"/>
      <c r="J4123" s="37"/>
    </row>
    <row r="4124" spans="1:10" x14ac:dyDescent="0.25">
      <c r="A4124" s="32" t="s">
        <v>104</v>
      </c>
      <c r="B4124" s="32">
        <f>+B4123+1</f>
        <v>2041</v>
      </c>
      <c r="C4124" s="33" t="s">
        <v>109</v>
      </c>
      <c r="D4124" s="34" t="s">
        <v>1999</v>
      </c>
      <c r="E4124" s="35" t="str">
        <f t="shared" si="992"/>
        <v>PSND'!</v>
      </c>
      <c r="F4124" s="34" t="str">
        <f t="shared" si="993"/>
        <v>C:\Users\jaime.benazar\Quorum Business Solutions\Ecopetrol Prometeo - Documents\Planning Space Implementation\3. Analysis &amp; Design\Design\FC22\DRR Jaime\QUIFA-CAJÚA\Cajua\[CAJUA_CF_SEC_New_27-Feb-2024Rev3.xlsx]D-PSND'!</v>
      </c>
      <c r="G4124" s="32" t="s">
        <v>114</v>
      </c>
      <c r="H4124" s="33"/>
      <c r="I4124" s="33"/>
      <c r="J4124" s="37"/>
    </row>
    <row r="4125" spans="1:10" x14ac:dyDescent="0.25">
      <c r="A4125" s="32" t="s">
        <v>104</v>
      </c>
      <c r="B4125" s="32">
        <f t="shared" ref="B4125:B4126" si="996">+B4124+1</f>
        <v>2042</v>
      </c>
      <c r="C4125" s="33" t="s">
        <v>109</v>
      </c>
      <c r="D4125" s="34" t="s">
        <v>1999</v>
      </c>
      <c r="E4125" s="35" t="str">
        <f t="shared" si="992"/>
        <v>PSND'!</v>
      </c>
      <c r="F4125" s="34" t="str">
        <f t="shared" si="993"/>
        <v>C:\Users\jaime.benazar\Quorum Business Solutions\Ecopetrol Prometeo - Documents\Planning Space Implementation\3. Analysis &amp; Design\Design\FC22\DRR Jaime\QUIFA-CAJÚA\Cajua\[CAJUA_CF_SEC_New_27-Feb-2024Rev3.xlsx]D-PSND'!</v>
      </c>
      <c r="G4125" s="32" t="s">
        <v>114</v>
      </c>
      <c r="H4125" s="33"/>
      <c r="I4125" s="33"/>
      <c r="J4125" s="37"/>
    </row>
    <row r="4126" spans="1:10" x14ac:dyDescent="0.25">
      <c r="A4126" s="32" t="s">
        <v>104</v>
      </c>
      <c r="B4126" s="32">
        <f t="shared" si="996"/>
        <v>2043</v>
      </c>
      <c r="C4126" s="33" t="s">
        <v>109</v>
      </c>
      <c r="D4126" s="34" t="s">
        <v>1999</v>
      </c>
      <c r="E4126" s="35" t="str">
        <f t="shared" si="992"/>
        <v>PSND'!</v>
      </c>
      <c r="F4126" s="34" t="str">
        <f t="shared" si="993"/>
        <v>C:\Users\jaime.benazar\Quorum Business Solutions\Ecopetrol Prometeo - Documents\Planning Space Implementation\3. Analysis &amp; Design\Design\FC22\DRR Jaime\QUIFA-CAJÚA\Cajua\[CAJUA_CF_SEC_New_27-Feb-2024Rev3.xlsx]D-PSND'!</v>
      </c>
      <c r="G4126" s="32" t="s">
        <v>114</v>
      </c>
      <c r="H4126" s="33"/>
      <c r="I4126" s="33"/>
      <c r="J4126" s="37"/>
    </row>
    <row r="4127" spans="1:10" x14ac:dyDescent="0.25">
      <c r="A4127" s="32" t="s">
        <v>104</v>
      </c>
      <c r="B4127" s="32">
        <f>+B4126+1</f>
        <v>2044</v>
      </c>
      <c r="C4127" s="33" t="s">
        <v>109</v>
      </c>
      <c r="D4127" s="34" t="s">
        <v>1999</v>
      </c>
      <c r="E4127" s="35" t="str">
        <f t="shared" ref="E4127:E4142" si="997">_xlfn.CONCAT(A4127,"'!")</f>
        <v>PSND'!</v>
      </c>
      <c r="F4127" s="34" t="str">
        <f t="shared" ref="F4127:F4142" si="998">_xlfn.CONCAT(D4127:E4127)</f>
        <v>C:\Users\jaime.benazar\Quorum Business Solutions\Ecopetrol Prometeo - Documents\Planning Space Implementation\3. Analysis &amp; Design\Design\FC22\DRR Jaime\QUIFA-CAJÚA\Cajua\[CAJUA_CF_SEC_New_27-Feb-2024Rev3.xlsx]D-PSND'!</v>
      </c>
      <c r="G4127" s="32" t="s">
        <v>114</v>
      </c>
      <c r="H4127" s="33"/>
      <c r="I4127" s="33"/>
      <c r="J4127" s="37"/>
    </row>
    <row r="4128" spans="1:10" x14ac:dyDescent="0.25">
      <c r="A4128" s="32" t="s">
        <v>104</v>
      </c>
      <c r="B4128" s="32">
        <f t="shared" ref="B4128:B4142" si="999">+B4127+1</f>
        <v>2045</v>
      </c>
      <c r="C4128" s="33" t="s">
        <v>109</v>
      </c>
      <c r="D4128" s="34" t="s">
        <v>1999</v>
      </c>
      <c r="E4128" s="35" t="str">
        <f t="shared" si="997"/>
        <v>PSND'!</v>
      </c>
      <c r="F4128" s="34" t="str">
        <f t="shared" si="998"/>
        <v>C:\Users\jaime.benazar\Quorum Business Solutions\Ecopetrol Prometeo - Documents\Planning Space Implementation\3. Analysis &amp; Design\Design\FC22\DRR Jaime\QUIFA-CAJÚA\Cajua\[CAJUA_CF_SEC_New_27-Feb-2024Rev3.xlsx]D-PSND'!</v>
      </c>
      <c r="G4128" s="32" t="s">
        <v>114</v>
      </c>
      <c r="H4128" s="33"/>
      <c r="I4128" s="33"/>
      <c r="J4128" s="37"/>
    </row>
    <row r="4129" spans="1:10" x14ac:dyDescent="0.25">
      <c r="A4129" s="32" t="s">
        <v>104</v>
      </c>
      <c r="B4129" s="32">
        <f t="shared" si="999"/>
        <v>2046</v>
      </c>
      <c r="C4129" s="33" t="s">
        <v>109</v>
      </c>
      <c r="D4129" s="34" t="s">
        <v>1999</v>
      </c>
      <c r="E4129" s="35" t="str">
        <f t="shared" si="997"/>
        <v>PSND'!</v>
      </c>
      <c r="F4129" s="34" t="str">
        <f t="shared" si="998"/>
        <v>C:\Users\jaime.benazar\Quorum Business Solutions\Ecopetrol Prometeo - Documents\Planning Space Implementation\3. Analysis &amp; Design\Design\FC22\DRR Jaime\QUIFA-CAJÚA\Cajua\[CAJUA_CF_SEC_New_27-Feb-2024Rev3.xlsx]D-PSND'!</v>
      </c>
      <c r="G4129" s="32" t="s">
        <v>114</v>
      </c>
      <c r="H4129" s="33"/>
      <c r="I4129" s="33"/>
      <c r="J4129" s="37"/>
    </row>
    <row r="4130" spans="1:10" x14ac:dyDescent="0.25">
      <c r="A4130" s="32" t="s">
        <v>104</v>
      </c>
      <c r="B4130" s="32">
        <f t="shared" si="999"/>
        <v>2047</v>
      </c>
      <c r="C4130" s="33" t="s">
        <v>109</v>
      </c>
      <c r="D4130" s="34" t="s">
        <v>1999</v>
      </c>
      <c r="E4130" s="35" t="str">
        <f t="shared" si="997"/>
        <v>PSND'!</v>
      </c>
      <c r="F4130" s="34" t="str">
        <f t="shared" si="998"/>
        <v>C:\Users\jaime.benazar\Quorum Business Solutions\Ecopetrol Prometeo - Documents\Planning Space Implementation\3. Analysis &amp; Design\Design\FC22\DRR Jaime\QUIFA-CAJÚA\Cajua\[CAJUA_CF_SEC_New_27-Feb-2024Rev3.xlsx]D-PSND'!</v>
      </c>
      <c r="G4130" s="32" t="s">
        <v>114</v>
      </c>
      <c r="H4130" s="33"/>
      <c r="I4130" s="33"/>
      <c r="J4130" s="37"/>
    </row>
    <row r="4131" spans="1:10" x14ac:dyDescent="0.25">
      <c r="A4131" s="32" t="s">
        <v>104</v>
      </c>
      <c r="B4131" s="32">
        <f t="shared" si="999"/>
        <v>2048</v>
      </c>
      <c r="C4131" s="33" t="s">
        <v>109</v>
      </c>
      <c r="D4131" s="34" t="s">
        <v>1999</v>
      </c>
      <c r="E4131" s="35" t="str">
        <f t="shared" si="997"/>
        <v>PSND'!</v>
      </c>
      <c r="F4131" s="34" t="str">
        <f t="shared" si="998"/>
        <v>C:\Users\jaime.benazar\Quorum Business Solutions\Ecopetrol Prometeo - Documents\Planning Space Implementation\3. Analysis &amp; Design\Design\FC22\DRR Jaime\QUIFA-CAJÚA\Cajua\[CAJUA_CF_SEC_New_27-Feb-2024Rev3.xlsx]D-PSND'!</v>
      </c>
      <c r="G4131" s="32" t="s">
        <v>114</v>
      </c>
      <c r="H4131" s="33"/>
      <c r="I4131" s="33"/>
      <c r="J4131" s="37"/>
    </row>
    <row r="4132" spans="1:10" x14ac:dyDescent="0.25">
      <c r="A4132" s="32" t="s">
        <v>104</v>
      </c>
      <c r="B4132" s="32">
        <f t="shared" si="999"/>
        <v>2049</v>
      </c>
      <c r="C4132" s="33" t="s">
        <v>109</v>
      </c>
      <c r="D4132" s="34" t="s">
        <v>1999</v>
      </c>
      <c r="E4132" s="35" t="str">
        <f t="shared" si="997"/>
        <v>PSND'!</v>
      </c>
      <c r="F4132" s="34" t="str">
        <f t="shared" si="998"/>
        <v>C:\Users\jaime.benazar\Quorum Business Solutions\Ecopetrol Prometeo - Documents\Planning Space Implementation\3. Analysis &amp; Design\Design\FC22\DRR Jaime\QUIFA-CAJÚA\Cajua\[CAJUA_CF_SEC_New_27-Feb-2024Rev3.xlsx]D-PSND'!</v>
      </c>
      <c r="G4132" s="32" t="s">
        <v>114</v>
      </c>
      <c r="H4132" s="33"/>
      <c r="I4132" s="33"/>
      <c r="J4132" s="37"/>
    </row>
    <row r="4133" spans="1:10" x14ac:dyDescent="0.25">
      <c r="A4133" s="32" t="s">
        <v>104</v>
      </c>
      <c r="B4133" s="32">
        <f t="shared" si="999"/>
        <v>2050</v>
      </c>
      <c r="C4133" s="33" t="s">
        <v>109</v>
      </c>
      <c r="D4133" s="34" t="s">
        <v>1999</v>
      </c>
      <c r="E4133" s="35" t="str">
        <f t="shared" si="997"/>
        <v>PSND'!</v>
      </c>
      <c r="F4133" s="34" t="str">
        <f t="shared" si="998"/>
        <v>C:\Users\jaime.benazar\Quorum Business Solutions\Ecopetrol Prometeo - Documents\Planning Space Implementation\3. Analysis &amp; Design\Design\FC22\DRR Jaime\QUIFA-CAJÚA\Cajua\[CAJUA_CF_SEC_New_27-Feb-2024Rev3.xlsx]D-PSND'!</v>
      </c>
      <c r="G4133" s="32" t="s">
        <v>114</v>
      </c>
      <c r="H4133" s="33"/>
      <c r="I4133" s="33"/>
      <c r="J4133" s="37"/>
    </row>
    <row r="4134" spans="1:10" x14ac:dyDescent="0.25">
      <c r="A4134" s="32" t="s">
        <v>104</v>
      </c>
      <c r="B4134" s="32">
        <f t="shared" si="999"/>
        <v>2051</v>
      </c>
      <c r="C4134" s="33" t="s">
        <v>109</v>
      </c>
      <c r="D4134" s="34" t="s">
        <v>1999</v>
      </c>
      <c r="E4134" s="35" t="str">
        <f t="shared" si="997"/>
        <v>PSND'!</v>
      </c>
      <c r="F4134" s="34" t="str">
        <f t="shared" si="998"/>
        <v>C:\Users\jaime.benazar\Quorum Business Solutions\Ecopetrol Prometeo - Documents\Planning Space Implementation\3. Analysis &amp; Design\Design\FC22\DRR Jaime\QUIFA-CAJÚA\Cajua\[CAJUA_CF_SEC_New_27-Feb-2024Rev3.xlsx]D-PSND'!</v>
      </c>
      <c r="G4134" s="32" t="s">
        <v>114</v>
      </c>
      <c r="H4134" s="33"/>
      <c r="I4134" s="33"/>
      <c r="J4134" s="37"/>
    </row>
    <row r="4135" spans="1:10" x14ac:dyDescent="0.25">
      <c r="A4135" s="32" t="s">
        <v>104</v>
      </c>
      <c r="B4135" s="32">
        <f t="shared" si="999"/>
        <v>2052</v>
      </c>
      <c r="C4135" s="33" t="s">
        <v>109</v>
      </c>
      <c r="D4135" s="34" t="s">
        <v>1999</v>
      </c>
      <c r="E4135" s="35" t="str">
        <f t="shared" si="997"/>
        <v>PSND'!</v>
      </c>
      <c r="F4135" s="34" t="str">
        <f t="shared" si="998"/>
        <v>C:\Users\jaime.benazar\Quorum Business Solutions\Ecopetrol Prometeo - Documents\Planning Space Implementation\3. Analysis &amp; Design\Design\FC22\DRR Jaime\QUIFA-CAJÚA\Cajua\[CAJUA_CF_SEC_New_27-Feb-2024Rev3.xlsx]D-PSND'!</v>
      </c>
      <c r="G4135" s="32" t="s">
        <v>114</v>
      </c>
      <c r="H4135" s="33"/>
      <c r="I4135" s="33"/>
      <c r="J4135" s="37"/>
    </row>
    <row r="4136" spans="1:10" x14ac:dyDescent="0.25">
      <c r="A4136" s="32" t="s">
        <v>104</v>
      </c>
      <c r="B4136" s="32">
        <f t="shared" si="999"/>
        <v>2053</v>
      </c>
      <c r="C4136" s="33" t="s">
        <v>109</v>
      </c>
      <c r="D4136" s="34" t="s">
        <v>1999</v>
      </c>
      <c r="E4136" s="35" t="str">
        <f t="shared" si="997"/>
        <v>PSND'!</v>
      </c>
      <c r="F4136" s="34" t="str">
        <f t="shared" si="998"/>
        <v>C:\Users\jaime.benazar\Quorum Business Solutions\Ecopetrol Prometeo - Documents\Planning Space Implementation\3. Analysis &amp; Design\Design\FC22\DRR Jaime\QUIFA-CAJÚA\Cajua\[CAJUA_CF_SEC_New_27-Feb-2024Rev3.xlsx]D-PSND'!</v>
      </c>
      <c r="G4136" s="32" t="s">
        <v>114</v>
      </c>
      <c r="H4136" s="33"/>
      <c r="I4136" s="33"/>
      <c r="J4136" s="37"/>
    </row>
    <row r="4137" spans="1:10" x14ac:dyDescent="0.25">
      <c r="A4137" s="32" t="s">
        <v>104</v>
      </c>
      <c r="B4137" s="32">
        <f t="shared" si="999"/>
        <v>2054</v>
      </c>
      <c r="C4137" s="33" t="s">
        <v>109</v>
      </c>
      <c r="D4137" s="34" t="s">
        <v>1999</v>
      </c>
      <c r="E4137" s="35" t="str">
        <f t="shared" si="997"/>
        <v>PSND'!</v>
      </c>
      <c r="F4137" s="34" t="str">
        <f t="shared" si="998"/>
        <v>C:\Users\jaime.benazar\Quorum Business Solutions\Ecopetrol Prometeo - Documents\Planning Space Implementation\3. Analysis &amp; Design\Design\FC22\DRR Jaime\QUIFA-CAJÚA\Cajua\[CAJUA_CF_SEC_New_27-Feb-2024Rev3.xlsx]D-PSND'!</v>
      </c>
      <c r="G4137" s="32" t="s">
        <v>114</v>
      </c>
      <c r="H4137" s="33"/>
      <c r="I4137" s="33"/>
      <c r="J4137" s="37"/>
    </row>
    <row r="4138" spans="1:10" x14ac:dyDescent="0.25">
      <c r="A4138" s="32" t="s">
        <v>104</v>
      </c>
      <c r="B4138" s="32">
        <f t="shared" si="999"/>
        <v>2055</v>
      </c>
      <c r="C4138" s="33" t="s">
        <v>109</v>
      </c>
      <c r="D4138" s="34" t="s">
        <v>1999</v>
      </c>
      <c r="E4138" s="35" t="str">
        <f t="shared" si="997"/>
        <v>PSND'!</v>
      </c>
      <c r="F4138" s="34" t="str">
        <f t="shared" si="998"/>
        <v>C:\Users\jaime.benazar\Quorum Business Solutions\Ecopetrol Prometeo - Documents\Planning Space Implementation\3. Analysis &amp; Design\Design\FC22\DRR Jaime\QUIFA-CAJÚA\Cajua\[CAJUA_CF_SEC_New_27-Feb-2024Rev3.xlsx]D-PSND'!</v>
      </c>
      <c r="G4138" s="32" t="s">
        <v>114</v>
      </c>
      <c r="H4138" s="33"/>
      <c r="I4138" s="33"/>
      <c r="J4138" s="37"/>
    </row>
    <row r="4139" spans="1:10" x14ac:dyDescent="0.25">
      <c r="A4139" s="32" t="s">
        <v>104</v>
      </c>
      <c r="B4139" s="32">
        <f t="shared" si="999"/>
        <v>2056</v>
      </c>
      <c r="C4139" s="33" t="s">
        <v>109</v>
      </c>
      <c r="D4139" s="34" t="s">
        <v>1999</v>
      </c>
      <c r="E4139" s="35" t="str">
        <f t="shared" si="997"/>
        <v>PSND'!</v>
      </c>
      <c r="F4139" s="34" t="str">
        <f t="shared" si="998"/>
        <v>C:\Users\jaime.benazar\Quorum Business Solutions\Ecopetrol Prometeo - Documents\Planning Space Implementation\3. Analysis &amp; Design\Design\FC22\DRR Jaime\QUIFA-CAJÚA\Cajua\[CAJUA_CF_SEC_New_27-Feb-2024Rev3.xlsx]D-PSND'!</v>
      </c>
      <c r="G4139" s="32" t="s">
        <v>114</v>
      </c>
      <c r="H4139" s="33"/>
      <c r="I4139" s="33"/>
      <c r="J4139" s="37"/>
    </row>
    <row r="4140" spans="1:10" x14ac:dyDescent="0.25">
      <c r="A4140" s="32" t="s">
        <v>104</v>
      </c>
      <c r="B4140" s="32">
        <f t="shared" si="999"/>
        <v>2057</v>
      </c>
      <c r="C4140" s="33" t="s">
        <v>109</v>
      </c>
      <c r="D4140" s="34" t="s">
        <v>1999</v>
      </c>
      <c r="E4140" s="35" t="str">
        <f t="shared" si="997"/>
        <v>PSND'!</v>
      </c>
      <c r="F4140" s="34" t="str">
        <f t="shared" si="998"/>
        <v>C:\Users\jaime.benazar\Quorum Business Solutions\Ecopetrol Prometeo - Documents\Planning Space Implementation\3. Analysis &amp; Design\Design\FC22\DRR Jaime\QUIFA-CAJÚA\Cajua\[CAJUA_CF_SEC_New_27-Feb-2024Rev3.xlsx]D-PSND'!</v>
      </c>
      <c r="G4140" s="32" t="s">
        <v>114</v>
      </c>
      <c r="H4140" s="33"/>
      <c r="I4140" s="33"/>
      <c r="J4140" s="37"/>
    </row>
    <row r="4141" spans="1:10" x14ac:dyDescent="0.25">
      <c r="A4141" s="32" t="s">
        <v>104</v>
      </c>
      <c r="B4141" s="32">
        <f t="shared" si="999"/>
        <v>2058</v>
      </c>
      <c r="C4141" s="33" t="s">
        <v>109</v>
      </c>
      <c r="D4141" s="34" t="s">
        <v>1999</v>
      </c>
      <c r="E4141" s="35" t="str">
        <f t="shared" si="997"/>
        <v>PSND'!</v>
      </c>
      <c r="F4141" s="34" t="str">
        <f t="shared" si="998"/>
        <v>C:\Users\jaime.benazar\Quorum Business Solutions\Ecopetrol Prometeo - Documents\Planning Space Implementation\3. Analysis &amp; Design\Design\FC22\DRR Jaime\QUIFA-CAJÚA\Cajua\[CAJUA_CF_SEC_New_27-Feb-2024Rev3.xlsx]D-PSND'!</v>
      </c>
      <c r="G4141" s="32" t="s">
        <v>114</v>
      </c>
      <c r="H4141" s="33"/>
      <c r="I4141" s="33"/>
      <c r="J4141" s="37"/>
    </row>
    <row r="4142" spans="1:10" x14ac:dyDescent="0.25">
      <c r="A4142" s="32" t="s">
        <v>104</v>
      </c>
      <c r="B4142" s="32">
        <f t="shared" si="999"/>
        <v>2059</v>
      </c>
      <c r="C4142" s="33" t="s">
        <v>109</v>
      </c>
      <c r="D4142" s="34" t="s">
        <v>1999</v>
      </c>
      <c r="E4142" s="35" t="str">
        <f t="shared" si="997"/>
        <v>PSND'!</v>
      </c>
      <c r="F4142" s="34" t="str">
        <f t="shared" si="998"/>
        <v>C:\Users\jaime.benazar\Quorum Business Solutions\Ecopetrol Prometeo - Documents\Planning Space Implementation\3. Analysis &amp; Design\Design\FC22\DRR Jaime\QUIFA-CAJÚA\Cajua\[CAJUA_CF_SEC_New_27-Feb-2024Rev3.xlsx]D-PSND'!</v>
      </c>
      <c r="G4142" s="32" t="s">
        <v>114</v>
      </c>
      <c r="H4142" s="33"/>
      <c r="I4142" s="33"/>
      <c r="J4142" s="37"/>
    </row>
    <row r="4143" spans="1:10" x14ac:dyDescent="0.25">
      <c r="A4143" s="32" t="s">
        <v>28</v>
      </c>
      <c r="B4143" s="32"/>
      <c r="C4143" s="33" t="s">
        <v>109</v>
      </c>
      <c r="D4143" s="34"/>
      <c r="E4143" s="35"/>
      <c r="F4143" s="34"/>
      <c r="G4143" s="32"/>
      <c r="H4143" s="33"/>
      <c r="I4143" s="33"/>
      <c r="J4143" s="36"/>
    </row>
    <row r="4144" spans="1:10" x14ac:dyDescent="0.25">
      <c r="A4144" s="32" t="s">
        <v>34</v>
      </c>
      <c r="B4144" s="32">
        <v>2023</v>
      </c>
      <c r="C4144" s="33" t="s">
        <v>109</v>
      </c>
      <c r="D4144" s="34" t="s">
        <v>1999</v>
      </c>
      <c r="E4144" s="35" t="str">
        <f t="shared" ref="E4144:E4182" si="1000">_xlfn.CONCAT(A4144,"'!")</f>
        <v>PS'!</v>
      </c>
      <c r="F4144" s="34" t="str">
        <f t="shared" ref="F4144:F4164" si="1001">_xlfn.CONCAT(D4144:E4144)</f>
        <v>C:\Users\jaime.benazar\Quorum Business Solutions\Ecopetrol Prometeo - Documents\Planning Space Implementation\3. Analysis &amp; Design\Design\FC22\DRR Jaime\QUIFA-CAJÚA\Cajua\[CAJUA_CF_SEC_New_27-Feb-2024Rev3.xlsx]D-PS'!</v>
      </c>
      <c r="G4144" s="32" t="s">
        <v>114</v>
      </c>
      <c r="H4144" s="33">
        <v>12</v>
      </c>
      <c r="I4144" s="33" t="str">
        <f t="shared" ref="I4144:I4164" si="1002">_xlfn.CONCAT("='",F4144:H4144)</f>
        <v>='C:\Users\jaime.benazar\Quorum Business Solutions\Ecopetrol Prometeo - Documents\Planning Space Implementation\3. Analysis &amp; Design\Design\FC22\DRR Jaime\QUIFA-CAJÚA\Cajua\[CAJUA_CF_SEC_New_27-Feb-2024Rev3.xlsx]D-PS'!$CB$12</v>
      </c>
      <c r="J4144" s="37" t="s">
        <v>4035</v>
      </c>
    </row>
    <row r="4145" spans="1:10" x14ac:dyDescent="0.25">
      <c r="A4145" s="32" t="s">
        <v>34</v>
      </c>
      <c r="B4145" s="32">
        <f>+B4144+1</f>
        <v>2024</v>
      </c>
      <c r="C4145" s="33" t="s">
        <v>109</v>
      </c>
      <c r="D4145" s="34" t="s">
        <v>1999</v>
      </c>
      <c r="E4145" s="35" t="str">
        <f t="shared" si="1000"/>
        <v>PS'!</v>
      </c>
      <c r="F4145" s="34" t="str">
        <f t="shared" si="1001"/>
        <v>C:\Users\jaime.benazar\Quorum Business Solutions\Ecopetrol Prometeo - Documents\Planning Space Implementation\3. Analysis &amp; Design\Design\FC22\DRR Jaime\QUIFA-CAJÚA\Cajua\[CAJUA_CF_SEC_New_27-Feb-2024Rev3.xlsx]D-PS'!</v>
      </c>
      <c r="G4145" s="32" t="s">
        <v>114</v>
      </c>
      <c r="H4145" s="33">
        <f t="shared" ref="H4145:H4164" si="1003">IF(A4145&lt;&gt;A4144,12,H4144+1)</f>
        <v>13</v>
      </c>
      <c r="I4145" s="33" t="str">
        <f t="shared" si="1002"/>
        <v>='C:\Users\jaime.benazar\Quorum Business Solutions\Ecopetrol Prometeo - Documents\Planning Space Implementation\3. Analysis &amp; Design\Design\FC22\DRR Jaime\QUIFA-CAJÚA\Cajua\[CAJUA_CF_SEC_New_27-Feb-2024Rev3.xlsx]D-PS'!$CB$13</v>
      </c>
      <c r="J4145" s="37" t="s">
        <v>4036</v>
      </c>
    </row>
    <row r="4146" spans="1:10" x14ac:dyDescent="0.25">
      <c r="A4146" s="32" t="s">
        <v>34</v>
      </c>
      <c r="B4146" s="32">
        <f t="shared" ref="B4146:B4157" si="1004">+B4145+1</f>
        <v>2025</v>
      </c>
      <c r="C4146" s="33" t="s">
        <v>109</v>
      </c>
      <c r="D4146" s="34" t="s">
        <v>1999</v>
      </c>
      <c r="E4146" s="35" t="str">
        <f t="shared" si="1000"/>
        <v>PS'!</v>
      </c>
      <c r="F4146" s="34" t="str">
        <f t="shared" si="1001"/>
        <v>C:\Users\jaime.benazar\Quorum Business Solutions\Ecopetrol Prometeo - Documents\Planning Space Implementation\3. Analysis &amp; Design\Design\FC22\DRR Jaime\QUIFA-CAJÚA\Cajua\[CAJUA_CF_SEC_New_27-Feb-2024Rev3.xlsx]D-PS'!</v>
      </c>
      <c r="G4146" s="32" t="s">
        <v>114</v>
      </c>
      <c r="H4146" s="33">
        <f t="shared" si="1003"/>
        <v>14</v>
      </c>
      <c r="I4146" s="33" t="str">
        <f t="shared" si="1002"/>
        <v>='C:\Users\jaime.benazar\Quorum Business Solutions\Ecopetrol Prometeo - Documents\Planning Space Implementation\3. Analysis &amp; Design\Design\FC22\DRR Jaime\QUIFA-CAJÚA\Cajua\[CAJUA_CF_SEC_New_27-Feb-2024Rev3.xlsx]D-PS'!$CB$14</v>
      </c>
      <c r="J4146" s="37" t="s">
        <v>4037</v>
      </c>
    </row>
    <row r="4147" spans="1:10" x14ac:dyDescent="0.25">
      <c r="A4147" s="32" t="s">
        <v>34</v>
      </c>
      <c r="B4147" s="32">
        <f t="shared" si="1004"/>
        <v>2026</v>
      </c>
      <c r="C4147" s="33" t="s">
        <v>109</v>
      </c>
      <c r="D4147" s="34" t="s">
        <v>1999</v>
      </c>
      <c r="E4147" s="35" t="str">
        <f t="shared" si="1000"/>
        <v>PS'!</v>
      </c>
      <c r="F4147" s="34" t="str">
        <f t="shared" si="1001"/>
        <v>C:\Users\jaime.benazar\Quorum Business Solutions\Ecopetrol Prometeo - Documents\Planning Space Implementation\3. Analysis &amp; Design\Design\FC22\DRR Jaime\QUIFA-CAJÚA\Cajua\[CAJUA_CF_SEC_New_27-Feb-2024Rev3.xlsx]D-PS'!</v>
      </c>
      <c r="G4147" s="32" t="s">
        <v>114</v>
      </c>
      <c r="H4147" s="33">
        <f t="shared" si="1003"/>
        <v>15</v>
      </c>
      <c r="I4147" s="33" t="str">
        <f t="shared" si="1002"/>
        <v>='C:\Users\jaime.benazar\Quorum Business Solutions\Ecopetrol Prometeo - Documents\Planning Space Implementation\3. Analysis &amp; Design\Design\FC22\DRR Jaime\QUIFA-CAJÚA\Cajua\[CAJUA_CF_SEC_New_27-Feb-2024Rev3.xlsx]D-PS'!$CB$15</v>
      </c>
      <c r="J4147" s="37" t="s">
        <v>4038</v>
      </c>
    </row>
    <row r="4148" spans="1:10" x14ac:dyDescent="0.25">
      <c r="A4148" s="32" t="s">
        <v>34</v>
      </c>
      <c r="B4148" s="32">
        <f t="shared" si="1004"/>
        <v>2027</v>
      </c>
      <c r="C4148" s="33" t="s">
        <v>109</v>
      </c>
      <c r="D4148" s="34" t="s">
        <v>1999</v>
      </c>
      <c r="E4148" s="35" t="str">
        <f t="shared" si="1000"/>
        <v>PS'!</v>
      </c>
      <c r="F4148" s="34" t="str">
        <f t="shared" si="1001"/>
        <v>C:\Users\jaime.benazar\Quorum Business Solutions\Ecopetrol Prometeo - Documents\Planning Space Implementation\3. Analysis &amp; Design\Design\FC22\DRR Jaime\QUIFA-CAJÚA\Cajua\[CAJUA_CF_SEC_New_27-Feb-2024Rev3.xlsx]D-PS'!</v>
      </c>
      <c r="G4148" s="32" t="s">
        <v>114</v>
      </c>
      <c r="H4148" s="33">
        <f t="shared" si="1003"/>
        <v>16</v>
      </c>
      <c r="I4148" s="33" t="str">
        <f t="shared" si="1002"/>
        <v>='C:\Users\jaime.benazar\Quorum Business Solutions\Ecopetrol Prometeo - Documents\Planning Space Implementation\3. Analysis &amp; Design\Design\FC22\DRR Jaime\QUIFA-CAJÚA\Cajua\[CAJUA_CF_SEC_New_27-Feb-2024Rev3.xlsx]D-PS'!$CB$16</v>
      </c>
      <c r="J4148" s="37" t="s">
        <v>4039</v>
      </c>
    </row>
    <row r="4149" spans="1:10" x14ac:dyDescent="0.25">
      <c r="A4149" s="32" t="s">
        <v>34</v>
      </c>
      <c r="B4149" s="32">
        <f t="shared" si="1004"/>
        <v>2028</v>
      </c>
      <c r="C4149" s="33" t="s">
        <v>109</v>
      </c>
      <c r="D4149" s="34" t="s">
        <v>1999</v>
      </c>
      <c r="E4149" s="35" t="str">
        <f t="shared" si="1000"/>
        <v>PS'!</v>
      </c>
      <c r="F4149" s="34" t="str">
        <f t="shared" si="1001"/>
        <v>C:\Users\jaime.benazar\Quorum Business Solutions\Ecopetrol Prometeo - Documents\Planning Space Implementation\3. Analysis &amp; Design\Design\FC22\DRR Jaime\QUIFA-CAJÚA\Cajua\[CAJUA_CF_SEC_New_27-Feb-2024Rev3.xlsx]D-PS'!</v>
      </c>
      <c r="G4149" s="32" t="s">
        <v>114</v>
      </c>
      <c r="H4149" s="33">
        <f t="shared" si="1003"/>
        <v>17</v>
      </c>
      <c r="I4149" s="33" t="str">
        <f t="shared" si="1002"/>
        <v>='C:\Users\jaime.benazar\Quorum Business Solutions\Ecopetrol Prometeo - Documents\Planning Space Implementation\3. Analysis &amp; Design\Design\FC22\DRR Jaime\QUIFA-CAJÚA\Cajua\[CAJUA_CF_SEC_New_27-Feb-2024Rev3.xlsx]D-PS'!$CB$17</v>
      </c>
      <c r="J4149" s="37" t="s">
        <v>4040</v>
      </c>
    </row>
    <row r="4150" spans="1:10" x14ac:dyDescent="0.25">
      <c r="A4150" s="32" t="s">
        <v>34</v>
      </c>
      <c r="B4150" s="32">
        <f t="shared" si="1004"/>
        <v>2029</v>
      </c>
      <c r="C4150" s="33" t="s">
        <v>109</v>
      </c>
      <c r="D4150" s="34" t="s">
        <v>1999</v>
      </c>
      <c r="E4150" s="35" t="str">
        <f t="shared" si="1000"/>
        <v>PS'!</v>
      </c>
      <c r="F4150" s="34" t="str">
        <f t="shared" si="1001"/>
        <v>C:\Users\jaime.benazar\Quorum Business Solutions\Ecopetrol Prometeo - Documents\Planning Space Implementation\3. Analysis &amp; Design\Design\FC22\DRR Jaime\QUIFA-CAJÚA\Cajua\[CAJUA_CF_SEC_New_27-Feb-2024Rev3.xlsx]D-PS'!</v>
      </c>
      <c r="G4150" s="32" t="s">
        <v>114</v>
      </c>
      <c r="H4150" s="33">
        <f t="shared" si="1003"/>
        <v>18</v>
      </c>
      <c r="I4150" s="33" t="str">
        <f t="shared" si="1002"/>
        <v>='C:\Users\jaime.benazar\Quorum Business Solutions\Ecopetrol Prometeo - Documents\Planning Space Implementation\3. Analysis &amp; Design\Design\FC22\DRR Jaime\QUIFA-CAJÚA\Cajua\[CAJUA_CF_SEC_New_27-Feb-2024Rev3.xlsx]D-PS'!$CB$18</v>
      </c>
      <c r="J4150" s="37" t="s">
        <v>4041</v>
      </c>
    </row>
    <row r="4151" spans="1:10" x14ac:dyDescent="0.25">
      <c r="A4151" s="32" t="s">
        <v>34</v>
      </c>
      <c r="B4151" s="32">
        <f t="shared" si="1004"/>
        <v>2030</v>
      </c>
      <c r="C4151" s="33" t="s">
        <v>109</v>
      </c>
      <c r="D4151" s="34" t="s">
        <v>1999</v>
      </c>
      <c r="E4151" s="35" t="str">
        <f t="shared" si="1000"/>
        <v>PS'!</v>
      </c>
      <c r="F4151" s="34" t="str">
        <f t="shared" si="1001"/>
        <v>C:\Users\jaime.benazar\Quorum Business Solutions\Ecopetrol Prometeo - Documents\Planning Space Implementation\3. Analysis &amp; Design\Design\FC22\DRR Jaime\QUIFA-CAJÚA\Cajua\[CAJUA_CF_SEC_New_27-Feb-2024Rev3.xlsx]D-PS'!</v>
      </c>
      <c r="G4151" s="32" t="s">
        <v>114</v>
      </c>
      <c r="H4151" s="33">
        <f t="shared" si="1003"/>
        <v>19</v>
      </c>
      <c r="I4151" s="33" t="str">
        <f t="shared" si="1002"/>
        <v>='C:\Users\jaime.benazar\Quorum Business Solutions\Ecopetrol Prometeo - Documents\Planning Space Implementation\3. Analysis &amp; Design\Design\FC22\DRR Jaime\QUIFA-CAJÚA\Cajua\[CAJUA_CF_SEC_New_27-Feb-2024Rev3.xlsx]D-PS'!$CB$19</v>
      </c>
      <c r="J4151" s="37" t="s">
        <v>4042</v>
      </c>
    </row>
    <row r="4152" spans="1:10" x14ac:dyDescent="0.25">
      <c r="A4152" s="32" t="s">
        <v>34</v>
      </c>
      <c r="B4152" s="32">
        <f t="shared" si="1004"/>
        <v>2031</v>
      </c>
      <c r="C4152" s="33" t="s">
        <v>109</v>
      </c>
      <c r="D4152" s="34" t="s">
        <v>1999</v>
      </c>
      <c r="E4152" s="35" t="str">
        <f t="shared" si="1000"/>
        <v>PS'!</v>
      </c>
      <c r="F4152" s="34" t="str">
        <f t="shared" si="1001"/>
        <v>C:\Users\jaime.benazar\Quorum Business Solutions\Ecopetrol Prometeo - Documents\Planning Space Implementation\3. Analysis &amp; Design\Design\FC22\DRR Jaime\QUIFA-CAJÚA\Cajua\[CAJUA_CF_SEC_New_27-Feb-2024Rev3.xlsx]D-PS'!</v>
      </c>
      <c r="G4152" s="32" t="s">
        <v>114</v>
      </c>
      <c r="H4152" s="33">
        <f t="shared" si="1003"/>
        <v>20</v>
      </c>
      <c r="I4152" s="33" t="str">
        <f t="shared" si="1002"/>
        <v>='C:\Users\jaime.benazar\Quorum Business Solutions\Ecopetrol Prometeo - Documents\Planning Space Implementation\3. Analysis &amp; Design\Design\FC22\DRR Jaime\QUIFA-CAJÚA\Cajua\[CAJUA_CF_SEC_New_27-Feb-2024Rev3.xlsx]D-PS'!$CB$20</v>
      </c>
      <c r="J4152" s="37" t="s">
        <v>4043</v>
      </c>
    </row>
    <row r="4153" spans="1:10" x14ac:dyDescent="0.25">
      <c r="A4153" s="32" t="s">
        <v>34</v>
      </c>
      <c r="B4153" s="32">
        <f t="shared" si="1004"/>
        <v>2032</v>
      </c>
      <c r="C4153" s="33" t="s">
        <v>109</v>
      </c>
      <c r="D4153" s="34" t="s">
        <v>1999</v>
      </c>
      <c r="E4153" s="35" t="str">
        <f t="shared" si="1000"/>
        <v>PS'!</v>
      </c>
      <c r="F4153" s="34" t="str">
        <f t="shared" si="1001"/>
        <v>C:\Users\jaime.benazar\Quorum Business Solutions\Ecopetrol Prometeo - Documents\Planning Space Implementation\3. Analysis &amp; Design\Design\FC22\DRR Jaime\QUIFA-CAJÚA\Cajua\[CAJUA_CF_SEC_New_27-Feb-2024Rev3.xlsx]D-PS'!</v>
      </c>
      <c r="G4153" s="32" t="s">
        <v>114</v>
      </c>
      <c r="H4153" s="33">
        <f t="shared" si="1003"/>
        <v>21</v>
      </c>
      <c r="I4153" s="33" t="str">
        <f t="shared" si="1002"/>
        <v>='C:\Users\jaime.benazar\Quorum Business Solutions\Ecopetrol Prometeo - Documents\Planning Space Implementation\3. Analysis &amp; Design\Design\FC22\DRR Jaime\QUIFA-CAJÚA\Cajua\[CAJUA_CF_SEC_New_27-Feb-2024Rev3.xlsx]D-PS'!$CB$21</v>
      </c>
      <c r="J4153" s="37" t="s">
        <v>4044</v>
      </c>
    </row>
    <row r="4154" spans="1:10" x14ac:dyDescent="0.25">
      <c r="A4154" s="32" t="s">
        <v>34</v>
      </c>
      <c r="B4154" s="32">
        <f t="shared" si="1004"/>
        <v>2033</v>
      </c>
      <c r="C4154" s="33" t="s">
        <v>109</v>
      </c>
      <c r="D4154" s="34" t="s">
        <v>1999</v>
      </c>
      <c r="E4154" s="35" t="str">
        <f t="shared" si="1000"/>
        <v>PS'!</v>
      </c>
      <c r="F4154" s="34" t="str">
        <f t="shared" si="1001"/>
        <v>C:\Users\jaime.benazar\Quorum Business Solutions\Ecopetrol Prometeo - Documents\Planning Space Implementation\3. Analysis &amp; Design\Design\FC22\DRR Jaime\QUIFA-CAJÚA\Cajua\[CAJUA_CF_SEC_New_27-Feb-2024Rev3.xlsx]D-PS'!</v>
      </c>
      <c r="G4154" s="32" t="s">
        <v>114</v>
      </c>
      <c r="H4154" s="33">
        <f t="shared" si="1003"/>
        <v>22</v>
      </c>
      <c r="I4154" s="33" t="str">
        <f t="shared" si="1002"/>
        <v>='C:\Users\jaime.benazar\Quorum Business Solutions\Ecopetrol Prometeo - Documents\Planning Space Implementation\3. Analysis &amp; Design\Design\FC22\DRR Jaime\QUIFA-CAJÚA\Cajua\[CAJUA_CF_SEC_New_27-Feb-2024Rev3.xlsx]D-PS'!$CB$22</v>
      </c>
      <c r="J4154" s="37" t="s">
        <v>4045</v>
      </c>
    </row>
    <row r="4155" spans="1:10" x14ac:dyDescent="0.25">
      <c r="A4155" s="32" t="s">
        <v>34</v>
      </c>
      <c r="B4155" s="32">
        <f t="shared" si="1004"/>
        <v>2034</v>
      </c>
      <c r="C4155" s="33" t="s">
        <v>109</v>
      </c>
      <c r="D4155" s="34" t="s">
        <v>1999</v>
      </c>
      <c r="E4155" s="35" t="str">
        <f t="shared" si="1000"/>
        <v>PS'!</v>
      </c>
      <c r="F4155" s="34" t="str">
        <f t="shared" si="1001"/>
        <v>C:\Users\jaime.benazar\Quorum Business Solutions\Ecopetrol Prometeo - Documents\Planning Space Implementation\3. Analysis &amp; Design\Design\FC22\DRR Jaime\QUIFA-CAJÚA\Cajua\[CAJUA_CF_SEC_New_27-Feb-2024Rev3.xlsx]D-PS'!</v>
      </c>
      <c r="G4155" s="32" t="s">
        <v>114</v>
      </c>
      <c r="H4155" s="33">
        <f t="shared" si="1003"/>
        <v>23</v>
      </c>
      <c r="I4155" s="33" t="str">
        <f t="shared" si="1002"/>
        <v>='C:\Users\jaime.benazar\Quorum Business Solutions\Ecopetrol Prometeo - Documents\Planning Space Implementation\3. Analysis &amp; Design\Design\FC22\DRR Jaime\QUIFA-CAJÚA\Cajua\[CAJUA_CF_SEC_New_27-Feb-2024Rev3.xlsx]D-PS'!$CB$23</v>
      </c>
      <c r="J4155" s="37" t="s">
        <v>4046</v>
      </c>
    </row>
    <row r="4156" spans="1:10" x14ac:dyDescent="0.25">
      <c r="A4156" s="32" t="s">
        <v>34</v>
      </c>
      <c r="B4156" s="32">
        <f t="shared" si="1004"/>
        <v>2035</v>
      </c>
      <c r="C4156" s="33" t="s">
        <v>109</v>
      </c>
      <c r="D4156" s="34" t="s">
        <v>1999</v>
      </c>
      <c r="E4156" s="35" t="str">
        <f t="shared" si="1000"/>
        <v>PS'!</v>
      </c>
      <c r="F4156" s="34" t="str">
        <f t="shared" si="1001"/>
        <v>C:\Users\jaime.benazar\Quorum Business Solutions\Ecopetrol Prometeo - Documents\Planning Space Implementation\3. Analysis &amp; Design\Design\FC22\DRR Jaime\QUIFA-CAJÚA\Cajua\[CAJUA_CF_SEC_New_27-Feb-2024Rev3.xlsx]D-PS'!</v>
      </c>
      <c r="G4156" s="32" t="s">
        <v>114</v>
      </c>
      <c r="H4156" s="33">
        <f t="shared" si="1003"/>
        <v>24</v>
      </c>
      <c r="I4156" s="33" t="str">
        <f t="shared" si="1002"/>
        <v>='C:\Users\jaime.benazar\Quorum Business Solutions\Ecopetrol Prometeo - Documents\Planning Space Implementation\3. Analysis &amp; Design\Design\FC22\DRR Jaime\QUIFA-CAJÚA\Cajua\[CAJUA_CF_SEC_New_27-Feb-2024Rev3.xlsx]D-PS'!$CB$24</v>
      </c>
      <c r="J4156" s="37" t="s">
        <v>4047</v>
      </c>
    </row>
    <row r="4157" spans="1:10" x14ac:dyDescent="0.25">
      <c r="A4157" s="32" t="s">
        <v>34</v>
      </c>
      <c r="B4157" s="32">
        <f t="shared" si="1004"/>
        <v>2036</v>
      </c>
      <c r="C4157" s="33" t="s">
        <v>109</v>
      </c>
      <c r="D4157" s="34" t="s">
        <v>1999</v>
      </c>
      <c r="E4157" s="35" t="str">
        <f t="shared" si="1000"/>
        <v>PS'!</v>
      </c>
      <c r="F4157" s="34" t="str">
        <f t="shared" si="1001"/>
        <v>C:\Users\jaime.benazar\Quorum Business Solutions\Ecopetrol Prometeo - Documents\Planning Space Implementation\3. Analysis &amp; Design\Design\FC22\DRR Jaime\QUIFA-CAJÚA\Cajua\[CAJUA_CF_SEC_New_27-Feb-2024Rev3.xlsx]D-PS'!</v>
      </c>
      <c r="G4157" s="32" t="s">
        <v>114</v>
      </c>
      <c r="H4157" s="33">
        <f t="shared" si="1003"/>
        <v>25</v>
      </c>
      <c r="I4157" s="33" t="str">
        <f t="shared" si="1002"/>
        <v>='C:\Users\jaime.benazar\Quorum Business Solutions\Ecopetrol Prometeo - Documents\Planning Space Implementation\3. Analysis &amp; Design\Design\FC22\DRR Jaime\QUIFA-CAJÚA\Cajua\[CAJUA_CF_SEC_New_27-Feb-2024Rev3.xlsx]D-PS'!$CB$25</v>
      </c>
      <c r="J4157" s="37" t="s">
        <v>4048</v>
      </c>
    </row>
    <row r="4158" spans="1:10" x14ac:dyDescent="0.25">
      <c r="A4158" s="32" t="s">
        <v>34</v>
      </c>
      <c r="B4158" s="32">
        <f>+B4157+1</f>
        <v>2037</v>
      </c>
      <c r="C4158" s="33" t="s">
        <v>109</v>
      </c>
      <c r="D4158" s="34" t="s">
        <v>1999</v>
      </c>
      <c r="E4158" s="35" t="str">
        <f t="shared" si="1000"/>
        <v>PS'!</v>
      </c>
      <c r="F4158" s="34" t="str">
        <f t="shared" si="1001"/>
        <v>C:\Users\jaime.benazar\Quorum Business Solutions\Ecopetrol Prometeo - Documents\Planning Space Implementation\3. Analysis &amp; Design\Design\FC22\DRR Jaime\QUIFA-CAJÚA\Cajua\[CAJUA_CF_SEC_New_27-Feb-2024Rev3.xlsx]D-PS'!</v>
      </c>
      <c r="G4158" s="32" t="s">
        <v>114</v>
      </c>
      <c r="H4158" s="33">
        <f t="shared" si="1003"/>
        <v>26</v>
      </c>
      <c r="I4158" s="33" t="str">
        <f t="shared" si="1002"/>
        <v>='C:\Users\jaime.benazar\Quorum Business Solutions\Ecopetrol Prometeo - Documents\Planning Space Implementation\3. Analysis &amp; Design\Design\FC22\DRR Jaime\QUIFA-CAJÚA\Cajua\[CAJUA_CF_SEC_New_27-Feb-2024Rev3.xlsx]D-PS'!$CB$26</v>
      </c>
      <c r="J4158" s="37" t="s">
        <v>4049</v>
      </c>
    </row>
    <row r="4159" spans="1:10" x14ac:dyDescent="0.25">
      <c r="A4159" s="32" t="s">
        <v>34</v>
      </c>
      <c r="B4159" s="32">
        <f t="shared" ref="B4159:B4161" si="1005">+B4158+1</f>
        <v>2038</v>
      </c>
      <c r="C4159" s="33" t="s">
        <v>109</v>
      </c>
      <c r="D4159" s="34" t="s">
        <v>1999</v>
      </c>
      <c r="E4159" s="35" t="str">
        <f t="shared" si="1000"/>
        <v>PS'!</v>
      </c>
      <c r="F4159" s="34" t="str">
        <f t="shared" si="1001"/>
        <v>C:\Users\jaime.benazar\Quorum Business Solutions\Ecopetrol Prometeo - Documents\Planning Space Implementation\3. Analysis &amp; Design\Design\FC22\DRR Jaime\QUIFA-CAJÚA\Cajua\[CAJUA_CF_SEC_New_27-Feb-2024Rev3.xlsx]D-PS'!</v>
      </c>
      <c r="G4159" s="32" t="s">
        <v>114</v>
      </c>
      <c r="H4159" s="33">
        <f t="shared" si="1003"/>
        <v>27</v>
      </c>
      <c r="I4159" s="33" t="str">
        <f t="shared" si="1002"/>
        <v>='C:\Users\jaime.benazar\Quorum Business Solutions\Ecopetrol Prometeo - Documents\Planning Space Implementation\3. Analysis &amp; Design\Design\FC22\DRR Jaime\QUIFA-CAJÚA\Cajua\[CAJUA_CF_SEC_New_27-Feb-2024Rev3.xlsx]D-PS'!$CB$27</v>
      </c>
      <c r="J4159" s="37" t="s">
        <v>4050</v>
      </c>
    </row>
    <row r="4160" spans="1:10" x14ac:dyDescent="0.25">
      <c r="A4160" s="32" t="s">
        <v>34</v>
      </c>
      <c r="B4160" s="32">
        <f t="shared" si="1005"/>
        <v>2039</v>
      </c>
      <c r="C4160" s="33" t="s">
        <v>109</v>
      </c>
      <c r="D4160" s="34" t="s">
        <v>1999</v>
      </c>
      <c r="E4160" s="35" t="str">
        <f t="shared" si="1000"/>
        <v>PS'!</v>
      </c>
      <c r="F4160" s="34" t="str">
        <f t="shared" si="1001"/>
        <v>C:\Users\jaime.benazar\Quorum Business Solutions\Ecopetrol Prometeo - Documents\Planning Space Implementation\3. Analysis &amp; Design\Design\FC22\DRR Jaime\QUIFA-CAJÚA\Cajua\[CAJUA_CF_SEC_New_27-Feb-2024Rev3.xlsx]D-PS'!</v>
      </c>
      <c r="G4160" s="32" t="s">
        <v>114</v>
      </c>
      <c r="H4160" s="33">
        <f t="shared" si="1003"/>
        <v>28</v>
      </c>
      <c r="I4160" s="33" t="str">
        <f t="shared" si="1002"/>
        <v>='C:\Users\jaime.benazar\Quorum Business Solutions\Ecopetrol Prometeo - Documents\Planning Space Implementation\3. Analysis &amp; Design\Design\FC22\DRR Jaime\QUIFA-CAJÚA\Cajua\[CAJUA_CF_SEC_New_27-Feb-2024Rev3.xlsx]D-PS'!$CB$28</v>
      </c>
      <c r="J4160" s="37" t="s">
        <v>4051</v>
      </c>
    </row>
    <row r="4161" spans="1:10" x14ac:dyDescent="0.25">
      <c r="A4161" s="32" t="s">
        <v>34</v>
      </c>
      <c r="B4161" s="32">
        <f t="shared" si="1005"/>
        <v>2040</v>
      </c>
      <c r="C4161" s="33" t="s">
        <v>109</v>
      </c>
      <c r="D4161" s="34" t="s">
        <v>1999</v>
      </c>
      <c r="E4161" s="35" t="str">
        <f t="shared" si="1000"/>
        <v>PS'!</v>
      </c>
      <c r="F4161" s="34" t="str">
        <f t="shared" si="1001"/>
        <v>C:\Users\jaime.benazar\Quorum Business Solutions\Ecopetrol Prometeo - Documents\Planning Space Implementation\3. Analysis &amp; Design\Design\FC22\DRR Jaime\QUIFA-CAJÚA\Cajua\[CAJUA_CF_SEC_New_27-Feb-2024Rev3.xlsx]D-PS'!</v>
      </c>
      <c r="G4161" s="32" t="s">
        <v>114</v>
      </c>
      <c r="H4161" s="33">
        <f t="shared" si="1003"/>
        <v>29</v>
      </c>
      <c r="I4161" s="33" t="str">
        <f t="shared" si="1002"/>
        <v>='C:\Users\jaime.benazar\Quorum Business Solutions\Ecopetrol Prometeo - Documents\Planning Space Implementation\3. Analysis &amp; Design\Design\FC22\DRR Jaime\QUIFA-CAJÚA\Cajua\[CAJUA_CF_SEC_New_27-Feb-2024Rev3.xlsx]D-PS'!$CB$29</v>
      </c>
      <c r="J4161" s="37" t="s">
        <v>4052</v>
      </c>
    </row>
    <row r="4162" spans="1:10" x14ac:dyDescent="0.25">
      <c r="A4162" s="32" t="s">
        <v>34</v>
      </c>
      <c r="B4162" s="32">
        <f>+B4161+1</f>
        <v>2041</v>
      </c>
      <c r="C4162" s="33" t="s">
        <v>109</v>
      </c>
      <c r="D4162" s="34" t="s">
        <v>1999</v>
      </c>
      <c r="E4162" s="35" t="str">
        <f t="shared" si="1000"/>
        <v>PS'!</v>
      </c>
      <c r="F4162" s="34" t="str">
        <f t="shared" si="1001"/>
        <v>C:\Users\jaime.benazar\Quorum Business Solutions\Ecopetrol Prometeo - Documents\Planning Space Implementation\3. Analysis &amp; Design\Design\FC22\DRR Jaime\QUIFA-CAJÚA\Cajua\[CAJUA_CF_SEC_New_27-Feb-2024Rev3.xlsx]D-PS'!</v>
      </c>
      <c r="G4162" s="32" t="s">
        <v>114</v>
      </c>
      <c r="H4162" s="33">
        <f t="shared" si="1003"/>
        <v>30</v>
      </c>
      <c r="I4162" s="33" t="str">
        <f t="shared" si="1002"/>
        <v>='C:\Users\jaime.benazar\Quorum Business Solutions\Ecopetrol Prometeo - Documents\Planning Space Implementation\3. Analysis &amp; Design\Design\FC22\DRR Jaime\QUIFA-CAJÚA\Cajua\[CAJUA_CF_SEC_New_27-Feb-2024Rev3.xlsx]D-PS'!$CB$30</v>
      </c>
      <c r="J4162" s="37" t="s">
        <v>4053</v>
      </c>
    </row>
    <row r="4163" spans="1:10" x14ac:dyDescent="0.25">
      <c r="A4163" s="32" t="s">
        <v>34</v>
      </c>
      <c r="B4163" s="32">
        <f t="shared" ref="B4163:B4164" si="1006">+B4162+1</f>
        <v>2042</v>
      </c>
      <c r="C4163" s="33" t="s">
        <v>109</v>
      </c>
      <c r="D4163" s="34" t="s">
        <v>1999</v>
      </c>
      <c r="E4163" s="35" t="str">
        <f t="shared" si="1000"/>
        <v>PS'!</v>
      </c>
      <c r="F4163" s="34" t="str">
        <f t="shared" si="1001"/>
        <v>C:\Users\jaime.benazar\Quorum Business Solutions\Ecopetrol Prometeo - Documents\Planning Space Implementation\3. Analysis &amp; Design\Design\FC22\DRR Jaime\QUIFA-CAJÚA\Cajua\[CAJUA_CF_SEC_New_27-Feb-2024Rev3.xlsx]D-PS'!</v>
      </c>
      <c r="G4163" s="32" t="s">
        <v>114</v>
      </c>
      <c r="H4163" s="33">
        <f t="shared" si="1003"/>
        <v>31</v>
      </c>
      <c r="I4163" s="33" t="str">
        <f t="shared" si="1002"/>
        <v>='C:\Users\jaime.benazar\Quorum Business Solutions\Ecopetrol Prometeo - Documents\Planning Space Implementation\3. Analysis &amp; Design\Design\FC22\DRR Jaime\QUIFA-CAJÚA\Cajua\[CAJUA_CF_SEC_New_27-Feb-2024Rev3.xlsx]D-PS'!$CB$31</v>
      </c>
      <c r="J4163" s="37" t="s">
        <v>4054</v>
      </c>
    </row>
    <row r="4164" spans="1:10" x14ac:dyDescent="0.25">
      <c r="A4164" s="32" t="s">
        <v>34</v>
      </c>
      <c r="B4164" s="32">
        <f t="shared" si="1006"/>
        <v>2043</v>
      </c>
      <c r="C4164" s="33" t="s">
        <v>109</v>
      </c>
      <c r="D4164" s="34" t="s">
        <v>1999</v>
      </c>
      <c r="E4164" s="35" t="str">
        <f t="shared" si="1000"/>
        <v>PS'!</v>
      </c>
      <c r="F4164" s="34" t="str">
        <f t="shared" si="1001"/>
        <v>C:\Users\jaime.benazar\Quorum Business Solutions\Ecopetrol Prometeo - Documents\Planning Space Implementation\3. Analysis &amp; Design\Design\FC22\DRR Jaime\QUIFA-CAJÚA\Cajua\[CAJUA_CF_SEC_New_27-Feb-2024Rev3.xlsx]D-PS'!</v>
      </c>
      <c r="G4164" s="32" t="s">
        <v>114</v>
      </c>
      <c r="H4164" s="33">
        <f t="shared" si="1003"/>
        <v>32</v>
      </c>
      <c r="I4164" s="33" t="str">
        <f t="shared" si="1002"/>
        <v>='C:\Users\jaime.benazar\Quorum Business Solutions\Ecopetrol Prometeo - Documents\Planning Space Implementation\3. Analysis &amp; Design\Design\FC22\DRR Jaime\QUIFA-CAJÚA\Cajua\[CAJUA_CF_SEC_New_27-Feb-2024Rev3.xlsx]D-PS'!$CB$32</v>
      </c>
      <c r="J4164" s="37" t="s">
        <v>4055</v>
      </c>
    </row>
    <row r="4165" spans="1:10" x14ac:dyDescent="0.25">
      <c r="A4165" s="32" t="s">
        <v>34</v>
      </c>
      <c r="B4165" s="32">
        <f>+B4164+1</f>
        <v>2044</v>
      </c>
      <c r="C4165" s="33" t="s">
        <v>109</v>
      </c>
      <c r="D4165" s="34" t="s">
        <v>1999</v>
      </c>
      <c r="E4165" s="35" t="str">
        <f t="shared" ref="E4165:E4180" si="1007">_xlfn.CONCAT(A4165,"'!")</f>
        <v>PS'!</v>
      </c>
      <c r="F4165" s="34" t="str">
        <f t="shared" ref="F4165:F4180" si="1008">_xlfn.CONCAT(D4165:E4165)</f>
        <v>C:\Users\jaime.benazar\Quorum Business Solutions\Ecopetrol Prometeo - Documents\Planning Space Implementation\3. Analysis &amp; Design\Design\FC22\DRR Jaime\QUIFA-CAJÚA\Cajua\[CAJUA_CF_SEC_New_27-Feb-2024Rev3.xlsx]D-PS'!</v>
      </c>
      <c r="G4165" s="32" t="s">
        <v>114</v>
      </c>
      <c r="H4165" s="33">
        <f t="shared" ref="H4165:H4180" si="1009">IF(A4165&lt;&gt;A4164,12,H4164+1)</f>
        <v>33</v>
      </c>
      <c r="I4165" s="33" t="str">
        <f t="shared" ref="I4165:I4180" si="1010">_xlfn.CONCAT("='",F4165:H4165)</f>
        <v>='C:\Users\jaime.benazar\Quorum Business Solutions\Ecopetrol Prometeo - Documents\Planning Space Implementation\3. Analysis &amp; Design\Design\FC22\DRR Jaime\QUIFA-CAJÚA\Cajua\[CAJUA_CF_SEC_New_27-Feb-2024Rev3.xlsx]D-PS'!$CB$33</v>
      </c>
      <c r="J4165" s="37" t="s">
        <v>4056</v>
      </c>
    </row>
    <row r="4166" spans="1:10" x14ac:dyDescent="0.25">
      <c r="A4166" s="32" t="s">
        <v>34</v>
      </c>
      <c r="B4166" s="32">
        <f t="shared" ref="B4166:B4180" si="1011">+B4165+1</f>
        <v>2045</v>
      </c>
      <c r="C4166" s="33" t="s">
        <v>109</v>
      </c>
      <c r="D4166" s="34" t="s">
        <v>1999</v>
      </c>
      <c r="E4166" s="35" t="str">
        <f t="shared" si="1007"/>
        <v>PS'!</v>
      </c>
      <c r="F4166" s="34" t="str">
        <f t="shared" si="1008"/>
        <v>C:\Users\jaime.benazar\Quorum Business Solutions\Ecopetrol Prometeo - Documents\Planning Space Implementation\3. Analysis &amp; Design\Design\FC22\DRR Jaime\QUIFA-CAJÚA\Cajua\[CAJUA_CF_SEC_New_27-Feb-2024Rev3.xlsx]D-PS'!</v>
      </c>
      <c r="G4166" s="32" t="s">
        <v>114</v>
      </c>
      <c r="H4166" s="33">
        <f t="shared" si="1009"/>
        <v>34</v>
      </c>
      <c r="I4166" s="33" t="str">
        <f t="shared" si="1010"/>
        <v>='C:\Users\jaime.benazar\Quorum Business Solutions\Ecopetrol Prometeo - Documents\Planning Space Implementation\3. Analysis &amp; Design\Design\FC22\DRR Jaime\QUIFA-CAJÚA\Cajua\[CAJUA_CF_SEC_New_27-Feb-2024Rev3.xlsx]D-PS'!$CB$34</v>
      </c>
      <c r="J4166" s="37" t="s">
        <v>4057</v>
      </c>
    </row>
    <row r="4167" spans="1:10" x14ac:dyDescent="0.25">
      <c r="A4167" s="32" t="s">
        <v>34</v>
      </c>
      <c r="B4167" s="32">
        <f t="shared" si="1011"/>
        <v>2046</v>
      </c>
      <c r="C4167" s="33" t="s">
        <v>109</v>
      </c>
      <c r="D4167" s="34" t="s">
        <v>1999</v>
      </c>
      <c r="E4167" s="35" t="str">
        <f t="shared" si="1007"/>
        <v>PS'!</v>
      </c>
      <c r="F4167" s="34" t="str">
        <f t="shared" si="1008"/>
        <v>C:\Users\jaime.benazar\Quorum Business Solutions\Ecopetrol Prometeo - Documents\Planning Space Implementation\3. Analysis &amp; Design\Design\FC22\DRR Jaime\QUIFA-CAJÚA\Cajua\[CAJUA_CF_SEC_New_27-Feb-2024Rev3.xlsx]D-PS'!</v>
      </c>
      <c r="G4167" s="32" t="s">
        <v>114</v>
      </c>
      <c r="H4167" s="33">
        <f t="shared" si="1009"/>
        <v>35</v>
      </c>
      <c r="I4167" s="33" t="str">
        <f t="shared" si="1010"/>
        <v>='C:\Users\jaime.benazar\Quorum Business Solutions\Ecopetrol Prometeo - Documents\Planning Space Implementation\3. Analysis &amp; Design\Design\FC22\DRR Jaime\QUIFA-CAJÚA\Cajua\[CAJUA_CF_SEC_New_27-Feb-2024Rev3.xlsx]D-PS'!$CB$35</v>
      </c>
      <c r="J4167" s="37" t="s">
        <v>4058</v>
      </c>
    </row>
    <row r="4168" spans="1:10" x14ac:dyDescent="0.25">
      <c r="A4168" s="32" t="s">
        <v>34</v>
      </c>
      <c r="B4168" s="32">
        <f t="shared" si="1011"/>
        <v>2047</v>
      </c>
      <c r="C4168" s="33" t="s">
        <v>109</v>
      </c>
      <c r="D4168" s="34" t="s">
        <v>1999</v>
      </c>
      <c r="E4168" s="35" t="str">
        <f t="shared" si="1007"/>
        <v>PS'!</v>
      </c>
      <c r="F4168" s="34" t="str">
        <f t="shared" si="1008"/>
        <v>C:\Users\jaime.benazar\Quorum Business Solutions\Ecopetrol Prometeo - Documents\Planning Space Implementation\3. Analysis &amp; Design\Design\FC22\DRR Jaime\QUIFA-CAJÚA\Cajua\[CAJUA_CF_SEC_New_27-Feb-2024Rev3.xlsx]D-PS'!</v>
      </c>
      <c r="G4168" s="32" t="s">
        <v>114</v>
      </c>
      <c r="H4168" s="33">
        <f t="shared" si="1009"/>
        <v>36</v>
      </c>
      <c r="I4168" s="33" t="str">
        <f t="shared" si="1010"/>
        <v>='C:\Users\jaime.benazar\Quorum Business Solutions\Ecopetrol Prometeo - Documents\Planning Space Implementation\3. Analysis &amp; Design\Design\FC22\DRR Jaime\QUIFA-CAJÚA\Cajua\[CAJUA_CF_SEC_New_27-Feb-2024Rev3.xlsx]D-PS'!$CB$36</v>
      </c>
      <c r="J4168" s="37" t="s">
        <v>4059</v>
      </c>
    </row>
    <row r="4169" spans="1:10" x14ac:dyDescent="0.25">
      <c r="A4169" s="32" t="s">
        <v>34</v>
      </c>
      <c r="B4169" s="32">
        <f t="shared" si="1011"/>
        <v>2048</v>
      </c>
      <c r="C4169" s="33" t="s">
        <v>109</v>
      </c>
      <c r="D4169" s="34" t="s">
        <v>1999</v>
      </c>
      <c r="E4169" s="35" t="str">
        <f t="shared" si="1007"/>
        <v>PS'!</v>
      </c>
      <c r="F4169" s="34" t="str">
        <f t="shared" si="1008"/>
        <v>C:\Users\jaime.benazar\Quorum Business Solutions\Ecopetrol Prometeo - Documents\Planning Space Implementation\3. Analysis &amp; Design\Design\FC22\DRR Jaime\QUIFA-CAJÚA\Cajua\[CAJUA_CF_SEC_New_27-Feb-2024Rev3.xlsx]D-PS'!</v>
      </c>
      <c r="G4169" s="32" t="s">
        <v>114</v>
      </c>
      <c r="H4169" s="33">
        <f t="shared" si="1009"/>
        <v>37</v>
      </c>
      <c r="I4169" s="33" t="str">
        <f t="shared" si="1010"/>
        <v>='C:\Users\jaime.benazar\Quorum Business Solutions\Ecopetrol Prometeo - Documents\Planning Space Implementation\3. Analysis &amp; Design\Design\FC22\DRR Jaime\QUIFA-CAJÚA\Cajua\[CAJUA_CF_SEC_New_27-Feb-2024Rev3.xlsx]D-PS'!$CB$37</v>
      </c>
      <c r="J4169" s="37" t="s">
        <v>4060</v>
      </c>
    </row>
    <row r="4170" spans="1:10" x14ac:dyDescent="0.25">
      <c r="A4170" s="32" t="s">
        <v>34</v>
      </c>
      <c r="B4170" s="32">
        <f t="shared" si="1011"/>
        <v>2049</v>
      </c>
      <c r="C4170" s="33" t="s">
        <v>109</v>
      </c>
      <c r="D4170" s="34" t="s">
        <v>1999</v>
      </c>
      <c r="E4170" s="35" t="str">
        <f t="shared" si="1007"/>
        <v>PS'!</v>
      </c>
      <c r="F4170" s="34" t="str">
        <f t="shared" si="1008"/>
        <v>C:\Users\jaime.benazar\Quorum Business Solutions\Ecopetrol Prometeo - Documents\Planning Space Implementation\3. Analysis &amp; Design\Design\FC22\DRR Jaime\QUIFA-CAJÚA\Cajua\[CAJUA_CF_SEC_New_27-Feb-2024Rev3.xlsx]D-PS'!</v>
      </c>
      <c r="G4170" s="32" t="s">
        <v>114</v>
      </c>
      <c r="H4170" s="33">
        <f t="shared" si="1009"/>
        <v>38</v>
      </c>
      <c r="I4170" s="33" t="str">
        <f t="shared" si="1010"/>
        <v>='C:\Users\jaime.benazar\Quorum Business Solutions\Ecopetrol Prometeo - Documents\Planning Space Implementation\3. Analysis &amp; Design\Design\FC22\DRR Jaime\QUIFA-CAJÚA\Cajua\[CAJUA_CF_SEC_New_27-Feb-2024Rev3.xlsx]D-PS'!$CB$38</v>
      </c>
      <c r="J4170" s="37" t="s">
        <v>4061</v>
      </c>
    </row>
    <row r="4171" spans="1:10" x14ac:dyDescent="0.25">
      <c r="A4171" s="32" t="s">
        <v>34</v>
      </c>
      <c r="B4171" s="32">
        <f t="shared" si="1011"/>
        <v>2050</v>
      </c>
      <c r="C4171" s="33" t="s">
        <v>109</v>
      </c>
      <c r="D4171" s="34" t="s">
        <v>1999</v>
      </c>
      <c r="E4171" s="35" t="str">
        <f t="shared" si="1007"/>
        <v>PS'!</v>
      </c>
      <c r="F4171" s="34" t="str">
        <f t="shared" si="1008"/>
        <v>C:\Users\jaime.benazar\Quorum Business Solutions\Ecopetrol Prometeo - Documents\Planning Space Implementation\3. Analysis &amp; Design\Design\FC22\DRR Jaime\QUIFA-CAJÚA\Cajua\[CAJUA_CF_SEC_New_27-Feb-2024Rev3.xlsx]D-PS'!</v>
      </c>
      <c r="G4171" s="32" t="s">
        <v>114</v>
      </c>
      <c r="H4171" s="33">
        <f t="shared" si="1009"/>
        <v>39</v>
      </c>
      <c r="I4171" s="33" t="str">
        <f t="shared" si="1010"/>
        <v>='C:\Users\jaime.benazar\Quorum Business Solutions\Ecopetrol Prometeo - Documents\Planning Space Implementation\3. Analysis &amp; Design\Design\FC22\DRR Jaime\QUIFA-CAJÚA\Cajua\[CAJUA_CF_SEC_New_27-Feb-2024Rev3.xlsx]D-PS'!$CB$39</v>
      </c>
      <c r="J4171" s="37" t="s">
        <v>4062</v>
      </c>
    </row>
    <row r="4172" spans="1:10" x14ac:dyDescent="0.25">
      <c r="A4172" s="32" t="s">
        <v>34</v>
      </c>
      <c r="B4172" s="32">
        <f t="shared" si="1011"/>
        <v>2051</v>
      </c>
      <c r="C4172" s="33" t="s">
        <v>109</v>
      </c>
      <c r="D4172" s="34" t="s">
        <v>1999</v>
      </c>
      <c r="E4172" s="35" t="str">
        <f t="shared" si="1007"/>
        <v>PS'!</v>
      </c>
      <c r="F4172" s="34" t="str">
        <f t="shared" si="1008"/>
        <v>C:\Users\jaime.benazar\Quorum Business Solutions\Ecopetrol Prometeo - Documents\Planning Space Implementation\3. Analysis &amp; Design\Design\FC22\DRR Jaime\QUIFA-CAJÚA\Cajua\[CAJUA_CF_SEC_New_27-Feb-2024Rev3.xlsx]D-PS'!</v>
      </c>
      <c r="G4172" s="32" t="s">
        <v>114</v>
      </c>
      <c r="H4172" s="33">
        <f t="shared" si="1009"/>
        <v>40</v>
      </c>
      <c r="I4172" s="33" t="str">
        <f t="shared" si="1010"/>
        <v>='C:\Users\jaime.benazar\Quorum Business Solutions\Ecopetrol Prometeo - Documents\Planning Space Implementation\3. Analysis &amp; Design\Design\FC22\DRR Jaime\QUIFA-CAJÚA\Cajua\[CAJUA_CF_SEC_New_27-Feb-2024Rev3.xlsx]D-PS'!$CB$40</v>
      </c>
      <c r="J4172" s="37" t="s">
        <v>4063</v>
      </c>
    </row>
    <row r="4173" spans="1:10" x14ac:dyDescent="0.25">
      <c r="A4173" s="32" t="s">
        <v>34</v>
      </c>
      <c r="B4173" s="32">
        <f t="shared" si="1011"/>
        <v>2052</v>
      </c>
      <c r="C4173" s="33" t="s">
        <v>109</v>
      </c>
      <c r="D4173" s="34" t="s">
        <v>1999</v>
      </c>
      <c r="E4173" s="35" t="str">
        <f t="shared" si="1007"/>
        <v>PS'!</v>
      </c>
      <c r="F4173" s="34" t="str">
        <f t="shared" si="1008"/>
        <v>C:\Users\jaime.benazar\Quorum Business Solutions\Ecopetrol Prometeo - Documents\Planning Space Implementation\3. Analysis &amp; Design\Design\FC22\DRR Jaime\QUIFA-CAJÚA\Cajua\[CAJUA_CF_SEC_New_27-Feb-2024Rev3.xlsx]D-PS'!</v>
      </c>
      <c r="G4173" s="32" t="s">
        <v>114</v>
      </c>
      <c r="H4173" s="33">
        <f t="shared" si="1009"/>
        <v>41</v>
      </c>
      <c r="I4173" s="33" t="str">
        <f t="shared" si="1010"/>
        <v>='C:\Users\jaime.benazar\Quorum Business Solutions\Ecopetrol Prometeo - Documents\Planning Space Implementation\3. Analysis &amp; Design\Design\FC22\DRR Jaime\QUIFA-CAJÚA\Cajua\[CAJUA_CF_SEC_New_27-Feb-2024Rev3.xlsx]D-PS'!$CB$41</v>
      </c>
      <c r="J4173" s="37" t="s">
        <v>4064</v>
      </c>
    </row>
    <row r="4174" spans="1:10" x14ac:dyDescent="0.25">
      <c r="A4174" s="32" t="s">
        <v>34</v>
      </c>
      <c r="B4174" s="32">
        <f t="shared" si="1011"/>
        <v>2053</v>
      </c>
      <c r="C4174" s="33" t="s">
        <v>109</v>
      </c>
      <c r="D4174" s="34" t="s">
        <v>1999</v>
      </c>
      <c r="E4174" s="35" t="str">
        <f t="shared" si="1007"/>
        <v>PS'!</v>
      </c>
      <c r="F4174" s="34" t="str">
        <f t="shared" si="1008"/>
        <v>C:\Users\jaime.benazar\Quorum Business Solutions\Ecopetrol Prometeo - Documents\Planning Space Implementation\3. Analysis &amp; Design\Design\FC22\DRR Jaime\QUIFA-CAJÚA\Cajua\[CAJUA_CF_SEC_New_27-Feb-2024Rev3.xlsx]D-PS'!</v>
      </c>
      <c r="G4174" s="32" t="s">
        <v>114</v>
      </c>
      <c r="H4174" s="33">
        <f t="shared" si="1009"/>
        <v>42</v>
      </c>
      <c r="I4174" s="33" t="str">
        <f t="shared" si="1010"/>
        <v>='C:\Users\jaime.benazar\Quorum Business Solutions\Ecopetrol Prometeo - Documents\Planning Space Implementation\3. Analysis &amp; Design\Design\FC22\DRR Jaime\QUIFA-CAJÚA\Cajua\[CAJUA_CF_SEC_New_27-Feb-2024Rev3.xlsx]D-PS'!$CB$42</v>
      </c>
      <c r="J4174" s="37" t="s">
        <v>4065</v>
      </c>
    </row>
    <row r="4175" spans="1:10" x14ac:dyDescent="0.25">
      <c r="A4175" s="32" t="s">
        <v>34</v>
      </c>
      <c r="B4175" s="32">
        <f t="shared" si="1011"/>
        <v>2054</v>
      </c>
      <c r="C4175" s="33" t="s">
        <v>109</v>
      </c>
      <c r="D4175" s="34" t="s">
        <v>1999</v>
      </c>
      <c r="E4175" s="35" t="str">
        <f t="shared" si="1007"/>
        <v>PS'!</v>
      </c>
      <c r="F4175" s="34" t="str">
        <f t="shared" si="1008"/>
        <v>C:\Users\jaime.benazar\Quorum Business Solutions\Ecopetrol Prometeo - Documents\Planning Space Implementation\3. Analysis &amp; Design\Design\FC22\DRR Jaime\QUIFA-CAJÚA\Cajua\[CAJUA_CF_SEC_New_27-Feb-2024Rev3.xlsx]D-PS'!</v>
      </c>
      <c r="G4175" s="32" t="s">
        <v>114</v>
      </c>
      <c r="H4175" s="33">
        <f t="shared" si="1009"/>
        <v>43</v>
      </c>
      <c r="I4175" s="33" t="str">
        <f t="shared" si="1010"/>
        <v>='C:\Users\jaime.benazar\Quorum Business Solutions\Ecopetrol Prometeo - Documents\Planning Space Implementation\3. Analysis &amp; Design\Design\FC22\DRR Jaime\QUIFA-CAJÚA\Cajua\[CAJUA_CF_SEC_New_27-Feb-2024Rev3.xlsx]D-PS'!$CB$43</v>
      </c>
      <c r="J4175" s="37" t="s">
        <v>4066</v>
      </c>
    </row>
    <row r="4176" spans="1:10" x14ac:dyDescent="0.25">
      <c r="A4176" s="32" t="s">
        <v>34</v>
      </c>
      <c r="B4176" s="32">
        <f t="shared" si="1011"/>
        <v>2055</v>
      </c>
      <c r="C4176" s="33" t="s">
        <v>109</v>
      </c>
      <c r="D4176" s="34" t="s">
        <v>1999</v>
      </c>
      <c r="E4176" s="35" t="str">
        <f t="shared" si="1007"/>
        <v>PS'!</v>
      </c>
      <c r="F4176" s="34" t="str">
        <f t="shared" si="1008"/>
        <v>C:\Users\jaime.benazar\Quorum Business Solutions\Ecopetrol Prometeo - Documents\Planning Space Implementation\3. Analysis &amp; Design\Design\FC22\DRR Jaime\QUIFA-CAJÚA\Cajua\[CAJUA_CF_SEC_New_27-Feb-2024Rev3.xlsx]D-PS'!</v>
      </c>
      <c r="G4176" s="32" t="s">
        <v>114</v>
      </c>
      <c r="H4176" s="33">
        <f t="shared" si="1009"/>
        <v>44</v>
      </c>
      <c r="I4176" s="33" t="str">
        <f t="shared" si="1010"/>
        <v>='C:\Users\jaime.benazar\Quorum Business Solutions\Ecopetrol Prometeo - Documents\Planning Space Implementation\3. Analysis &amp; Design\Design\FC22\DRR Jaime\QUIFA-CAJÚA\Cajua\[CAJUA_CF_SEC_New_27-Feb-2024Rev3.xlsx]D-PS'!$CB$44</v>
      </c>
      <c r="J4176" s="37" t="s">
        <v>4067</v>
      </c>
    </row>
    <row r="4177" spans="1:10" x14ac:dyDescent="0.25">
      <c r="A4177" s="32" t="s">
        <v>34</v>
      </c>
      <c r="B4177" s="32">
        <f t="shared" si="1011"/>
        <v>2056</v>
      </c>
      <c r="C4177" s="33" t="s">
        <v>109</v>
      </c>
      <c r="D4177" s="34" t="s">
        <v>1999</v>
      </c>
      <c r="E4177" s="35" t="str">
        <f t="shared" si="1007"/>
        <v>PS'!</v>
      </c>
      <c r="F4177" s="34" t="str">
        <f t="shared" si="1008"/>
        <v>C:\Users\jaime.benazar\Quorum Business Solutions\Ecopetrol Prometeo - Documents\Planning Space Implementation\3. Analysis &amp; Design\Design\FC22\DRR Jaime\QUIFA-CAJÚA\Cajua\[CAJUA_CF_SEC_New_27-Feb-2024Rev3.xlsx]D-PS'!</v>
      </c>
      <c r="G4177" s="32" t="s">
        <v>114</v>
      </c>
      <c r="H4177" s="33">
        <f t="shared" si="1009"/>
        <v>45</v>
      </c>
      <c r="I4177" s="33" t="str">
        <f t="shared" si="1010"/>
        <v>='C:\Users\jaime.benazar\Quorum Business Solutions\Ecopetrol Prometeo - Documents\Planning Space Implementation\3. Analysis &amp; Design\Design\FC22\DRR Jaime\QUIFA-CAJÚA\Cajua\[CAJUA_CF_SEC_New_27-Feb-2024Rev3.xlsx]D-PS'!$CB$45</v>
      </c>
      <c r="J4177" s="37" t="s">
        <v>4068</v>
      </c>
    </row>
    <row r="4178" spans="1:10" x14ac:dyDescent="0.25">
      <c r="A4178" s="32" t="s">
        <v>34</v>
      </c>
      <c r="B4178" s="32">
        <f t="shared" si="1011"/>
        <v>2057</v>
      </c>
      <c r="C4178" s="33" t="s">
        <v>109</v>
      </c>
      <c r="D4178" s="34" t="s">
        <v>1999</v>
      </c>
      <c r="E4178" s="35" t="str">
        <f t="shared" si="1007"/>
        <v>PS'!</v>
      </c>
      <c r="F4178" s="34" t="str">
        <f t="shared" si="1008"/>
        <v>C:\Users\jaime.benazar\Quorum Business Solutions\Ecopetrol Prometeo - Documents\Planning Space Implementation\3. Analysis &amp; Design\Design\FC22\DRR Jaime\QUIFA-CAJÚA\Cajua\[CAJUA_CF_SEC_New_27-Feb-2024Rev3.xlsx]D-PS'!</v>
      </c>
      <c r="G4178" s="32" t="s">
        <v>114</v>
      </c>
      <c r="H4178" s="33">
        <f t="shared" si="1009"/>
        <v>46</v>
      </c>
      <c r="I4178" s="33" t="str">
        <f t="shared" si="1010"/>
        <v>='C:\Users\jaime.benazar\Quorum Business Solutions\Ecopetrol Prometeo - Documents\Planning Space Implementation\3. Analysis &amp; Design\Design\FC22\DRR Jaime\QUIFA-CAJÚA\Cajua\[CAJUA_CF_SEC_New_27-Feb-2024Rev3.xlsx]D-PS'!$CB$46</v>
      </c>
      <c r="J4178" s="37" t="s">
        <v>4069</v>
      </c>
    </row>
    <row r="4179" spans="1:10" x14ac:dyDescent="0.25">
      <c r="A4179" s="32" t="s">
        <v>34</v>
      </c>
      <c r="B4179" s="32">
        <f t="shared" si="1011"/>
        <v>2058</v>
      </c>
      <c r="C4179" s="33" t="s">
        <v>109</v>
      </c>
      <c r="D4179" s="34" t="s">
        <v>1999</v>
      </c>
      <c r="E4179" s="35" t="str">
        <f t="shared" si="1007"/>
        <v>PS'!</v>
      </c>
      <c r="F4179" s="34" t="str">
        <f t="shared" si="1008"/>
        <v>C:\Users\jaime.benazar\Quorum Business Solutions\Ecopetrol Prometeo - Documents\Planning Space Implementation\3. Analysis &amp; Design\Design\FC22\DRR Jaime\QUIFA-CAJÚA\Cajua\[CAJUA_CF_SEC_New_27-Feb-2024Rev3.xlsx]D-PS'!</v>
      </c>
      <c r="G4179" s="32" t="s">
        <v>114</v>
      </c>
      <c r="H4179" s="33">
        <f t="shared" si="1009"/>
        <v>47</v>
      </c>
      <c r="I4179" s="33" t="str">
        <f t="shared" si="1010"/>
        <v>='C:\Users\jaime.benazar\Quorum Business Solutions\Ecopetrol Prometeo - Documents\Planning Space Implementation\3. Analysis &amp; Design\Design\FC22\DRR Jaime\QUIFA-CAJÚA\Cajua\[CAJUA_CF_SEC_New_27-Feb-2024Rev3.xlsx]D-PS'!$CB$47</v>
      </c>
      <c r="J4179" s="37" t="s">
        <v>4070</v>
      </c>
    </row>
    <row r="4180" spans="1:10" x14ac:dyDescent="0.25">
      <c r="A4180" s="32" t="s">
        <v>34</v>
      </c>
      <c r="B4180" s="32">
        <f t="shared" si="1011"/>
        <v>2059</v>
      </c>
      <c r="C4180" s="33" t="s">
        <v>109</v>
      </c>
      <c r="D4180" s="34" t="s">
        <v>1999</v>
      </c>
      <c r="E4180" s="35" t="str">
        <f t="shared" si="1007"/>
        <v>PS'!</v>
      </c>
      <c r="F4180" s="34" t="str">
        <f t="shared" si="1008"/>
        <v>C:\Users\jaime.benazar\Quorum Business Solutions\Ecopetrol Prometeo - Documents\Planning Space Implementation\3. Analysis &amp; Design\Design\FC22\DRR Jaime\QUIFA-CAJÚA\Cajua\[CAJUA_CF_SEC_New_27-Feb-2024Rev3.xlsx]D-PS'!</v>
      </c>
      <c r="G4180" s="32" t="s">
        <v>114</v>
      </c>
      <c r="H4180" s="33">
        <f t="shared" si="1009"/>
        <v>48</v>
      </c>
      <c r="I4180" s="33" t="str">
        <f t="shared" si="1010"/>
        <v>='C:\Users\jaime.benazar\Quorum Business Solutions\Ecopetrol Prometeo - Documents\Planning Space Implementation\3. Analysis &amp; Design\Design\FC22\DRR Jaime\QUIFA-CAJÚA\Cajua\[CAJUA_CF_SEC_New_27-Feb-2024Rev3.xlsx]D-PS'!$CB$48</v>
      </c>
      <c r="J4180" s="37" t="s">
        <v>4071</v>
      </c>
    </row>
    <row r="4181" spans="1:10" x14ac:dyDescent="0.25">
      <c r="A4181" s="32" t="s">
        <v>28</v>
      </c>
      <c r="B4181" s="32"/>
      <c r="C4181" s="33" t="s">
        <v>109</v>
      </c>
      <c r="D4181" s="34"/>
      <c r="E4181" s="35"/>
      <c r="F4181" s="34"/>
      <c r="G4181" s="32"/>
      <c r="H4181" s="33"/>
      <c r="I4181" s="33"/>
      <c r="J4181" s="33"/>
    </row>
    <row r="4182" spans="1:10" x14ac:dyDescent="0.25">
      <c r="A4182" s="32" t="s">
        <v>120</v>
      </c>
      <c r="B4182" s="32" t="s">
        <v>1</v>
      </c>
      <c r="C4182" s="33" t="s">
        <v>118</v>
      </c>
      <c r="D4182" s="34" t="s">
        <v>1998</v>
      </c>
      <c r="E4182" s="35" t="str">
        <f t="shared" si="1000"/>
        <v>Consolidado'!</v>
      </c>
      <c r="F4182" s="34" t="str">
        <f>_xlfn.CONCAT(D4182:E4182)</f>
        <v>C:\Users\jaime.benazar\Quorum Business Solutions\Ecopetrol Prometeo - Documents\Planning Space Implementation\3. Analysis &amp; Design\Design\FC22\DRR Jaime\QUIFA-CAJÚA\Cajua\[CAJUA_CF_SEC_New_27-Feb-2024Rev3.xlsx]Consolidado'!</v>
      </c>
      <c r="G4182" s="32" t="s">
        <v>122</v>
      </c>
      <c r="H4182" s="33">
        <f t="shared" ref="H4182:H4183" si="1012">IF(A4182&lt;&gt;A4181,12,H4181+1)</f>
        <v>12</v>
      </c>
      <c r="I4182" s="33" t="str">
        <f t="shared" ref="I4182:I4203" si="1013">_xlfn.CONCAT("='",F4182:H4182)</f>
        <v>='C:\Users\jaime.benazar\Quorum Business Solutions\Ecopetrol Prometeo - Documents\Planning Space Implementation\3. Analysis &amp; Design\Design\FC22\DRR Jaime\QUIFA-CAJÚA\Cajua\[CAJUA_CF_SEC_New_27-Feb-2024Rev3.xlsx]Consolidado'!$J$12</v>
      </c>
      <c r="J4182" s="33" t="s">
        <v>4072</v>
      </c>
    </row>
    <row r="4183" spans="1:10" x14ac:dyDescent="0.25">
      <c r="A4183" s="32" t="s">
        <v>120</v>
      </c>
      <c r="B4183" s="32" t="s">
        <v>2</v>
      </c>
      <c r="C4183" s="33" t="s">
        <v>118</v>
      </c>
      <c r="D4183" s="34" t="s">
        <v>1998</v>
      </c>
      <c r="E4183" s="35" t="str">
        <f t="shared" ref="E4183:E4203" si="1014">_xlfn.CONCAT(A4183,"'!")</f>
        <v>Consolidado'!</v>
      </c>
      <c r="F4183" s="34" t="str">
        <f t="shared" ref="F4183:F4203" si="1015">_xlfn.CONCAT(D4183:E4183)</f>
        <v>C:\Users\jaime.benazar\Quorum Business Solutions\Ecopetrol Prometeo - Documents\Planning Space Implementation\3. Analysis &amp; Design\Design\FC22\DRR Jaime\QUIFA-CAJÚA\Cajua\[CAJUA_CF_SEC_New_27-Feb-2024Rev3.xlsx]Consolidado'!</v>
      </c>
      <c r="G4183" s="32" t="s">
        <v>122</v>
      </c>
      <c r="H4183" s="33">
        <f t="shared" si="1012"/>
        <v>13</v>
      </c>
      <c r="I4183" s="33" t="str">
        <f t="shared" si="1013"/>
        <v>='C:\Users\jaime.benazar\Quorum Business Solutions\Ecopetrol Prometeo - Documents\Planning Space Implementation\3. Analysis &amp; Design\Design\FC22\DRR Jaime\QUIFA-CAJÚA\Cajua\[CAJUA_CF_SEC_New_27-Feb-2024Rev3.xlsx]Consolidado'!$J$13</v>
      </c>
      <c r="J4183" s="33" t="s">
        <v>4073</v>
      </c>
    </row>
    <row r="4184" spans="1:10" x14ac:dyDescent="0.25">
      <c r="A4184" s="32" t="s">
        <v>120</v>
      </c>
      <c r="B4184" s="32" t="s">
        <v>3</v>
      </c>
      <c r="C4184" s="33" t="s">
        <v>118</v>
      </c>
      <c r="D4184" s="34" t="s">
        <v>1998</v>
      </c>
      <c r="E4184" s="35" t="str">
        <f t="shared" si="1014"/>
        <v>Consolidado'!</v>
      </c>
      <c r="F4184" s="34" t="str">
        <f t="shared" si="1015"/>
        <v>C:\Users\jaime.benazar\Quorum Business Solutions\Ecopetrol Prometeo - Documents\Planning Space Implementation\3. Analysis &amp; Design\Design\FC22\DRR Jaime\QUIFA-CAJÚA\Cajua\[CAJUA_CF_SEC_New_27-Feb-2024Rev3.xlsx]Consolidado'!</v>
      </c>
      <c r="G4184" s="32" t="s">
        <v>122</v>
      </c>
      <c r="H4184" s="33">
        <v>14</v>
      </c>
      <c r="I4184" s="33" t="str">
        <f t="shared" si="1013"/>
        <v>='C:\Users\jaime.benazar\Quorum Business Solutions\Ecopetrol Prometeo - Documents\Planning Space Implementation\3. Analysis &amp; Design\Design\FC22\DRR Jaime\QUIFA-CAJÚA\Cajua\[CAJUA_CF_SEC_New_27-Feb-2024Rev3.xlsx]Consolidado'!$J$14</v>
      </c>
      <c r="J4184" t="s">
        <v>4074</v>
      </c>
    </row>
    <row r="4185" spans="1:10" x14ac:dyDescent="0.25">
      <c r="A4185" s="32" t="s">
        <v>120</v>
      </c>
      <c r="B4185" s="32" t="s">
        <v>99</v>
      </c>
      <c r="C4185" s="33" t="s">
        <v>118</v>
      </c>
      <c r="D4185" s="34" t="s">
        <v>1998</v>
      </c>
      <c r="E4185" s="35" t="str">
        <f t="shared" si="1014"/>
        <v>Consolidado'!</v>
      </c>
      <c r="F4185" s="34" t="str">
        <f t="shared" si="1015"/>
        <v>C:\Users\jaime.benazar\Quorum Business Solutions\Ecopetrol Prometeo - Documents\Planning Space Implementation\3. Analysis &amp; Design\Design\FC22\DRR Jaime\QUIFA-CAJÚA\Cajua\[CAJUA_CF_SEC_New_27-Feb-2024Rev3.xlsx]Consolidado'!</v>
      </c>
      <c r="G4185" s="32" t="s">
        <v>122</v>
      </c>
      <c r="H4185" s="33">
        <v>17</v>
      </c>
      <c r="I4185" s="33" t="str">
        <f t="shared" si="1013"/>
        <v>='C:\Users\jaime.benazar\Quorum Business Solutions\Ecopetrol Prometeo - Documents\Planning Space Implementation\3. Analysis &amp; Design\Design\FC22\DRR Jaime\QUIFA-CAJÚA\Cajua\[CAJUA_CF_SEC_New_27-Feb-2024Rev3.xlsx]Consolidado'!$J$17</v>
      </c>
      <c r="J4185" t="s">
        <v>4075</v>
      </c>
    </row>
    <row r="4186" spans="1:10" x14ac:dyDescent="0.25">
      <c r="A4186" s="32" t="s">
        <v>120</v>
      </c>
      <c r="B4186" s="32" t="s">
        <v>100</v>
      </c>
      <c r="C4186" s="33" t="s">
        <v>118</v>
      </c>
      <c r="D4186" s="34" t="s">
        <v>1998</v>
      </c>
      <c r="E4186" s="35" t="str">
        <f t="shared" si="1014"/>
        <v>Consolidado'!</v>
      </c>
      <c r="F4186" s="34" t="str">
        <f t="shared" si="1015"/>
        <v>C:\Users\jaime.benazar\Quorum Business Solutions\Ecopetrol Prometeo - Documents\Planning Space Implementation\3. Analysis &amp; Design\Design\FC22\DRR Jaime\QUIFA-CAJÚA\Cajua\[CAJUA_CF_SEC_New_27-Feb-2024Rev3.xlsx]Consolidado'!</v>
      </c>
      <c r="G4186" s="32" t="s">
        <v>122</v>
      </c>
      <c r="H4186" s="33">
        <v>18</v>
      </c>
      <c r="I4186" s="33" t="str">
        <f t="shared" si="1013"/>
        <v>='C:\Users\jaime.benazar\Quorum Business Solutions\Ecopetrol Prometeo - Documents\Planning Space Implementation\3. Analysis &amp; Design\Design\FC22\DRR Jaime\QUIFA-CAJÚA\Cajua\[CAJUA_CF_SEC_New_27-Feb-2024Rev3.xlsx]Consolidado'!$J$18</v>
      </c>
      <c r="J4186" t="s">
        <v>4076</v>
      </c>
    </row>
    <row r="4187" spans="1:10" x14ac:dyDescent="0.25">
      <c r="A4187" s="32" t="s">
        <v>120</v>
      </c>
      <c r="B4187" s="32" t="s">
        <v>101</v>
      </c>
      <c r="C4187" s="33" t="s">
        <v>118</v>
      </c>
      <c r="D4187" s="34" t="s">
        <v>1998</v>
      </c>
      <c r="E4187" s="35" t="str">
        <f t="shared" si="1014"/>
        <v>Consolidado'!</v>
      </c>
      <c r="F4187" s="34" t="str">
        <f t="shared" si="1015"/>
        <v>C:\Users\jaime.benazar\Quorum Business Solutions\Ecopetrol Prometeo - Documents\Planning Space Implementation\3. Analysis &amp; Design\Design\FC22\DRR Jaime\QUIFA-CAJÚA\Cajua\[CAJUA_CF_SEC_New_27-Feb-2024Rev3.xlsx]Consolidado'!</v>
      </c>
      <c r="G4187" s="32" t="s">
        <v>122</v>
      </c>
      <c r="H4187" s="33">
        <v>19</v>
      </c>
      <c r="I4187" s="33" t="str">
        <f t="shared" si="1013"/>
        <v>='C:\Users\jaime.benazar\Quorum Business Solutions\Ecopetrol Prometeo - Documents\Planning Space Implementation\3. Analysis &amp; Design\Design\FC22\DRR Jaime\QUIFA-CAJÚA\Cajua\[CAJUA_CF_SEC_New_27-Feb-2024Rev3.xlsx]Consolidado'!$J$19</v>
      </c>
      <c r="J4187" t="s">
        <v>4077</v>
      </c>
    </row>
    <row r="4188" spans="1:10" x14ac:dyDescent="0.25">
      <c r="A4188" s="32" t="s">
        <v>120</v>
      </c>
      <c r="B4188" s="32" t="s">
        <v>4</v>
      </c>
      <c r="C4188" s="33" t="s">
        <v>118</v>
      </c>
      <c r="D4188" s="34" t="s">
        <v>1998</v>
      </c>
      <c r="E4188" s="35" t="str">
        <f t="shared" si="1014"/>
        <v>Consolidado'!</v>
      </c>
      <c r="F4188" s="34" t="str">
        <f t="shared" si="1015"/>
        <v>C:\Users\jaime.benazar\Quorum Business Solutions\Ecopetrol Prometeo - Documents\Planning Space Implementation\3. Analysis &amp; Design\Design\FC22\DRR Jaime\QUIFA-CAJÚA\Cajua\[CAJUA_CF_SEC_New_27-Feb-2024Rev3.xlsx]Consolidado'!</v>
      </c>
      <c r="G4188" s="32" t="s">
        <v>122</v>
      </c>
      <c r="H4188" s="33">
        <v>20</v>
      </c>
      <c r="I4188" s="33" t="str">
        <f t="shared" si="1013"/>
        <v>='C:\Users\jaime.benazar\Quorum Business Solutions\Ecopetrol Prometeo - Documents\Planning Space Implementation\3. Analysis &amp; Design\Design\FC22\DRR Jaime\QUIFA-CAJÚA\Cajua\[CAJUA_CF_SEC_New_27-Feb-2024Rev3.xlsx]Consolidado'!$J$20</v>
      </c>
      <c r="J4188" t="s">
        <v>4078</v>
      </c>
    </row>
    <row r="4189" spans="1:10" x14ac:dyDescent="0.25">
      <c r="A4189" s="32" t="s">
        <v>120</v>
      </c>
      <c r="B4189" s="32" t="s">
        <v>102</v>
      </c>
      <c r="C4189" s="33" t="s">
        <v>118</v>
      </c>
      <c r="D4189" s="34" t="s">
        <v>1998</v>
      </c>
      <c r="E4189" s="35" t="str">
        <f t="shared" si="1014"/>
        <v>Consolidado'!</v>
      </c>
      <c r="F4189" s="34" t="str">
        <f t="shared" si="1015"/>
        <v>C:\Users\jaime.benazar\Quorum Business Solutions\Ecopetrol Prometeo - Documents\Planning Space Implementation\3. Analysis &amp; Design\Design\FC22\DRR Jaime\QUIFA-CAJÚA\Cajua\[CAJUA_CF_SEC_New_27-Feb-2024Rev3.xlsx]Consolidado'!</v>
      </c>
      <c r="G4189" s="32" t="s">
        <v>122</v>
      </c>
      <c r="H4189" s="33">
        <v>22</v>
      </c>
      <c r="I4189" s="33" t="str">
        <f t="shared" si="1013"/>
        <v>='C:\Users\jaime.benazar\Quorum Business Solutions\Ecopetrol Prometeo - Documents\Planning Space Implementation\3. Analysis &amp; Design\Design\FC22\DRR Jaime\QUIFA-CAJÚA\Cajua\[CAJUA_CF_SEC_New_27-Feb-2024Rev3.xlsx]Consolidado'!$J$22</v>
      </c>
      <c r="J4189" t="s">
        <v>4079</v>
      </c>
    </row>
    <row r="4190" spans="1:10" x14ac:dyDescent="0.25">
      <c r="A4190" s="32" t="s">
        <v>120</v>
      </c>
      <c r="B4190" s="32" t="s">
        <v>103</v>
      </c>
      <c r="C4190" s="33" t="s">
        <v>118</v>
      </c>
      <c r="D4190" s="34" t="s">
        <v>1998</v>
      </c>
      <c r="E4190" s="35" t="str">
        <f t="shared" si="1014"/>
        <v>Consolidado'!</v>
      </c>
      <c r="F4190" s="34" t="str">
        <f t="shared" si="1015"/>
        <v>C:\Users\jaime.benazar\Quorum Business Solutions\Ecopetrol Prometeo - Documents\Planning Space Implementation\3. Analysis &amp; Design\Design\FC22\DRR Jaime\QUIFA-CAJÚA\Cajua\[CAJUA_CF_SEC_New_27-Feb-2024Rev3.xlsx]Consolidado'!</v>
      </c>
      <c r="G4190" s="32" t="s">
        <v>122</v>
      </c>
      <c r="H4190" s="33">
        <v>23</v>
      </c>
      <c r="I4190" s="33" t="str">
        <f t="shared" si="1013"/>
        <v>='C:\Users\jaime.benazar\Quorum Business Solutions\Ecopetrol Prometeo - Documents\Planning Space Implementation\3. Analysis &amp; Design\Design\FC22\DRR Jaime\QUIFA-CAJÚA\Cajua\[CAJUA_CF_SEC_New_27-Feb-2024Rev3.xlsx]Consolidado'!$J$23</v>
      </c>
      <c r="J4190" t="s">
        <v>4080</v>
      </c>
    </row>
    <row r="4191" spans="1:10" x14ac:dyDescent="0.25">
      <c r="A4191" s="32" t="s">
        <v>120</v>
      </c>
      <c r="B4191" s="32" t="s">
        <v>104</v>
      </c>
      <c r="C4191" s="33" t="s">
        <v>118</v>
      </c>
      <c r="D4191" s="34" t="s">
        <v>1998</v>
      </c>
      <c r="E4191" s="35" t="str">
        <f t="shared" si="1014"/>
        <v>Consolidado'!</v>
      </c>
      <c r="F4191" s="34" t="str">
        <f t="shared" si="1015"/>
        <v>C:\Users\jaime.benazar\Quorum Business Solutions\Ecopetrol Prometeo - Documents\Planning Space Implementation\3. Analysis &amp; Design\Design\FC22\DRR Jaime\QUIFA-CAJÚA\Cajua\[CAJUA_CF_SEC_New_27-Feb-2024Rev3.xlsx]Consolidado'!</v>
      </c>
      <c r="G4191" s="32" t="s">
        <v>122</v>
      </c>
      <c r="H4191" s="33">
        <v>24</v>
      </c>
      <c r="I4191" s="33" t="str">
        <f t="shared" si="1013"/>
        <v>='C:\Users\jaime.benazar\Quorum Business Solutions\Ecopetrol Prometeo - Documents\Planning Space Implementation\3. Analysis &amp; Design\Design\FC22\DRR Jaime\QUIFA-CAJÚA\Cajua\[CAJUA_CF_SEC_New_27-Feb-2024Rev3.xlsx]Consolidado'!$J$24</v>
      </c>
      <c r="J4191" t="s">
        <v>4081</v>
      </c>
    </row>
    <row r="4192" spans="1:10" x14ac:dyDescent="0.25">
      <c r="A4192" s="32" t="s">
        <v>120</v>
      </c>
      <c r="B4192" s="32" t="s">
        <v>34</v>
      </c>
      <c r="C4192" s="33" t="s">
        <v>118</v>
      </c>
      <c r="D4192" s="34" t="s">
        <v>1998</v>
      </c>
      <c r="E4192" s="35" t="str">
        <f t="shared" si="1014"/>
        <v>Consolidado'!</v>
      </c>
      <c r="F4192" s="34" t="str">
        <f t="shared" si="1015"/>
        <v>C:\Users\jaime.benazar\Quorum Business Solutions\Ecopetrol Prometeo - Documents\Planning Space Implementation\3. Analysis &amp; Design\Design\FC22\DRR Jaime\QUIFA-CAJÚA\Cajua\[CAJUA_CF_SEC_New_27-Feb-2024Rev3.xlsx]Consolidado'!</v>
      </c>
      <c r="G4192" s="32" t="s">
        <v>122</v>
      </c>
      <c r="H4192" s="33">
        <v>25</v>
      </c>
      <c r="I4192" s="33" t="str">
        <f t="shared" si="1013"/>
        <v>='C:\Users\jaime.benazar\Quorum Business Solutions\Ecopetrol Prometeo - Documents\Planning Space Implementation\3. Analysis &amp; Design\Design\FC22\DRR Jaime\QUIFA-CAJÚA\Cajua\[CAJUA_CF_SEC_New_27-Feb-2024Rev3.xlsx]Consolidado'!$J$25</v>
      </c>
      <c r="J4192" t="s">
        <v>4082</v>
      </c>
    </row>
    <row r="4193" spans="1:10" x14ac:dyDescent="0.25">
      <c r="A4193" s="32" t="s">
        <v>120</v>
      </c>
      <c r="B4193" s="32" t="s">
        <v>1</v>
      </c>
      <c r="C4193" s="33" t="s">
        <v>119</v>
      </c>
      <c r="D4193" s="34" t="s">
        <v>1998</v>
      </c>
      <c r="E4193" s="35" t="str">
        <f t="shared" si="1014"/>
        <v>Consolidado'!</v>
      </c>
      <c r="F4193" s="34" t="str">
        <f t="shared" si="1015"/>
        <v>C:\Users\jaime.benazar\Quorum Business Solutions\Ecopetrol Prometeo - Documents\Planning Space Implementation\3. Analysis &amp; Design\Design\FC22\DRR Jaime\QUIFA-CAJÚA\Cajua\[CAJUA_CF_SEC_New_27-Feb-2024Rev3.xlsx]Consolidado'!</v>
      </c>
      <c r="G4193" s="32" t="s">
        <v>121</v>
      </c>
      <c r="H4193" s="33">
        <f t="shared" ref="H4193:H4194" si="1016">IF(A4193&lt;&gt;A4192,12,H4192+1)</f>
        <v>26</v>
      </c>
      <c r="I4193" s="33" t="str">
        <f t="shared" si="1013"/>
        <v>='C:\Users\jaime.benazar\Quorum Business Solutions\Ecopetrol Prometeo - Documents\Planning Space Implementation\3. Analysis &amp; Design\Design\FC22\DRR Jaime\QUIFA-CAJÚA\Cajua\[CAJUA_CF_SEC_New_27-Feb-2024Rev3.xlsx]Consolidado'!$L$26</v>
      </c>
      <c r="J4193" t="s">
        <v>4083</v>
      </c>
    </row>
    <row r="4194" spans="1:10" x14ac:dyDescent="0.25">
      <c r="A4194" s="32" t="s">
        <v>120</v>
      </c>
      <c r="B4194" s="32" t="s">
        <v>2</v>
      </c>
      <c r="C4194" s="33" t="s">
        <v>119</v>
      </c>
      <c r="D4194" s="34" t="s">
        <v>1998</v>
      </c>
      <c r="E4194" s="35" t="str">
        <f t="shared" si="1014"/>
        <v>Consolidado'!</v>
      </c>
      <c r="F4194" s="34" t="str">
        <f t="shared" si="1015"/>
        <v>C:\Users\jaime.benazar\Quorum Business Solutions\Ecopetrol Prometeo - Documents\Planning Space Implementation\3. Analysis &amp; Design\Design\FC22\DRR Jaime\QUIFA-CAJÚA\Cajua\[CAJUA_CF_SEC_New_27-Feb-2024Rev3.xlsx]Consolidado'!</v>
      </c>
      <c r="G4194" s="32" t="s">
        <v>121</v>
      </c>
      <c r="H4194" s="33">
        <f t="shared" si="1016"/>
        <v>27</v>
      </c>
      <c r="I4194" s="33" t="str">
        <f t="shared" si="1013"/>
        <v>='C:\Users\jaime.benazar\Quorum Business Solutions\Ecopetrol Prometeo - Documents\Planning Space Implementation\3. Analysis &amp; Design\Design\FC22\DRR Jaime\QUIFA-CAJÚA\Cajua\[CAJUA_CF_SEC_New_27-Feb-2024Rev3.xlsx]Consolidado'!$L$27</v>
      </c>
      <c r="J4194" t="s">
        <v>4084</v>
      </c>
    </row>
    <row r="4195" spans="1:10" x14ac:dyDescent="0.25">
      <c r="A4195" s="32" t="s">
        <v>120</v>
      </c>
      <c r="B4195" s="32" t="s">
        <v>3</v>
      </c>
      <c r="C4195" s="33" t="s">
        <v>119</v>
      </c>
      <c r="D4195" s="34" t="s">
        <v>1998</v>
      </c>
      <c r="E4195" s="35" t="str">
        <f t="shared" si="1014"/>
        <v>Consolidado'!</v>
      </c>
      <c r="F4195" s="34" t="str">
        <f t="shared" si="1015"/>
        <v>C:\Users\jaime.benazar\Quorum Business Solutions\Ecopetrol Prometeo - Documents\Planning Space Implementation\3. Analysis &amp; Design\Design\FC22\DRR Jaime\QUIFA-CAJÚA\Cajua\[CAJUA_CF_SEC_New_27-Feb-2024Rev3.xlsx]Consolidado'!</v>
      </c>
      <c r="G4195" s="32" t="s">
        <v>121</v>
      </c>
      <c r="H4195" s="33">
        <v>14</v>
      </c>
      <c r="I4195" s="33" t="str">
        <f t="shared" si="1013"/>
        <v>='C:\Users\jaime.benazar\Quorum Business Solutions\Ecopetrol Prometeo - Documents\Planning Space Implementation\3. Analysis &amp; Design\Design\FC22\DRR Jaime\QUIFA-CAJÚA\Cajua\[CAJUA_CF_SEC_New_27-Feb-2024Rev3.xlsx]Consolidado'!$L$14</v>
      </c>
      <c r="J4195" t="s">
        <v>4085</v>
      </c>
    </row>
    <row r="4196" spans="1:10" x14ac:dyDescent="0.25">
      <c r="A4196" s="32" t="s">
        <v>120</v>
      </c>
      <c r="B4196" s="32" t="s">
        <v>99</v>
      </c>
      <c r="C4196" s="33" t="s">
        <v>119</v>
      </c>
      <c r="D4196" s="34" t="s">
        <v>1998</v>
      </c>
      <c r="E4196" s="35" t="str">
        <f t="shared" si="1014"/>
        <v>Consolidado'!</v>
      </c>
      <c r="F4196" s="34" t="str">
        <f t="shared" si="1015"/>
        <v>C:\Users\jaime.benazar\Quorum Business Solutions\Ecopetrol Prometeo - Documents\Planning Space Implementation\3. Analysis &amp; Design\Design\FC22\DRR Jaime\QUIFA-CAJÚA\Cajua\[CAJUA_CF_SEC_New_27-Feb-2024Rev3.xlsx]Consolidado'!</v>
      </c>
      <c r="G4196" s="32" t="s">
        <v>121</v>
      </c>
      <c r="H4196" s="33">
        <v>17</v>
      </c>
      <c r="I4196" s="33" t="str">
        <f t="shared" si="1013"/>
        <v>='C:\Users\jaime.benazar\Quorum Business Solutions\Ecopetrol Prometeo - Documents\Planning Space Implementation\3. Analysis &amp; Design\Design\FC22\DRR Jaime\QUIFA-CAJÚA\Cajua\[CAJUA_CF_SEC_New_27-Feb-2024Rev3.xlsx]Consolidado'!$L$17</v>
      </c>
      <c r="J4196" t="s">
        <v>4086</v>
      </c>
    </row>
    <row r="4197" spans="1:10" x14ac:dyDescent="0.25">
      <c r="A4197" s="32" t="s">
        <v>120</v>
      </c>
      <c r="B4197" s="32" t="s">
        <v>100</v>
      </c>
      <c r="C4197" s="33" t="s">
        <v>119</v>
      </c>
      <c r="D4197" s="34" t="s">
        <v>1998</v>
      </c>
      <c r="E4197" s="35" t="str">
        <f t="shared" si="1014"/>
        <v>Consolidado'!</v>
      </c>
      <c r="F4197" s="34" t="str">
        <f t="shared" si="1015"/>
        <v>C:\Users\jaime.benazar\Quorum Business Solutions\Ecopetrol Prometeo - Documents\Planning Space Implementation\3. Analysis &amp; Design\Design\FC22\DRR Jaime\QUIFA-CAJÚA\Cajua\[CAJUA_CF_SEC_New_27-Feb-2024Rev3.xlsx]Consolidado'!</v>
      </c>
      <c r="G4197" s="32" t="s">
        <v>121</v>
      </c>
      <c r="H4197" s="33">
        <v>18</v>
      </c>
      <c r="I4197" s="33" t="str">
        <f t="shared" si="1013"/>
        <v>='C:\Users\jaime.benazar\Quorum Business Solutions\Ecopetrol Prometeo - Documents\Planning Space Implementation\3. Analysis &amp; Design\Design\FC22\DRR Jaime\QUIFA-CAJÚA\Cajua\[CAJUA_CF_SEC_New_27-Feb-2024Rev3.xlsx]Consolidado'!$L$18</v>
      </c>
      <c r="J4197" t="s">
        <v>4087</v>
      </c>
    </row>
    <row r="4198" spans="1:10" x14ac:dyDescent="0.25">
      <c r="A4198" s="32" t="s">
        <v>120</v>
      </c>
      <c r="B4198" s="32" t="s">
        <v>101</v>
      </c>
      <c r="C4198" s="33" t="s">
        <v>119</v>
      </c>
      <c r="D4198" s="34" t="s">
        <v>1998</v>
      </c>
      <c r="E4198" s="35" t="str">
        <f t="shared" si="1014"/>
        <v>Consolidado'!</v>
      </c>
      <c r="F4198" s="34" t="str">
        <f t="shared" si="1015"/>
        <v>C:\Users\jaime.benazar\Quorum Business Solutions\Ecopetrol Prometeo - Documents\Planning Space Implementation\3. Analysis &amp; Design\Design\FC22\DRR Jaime\QUIFA-CAJÚA\Cajua\[CAJUA_CF_SEC_New_27-Feb-2024Rev3.xlsx]Consolidado'!</v>
      </c>
      <c r="G4198" s="32" t="s">
        <v>121</v>
      </c>
      <c r="H4198" s="33">
        <v>19</v>
      </c>
      <c r="I4198" s="33" t="str">
        <f t="shared" si="1013"/>
        <v>='C:\Users\jaime.benazar\Quorum Business Solutions\Ecopetrol Prometeo - Documents\Planning Space Implementation\3. Analysis &amp; Design\Design\FC22\DRR Jaime\QUIFA-CAJÚA\Cajua\[CAJUA_CF_SEC_New_27-Feb-2024Rev3.xlsx]Consolidado'!$L$19</v>
      </c>
      <c r="J4198" t="s">
        <v>4088</v>
      </c>
    </row>
    <row r="4199" spans="1:10" x14ac:dyDescent="0.25">
      <c r="A4199" s="32" t="s">
        <v>120</v>
      </c>
      <c r="B4199" s="32" t="s">
        <v>4</v>
      </c>
      <c r="C4199" s="33" t="s">
        <v>119</v>
      </c>
      <c r="D4199" s="34" t="s">
        <v>1998</v>
      </c>
      <c r="E4199" s="35" t="str">
        <f t="shared" si="1014"/>
        <v>Consolidado'!</v>
      </c>
      <c r="F4199" s="34" t="str">
        <f t="shared" si="1015"/>
        <v>C:\Users\jaime.benazar\Quorum Business Solutions\Ecopetrol Prometeo - Documents\Planning Space Implementation\3. Analysis &amp; Design\Design\FC22\DRR Jaime\QUIFA-CAJÚA\Cajua\[CAJUA_CF_SEC_New_27-Feb-2024Rev3.xlsx]Consolidado'!</v>
      </c>
      <c r="G4199" s="32" t="s">
        <v>121</v>
      </c>
      <c r="H4199" s="33">
        <v>20</v>
      </c>
      <c r="I4199" s="33" t="str">
        <f t="shared" si="1013"/>
        <v>='C:\Users\jaime.benazar\Quorum Business Solutions\Ecopetrol Prometeo - Documents\Planning Space Implementation\3. Analysis &amp; Design\Design\FC22\DRR Jaime\QUIFA-CAJÚA\Cajua\[CAJUA_CF_SEC_New_27-Feb-2024Rev3.xlsx]Consolidado'!$L$20</v>
      </c>
      <c r="J4199" t="s">
        <v>4089</v>
      </c>
    </row>
    <row r="4200" spans="1:10" x14ac:dyDescent="0.25">
      <c r="A4200" s="32" t="s">
        <v>120</v>
      </c>
      <c r="B4200" s="32" t="s">
        <v>102</v>
      </c>
      <c r="C4200" s="33" t="s">
        <v>119</v>
      </c>
      <c r="D4200" s="34" t="s">
        <v>1998</v>
      </c>
      <c r="E4200" s="35" t="str">
        <f t="shared" si="1014"/>
        <v>Consolidado'!</v>
      </c>
      <c r="F4200" s="34" t="str">
        <f t="shared" si="1015"/>
        <v>C:\Users\jaime.benazar\Quorum Business Solutions\Ecopetrol Prometeo - Documents\Planning Space Implementation\3. Analysis &amp; Design\Design\FC22\DRR Jaime\QUIFA-CAJÚA\Cajua\[CAJUA_CF_SEC_New_27-Feb-2024Rev3.xlsx]Consolidado'!</v>
      </c>
      <c r="G4200" s="32" t="s">
        <v>121</v>
      </c>
      <c r="H4200" s="33">
        <v>22</v>
      </c>
      <c r="I4200" s="33" t="str">
        <f t="shared" si="1013"/>
        <v>='C:\Users\jaime.benazar\Quorum Business Solutions\Ecopetrol Prometeo - Documents\Planning Space Implementation\3. Analysis &amp; Design\Design\FC22\DRR Jaime\QUIFA-CAJÚA\Cajua\[CAJUA_CF_SEC_New_27-Feb-2024Rev3.xlsx]Consolidado'!$L$22</v>
      </c>
      <c r="J4200" t="s">
        <v>4090</v>
      </c>
    </row>
    <row r="4201" spans="1:10" x14ac:dyDescent="0.25">
      <c r="A4201" s="32" t="s">
        <v>120</v>
      </c>
      <c r="B4201" s="32" t="s">
        <v>103</v>
      </c>
      <c r="C4201" s="33" t="s">
        <v>119</v>
      </c>
      <c r="D4201" s="34" t="s">
        <v>1998</v>
      </c>
      <c r="E4201" s="35" t="str">
        <f t="shared" si="1014"/>
        <v>Consolidado'!</v>
      </c>
      <c r="F4201" s="34" t="str">
        <f t="shared" si="1015"/>
        <v>C:\Users\jaime.benazar\Quorum Business Solutions\Ecopetrol Prometeo - Documents\Planning Space Implementation\3. Analysis &amp; Design\Design\FC22\DRR Jaime\QUIFA-CAJÚA\Cajua\[CAJUA_CF_SEC_New_27-Feb-2024Rev3.xlsx]Consolidado'!</v>
      </c>
      <c r="G4201" s="32" t="s">
        <v>121</v>
      </c>
      <c r="H4201" s="33">
        <v>23</v>
      </c>
      <c r="I4201" s="33" t="str">
        <f t="shared" si="1013"/>
        <v>='C:\Users\jaime.benazar\Quorum Business Solutions\Ecopetrol Prometeo - Documents\Planning Space Implementation\3. Analysis &amp; Design\Design\FC22\DRR Jaime\QUIFA-CAJÚA\Cajua\[CAJUA_CF_SEC_New_27-Feb-2024Rev3.xlsx]Consolidado'!$L$23</v>
      </c>
      <c r="J4201" t="s">
        <v>4091</v>
      </c>
    </row>
    <row r="4202" spans="1:10" x14ac:dyDescent="0.25">
      <c r="A4202" s="32" t="s">
        <v>120</v>
      </c>
      <c r="B4202" s="32" t="s">
        <v>104</v>
      </c>
      <c r="C4202" s="33" t="s">
        <v>119</v>
      </c>
      <c r="D4202" s="34" t="s">
        <v>1998</v>
      </c>
      <c r="E4202" s="35" t="str">
        <f t="shared" si="1014"/>
        <v>Consolidado'!</v>
      </c>
      <c r="F4202" s="34" t="str">
        <f t="shared" si="1015"/>
        <v>C:\Users\jaime.benazar\Quorum Business Solutions\Ecopetrol Prometeo - Documents\Planning Space Implementation\3. Analysis &amp; Design\Design\FC22\DRR Jaime\QUIFA-CAJÚA\Cajua\[CAJUA_CF_SEC_New_27-Feb-2024Rev3.xlsx]Consolidado'!</v>
      </c>
      <c r="G4202" s="32" t="s">
        <v>121</v>
      </c>
      <c r="H4202" s="33">
        <v>24</v>
      </c>
      <c r="I4202" s="33" t="str">
        <f t="shared" si="1013"/>
        <v>='C:\Users\jaime.benazar\Quorum Business Solutions\Ecopetrol Prometeo - Documents\Planning Space Implementation\3. Analysis &amp; Design\Design\FC22\DRR Jaime\QUIFA-CAJÚA\Cajua\[CAJUA_CF_SEC_New_27-Feb-2024Rev3.xlsx]Consolidado'!$L$24</v>
      </c>
      <c r="J4202" t="s">
        <v>4092</v>
      </c>
    </row>
    <row r="4203" spans="1:10" x14ac:dyDescent="0.25">
      <c r="A4203" s="32" t="s">
        <v>120</v>
      </c>
      <c r="B4203" s="32" t="s">
        <v>34</v>
      </c>
      <c r="C4203" s="33" t="s">
        <v>119</v>
      </c>
      <c r="D4203" s="34" t="s">
        <v>1998</v>
      </c>
      <c r="E4203" s="35" t="str">
        <f t="shared" si="1014"/>
        <v>Consolidado'!</v>
      </c>
      <c r="F4203" s="34" t="str">
        <f t="shared" si="1015"/>
        <v>C:\Users\jaime.benazar\Quorum Business Solutions\Ecopetrol Prometeo - Documents\Planning Space Implementation\3. Analysis &amp; Design\Design\FC22\DRR Jaime\QUIFA-CAJÚA\Cajua\[CAJUA_CF_SEC_New_27-Feb-2024Rev3.xlsx]Consolidado'!</v>
      </c>
      <c r="G4203" s="32" t="s">
        <v>121</v>
      </c>
      <c r="H4203" s="33">
        <v>25</v>
      </c>
      <c r="I4203" s="33" t="str">
        <f t="shared" si="1013"/>
        <v>='C:\Users\jaime.benazar\Quorum Business Solutions\Ecopetrol Prometeo - Documents\Planning Space Implementation\3. Analysis &amp; Design\Design\FC22\DRR Jaime\QUIFA-CAJÚA\Cajua\[CAJUA_CF_SEC_New_27-Feb-2024Rev3.xlsx]Consolidado'!$L$25</v>
      </c>
      <c r="J4203" t="s">
        <v>4093</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customXml/itemProps2.xml><?xml version="1.0" encoding="utf-8"?>
<ds:datastoreItem xmlns:ds="http://schemas.openxmlformats.org/officeDocument/2006/customXml" ds:itemID="{3E3B2598-541C-4B59-BE40-111BAE2931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3F1D485-46B8-41E8-825C-59DDC6F66678}">
  <ds:schemaRefs>
    <ds:schemaRef ds:uri="http://schemas.microsoft.com/sharepoint/v3/contenttype/forms"/>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Juan Perez Ordoñez</cp:lastModifiedBy>
  <dcterms:created xsi:type="dcterms:W3CDTF">2023-11-03T20:09:58Z</dcterms:created>
  <dcterms:modified xsi:type="dcterms:W3CDTF">2024-05-07T01:59:03Z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